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8800" windowHeight="15940" tabRatio="963" activeTab="8"/>
  </bookViews>
  <sheets>
    <sheet name="output" sheetId="49" r:id="rId1"/>
    <sheet name="units" sheetId="23" r:id="rId2"/>
    <sheet name="unit_skills" sheetId="52" r:id="rId3"/>
    <sheet name="crash_skills" sheetId="53" r:id="rId4"/>
    <sheet name="unit_serifs" sheetId="54" r:id="rId5"/>
    <sheet name="awake_materials" sheetId="3" r:id="rId6"/>
    <sheet name="→base値" sheetId="51" r:id="rId7"/>
    <sheet name="ghosts_label" sheetId="55" r:id="rId8"/>
    <sheet name="コスト" sheetId="13" r:id="rId9"/>
    <sheet name="レベル" sheetId="12" r:id="rId10"/>
    <sheet name="経験値" sheetId="10" r:id="rId11"/>
    <sheet name="RC6SV" sheetId="11" r:id="rId12"/>
    <sheet name="ビット" sheetId="15" r:id="rId13"/>
  </sheets>
  <externalReferences>
    <externalReference r:id="rId14"/>
    <externalReference r:id="rId15"/>
    <externalReference r:id="rId16"/>
  </externalReferences>
  <definedNames>
    <definedName name="_xlnm._FilterDatabase" localSheetId="5" hidden="1">awake_materials!$B$1:$H$1</definedName>
    <definedName name="_xlnm._FilterDatabase" localSheetId="3" hidden="1">crash_skills!$A$1:$J$1</definedName>
    <definedName name="_xlnm._FilterDatabase" localSheetId="2" hidden="1">unit_skills!$A$1:$S$1</definedName>
    <definedName name="_xlnm._FilterDatabase" localSheetId="1" hidden="1">units!$A$1:$BQ$5</definedName>
    <definedName name="base_character_id" localSheetId="4">#REF!</definedName>
    <definedName name="base_character_id">awake_materials!$B$1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16" i="3" l="1"/>
  <c r="H11" i="23"/>
  <c r="E16" i="3"/>
  <c r="G11" i="23"/>
  <c r="D16" i="3"/>
  <c r="B11" i="23"/>
  <c r="C16" i="3"/>
  <c r="A16" i="3"/>
  <c r="G15" i="3"/>
  <c r="H4" i="23"/>
  <c r="E15" i="3"/>
  <c r="G4" i="23"/>
  <c r="D15" i="3"/>
  <c r="B4" i="23"/>
  <c r="C15" i="3"/>
  <c r="A15" i="3"/>
  <c r="G14" i="3"/>
  <c r="H10" i="23"/>
  <c r="E14" i="3"/>
  <c r="G10" i="23"/>
  <c r="D14" i="3"/>
  <c r="B10" i="23"/>
  <c r="C14" i="3"/>
  <c r="A14" i="3"/>
  <c r="H3" i="23"/>
  <c r="G3" i="23"/>
  <c r="B3" i="23"/>
  <c r="J12" i="52"/>
  <c r="H12" i="52"/>
  <c r="E12" i="52"/>
  <c r="J11" i="52"/>
  <c r="H11" i="52"/>
  <c r="E11" i="52"/>
  <c r="J10" i="52"/>
  <c r="H10" i="52"/>
  <c r="E10" i="52"/>
  <c r="H12" i="23"/>
  <c r="BR12" i="23"/>
  <c r="G12" i="23"/>
  <c r="BC12" i="23"/>
  <c r="BD12" i="23"/>
  <c r="V12" i="23"/>
  <c r="W12" i="23"/>
  <c r="AD12" i="23"/>
  <c r="I12" i="23"/>
  <c r="M12" i="23"/>
  <c r="BN12" i="23"/>
  <c r="U12" i="23"/>
  <c r="AC12" i="23"/>
  <c r="L12" i="23"/>
  <c r="BM12" i="23"/>
  <c r="T12" i="23"/>
  <c r="AB12" i="23"/>
  <c r="K12" i="23"/>
  <c r="BL12" i="23"/>
  <c r="S12" i="23"/>
  <c r="AA12" i="23"/>
  <c r="J12" i="23"/>
  <c r="BK12" i="23"/>
  <c r="BC11" i="23"/>
  <c r="BE12" i="23"/>
  <c r="BJ12" i="23"/>
  <c r="BI12" i="23"/>
  <c r="BH12" i="23"/>
  <c r="BG12" i="23"/>
  <c r="I9" i="23"/>
  <c r="J9" i="23"/>
  <c r="I11" i="23"/>
  <c r="J11" i="23"/>
  <c r="BF12" i="23"/>
  <c r="AX12" i="23"/>
  <c r="AW12" i="23"/>
  <c r="AV12" i="23"/>
  <c r="AU12" i="23"/>
  <c r="AS12" i="23"/>
  <c r="AR12" i="23"/>
  <c r="AQ12" i="23"/>
  <c r="AN12" i="23"/>
  <c r="AM12" i="23"/>
  <c r="AL12" i="23"/>
  <c r="AK12" i="23"/>
  <c r="AI12" i="23"/>
  <c r="AH12" i="23"/>
  <c r="AF12" i="23"/>
  <c r="Y12" i="23"/>
  <c r="Z12" i="23"/>
  <c r="X12" i="23"/>
  <c r="R12" i="23"/>
  <c r="O12" i="23"/>
  <c r="N12" i="23"/>
  <c r="F12" i="23"/>
  <c r="E12" i="23"/>
  <c r="D12" i="23"/>
  <c r="C12" i="23"/>
  <c r="B12" i="23"/>
  <c r="BR11" i="23"/>
  <c r="BD11" i="23"/>
  <c r="V11" i="23"/>
  <c r="W11" i="23"/>
  <c r="AD11" i="23"/>
  <c r="M11" i="23"/>
  <c r="BN11" i="23"/>
  <c r="U11" i="23"/>
  <c r="AC11" i="23"/>
  <c r="L11" i="23"/>
  <c r="BM11" i="23"/>
  <c r="T11" i="23"/>
  <c r="AB11" i="23"/>
  <c r="K11" i="23"/>
  <c r="BL11" i="23"/>
  <c r="S11" i="23"/>
  <c r="AA11" i="23"/>
  <c r="BK11" i="23"/>
  <c r="BC10" i="23"/>
  <c r="BE11" i="23"/>
  <c r="BJ11" i="23"/>
  <c r="BI11" i="23"/>
  <c r="BH11" i="23"/>
  <c r="BG11" i="23"/>
  <c r="I5" i="23"/>
  <c r="J5" i="23"/>
  <c r="I10" i="23"/>
  <c r="J10" i="23"/>
  <c r="BF11" i="23"/>
  <c r="AX11" i="23"/>
  <c r="AW11" i="23"/>
  <c r="AV11" i="23"/>
  <c r="AU11" i="23"/>
  <c r="AS11" i="23"/>
  <c r="AR11" i="23"/>
  <c r="AQ11" i="23"/>
  <c r="AN11" i="23"/>
  <c r="AM11" i="23"/>
  <c r="AL11" i="23"/>
  <c r="AK11" i="23"/>
  <c r="AI11" i="23"/>
  <c r="AH11" i="23"/>
  <c r="AF11" i="23"/>
  <c r="Y11" i="23"/>
  <c r="Z11" i="23"/>
  <c r="X11" i="23"/>
  <c r="R11" i="23"/>
  <c r="O11" i="23"/>
  <c r="N11" i="23"/>
  <c r="F11" i="23"/>
  <c r="E11" i="23"/>
  <c r="D11" i="23"/>
  <c r="C11" i="23"/>
  <c r="BR10" i="23"/>
  <c r="BD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O10" i="23"/>
  <c r="N10" i="23"/>
  <c r="F10" i="23"/>
  <c r="E10" i="23"/>
  <c r="D10" i="23"/>
  <c r="C10" i="23"/>
  <c r="BR3" i="23"/>
  <c r="BR4" i="23"/>
  <c r="H5" i="23"/>
  <c r="BR5" i="23"/>
  <c r="H6" i="23"/>
  <c r="BR6" i="23"/>
  <c r="H7" i="23"/>
  <c r="BR7" i="23"/>
  <c r="H8" i="23"/>
  <c r="BR8" i="23"/>
  <c r="H9" i="23"/>
  <c r="BR9" i="23"/>
  <c r="H2" i="23"/>
  <c r="BR2" i="23"/>
  <c r="G7" i="3"/>
  <c r="E7" i="3"/>
  <c r="D7" i="3"/>
  <c r="C7" i="3"/>
  <c r="A7" i="3"/>
  <c r="G6" i="3"/>
  <c r="E6" i="3"/>
  <c r="D6" i="3"/>
  <c r="C6" i="3"/>
  <c r="A6" i="3"/>
  <c r="G5" i="3"/>
  <c r="E5" i="3"/>
  <c r="D5" i="3"/>
  <c r="C5" i="3"/>
  <c r="A5" i="3"/>
  <c r="G4" i="3"/>
  <c r="E4" i="3"/>
  <c r="D4" i="3"/>
  <c r="C4" i="3"/>
  <c r="A4" i="3"/>
  <c r="G3" i="3"/>
  <c r="E3" i="3"/>
  <c r="D3" i="3"/>
  <c r="C3" i="3"/>
  <c r="A3" i="3"/>
  <c r="G2" i="3"/>
  <c r="E2" i="3"/>
  <c r="D2" i="3"/>
  <c r="C2" i="3"/>
  <c r="A2" i="3"/>
  <c r="AI9" i="23"/>
  <c r="AI8" i="23"/>
  <c r="AI7" i="23"/>
  <c r="AI6" i="23"/>
  <c r="AI5" i="23"/>
  <c r="AI4" i="23"/>
  <c r="AI3" i="23"/>
  <c r="G2" i="23"/>
  <c r="AI2" i="23"/>
  <c r="G13" i="3"/>
  <c r="E13" i="3"/>
  <c r="D13" i="3"/>
  <c r="C13" i="3"/>
  <c r="A13" i="3"/>
  <c r="G12" i="3"/>
  <c r="E12" i="3"/>
  <c r="D12" i="3"/>
  <c r="C12" i="3"/>
  <c r="A12" i="3"/>
  <c r="G11" i="3"/>
  <c r="E11" i="3"/>
  <c r="D11" i="3"/>
  <c r="C11" i="3"/>
  <c r="A11" i="3"/>
  <c r="G10" i="3"/>
  <c r="E10" i="3"/>
  <c r="D10" i="3"/>
  <c r="C10" i="3"/>
  <c r="A10" i="3"/>
  <c r="G9" i="3"/>
  <c r="E9" i="3"/>
  <c r="D9" i="3"/>
  <c r="B2" i="23"/>
  <c r="C9" i="3"/>
  <c r="A9" i="3"/>
  <c r="BC2" i="23"/>
  <c r="BD2" i="23"/>
  <c r="BC3" i="23"/>
  <c r="BD3" i="23"/>
  <c r="BC4" i="23"/>
  <c r="BD4" i="23"/>
  <c r="G5" i="23"/>
  <c r="BC5" i="23"/>
  <c r="BD5" i="23"/>
  <c r="G6" i="23"/>
  <c r="BC6" i="23"/>
  <c r="BD6" i="23"/>
  <c r="G7" i="23"/>
  <c r="BC7" i="23"/>
  <c r="BD7" i="23"/>
  <c r="G8" i="23"/>
  <c r="BC8" i="23"/>
  <c r="BD8" i="23"/>
  <c r="G9" i="23"/>
  <c r="BC9" i="23"/>
  <c r="BD9" i="23"/>
  <c r="AW9" i="23"/>
  <c r="AW8" i="23"/>
  <c r="AW7" i="23"/>
  <c r="AW6" i="23"/>
  <c r="AW5" i="23"/>
  <c r="AW4" i="23"/>
  <c r="AW3" i="23"/>
  <c r="AW2" i="23"/>
  <c r="AV9" i="23"/>
  <c r="AU9" i="23"/>
  <c r="AV8" i="23"/>
  <c r="AU8" i="23"/>
  <c r="AV7" i="23"/>
  <c r="AU7" i="23"/>
  <c r="AV6" i="23"/>
  <c r="AU6" i="23"/>
  <c r="AV5" i="23"/>
  <c r="AU5" i="23"/>
  <c r="AV4" i="23"/>
  <c r="AU4" i="23"/>
  <c r="AV3" i="23"/>
  <c r="AV2" i="23"/>
  <c r="AU2" i="23"/>
  <c r="AU3" i="23"/>
  <c r="J9" i="52"/>
  <c r="H9" i="52"/>
  <c r="E9" i="52"/>
  <c r="J8" i="52"/>
  <c r="H8" i="52"/>
  <c r="E8" i="52"/>
  <c r="J7" i="52"/>
  <c r="H7" i="52"/>
  <c r="E7" i="52"/>
  <c r="J6" i="52"/>
  <c r="H6" i="52"/>
  <c r="E6" i="52"/>
  <c r="J5" i="52"/>
  <c r="H5" i="52"/>
  <c r="E5" i="52"/>
  <c r="J4" i="52"/>
  <c r="H4" i="52"/>
  <c r="E4" i="52"/>
  <c r="J3" i="52"/>
  <c r="H3" i="52"/>
  <c r="E3" i="52"/>
  <c r="C10" i="49"/>
  <c r="C9" i="49"/>
  <c r="C8" i="49"/>
  <c r="C7" i="49"/>
  <c r="C6" i="49"/>
  <c r="C5" i="49"/>
  <c r="C4" i="49"/>
  <c r="C3" i="49"/>
  <c r="D3" i="54"/>
  <c r="D2" i="54"/>
  <c r="E3" i="54"/>
  <c r="B3" i="54"/>
  <c r="E2" i="54"/>
  <c r="B2" i="54"/>
  <c r="G2" i="53"/>
  <c r="E2" i="53"/>
  <c r="J2" i="52"/>
  <c r="H2" i="52"/>
  <c r="E2" i="52"/>
  <c r="G8" i="3"/>
  <c r="C8" i="3"/>
  <c r="AN9" i="23"/>
  <c r="AM9" i="23"/>
  <c r="AL9" i="23"/>
  <c r="O9" i="23"/>
  <c r="N9" i="23"/>
  <c r="AN8" i="23"/>
  <c r="AM8" i="23"/>
  <c r="AL8" i="23"/>
  <c r="O8" i="23"/>
  <c r="N8" i="23"/>
  <c r="AN7" i="23"/>
  <c r="AM7" i="23"/>
  <c r="AL7" i="23"/>
  <c r="O7" i="23"/>
  <c r="N7" i="23"/>
  <c r="AN6" i="23"/>
  <c r="AM6" i="23"/>
  <c r="AL6" i="23"/>
  <c r="O6" i="23"/>
  <c r="N6" i="23"/>
  <c r="AN5" i="23"/>
  <c r="AM5" i="23"/>
  <c r="AL5" i="23"/>
  <c r="O5" i="23"/>
  <c r="N5" i="23"/>
  <c r="AN4" i="23"/>
  <c r="AM4" i="23"/>
  <c r="AL4" i="23"/>
  <c r="O4" i="23"/>
  <c r="N4" i="23"/>
  <c r="AN3" i="23"/>
  <c r="AM3" i="23"/>
  <c r="AL3" i="23"/>
  <c r="O3" i="23"/>
  <c r="N3" i="23"/>
  <c r="AN2" i="23"/>
  <c r="AM2" i="23"/>
  <c r="AL2" i="23"/>
  <c r="O2" i="23"/>
  <c r="N2" i="23"/>
  <c r="AS9" i="23"/>
  <c r="AR9" i="23"/>
  <c r="AQ9" i="23"/>
  <c r="AS8" i="23"/>
  <c r="AR8" i="23"/>
  <c r="AQ8" i="23"/>
  <c r="AS7" i="23"/>
  <c r="AR7" i="23"/>
  <c r="AQ7" i="23"/>
  <c r="AS6" i="23"/>
  <c r="AR6" i="23"/>
  <c r="AQ6" i="23"/>
  <c r="AS5" i="23"/>
  <c r="AR5" i="23"/>
  <c r="AQ5" i="23"/>
  <c r="AS4" i="23"/>
  <c r="AR4" i="23"/>
  <c r="AQ4" i="23"/>
  <c r="AS3" i="23"/>
  <c r="AR3" i="23"/>
  <c r="AQ3" i="23"/>
  <c r="AS2" i="23"/>
  <c r="AR2" i="23"/>
  <c r="AQ2" i="23"/>
  <c r="V9" i="23"/>
  <c r="W9" i="23"/>
  <c r="AD9" i="23"/>
  <c r="M9" i="23"/>
  <c r="BN9" i="23"/>
  <c r="U9" i="23"/>
  <c r="AC9" i="23"/>
  <c r="L9" i="23"/>
  <c r="BM9" i="23"/>
  <c r="T9" i="23"/>
  <c r="AB9" i="23"/>
  <c r="K9" i="23"/>
  <c r="BL9" i="23"/>
  <c r="S9" i="23"/>
  <c r="AA9" i="23"/>
  <c r="BK9" i="23"/>
  <c r="BE9" i="23"/>
  <c r="BJ9" i="23"/>
  <c r="BI9" i="23"/>
  <c r="BH9" i="23"/>
  <c r="BG9" i="23"/>
  <c r="I2" i="23"/>
  <c r="J2" i="23"/>
  <c r="BF9" i="23"/>
  <c r="AX9" i="23"/>
  <c r="AK9" i="23"/>
  <c r="AG9" i="23"/>
  <c r="AH9" i="23"/>
  <c r="AF9" i="23"/>
  <c r="Y9" i="23"/>
  <c r="Z9" i="23"/>
  <c r="X9" i="23"/>
  <c r="R9" i="23"/>
  <c r="F9" i="23"/>
  <c r="E9" i="23"/>
  <c r="D9" i="23"/>
  <c r="C9" i="23"/>
  <c r="B9" i="23"/>
  <c r="V8" i="23"/>
  <c r="W8" i="23"/>
  <c r="AD8" i="23"/>
  <c r="I8" i="23"/>
  <c r="M8" i="23"/>
  <c r="BN8" i="23"/>
  <c r="U8" i="23"/>
  <c r="AC8" i="23"/>
  <c r="L8" i="23"/>
  <c r="BM8" i="23"/>
  <c r="T8" i="23"/>
  <c r="AB8" i="23"/>
  <c r="K8" i="23"/>
  <c r="BL8" i="23"/>
  <c r="S8" i="23"/>
  <c r="AA8" i="23"/>
  <c r="J8" i="23"/>
  <c r="BK8" i="23"/>
  <c r="BJ8" i="23"/>
  <c r="BI8" i="23"/>
  <c r="BH8" i="23"/>
  <c r="BG8" i="23"/>
  <c r="I4" i="23"/>
  <c r="J4" i="23"/>
  <c r="BF8" i="23"/>
  <c r="AX8" i="23"/>
  <c r="AK8" i="23"/>
  <c r="AG8" i="23"/>
  <c r="AH8" i="23"/>
  <c r="AF8" i="23"/>
  <c r="Y8" i="23"/>
  <c r="Z8" i="23"/>
  <c r="X8" i="23"/>
  <c r="R8" i="23"/>
  <c r="F8" i="23"/>
  <c r="E8" i="23"/>
  <c r="D8" i="23"/>
  <c r="C8" i="23"/>
  <c r="B8" i="23"/>
  <c r="V7" i="23"/>
  <c r="W7" i="23"/>
  <c r="AD7" i="23"/>
  <c r="I7" i="23"/>
  <c r="M7" i="23"/>
  <c r="BN7" i="23"/>
  <c r="U7" i="23"/>
  <c r="AC7" i="23"/>
  <c r="L7" i="23"/>
  <c r="BM7" i="23"/>
  <c r="T7" i="23"/>
  <c r="AB7" i="23"/>
  <c r="K7" i="23"/>
  <c r="BL7" i="23"/>
  <c r="S7" i="23"/>
  <c r="AA7" i="23"/>
  <c r="J7" i="23"/>
  <c r="BK7" i="23"/>
  <c r="BJ7" i="23"/>
  <c r="BI7" i="23"/>
  <c r="BH7" i="23"/>
  <c r="BG7" i="23"/>
  <c r="I3" i="23"/>
  <c r="J3" i="23"/>
  <c r="BF7" i="23"/>
  <c r="AX7" i="23"/>
  <c r="AK7" i="23"/>
  <c r="AG7" i="23"/>
  <c r="AH7" i="23"/>
  <c r="AF7" i="23"/>
  <c r="Y7" i="23"/>
  <c r="Z7" i="23"/>
  <c r="X7" i="23"/>
  <c r="R7" i="23"/>
  <c r="F7" i="23"/>
  <c r="E7" i="23"/>
  <c r="D7" i="23"/>
  <c r="C7" i="23"/>
  <c r="B7" i="23"/>
  <c r="V6" i="23"/>
  <c r="W6" i="23"/>
  <c r="AD6" i="23"/>
  <c r="I6" i="23"/>
  <c r="M6" i="23"/>
  <c r="BN6" i="23"/>
  <c r="U6" i="23"/>
  <c r="AC6" i="23"/>
  <c r="L6" i="23"/>
  <c r="BM6" i="23"/>
  <c r="T6" i="23"/>
  <c r="AB6" i="23"/>
  <c r="K6" i="23"/>
  <c r="BL6" i="23"/>
  <c r="S6" i="23"/>
  <c r="AA6" i="23"/>
  <c r="J6" i="23"/>
  <c r="BK6" i="23"/>
  <c r="BJ6" i="23"/>
  <c r="BI6" i="23"/>
  <c r="BH6" i="23"/>
  <c r="BG6" i="23"/>
  <c r="BF6" i="23"/>
  <c r="AX6" i="23"/>
  <c r="AK6" i="23"/>
  <c r="AG6" i="23"/>
  <c r="AH6" i="23"/>
  <c r="AF6" i="23"/>
  <c r="Y6" i="23"/>
  <c r="Z6" i="23"/>
  <c r="X6" i="23"/>
  <c r="R6" i="23"/>
  <c r="F6" i="23"/>
  <c r="E6" i="23"/>
  <c r="D6" i="23"/>
  <c r="C6" i="23"/>
  <c r="B6" i="23"/>
  <c r="V5" i="23"/>
  <c r="W5" i="23"/>
  <c r="AD5" i="23"/>
  <c r="M5" i="23"/>
  <c r="BN5" i="23"/>
  <c r="U5" i="23"/>
  <c r="AC5" i="23"/>
  <c r="L5" i="23"/>
  <c r="BM5" i="23"/>
  <c r="T5" i="23"/>
  <c r="AB5" i="23"/>
  <c r="K5" i="23"/>
  <c r="BL5" i="23"/>
  <c r="S5" i="23"/>
  <c r="AA5" i="23"/>
  <c r="BK5" i="23"/>
  <c r="BE5" i="23"/>
  <c r="BJ5" i="23"/>
  <c r="BI5" i="23"/>
  <c r="BH5" i="23"/>
  <c r="BG5" i="23"/>
  <c r="BF5" i="23"/>
  <c r="AX5" i="23"/>
  <c r="AK5" i="23"/>
  <c r="AG5" i="23"/>
  <c r="AH5" i="23"/>
  <c r="AF5" i="23"/>
  <c r="Y5" i="23"/>
  <c r="Z5" i="23"/>
  <c r="X5" i="23"/>
  <c r="R5" i="23"/>
  <c r="F5" i="23"/>
  <c r="E5" i="23"/>
  <c r="D5" i="23"/>
  <c r="C5" i="23"/>
  <c r="B5" i="23"/>
  <c r="V4" i="23"/>
  <c r="W4" i="23"/>
  <c r="AD4" i="23"/>
  <c r="M4" i="23"/>
  <c r="BN4" i="23"/>
  <c r="U4" i="23"/>
  <c r="AC4" i="23"/>
  <c r="L4" i="23"/>
  <c r="BM4" i="23"/>
  <c r="T4" i="23"/>
  <c r="AB4" i="23"/>
  <c r="K4" i="23"/>
  <c r="BL4" i="23"/>
  <c r="S4" i="23"/>
  <c r="AA4" i="23"/>
  <c r="BK4" i="23"/>
  <c r="BE4" i="23"/>
  <c r="BJ4" i="23"/>
  <c r="BI4" i="23"/>
  <c r="BH4" i="23"/>
  <c r="BG4" i="23"/>
  <c r="BF4" i="23"/>
  <c r="AX4" i="23"/>
  <c r="AK4" i="23"/>
  <c r="AH4" i="23"/>
  <c r="AF4" i="23"/>
  <c r="Y4" i="23"/>
  <c r="Z4" i="23"/>
  <c r="X4" i="23"/>
  <c r="R4" i="23"/>
  <c r="F4" i="23"/>
  <c r="E4" i="23"/>
  <c r="D4" i="23"/>
  <c r="C4" i="23"/>
  <c r="V3" i="23"/>
  <c r="W3" i="23"/>
  <c r="AD3" i="23"/>
  <c r="M3" i="23"/>
  <c r="BN3" i="23"/>
  <c r="U3" i="23"/>
  <c r="AC3" i="23"/>
  <c r="L3" i="23"/>
  <c r="BM3" i="23"/>
  <c r="T3" i="23"/>
  <c r="AB3" i="23"/>
  <c r="K3" i="23"/>
  <c r="BL3" i="23"/>
  <c r="S3" i="23"/>
  <c r="AA3" i="23"/>
  <c r="BK3" i="23"/>
  <c r="BE3" i="23"/>
  <c r="BJ3" i="23"/>
  <c r="BI3" i="23"/>
  <c r="BH3" i="23"/>
  <c r="BG3" i="23"/>
  <c r="BF3" i="23"/>
  <c r="AX3" i="23"/>
  <c r="AK3" i="23"/>
  <c r="AH3" i="23"/>
  <c r="AF3" i="23"/>
  <c r="Y3" i="23"/>
  <c r="Z3" i="23"/>
  <c r="X3" i="23"/>
  <c r="R3" i="23"/>
  <c r="F3" i="23"/>
  <c r="E3" i="23"/>
  <c r="D3" i="23"/>
  <c r="C3" i="23"/>
  <c r="V2" i="23"/>
  <c r="W2" i="23"/>
  <c r="AD2" i="23"/>
  <c r="M2" i="23"/>
  <c r="BN2" i="23"/>
  <c r="U2" i="23"/>
  <c r="AC2" i="23"/>
  <c r="L2" i="23"/>
  <c r="BM2" i="23"/>
  <c r="T2" i="23"/>
  <c r="AB2" i="23"/>
  <c r="K2" i="23"/>
  <c r="BL2" i="23"/>
  <c r="S2" i="23"/>
  <c r="AA2" i="23"/>
  <c r="BK2" i="23"/>
  <c r="BE2" i="23"/>
  <c r="BJ2" i="23"/>
  <c r="BI2" i="23"/>
  <c r="BH2" i="23"/>
  <c r="BG2" i="23"/>
  <c r="BF2" i="23"/>
  <c r="AX2" i="23"/>
  <c r="AK2" i="23"/>
  <c r="AH2" i="23"/>
  <c r="AF2" i="23"/>
  <c r="Y2" i="23"/>
  <c r="Z2" i="23"/>
  <c r="X2" i="23"/>
  <c r="R2" i="23"/>
  <c r="F2" i="23"/>
  <c r="E2" i="23"/>
  <c r="D2" i="23"/>
  <c r="C2" i="23"/>
  <c r="E8" i="49"/>
  <c r="E7" i="49"/>
  <c r="E6" i="49"/>
  <c r="E5" i="49"/>
  <c r="E9" i="49"/>
  <c r="E10" i="49"/>
  <c r="E3" i="49"/>
  <c r="E4" i="49"/>
  <c r="E2" i="49"/>
  <c r="A8" i="3"/>
  <c r="E8" i="3"/>
  <c r="D8" i="3"/>
</calcChain>
</file>

<file path=xl/sharedStrings.xml><?xml version="1.0" encoding="utf-8"?>
<sst xmlns="http://schemas.openxmlformats.org/spreadsheetml/2006/main" count="715" uniqueCount="287">
  <si>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</si>
  <si>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</si>
  <si>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</si>
  <si>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</si>
  <si>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</si>
  <si>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</si>
  <si>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</si>
  <si>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</si>
  <si>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</si>
  <si>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</si>
  <si>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</si>
  <si>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</si>
  <si>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</si>
  <si>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</si>
  <si>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</si>
  <si>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</si>
  <si>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</si>
  <si>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PremiumL</t>
    <phoneticPr fontId="9"/>
  </si>
  <si>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</si>
  <si>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</si>
  <si>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</si>
  <si>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</si>
  <si>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</si>
  <si>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</si>
  <si>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</si>
  <si>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</si>
  <si>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</si>
  <si>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</si>
  <si>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PremiumW</t>
    <phoneticPr fontId="9"/>
  </si>
  <si>
    <t>PremiumN</t>
    <phoneticPr fontId="9"/>
  </si>
  <si>
    <t>Material</t>
    <phoneticPr fontId="9"/>
  </si>
  <si>
    <t>PremiumSS</t>
    <phoneticPr fontId="9"/>
  </si>
  <si>
    <t>PremiumSSS</t>
    <phoneticPr fontId="9"/>
  </si>
  <si>
    <t>PremiumL</t>
    <phoneticPr fontId="9"/>
  </si>
  <si>
    <t>-</t>
    <phoneticPr fontId="9"/>
  </si>
  <si>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</si>
  <si>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</si>
  <si>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</si>
  <si>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</si>
  <si>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</si>
  <si>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</si>
  <si>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</si>
  <si>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Drop1T</t>
    <phoneticPr fontId="9"/>
  </si>
  <si>
    <t>Drop1S</t>
    <phoneticPr fontId="9"/>
  </si>
  <si>
    <t>Drop2W</t>
    <phoneticPr fontId="9"/>
  </si>
  <si>
    <t>Drop2S</t>
    <phoneticPr fontId="9"/>
  </si>
  <si>
    <t>調整後</t>
    <rPh sb="0" eb="2">
      <t>チョウセイ</t>
    </rPh>
    <rPh sb="2" eb="3">
      <t>アト</t>
    </rPh>
    <phoneticPr fontId="10"/>
  </si>
  <si>
    <t>PremiumN</t>
  </si>
  <si>
    <t>PremiumW</t>
  </si>
  <si>
    <t>Drop2N</t>
  </si>
  <si>
    <t>Drop2W</t>
  </si>
  <si>
    <t>Drop1S</t>
  </si>
  <si>
    <t>Drop1T</t>
  </si>
  <si>
    <t>PremiumW</t>
    <phoneticPr fontId="9"/>
  </si>
  <si>
    <t>Material</t>
    <phoneticPr fontId="9"/>
  </si>
  <si>
    <t>使用せず</t>
    <rPh sb="0" eb="2">
      <t>シヨウ</t>
    </rPh>
    <phoneticPr fontId="9"/>
  </si>
  <si>
    <t>PremiumSSS</t>
    <phoneticPr fontId="9"/>
  </si>
  <si>
    <t>PremiumN</t>
    <phoneticPr fontId="9"/>
  </si>
  <si>
    <t>material_character_id</t>
  </si>
  <si>
    <t>material_count</t>
  </si>
  <si>
    <t>base_character_id</t>
    <phoneticPr fontId="9"/>
  </si>
  <si>
    <t>awake_price</t>
    <phoneticPr fontId="11"/>
  </si>
  <si>
    <t>ラベル/レアリティ</t>
    <phoneticPr fontId="9"/>
  </si>
  <si>
    <t>Drop2N</t>
    <phoneticPr fontId="9"/>
  </si>
  <si>
    <t>Drop2S</t>
    <phoneticPr fontId="9"/>
  </si>
  <si>
    <t>Drop2S</t>
    <phoneticPr fontId="9"/>
  </si>
  <si>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</si>
  <si>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</si>
  <si>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</si>
  <si>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</si>
  <si>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</si>
  <si>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</si>
  <si>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</si>
  <si>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</si>
  <si>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</si>
  <si>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</si>
  <si>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</si>
  <si>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</si>
  <si>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</si>
  <si>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</si>
  <si>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</si>
  <si>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</si>
  <si>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</si>
  <si>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</si>
  <si>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</si>
  <si>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</si>
  <si>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</si>
  <si>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</si>
  <si>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</si>
  <si>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</si>
  <si>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</si>
  <si>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</si>
  <si>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</si>
  <si>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</si>
  <si>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</si>
  <si>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</si>
  <si>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</si>
  <si>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</si>
  <si>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</si>
  <si>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</si>
  <si>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</si>
  <si>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</si>
  <si>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</si>
  <si>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</si>
  <si>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</si>
  <si>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</si>
  <si>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</si>
  <si>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</si>
  <si>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</si>
  <si>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</si>
  <si>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</si>
  <si>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</si>
  <si>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</si>
  <si>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</si>
  <si>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</si>
  <si>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</si>
  <si>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</si>
  <si>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</si>
  <si>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</si>
  <si>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</si>
  <si>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</si>
  <si>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</si>
  <si>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</si>
  <si>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</si>
  <si>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</si>
  <si>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</si>
  <si>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</si>
  <si>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</si>
  <si>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</si>
  <si>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</si>
  <si>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</si>
  <si>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</si>
  <si>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</si>
  <si>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Drop2N</t>
    <phoneticPr fontId="9"/>
  </si>
  <si>
    <t>comment</t>
    <phoneticPr fontId="10"/>
  </si>
  <si>
    <t>character_id</t>
    <phoneticPr fontId="10"/>
  </si>
  <si>
    <t>-</t>
    <phoneticPr fontId="9"/>
  </si>
  <si>
    <t>-</t>
    <phoneticPr fontId="9"/>
  </si>
  <si>
    <t>PremiumSSS</t>
    <phoneticPr fontId="9"/>
  </si>
  <si>
    <t>PremiumSS</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</si>
  <si>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</si>
  <si>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</si>
  <si>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</si>
  <si>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</si>
  <si>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</si>
  <si>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Drop2S</t>
    <phoneticPr fontId="9"/>
  </si>
  <si>
    <t>-</t>
    <phoneticPr fontId="9"/>
  </si>
  <si>
    <t>required_exp_250</t>
    <phoneticPr fontId="9"/>
  </si>
  <si>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</si>
  <si>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</si>
  <si>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</si>
  <si>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</si>
  <si>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</si>
  <si>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</si>
  <si>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</si>
  <si>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</si>
  <si>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</si>
  <si>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</si>
  <si>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</si>
  <si>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</si>
  <si>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</si>
  <si>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</si>
  <si>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</si>
  <si>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</si>
  <si>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</si>
  <si>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</si>
  <si>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</si>
  <si>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</si>
  <si>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</si>
  <si>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</si>
  <si>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</si>
  <si>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</si>
  <si>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</si>
  <si>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</si>
  <si>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</si>
  <si>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</si>
  <si>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</si>
  <si>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</si>
  <si>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</si>
  <si>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</si>
  <si>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</si>
  <si>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</si>
  <si>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</si>
  <si>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</si>
  <si>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</si>
  <si>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</si>
  <si>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</si>
  <si>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</si>
  <si>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</si>
  <si>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</si>
  <si>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</si>
  <si>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</si>
  <si>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</si>
  <si>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</si>
  <si>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</si>
  <si>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</si>
  <si>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</si>
  <si>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</si>
  <si>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</si>
  <si>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</si>
  <si>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</si>
  <si>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</si>
  <si>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</si>
  <si>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</si>
  <si>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</si>
  <si>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</si>
  <si>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</si>
  <si>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</si>
  <si>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</si>
  <si>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</si>
  <si>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</si>
  <si>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</si>
  <si>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</si>
  <si>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</si>
  <si>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</si>
  <si>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</si>
  <si>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</si>
  <si>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NULL</t>
    <phoneticPr fontId="9"/>
  </si>
  <si>
    <t>NULL</t>
    <phoneticPr fontId="9"/>
  </si>
  <si>
    <t>NULL</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</si>
  <si>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</si>
  <si>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</si>
  <si>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</si>
  <si>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</si>
  <si>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</si>
  <si>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</si>
  <si>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</si>
  <si>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</si>
  <si>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</si>
  <si>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</si>
  <si>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</si>
  <si>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</si>
  <si>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</si>
  <si>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</si>
  <si>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</si>
  <si>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</si>
  <si>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あああ</t>
    <phoneticPr fontId="22"/>
  </si>
  <si>
    <t>cskill</t>
  </si>
  <si>
    <t>いいい</t>
    <phoneticPr fontId="22"/>
  </si>
  <si>
    <t>fruits</t>
    <phoneticPr fontId="22"/>
  </si>
  <si>
    <t>old</t>
    <phoneticPr fontId="22"/>
  </si>
  <si>
    <t>スキル強化素材</t>
    <rPh sb="3" eb="7">
      <t>キョウカソザイ</t>
    </rPh>
    <phoneticPr fontId="22"/>
  </si>
  <si>
    <t>限界突破素材（回復力）</t>
    <rPh sb="0" eb="6">
      <t>ゲンカイトッパソザイ</t>
    </rPh>
    <rPh sb="7" eb="10">
      <t>カイフクリョク</t>
    </rPh>
    <phoneticPr fontId="22"/>
  </si>
  <si>
    <t>限界突破素材（攻撃力）</t>
    <rPh sb="0" eb="6">
      <t>ゲンカイトッパソザイ</t>
    </rPh>
    <rPh sb="7" eb="10">
      <t>コウゲキリョク</t>
    </rPh>
    <phoneticPr fontId="22"/>
  </si>
  <si>
    <t>ナシ</t>
    <phoneticPr fontId="22"/>
  </si>
  <si>
    <t>ナシ</t>
    <phoneticPr fontId="22"/>
  </si>
  <si>
    <t>attack</t>
    <phoneticPr fontId="9"/>
  </si>
  <si>
    <t>hp</t>
    <phoneticPr fontId="9"/>
  </si>
  <si>
    <t>heal</t>
    <phoneticPr fontId="9"/>
  </si>
  <si>
    <t>balance</t>
    <phoneticPr fontId="9"/>
  </si>
  <si>
    <t>このユニットをユニット強化の素材にするとスキルレベルが2上昇する</t>
    <rPh sb="11" eb="13">
      <t>キョウカ</t>
    </rPh>
    <rPh sb="14" eb="16">
      <t>ソザイ</t>
    </rPh>
    <rPh sb="28" eb="30">
      <t>ジョウショウ</t>
    </rPh>
    <phoneticPr fontId="22"/>
  </si>
  <si>
    <t>限界突破素材（体力）</t>
    <rPh sb="0" eb="6">
      <t>ゲンカイトッパソザイ</t>
    </rPh>
    <rPh sb="7" eb="9">
      <t>タイリョク</t>
    </rPh>
    <phoneticPr fontId="22"/>
  </si>
  <si>
    <t>このユニットをユニット強化の素材にすると攻撃力の限界突破値を+3する</t>
    <phoneticPr fontId="9"/>
  </si>
  <si>
    <t>このユニットをユニット強化の素材にすると体力の限界突破値を+3する</t>
    <rPh sb="11" eb="13">
      <t>キョウカ</t>
    </rPh>
    <rPh sb="14" eb="16">
      <t>ソザイ</t>
    </rPh>
    <rPh sb="20" eb="22">
      <t>タイリョク</t>
    </rPh>
    <phoneticPr fontId="9"/>
  </si>
  <si>
    <t>このユニットをユニット強化の素材にすると回復力の限界突破値を+3する</t>
    <rPh sb="11" eb="13">
      <t>キョウカ</t>
    </rPh>
    <rPh sb="14" eb="16">
      <t>ソザイ</t>
    </rPh>
    <rPh sb="20" eb="22">
      <t>カイフク</t>
    </rPh>
    <rPh sb="22" eb="23">
      <t>コウゲキリョク</t>
    </rPh>
    <phoneticPr fontId="9"/>
  </si>
  <si>
    <t>このユニットをユニット強化の素材にすると攻撃力の限界突破値を+10する</t>
    <phoneticPr fontId="22"/>
  </si>
  <si>
    <t>このユニットをユニット強化の素材にすると体力の限界突破値を+10する</t>
    <phoneticPr fontId="22"/>
  </si>
  <si>
    <t>このユニットをユニット強化の素材にすると回復力の限界突破値を+10する</t>
    <phoneticPr fontId="22"/>
  </si>
  <si>
    <t>このユニットをユニット強化の素材にするとスキルレベルが4上昇する</t>
    <rPh sb="11" eb="13">
      <t>キョウカ</t>
    </rPh>
    <rPh sb="14" eb="16">
      <t>ソザイ</t>
    </rPh>
    <rPh sb="28" eb="30">
      <t>ジョウショウ</t>
    </rPh>
    <phoneticPr fontId="22"/>
  </si>
  <si>
    <t>old</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</si>
  <si>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</si>
  <si>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</si>
  <si>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</si>
  <si>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</si>
  <si>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</si>
  <si>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</si>
  <si>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</si>
  <si>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</si>
  <si>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</si>
  <si>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</si>
  <si>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</si>
  <si>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</si>
  <si>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</si>
  <si>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</si>
  <si>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</si>
  <si>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</si>
  <si>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</si>
  <si>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</si>
  <si>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</si>
  <si>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</si>
  <si>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</si>
  <si>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</si>
  <si>
    <t>technical</t>
    <phoneticPr fontId="9"/>
  </si>
  <si>
    <t>限界突破素材（上限）</t>
    <phoneticPr fontId="22"/>
  </si>
  <si>
    <t>このユニットをユニット強化の素材にすると限界突破の上限が10上昇する</t>
    <phoneticPr fontId="22"/>
  </si>
  <si>
    <t>このユニットをユニット強化の素材にすると限界突破の上限が3上昇する</t>
    <phoneticPr fontId="22"/>
  </si>
  <si>
    <t>このユニットをユニット強化の素材にすると限界突破の上限が1上昇する</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</si>
</sst>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s>
  <fills count="25">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0.14999847407452621"/>
        <bgColor indexed="55"/>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6" tint="0.79998168889431442"/>
        <bgColor indexed="59"/>
      </patternFill>
    </fill>
    <fill>
      <patternFill patternType="solid">
        <fgColor theme="8" tint="0.79998168889431442"/>
        <bgColor indexed="64"/>
      </patternFill>
    </fill>
    <fill>
      <patternFill patternType="solid">
        <fgColor theme="0" tint="-0.249977111117893"/>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s>
  <cellStyleXfs count="460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6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13" borderId="4" xfId="0" applyFont="1" applyFill="1" applyBorder="1"/>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4" borderId="1" xfId="0" applyFont="1" applyFill="1" applyBorder="1" applyAlignment="1">
      <alignment vertical="center"/>
    </xf>
    <xf numFmtId="0" fontId="8" fillId="14" borderId="10" xfId="0" applyFont="1" applyFill="1" applyBorder="1" applyAlignment="1">
      <alignment vertical="center"/>
    </xf>
    <xf numFmtId="0" fontId="16" fillId="14"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4"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7" fillId="0"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9" borderId="0" xfId="0" applyFont="1" applyFill="1"/>
    <xf numFmtId="0" fontId="16" fillId="0" borderId="4" xfId="0" applyFont="1" applyFill="1" applyBorder="1" applyAlignment="1">
      <alignment vertical="center"/>
    </xf>
    <xf numFmtId="0" fontId="16" fillId="15"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4" borderId="3"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0" xfId="0" applyFont="1" applyFill="1" applyBorder="1" applyAlignment="1">
      <alignment horizontal="center" vertical="center"/>
    </xf>
    <xf numFmtId="0" fontId="16" fillId="0" borderId="5" xfId="0" applyFont="1" applyBorder="1" applyAlignment="1">
      <alignment horizontal="center" vertical="center"/>
    </xf>
    <xf numFmtId="0" fontId="8" fillId="14" borderId="21" xfId="0" applyFont="1" applyFill="1" applyBorder="1" applyAlignment="1">
      <alignment horizontal="center" vertical="center"/>
    </xf>
    <xf numFmtId="0" fontId="8" fillId="14"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6"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7" borderId="16" xfId="0" applyFont="1" applyFill="1" applyBorder="1" applyAlignment="1">
      <alignment horizontal="left" vertical="center"/>
    </xf>
    <xf numFmtId="0" fontId="19" fillId="18"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6" borderId="17" xfId="0" applyFont="1" applyFill="1" applyBorder="1" applyAlignment="1">
      <alignment horizontal="left" vertical="center"/>
    </xf>
    <xf numFmtId="0" fontId="19" fillId="17" borderId="17" xfId="0" applyFont="1" applyFill="1" applyBorder="1" applyAlignment="1">
      <alignment horizontal="left" vertical="center"/>
    </xf>
    <xf numFmtId="0" fontId="19" fillId="16" borderId="11" xfId="0" applyFont="1" applyFill="1" applyBorder="1" applyAlignment="1">
      <alignment horizontal="left" vertical="center"/>
    </xf>
    <xf numFmtId="0" fontId="19" fillId="16" borderId="12" xfId="0" applyFont="1" applyFill="1" applyBorder="1" applyAlignment="1">
      <alignment horizontal="left" vertical="center"/>
    </xf>
    <xf numFmtId="0" fontId="8" fillId="20" borderId="1" xfId="0" applyFont="1" applyFill="1" applyBorder="1" applyAlignment="1">
      <alignment horizontal="center" vertical="center"/>
    </xf>
    <xf numFmtId="0" fontId="8" fillId="0" borderId="10" xfId="0" applyFont="1" applyFill="1" applyBorder="1" applyAlignment="1">
      <alignment vertical="center"/>
    </xf>
    <xf numFmtId="0" fontId="23" fillId="21" borderId="4" xfId="0" applyFont="1" applyFill="1" applyBorder="1"/>
    <xf numFmtId="0" fontId="0" fillId="21"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12" fillId="22" borderId="4" xfId="0" applyFont="1" applyFill="1" applyBorder="1" applyAlignment="1">
      <alignment horizontal="center"/>
    </xf>
    <xf numFmtId="0" fontId="0" fillId="0" borderId="4" xfId="0" applyFont="1" applyBorder="1"/>
    <xf numFmtId="0" fontId="0" fillId="23"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20"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4" borderId="4" xfId="0" applyFill="1" applyBorder="1"/>
    <xf numFmtId="0" fontId="0" fillId="24" borderId="0" xfId="0" applyFill="1"/>
    <xf numFmtId="0" fontId="16" fillId="0" borderId="8" xfId="0" applyFont="1" applyFill="1" applyBorder="1" applyAlignment="1">
      <alignment horizontal="right" vertical="center"/>
    </xf>
    <xf numFmtId="0" fontId="16" fillId="0" borderId="0" xfId="0" applyFont="1" applyFill="1" applyAlignment="1">
      <alignment horizontal="left" vertical="center"/>
    </xf>
    <xf numFmtId="0" fontId="16" fillId="0" borderId="0" xfId="0" applyFont="1" applyFill="1" applyAlignment="1">
      <alignment horizontal="right" vertical="center"/>
    </xf>
    <xf numFmtId="0" fontId="26" fillId="0" borderId="4" xfId="0" applyFont="1" applyFill="1" applyBorder="1" applyAlignment="1">
      <alignment horizontal="right" vertical="center" wrapText="1"/>
    </xf>
    <xf numFmtId="0" fontId="26" fillId="0" borderId="4" xfId="0" applyFont="1" applyFill="1" applyBorder="1" applyAlignment="1">
      <alignment horizontal="left" vertical="center" wrapText="1"/>
    </xf>
    <xf numFmtId="0" fontId="13" fillId="0" borderId="4" xfId="0" applyFont="1" applyFill="1" applyBorder="1" applyAlignment="1">
      <alignment horizontal="right" vertical="center" wrapText="1"/>
    </xf>
    <xf numFmtId="0" fontId="16" fillId="15" borderId="1" xfId="0" applyFont="1" applyFill="1" applyBorder="1" applyAlignment="1">
      <alignment horizontal="left" vertical="center"/>
    </xf>
    <xf numFmtId="0" fontId="25" fillId="0" borderId="4" xfId="0" applyFont="1" applyFill="1" applyBorder="1" applyAlignment="1">
      <alignment vertical="center"/>
    </xf>
    <xf numFmtId="0" fontId="14" fillId="0" borderId="4" xfId="0" applyFont="1" applyBorder="1" applyAlignment="1">
      <alignment vertical="center"/>
    </xf>
    <xf numFmtId="0" fontId="14" fillId="0" borderId="7" xfId="0" applyFont="1" applyBorder="1" applyAlignment="1">
      <alignment vertical="center"/>
    </xf>
    <xf numFmtId="0" fontId="16" fillId="0" borderId="4" xfId="0" applyFont="1" applyFill="1" applyBorder="1" applyAlignment="1">
      <alignment horizontal="left" vertical="center"/>
    </xf>
    <xf numFmtId="0" fontId="16" fillId="15" borderId="4" xfId="0" applyFont="1" applyFill="1" applyBorder="1" applyAlignment="1">
      <alignment horizontal="right" vertical="center"/>
    </xf>
    <xf numFmtId="0" fontId="13" fillId="0" borderId="4" xfId="0" applyFont="1" applyBorder="1"/>
    <xf numFmtId="0" fontId="13" fillId="0" borderId="4" xfId="0" applyFont="1" applyBorder="1" applyAlignment="1">
      <alignment horizontal="right"/>
    </xf>
    <xf numFmtId="0" fontId="13" fillId="20" borderId="4" xfId="0" applyFont="1" applyFill="1" applyBorder="1" applyAlignment="1">
      <alignment horizontal="right" vertical="center"/>
    </xf>
  </cellXfs>
  <cellStyles count="460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赤字強調" xfId="4"/>
    <cellStyle name="青字強調" xfId="3"/>
  </cellStyles>
  <dxfs count="30">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externalLink" Target="externalLinks/externalLink2.xml"/><Relationship Id="rId16" Type="http://schemas.openxmlformats.org/officeDocument/2006/relationships/externalLink" Target="externalLinks/externalLink3.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Skill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ユニットスキル仕様"/>
      <sheetName val="unit_skills"/>
      <sheetName val="unit_skill_up_patterns"/>
      <sheetName val="クラッシュスキル仕様"/>
      <sheetName val="crash_skills"/>
      <sheetName val="スキルラベル"/>
    </sheetNames>
    <sheetDataSet>
      <sheetData sheetId="0"/>
      <sheetData sheetId="1"/>
      <sheetData sheetId="2"/>
      <sheetData sheetId="3"/>
      <sheetData sheetId="4"/>
      <sheetData sheetId="5">
        <row r="1">
          <cell r="A1" t="str">
            <v>crash_skill_id</v>
          </cell>
          <cell r="B1" t="str">
            <v>language</v>
          </cell>
          <cell r="C1" t="str">
            <v>name</v>
          </cell>
          <cell r="D1" t="str">
            <v>comment</v>
          </cell>
          <cell r="E1" t="str">
            <v>文字数チェック</v>
          </cell>
          <cell r="F1" t="str">
            <v>割り当てユニット</v>
          </cell>
          <cell r="G1" t="str">
            <v>rare</v>
          </cell>
          <cell r="H1" t="str">
            <v>effect_param</v>
          </cell>
          <cell r="I1" t="str">
            <v>valid_flg</v>
          </cell>
          <cell r="J1" t="str">
            <v>分類</v>
          </cell>
          <cell r="K1" t="str">
            <v>等級</v>
          </cell>
        </row>
        <row r="2">
          <cell r="A2">
            <v>0</v>
          </cell>
        </row>
        <row r="3">
          <cell r="A3">
            <v>1</v>
          </cell>
        </row>
        <row r="4">
          <cell r="A4">
            <v>100</v>
          </cell>
        </row>
        <row r="5">
          <cell r="A5">
            <v>370</v>
          </cell>
        </row>
        <row r="6">
          <cell r="A6">
            <v>371</v>
          </cell>
        </row>
        <row r="7">
          <cell r="A7">
            <v>372</v>
          </cell>
        </row>
        <row r="8">
          <cell r="A8">
            <v>373</v>
          </cell>
        </row>
        <row r="9">
          <cell r="A9">
            <v>374</v>
          </cell>
        </row>
        <row r="10">
          <cell r="A10">
            <v>375</v>
          </cell>
        </row>
        <row r="11">
          <cell r="A11">
            <v>412</v>
          </cell>
        </row>
        <row r="12">
          <cell r="A12">
            <v>413</v>
          </cell>
        </row>
        <row r="13">
          <cell r="A13">
            <v>2016</v>
          </cell>
        </row>
        <row r="14">
          <cell r="A14">
            <v>111101</v>
          </cell>
        </row>
        <row r="15">
          <cell r="A15">
            <v>111102</v>
          </cell>
        </row>
        <row r="16">
          <cell r="A16">
            <v>111103</v>
          </cell>
        </row>
        <row r="17">
          <cell r="A17">
            <v>111104</v>
          </cell>
        </row>
        <row r="18">
          <cell r="A18">
            <v>111105</v>
          </cell>
        </row>
        <row r="19">
          <cell r="A19">
            <v>111106</v>
          </cell>
        </row>
        <row r="20">
          <cell r="A20">
            <v>111107</v>
          </cell>
        </row>
        <row r="21">
          <cell r="A21">
            <v>111108</v>
          </cell>
        </row>
        <row r="22">
          <cell r="A22">
            <v>111109</v>
          </cell>
        </row>
        <row r="23">
          <cell r="A23">
            <v>111110</v>
          </cell>
        </row>
        <row r="24">
          <cell r="A24">
            <v>111111</v>
          </cell>
        </row>
        <row r="25">
          <cell r="A25">
            <v>111112</v>
          </cell>
        </row>
        <row r="26">
          <cell r="A26">
            <v>111113</v>
          </cell>
        </row>
        <row r="27">
          <cell r="A27">
            <v>111114</v>
          </cell>
        </row>
        <row r="28">
          <cell r="A28">
            <v>111115</v>
          </cell>
        </row>
        <row r="29">
          <cell r="A29">
            <v>111116</v>
          </cell>
        </row>
        <row r="30">
          <cell r="A30">
            <v>112001</v>
          </cell>
        </row>
        <row r="31">
          <cell r="A31">
            <v>112002</v>
          </cell>
        </row>
        <row r="32">
          <cell r="A32">
            <v>112003</v>
          </cell>
        </row>
        <row r="33">
          <cell r="A33">
            <v>112004</v>
          </cell>
        </row>
        <row r="34">
          <cell r="A34">
            <v>112005</v>
          </cell>
        </row>
        <row r="35">
          <cell r="A35">
            <v>112006</v>
          </cell>
        </row>
        <row r="36">
          <cell r="A36">
            <v>112007</v>
          </cell>
        </row>
        <row r="37">
          <cell r="A37">
            <v>112008</v>
          </cell>
        </row>
        <row r="38">
          <cell r="A38">
            <v>112009</v>
          </cell>
        </row>
        <row r="39">
          <cell r="A39">
            <v>112010</v>
          </cell>
        </row>
        <row r="40">
          <cell r="A40">
            <v>112011</v>
          </cell>
        </row>
        <row r="41">
          <cell r="A41">
            <v>112012</v>
          </cell>
        </row>
        <row r="42">
          <cell r="A42">
            <v>112013</v>
          </cell>
        </row>
        <row r="43">
          <cell r="A43">
            <v>112014</v>
          </cell>
        </row>
        <row r="44">
          <cell r="A44">
            <v>113001</v>
          </cell>
        </row>
        <row r="45">
          <cell r="A45">
            <v>113002</v>
          </cell>
        </row>
        <row r="46">
          <cell r="A46">
            <v>113003</v>
          </cell>
        </row>
        <row r="47">
          <cell r="A47">
            <v>113004</v>
          </cell>
        </row>
        <row r="48">
          <cell r="A48">
            <v>113005</v>
          </cell>
        </row>
        <row r="49">
          <cell r="A49">
            <v>113006</v>
          </cell>
        </row>
        <row r="50">
          <cell r="A50">
            <v>113007</v>
          </cell>
        </row>
        <row r="51">
          <cell r="A51">
            <v>113008</v>
          </cell>
        </row>
        <row r="52">
          <cell r="A52">
            <v>113009</v>
          </cell>
        </row>
        <row r="53">
          <cell r="A53">
            <v>113010</v>
          </cell>
        </row>
        <row r="54">
          <cell r="A54">
            <v>113011</v>
          </cell>
        </row>
        <row r="55">
          <cell r="A55">
            <v>114001</v>
          </cell>
        </row>
        <row r="56">
          <cell r="A56">
            <v>114002</v>
          </cell>
        </row>
        <row r="57">
          <cell r="A57">
            <v>114003</v>
          </cell>
        </row>
        <row r="58">
          <cell r="A58">
            <v>114004</v>
          </cell>
        </row>
        <row r="59">
          <cell r="A59">
            <v>114005</v>
          </cell>
        </row>
        <row r="60">
          <cell r="A60">
            <v>114006</v>
          </cell>
        </row>
        <row r="61">
          <cell r="A61">
            <v>114007</v>
          </cell>
        </row>
        <row r="62">
          <cell r="A62">
            <v>114008</v>
          </cell>
        </row>
        <row r="63">
          <cell r="A63">
            <v>114009</v>
          </cell>
        </row>
        <row r="64">
          <cell r="A64">
            <v>114010</v>
          </cell>
        </row>
        <row r="65">
          <cell r="A65">
            <v>114011</v>
          </cell>
        </row>
        <row r="66">
          <cell r="A66">
            <v>114012</v>
          </cell>
        </row>
        <row r="67">
          <cell r="A67">
            <v>114013</v>
          </cell>
        </row>
        <row r="68">
          <cell r="A68">
            <v>114014</v>
          </cell>
        </row>
        <row r="69">
          <cell r="A69">
            <v>114015</v>
          </cell>
        </row>
        <row r="70">
          <cell r="A70">
            <v>114016</v>
          </cell>
        </row>
        <row r="71">
          <cell r="A71">
            <v>114017</v>
          </cell>
        </row>
        <row r="72">
          <cell r="A72">
            <v>114018</v>
          </cell>
        </row>
        <row r="73">
          <cell r="A73">
            <v>114019</v>
          </cell>
        </row>
        <row r="74">
          <cell r="A74">
            <v>121201</v>
          </cell>
        </row>
        <row r="75">
          <cell r="A75">
            <v>121202</v>
          </cell>
        </row>
        <row r="76">
          <cell r="A76">
            <v>121203</v>
          </cell>
        </row>
        <row r="77">
          <cell r="A77">
            <v>121204</v>
          </cell>
        </row>
        <row r="78">
          <cell r="A78">
            <v>121205</v>
          </cell>
        </row>
        <row r="79">
          <cell r="A79">
            <v>121206</v>
          </cell>
        </row>
        <row r="80">
          <cell r="A80">
            <v>121207</v>
          </cell>
        </row>
        <row r="81">
          <cell r="A81">
            <v>121208</v>
          </cell>
        </row>
        <row r="82">
          <cell r="A82">
            <v>121209</v>
          </cell>
        </row>
        <row r="83">
          <cell r="A83">
            <v>121210</v>
          </cell>
        </row>
        <row r="84">
          <cell r="A84">
            <v>121211</v>
          </cell>
        </row>
        <row r="85">
          <cell r="A85">
            <v>121212</v>
          </cell>
        </row>
        <row r="86">
          <cell r="A86">
            <v>121213</v>
          </cell>
        </row>
        <row r="87">
          <cell r="A87">
            <v>122001</v>
          </cell>
        </row>
        <row r="88">
          <cell r="A88">
            <v>122002</v>
          </cell>
        </row>
        <row r="89">
          <cell r="A89">
            <v>122003</v>
          </cell>
        </row>
        <row r="90">
          <cell r="A90">
            <v>122004</v>
          </cell>
        </row>
        <row r="91">
          <cell r="A91">
            <v>122005</v>
          </cell>
        </row>
        <row r="92">
          <cell r="A92">
            <v>122006</v>
          </cell>
        </row>
        <row r="93">
          <cell r="A93">
            <v>122007</v>
          </cell>
        </row>
        <row r="94">
          <cell r="A94">
            <v>122008</v>
          </cell>
        </row>
        <row r="95">
          <cell r="A95">
            <v>122009</v>
          </cell>
        </row>
        <row r="96">
          <cell r="A96">
            <v>122010</v>
          </cell>
        </row>
        <row r="97">
          <cell r="A97">
            <v>122011</v>
          </cell>
        </row>
        <row r="98">
          <cell r="A98">
            <v>122012</v>
          </cell>
        </row>
        <row r="99">
          <cell r="A99">
            <v>122013</v>
          </cell>
        </row>
        <row r="100">
          <cell r="A100">
            <v>123001</v>
          </cell>
        </row>
        <row r="101">
          <cell r="A101">
            <v>123002</v>
          </cell>
        </row>
        <row r="102">
          <cell r="A102">
            <v>123003</v>
          </cell>
        </row>
        <row r="103">
          <cell r="A103">
            <v>123004</v>
          </cell>
        </row>
        <row r="104">
          <cell r="A104">
            <v>123005</v>
          </cell>
        </row>
        <row r="105">
          <cell r="A105">
            <v>123006</v>
          </cell>
        </row>
        <row r="106">
          <cell r="A106">
            <v>123007</v>
          </cell>
        </row>
        <row r="107">
          <cell r="A107">
            <v>123008</v>
          </cell>
        </row>
        <row r="108">
          <cell r="A108">
            <v>123009</v>
          </cell>
        </row>
        <row r="109">
          <cell r="A109">
            <v>123010</v>
          </cell>
        </row>
        <row r="110">
          <cell r="A110">
            <v>123011</v>
          </cell>
        </row>
        <row r="111">
          <cell r="A111">
            <v>123012</v>
          </cell>
        </row>
        <row r="112">
          <cell r="A112">
            <v>123013</v>
          </cell>
        </row>
        <row r="113">
          <cell r="A113">
            <v>123014</v>
          </cell>
        </row>
        <row r="114">
          <cell r="A114">
            <v>123015</v>
          </cell>
        </row>
        <row r="115">
          <cell r="A115">
            <v>123016</v>
          </cell>
        </row>
        <row r="116">
          <cell r="A116">
            <v>124001</v>
          </cell>
        </row>
        <row r="117">
          <cell r="A117">
            <v>124002</v>
          </cell>
        </row>
        <row r="118">
          <cell r="A118">
            <v>124003</v>
          </cell>
        </row>
        <row r="119">
          <cell r="A119">
            <v>124004</v>
          </cell>
        </row>
        <row r="120">
          <cell r="A120">
            <v>124005</v>
          </cell>
        </row>
        <row r="121">
          <cell r="A121">
            <v>124006</v>
          </cell>
        </row>
        <row r="122">
          <cell r="A122">
            <v>124007</v>
          </cell>
        </row>
        <row r="123">
          <cell r="A123">
            <v>124008</v>
          </cell>
        </row>
        <row r="124">
          <cell r="A124">
            <v>124009</v>
          </cell>
        </row>
        <row r="125">
          <cell r="A125">
            <v>124010</v>
          </cell>
        </row>
        <row r="126">
          <cell r="A126">
            <v>124011</v>
          </cell>
        </row>
        <row r="127">
          <cell r="A127">
            <v>124012</v>
          </cell>
        </row>
        <row r="128">
          <cell r="A128">
            <v>131301</v>
          </cell>
        </row>
        <row r="129">
          <cell r="A129">
            <v>131302</v>
          </cell>
        </row>
        <row r="130">
          <cell r="A130">
            <v>131303</v>
          </cell>
        </row>
        <row r="131">
          <cell r="A131">
            <v>131304</v>
          </cell>
        </row>
        <row r="132">
          <cell r="A132">
            <v>131305</v>
          </cell>
        </row>
        <row r="133">
          <cell r="A133">
            <v>131306</v>
          </cell>
        </row>
        <row r="134">
          <cell r="A134">
            <v>131307</v>
          </cell>
        </row>
        <row r="135">
          <cell r="A135">
            <v>131308</v>
          </cell>
        </row>
        <row r="136">
          <cell r="A136">
            <v>131309</v>
          </cell>
        </row>
        <row r="137">
          <cell r="A137">
            <v>131310</v>
          </cell>
        </row>
        <row r="138">
          <cell r="A138">
            <v>132001</v>
          </cell>
        </row>
        <row r="139">
          <cell r="A139">
            <v>132002</v>
          </cell>
        </row>
        <row r="140">
          <cell r="A140">
            <v>132003</v>
          </cell>
        </row>
        <row r="141">
          <cell r="A141">
            <v>132004</v>
          </cell>
        </row>
        <row r="142">
          <cell r="A142">
            <v>132005</v>
          </cell>
        </row>
        <row r="143">
          <cell r="A143">
            <v>132006</v>
          </cell>
        </row>
        <row r="144">
          <cell r="A144">
            <v>132007</v>
          </cell>
        </row>
        <row r="145">
          <cell r="A145">
            <v>132008</v>
          </cell>
        </row>
        <row r="146">
          <cell r="A146">
            <v>132009</v>
          </cell>
        </row>
        <row r="147">
          <cell r="A147">
            <v>133001</v>
          </cell>
        </row>
        <row r="148">
          <cell r="A148">
            <v>133002</v>
          </cell>
        </row>
        <row r="149">
          <cell r="A149">
            <v>133003</v>
          </cell>
        </row>
        <row r="150">
          <cell r="A150">
            <v>133004</v>
          </cell>
        </row>
        <row r="151">
          <cell r="A151">
            <v>133005</v>
          </cell>
        </row>
        <row r="152">
          <cell r="A152">
            <v>133006</v>
          </cell>
        </row>
        <row r="153">
          <cell r="A153">
            <v>133007</v>
          </cell>
        </row>
        <row r="154">
          <cell r="A154">
            <v>133008</v>
          </cell>
        </row>
        <row r="155">
          <cell r="A155">
            <v>134001</v>
          </cell>
        </row>
        <row r="156">
          <cell r="A156">
            <v>134002</v>
          </cell>
        </row>
        <row r="157">
          <cell r="A157">
            <v>134003</v>
          </cell>
        </row>
        <row r="158">
          <cell r="A158">
            <v>134004</v>
          </cell>
        </row>
        <row r="159">
          <cell r="A159">
            <v>134005</v>
          </cell>
        </row>
        <row r="160">
          <cell r="A160">
            <v>134006</v>
          </cell>
        </row>
        <row r="161">
          <cell r="A161">
            <v>134007</v>
          </cell>
        </row>
        <row r="162">
          <cell r="A162">
            <v>134008</v>
          </cell>
        </row>
        <row r="163">
          <cell r="A163">
            <v>141401</v>
          </cell>
        </row>
        <row r="164">
          <cell r="A164">
            <v>141402</v>
          </cell>
        </row>
        <row r="165">
          <cell r="A165">
            <v>141403</v>
          </cell>
        </row>
        <row r="166">
          <cell r="A166">
            <v>141404</v>
          </cell>
        </row>
        <row r="167">
          <cell r="A167">
            <v>141405</v>
          </cell>
        </row>
        <row r="168">
          <cell r="A168">
            <v>141406</v>
          </cell>
        </row>
        <row r="169">
          <cell r="A169">
            <v>141407</v>
          </cell>
        </row>
        <row r="170">
          <cell r="A170">
            <v>141408</v>
          </cell>
        </row>
        <row r="171">
          <cell r="A171">
            <v>142001</v>
          </cell>
        </row>
        <row r="172">
          <cell r="A172">
            <v>142002</v>
          </cell>
        </row>
        <row r="173">
          <cell r="A173">
            <v>142003</v>
          </cell>
        </row>
        <row r="174">
          <cell r="A174">
            <v>142004</v>
          </cell>
        </row>
        <row r="175">
          <cell r="A175">
            <v>142005</v>
          </cell>
        </row>
        <row r="176">
          <cell r="A176">
            <v>142006</v>
          </cell>
        </row>
        <row r="177">
          <cell r="A177">
            <v>142007</v>
          </cell>
        </row>
        <row r="178">
          <cell r="A178">
            <v>142008</v>
          </cell>
        </row>
        <row r="179">
          <cell r="A179">
            <v>142009</v>
          </cell>
        </row>
        <row r="180">
          <cell r="A180">
            <v>143001</v>
          </cell>
        </row>
        <row r="181">
          <cell r="A181">
            <v>143002</v>
          </cell>
        </row>
        <row r="182">
          <cell r="A182">
            <v>143003</v>
          </cell>
        </row>
        <row r="183">
          <cell r="A183">
            <v>143004</v>
          </cell>
        </row>
        <row r="184">
          <cell r="A184">
            <v>143005</v>
          </cell>
        </row>
        <row r="185">
          <cell r="A185">
            <v>143006</v>
          </cell>
        </row>
        <row r="186">
          <cell r="A186">
            <v>143007</v>
          </cell>
        </row>
        <row r="187">
          <cell r="A187">
            <v>143008</v>
          </cell>
        </row>
        <row r="188">
          <cell r="A188">
            <v>144001</v>
          </cell>
        </row>
        <row r="189">
          <cell r="A189">
            <v>144002</v>
          </cell>
        </row>
        <row r="190">
          <cell r="A190">
            <v>144003</v>
          </cell>
        </row>
        <row r="191">
          <cell r="A191">
            <v>144004</v>
          </cell>
        </row>
        <row r="192">
          <cell r="A192">
            <v>144005</v>
          </cell>
        </row>
        <row r="193">
          <cell r="A193">
            <v>144006</v>
          </cell>
        </row>
        <row r="194">
          <cell r="A194">
            <v>144007</v>
          </cell>
        </row>
        <row r="195">
          <cell r="A195">
            <v>144008</v>
          </cell>
        </row>
        <row r="196">
          <cell r="A196">
            <v>144009</v>
          </cell>
        </row>
        <row r="197">
          <cell r="A197">
            <v>151001</v>
          </cell>
        </row>
        <row r="198">
          <cell r="A198">
            <v>151002</v>
          </cell>
        </row>
        <row r="199">
          <cell r="A199">
            <v>151003</v>
          </cell>
        </row>
        <row r="200">
          <cell r="A200">
            <v>151004</v>
          </cell>
        </row>
        <row r="201">
          <cell r="A201">
            <v>151005</v>
          </cell>
        </row>
        <row r="202">
          <cell r="A202">
            <v>151006</v>
          </cell>
        </row>
        <row r="203">
          <cell r="A203">
            <v>151007</v>
          </cell>
        </row>
        <row r="204">
          <cell r="A204">
            <v>151008</v>
          </cell>
        </row>
        <row r="205">
          <cell r="A205">
            <v>151009</v>
          </cell>
        </row>
        <row r="206">
          <cell r="A206">
            <v>151010</v>
          </cell>
        </row>
        <row r="207">
          <cell r="A207">
            <v>152001</v>
          </cell>
        </row>
        <row r="208">
          <cell r="A208">
            <v>152002</v>
          </cell>
        </row>
        <row r="209">
          <cell r="A209">
            <v>152003</v>
          </cell>
        </row>
        <row r="210">
          <cell r="A210">
            <v>152004</v>
          </cell>
        </row>
        <row r="211">
          <cell r="A211">
            <v>152005</v>
          </cell>
        </row>
        <row r="212">
          <cell r="A212">
            <v>152006</v>
          </cell>
        </row>
        <row r="213">
          <cell r="A213">
            <v>152007</v>
          </cell>
        </row>
        <row r="214">
          <cell r="A214">
            <v>152008</v>
          </cell>
        </row>
        <row r="215">
          <cell r="A215">
            <v>152009</v>
          </cell>
        </row>
        <row r="216">
          <cell r="A216">
            <v>153001</v>
          </cell>
        </row>
        <row r="217">
          <cell r="A217">
            <v>153002</v>
          </cell>
        </row>
        <row r="218">
          <cell r="A218">
            <v>153003</v>
          </cell>
        </row>
        <row r="219">
          <cell r="A219">
            <v>153004</v>
          </cell>
        </row>
        <row r="220">
          <cell r="A220">
            <v>153005</v>
          </cell>
        </row>
        <row r="221">
          <cell r="A221">
            <v>153006</v>
          </cell>
        </row>
        <row r="222">
          <cell r="A222">
            <v>153007</v>
          </cell>
        </row>
        <row r="223">
          <cell r="A223">
            <v>154001</v>
          </cell>
        </row>
        <row r="224">
          <cell r="A224">
            <v>154002</v>
          </cell>
        </row>
        <row r="225">
          <cell r="A225">
            <v>154003</v>
          </cell>
        </row>
        <row r="226">
          <cell r="A226">
            <v>154004</v>
          </cell>
        </row>
        <row r="227">
          <cell r="A227">
            <v>154005</v>
          </cell>
        </row>
        <row r="228">
          <cell r="A228">
            <v>154006</v>
          </cell>
        </row>
        <row r="229">
          <cell r="A229">
            <v>154007</v>
          </cell>
        </row>
        <row r="230">
          <cell r="A230">
            <v>161001</v>
          </cell>
        </row>
        <row r="231">
          <cell r="A231">
            <v>161002</v>
          </cell>
        </row>
        <row r="232">
          <cell r="A232">
            <v>161003</v>
          </cell>
        </row>
        <row r="233">
          <cell r="A233">
            <v>161004</v>
          </cell>
        </row>
        <row r="234">
          <cell r="A234">
            <v>161005</v>
          </cell>
        </row>
        <row r="235">
          <cell r="A235">
            <v>161006</v>
          </cell>
        </row>
        <row r="236">
          <cell r="A236">
            <v>161007</v>
          </cell>
        </row>
        <row r="237">
          <cell r="A237">
            <v>162001</v>
          </cell>
        </row>
        <row r="238">
          <cell r="A238">
            <v>162002</v>
          </cell>
        </row>
        <row r="239">
          <cell r="A239">
            <v>162003</v>
          </cell>
        </row>
        <row r="240">
          <cell r="A240">
            <v>162004</v>
          </cell>
        </row>
        <row r="241">
          <cell r="A241">
            <v>162005</v>
          </cell>
        </row>
        <row r="242">
          <cell r="A242">
            <v>162006</v>
          </cell>
        </row>
        <row r="243">
          <cell r="A243">
            <v>162007</v>
          </cell>
        </row>
        <row r="244">
          <cell r="A244">
            <v>163001</v>
          </cell>
        </row>
        <row r="245">
          <cell r="A245">
            <v>163002</v>
          </cell>
        </row>
        <row r="246">
          <cell r="A246">
            <v>163003</v>
          </cell>
        </row>
        <row r="247">
          <cell r="A247">
            <v>163004</v>
          </cell>
        </row>
        <row r="248">
          <cell r="A248">
            <v>163005</v>
          </cell>
        </row>
        <row r="249">
          <cell r="A249">
            <v>163006</v>
          </cell>
        </row>
        <row r="250">
          <cell r="A250">
            <v>163007</v>
          </cell>
        </row>
        <row r="251">
          <cell r="A251">
            <v>163008</v>
          </cell>
        </row>
        <row r="252">
          <cell r="A252">
            <v>164001</v>
          </cell>
        </row>
        <row r="253">
          <cell r="A253">
            <v>164002</v>
          </cell>
        </row>
        <row r="254">
          <cell r="A254">
            <v>164003</v>
          </cell>
        </row>
        <row r="255">
          <cell r="A255">
            <v>164004</v>
          </cell>
        </row>
        <row r="256">
          <cell r="A256">
            <v>164005</v>
          </cell>
        </row>
        <row r="257">
          <cell r="A257">
            <v>164006</v>
          </cell>
        </row>
        <row r="258">
          <cell r="A258">
            <v>164007</v>
          </cell>
        </row>
        <row r="259">
          <cell r="A259">
            <v>164008</v>
          </cell>
        </row>
        <row r="260">
          <cell r="A260">
            <v>171101</v>
          </cell>
        </row>
        <row r="261">
          <cell r="A261">
            <v>171102</v>
          </cell>
        </row>
        <row r="262">
          <cell r="A262">
            <v>171103</v>
          </cell>
        </row>
        <row r="263">
          <cell r="A263">
            <v>171104</v>
          </cell>
        </row>
        <row r="264">
          <cell r="A264">
            <v>171105</v>
          </cell>
        </row>
        <row r="265">
          <cell r="A265">
            <v>171106</v>
          </cell>
        </row>
        <row r="266">
          <cell r="A266">
            <v>171107</v>
          </cell>
        </row>
        <row r="267">
          <cell r="A267">
            <v>171108</v>
          </cell>
        </row>
        <row r="268">
          <cell r="A268">
            <v>171109</v>
          </cell>
        </row>
        <row r="269">
          <cell r="A269">
            <v>171110</v>
          </cell>
        </row>
        <row r="270">
          <cell r="A270">
            <v>171111</v>
          </cell>
        </row>
        <row r="271">
          <cell r="A271">
            <v>171201</v>
          </cell>
        </row>
        <row r="272">
          <cell r="A272">
            <v>171202</v>
          </cell>
        </row>
        <row r="273">
          <cell r="A273">
            <v>171203</v>
          </cell>
        </row>
        <row r="274">
          <cell r="A274">
            <v>171204</v>
          </cell>
        </row>
        <row r="275">
          <cell r="A275">
            <v>171205</v>
          </cell>
        </row>
        <row r="276">
          <cell r="A276">
            <v>171206</v>
          </cell>
        </row>
        <row r="277">
          <cell r="A277">
            <v>171207</v>
          </cell>
        </row>
        <row r="278">
          <cell r="A278">
            <v>171208</v>
          </cell>
        </row>
        <row r="279">
          <cell r="A279">
            <v>171209</v>
          </cell>
        </row>
        <row r="280">
          <cell r="A280">
            <v>171210</v>
          </cell>
        </row>
        <row r="281">
          <cell r="A281">
            <v>171301</v>
          </cell>
        </row>
        <row r="282">
          <cell r="A282">
            <v>171302</v>
          </cell>
        </row>
        <row r="283">
          <cell r="A283">
            <v>171303</v>
          </cell>
        </row>
        <row r="284">
          <cell r="A284">
            <v>171304</v>
          </cell>
        </row>
        <row r="285">
          <cell r="A285">
            <v>171305</v>
          </cell>
        </row>
        <row r="286">
          <cell r="A286">
            <v>171306</v>
          </cell>
        </row>
        <row r="287">
          <cell r="A287">
            <v>171401</v>
          </cell>
        </row>
        <row r="288">
          <cell r="A288">
            <v>171402</v>
          </cell>
        </row>
        <row r="289">
          <cell r="A289">
            <v>171403</v>
          </cell>
        </row>
        <row r="290">
          <cell r="A290">
            <v>171404</v>
          </cell>
        </row>
        <row r="291">
          <cell r="A291">
            <v>171405</v>
          </cell>
        </row>
        <row r="292">
          <cell r="A292">
            <v>171406</v>
          </cell>
        </row>
        <row r="293">
          <cell r="A293">
            <v>171501</v>
          </cell>
        </row>
        <row r="294">
          <cell r="A294">
            <v>171502</v>
          </cell>
        </row>
        <row r="295">
          <cell r="A295">
            <v>171503</v>
          </cell>
        </row>
        <row r="296">
          <cell r="A296">
            <v>171504</v>
          </cell>
        </row>
        <row r="297">
          <cell r="A297">
            <v>171505</v>
          </cell>
        </row>
        <row r="298">
          <cell r="A298">
            <v>171506</v>
          </cell>
        </row>
        <row r="299">
          <cell r="A299">
            <v>171507</v>
          </cell>
        </row>
        <row r="300">
          <cell r="A300">
            <v>171508</v>
          </cell>
        </row>
        <row r="301">
          <cell r="A301">
            <v>171901</v>
          </cell>
        </row>
        <row r="302">
          <cell r="A302">
            <v>171902</v>
          </cell>
        </row>
        <row r="303">
          <cell r="A303">
            <v>171903</v>
          </cell>
        </row>
        <row r="304">
          <cell r="A304">
            <v>171904</v>
          </cell>
        </row>
        <row r="305">
          <cell r="A305">
            <v>171905</v>
          </cell>
        </row>
        <row r="306">
          <cell r="A306">
            <v>171906</v>
          </cell>
        </row>
        <row r="307">
          <cell r="A307">
            <v>172101</v>
          </cell>
        </row>
        <row r="308">
          <cell r="A308">
            <v>172102</v>
          </cell>
        </row>
        <row r="309">
          <cell r="A309">
            <v>172103</v>
          </cell>
        </row>
        <row r="310">
          <cell r="A310">
            <v>172104</v>
          </cell>
        </row>
        <row r="311">
          <cell r="A311">
            <v>172105</v>
          </cell>
        </row>
        <row r="312">
          <cell r="A312">
            <v>172106</v>
          </cell>
        </row>
        <row r="313">
          <cell r="A313">
            <v>172201</v>
          </cell>
        </row>
        <row r="314">
          <cell r="A314">
            <v>172202</v>
          </cell>
        </row>
        <row r="315">
          <cell r="A315">
            <v>172203</v>
          </cell>
        </row>
        <row r="316">
          <cell r="A316">
            <v>172204</v>
          </cell>
        </row>
        <row r="317">
          <cell r="A317">
            <v>172205</v>
          </cell>
        </row>
        <row r="318">
          <cell r="A318">
            <v>172206</v>
          </cell>
        </row>
        <row r="319">
          <cell r="A319">
            <v>172301</v>
          </cell>
        </row>
        <row r="320">
          <cell r="A320">
            <v>172302</v>
          </cell>
        </row>
        <row r="321">
          <cell r="A321">
            <v>172303</v>
          </cell>
        </row>
        <row r="322">
          <cell r="A322">
            <v>172304</v>
          </cell>
        </row>
        <row r="323">
          <cell r="A323">
            <v>172305</v>
          </cell>
        </row>
        <row r="324">
          <cell r="A324">
            <v>172306</v>
          </cell>
        </row>
        <row r="325">
          <cell r="A325">
            <v>172401</v>
          </cell>
        </row>
        <row r="326">
          <cell r="A326">
            <v>172402</v>
          </cell>
        </row>
        <row r="327">
          <cell r="A327">
            <v>172403</v>
          </cell>
        </row>
        <row r="328">
          <cell r="A328">
            <v>172404</v>
          </cell>
        </row>
        <row r="329">
          <cell r="A329">
            <v>172405</v>
          </cell>
        </row>
        <row r="330">
          <cell r="A330">
            <v>172406</v>
          </cell>
        </row>
        <row r="331">
          <cell r="A331">
            <v>172501</v>
          </cell>
        </row>
        <row r="332">
          <cell r="A332">
            <v>172502</v>
          </cell>
        </row>
        <row r="333">
          <cell r="A333">
            <v>172503</v>
          </cell>
        </row>
        <row r="334">
          <cell r="A334">
            <v>172504</v>
          </cell>
        </row>
        <row r="335">
          <cell r="A335">
            <v>172505</v>
          </cell>
        </row>
        <row r="336">
          <cell r="A336">
            <v>172506</v>
          </cell>
        </row>
        <row r="337">
          <cell r="A337">
            <v>172901</v>
          </cell>
        </row>
        <row r="338">
          <cell r="A338">
            <v>172902</v>
          </cell>
        </row>
        <row r="339">
          <cell r="A339">
            <v>172903</v>
          </cell>
        </row>
        <row r="340">
          <cell r="A340">
            <v>172904</v>
          </cell>
        </row>
        <row r="341">
          <cell r="A341">
            <v>172905</v>
          </cell>
        </row>
        <row r="342">
          <cell r="A342">
            <v>172906</v>
          </cell>
        </row>
        <row r="343">
          <cell r="A343">
            <v>173101</v>
          </cell>
        </row>
        <row r="344">
          <cell r="A344">
            <v>173102</v>
          </cell>
        </row>
        <row r="345">
          <cell r="A345">
            <v>173103</v>
          </cell>
        </row>
        <row r="346">
          <cell r="A346">
            <v>173104</v>
          </cell>
        </row>
        <row r="347">
          <cell r="A347">
            <v>173105</v>
          </cell>
        </row>
        <row r="348">
          <cell r="A348">
            <v>173106</v>
          </cell>
        </row>
        <row r="349">
          <cell r="A349">
            <v>173107</v>
          </cell>
        </row>
        <row r="350">
          <cell r="A350">
            <v>173108</v>
          </cell>
        </row>
        <row r="351">
          <cell r="A351">
            <v>173109</v>
          </cell>
        </row>
        <row r="352">
          <cell r="A352">
            <v>173201</v>
          </cell>
        </row>
        <row r="353">
          <cell r="A353">
            <v>173202</v>
          </cell>
        </row>
        <row r="354">
          <cell r="A354">
            <v>173203</v>
          </cell>
        </row>
        <row r="355">
          <cell r="A355">
            <v>173204</v>
          </cell>
        </row>
        <row r="356">
          <cell r="A356">
            <v>173205</v>
          </cell>
        </row>
        <row r="357">
          <cell r="A357">
            <v>173206</v>
          </cell>
        </row>
        <row r="358">
          <cell r="A358">
            <v>173207</v>
          </cell>
        </row>
        <row r="359">
          <cell r="A359">
            <v>173301</v>
          </cell>
        </row>
        <row r="360">
          <cell r="A360">
            <v>173302</v>
          </cell>
        </row>
        <row r="361">
          <cell r="A361">
            <v>173303</v>
          </cell>
        </row>
        <row r="362">
          <cell r="A362">
            <v>173304</v>
          </cell>
        </row>
        <row r="363">
          <cell r="A363">
            <v>173305</v>
          </cell>
        </row>
        <row r="364">
          <cell r="A364">
            <v>173306</v>
          </cell>
        </row>
        <row r="365">
          <cell r="A365">
            <v>173401</v>
          </cell>
        </row>
        <row r="366">
          <cell r="A366">
            <v>173402</v>
          </cell>
        </row>
        <row r="367">
          <cell r="A367">
            <v>173403</v>
          </cell>
        </row>
        <row r="368">
          <cell r="A368">
            <v>173404</v>
          </cell>
        </row>
        <row r="369">
          <cell r="A369">
            <v>173405</v>
          </cell>
        </row>
        <row r="370">
          <cell r="A370">
            <v>173406</v>
          </cell>
        </row>
        <row r="371">
          <cell r="A371">
            <v>173501</v>
          </cell>
        </row>
        <row r="372">
          <cell r="A372">
            <v>173502</v>
          </cell>
        </row>
        <row r="373">
          <cell r="A373">
            <v>173503</v>
          </cell>
        </row>
        <row r="374">
          <cell r="A374">
            <v>173504</v>
          </cell>
        </row>
        <row r="375">
          <cell r="A375">
            <v>173505</v>
          </cell>
        </row>
        <row r="376">
          <cell r="A376">
            <v>173506</v>
          </cell>
        </row>
        <row r="377">
          <cell r="A377">
            <v>173507</v>
          </cell>
        </row>
        <row r="378">
          <cell r="A378">
            <v>173901</v>
          </cell>
        </row>
        <row r="379">
          <cell r="A379">
            <v>173902</v>
          </cell>
        </row>
        <row r="380">
          <cell r="A380">
            <v>173903</v>
          </cell>
        </row>
        <row r="381">
          <cell r="A381">
            <v>173904</v>
          </cell>
        </row>
        <row r="382">
          <cell r="A382">
            <v>173905</v>
          </cell>
        </row>
        <row r="383">
          <cell r="A383">
            <v>173906</v>
          </cell>
        </row>
        <row r="384">
          <cell r="A384">
            <v>174101</v>
          </cell>
        </row>
        <row r="385">
          <cell r="A385">
            <v>174102</v>
          </cell>
        </row>
        <row r="386">
          <cell r="A386">
            <v>174103</v>
          </cell>
        </row>
        <row r="387">
          <cell r="A387">
            <v>174104</v>
          </cell>
        </row>
        <row r="388">
          <cell r="A388">
            <v>174105</v>
          </cell>
        </row>
        <row r="389">
          <cell r="A389">
            <v>174106</v>
          </cell>
        </row>
        <row r="390">
          <cell r="A390">
            <v>174107</v>
          </cell>
        </row>
        <row r="391">
          <cell r="A391">
            <v>174201</v>
          </cell>
        </row>
        <row r="392">
          <cell r="A392">
            <v>174202</v>
          </cell>
        </row>
        <row r="393">
          <cell r="A393">
            <v>174203</v>
          </cell>
        </row>
        <row r="394">
          <cell r="A394">
            <v>174204</v>
          </cell>
        </row>
        <row r="395">
          <cell r="A395">
            <v>174205</v>
          </cell>
        </row>
        <row r="396">
          <cell r="A396">
            <v>174206</v>
          </cell>
        </row>
        <row r="397">
          <cell r="A397">
            <v>174207</v>
          </cell>
        </row>
        <row r="398">
          <cell r="A398">
            <v>174301</v>
          </cell>
        </row>
        <row r="399">
          <cell r="A399">
            <v>174302</v>
          </cell>
        </row>
        <row r="400">
          <cell r="A400">
            <v>174303</v>
          </cell>
        </row>
        <row r="401">
          <cell r="A401">
            <v>174304</v>
          </cell>
        </row>
        <row r="402">
          <cell r="A402">
            <v>174305</v>
          </cell>
        </row>
        <row r="403">
          <cell r="A403">
            <v>174306</v>
          </cell>
        </row>
        <row r="404">
          <cell r="A404">
            <v>174401</v>
          </cell>
        </row>
        <row r="405">
          <cell r="A405">
            <v>174402</v>
          </cell>
        </row>
        <row r="406">
          <cell r="A406">
            <v>174403</v>
          </cell>
        </row>
        <row r="407">
          <cell r="A407">
            <v>174404</v>
          </cell>
        </row>
        <row r="408">
          <cell r="A408">
            <v>174405</v>
          </cell>
        </row>
        <row r="409">
          <cell r="A409">
            <v>174406</v>
          </cell>
        </row>
        <row r="410">
          <cell r="A410">
            <v>174501</v>
          </cell>
        </row>
        <row r="411">
          <cell r="A411">
            <v>174502</v>
          </cell>
        </row>
        <row r="412">
          <cell r="A412">
            <v>174503</v>
          </cell>
        </row>
        <row r="413">
          <cell r="A413">
            <v>174504</v>
          </cell>
        </row>
        <row r="414">
          <cell r="A414">
            <v>174505</v>
          </cell>
        </row>
        <row r="415">
          <cell r="A415">
            <v>174506</v>
          </cell>
        </row>
        <row r="416">
          <cell r="A416">
            <v>174901</v>
          </cell>
        </row>
        <row r="417">
          <cell r="A417">
            <v>174902</v>
          </cell>
        </row>
        <row r="418">
          <cell r="A418">
            <v>174903</v>
          </cell>
        </row>
        <row r="419">
          <cell r="A419">
            <v>174904</v>
          </cell>
        </row>
        <row r="420">
          <cell r="A420">
            <v>174905</v>
          </cell>
        </row>
        <row r="421">
          <cell r="A421">
            <v>174906</v>
          </cell>
        </row>
        <row r="422">
          <cell r="A422">
            <v>181101</v>
          </cell>
        </row>
        <row r="423">
          <cell r="A423">
            <v>181102</v>
          </cell>
        </row>
        <row r="424">
          <cell r="A424">
            <v>181103</v>
          </cell>
        </row>
        <row r="425">
          <cell r="A425">
            <v>181104</v>
          </cell>
        </row>
        <row r="426">
          <cell r="A426">
            <v>181105</v>
          </cell>
        </row>
        <row r="427">
          <cell r="A427">
            <v>181106</v>
          </cell>
        </row>
        <row r="428">
          <cell r="A428">
            <v>181201</v>
          </cell>
        </row>
        <row r="429">
          <cell r="A429">
            <v>181202</v>
          </cell>
        </row>
        <row r="430">
          <cell r="A430">
            <v>181203</v>
          </cell>
        </row>
        <row r="431">
          <cell r="A431">
            <v>181204</v>
          </cell>
        </row>
        <row r="432">
          <cell r="A432">
            <v>181205</v>
          </cell>
        </row>
        <row r="433">
          <cell r="A433">
            <v>181206</v>
          </cell>
        </row>
        <row r="434">
          <cell r="A434">
            <v>181301</v>
          </cell>
        </row>
        <row r="435">
          <cell r="A435">
            <v>181302</v>
          </cell>
        </row>
        <row r="436">
          <cell r="A436">
            <v>181303</v>
          </cell>
        </row>
        <row r="437">
          <cell r="A437">
            <v>181304</v>
          </cell>
        </row>
        <row r="438">
          <cell r="A438">
            <v>181305</v>
          </cell>
        </row>
        <row r="439">
          <cell r="A439">
            <v>181306</v>
          </cell>
        </row>
        <row r="440">
          <cell r="A440">
            <v>181401</v>
          </cell>
        </row>
        <row r="441">
          <cell r="A441">
            <v>181402</v>
          </cell>
        </row>
        <row r="442">
          <cell r="A442">
            <v>181403</v>
          </cell>
        </row>
        <row r="443">
          <cell r="A443">
            <v>181404</v>
          </cell>
        </row>
        <row r="444">
          <cell r="A444">
            <v>181405</v>
          </cell>
        </row>
        <row r="445">
          <cell r="A445">
            <v>181406</v>
          </cell>
        </row>
        <row r="446">
          <cell r="A446">
            <v>181407</v>
          </cell>
        </row>
        <row r="447">
          <cell r="A447">
            <v>181408</v>
          </cell>
        </row>
        <row r="448">
          <cell r="A448">
            <v>181501</v>
          </cell>
        </row>
        <row r="449">
          <cell r="A449">
            <v>181502</v>
          </cell>
        </row>
        <row r="450">
          <cell r="A450">
            <v>181503</v>
          </cell>
        </row>
        <row r="451">
          <cell r="A451">
            <v>181504</v>
          </cell>
        </row>
        <row r="452">
          <cell r="A452">
            <v>181505</v>
          </cell>
        </row>
        <row r="453">
          <cell r="A453">
            <v>181506</v>
          </cell>
        </row>
        <row r="454">
          <cell r="A454">
            <v>181901</v>
          </cell>
        </row>
        <row r="455">
          <cell r="A455">
            <v>181902</v>
          </cell>
        </row>
        <row r="456">
          <cell r="A456">
            <v>181903</v>
          </cell>
        </row>
        <row r="457">
          <cell r="A457">
            <v>181904</v>
          </cell>
        </row>
        <row r="458">
          <cell r="A458">
            <v>181905</v>
          </cell>
        </row>
        <row r="459">
          <cell r="A459">
            <v>181906</v>
          </cell>
        </row>
        <row r="460">
          <cell r="A460">
            <v>182101</v>
          </cell>
        </row>
        <row r="461">
          <cell r="A461">
            <v>182102</v>
          </cell>
        </row>
        <row r="462">
          <cell r="A462">
            <v>182103</v>
          </cell>
        </row>
        <row r="463">
          <cell r="A463">
            <v>182104</v>
          </cell>
        </row>
        <row r="464">
          <cell r="A464">
            <v>182105</v>
          </cell>
        </row>
        <row r="465">
          <cell r="A465">
            <v>182106</v>
          </cell>
        </row>
        <row r="466">
          <cell r="A466">
            <v>182107</v>
          </cell>
        </row>
        <row r="467">
          <cell r="A467">
            <v>182201</v>
          </cell>
        </row>
        <row r="468">
          <cell r="A468">
            <v>182202</v>
          </cell>
        </row>
        <row r="469">
          <cell r="A469">
            <v>182203</v>
          </cell>
        </row>
        <row r="470">
          <cell r="A470">
            <v>182204</v>
          </cell>
        </row>
        <row r="471">
          <cell r="A471">
            <v>182205</v>
          </cell>
        </row>
        <row r="472">
          <cell r="A472">
            <v>182206</v>
          </cell>
        </row>
        <row r="473">
          <cell r="A473">
            <v>182301</v>
          </cell>
        </row>
        <row r="474">
          <cell r="A474">
            <v>182302</v>
          </cell>
        </row>
        <row r="475">
          <cell r="A475">
            <v>182303</v>
          </cell>
        </row>
        <row r="476">
          <cell r="A476">
            <v>182304</v>
          </cell>
        </row>
        <row r="477">
          <cell r="A477">
            <v>182305</v>
          </cell>
        </row>
        <row r="478">
          <cell r="A478">
            <v>182306</v>
          </cell>
        </row>
        <row r="479">
          <cell r="A479">
            <v>182401</v>
          </cell>
        </row>
        <row r="480">
          <cell r="A480">
            <v>182402</v>
          </cell>
        </row>
        <row r="481">
          <cell r="A481">
            <v>182403</v>
          </cell>
        </row>
        <row r="482">
          <cell r="A482">
            <v>182404</v>
          </cell>
        </row>
        <row r="483">
          <cell r="A483">
            <v>182405</v>
          </cell>
        </row>
        <row r="484">
          <cell r="A484">
            <v>182406</v>
          </cell>
        </row>
        <row r="485">
          <cell r="A485">
            <v>182501</v>
          </cell>
        </row>
        <row r="486">
          <cell r="A486">
            <v>182502</v>
          </cell>
        </row>
        <row r="487">
          <cell r="A487">
            <v>182503</v>
          </cell>
        </row>
        <row r="488">
          <cell r="A488">
            <v>182504</v>
          </cell>
        </row>
        <row r="489">
          <cell r="A489">
            <v>182505</v>
          </cell>
        </row>
        <row r="490">
          <cell r="A490">
            <v>182506</v>
          </cell>
        </row>
        <row r="491">
          <cell r="A491">
            <v>182901</v>
          </cell>
        </row>
        <row r="492">
          <cell r="A492">
            <v>182902</v>
          </cell>
        </row>
        <row r="493">
          <cell r="A493">
            <v>182903</v>
          </cell>
        </row>
        <row r="494">
          <cell r="A494">
            <v>182904</v>
          </cell>
        </row>
        <row r="495">
          <cell r="A495">
            <v>182905</v>
          </cell>
        </row>
        <row r="496">
          <cell r="A496">
            <v>182906</v>
          </cell>
        </row>
        <row r="497">
          <cell r="A497">
            <v>182907</v>
          </cell>
        </row>
        <row r="498">
          <cell r="A498">
            <v>182908</v>
          </cell>
        </row>
        <row r="499">
          <cell r="A499">
            <v>183101</v>
          </cell>
        </row>
        <row r="500">
          <cell r="A500">
            <v>183102</v>
          </cell>
        </row>
        <row r="501">
          <cell r="A501">
            <v>183103</v>
          </cell>
        </row>
        <row r="502">
          <cell r="A502">
            <v>183104</v>
          </cell>
        </row>
        <row r="503">
          <cell r="A503">
            <v>183105</v>
          </cell>
        </row>
        <row r="504">
          <cell r="A504">
            <v>183106</v>
          </cell>
        </row>
        <row r="505">
          <cell r="A505">
            <v>183201</v>
          </cell>
        </row>
        <row r="506">
          <cell r="A506">
            <v>183202</v>
          </cell>
        </row>
        <row r="507">
          <cell r="A507">
            <v>183203</v>
          </cell>
        </row>
        <row r="508">
          <cell r="A508">
            <v>183204</v>
          </cell>
        </row>
        <row r="509">
          <cell r="A509">
            <v>183205</v>
          </cell>
        </row>
        <row r="510">
          <cell r="A510">
            <v>183206</v>
          </cell>
        </row>
        <row r="511">
          <cell r="A511">
            <v>183301</v>
          </cell>
        </row>
        <row r="512">
          <cell r="A512">
            <v>183302</v>
          </cell>
        </row>
        <row r="513">
          <cell r="A513">
            <v>183303</v>
          </cell>
        </row>
        <row r="514">
          <cell r="A514">
            <v>183304</v>
          </cell>
        </row>
        <row r="515">
          <cell r="A515">
            <v>183305</v>
          </cell>
        </row>
        <row r="516">
          <cell r="A516">
            <v>183306</v>
          </cell>
        </row>
        <row r="517">
          <cell r="A517">
            <v>183401</v>
          </cell>
        </row>
        <row r="518">
          <cell r="A518">
            <v>183402</v>
          </cell>
        </row>
        <row r="519">
          <cell r="A519">
            <v>183403</v>
          </cell>
        </row>
        <row r="520">
          <cell r="A520">
            <v>183404</v>
          </cell>
        </row>
        <row r="521">
          <cell r="A521">
            <v>183405</v>
          </cell>
        </row>
        <row r="522">
          <cell r="A522">
            <v>183406</v>
          </cell>
        </row>
        <row r="523">
          <cell r="A523">
            <v>183501</v>
          </cell>
        </row>
        <row r="524">
          <cell r="A524">
            <v>183502</v>
          </cell>
        </row>
        <row r="525">
          <cell r="A525">
            <v>183503</v>
          </cell>
        </row>
        <row r="526">
          <cell r="A526">
            <v>183504</v>
          </cell>
        </row>
        <row r="527">
          <cell r="A527">
            <v>183505</v>
          </cell>
        </row>
        <row r="528">
          <cell r="A528">
            <v>183506</v>
          </cell>
        </row>
        <row r="529">
          <cell r="A529">
            <v>183507</v>
          </cell>
        </row>
        <row r="530">
          <cell r="A530">
            <v>183901</v>
          </cell>
        </row>
        <row r="531">
          <cell r="A531">
            <v>183902</v>
          </cell>
        </row>
        <row r="532">
          <cell r="A532">
            <v>183903</v>
          </cell>
        </row>
        <row r="533">
          <cell r="A533">
            <v>183904</v>
          </cell>
        </row>
        <row r="534">
          <cell r="A534">
            <v>183905</v>
          </cell>
        </row>
        <row r="535">
          <cell r="A535">
            <v>183906</v>
          </cell>
        </row>
        <row r="536">
          <cell r="A536">
            <v>184101</v>
          </cell>
        </row>
        <row r="537">
          <cell r="A537">
            <v>184102</v>
          </cell>
        </row>
        <row r="538">
          <cell r="A538">
            <v>184103</v>
          </cell>
        </row>
        <row r="539">
          <cell r="A539">
            <v>184104</v>
          </cell>
        </row>
        <row r="540">
          <cell r="A540">
            <v>184105</v>
          </cell>
        </row>
        <row r="541">
          <cell r="A541">
            <v>184106</v>
          </cell>
        </row>
        <row r="542">
          <cell r="A542">
            <v>184107</v>
          </cell>
        </row>
        <row r="543">
          <cell r="A543">
            <v>184108</v>
          </cell>
        </row>
        <row r="544">
          <cell r="A544">
            <v>184109</v>
          </cell>
        </row>
        <row r="545">
          <cell r="A545">
            <v>184201</v>
          </cell>
        </row>
        <row r="546">
          <cell r="A546">
            <v>184202</v>
          </cell>
        </row>
        <row r="547">
          <cell r="A547">
            <v>184203</v>
          </cell>
        </row>
        <row r="548">
          <cell r="A548">
            <v>184204</v>
          </cell>
        </row>
        <row r="549">
          <cell r="A549">
            <v>184205</v>
          </cell>
        </row>
        <row r="550">
          <cell r="A550">
            <v>184206</v>
          </cell>
        </row>
        <row r="551">
          <cell r="A551">
            <v>184207</v>
          </cell>
        </row>
        <row r="552">
          <cell r="A552">
            <v>184208</v>
          </cell>
        </row>
        <row r="553">
          <cell r="A553">
            <v>184301</v>
          </cell>
        </row>
        <row r="554">
          <cell r="A554">
            <v>184302</v>
          </cell>
        </row>
        <row r="555">
          <cell r="A555">
            <v>184303</v>
          </cell>
        </row>
        <row r="556">
          <cell r="A556">
            <v>184304</v>
          </cell>
        </row>
        <row r="557">
          <cell r="A557">
            <v>184305</v>
          </cell>
        </row>
        <row r="558">
          <cell r="A558">
            <v>184306</v>
          </cell>
        </row>
        <row r="559">
          <cell r="A559">
            <v>184401</v>
          </cell>
        </row>
        <row r="560">
          <cell r="A560">
            <v>184402</v>
          </cell>
        </row>
        <row r="561">
          <cell r="A561">
            <v>184403</v>
          </cell>
        </row>
        <row r="562">
          <cell r="A562">
            <v>184404</v>
          </cell>
        </row>
        <row r="563">
          <cell r="A563">
            <v>184405</v>
          </cell>
        </row>
        <row r="564">
          <cell r="A564">
            <v>184406</v>
          </cell>
        </row>
        <row r="565">
          <cell r="A565">
            <v>184501</v>
          </cell>
        </row>
        <row r="566">
          <cell r="A566">
            <v>184502</v>
          </cell>
        </row>
        <row r="567">
          <cell r="A567">
            <v>184503</v>
          </cell>
        </row>
        <row r="568">
          <cell r="A568">
            <v>184504</v>
          </cell>
        </row>
        <row r="569">
          <cell r="A569">
            <v>184505</v>
          </cell>
        </row>
        <row r="570">
          <cell r="A570">
            <v>184506</v>
          </cell>
        </row>
        <row r="571">
          <cell r="A571">
            <v>184507</v>
          </cell>
        </row>
        <row r="572">
          <cell r="A572">
            <v>184508</v>
          </cell>
        </row>
        <row r="573">
          <cell r="A573">
            <v>184509</v>
          </cell>
        </row>
        <row r="574">
          <cell r="A574">
            <v>184901</v>
          </cell>
        </row>
        <row r="575">
          <cell r="A575">
            <v>184902</v>
          </cell>
        </row>
        <row r="576">
          <cell r="A576">
            <v>184903</v>
          </cell>
        </row>
        <row r="577">
          <cell r="A577">
            <v>184904</v>
          </cell>
        </row>
        <row r="578">
          <cell r="A578">
            <v>184905</v>
          </cell>
        </row>
        <row r="579">
          <cell r="A579">
            <v>184906</v>
          </cell>
        </row>
        <row r="580">
          <cell r="A580">
            <v>191101</v>
          </cell>
        </row>
        <row r="581">
          <cell r="A581">
            <v>191102</v>
          </cell>
        </row>
        <row r="582">
          <cell r="A582">
            <v>191103</v>
          </cell>
        </row>
        <row r="583">
          <cell r="A583">
            <v>191104</v>
          </cell>
        </row>
        <row r="584">
          <cell r="A584">
            <v>191105</v>
          </cell>
        </row>
        <row r="585">
          <cell r="A585">
            <v>191106</v>
          </cell>
        </row>
        <row r="586">
          <cell r="A586">
            <v>191107</v>
          </cell>
        </row>
        <row r="587">
          <cell r="A587">
            <v>191108</v>
          </cell>
        </row>
        <row r="588">
          <cell r="A588">
            <v>191109</v>
          </cell>
        </row>
        <row r="589">
          <cell r="A589">
            <v>192102</v>
          </cell>
        </row>
        <row r="590">
          <cell r="A590">
            <v>192103</v>
          </cell>
        </row>
        <row r="591">
          <cell r="A591">
            <v>192104</v>
          </cell>
        </row>
        <row r="592">
          <cell r="A592">
            <v>192105</v>
          </cell>
        </row>
        <row r="593">
          <cell r="A593">
            <v>192106</v>
          </cell>
        </row>
        <row r="594">
          <cell r="A594">
            <v>192107</v>
          </cell>
        </row>
        <row r="595">
          <cell r="A595">
            <v>192108</v>
          </cell>
        </row>
        <row r="596">
          <cell r="A596">
            <v>192109</v>
          </cell>
        </row>
        <row r="597">
          <cell r="A597">
            <v>191110</v>
          </cell>
        </row>
        <row r="598">
          <cell r="A598">
            <v>191111</v>
          </cell>
        </row>
        <row r="599">
          <cell r="A599">
            <v>191112</v>
          </cell>
        </row>
        <row r="600">
          <cell r="A600">
            <v>193100</v>
          </cell>
        </row>
        <row r="601">
          <cell r="A601">
            <v>193101</v>
          </cell>
        </row>
        <row r="602">
          <cell r="A602">
            <v>193102</v>
          </cell>
        </row>
        <row r="603">
          <cell r="A603">
            <v>193103</v>
          </cell>
        </row>
        <row r="604">
          <cell r="A604">
            <v>194201</v>
          </cell>
        </row>
        <row r="605">
          <cell r="A605">
            <v>194202</v>
          </cell>
        </row>
        <row r="606">
          <cell r="A606">
            <v>194203</v>
          </cell>
        </row>
        <row r="607">
          <cell r="A607">
            <v>194204</v>
          </cell>
        </row>
        <row r="608">
          <cell r="A608">
            <v>194205</v>
          </cell>
        </row>
        <row r="609">
          <cell r="A609">
            <v>194206</v>
          </cell>
        </row>
        <row r="610">
          <cell r="A610">
            <v>194207</v>
          </cell>
        </row>
        <row r="611">
          <cell r="A611">
            <v>194208</v>
          </cell>
        </row>
        <row r="612">
          <cell r="A612">
            <v>201101</v>
          </cell>
        </row>
        <row r="613">
          <cell r="A613">
            <v>201102</v>
          </cell>
        </row>
        <row r="614">
          <cell r="A614">
            <v>201103</v>
          </cell>
        </row>
        <row r="615">
          <cell r="A615">
            <v>201104</v>
          </cell>
        </row>
        <row r="616">
          <cell r="A616">
            <v>201105</v>
          </cell>
        </row>
        <row r="617">
          <cell r="A617">
            <v>201106</v>
          </cell>
        </row>
        <row r="618">
          <cell r="A618">
            <v>201107</v>
          </cell>
        </row>
        <row r="619">
          <cell r="A619">
            <v>201108</v>
          </cell>
        </row>
        <row r="620">
          <cell r="A620">
            <v>203101</v>
          </cell>
        </row>
        <row r="621">
          <cell r="A621">
            <v>203102</v>
          </cell>
        </row>
        <row r="622">
          <cell r="A622">
            <v>203103</v>
          </cell>
        </row>
        <row r="623">
          <cell r="A623">
            <v>203104</v>
          </cell>
        </row>
        <row r="624">
          <cell r="A624">
            <v>203105</v>
          </cell>
        </row>
        <row r="625">
          <cell r="A625">
            <v>203106</v>
          </cell>
        </row>
        <row r="626">
          <cell r="A626">
            <v>203107</v>
          </cell>
        </row>
        <row r="627">
          <cell r="A627">
            <v>203108</v>
          </cell>
        </row>
        <row r="628">
          <cell r="A628">
            <v>204201</v>
          </cell>
        </row>
        <row r="629">
          <cell r="A629">
            <v>204202</v>
          </cell>
        </row>
        <row r="630">
          <cell r="A630">
            <v>204203</v>
          </cell>
        </row>
        <row r="631">
          <cell r="A631">
            <v>204204</v>
          </cell>
        </row>
        <row r="632">
          <cell r="A632">
            <v>204205</v>
          </cell>
        </row>
        <row r="633">
          <cell r="A633">
            <v>204206</v>
          </cell>
        </row>
        <row r="634">
          <cell r="A634">
            <v>204207</v>
          </cell>
        </row>
        <row r="635">
          <cell r="A635">
            <v>204208</v>
          </cell>
        </row>
        <row r="636">
          <cell r="A636">
            <v>204209</v>
          </cell>
        </row>
        <row r="637">
          <cell r="A637">
            <v>204210</v>
          </cell>
        </row>
        <row r="638">
          <cell r="A638">
            <v>213001</v>
          </cell>
        </row>
        <row r="639">
          <cell r="A639">
            <v>213002</v>
          </cell>
        </row>
        <row r="640">
          <cell r="A640">
            <v>213003</v>
          </cell>
        </row>
        <row r="641">
          <cell r="A641">
            <v>213004</v>
          </cell>
        </row>
        <row r="642">
          <cell r="A642">
            <v>213005</v>
          </cell>
        </row>
        <row r="643">
          <cell r="A643">
            <v>213006</v>
          </cell>
        </row>
        <row r="644">
          <cell r="A644">
            <v>212001</v>
          </cell>
        </row>
        <row r="645">
          <cell r="A645">
            <v>212002</v>
          </cell>
        </row>
        <row r="646">
          <cell r="A646">
            <v>212003</v>
          </cell>
        </row>
        <row r="647">
          <cell r="A647">
            <v>212004</v>
          </cell>
        </row>
        <row r="648">
          <cell r="A648">
            <v>223001</v>
          </cell>
        </row>
        <row r="649">
          <cell r="A649">
            <v>223002</v>
          </cell>
        </row>
        <row r="650">
          <cell r="A650">
            <v>223003</v>
          </cell>
        </row>
        <row r="651">
          <cell r="A651">
            <v>223004</v>
          </cell>
        </row>
        <row r="652">
          <cell r="A652">
            <v>233001</v>
          </cell>
        </row>
        <row r="653">
          <cell r="A653">
            <v>233002</v>
          </cell>
        </row>
        <row r="654">
          <cell r="A654">
            <v>233003</v>
          </cell>
        </row>
        <row r="655">
          <cell r="A655">
            <v>233004</v>
          </cell>
        </row>
        <row r="656">
          <cell r="A656">
            <v>300001</v>
          </cell>
        </row>
        <row r="657">
          <cell r="A657">
            <v>300002</v>
          </cell>
        </row>
        <row r="658">
          <cell r="A658">
            <v>300003</v>
          </cell>
        </row>
        <row r="659">
          <cell r="A659">
            <v>300004</v>
          </cell>
        </row>
        <row r="660">
          <cell r="A660">
            <v>300005</v>
          </cell>
        </row>
        <row r="661">
          <cell r="A661">
            <v>300006</v>
          </cell>
        </row>
        <row r="662">
          <cell r="A662">
            <v>300007</v>
          </cell>
        </row>
        <row r="663">
          <cell r="A663">
            <v>300008</v>
          </cell>
        </row>
        <row r="664">
          <cell r="A664">
            <v>300009</v>
          </cell>
        </row>
        <row r="665">
          <cell r="A665">
            <v>300010</v>
          </cell>
        </row>
        <row r="666">
          <cell r="A666">
            <v>300011</v>
          </cell>
        </row>
        <row r="667">
          <cell r="A667">
            <v>300012</v>
          </cell>
        </row>
        <row r="668">
          <cell r="A668">
            <v>300013</v>
          </cell>
        </row>
        <row r="669">
          <cell r="A669">
            <v>300014</v>
          </cell>
        </row>
        <row r="670">
          <cell r="A670">
            <v>300017</v>
          </cell>
        </row>
        <row r="671">
          <cell r="A671">
            <v>300018</v>
          </cell>
        </row>
        <row r="672">
          <cell r="A672">
            <v>300019</v>
          </cell>
        </row>
        <row r="673">
          <cell r="A673">
            <v>300020</v>
          </cell>
        </row>
        <row r="674">
          <cell r="A674">
            <v>310001</v>
          </cell>
        </row>
        <row r="675">
          <cell r="A675">
            <v>310002</v>
          </cell>
        </row>
        <row r="676">
          <cell r="A676">
            <v>310003</v>
          </cell>
        </row>
        <row r="677">
          <cell r="A677">
            <v>310004</v>
          </cell>
        </row>
        <row r="678">
          <cell r="A678">
            <v>310005</v>
          </cell>
        </row>
        <row r="679">
          <cell r="A679">
            <v>310006</v>
          </cell>
        </row>
        <row r="680">
          <cell r="A680">
            <v>310007</v>
          </cell>
        </row>
        <row r="681">
          <cell r="A681">
            <v>420001</v>
          </cell>
        </row>
        <row r="682">
          <cell r="A682">
            <v>420002</v>
          </cell>
        </row>
        <row r="683">
          <cell r="A683">
            <v>420003</v>
          </cell>
        </row>
        <row r="684">
          <cell r="A684">
            <v>420004</v>
          </cell>
        </row>
        <row r="685">
          <cell r="A685">
            <v>423001</v>
          </cell>
        </row>
        <row r="686">
          <cell r="A686">
            <v>423002</v>
          </cell>
        </row>
        <row r="687">
          <cell r="A687">
            <v>423003</v>
          </cell>
        </row>
        <row r="688">
          <cell r="A688">
            <v>423004</v>
          </cell>
        </row>
        <row r="689">
          <cell r="A689">
            <v>423005</v>
          </cell>
        </row>
        <row r="690">
          <cell r="A690">
            <v>431001</v>
          </cell>
        </row>
        <row r="691">
          <cell r="A691">
            <v>431002</v>
          </cell>
        </row>
        <row r="692">
          <cell r="A692">
            <v>431003</v>
          </cell>
        </row>
        <row r="693">
          <cell r="A693">
            <v>431004</v>
          </cell>
        </row>
        <row r="694">
          <cell r="A694">
            <v>434001</v>
          </cell>
        </row>
        <row r="695">
          <cell r="A695">
            <v>434002</v>
          </cell>
        </row>
        <row r="696">
          <cell r="A696">
            <v>434003</v>
          </cell>
        </row>
        <row r="697">
          <cell r="A697">
            <v>434004</v>
          </cell>
        </row>
        <row r="698">
          <cell r="A698">
            <v>434005</v>
          </cell>
        </row>
        <row r="699">
          <cell r="A699">
            <v>442001</v>
          </cell>
        </row>
        <row r="700">
          <cell r="A700">
            <v>442002</v>
          </cell>
        </row>
        <row r="701">
          <cell r="A701">
            <v>442003</v>
          </cell>
        </row>
        <row r="702">
          <cell r="A702">
            <v>442004</v>
          </cell>
        </row>
        <row r="703">
          <cell r="A703">
            <v>444001</v>
          </cell>
        </row>
        <row r="704">
          <cell r="A704">
            <v>444002</v>
          </cell>
        </row>
        <row r="705">
          <cell r="A705">
            <v>444003</v>
          </cell>
        </row>
        <row r="706">
          <cell r="A706">
            <v>444004</v>
          </cell>
        </row>
        <row r="707">
          <cell r="A707">
            <v>444005</v>
          </cell>
        </row>
        <row r="708">
          <cell r="A708">
            <v>452001</v>
          </cell>
        </row>
        <row r="709">
          <cell r="A709">
            <v>452002</v>
          </cell>
        </row>
        <row r="710">
          <cell r="A710">
            <v>452003</v>
          </cell>
        </row>
        <row r="711">
          <cell r="A711">
            <v>453001</v>
          </cell>
        </row>
        <row r="712">
          <cell r="A712">
            <v>453002</v>
          </cell>
        </row>
        <row r="713">
          <cell r="A713">
            <v>453003</v>
          </cell>
        </row>
        <row r="714">
          <cell r="A714">
            <v>453004</v>
          </cell>
        </row>
        <row r="715">
          <cell r="A715">
            <v>454001</v>
          </cell>
        </row>
        <row r="716">
          <cell r="A716">
            <v>454002</v>
          </cell>
        </row>
        <row r="717">
          <cell r="A717">
            <v>454003</v>
          </cell>
        </row>
        <row r="718">
          <cell r="A718">
            <v>454004</v>
          </cell>
        </row>
        <row r="719">
          <cell r="A719">
            <v>454005</v>
          </cell>
        </row>
        <row r="720">
          <cell r="A720">
            <v>500001</v>
          </cell>
        </row>
        <row r="721">
          <cell r="A721">
            <v>500002</v>
          </cell>
        </row>
        <row r="722">
          <cell r="A722">
            <v>500003</v>
          </cell>
        </row>
        <row r="723">
          <cell r="A723">
            <v>500004</v>
          </cell>
        </row>
      </sheetData>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units"/>
      <sheetName val="awake_materials"/>
      <sheetName val="awake_material_habitats"/>
      <sheetName val="awake_material_habitats_manual"/>
      <sheetName val="limitbreak_materials"/>
      <sheetName val="ghosts_label"/>
      <sheetName val="コスト"/>
      <sheetName val="レベル"/>
      <sheetName val="経験値"/>
      <sheetName val="RC6SV"/>
      <sheetName val="ビット"/>
      <sheetName val="unit_exp_table"/>
      <sheetName val="unit_material_exp"/>
      <sheetName val="unit_soldprice_rate"/>
    </sheetNames>
    <sheetDataSet>
      <sheetData sheetId="0"/>
      <sheetData sheetId="1"/>
      <sheetData sheetId="2">
        <row r="1">
          <cell r="A1" t="str">
            <v>character_id</v>
          </cell>
          <cell r="B1" t="str">
            <v>name</v>
          </cell>
          <cell r="C1" t="str">
            <v>特徴</v>
          </cell>
          <cell r="D1" t="str">
            <v>勢力</v>
          </cell>
          <cell r="E1" t="str">
            <v>訴求軸</v>
          </cell>
          <cell r="F1" t="str">
            <v>性別</v>
          </cell>
          <cell r="G1" t="str">
            <v>rare</v>
          </cell>
          <cell r="H1" t="str">
            <v>drop_label</v>
          </cell>
          <cell r="I1" t="str">
            <v>color</v>
          </cell>
          <cell r="J1" t="str">
            <v>HP係数</v>
          </cell>
          <cell r="K1" t="str">
            <v>攻撃係数</v>
          </cell>
          <cell r="L1" t="str">
            <v>防御系数</v>
          </cell>
          <cell r="M1" t="str">
            <v>回復系数</v>
          </cell>
          <cell r="N1" t="str">
            <v>cost</v>
          </cell>
          <cell r="O1" t="str">
            <v>max_level</v>
          </cell>
          <cell r="P1" t="str">
            <v>max_bug</v>
          </cell>
          <cell r="Q1" t="str">
            <v>character_type_id</v>
          </cell>
          <cell r="R1" t="str">
            <v>name</v>
          </cell>
          <cell r="S1" t="str">
            <v>HP係数</v>
          </cell>
          <cell r="T1" t="str">
            <v>攻撃係数</v>
          </cell>
          <cell r="U1" t="str">
            <v>防御係数</v>
          </cell>
          <cell r="V1" t="str">
            <v>回復係数</v>
          </cell>
          <cell r="W1" t="str">
            <v>character_main_tribe_id</v>
          </cell>
          <cell r="X1" t="str">
            <v>name</v>
          </cell>
          <cell r="Y1" t="str">
            <v>character_sub_tribe_id</v>
          </cell>
          <cell r="Z1" t="str">
            <v>name</v>
          </cell>
          <cell r="AA1" t="str">
            <v>HP係数</v>
          </cell>
          <cell r="AB1" t="str">
            <v>攻撃係数</v>
          </cell>
          <cell r="AC1" t="str">
            <v>防御係数</v>
          </cell>
          <cell r="AD1" t="str">
            <v>回復係数</v>
          </cell>
          <cell r="AE1" t="str">
            <v>awake_character_id</v>
          </cell>
          <cell r="AF1" t="str">
            <v>name</v>
          </cell>
          <cell r="AG1" t="str">
            <v>base_character_id</v>
          </cell>
          <cell r="AH1" t="str">
            <v>name</v>
          </cell>
          <cell r="AI1" t="str">
            <v>awake_price</v>
          </cell>
          <cell r="AJ1" t="str">
            <v>growth_speed</v>
          </cell>
          <cell r="AK1" t="str">
            <v>成長速度名</v>
          </cell>
          <cell r="AL1" t="str">
            <v>exp_table</v>
          </cell>
          <cell r="AM1" t="str">
            <v>base_material_exp</v>
          </cell>
          <cell r="AN1" t="str">
            <v>base_soldprice</v>
          </cell>
          <cell r="AO1" t="str">
            <v>スキルタイプ</v>
          </cell>
          <cell r="AP1" t="str">
            <v>unit_skill_id</v>
          </cell>
          <cell r="AQ1" t="str">
            <v>unit_skill_name</v>
          </cell>
          <cell r="AR1" t="str">
            <v>unit_skill_comment</v>
          </cell>
          <cell r="AS1" t="str">
            <v>等級</v>
          </cell>
          <cell r="AT1" t="str">
            <v>crash_skill_id</v>
          </cell>
          <cell r="AU1" t="str">
            <v>crash_skill_name</v>
          </cell>
          <cell r="AV1" t="str">
            <v>crash_skill_comment</v>
          </cell>
          <cell r="AW1" t="str">
            <v>等級</v>
          </cell>
          <cell r="AX1" t="str">
            <v>valid_flg</v>
          </cell>
          <cell r="AY1" t="str">
            <v>HP係数</v>
          </cell>
          <cell r="AZ1" t="str">
            <v>攻撃系数</v>
          </cell>
          <cell r="BA1" t="str">
            <v>防御係数</v>
          </cell>
          <cell r="BB1" t="str">
            <v>回復系数</v>
          </cell>
          <cell r="BC1" t="str">
            <v>RC6SV</v>
          </cell>
          <cell r="BD1" t="str">
            <v>調整後</v>
          </cell>
          <cell r="BE1" t="str">
            <v>進化前RC6SV</v>
          </cell>
          <cell r="BF1" t="str">
            <v>進化前MAXレベル</v>
          </cell>
          <cell r="BG1" t="str">
            <v>min_hp</v>
          </cell>
          <cell r="BH1" t="str">
            <v>min_attack</v>
          </cell>
          <cell r="BI1" t="str">
            <v>min_defense</v>
          </cell>
          <cell r="BJ1" t="str">
            <v>min_heal</v>
          </cell>
          <cell r="BK1" t="str">
            <v>max_hp</v>
          </cell>
          <cell r="BL1" t="str">
            <v>max_attack</v>
          </cell>
          <cell r="BM1" t="str">
            <v>max_defense</v>
          </cell>
          <cell r="BN1" t="str">
            <v>max_heal</v>
          </cell>
          <cell r="BO1" t="str">
            <v>skip</v>
          </cell>
          <cell r="BP1" t="str">
            <v>min_max</v>
          </cell>
          <cell r="BQ1" t="str">
            <v>level_test</v>
          </cell>
          <cell r="BR1" t="str">
            <v>sell_ghosts</v>
          </cell>
        </row>
        <row r="2">
          <cell r="A2">
            <v>1</v>
          </cell>
        </row>
        <row r="3">
          <cell r="A3">
            <v>2</v>
          </cell>
        </row>
        <row r="4">
          <cell r="A4">
            <v>3</v>
          </cell>
        </row>
        <row r="5">
          <cell r="A5">
            <v>4</v>
          </cell>
        </row>
        <row r="6">
          <cell r="A6">
            <v>5</v>
          </cell>
        </row>
        <row r="7">
          <cell r="A7">
            <v>6</v>
          </cell>
        </row>
        <row r="8">
          <cell r="A8">
            <v>7</v>
          </cell>
        </row>
        <row r="9">
          <cell r="A9">
            <v>8</v>
          </cell>
        </row>
        <row r="10">
          <cell r="A10">
            <v>9</v>
          </cell>
        </row>
        <row r="11">
          <cell r="A11">
            <v>10</v>
          </cell>
        </row>
        <row r="12">
          <cell r="A12">
            <v>11</v>
          </cell>
        </row>
        <row r="13">
          <cell r="A13">
            <v>12</v>
          </cell>
        </row>
        <row r="14">
          <cell r="A14">
            <v>13</v>
          </cell>
        </row>
        <row r="15">
          <cell r="A15">
            <v>14</v>
          </cell>
        </row>
        <row r="16">
          <cell r="A16">
            <v>15</v>
          </cell>
        </row>
        <row r="17">
          <cell r="A17">
            <v>16</v>
          </cell>
        </row>
        <row r="18">
          <cell r="A18">
            <v>17</v>
          </cell>
        </row>
        <row r="19">
          <cell r="A19">
            <v>18</v>
          </cell>
        </row>
        <row r="20">
          <cell r="A20">
            <v>19</v>
          </cell>
        </row>
        <row r="21">
          <cell r="A21">
            <v>20</v>
          </cell>
        </row>
        <row r="22">
          <cell r="A22">
            <v>21</v>
          </cell>
        </row>
        <row r="23">
          <cell r="A23">
            <v>22</v>
          </cell>
        </row>
        <row r="24">
          <cell r="A24">
            <v>23</v>
          </cell>
        </row>
        <row r="25">
          <cell r="A25">
            <v>24</v>
          </cell>
        </row>
        <row r="26">
          <cell r="A26">
            <v>25</v>
          </cell>
        </row>
        <row r="27">
          <cell r="A27">
            <v>26</v>
          </cell>
        </row>
        <row r="28">
          <cell r="A28">
            <v>27</v>
          </cell>
        </row>
        <row r="29">
          <cell r="A29">
            <v>28</v>
          </cell>
        </row>
        <row r="30">
          <cell r="A30">
            <v>29</v>
          </cell>
        </row>
        <row r="31">
          <cell r="A31">
            <v>30</v>
          </cell>
        </row>
        <row r="32">
          <cell r="A32">
            <v>31</v>
          </cell>
        </row>
        <row r="33">
          <cell r="A33">
            <v>32</v>
          </cell>
        </row>
        <row r="34">
          <cell r="A34">
            <v>33</v>
          </cell>
        </row>
        <row r="35">
          <cell r="A35">
            <v>34</v>
          </cell>
        </row>
        <row r="36">
          <cell r="A36">
            <v>35</v>
          </cell>
        </row>
        <row r="37">
          <cell r="A37">
            <v>36</v>
          </cell>
        </row>
        <row r="38">
          <cell r="A38">
            <v>37</v>
          </cell>
        </row>
        <row r="39">
          <cell r="A39">
            <v>38</v>
          </cell>
        </row>
        <row r="40">
          <cell r="A40">
            <v>39</v>
          </cell>
        </row>
        <row r="41">
          <cell r="A41">
            <v>40</v>
          </cell>
        </row>
        <row r="42">
          <cell r="A42">
            <v>41</v>
          </cell>
        </row>
        <row r="43">
          <cell r="A43">
            <v>42</v>
          </cell>
        </row>
        <row r="44">
          <cell r="A44">
            <v>43</v>
          </cell>
        </row>
        <row r="45">
          <cell r="A45">
            <v>44</v>
          </cell>
        </row>
        <row r="46">
          <cell r="A46">
            <v>45</v>
          </cell>
        </row>
        <row r="47">
          <cell r="A47">
            <v>46</v>
          </cell>
        </row>
        <row r="48">
          <cell r="A48">
            <v>47</v>
          </cell>
        </row>
        <row r="49">
          <cell r="A49">
            <v>48</v>
          </cell>
        </row>
        <row r="50">
          <cell r="A50">
            <v>49</v>
          </cell>
        </row>
        <row r="51">
          <cell r="A51">
            <v>50</v>
          </cell>
        </row>
        <row r="52">
          <cell r="A52">
            <v>51</v>
          </cell>
        </row>
        <row r="53">
          <cell r="A53">
            <v>52</v>
          </cell>
        </row>
        <row r="54">
          <cell r="A54">
            <v>53</v>
          </cell>
        </row>
        <row r="55">
          <cell r="A55">
            <v>54</v>
          </cell>
        </row>
        <row r="56">
          <cell r="A56">
            <v>55</v>
          </cell>
        </row>
        <row r="57">
          <cell r="A57">
            <v>56</v>
          </cell>
        </row>
        <row r="58">
          <cell r="A58">
            <v>57</v>
          </cell>
        </row>
        <row r="59">
          <cell r="A59">
            <v>58</v>
          </cell>
        </row>
        <row r="60">
          <cell r="A60">
            <v>59</v>
          </cell>
        </row>
        <row r="61">
          <cell r="A61">
            <v>60</v>
          </cell>
        </row>
        <row r="62">
          <cell r="A62">
            <v>61</v>
          </cell>
        </row>
        <row r="63">
          <cell r="A63">
            <v>62</v>
          </cell>
        </row>
        <row r="64">
          <cell r="A64">
            <v>63</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row r="100">
          <cell r="A100">
            <v>99</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row r="202">
          <cell r="A202">
            <v>201</v>
          </cell>
        </row>
        <row r="203">
          <cell r="A203">
            <v>202</v>
          </cell>
        </row>
        <row r="204">
          <cell r="A204">
            <v>203</v>
          </cell>
        </row>
        <row r="205">
          <cell r="A205">
            <v>204</v>
          </cell>
        </row>
        <row r="206">
          <cell r="A206">
            <v>205</v>
          </cell>
        </row>
        <row r="207">
          <cell r="A207">
            <v>206</v>
          </cell>
        </row>
        <row r="208">
          <cell r="A208">
            <v>207</v>
          </cell>
        </row>
        <row r="209">
          <cell r="A209">
            <v>208</v>
          </cell>
        </row>
        <row r="210">
          <cell r="A210">
            <v>209</v>
          </cell>
        </row>
        <row r="211">
          <cell r="A211">
            <v>210</v>
          </cell>
        </row>
        <row r="212">
          <cell r="A212">
            <v>211</v>
          </cell>
        </row>
        <row r="213">
          <cell r="A213">
            <v>212</v>
          </cell>
        </row>
        <row r="214">
          <cell r="A214">
            <v>213</v>
          </cell>
        </row>
        <row r="215">
          <cell r="A215">
            <v>214</v>
          </cell>
        </row>
        <row r="216">
          <cell r="A216">
            <v>215</v>
          </cell>
        </row>
        <row r="217">
          <cell r="A217">
            <v>216</v>
          </cell>
        </row>
        <row r="218">
          <cell r="A218">
            <v>217</v>
          </cell>
        </row>
        <row r="219">
          <cell r="A219">
            <v>218</v>
          </cell>
        </row>
        <row r="220">
          <cell r="A220">
            <v>219</v>
          </cell>
        </row>
        <row r="221">
          <cell r="A221">
            <v>220</v>
          </cell>
        </row>
        <row r="222">
          <cell r="A222">
            <v>221</v>
          </cell>
        </row>
        <row r="223">
          <cell r="A223">
            <v>222</v>
          </cell>
        </row>
        <row r="224">
          <cell r="A224">
            <v>223</v>
          </cell>
        </row>
        <row r="225">
          <cell r="A225">
            <v>224</v>
          </cell>
        </row>
        <row r="226">
          <cell r="A226">
            <v>225</v>
          </cell>
        </row>
        <row r="227">
          <cell r="A227">
            <v>226</v>
          </cell>
        </row>
        <row r="228">
          <cell r="A228">
            <v>227</v>
          </cell>
        </row>
        <row r="229">
          <cell r="A229">
            <v>228</v>
          </cell>
        </row>
        <row r="230">
          <cell r="A230">
            <v>229</v>
          </cell>
        </row>
        <row r="231">
          <cell r="A231">
            <v>230</v>
          </cell>
        </row>
        <row r="232">
          <cell r="A232">
            <v>231</v>
          </cell>
        </row>
        <row r="233">
          <cell r="A233">
            <v>232</v>
          </cell>
        </row>
        <row r="234">
          <cell r="A234">
            <v>233</v>
          </cell>
        </row>
        <row r="235">
          <cell r="A235">
            <v>234</v>
          </cell>
        </row>
        <row r="236">
          <cell r="A236">
            <v>235</v>
          </cell>
        </row>
        <row r="237">
          <cell r="A237">
            <v>236</v>
          </cell>
        </row>
        <row r="238">
          <cell r="A238">
            <v>237</v>
          </cell>
        </row>
        <row r="239">
          <cell r="A239">
            <v>238</v>
          </cell>
        </row>
        <row r="240">
          <cell r="A240">
            <v>239</v>
          </cell>
        </row>
        <row r="241">
          <cell r="A241">
            <v>240</v>
          </cell>
        </row>
        <row r="242">
          <cell r="A242">
            <v>241</v>
          </cell>
        </row>
        <row r="243">
          <cell r="A243">
            <v>242</v>
          </cell>
        </row>
        <row r="244">
          <cell r="A244">
            <v>243</v>
          </cell>
        </row>
        <row r="245">
          <cell r="A245">
            <v>244</v>
          </cell>
        </row>
        <row r="246">
          <cell r="A246">
            <v>245</v>
          </cell>
        </row>
        <row r="247">
          <cell r="A247">
            <v>246</v>
          </cell>
        </row>
        <row r="248">
          <cell r="A248">
            <v>247</v>
          </cell>
        </row>
        <row r="249">
          <cell r="A249">
            <v>248</v>
          </cell>
        </row>
        <row r="250">
          <cell r="A250">
            <v>249</v>
          </cell>
        </row>
        <row r="251">
          <cell r="A251">
            <v>250</v>
          </cell>
        </row>
        <row r="252">
          <cell r="A252">
            <v>251</v>
          </cell>
        </row>
        <row r="253">
          <cell r="A253">
            <v>252</v>
          </cell>
        </row>
        <row r="254">
          <cell r="A254">
            <v>253</v>
          </cell>
        </row>
        <row r="255">
          <cell r="A255">
            <v>254</v>
          </cell>
        </row>
        <row r="256">
          <cell r="A256">
            <v>255</v>
          </cell>
        </row>
        <row r="257">
          <cell r="A257">
            <v>256</v>
          </cell>
        </row>
        <row r="258">
          <cell r="A258">
            <v>257</v>
          </cell>
        </row>
        <row r="259">
          <cell r="A259">
            <v>258</v>
          </cell>
        </row>
        <row r="260">
          <cell r="A260">
            <v>259</v>
          </cell>
        </row>
        <row r="261">
          <cell r="A261">
            <v>260</v>
          </cell>
        </row>
        <row r="262">
          <cell r="A262">
            <v>261</v>
          </cell>
        </row>
        <row r="263">
          <cell r="A263">
            <v>262</v>
          </cell>
        </row>
        <row r="264">
          <cell r="A264">
            <v>263</v>
          </cell>
        </row>
        <row r="265">
          <cell r="A265">
            <v>264</v>
          </cell>
        </row>
        <row r="266">
          <cell r="A266">
            <v>265</v>
          </cell>
        </row>
        <row r="267">
          <cell r="A267">
            <v>266</v>
          </cell>
        </row>
        <row r="268">
          <cell r="A268">
            <v>267</v>
          </cell>
        </row>
        <row r="269">
          <cell r="A269">
            <v>268</v>
          </cell>
        </row>
        <row r="270">
          <cell r="A270">
            <v>269</v>
          </cell>
        </row>
        <row r="271">
          <cell r="A271">
            <v>270</v>
          </cell>
        </row>
        <row r="272">
          <cell r="A272">
            <v>271</v>
          </cell>
        </row>
        <row r="273">
          <cell r="A273">
            <v>272</v>
          </cell>
        </row>
        <row r="274">
          <cell r="A274">
            <v>273</v>
          </cell>
        </row>
        <row r="275">
          <cell r="A275">
            <v>274</v>
          </cell>
        </row>
        <row r="276">
          <cell r="A276">
            <v>275</v>
          </cell>
        </row>
        <row r="277">
          <cell r="A277">
            <v>276</v>
          </cell>
        </row>
        <row r="278">
          <cell r="A278">
            <v>277</v>
          </cell>
        </row>
        <row r="279">
          <cell r="A279">
            <v>278</v>
          </cell>
        </row>
        <row r="280">
          <cell r="A280">
            <v>279</v>
          </cell>
        </row>
        <row r="281">
          <cell r="A281">
            <v>280</v>
          </cell>
        </row>
        <row r="282">
          <cell r="A282">
            <v>281</v>
          </cell>
        </row>
        <row r="283">
          <cell r="A283">
            <v>282</v>
          </cell>
        </row>
        <row r="284">
          <cell r="A284">
            <v>283</v>
          </cell>
        </row>
        <row r="285">
          <cell r="A285">
            <v>284</v>
          </cell>
        </row>
        <row r="286">
          <cell r="A286">
            <v>285</v>
          </cell>
        </row>
        <row r="287">
          <cell r="A287">
            <v>286</v>
          </cell>
        </row>
        <row r="288">
          <cell r="A288">
            <v>287</v>
          </cell>
        </row>
        <row r="289">
          <cell r="A289">
            <v>288</v>
          </cell>
        </row>
        <row r="290">
          <cell r="A290">
            <v>289</v>
          </cell>
        </row>
        <row r="291">
          <cell r="A291">
            <v>290</v>
          </cell>
        </row>
        <row r="292">
          <cell r="A292">
            <v>291</v>
          </cell>
        </row>
        <row r="293">
          <cell r="A293">
            <v>292</v>
          </cell>
        </row>
        <row r="294">
          <cell r="A294">
            <v>293</v>
          </cell>
        </row>
        <row r="295">
          <cell r="A295">
            <v>294</v>
          </cell>
        </row>
        <row r="296">
          <cell r="A296">
            <v>295</v>
          </cell>
        </row>
        <row r="297">
          <cell r="A297">
            <v>296</v>
          </cell>
        </row>
        <row r="298">
          <cell r="A298">
            <v>297</v>
          </cell>
        </row>
        <row r="299">
          <cell r="A299">
            <v>298</v>
          </cell>
        </row>
        <row r="300">
          <cell r="A300">
            <v>299</v>
          </cell>
        </row>
        <row r="301">
          <cell r="A301">
            <v>300</v>
          </cell>
        </row>
        <row r="302">
          <cell r="A302">
            <v>301</v>
          </cell>
        </row>
        <row r="303">
          <cell r="A303">
            <v>302</v>
          </cell>
        </row>
        <row r="304">
          <cell r="A304">
            <v>303</v>
          </cell>
        </row>
        <row r="305">
          <cell r="A305">
            <v>304</v>
          </cell>
        </row>
        <row r="306">
          <cell r="A306">
            <v>305</v>
          </cell>
        </row>
        <row r="307">
          <cell r="A307">
            <v>306</v>
          </cell>
        </row>
        <row r="308">
          <cell r="A308">
            <v>307</v>
          </cell>
        </row>
        <row r="309">
          <cell r="A309">
            <v>308</v>
          </cell>
        </row>
        <row r="310">
          <cell r="A310">
            <v>309</v>
          </cell>
        </row>
        <row r="311">
          <cell r="A311">
            <v>310</v>
          </cell>
        </row>
        <row r="312">
          <cell r="A312">
            <v>311</v>
          </cell>
        </row>
        <row r="313">
          <cell r="A313">
            <v>312</v>
          </cell>
        </row>
        <row r="314">
          <cell r="A314">
            <v>313</v>
          </cell>
        </row>
        <row r="315">
          <cell r="A315">
            <v>314</v>
          </cell>
        </row>
        <row r="316">
          <cell r="A316">
            <v>315</v>
          </cell>
        </row>
        <row r="317">
          <cell r="A317">
            <v>316</v>
          </cell>
        </row>
        <row r="318">
          <cell r="A318">
            <v>317</v>
          </cell>
        </row>
        <row r="319">
          <cell r="A319">
            <v>318</v>
          </cell>
        </row>
        <row r="320">
          <cell r="A320">
            <v>319</v>
          </cell>
        </row>
        <row r="321">
          <cell r="A321">
            <v>320</v>
          </cell>
        </row>
        <row r="322">
          <cell r="A322">
            <v>321</v>
          </cell>
        </row>
        <row r="323">
          <cell r="A323">
            <v>322</v>
          </cell>
        </row>
        <row r="324">
          <cell r="A324">
            <v>323</v>
          </cell>
        </row>
        <row r="325">
          <cell r="A325">
            <v>324</v>
          </cell>
        </row>
        <row r="326">
          <cell r="A326">
            <v>325</v>
          </cell>
        </row>
        <row r="327">
          <cell r="A327">
            <v>326</v>
          </cell>
        </row>
        <row r="328">
          <cell r="A328">
            <v>327</v>
          </cell>
        </row>
        <row r="329">
          <cell r="A329">
            <v>328</v>
          </cell>
        </row>
        <row r="330">
          <cell r="A330">
            <v>329</v>
          </cell>
        </row>
        <row r="331">
          <cell r="A331">
            <v>330</v>
          </cell>
        </row>
        <row r="332">
          <cell r="A332">
            <v>331</v>
          </cell>
        </row>
        <row r="333">
          <cell r="A333">
            <v>332</v>
          </cell>
        </row>
        <row r="334">
          <cell r="A334">
            <v>333</v>
          </cell>
        </row>
        <row r="335">
          <cell r="A335">
            <v>334</v>
          </cell>
        </row>
        <row r="336">
          <cell r="A336">
            <v>335</v>
          </cell>
        </row>
        <row r="337">
          <cell r="A337">
            <v>336</v>
          </cell>
        </row>
        <row r="338">
          <cell r="A338">
            <v>337</v>
          </cell>
        </row>
        <row r="339">
          <cell r="A339">
            <v>338</v>
          </cell>
        </row>
        <row r="340">
          <cell r="A340">
            <v>339</v>
          </cell>
        </row>
        <row r="341">
          <cell r="A341">
            <v>340</v>
          </cell>
        </row>
        <row r="342">
          <cell r="A342">
            <v>341</v>
          </cell>
        </row>
        <row r="343">
          <cell r="A343">
            <v>342</v>
          </cell>
        </row>
        <row r="344">
          <cell r="A344">
            <v>343</v>
          </cell>
        </row>
        <row r="345">
          <cell r="A345">
            <v>344</v>
          </cell>
        </row>
        <row r="346">
          <cell r="A346">
            <v>345</v>
          </cell>
        </row>
        <row r="347">
          <cell r="A347">
            <v>346</v>
          </cell>
        </row>
        <row r="348">
          <cell r="A348">
            <v>347</v>
          </cell>
        </row>
        <row r="349">
          <cell r="A349">
            <v>348</v>
          </cell>
        </row>
        <row r="350">
          <cell r="A350">
            <v>349</v>
          </cell>
        </row>
        <row r="351">
          <cell r="A351">
            <v>350</v>
          </cell>
        </row>
        <row r="352">
          <cell r="A352">
            <v>351</v>
          </cell>
        </row>
        <row r="353">
          <cell r="A353">
            <v>352</v>
          </cell>
        </row>
        <row r="354">
          <cell r="A354">
            <v>353</v>
          </cell>
        </row>
        <row r="355">
          <cell r="A355">
            <v>354</v>
          </cell>
        </row>
        <row r="356">
          <cell r="A356">
            <v>355</v>
          </cell>
        </row>
        <row r="357">
          <cell r="A357">
            <v>356</v>
          </cell>
        </row>
        <row r="358">
          <cell r="A358">
            <v>357</v>
          </cell>
        </row>
        <row r="359">
          <cell r="A359">
            <v>358</v>
          </cell>
        </row>
        <row r="360">
          <cell r="A360">
            <v>359</v>
          </cell>
        </row>
        <row r="361">
          <cell r="A361">
            <v>360</v>
          </cell>
        </row>
        <row r="362">
          <cell r="A362">
            <v>361</v>
          </cell>
        </row>
        <row r="363">
          <cell r="A363">
            <v>362</v>
          </cell>
        </row>
        <row r="364">
          <cell r="A364">
            <v>363</v>
          </cell>
        </row>
        <row r="365">
          <cell r="A365">
            <v>364</v>
          </cell>
        </row>
        <row r="366">
          <cell r="A366">
            <v>365</v>
          </cell>
        </row>
        <row r="367">
          <cell r="A367">
            <v>366</v>
          </cell>
        </row>
        <row r="368">
          <cell r="A368">
            <v>367</v>
          </cell>
        </row>
        <row r="369">
          <cell r="A369">
            <v>368</v>
          </cell>
        </row>
        <row r="370">
          <cell r="A370">
            <v>369</v>
          </cell>
        </row>
        <row r="371">
          <cell r="A371">
            <v>370</v>
          </cell>
        </row>
        <row r="372">
          <cell r="A372">
            <v>371</v>
          </cell>
        </row>
        <row r="373">
          <cell r="A373">
            <v>372</v>
          </cell>
        </row>
        <row r="374">
          <cell r="A374">
            <v>373</v>
          </cell>
        </row>
        <row r="375">
          <cell r="A375">
            <v>374</v>
          </cell>
        </row>
        <row r="376">
          <cell r="A376">
            <v>375</v>
          </cell>
        </row>
        <row r="377">
          <cell r="A377">
            <v>376</v>
          </cell>
        </row>
        <row r="378">
          <cell r="A378">
            <v>377</v>
          </cell>
        </row>
        <row r="379">
          <cell r="A379">
            <v>378</v>
          </cell>
        </row>
        <row r="380">
          <cell r="A380">
            <v>379</v>
          </cell>
        </row>
        <row r="381">
          <cell r="A381">
            <v>380</v>
          </cell>
        </row>
        <row r="382">
          <cell r="A382">
            <v>381</v>
          </cell>
        </row>
        <row r="383">
          <cell r="A383">
            <v>382</v>
          </cell>
        </row>
        <row r="384">
          <cell r="A384">
            <v>383</v>
          </cell>
        </row>
        <row r="385">
          <cell r="A385">
            <v>384</v>
          </cell>
        </row>
        <row r="386">
          <cell r="A386">
            <v>385</v>
          </cell>
        </row>
        <row r="387">
          <cell r="A387">
            <v>386</v>
          </cell>
        </row>
        <row r="388">
          <cell r="A388">
            <v>387</v>
          </cell>
        </row>
        <row r="389">
          <cell r="A389">
            <v>388</v>
          </cell>
        </row>
        <row r="390">
          <cell r="A390">
            <v>389</v>
          </cell>
        </row>
        <row r="391">
          <cell r="A391">
            <v>390</v>
          </cell>
        </row>
        <row r="392">
          <cell r="A392">
            <v>391</v>
          </cell>
        </row>
        <row r="393">
          <cell r="A393">
            <v>392</v>
          </cell>
        </row>
        <row r="394">
          <cell r="A394">
            <v>393</v>
          </cell>
        </row>
        <row r="395">
          <cell r="A395">
            <v>394</v>
          </cell>
        </row>
        <row r="396">
          <cell r="A396">
            <v>395</v>
          </cell>
        </row>
        <row r="397">
          <cell r="A397">
            <v>396</v>
          </cell>
        </row>
        <row r="398">
          <cell r="A398">
            <v>397</v>
          </cell>
        </row>
        <row r="399">
          <cell r="A399">
            <v>398</v>
          </cell>
        </row>
        <row r="400">
          <cell r="A400">
            <v>399</v>
          </cell>
        </row>
        <row r="401">
          <cell r="A401">
            <v>400</v>
          </cell>
        </row>
        <row r="402">
          <cell r="A402">
            <v>401</v>
          </cell>
        </row>
        <row r="403">
          <cell r="A403">
            <v>402</v>
          </cell>
        </row>
        <row r="404">
          <cell r="A404">
            <v>403</v>
          </cell>
        </row>
        <row r="405">
          <cell r="A405">
            <v>404</v>
          </cell>
        </row>
        <row r="406">
          <cell r="A406">
            <v>405</v>
          </cell>
        </row>
        <row r="407">
          <cell r="A407">
            <v>406</v>
          </cell>
        </row>
        <row r="408">
          <cell r="A408">
            <v>407</v>
          </cell>
        </row>
        <row r="409">
          <cell r="A409">
            <v>408</v>
          </cell>
        </row>
        <row r="410">
          <cell r="A410">
            <v>409</v>
          </cell>
        </row>
        <row r="411">
          <cell r="A411">
            <v>418</v>
          </cell>
        </row>
        <row r="412">
          <cell r="A412">
            <v>419</v>
          </cell>
        </row>
        <row r="413">
          <cell r="A413">
            <v>420</v>
          </cell>
        </row>
        <row r="414">
          <cell r="A414">
            <v>421</v>
          </cell>
        </row>
        <row r="415">
          <cell r="A415">
            <v>422</v>
          </cell>
        </row>
        <row r="416">
          <cell r="A416">
            <v>423</v>
          </cell>
        </row>
        <row r="417">
          <cell r="A417">
            <v>424</v>
          </cell>
        </row>
        <row r="418">
          <cell r="A418">
            <v>425</v>
          </cell>
        </row>
        <row r="419">
          <cell r="A419">
            <v>426</v>
          </cell>
        </row>
        <row r="420">
          <cell r="A420">
            <v>427</v>
          </cell>
        </row>
        <row r="421">
          <cell r="A421">
            <v>432</v>
          </cell>
        </row>
        <row r="422">
          <cell r="A422">
            <v>433</v>
          </cell>
        </row>
        <row r="423">
          <cell r="A423">
            <v>434</v>
          </cell>
        </row>
        <row r="424">
          <cell r="A424">
            <v>435</v>
          </cell>
        </row>
        <row r="425">
          <cell r="A425">
            <v>436</v>
          </cell>
        </row>
        <row r="426">
          <cell r="A426">
            <v>437</v>
          </cell>
        </row>
        <row r="427">
          <cell r="A427">
            <v>438</v>
          </cell>
        </row>
        <row r="428">
          <cell r="A428">
            <v>439</v>
          </cell>
        </row>
        <row r="429">
          <cell r="A429">
            <v>440</v>
          </cell>
        </row>
        <row r="430">
          <cell r="A430">
            <v>441</v>
          </cell>
        </row>
        <row r="431">
          <cell r="A431">
            <v>442</v>
          </cell>
        </row>
        <row r="432">
          <cell r="A432">
            <v>443</v>
          </cell>
        </row>
        <row r="433">
          <cell r="A433">
            <v>451</v>
          </cell>
        </row>
        <row r="434">
          <cell r="A434">
            <v>524</v>
          </cell>
        </row>
        <row r="435">
          <cell r="A435">
            <v>412</v>
          </cell>
        </row>
        <row r="436">
          <cell r="A436">
            <v>413</v>
          </cell>
        </row>
        <row r="437">
          <cell r="A437">
            <v>837</v>
          </cell>
        </row>
        <row r="438">
          <cell r="A438">
            <v>976</v>
          </cell>
        </row>
      </sheetData>
      <sheetData sheetId="3">
        <row r="1">
          <cell r="C1" t="str">
            <v>name</v>
          </cell>
          <cell r="D1" t="str">
            <v>rare</v>
          </cell>
          <cell r="E1" t="str">
            <v>drop_label</v>
          </cell>
          <cell r="G1" t="str">
            <v>name</v>
          </cell>
        </row>
      </sheetData>
      <sheetData sheetId="4"/>
      <sheetData sheetId="5"/>
      <sheetData sheetId="6"/>
      <sheetData sheetId="7"/>
      <sheetData sheetId="8"/>
      <sheetData sheetId="9"/>
      <sheetData sheetId="10">
        <row r="1">
          <cell r="A1" t="str">
            <v>ラベル</v>
          </cell>
        </row>
      </sheetData>
      <sheetData sheetId="11"/>
      <sheetData sheetId="12"/>
      <sheetData sheetId="13"/>
      <sheetData sheetId="14"/>
      <sheetData sheetId="15"/>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W10"/>
  <sheetViews>
    <sheetView topLeftCell="D1" workbookViewId="0">
      <selection activeCell="J31" sqref="J31"/>
    </sheetView>
  </sheetViews>
  <sheetFormatPr baseColWidth="12" defaultRowHeight="15" x14ac:dyDescent="0.15"/>
  <cols>
    <col min="2" max="2" width="14.83203125" bestFit="1" customWidth="1"/>
    <col min="5" max="5" width="17.6640625" bestFit="1" customWidth="1"/>
    <col min="6" max="6" width="22.1640625" bestFit="1" customWidth="1"/>
  </cols>
  <sheetData>
    <row r="1" spans="1:23" x14ac:dyDescent="0.15">
      <c r="A1" s="110" t="s">
        <v>158</v>
      </c>
      <c r="B1" s="110" t="s">
        <v>149</v>
      </c>
      <c r="C1" s="110" t="s">
        <v>150</v>
      </c>
      <c r="D1" s="110" t="s">
        <v>151</v>
      </c>
      <c r="E1" s="110" t="s">
        <v>152</v>
      </c>
      <c r="F1" s="110" t="s">
        <v>153</v>
      </c>
      <c r="G1" s="110" t="s">
        <v>154</v>
      </c>
      <c r="H1" s="110"/>
      <c r="I1" s="110"/>
      <c r="J1" s="110"/>
      <c r="K1" s="110"/>
      <c r="L1" s="111"/>
      <c r="M1" s="111"/>
      <c r="N1" s="111"/>
      <c r="O1" s="111"/>
      <c r="P1" s="111"/>
      <c r="Q1" s="111"/>
      <c r="R1" s="111"/>
      <c r="S1" s="111"/>
      <c r="T1" s="111"/>
      <c r="U1" s="111"/>
      <c r="V1" s="111"/>
      <c r="W1" s="111"/>
    </row>
    <row r="2" spans="1:23" x14ac:dyDescent="0.15">
      <c r="A2" s="112" t="s">
        <v>240</v>
      </c>
      <c r="B2" s="112" t="s">
        <v>162</v>
      </c>
      <c r="C2" s="112" t="s">
        <v>239</v>
      </c>
      <c r="D2" s="112" t="s">
        <v>161</v>
      </c>
      <c r="E2" s="111" t="str">
        <f>B2&amp;C2&amp;D2</f>
        <v>units_fruits.tmp</v>
      </c>
      <c r="F2" s="112" t="s">
        <v>157</v>
      </c>
      <c r="G2" s="63" t="s">
        <v>18</v>
      </c>
      <c r="H2" s="64" t="s">
        <v>122</v>
      </c>
      <c r="I2" s="64" t="s">
        <v>1</v>
      </c>
      <c r="J2" s="64" t="s">
        <v>3</v>
      </c>
      <c r="K2" s="64" t="s">
        <v>2</v>
      </c>
      <c r="L2" s="64" t="s">
        <v>124</v>
      </c>
      <c r="M2" s="64" t="s">
        <v>21</v>
      </c>
      <c r="N2" s="64" t="s">
        <v>129</v>
      </c>
      <c r="O2" s="64" t="s">
        <v>127</v>
      </c>
      <c r="P2" s="64" t="s">
        <v>61</v>
      </c>
      <c r="Q2" s="64" t="s">
        <v>83</v>
      </c>
      <c r="R2" s="112" t="s">
        <v>280</v>
      </c>
      <c r="S2" s="112"/>
      <c r="T2" s="112"/>
      <c r="U2" s="112"/>
      <c r="V2" s="112"/>
      <c r="W2" s="112"/>
    </row>
    <row r="3" spans="1:23" x14ac:dyDescent="0.15">
      <c r="A3" s="112" t="s">
        <v>259</v>
      </c>
      <c r="B3" s="112" t="s">
        <v>163</v>
      </c>
      <c r="C3" s="112" t="str">
        <f>C$2</f>
        <v>fruits</v>
      </c>
      <c r="D3" s="112" t="s">
        <v>161</v>
      </c>
      <c r="E3" s="111" t="str">
        <f>B3&amp;C3&amp;D3</f>
        <v>awake_materials_fruits.tmp</v>
      </c>
      <c r="F3" s="112" t="s">
        <v>156</v>
      </c>
      <c r="G3" s="113" t="s">
        <v>60</v>
      </c>
      <c r="H3" s="114" t="s">
        <v>58</v>
      </c>
      <c r="I3" s="114" t="s">
        <v>59</v>
      </c>
      <c r="J3" s="116" t="s">
        <v>159</v>
      </c>
      <c r="K3" s="115"/>
      <c r="L3" s="115"/>
      <c r="M3" s="115"/>
      <c r="N3" s="115"/>
      <c r="O3" s="115"/>
      <c r="P3" s="115"/>
      <c r="Q3" s="115"/>
      <c r="R3" s="115"/>
      <c r="S3" s="115"/>
      <c r="T3" s="115"/>
      <c r="U3" s="115"/>
      <c r="V3" s="115"/>
      <c r="W3" s="115"/>
    </row>
    <row r="4" spans="1:23" x14ac:dyDescent="0.15">
      <c r="A4" s="112" t="s">
        <v>240</v>
      </c>
      <c r="B4" s="112" t="s">
        <v>164</v>
      </c>
      <c r="C4" s="112" t="str">
        <f t="shared" ref="C4:C10" si="0">C$2</f>
        <v>fruits</v>
      </c>
      <c r="D4" s="112" t="s">
        <v>165</v>
      </c>
      <c r="E4" s="111" t="str">
        <f t="shared" ref="E4" si="1">B4&amp;C4&amp;D4</f>
        <v>unit_levels_calc_fruits.tmp</v>
      </c>
      <c r="F4" s="112" t="s">
        <v>155</v>
      </c>
      <c r="G4" s="59" t="s">
        <v>18</v>
      </c>
      <c r="H4" s="60" t="s">
        <v>2</v>
      </c>
      <c r="I4" s="61" t="s">
        <v>105</v>
      </c>
      <c r="J4" s="61" t="s">
        <v>106</v>
      </c>
      <c r="K4" s="61" t="s">
        <v>107</v>
      </c>
      <c r="L4" s="61" t="s">
        <v>108</v>
      </c>
      <c r="M4" s="61" t="s">
        <v>113</v>
      </c>
      <c r="N4" s="61" t="s">
        <v>114</v>
      </c>
      <c r="O4" s="61" t="s">
        <v>115</v>
      </c>
      <c r="P4" s="61" t="s">
        <v>116</v>
      </c>
      <c r="Q4" s="61" t="s">
        <v>117</v>
      </c>
      <c r="R4" s="61" t="s">
        <v>120</v>
      </c>
      <c r="S4" s="61" t="s">
        <v>118</v>
      </c>
      <c r="T4" s="61" t="s">
        <v>119</v>
      </c>
      <c r="U4" s="61" t="s">
        <v>109</v>
      </c>
      <c r="V4" s="61" t="s">
        <v>110</v>
      </c>
      <c r="W4" s="61" t="s">
        <v>111</v>
      </c>
    </row>
    <row r="5" spans="1:23" x14ac:dyDescent="0.15">
      <c r="A5" s="112" t="s">
        <v>240</v>
      </c>
      <c r="B5" s="112" t="s">
        <v>176</v>
      </c>
      <c r="C5" s="112" t="str">
        <f t="shared" si="0"/>
        <v>fruits</v>
      </c>
      <c r="D5" s="112" t="s">
        <v>177</v>
      </c>
      <c r="E5" s="111" t="str">
        <f>B5&amp;C5&amp;D5</f>
        <v>unit_skills_data_fruits.tmp</v>
      </c>
      <c r="F5" s="112" t="s">
        <v>178</v>
      </c>
      <c r="G5" s="121" t="s">
        <v>21</v>
      </c>
      <c r="H5" s="121" t="s">
        <v>179</v>
      </c>
      <c r="I5" s="121" t="s">
        <v>2</v>
      </c>
      <c r="J5" s="121" t="s">
        <v>180</v>
      </c>
      <c r="K5" s="121" t="s">
        <v>181</v>
      </c>
      <c r="L5" s="121" t="s">
        <v>4</v>
      </c>
      <c r="M5" s="61"/>
      <c r="N5" s="61"/>
      <c r="O5" s="61"/>
      <c r="P5" s="61"/>
      <c r="Q5" s="61"/>
      <c r="R5" s="61"/>
      <c r="S5" s="61"/>
      <c r="T5" s="61"/>
      <c r="U5" s="61"/>
      <c r="V5" s="61"/>
      <c r="W5" s="61"/>
    </row>
    <row r="6" spans="1:23" x14ac:dyDescent="0.15">
      <c r="A6" s="112" t="s">
        <v>240</v>
      </c>
      <c r="B6" s="112" t="s">
        <v>182</v>
      </c>
      <c r="C6" s="112" t="str">
        <f t="shared" si="0"/>
        <v>fruits</v>
      </c>
      <c r="D6" s="112" t="s">
        <v>161</v>
      </c>
      <c r="E6" s="111" t="str">
        <f>B6&amp;C6&amp;D6</f>
        <v>unit_skills_i18n_fruits.tmp</v>
      </c>
      <c r="F6" s="112" t="s">
        <v>178</v>
      </c>
      <c r="G6" s="121" t="s">
        <v>183</v>
      </c>
      <c r="H6" s="121" t="s">
        <v>167</v>
      </c>
      <c r="I6" s="121" t="s">
        <v>184</v>
      </c>
      <c r="J6" s="121" t="s">
        <v>185</v>
      </c>
      <c r="K6" s="115"/>
      <c r="L6" s="115"/>
      <c r="M6" s="61"/>
      <c r="N6" s="61"/>
      <c r="O6" s="61"/>
      <c r="P6" s="61"/>
      <c r="Q6" s="61"/>
      <c r="R6" s="61"/>
      <c r="S6" s="61"/>
      <c r="T6" s="61"/>
      <c r="U6" s="61"/>
      <c r="V6" s="61"/>
      <c r="W6" s="61"/>
    </row>
    <row r="7" spans="1:23" x14ac:dyDescent="0.15">
      <c r="A7" s="112" t="s">
        <v>221</v>
      </c>
      <c r="B7" s="112" t="s">
        <v>186</v>
      </c>
      <c r="C7" s="112" t="str">
        <f t="shared" si="0"/>
        <v>fruits</v>
      </c>
      <c r="D7" s="112" t="s">
        <v>187</v>
      </c>
      <c r="E7" s="111" t="str">
        <f>B7&amp;C7&amp;D7</f>
        <v>crash_skills_data_fruits.tmp</v>
      </c>
      <c r="F7" s="112" t="s">
        <v>188</v>
      </c>
      <c r="G7" s="121" t="s">
        <v>189</v>
      </c>
      <c r="H7" s="121" t="s">
        <v>181</v>
      </c>
      <c r="I7" s="121" t="s">
        <v>4</v>
      </c>
      <c r="J7" s="115"/>
      <c r="K7" s="115"/>
      <c r="L7" s="115"/>
      <c r="M7" s="61"/>
      <c r="N7" s="61"/>
      <c r="O7" s="61"/>
      <c r="P7" s="61"/>
      <c r="Q7" s="61"/>
      <c r="R7" s="61"/>
      <c r="S7" s="61"/>
      <c r="T7" s="61"/>
      <c r="U7" s="61"/>
      <c r="V7" s="61"/>
      <c r="W7" s="61"/>
    </row>
    <row r="8" spans="1:23" x14ac:dyDescent="0.15">
      <c r="A8" s="112" t="s">
        <v>221</v>
      </c>
      <c r="B8" s="112" t="s">
        <v>190</v>
      </c>
      <c r="C8" s="112" t="str">
        <f t="shared" si="0"/>
        <v>fruits</v>
      </c>
      <c r="D8" s="112" t="s">
        <v>191</v>
      </c>
      <c r="E8" s="111" t="str">
        <f t="shared" ref="E8" si="2">B8&amp;C8&amp;D8</f>
        <v>crash_skills_i18n_fruits.tmp</v>
      </c>
      <c r="F8" s="112" t="s">
        <v>188</v>
      </c>
      <c r="G8" s="121" t="s">
        <v>192</v>
      </c>
      <c r="H8" s="121" t="s">
        <v>193</v>
      </c>
      <c r="I8" s="121" t="s">
        <v>194</v>
      </c>
      <c r="J8" s="121" t="s">
        <v>195</v>
      </c>
      <c r="K8" s="122"/>
      <c r="L8" s="122"/>
      <c r="M8" s="61"/>
      <c r="N8" s="61"/>
      <c r="O8" s="61"/>
      <c r="P8" s="61"/>
      <c r="Q8" s="61"/>
      <c r="R8" s="61"/>
      <c r="S8" s="61"/>
      <c r="T8" s="61"/>
      <c r="U8" s="61"/>
      <c r="V8" s="61"/>
      <c r="W8" s="61"/>
    </row>
    <row r="9" spans="1:23" x14ac:dyDescent="0.15">
      <c r="A9" s="112" t="s">
        <v>221</v>
      </c>
      <c r="B9" s="115" t="s">
        <v>168</v>
      </c>
      <c r="C9" s="112" t="str">
        <f t="shared" si="0"/>
        <v>fruits</v>
      </c>
      <c r="D9" s="112" t="s">
        <v>191</v>
      </c>
      <c r="E9" s="111" t="str">
        <f t="shared" ref="E9:E10" si="3">B9&amp;C9&amp;D9</f>
        <v>unit_serifs_data_fruits.tmp</v>
      </c>
      <c r="F9" s="115" t="s">
        <v>170</v>
      </c>
      <c r="G9" s="120" t="s">
        <v>171</v>
      </c>
      <c r="H9" s="121" t="s">
        <v>172</v>
      </c>
      <c r="I9" s="121" t="s">
        <v>166</v>
      </c>
      <c r="J9" s="119" t="s">
        <v>228</v>
      </c>
      <c r="K9" s="112"/>
      <c r="L9" s="112"/>
      <c r="M9" s="112"/>
      <c r="N9" s="112"/>
      <c r="O9" s="112"/>
      <c r="P9" s="112"/>
      <c r="Q9" s="112"/>
      <c r="R9" s="112"/>
      <c r="S9" s="112"/>
      <c r="T9" s="112"/>
      <c r="U9" s="112"/>
      <c r="V9" s="112"/>
      <c r="W9" s="112"/>
    </row>
    <row r="10" spans="1:23" x14ac:dyDescent="0.15">
      <c r="A10" s="112" t="s">
        <v>221</v>
      </c>
      <c r="B10" s="115" t="s">
        <v>169</v>
      </c>
      <c r="C10" s="112" t="str">
        <f t="shared" si="0"/>
        <v>fruits</v>
      </c>
      <c r="D10" s="112" t="s">
        <v>191</v>
      </c>
      <c r="E10" s="111" t="str">
        <f t="shared" si="3"/>
        <v>unit_serifs_i18n_fruits.tmp</v>
      </c>
      <c r="F10" s="115" t="s">
        <v>170</v>
      </c>
      <c r="G10" s="120" t="s">
        <v>173</v>
      </c>
      <c r="H10" s="121" t="s">
        <v>174</v>
      </c>
      <c r="I10" s="121" t="s">
        <v>175</v>
      </c>
      <c r="J10" s="112"/>
      <c r="K10" s="112"/>
      <c r="L10" s="112"/>
      <c r="M10" s="112"/>
      <c r="N10" s="112"/>
      <c r="O10" s="112"/>
      <c r="P10" s="112"/>
      <c r="Q10" s="112"/>
      <c r="R10" s="112"/>
      <c r="S10" s="112"/>
      <c r="T10" s="112"/>
      <c r="U10" s="112"/>
      <c r="V10" s="112"/>
      <c r="W10" s="112"/>
    </row>
  </sheetData>
  <phoneticPr fontId="22"/>
  <dataValidations count="1">
    <dataValidation type="list" allowBlank="1" showInputMessage="1" showErrorMessage="1" sqref="A2:A10">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2"/>
  <sheetViews>
    <sheetView showGridLines="0" workbookViewId="0">
      <pane xSplit="9" ySplit="1" topLeftCell="O2" activePane="bottomRight" state="frozen"/>
      <selection pane="topRight" activeCell="J1" sqref="J1"/>
      <selection pane="bottomLeft" activeCell="A3" sqref="A3"/>
      <selection pane="bottomRight" activeCell="B12" sqref="B12"/>
    </sheetView>
  </sheetViews>
  <sheetFormatPr baseColWidth="12" defaultColWidth="8.83203125" defaultRowHeight="21" customHeight="1" outlineLevelCol="1" x14ac:dyDescent="0.15"/>
  <cols>
    <col min="1" max="1" width="12.83203125" style="150" customWidth="1"/>
    <col min="2" max="2" width="21.5" style="150" bestFit="1" customWidth="1" collapsed="1"/>
    <col min="3" max="3" width="23.6640625" style="150" hidden="1" customWidth="1" outlineLevel="1"/>
    <col min="4" max="4" width="8.6640625" style="150" hidden="1" customWidth="1" outlineLevel="1"/>
    <col min="5" max="5" width="8" style="150" hidden="1" customWidth="1" outlineLevel="1"/>
    <col min="6" max="6" width="7.1640625" style="150" hidden="1" customWidth="1" outlineLevel="1"/>
    <col min="7" max="7" width="9.6640625" style="150" bestFit="1" customWidth="1"/>
    <col min="8" max="8" width="13.6640625" style="150" bestFit="1" customWidth="1"/>
    <col min="9" max="9" width="10.5" style="150" bestFit="1" customWidth="1" collapsed="1"/>
    <col min="10" max="10" width="9.6640625" style="150" hidden="1" customWidth="1" outlineLevel="1"/>
    <col min="11" max="13" width="11" style="150" hidden="1" customWidth="1" outlineLevel="1"/>
    <col min="14" max="14" width="10" style="150" bestFit="1" customWidth="1"/>
    <col min="15" max="15" width="10.83203125" style="150" bestFit="1" customWidth="1"/>
    <col min="16" max="16" width="10" style="150" bestFit="1" customWidth="1"/>
    <col min="17" max="17" width="16.1640625" style="150" bestFit="1" customWidth="1"/>
    <col min="18" max="18" width="14.1640625" style="150" customWidth="1" collapsed="1"/>
    <col min="19" max="19" width="12.33203125" style="150" hidden="1" customWidth="1" outlineLevel="1"/>
    <col min="20" max="22" width="13.6640625" style="150" hidden="1" customWidth="1" outlineLevel="1"/>
    <col min="23" max="23" width="22.83203125" style="150" bestFit="1" customWidth="1"/>
    <col min="24" max="24" width="14.1640625" style="150" customWidth="1" collapsed="1"/>
    <col min="25" max="25" width="22" style="150" hidden="1" customWidth="1" outlineLevel="1"/>
    <col min="26" max="26" width="14.1640625" style="150" hidden="1" customWidth="1" outlineLevel="1"/>
    <col min="27" max="27" width="12.33203125" style="150" hidden="1" customWidth="1" outlineLevel="1"/>
    <col min="28" max="30" width="13.6640625" style="150" hidden="1" customWidth="1" outlineLevel="1"/>
    <col min="31" max="31" width="20.1640625" style="150" bestFit="1" customWidth="1"/>
    <col min="32" max="32" width="18.83203125" style="150" bestFit="1" customWidth="1"/>
    <col min="33" max="34" width="18.83203125" style="150" customWidth="1"/>
    <col min="35" max="35" width="15.1640625" style="150" customWidth="1"/>
    <col min="36" max="36" width="13.1640625" style="150" customWidth="1"/>
    <col min="37" max="37" width="15.33203125" style="150" bestFit="1" customWidth="1"/>
    <col min="38" max="38" width="13.33203125" style="150" bestFit="1" customWidth="1"/>
    <col min="39" max="39" width="15.33203125" style="45" bestFit="1" customWidth="1"/>
    <col min="40" max="40" width="14" style="45" bestFit="1" customWidth="1"/>
    <col min="41" max="41" width="16" style="45" bestFit="1" customWidth="1"/>
    <col min="42" max="42" width="14.33203125" style="151" bestFit="1" customWidth="1"/>
    <col min="43" max="43" width="20.83203125" style="150" customWidth="1"/>
    <col min="44" max="44" width="80.6640625" style="150" customWidth="1" outlineLevel="1"/>
    <col min="45" max="45" width="6.83203125" style="150" customWidth="1"/>
    <col min="46" max="46" width="15.6640625" style="150" bestFit="1" customWidth="1"/>
    <col min="47" max="47" width="43.6640625" style="150" customWidth="1"/>
    <col min="48" max="48" width="43.6640625" style="150" customWidth="1" outlineLevel="1"/>
    <col min="49" max="49" width="6.83203125" style="150" customWidth="1"/>
    <col min="50" max="50" width="11.33203125" style="150" bestFit="1" customWidth="1"/>
    <col min="51" max="54" width="8.33203125" style="150" customWidth="1"/>
    <col min="55" max="55" width="12" style="150" bestFit="1" customWidth="1"/>
    <col min="56" max="56" width="12" style="150" bestFit="1" customWidth="1" collapsed="1"/>
    <col min="57" max="57" width="14.33203125" style="150" hidden="1" customWidth="1" outlineLevel="1"/>
    <col min="58" max="58" width="16.1640625" style="150" hidden="1" customWidth="1" outlineLevel="1"/>
    <col min="59" max="66" width="11.83203125" style="150" customWidth="1"/>
    <col min="67" max="67" width="12.83203125" style="150" bestFit="1" customWidth="1"/>
    <col min="68" max="68" width="12.6640625" style="150" bestFit="1" customWidth="1"/>
    <col min="69" max="69" width="13.5" style="150" bestFit="1" customWidth="1"/>
    <col min="70" max="16384" width="8.83203125" style="150"/>
  </cols>
  <sheetData>
    <row r="1" spans="1:70" s="12" customFormat="1" ht="21" customHeight="1" x14ac:dyDescent="0.15">
      <c r="A1" s="84" t="s">
        <v>135</v>
      </c>
      <c r="B1" s="86" t="s">
        <v>70</v>
      </c>
      <c r="C1" s="89" t="s">
        <v>35</v>
      </c>
      <c r="D1" s="89" t="s">
        <v>38</v>
      </c>
      <c r="E1" s="89" t="s">
        <v>36</v>
      </c>
      <c r="F1" s="89" t="s">
        <v>37</v>
      </c>
      <c r="G1" s="84" t="s">
        <v>1</v>
      </c>
      <c r="H1" s="87" t="s">
        <v>20</v>
      </c>
      <c r="I1" s="88" t="s">
        <v>0</v>
      </c>
      <c r="J1" s="90" t="s">
        <v>75</v>
      </c>
      <c r="K1" s="90" t="s">
        <v>74</v>
      </c>
      <c r="L1" s="90" t="s">
        <v>76</v>
      </c>
      <c r="M1" s="90" t="s">
        <v>77</v>
      </c>
      <c r="N1" s="84" t="s">
        <v>3</v>
      </c>
      <c r="O1" s="91" t="s">
        <v>2</v>
      </c>
      <c r="P1" s="84" t="s">
        <v>123</v>
      </c>
      <c r="Q1" s="92" t="s">
        <v>19</v>
      </c>
      <c r="R1" s="83" t="s">
        <v>78</v>
      </c>
      <c r="S1" s="93" t="s">
        <v>24</v>
      </c>
      <c r="T1" s="93" t="s">
        <v>25</v>
      </c>
      <c r="U1" s="93" t="s">
        <v>27</v>
      </c>
      <c r="V1" s="93" t="s">
        <v>26</v>
      </c>
      <c r="W1" s="88" t="s">
        <v>40</v>
      </c>
      <c r="X1" s="89" t="s">
        <v>79</v>
      </c>
      <c r="Y1" s="88" t="s">
        <v>41</v>
      </c>
      <c r="Z1" s="89" t="s">
        <v>79</v>
      </c>
      <c r="AA1" s="90" t="s">
        <v>24</v>
      </c>
      <c r="AB1" s="90" t="s">
        <v>25</v>
      </c>
      <c r="AC1" s="90" t="s">
        <v>27</v>
      </c>
      <c r="AD1" s="90" t="s">
        <v>26</v>
      </c>
      <c r="AE1" s="94" t="s">
        <v>126</v>
      </c>
      <c r="AF1" s="83" t="s">
        <v>71</v>
      </c>
      <c r="AG1" s="95" t="s">
        <v>84</v>
      </c>
      <c r="AH1" s="83" t="s">
        <v>71</v>
      </c>
      <c r="AI1" s="95" t="s">
        <v>72</v>
      </c>
      <c r="AJ1" s="85" t="s">
        <v>93</v>
      </c>
      <c r="AK1" s="83" t="s">
        <v>22</v>
      </c>
      <c r="AL1" s="96" t="s">
        <v>94</v>
      </c>
      <c r="AM1" s="97" t="s">
        <v>92</v>
      </c>
      <c r="AN1" s="97" t="s">
        <v>95</v>
      </c>
      <c r="AO1" s="98" t="s">
        <v>39</v>
      </c>
      <c r="AP1" s="94" t="s">
        <v>21</v>
      </c>
      <c r="AQ1" s="99" t="s">
        <v>143</v>
      </c>
      <c r="AR1" s="99" t="s">
        <v>134</v>
      </c>
      <c r="AS1" s="83" t="s">
        <v>130</v>
      </c>
      <c r="AT1" s="94" t="s">
        <v>128</v>
      </c>
      <c r="AU1" s="83" t="s">
        <v>140</v>
      </c>
      <c r="AV1" s="99" t="s">
        <v>134</v>
      </c>
      <c r="AW1" s="83" t="s">
        <v>130</v>
      </c>
      <c r="AX1" s="89" t="s">
        <v>4</v>
      </c>
      <c r="AY1" s="100" t="s">
        <v>80</v>
      </c>
      <c r="AZ1" s="100" t="s">
        <v>81</v>
      </c>
      <c r="BA1" s="100" t="s">
        <v>144</v>
      </c>
      <c r="BB1" s="100" t="s">
        <v>82</v>
      </c>
      <c r="BC1" s="5" t="s">
        <v>23</v>
      </c>
      <c r="BD1" s="103" t="s">
        <v>46</v>
      </c>
      <c r="BE1" s="101" t="s">
        <v>5</v>
      </c>
      <c r="BF1" s="102" t="s">
        <v>6</v>
      </c>
      <c r="BG1" s="104" t="s">
        <v>96</v>
      </c>
      <c r="BH1" s="104" t="s">
        <v>97</v>
      </c>
      <c r="BI1" s="104" t="s">
        <v>98</v>
      </c>
      <c r="BJ1" s="104" t="s">
        <v>99</v>
      </c>
      <c r="BK1" s="105" t="s">
        <v>100</v>
      </c>
      <c r="BL1" s="105" t="s">
        <v>121</v>
      </c>
      <c r="BM1" s="105" t="s">
        <v>101</v>
      </c>
      <c r="BN1" s="105" t="s">
        <v>102</v>
      </c>
      <c r="BO1" s="106" t="s">
        <v>103</v>
      </c>
      <c r="BP1" s="107" t="s">
        <v>104</v>
      </c>
      <c r="BQ1" s="107" t="s">
        <v>112</v>
      </c>
      <c r="BR1" s="12" t="s">
        <v>281</v>
      </c>
    </row>
    <row r="2" spans="1:70" s="12" customFormat="1" ht="21" customHeight="1" x14ac:dyDescent="0.15">
      <c r="A2" s="137">
        <v>607</v>
      </c>
      <c r="B2" s="57" t="str">
        <f ca="1">VLOOKUP($A2,OFFSET([1]characters!$A$1,0,0,COUNTA([1]characters!$A:$A),MATCH(B$1,[1]characters!$1:$1,0)-MATCH($A$1,[1]characters!$1:$1,0)+1),MATCH(B$1,[1]characters!$1:$1,0)-MATCH($A$1,[1]characters!$1:$1,0)+1,FALSE)</f>
        <v>メガ攻めの果実</v>
      </c>
      <c r="C2" s="57" t="str">
        <f ca="1">VLOOKUP($A2,OFFSET([1]characters!$A$1,0,0,COUNTA([1]characters!$A:$A),MATCH(C$1,[1]characters!$1:$1,0)-MATCH($A$1,[1]characters!$1:$1,0)+1),MATCH(C$1,[1]characters!$1:$1,0)-MATCH($A$1,[1]characters!$1:$1,0)+1,FALSE)</f>
        <v>限界突破素材・攻撃・赤</v>
      </c>
      <c r="D2" s="57" t="str">
        <f ca="1">VLOOKUP($A2,OFFSET([1]characters!$A$1,0,0,COUNTA([1]characters!$A:$A),MATCH(D$1,[1]characters!$1:$1,0)-MATCH($A$1,[1]characters!$1:$1,0)+1),MATCH(D$1,[1]characters!$1:$1,0)-MATCH($A$1,[1]characters!$1:$1,0)+1,FALSE)</f>
        <v>アリス</v>
      </c>
      <c r="E2" s="57" t="str">
        <f ca="1">VLOOKUP($A2,OFFSET([1]characters!$A$1,0,0,COUNTA([1]characters!$A:$A),MATCH(E$1,[1]characters!$1:$1,0)-MATCH($A$1,[1]characters!$1:$1,0)+1),MATCH(E$1,[1]characters!$1:$1,0)-MATCH($A$1,[1]characters!$1:$1,0)+1,FALSE)</f>
        <v>世界観</v>
      </c>
      <c r="F2" s="57" t="str">
        <f ca="1">VLOOKUP($A2,OFFSET([1]characters!$A$1,0,0,COUNTA([1]characters!$A:$A),MATCH(F$1,[1]characters!$1:$1,0)-MATCH($A$1,[1]characters!$1:$1,0)+1),MATCH(F$1,[1]characters!$1:$1,0)-MATCH($A$1,[1]characters!$1:$1,0)+1,FALSE)</f>
        <v>不明</v>
      </c>
      <c r="G2" s="57">
        <f ca="1">VLOOKUP($A2,OFFSET([1]characters!$A$1,0,0,COUNTA([1]characters!$A:$A),MATCH(G$1,[1]characters!$1:$1,0)-MATCH($A$1,[1]characters!$1:$1,0)+1),MATCH(G$1,[1]characters!$1:$1,0)-MATCH($A$1,[1]characters!$1:$1,0)+1,FALSE)</f>
        <v>4</v>
      </c>
      <c r="H2" s="57" t="str">
        <f ca="1">VLOOKUP($A2,OFFSET([1]characters!$A$1,0,0,COUNTA([1]characters!$A:$A),MATCH(H$1,[1]characters!$1:$1,0)-MATCH($A$1,[1]characters!$1:$1,0)+1),MATCH(H$1,[1]characters!$1:$1,0)-MATCH($A$1,[1]characters!$1:$1,0)+1,FALSE)</f>
        <v>Material</v>
      </c>
      <c r="I2" s="57"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INDEX(コスト!$A$1:$I$15,MATCH(H2,コスト!$A$1:$A$15,FALSE),MATCH(G2,コスト!$A$1:$I$1,FALSE))</f>
        <v>99</v>
      </c>
      <c r="O2" s="11">
        <f ca="1">INDEX(レベル!$A$1:$I$16,MATCH(H2,レベル!$A$1:$A$16,FALSE),MATCH(G2,レベル!$A$1:$I$1,FALSE))</f>
        <v>1</v>
      </c>
      <c r="P2" s="149">
        <v>1</v>
      </c>
      <c r="Q2" s="155" t="s">
        <v>246</v>
      </c>
      <c r="R2" s="5" t="str">
        <f>VLOOKUP(Q2,[1]character_type_i18n!$A:$H,3,FALSE)</f>
        <v>攻撃タイプ</v>
      </c>
      <c r="S2" s="11">
        <f>VLOOKUP(Q2,[1]character_type_i18n!$A:$H,4,FALSE)</f>
        <v>1</v>
      </c>
      <c r="T2" s="11">
        <f>VLOOKUP(Q2,[1]character_type_i18n!$A:$H,5,FALSE)</f>
        <v>1.33</v>
      </c>
      <c r="U2" s="11">
        <f>VLOOKUP(Q2,[1]character_type_i18n!$A:$H,6,FALSE)</f>
        <v>1</v>
      </c>
      <c r="V2" s="11">
        <f>VLOOKUP(Q2,[1]character_type_i18n!$A:$H,7,FALSE)</f>
        <v>0.67</v>
      </c>
      <c r="W2" s="57" t="str">
        <f ca="1">VLOOKUP($A2,OFFSET([1]characters!$A$1,0,0,COUNTA([1]characters!$A:$A),MATCH(W$1,[1]characters!$1:$1,0)-MATCH($A$1,[1]characters!$1:$1,0)+1),MATCH(W$1,[1]characters!$1:$1,0)-MATCH($A$1,[1]characters!$1:$1,0)+1,FALSE)</f>
        <v>unknown</v>
      </c>
      <c r="X2" s="5" t="str">
        <f ca="1">VLOOKUP(W2,[1]character_tribe_i18n!$A:$H,3,FALSE)</f>
        <v>Unknown</v>
      </c>
      <c r="Y2" s="57"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1</v>
      </c>
      <c r="AB2" s="11">
        <f ca="1">VLOOKUP(W2,[1]character_tribe_i18n!$A:$H,5,FALSE)</f>
        <v>1</v>
      </c>
      <c r="AC2" s="11">
        <f ca="1">VLOOKUP(W2,[1]character_tribe_i18n!$A:$H,6,FALSE)</f>
        <v>1</v>
      </c>
      <c r="AD2" s="11">
        <f ca="1">VLOOKUP(W2,[1]character_tribe_i18n!$A:$H,7,FALSE)</f>
        <v>1</v>
      </c>
      <c r="AE2" s="137">
        <v>611</v>
      </c>
      <c r="AF2" s="62" t="str">
        <f ca="1">IF(AE2="NULL","",VLOOKUP($AE2,OFFSET([1]characters!$A$1,0,0,COUNTA([1]characters!$A:$A),MATCH(AF$1,[1]characters!$1:$1,0)-MATCH($A$1,[1]characters!$1:$1,0)+1),MATCH(AF$1,[1]characters!$1:$1,0)-MATCH($A$1,[1]characters!$1:$1,0)+1,FALSE))</f>
        <v>ギガ攻めの果実</v>
      </c>
      <c r="AG2" s="159">
        <v>121</v>
      </c>
      <c r="AH2" s="62" t="str">
        <f ca="1">VLOOKUP($AG2,OFFSET([1]characters!$A$1,0,0,COUNTA([1]characters!$A:$A),MATCH(AH$1,[1]characters!$1:$1,0)-MATCH($A$1,[1]characters!$1:$1,0)+1),MATCH(AH$1,[1]characters!$1:$1,0)-MATCH($A$1,[1]characters!$1:$1,0)+1,FALSE)</f>
        <v>攻めの果実</v>
      </c>
      <c r="AI2" s="160">
        <f ca="1">IF(AE2="NULL","NULL",VLOOKUP(G2,ビット!$A$2:$B$7,2)/5)</f>
        <v>10000</v>
      </c>
      <c r="AJ2" s="6">
        <v>2</v>
      </c>
      <c r="AK2" s="7" t="str">
        <f t="shared" ref="AK2:AK9" si="0">IF(AJ2=1,"早熟",IF(AJ2=2,"普通",IF(AJ2=3,"晩成","")))</f>
        <v>普通</v>
      </c>
      <c r="AL2" s="11" t="str">
        <f ca="1">INDEX(経験値!$A$1:$I$15,MATCH(H2,経験値!$A$1:$A$15,FALSE),MATCH(G2,経験値!$A$1:$I$1,FALSE))</f>
        <v>NULL</v>
      </c>
      <c r="AM2" s="8">
        <f ca="1">VLOOKUP(G2,経験値!$A$22:$B$26,2)</f>
        <v>3400</v>
      </c>
      <c r="AN2" s="14">
        <f ca="1">VLOOKUP(G2,ビット!$G$2:$H$7,2)</f>
        <v>600</v>
      </c>
      <c r="AO2" s="44"/>
      <c r="AP2" s="137">
        <v>607</v>
      </c>
      <c r="AQ2" s="57" t="str">
        <f ca="1">VLOOKUP($AP2,OFFSET(unit_skills!$A$1,0,0,COUNTA(unit_skills!$A:$A),MATCH(AQ$1,unit_skills!$1:$1,0)-MATCH($AP$1,unit_skills!$1:$1,0)+1),MATCH(AQ$1,unit_skills!$1:$1,0)-MATCH($AP$1,unit_skills!$1:$1,0)+1,FALSE)</f>
        <v>限界突破素材（攻撃力）</v>
      </c>
      <c r="AR2" s="57" t="str">
        <f ca="1">VLOOKUP($AP2,OFFSET(unit_skills!$A$1,0,0,COUNTA(unit_skills!$A:$A),MATCH(AR$1,unit_skills!$1:$1,0)-MATCH($AP$1,unit_skills!$1:$1,0)+1),MATCH(AR$1,unit_skills!$1:$1,0)-MATCH($AP$1,unit_skills!$1:$1,0)+1,FALSE)</f>
        <v>このユニットをユニット強化の素材にすると攻撃力の限界突破値を+3する</v>
      </c>
      <c r="AS2" s="57">
        <f ca="1">VLOOKUP($AP2,OFFSET(unit_skills!$A$1,0,0,COUNTA(unit_skills!$A:$A),MATCH(AS$1,unit_skills!$1:$1,0)-MATCH($AP$1,unit_skills!$1:$1,0)+1),MATCH(AS$1,unit_skills!$1:$1,0)-MATCH($AP$1,unit_skills!$1:$1,0)+1,FALSE)</f>
        <v>0</v>
      </c>
      <c r="AT2" s="40">
        <v>0</v>
      </c>
      <c r="AU2" s="57" t="e">
        <f ca="1">VLOOKUP($AT2,OFFSET([2]crash_skills!$A$1,0,0,COUNTA([2]crash_skills!$A:$A),MATCH(AU$1,[2]crash_skills!$1:$1,0)-MATCH($AT$1,[2]crash_skills!$1:$1,0)+1),MATCH(AU$1,[2]crash_skills!$1:$1,0)-MATCH($AT$1,[2]crash_skills!$1:$1,0)+1,FALSE)</f>
        <v>#VALUE!</v>
      </c>
      <c r="AV2" s="57" t="e">
        <f ca="1">VLOOKUP($AT2,OFFSET([2]crash_skills!$A$1,0,0,COUNTA([2]crash_skills!$A:$A),MATCH(AV$1,[2]crash_skills!$1:$1,0)-MATCH($AT$1,[2]crash_skills!$1:$1,0)+1),MATCH(AV$1,[2]crash_skills!$1:$1,0)-MATCH($AT$1,[2]crash_skills!$1:$1,0)+1,FALSE)</f>
        <v>#VALUE!</v>
      </c>
      <c r="AW2" s="57" t="e">
        <f ca="1">VLOOKUP($AT2,OFFSET([2]crash_skills!$A$1,0,0,COUNTA([2]crash_skills!$A:$A),MATCH(AW$1,[2]crash_skills!$1:$1,0)-MATCH($AT$1,[2]crash_skills!$1:$1,0)+1),MATCH(AW$1,[2]crash_skills!$1:$1,0)-MATCH($AT$1,[2]crash_skills!$1:$1,0)+1,FALSE)</f>
        <v>#VALUE!</v>
      </c>
      <c r="AX2" s="58">
        <f ca="1">VLOOKUP($A2,OFFSET([1]characters!$A$1,0,0,COUNTA([1]characters!$A:$A),MATCH(AX$1,[1]characters!$1:$1,0)-MATCH($A$1,[1]characters!$1:$1,0)+1),MATCH(AX$1,[1]characters!$1:$1,0)-MATCH($A$1,[1]characters!$1:$1,0)+1,FALSE)</f>
        <v>3</v>
      </c>
      <c r="AY2" s="67">
        <v>2</v>
      </c>
      <c r="AZ2" s="67">
        <v>2</v>
      </c>
      <c r="BA2" s="67">
        <v>0</v>
      </c>
      <c r="BB2" s="67">
        <v>2</v>
      </c>
      <c r="BC2" s="11">
        <f ca="1">INDEX('RC6SV'!$A$1:$G$15,MATCH(H2,'RC6SV'!$A$1:$A$15,FALSE),MATCH(G2,'RC6SV'!$A$1:$G$1,FALSE))</f>
        <v>1000</v>
      </c>
      <c r="BD2" s="47">
        <f t="shared" ref="BD2:BD8" ca="1" si="1">ROUND(BC2*IF(AJ2=1,0.95,IF(AJ2=2,1,IF(AJ2,1.05,0))),0)</f>
        <v>1000</v>
      </c>
      <c r="BE2" s="11">
        <f t="shared" ref="BE2:BE12" ca="1" si="2">ROUND(IFERROR(INDIRECT(ADDRESS(MATCH($A2,$AE:$AE,0),MATCH($BC$1,$1:$1,0))),0),0)</f>
        <v>0</v>
      </c>
      <c r="BF2" s="11">
        <f t="shared" ref="BF2:BF12" ca="1" si="3">ROUND(IFERROR(INDIRECT(ADDRESS(MATCH($A2,$AE:$AE,0),10)),INDIRECT(ADDRESS(MATCH($A2,$A:$A,0),10))),0)</f>
        <v>1</v>
      </c>
      <c r="BG2" s="13">
        <f ca="1">IF($BE2&lt;=0,ROUND(BK2*0.5,0), ROUND($BE2*S2*AA2*J2*AY2*0.8*[1]ステータス!$B$2,0))</f>
        <v>500</v>
      </c>
      <c r="BH2" s="13">
        <f ca="1">IF($BE2&lt;=0,ROUND(BL2*0.5,0), ROUND($BE2*T2*AB2*K2*AZ2*0.8*[1]ステータス!$C$2,0))</f>
        <v>407</v>
      </c>
      <c r="BI2" s="13">
        <f ca="1">IF($BE2&lt;=0,ROUND(BM2*0.5,0), ROUND($BE2*U2*AC2*L2*BA2*0.8*[1]ステータス!$D$2,0))</f>
        <v>0</v>
      </c>
      <c r="BJ2" s="13">
        <f ca="1">IF($BE2&lt;=0,ROUND(BN2*0.5,0), ROUND($BE2*V2*AD2*M2*BB2*0.8*[1]ステータス!$E$2,0))</f>
        <v>164</v>
      </c>
      <c r="BK2" s="11">
        <f ca="1">ROUND(BD2*S2*AA2*J2*AY2*[1]ステータス!$B$2,0)</f>
        <v>1000</v>
      </c>
      <c r="BL2" s="11">
        <f ca="1">ROUND(BD2*T2*AB2*K2*AZ2*[1]ステータス!$C$2,0)</f>
        <v>814</v>
      </c>
      <c r="BM2" s="11">
        <f ca="1">ROUND(BD2*U2*AC2*L2*BA2*[1]ステータス!$D$2,0)</f>
        <v>0</v>
      </c>
      <c r="BN2" s="11">
        <f ca="1">ROUND(BD2*V2*AD2*M2*BB2*[1]ステータス!$E$2,0)</f>
        <v>328</v>
      </c>
      <c r="BO2" s="10">
        <v>0</v>
      </c>
      <c r="BP2" s="10">
        <v>1</v>
      </c>
      <c r="BQ2" s="36" t="s">
        <v>73</v>
      </c>
      <c r="BR2" s="12">
        <f ca="1">VLOOKUP(H2,ghosts_label!$A$2:$B$19,2,FALSE)</f>
        <v>0</v>
      </c>
    </row>
    <row r="3" spans="1:70" s="12" customFormat="1" ht="21" customHeight="1" x14ac:dyDescent="0.15">
      <c r="A3" s="137">
        <v>608</v>
      </c>
      <c r="B3" s="57" t="str">
        <f ca="1">VLOOKUP($A3,OFFSET([1]characters!$A$1,0,0,COUNTA([1]characters!$A:$A),MATCH(B$1,[1]characters!$1:$1,0)-MATCH($A$1,[1]characters!$1:$1,0)+1),MATCH(B$1,[1]characters!$1:$1,0)-MATCH($A$1,[1]characters!$1:$1,0)+1,FALSE)</f>
        <v>メガ生命の果実</v>
      </c>
      <c r="C3" s="57" t="str">
        <f ca="1">VLOOKUP($A3,OFFSET([1]characters!$A$1,0,0,COUNTA([1]characters!$A:$A),MATCH(C$1,[1]characters!$1:$1,0)-MATCH($A$1,[1]characters!$1:$1,0)+1),MATCH(C$1,[1]characters!$1:$1,0)-MATCH($A$1,[1]characters!$1:$1,0)+1,FALSE)</f>
        <v>限界突破素材・体力・緑</v>
      </c>
      <c r="D3" s="57" t="str">
        <f ca="1">VLOOKUP($A3,OFFSET([1]characters!$A$1,0,0,COUNTA([1]characters!$A:$A),MATCH(D$1,[1]characters!$1:$1,0)-MATCH($A$1,[1]characters!$1:$1,0)+1),MATCH(D$1,[1]characters!$1:$1,0)-MATCH($A$1,[1]characters!$1:$1,0)+1,FALSE)</f>
        <v>アリス</v>
      </c>
      <c r="E3" s="57" t="str">
        <f ca="1">VLOOKUP($A3,OFFSET([1]characters!$A$1,0,0,COUNTA([1]characters!$A:$A),MATCH(E$1,[1]characters!$1:$1,0)-MATCH($A$1,[1]characters!$1:$1,0)+1),MATCH(E$1,[1]characters!$1:$1,0)-MATCH($A$1,[1]characters!$1:$1,0)+1,FALSE)</f>
        <v>世界観</v>
      </c>
      <c r="F3" s="57" t="str">
        <f ca="1">VLOOKUP($A3,OFFSET([1]characters!$A$1,0,0,COUNTA([1]characters!$A:$A),MATCH(F$1,[1]characters!$1:$1,0)-MATCH($A$1,[1]characters!$1:$1,0)+1),MATCH(F$1,[1]characters!$1:$1,0)-MATCH($A$1,[1]characters!$1:$1,0)+1,FALSE)</f>
        <v>不明</v>
      </c>
      <c r="G3" s="57">
        <f ca="1">VLOOKUP($A3,OFFSET([1]characters!$A$1,0,0,COUNTA([1]characters!$A:$A),MATCH(G$1,[1]characters!$1:$1,0)-MATCH($A$1,[1]characters!$1:$1,0)+1),MATCH(G$1,[1]characters!$1:$1,0)-MATCH($A$1,[1]characters!$1:$1,0)+1,FALSE)</f>
        <v>4</v>
      </c>
      <c r="H3" s="57" t="str">
        <f ca="1">VLOOKUP($A3,OFFSET([1]characters!$A$1,0,0,COUNTA([1]characters!$A:$A),MATCH(H$1,[1]characters!$1:$1,0)-MATCH($A$1,[1]characters!$1:$1,0)+1),MATCH(H$1,[1]characters!$1:$1,0)-MATCH($A$1,[1]characters!$1:$1,0)+1,FALSE)</f>
        <v>Material</v>
      </c>
      <c r="I3" s="57" t="str">
        <f ca="1">VLOOKUP($A3,OFFSET([1]characters!$A$1,0,0,COUNTA([1]characters!$A:$A),MATCH(I$1,[1]characters!$1:$1,0)-MATCH($A$1,[1]characters!$1:$1,0)+1),MATCH(I$1,[1]characters!$1:$1,0)-MATCH($A$1,[1]characters!$1:$1,0)+1,FALSE)</f>
        <v>green</v>
      </c>
      <c r="J3" s="11">
        <f ca="1">VLOOKUP(I3,[1]属性!$A:$E,2,FALSE)</f>
        <v>1.02</v>
      </c>
      <c r="K3" s="11">
        <f ca="1">VLOOKUP(I3,[1]属性!$A:$E,3,FALSE)</f>
        <v>0.98</v>
      </c>
      <c r="L3" s="11">
        <f ca="1">VLOOKUP(I3,[1]属性!$A:$E,4,FALSE)</f>
        <v>1</v>
      </c>
      <c r="M3" s="11">
        <f ca="1">VLOOKUP(I3,[1]属性!$A:$E,5,FALSE)</f>
        <v>1</v>
      </c>
      <c r="N3" s="11">
        <f ca="1">INDEX(コスト!$A$1:$I$15,MATCH(H3,コスト!$A$1:$A$15,FALSE),MATCH(G3,コスト!$A$1:$I$1,FALSE))</f>
        <v>99</v>
      </c>
      <c r="O3" s="11">
        <f ca="1">INDEX(レベル!$A$1:$I$16,MATCH(H3,レベル!$A$1:$A$16,FALSE),MATCH(G3,レベル!$A$1:$I$1,FALSE))</f>
        <v>1</v>
      </c>
      <c r="P3" s="149">
        <v>1</v>
      </c>
      <c r="Q3" s="155" t="s">
        <v>247</v>
      </c>
      <c r="R3" s="5" t="str">
        <f>VLOOKUP(Q3,[1]character_type_i18n!$A:$H,3,FALSE)</f>
        <v>体力タイプ</v>
      </c>
      <c r="S3" s="11">
        <f>VLOOKUP(Q3,[1]character_type_i18n!$A:$H,4,FALSE)</f>
        <v>1.45</v>
      </c>
      <c r="T3" s="11">
        <f>VLOOKUP(Q3,[1]character_type_i18n!$A:$H,5,FALSE)</f>
        <v>0.85</v>
      </c>
      <c r="U3" s="11">
        <f>VLOOKUP(Q3,[1]character_type_i18n!$A:$H,6,FALSE)</f>
        <v>1</v>
      </c>
      <c r="V3" s="11">
        <f>VLOOKUP(Q3,[1]character_type_i18n!$A:$H,7,FALSE)</f>
        <v>0.7</v>
      </c>
      <c r="W3" s="57" t="str">
        <f ca="1">VLOOKUP($A3,OFFSET([1]characters!$A$1,0,0,COUNTA([1]characters!$A:$A),MATCH(W$1,[1]characters!$1:$1,0)-MATCH($A$1,[1]characters!$1:$1,0)+1),MATCH(W$1,[1]characters!$1:$1,0)-MATCH($A$1,[1]characters!$1:$1,0)+1,FALSE)</f>
        <v>unknown</v>
      </c>
      <c r="X3" s="5" t="str">
        <f ca="1">VLOOKUP(W3,[1]character_tribe_i18n!$A:$H,3,FALSE)</f>
        <v>Unknown</v>
      </c>
      <c r="Y3" s="57"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1</v>
      </c>
      <c r="AB3" s="11">
        <f ca="1">VLOOKUP(W3,[1]character_tribe_i18n!$A:$H,5,FALSE)</f>
        <v>1</v>
      </c>
      <c r="AC3" s="11">
        <f ca="1">VLOOKUP(W3,[1]character_tribe_i18n!$A:$H,6,FALSE)</f>
        <v>1</v>
      </c>
      <c r="AD3" s="11">
        <f ca="1">VLOOKUP(W3,[1]character_tribe_i18n!$A:$H,7,FALSE)</f>
        <v>1</v>
      </c>
      <c r="AE3" s="137">
        <v>612</v>
      </c>
      <c r="AF3" s="62" t="str">
        <f ca="1">IF(AE3="NULL","",VLOOKUP($AE3,OFFSET([1]characters!$A$1,0,0,COUNTA([1]characters!$A:$A),MATCH(AF$1,[1]characters!$1:$1,0)-MATCH($A$1,[1]characters!$1:$1,0)+1),MATCH(AF$1,[1]characters!$1:$1,0)-MATCH($A$1,[1]characters!$1:$1,0)+1,FALSE))</f>
        <v>ギガ生命の果実</v>
      </c>
      <c r="AG3" s="159">
        <v>122</v>
      </c>
      <c r="AH3" s="62" t="str">
        <f ca="1">VLOOKUP($AG3,OFFSET([1]characters!$A$1,0,0,COUNTA([1]characters!$A:$A),MATCH(AH$1,[1]characters!$1:$1,0)-MATCH($A$1,[1]characters!$1:$1,0)+1),MATCH(AH$1,[1]characters!$1:$1,0)-MATCH($A$1,[1]characters!$1:$1,0)+1,FALSE)</f>
        <v>生命の果実</v>
      </c>
      <c r="AI3" s="160">
        <f ca="1">IF(AE3="NULL","NULL",VLOOKUP(G3,ビット!$A$2:$B$7,2)/5)</f>
        <v>10000</v>
      </c>
      <c r="AJ3" s="6">
        <v>2</v>
      </c>
      <c r="AK3" s="7" t="str">
        <f t="shared" si="0"/>
        <v>普通</v>
      </c>
      <c r="AL3" s="11" t="str">
        <f ca="1">INDEX(経験値!$A$1:$I$15,MATCH(H3,経験値!$A$1:$A$15,FALSE),MATCH(G3,経験値!$A$1:$I$1,FALSE))</f>
        <v>NULL</v>
      </c>
      <c r="AM3" s="8">
        <f ca="1">VLOOKUP(G3,経験値!$A$22:$B$26,2)</f>
        <v>3400</v>
      </c>
      <c r="AN3" s="14">
        <f ca="1">VLOOKUP(G3,ビット!$G$2:$H$7,2)</f>
        <v>600</v>
      </c>
      <c r="AO3" s="44"/>
      <c r="AP3" s="137">
        <v>608</v>
      </c>
      <c r="AQ3" s="57" t="str">
        <f ca="1">VLOOKUP($AP3,OFFSET(unit_skills!$A$1,0,0,COUNTA(unit_skills!$A:$A),MATCH(AQ$1,unit_skills!$1:$1,0)-MATCH($AP$1,unit_skills!$1:$1,0)+1),MATCH(AQ$1,unit_skills!$1:$1,0)-MATCH($AP$1,unit_skills!$1:$1,0)+1,FALSE)</f>
        <v>限界突破素材（体力）</v>
      </c>
      <c r="AR3" s="57" t="str">
        <f ca="1">VLOOKUP($AP3,OFFSET(unit_skills!$A$1,0,0,COUNTA(unit_skills!$A:$A),MATCH(AR$1,unit_skills!$1:$1,0)-MATCH($AP$1,unit_skills!$1:$1,0)+1),MATCH(AR$1,unit_skills!$1:$1,0)-MATCH($AP$1,unit_skills!$1:$1,0)+1,FALSE)</f>
        <v>このユニットをユニット強化の素材にすると体力の限界突破値を+3する</v>
      </c>
      <c r="AS3" s="57">
        <f ca="1">VLOOKUP($AP3,OFFSET(unit_skills!$A$1,0,0,COUNTA(unit_skills!$A:$A),MATCH(AS$1,unit_skills!$1:$1,0)-MATCH($AP$1,unit_skills!$1:$1,0)+1),MATCH(AS$1,unit_skills!$1:$1,0)-MATCH($AP$1,unit_skills!$1:$1,0)+1,FALSE)</f>
        <v>0</v>
      </c>
      <c r="AT3" s="40">
        <v>1</v>
      </c>
      <c r="AU3" s="57" t="e">
        <f ca="1">VLOOKUP($AT3,OFFSET([2]crash_skills!$A$1,0,0,COUNTA([2]crash_skills!$A:$A),MATCH(AU$1,[2]crash_skills!$1:$1,0)-MATCH($AT$1,[2]crash_skills!$1:$1,0)+1),MATCH(AU$1,[2]crash_skills!$1:$1,0)-MATCH($AT$1,[2]crash_skills!$1:$1,0)+1,FALSE)</f>
        <v>#VALUE!</v>
      </c>
      <c r="AV3" s="57" t="e">
        <f ca="1">VLOOKUP($AT3,OFFSET([2]crash_skills!$A$1,0,0,COUNTA([2]crash_skills!$A:$A),MATCH(AV$1,[2]crash_skills!$1:$1,0)-MATCH($AT$1,[2]crash_skills!$1:$1,0)+1),MATCH(AV$1,[2]crash_skills!$1:$1,0)-MATCH($AT$1,[2]crash_skills!$1:$1,0)+1,FALSE)</f>
        <v>#VALUE!</v>
      </c>
      <c r="AW3" s="57" t="e">
        <f ca="1">VLOOKUP($AT3,OFFSET([2]crash_skills!$A$1,0,0,COUNTA([2]crash_skills!$A:$A),MATCH(AW$1,[2]crash_skills!$1:$1,0)-MATCH($AT$1,[2]crash_skills!$1:$1,0)+1),MATCH(AW$1,[2]crash_skills!$1:$1,0)-MATCH($AT$1,[2]crash_skills!$1:$1,0)+1,FALSE)</f>
        <v>#VALUE!</v>
      </c>
      <c r="AX3" s="58">
        <f ca="1">VLOOKUP($A3,OFFSET([1]characters!$A$1,0,0,COUNTA([1]characters!$A:$A),MATCH(AX$1,[1]characters!$1:$1,0)-MATCH($A$1,[1]characters!$1:$1,0)+1),MATCH(AX$1,[1]characters!$1:$1,0)-MATCH($A$1,[1]characters!$1:$1,0)+1,FALSE)</f>
        <v>3</v>
      </c>
      <c r="AY3" s="67">
        <v>2</v>
      </c>
      <c r="AZ3" s="67">
        <v>2</v>
      </c>
      <c r="BA3" s="67">
        <v>0</v>
      </c>
      <c r="BB3" s="67">
        <v>2</v>
      </c>
      <c r="BC3" s="11">
        <f ca="1">INDEX('RC6SV'!$A$1:$G$15,MATCH(H3,'RC6SV'!$A$1:$A$15,FALSE),MATCH(G3,'RC6SV'!$A$1:$G$1,FALSE))</f>
        <v>1000</v>
      </c>
      <c r="BD3" s="47">
        <f t="shared" ca="1" si="1"/>
        <v>1000</v>
      </c>
      <c r="BE3" s="11">
        <f t="shared" ca="1" si="2"/>
        <v>0</v>
      </c>
      <c r="BF3" s="11">
        <f t="shared" ca="1" si="3"/>
        <v>1</v>
      </c>
      <c r="BG3" s="13">
        <f ca="1">IF($BE3&lt;=0,ROUND(BK3*0.5,0), ROUND($BE3*S3*AA3*J3*AY3*0.8*[1]ステータス!$B$2,0))</f>
        <v>740</v>
      </c>
      <c r="BH3" s="13">
        <f ca="1">IF($BE3&lt;=0,ROUND(BL3*0.5,0), ROUND($BE3*T3*AB3*K3*AZ3*0.8*[1]ステータス!$C$2,0))</f>
        <v>250</v>
      </c>
      <c r="BI3" s="13">
        <f ca="1">IF($BE3&lt;=0,ROUND(BM3*0.5,0), ROUND($BE3*U3*AC3*L3*BA3*0.8*[1]ステータス!$D$2,0))</f>
        <v>0</v>
      </c>
      <c r="BJ3" s="13">
        <f ca="1">IF($BE3&lt;=0,ROUND(BN3*0.5,0), ROUND($BE3*V3*AD3*M3*BB3*0.8*[1]ステータス!$E$2,0))</f>
        <v>175</v>
      </c>
      <c r="BK3" s="11">
        <f ca="1">ROUND(BD3*S3*AA3*J3*AY3*[1]ステータス!$B$2,0)</f>
        <v>1479</v>
      </c>
      <c r="BL3" s="11">
        <f ca="1">ROUND(BD3*T3*AB3*K3*AZ3*[1]ステータス!$C$2,0)</f>
        <v>500</v>
      </c>
      <c r="BM3" s="11">
        <f ca="1">ROUND(BD3*U3*AC3*L3*BA3*[1]ステータス!$D$2,0)</f>
        <v>0</v>
      </c>
      <c r="BN3" s="11">
        <f ca="1">ROUND(BD3*V3*AD3*M3*BB3*[1]ステータス!$E$2,0)</f>
        <v>350</v>
      </c>
      <c r="BO3" s="10">
        <v>0</v>
      </c>
      <c r="BP3" s="10">
        <v>1</v>
      </c>
      <c r="BQ3" s="36" t="s">
        <v>73</v>
      </c>
      <c r="BR3" s="12">
        <f ca="1">VLOOKUP(H3,ghosts_label!$A$2:$B$19,2,FALSE)</f>
        <v>0</v>
      </c>
    </row>
    <row r="4" spans="1:70" s="12" customFormat="1" ht="21" customHeight="1" x14ac:dyDescent="0.15">
      <c r="A4" s="137">
        <v>609</v>
      </c>
      <c r="B4" s="57" t="str">
        <f ca="1">VLOOKUP($A4,OFFSET([1]characters!$A$1,0,0,COUNTA([1]characters!$A:$A),MATCH(B$1,[1]characters!$1:$1,0)-MATCH($A$1,[1]characters!$1:$1,0)+1),MATCH(B$1,[1]characters!$1:$1,0)-MATCH($A$1,[1]characters!$1:$1,0)+1,FALSE)</f>
        <v>メガ癒しの果実</v>
      </c>
      <c r="C4" s="57" t="str">
        <f ca="1">VLOOKUP($A4,OFFSET([1]characters!$A$1,0,0,COUNTA([1]characters!$A:$A),MATCH(C$1,[1]characters!$1:$1,0)-MATCH($A$1,[1]characters!$1:$1,0)+1),MATCH(C$1,[1]characters!$1:$1,0)-MATCH($A$1,[1]characters!$1:$1,0)+1,FALSE)</f>
        <v>限界突破素材・回復・青</v>
      </c>
      <c r="D4" s="57" t="str">
        <f ca="1">VLOOKUP($A4,OFFSET([1]characters!$A$1,0,0,COUNTA([1]characters!$A:$A),MATCH(D$1,[1]characters!$1:$1,0)-MATCH($A$1,[1]characters!$1:$1,0)+1),MATCH(D$1,[1]characters!$1:$1,0)-MATCH($A$1,[1]characters!$1:$1,0)+1,FALSE)</f>
        <v>アリス</v>
      </c>
      <c r="E4" s="57" t="str">
        <f ca="1">VLOOKUP($A4,OFFSET([1]characters!$A$1,0,0,COUNTA([1]characters!$A:$A),MATCH(E$1,[1]characters!$1:$1,0)-MATCH($A$1,[1]characters!$1:$1,0)+1),MATCH(E$1,[1]characters!$1:$1,0)-MATCH($A$1,[1]characters!$1:$1,0)+1,FALSE)</f>
        <v>世界観</v>
      </c>
      <c r="F4" s="57" t="str">
        <f ca="1">VLOOKUP($A4,OFFSET([1]characters!$A$1,0,0,COUNTA([1]characters!$A:$A),MATCH(F$1,[1]characters!$1:$1,0)-MATCH($A$1,[1]characters!$1:$1,0)+1),MATCH(F$1,[1]characters!$1:$1,0)-MATCH($A$1,[1]characters!$1:$1,0)+1,FALSE)</f>
        <v>不明</v>
      </c>
      <c r="G4" s="57">
        <f ca="1">VLOOKUP($A4,OFFSET([1]characters!$A$1,0,0,COUNTA([1]characters!$A:$A),MATCH(G$1,[1]characters!$1:$1,0)-MATCH($A$1,[1]characters!$1:$1,0)+1),MATCH(G$1,[1]characters!$1:$1,0)-MATCH($A$1,[1]characters!$1:$1,0)+1,FALSE)</f>
        <v>4</v>
      </c>
      <c r="H4" s="57" t="str">
        <f ca="1">VLOOKUP($A4,OFFSET([1]characters!$A$1,0,0,COUNTA([1]characters!$A:$A),MATCH(H$1,[1]characters!$1:$1,0)-MATCH($A$1,[1]characters!$1:$1,0)+1),MATCH(H$1,[1]characters!$1:$1,0)-MATCH($A$1,[1]characters!$1:$1,0)+1,FALSE)</f>
        <v>Material</v>
      </c>
      <c r="I4" s="57"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INDEX(コスト!$A$1:$I$15,MATCH(H4,コスト!$A$1:$A$15,FALSE),MATCH(G4,コスト!$A$1:$I$1,FALSE))</f>
        <v>99</v>
      </c>
      <c r="O4" s="11">
        <f ca="1">INDEX(レベル!$A$1:$I$16,MATCH(H4,レベル!$A$1:$A$16,FALSE),MATCH(G4,レベル!$A$1:$I$1,FALSE))</f>
        <v>1</v>
      </c>
      <c r="P4" s="149">
        <v>1</v>
      </c>
      <c r="Q4" s="155" t="s">
        <v>248</v>
      </c>
      <c r="R4" s="5" t="str">
        <f>VLOOKUP(Q4,[1]character_type_i18n!$A:$H,3,FALSE)</f>
        <v>回復タイプ</v>
      </c>
      <c r="S4" s="11">
        <f>VLOOKUP(Q4,[1]character_type_i18n!$A:$H,4,FALSE)</f>
        <v>0.8</v>
      </c>
      <c r="T4" s="11">
        <f>VLOOKUP(Q4,[1]character_type_i18n!$A:$H,5,FALSE)</f>
        <v>0.78</v>
      </c>
      <c r="U4" s="11">
        <f>VLOOKUP(Q4,[1]character_type_i18n!$A:$H,6,FALSE)</f>
        <v>1</v>
      </c>
      <c r="V4" s="11">
        <f>VLOOKUP(Q4,[1]character_type_i18n!$A:$H,7,FALSE)</f>
        <v>1.42</v>
      </c>
      <c r="W4" s="57" t="str">
        <f ca="1">VLOOKUP($A4,OFFSET([1]characters!$A$1,0,0,COUNTA([1]characters!$A:$A),MATCH(W$1,[1]characters!$1:$1,0)-MATCH($A$1,[1]characters!$1:$1,0)+1),MATCH(W$1,[1]characters!$1:$1,0)-MATCH($A$1,[1]characters!$1:$1,0)+1,FALSE)</f>
        <v>unknown</v>
      </c>
      <c r="X4" s="5" t="str">
        <f ca="1">VLOOKUP(W4,[1]character_tribe_i18n!$A:$H,3,FALSE)</f>
        <v>Unknown</v>
      </c>
      <c r="Y4" s="57"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1</v>
      </c>
      <c r="AB4" s="11">
        <f ca="1">VLOOKUP(W4,[1]character_tribe_i18n!$A:$H,5,FALSE)</f>
        <v>1</v>
      </c>
      <c r="AC4" s="11">
        <f ca="1">VLOOKUP(W4,[1]character_tribe_i18n!$A:$H,6,FALSE)</f>
        <v>1</v>
      </c>
      <c r="AD4" s="11">
        <f ca="1">VLOOKUP(W4,[1]character_tribe_i18n!$A:$H,7,FALSE)</f>
        <v>1</v>
      </c>
      <c r="AE4" s="137">
        <v>613</v>
      </c>
      <c r="AF4" s="62" t="str">
        <f ca="1">IF(AE4="NULL","",VLOOKUP($AE4,OFFSET([1]characters!$A$1,0,0,COUNTA([1]characters!$A:$A),MATCH(AF$1,[1]characters!$1:$1,0)-MATCH($A$1,[1]characters!$1:$1,0)+1),MATCH(AF$1,[1]characters!$1:$1,0)-MATCH($A$1,[1]characters!$1:$1,0)+1,FALSE))</f>
        <v>ギガ癒しの果実</v>
      </c>
      <c r="AG4" s="159">
        <v>123</v>
      </c>
      <c r="AH4" s="62" t="str">
        <f ca="1">VLOOKUP($AG4,OFFSET([1]characters!$A$1,0,0,COUNTA([1]characters!$A:$A),MATCH(AH$1,[1]characters!$1:$1,0)-MATCH($A$1,[1]characters!$1:$1,0)+1),MATCH(AH$1,[1]characters!$1:$1,0)-MATCH($A$1,[1]characters!$1:$1,0)+1,FALSE)</f>
        <v>癒しの果実</v>
      </c>
      <c r="AI4" s="160">
        <f ca="1">IF(AE4="NULL","NULL",VLOOKUP(G4,ビット!$A$2:$B$7,2)/5)</f>
        <v>10000</v>
      </c>
      <c r="AJ4" s="6">
        <v>2</v>
      </c>
      <c r="AK4" s="7" t="str">
        <f t="shared" si="0"/>
        <v>普通</v>
      </c>
      <c r="AL4" s="11" t="str">
        <f ca="1">INDEX(経験値!$A$1:$I$15,MATCH(H4,経験値!$A$1:$A$15,FALSE),MATCH(G4,経験値!$A$1:$I$1,FALSE))</f>
        <v>NULL</v>
      </c>
      <c r="AM4" s="8">
        <f ca="1">VLOOKUP(G4,経験値!$A$22:$B$26,2)</f>
        <v>3400</v>
      </c>
      <c r="AN4" s="14">
        <f ca="1">VLOOKUP(G4,ビット!$G$2:$H$7,2)</f>
        <v>600</v>
      </c>
      <c r="AO4" s="44"/>
      <c r="AP4" s="137">
        <v>609</v>
      </c>
      <c r="AQ4" s="57" t="str">
        <f ca="1">VLOOKUP($AP4,OFFSET(unit_skills!$A$1,0,0,COUNTA(unit_skills!$A:$A),MATCH(AQ$1,unit_skills!$1:$1,0)-MATCH($AP$1,unit_skills!$1:$1,0)+1),MATCH(AQ$1,unit_skills!$1:$1,0)-MATCH($AP$1,unit_skills!$1:$1,0)+1,FALSE)</f>
        <v>限界突破素材（回復力）</v>
      </c>
      <c r="AR4" s="57" t="str">
        <f ca="1">VLOOKUP($AP4,OFFSET(unit_skills!$A$1,0,0,COUNTA(unit_skills!$A:$A),MATCH(AR$1,unit_skills!$1:$1,0)-MATCH($AP$1,unit_skills!$1:$1,0)+1),MATCH(AR$1,unit_skills!$1:$1,0)-MATCH($AP$1,unit_skills!$1:$1,0)+1,FALSE)</f>
        <v>このユニットをユニット強化の素材にすると回復力の限界突破値を+3する</v>
      </c>
      <c r="AS4" s="57">
        <f ca="1">VLOOKUP($AP4,OFFSET(unit_skills!$A$1,0,0,COUNTA(unit_skills!$A:$A),MATCH(AS$1,unit_skills!$1:$1,0)-MATCH($AP$1,unit_skills!$1:$1,0)+1),MATCH(AS$1,unit_skills!$1:$1,0)-MATCH($AP$1,unit_skills!$1:$1,0)+1,FALSE)</f>
        <v>0</v>
      </c>
      <c r="AT4" s="40">
        <v>0</v>
      </c>
      <c r="AU4" s="57" t="e">
        <f ca="1">VLOOKUP($AT4,OFFSET([2]crash_skills!$A$1,0,0,COUNTA([2]crash_skills!$A:$A),MATCH(AU$1,[2]crash_skills!$1:$1,0)-MATCH($AT$1,[2]crash_skills!$1:$1,0)+1),MATCH(AU$1,[2]crash_skills!$1:$1,0)-MATCH($AT$1,[2]crash_skills!$1:$1,0)+1,FALSE)</f>
        <v>#VALUE!</v>
      </c>
      <c r="AV4" s="57" t="e">
        <f ca="1">VLOOKUP($AT4,OFFSET([2]crash_skills!$A$1,0,0,COUNTA([2]crash_skills!$A:$A),MATCH(AV$1,[2]crash_skills!$1:$1,0)-MATCH($AT$1,[2]crash_skills!$1:$1,0)+1),MATCH(AV$1,[2]crash_skills!$1:$1,0)-MATCH($AT$1,[2]crash_skills!$1:$1,0)+1,FALSE)</f>
        <v>#VALUE!</v>
      </c>
      <c r="AW4" s="57" t="e">
        <f ca="1">VLOOKUP($AT4,OFFSET([2]crash_skills!$A$1,0,0,COUNTA([2]crash_skills!$A:$A),MATCH(AW$1,[2]crash_skills!$1:$1,0)-MATCH($AT$1,[2]crash_skills!$1:$1,0)+1),MATCH(AW$1,[2]crash_skills!$1:$1,0)-MATCH($AT$1,[2]crash_skills!$1:$1,0)+1,FALSE)</f>
        <v>#VALUE!</v>
      </c>
      <c r="AX4" s="58">
        <f ca="1">VLOOKUP($A4,OFFSET([1]characters!$A$1,0,0,COUNTA([1]characters!$A:$A),MATCH(AX$1,[1]characters!$1:$1,0)-MATCH($A$1,[1]characters!$1:$1,0)+1),MATCH(AX$1,[1]characters!$1:$1,0)-MATCH($A$1,[1]characters!$1:$1,0)+1,FALSE)</f>
        <v>3</v>
      </c>
      <c r="AY4" s="67">
        <v>2</v>
      </c>
      <c r="AZ4" s="67">
        <v>2</v>
      </c>
      <c r="BA4" s="67">
        <v>0</v>
      </c>
      <c r="BB4" s="67">
        <v>2</v>
      </c>
      <c r="BC4" s="11">
        <f ca="1">INDEX('RC6SV'!$A$1:$G$15,MATCH(H4,'RC6SV'!$A$1:$A$15,FALSE),MATCH(G4,'RC6SV'!$A$1:$G$1,FALSE))</f>
        <v>1000</v>
      </c>
      <c r="BD4" s="47">
        <f t="shared" ca="1" si="1"/>
        <v>1000</v>
      </c>
      <c r="BE4" s="11">
        <f t="shared" ca="1" si="2"/>
        <v>0</v>
      </c>
      <c r="BF4" s="11">
        <f t="shared" ca="1" si="3"/>
        <v>1</v>
      </c>
      <c r="BG4" s="13">
        <f ca="1">IF($BE4&lt;=0,ROUND(BK4*0.5,0), ROUND($BE4*S4*AA4*J4*AY4*0.8*[1]ステータス!$B$2,0))</f>
        <v>400</v>
      </c>
      <c r="BH4" s="13">
        <f ca="1">IF($BE4&lt;=0,ROUND(BL4*0.5,0), ROUND($BE4*T4*AB4*K4*AZ4*0.8*[1]ステータス!$C$2,0))</f>
        <v>230</v>
      </c>
      <c r="BI4" s="13">
        <f ca="1">IF($BE4&lt;=0,ROUND(BM4*0.5,0), ROUND($BE4*U4*AC4*L4*BA4*0.8*[1]ステータス!$D$2,0))</f>
        <v>0</v>
      </c>
      <c r="BJ4" s="13">
        <f ca="1">IF($BE4&lt;=0,ROUND(BN4*0.5,0), ROUND($BE4*V4*AD4*M4*BB4*0.8*[1]ステータス!$E$2,0))</f>
        <v>362</v>
      </c>
      <c r="BK4" s="11">
        <f ca="1">ROUND(BD4*S4*AA4*J4*AY4*[1]ステータス!$B$2,0)</f>
        <v>800</v>
      </c>
      <c r="BL4" s="11">
        <f ca="1">ROUND(BD4*T4*AB4*K4*AZ4*[1]ステータス!$C$2,0)</f>
        <v>459</v>
      </c>
      <c r="BM4" s="11">
        <f ca="1">ROUND(BD4*U4*AC4*L4*BA4*[1]ステータス!$D$2,0)</f>
        <v>0</v>
      </c>
      <c r="BN4" s="11">
        <f ca="1">ROUND(BD4*V4*AD4*M4*BB4*[1]ステータス!$E$2,0)</f>
        <v>724</v>
      </c>
      <c r="BO4" s="10">
        <v>0</v>
      </c>
      <c r="BP4" s="10">
        <v>1</v>
      </c>
      <c r="BQ4" s="36" t="s">
        <v>73</v>
      </c>
      <c r="BR4" s="12">
        <f ca="1">VLOOKUP(H4,ghosts_label!$A$2:$B$19,2,FALSE)</f>
        <v>0</v>
      </c>
    </row>
    <row r="5" spans="1:70" s="12" customFormat="1" ht="21" customHeight="1" x14ac:dyDescent="0.15">
      <c r="A5" s="137">
        <v>610</v>
      </c>
      <c r="B5" s="57" t="str">
        <f ca="1">VLOOKUP($A5,OFFSET([1]characters!$A$1,0,0,COUNTA([1]characters!$A:$A),MATCH(B$1,[1]characters!$1:$1,0)-MATCH($A$1,[1]characters!$1:$1,0)+1),MATCH(B$1,[1]characters!$1:$1,0)-MATCH($A$1,[1]characters!$1:$1,0)+1,FALSE)</f>
        <v>メガ秘術の果実</v>
      </c>
      <c r="C5" s="57" t="str">
        <f ca="1">VLOOKUP($A5,OFFSET([1]characters!$A$1,0,0,COUNTA([1]characters!$A:$A),MATCH(C$1,[1]characters!$1:$1,0)-MATCH($A$1,[1]characters!$1:$1,0)+1),MATCH(C$1,[1]characters!$1:$1,0)-MATCH($A$1,[1]characters!$1:$1,0)+1,FALSE)</f>
        <v>スキル進化素材</v>
      </c>
      <c r="D5" s="57" t="str">
        <f ca="1">VLOOKUP($A5,OFFSET([1]characters!$A$1,0,0,COUNTA([1]characters!$A:$A),MATCH(D$1,[1]characters!$1:$1,0)-MATCH($A$1,[1]characters!$1:$1,0)+1),MATCH(D$1,[1]characters!$1:$1,0)-MATCH($A$1,[1]characters!$1:$1,0)+1,FALSE)</f>
        <v>アリス</v>
      </c>
      <c r="E5" s="57" t="str">
        <f ca="1">VLOOKUP($A5,OFFSET([1]characters!$A$1,0,0,COUNTA([1]characters!$A:$A),MATCH(E$1,[1]characters!$1:$1,0)-MATCH($A$1,[1]characters!$1:$1,0)+1),MATCH(E$1,[1]characters!$1:$1,0)-MATCH($A$1,[1]characters!$1:$1,0)+1,FALSE)</f>
        <v>世界観</v>
      </c>
      <c r="F5" s="57" t="str">
        <f ca="1">VLOOKUP($A5,OFFSET([1]characters!$A$1,0,0,COUNTA([1]characters!$A:$A),MATCH(F$1,[1]characters!$1:$1,0)-MATCH($A$1,[1]characters!$1:$1,0)+1),MATCH(F$1,[1]characters!$1:$1,0)-MATCH($A$1,[1]characters!$1:$1,0)+1,FALSE)</f>
        <v>不明</v>
      </c>
      <c r="G5" s="57">
        <f ca="1">VLOOKUP($A5,OFFSET([1]characters!$A$1,0,0,COUNTA([1]characters!$A:$A),MATCH(G$1,[1]characters!$1:$1,0)-MATCH($A$1,[1]characters!$1:$1,0)+1),MATCH(G$1,[1]characters!$1:$1,0)-MATCH($A$1,[1]characters!$1:$1,0)+1,FALSE)</f>
        <v>4</v>
      </c>
      <c r="H5" s="57" t="str">
        <f ca="1">VLOOKUP($A5,OFFSET([1]characters!$A$1,0,0,COUNTA([1]characters!$A:$A),MATCH(H$1,[1]characters!$1:$1,0)-MATCH($A$1,[1]characters!$1:$1,0)+1),MATCH(H$1,[1]characters!$1:$1,0)-MATCH($A$1,[1]characters!$1:$1,0)+1,FALSE)</f>
        <v>Material</v>
      </c>
      <c r="I5" s="57" t="str">
        <f ca="1">VLOOKUP($A5,OFFSET([1]characters!$A$1,0,0,COUNTA([1]characters!$A:$A),MATCH(I$1,[1]characters!$1:$1,0)-MATCH($A$1,[1]characters!$1:$1,0)+1),MATCH(I$1,[1]characters!$1:$1,0)-MATCH($A$1,[1]characters!$1:$1,0)+1,FALSE)</f>
        <v>blue</v>
      </c>
      <c r="J5" s="11">
        <f ca="1">VLOOKUP(I5,[1]属性!$A:$E,2,FALSE)</f>
        <v>1</v>
      </c>
      <c r="K5" s="11">
        <f ca="1">VLOOKUP(I5,[1]属性!$A:$E,3,FALSE)</f>
        <v>0.98</v>
      </c>
      <c r="L5" s="11">
        <f ca="1">VLOOKUP(I5,[1]属性!$A:$E,4,FALSE)</f>
        <v>1</v>
      </c>
      <c r="M5" s="11">
        <f ca="1">VLOOKUP(I5,[1]属性!$A:$E,5,FALSE)</f>
        <v>1.02</v>
      </c>
      <c r="N5" s="11">
        <f ca="1">INDEX(コスト!$A$1:$I$15,MATCH(H5,コスト!$A$1:$A$15,FALSE),MATCH(G5,コスト!$A$1:$I$1,FALSE))</f>
        <v>99</v>
      </c>
      <c r="O5" s="11">
        <f ca="1">INDEX(レベル!$A$1:$I$16,MATCH(H5,レベル!$A$1:$A$16,FALSE),MATCH(G5,レベル!$A$1:$I$1,FALSE))</f>
        <v>1</v>
      </c>
      <c r="P5" s="149">
        <v>1</v>
      </c>
      <c r="Q5" s="155" t="s">
        <v>249</v>
      </c>
      <c r="R5" s="5" t="str">
        <f>VLOOKUP(Q5,[1]character_type_i18n!$A:$H,3,FALSE)</f>
        <v>バランスタイプ</v>
      </c>
      <c r="S5" s="11">
        <f>VLOOKUP(Q5,[1]character_type_i18n!$A:$H,4,FALSE)</f>
        <v>1</v>
      </c>
      <c r="T5" s="11">
        <f>VLOOKUP(Q5,[1]character_type_i18n!$A:$H,5,FALSE)</f>
        <v>1</v>
      </c>
      <c r="U5" s="11">
        <f>VLOOKUP(Q5,[1]character_type_i18n!$A:$H,6,FALSE)</f>
        <v>1</v>
      </c>
      <c r="V5" s="11">
        <f>VLOOKUP(Q5,[1]character_type_i18n!$A:$H,7,FALSE)</f>
        <v>1</v>
      </c>
      <c r="W5" s="57" t="str">
        <f ca="1">VLOOKUP($A5,OFFSET([1]characters!$A$1,0,0,COUNTA([1]characters!$A:$A),MATCH(W$1,[1]characters!$1:$1,0)-MATCH($A$1,[1]characters!$1:$1,0)+1),MATCH(W$1,[1]characters!$1:$1,0)-MATCH($A$1,[1]characters!$1:$1,0)+1,FALSE)</f>
        <v>unknown</v>
      </c>
      <c r="X5" s="5" t="str">
        <f ca="1">VLOOKUP(W5,[1]character_tribe_i18n!$A:$H,3,FALSE)</f>
        <v>Unknown</v>
      </c>
      <c r="Y5" s="57"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1</v>
      </c>
      <c r="AB5" s="11">
        <f ca="1">VLOOKUP(W5,[1]character_tribe_i18n!$A:$H,5,FALSE)</f>
        <v>1</v>
      </c>
      <c r="AC5" s="11">
        <f ca="1">VLOOKUP(W5,[1]character_tribe_i18n!$A:$H,6,FALSE)</f>
        <v>1</v>
      </c>
      <c r="AD5" s="11">
        <f ca="1">VLOOKUP(W5,[1]character_tribe_i18n!$A:$H,7,FALSE)</f>
        <v>1</v>
      </c>
      <c r="AE5" s="9" t="s">
        <v>216</v>
      </c>
      <c r="AF5" s="62" t="str">
        <f ca="1">IF(AE5="NULL","",VLOOKUP($AE5,OFFSET([1]characters!$A$1,0,0,COUNTA([1]characters!$A:$A),MATCH(AF$1,[1]characters!$1:$1,0)-MATCH($A$1,[1]characters!$1:$1,0)+1),MATCH(AF$1,[1]characters!$1:$1,0)-MATCH($A$1,[1]characters!$1:$1,0)+1,FALSE))</f>
        <v/>
      </c>
      <c r="AG5" s="5">
        <f t="shared" ref="AG5:AG9" ca="1" si="4">IF(ISNA(MATCH(A5,AE:AE,0)),A5,INDIRECT(ADDRESS(MATCH(A5,AE:AE,0),COLUMN())))</f>
        <v>610</v>
      </c>
      <c r="AH5" s="62" t="str">
        <f ca="1">VLOOKUP($AG5,OFFSET([1]characters!$A$1,0,0,COUNTA([1]characters!$A:$A),MATCH(AH$1,[1]characters!$1:$1,0)-MATCH($A$1,[1]characters!$1:$1,0)+1),MATCH(AH$1,[1]characters!$1:$1,0)-MATCH($A$1,[1]characters!$1:$1,0)+1,FALSE)</f>
        <v>メガ秘術の果実</v>
      </c>
      <c r="AI5" s="160" t="str">
        <f>IF(AE5="NULL","NULL",VLOOKUP(G5,ビット!$A$2:$B$7,2)/5)</f>
        <v>NULL</v>
      </c>
      <c r="AJ5" s="6">
        <v>2</v>
      </c>
      <c r="AK5" s="7" t="str">
        <f t="shared" si="0"/>
        <v>普通</v>
      </c>
      <c r="AL5" s="11" t="str">
        <f ca="1">INDEX(経験値!$A$1:$I$15,MATCH(H5,経験値!$A$1:$A$15,FALSE),MATCH(G5,経験値!$A$1:$I$1,FALSE))</f>
        <v>NULL</v>
      </c>
      <c r="AM5" s="8">
        <f ca="1">VLOOKUP(G5,経験値!$A$22:$B$26,2)</f>
        <v>3400</v>
      </c>
      <c r="AN5" s="14">
        <f ca="1">VLOOKUP(G5,ビット!$G$2:$H$7,2)</f>
        <v>600</v>
      </c>
      <c r="AO5" s="44"/>
      <c r="AP5" s="137">
        <v>610</v>
      </c>
      <c r="AQ5" s="57" t="str">
        <f ca="1">VLOOKUP($AP5,OFFSET(unit_skills!$A$1,0,0,COUNTA(unit_skills!$A:$A),MATCH(AQ$1,unit_skills!$1:$1,0)-MATCH($AP$1,unit_skills!$1:$1,0)+1),MATCH(AQ$1,unit_skills!$1:$1,0)-MATCH($AP$1,unit_skills!$1:$1,0)+1,FALSE)</f>
        <v>スキル強化素材</v>
      </c>
      <c r="AR5" s="57" t="str">
        <f ca="1">VLOOKUP($AP5,OFFSET(unit_skills!$A$1,0,0,COUNTA(unit_skills!$A:$A),MATCH(AR$1,unit_skills!$1:$1,0)-MATCH($AP$1,unit_skills!$1:$1,0)+1),MATCH(AR$1,unit_skills!$1:$1,0)-MATCH($AP$1,unit_skills!$1:$1,0)+1,FALSE)</f>
        <v>このユニットをユニット強化の素材にするとスキルレベルが2上昇する</v>
      </c>
      <c r="AS5" s="57">
        <f ca="1">VLOOKUP($AP5,OFFSET(unit_skills!$A$1,0,0,COUNTA(unit_skills!$A:$A),MATCH(AS$1,unit_skills!$1:$1,0)-MATCH($AP$1,unit_skills!$1:$1,0)+1),MATCH(AS$1,unit_skills!$1:$1,0)-MATCH($AP$1,unit_skills!$1:$1,0)+1,FALSE)</f>
        <v>0</v>
      </c>
      <c r="AT5" s="40">
        <v>0</v>
      </c>
      <c r="AU5" s="57" t="e">
        <f ca="1">VLOOKUP($AT5,OFFSET([2]crash_skills!$A$1,0,0,COUNTA([2]crash_skills!$A:$A),MATCH(AU$1,[2]crash_skills!$1:$1,0)-MATCH($AT$1,[2]crash_skills!$1:$1,0)+1),MATCH(AU$1,[2]crash_skills!$1:$1,0)-MATCH($AT$1,[2]crash_skills!$1:$1,0)+1,FALSE)</f>
        <v>#VALUE!</v>
      </c>
      <c r="AV5" s="57" t="e">
        <f ca="1">VLOOKUP($AT5,OFFSET([2]crash_skills!$A$1,0,0,COUNTA([2]crash_skills!$A:$A),MATCH(AV$1,[2]crash_skills!$1:$1,0)-MATCH($AT$1,[2]crash_skills!$1:$1,0)+1),MATCH(AV$1,[2]crash_skills!$1:$1,0)-MATCH($AT$1,[2]crash_skills!$1:$1,0)+1,FALSE)</f>
        <v>#VALUE!</v>
      </c>
      <c r="AW5" s="57" t="e">
        <f ca="1">VLOOKUP($AT5,OFFSET([2]crash_skills!$A$1,0,0,COUNTA([2]crash_skills!$A:$A),MATCH(AW$1,[2]crash_skills!$1:$1,0)-MATCH($AT$1,[2]crash_skills!$1:$1,0)+1),MATCH(AW$1,[2]crash_skills!$1:$1,0)-MATCH($AT$1,[2]crash_skills!$1:$1,0)+1,FALSE)</f>
        <v>#VALUE!</v>
      </c>
      <c r="AX5" s="58">
        <f ca="1">VLOOKUP($A5,OFFSET([1]characters!$A$1,0,0,COUNTA([1]characters!$A:$A),MATCH(AX$1,[1]characters!$1:$1,0)-MATCH($A$1,[1]characters!$1:$1,0)+1),MATCH(AX$1,[1]characters!$1:$1,0)-MATCH($A$1,[1]characters!$1:$1,0)+1,FALSE)</f>
        <v>3</v>
      </c>
      <c r="AY5" s="67">
        <v>2</v>
      </c>
      <c r="AZ5" s="67">
        <v>2</v>
      </c>
      <c r="BA5" s="67">
        <v>0</v>
      </c>
      <c r="BB5" s="67">
        <v>2</v>
      </c>
      <c r="BC5" s="11">
        <f ca="1">INDEX('RC6SV'!$A$1:$G$15,MATCH(H5,'RC6SV'!$A$1:$A$15,FALSE),MATCH(G5,'RC6SV'!$A$1:$G$1,FALSE))</f>
        <v>1000</v>
      </c>
      <c r="BD5" s="47">
        <f t="shared" ca="1" si="1"/>
        <v>1000</v>
      </c>
      <c r="BE5" s="11">
        <f t="shared" ca="1" si="2"/>
        <v>0</v>
      </c>
      <c r="BF5" s="11">
        <f t="shared" ca="1" si="3"/>
        <v>1</v>
      </c>
      <c r="BG5" s="13">
        <f ca="1">IF($BE5&lt;=0,ROUND(BK5*0.5,0), ROUND($BE5*S5*AA5*J5*AY5*0.8*[1]ステータス!$B$2,0))</f>
        <v>500</v>
      </c>
      <c r="BH5" s="13">
        <f ca="1">IF($BE5&lt;=0,ROUND(BL5*0.5,0), ROUND($BE5*T5*AB5*K5*AZ5*0.8*[1]ステータス!$C$2,0))</f>
        <v>294</v>
      </c>
      <c r="BI5" s="13">
        <f ca="1">IF($BE5&lt;=0,ROUND(BM5*0.5,0), ROUND($BE5*U5*AC5*L5*BA5*0.8*[1]ステータス!$D$2,0))</f>
        <v>0</v>
      </c>
      <c r="BJ5" s="13">
        <f ca="1">IF($BE5&lt;=0,ROUND(BN5*0.5,0), ROUND($BE5*V5*AD5*M5*BB5*0.8*[1]ステータス!$E$2,0))</f>
        <v>255</v>
      </c>
      <c r="BK5" s="11">
        <f ca="1">ROUND(BD5*S5*AA5*J5*AY5*[1]ステータス!$B$2,0)</f>
        <v>1000</v>
      </c>
      <c r="BL5" s="11">
        <f ca="1">ROUND(BD5*T5*AB5*K5*AZ5*[1]ステータス!$C$2,0)</f>
        <v>588</v>
      </c>
      <c r="BM5" s="11">
        <f ca="1">ROUND(BD5*U5*AC5*L5*BA5*[1]ステータス!$D$2,0)</f>
        <v>0</v>
      </c>
      <c r="BN5" s="11">
        <f ca="1">ROUND(BD5*V5*AD5*M5*BB5*[1]ステータス!$E$2,0)</f>
        <v>510</v>
      </c>
      <c r="BO5" s="10">
        <v>0</v>
      </c>
      <c r="BP5" s="10">
        <v>1</v>
      </c>
      <c r="BQ5" s="36" t="s">
        <v>73</v>
      </c>
      <c r="BR5" s="12">
        <f ca="1">VLOOKUP(H5,ghosts_label!$A$2:$B$19,2,FALSE)</f>
        <v>0</v>
      </c>
    </row>
    <row r="6" spans="1:70" s="12" customFormat="1" ht="21" customHeight="1" x14ac:dyDescent="0.15">
      <c r="A6" s="137">
        <v>611</v>
      </c>
      <c r="B6" s="57" t="str">
        <f ca="1">VLOOKUP($A6,OFFSET([1]characters!$A$1,0,0,COUNTA([1]characters!$A:$A),MATCH(B$1,[1]characters!$1:$1,0)-MATCH($A$1,[1]characters!$1:$1,0)+1),MATCH(B$1,[1]characters!$1:$1,0)-MATCH($A$1,[1]characters!$1:$1,0)+1,FALSE)</f>
        <v>ギガ攻めの果実</v>
      </c>
      <c r="C6" s="57" t="str">
        <f ca="1">VLOOKUP($A6,OFFSET([1]characters!$A$1,0,0,COUNTA([1]characters!$A:$A),MATCH(C$1,[1]characters!$1:$1,0)-MATCH($A$1,[1]characters!$1:$1,0)+1),MATCH(C$1,[1]characters!$1:$1,0)-MATCH($A$1,[1]characters!$1:$1,0)+1,FALSE)</f>
        <v>限界突破素材・攻撃・赤</v>
      </c>
      <c r="D6" s="57" t="str">
        <f ca="1">VLOOKUP($A6,OFFSET([1]characters!$A$1,0,0,COUNTA([1]characters!$A:$A),MATCH(D$1,[1]characters!$1:$1,0)-MATCH($A$1,[1]characters!$1:$1,0)+1),MATCH(D$1,[1]characters!$1:$1,0)-MATCH($A$1,[1]characters!$1:$1,0)+1,FALSE)</f>
        <v>アリス</v>
      </c>
      <c r="E6" s="57" t="str">
        <f ca="1">VLOOKUP($A6,OFFSET([1]characters!$A$1,0,0,COUNTA([1]characters!$A:$A),MATCH(E$1,[1]characters!$1:$1,0)-MATCH($A$1,[1]characters!$1:$1,0)+1),MATCH(E$1,[1]characters!$1:$1,0)-MATCH($A$1,[1]characters!$1:$1,0)+1,FALSE)</f>
        <v>世界観</v>
      </c>
      <c r="F6" s="57" t="str">
        <f ca="1">VLOOKUP($A6,OFFSET([1]characters!$A$1,0,0,COUNTA([1]characters!$A:$A),MATCH(F$1,[1]characters!$1:$1,0)-MATCH($A$1,[1]characters!$1:$1,0)+1),MATCH(F$1,[1]characters!$1:$1,0)-MATCH($A$1,[1]characters!$1:$1,0)+1,FALSE)</f>
        <v>不明</v>
      </c>
      <c r="G6" s="57">
        <f ca="1">VLOOKUP($A6,OFFSET([1]characters!$A$1,0,0,COUNTA([1]characters!$A:$A),MATCH(G$1,[1]characters!$1:$1,0)-MATCH($A$1,[1]characters!$1:$1,0)+1),MATCH(G$1,[1]characters!$1:$1,0)-MATCH($A$1,[1]characters!$1:$1,0)+1,FALSE)</f>
        <v>5</v>
      </c>
      <c r="H6" s="57" t="str">
        <f ca="1">VLOOKUP($A6,OFFSET([1]characters!$A$1,0,0,COUNTA([1]characters!$A:$A),MATCH(H$1,[1]characters!$1:$1,0)-MATCH($A$1,[1]characters!$1:$1,0)+1),MATCH(H$1,[1]characters!$1:$1,0)-MATCH($A$1,[1]characters!$1:$1,0)+1,FALSE)</f>
        <v>Material</v>
      </c>
      <c r="I6" s="57" t="str">
        <f ca="1">VLOOKUP($A6,OFFSET([1]characters!$A$1,0,0,COUNTA([1]characters!$A:$A),MATCH(I$1,[1]characters!$1:$1,0)-MATCH($A$1,[1]characters!$1:$1,0)+1),MATCH(I$1,[1]characters!$1:$1,0)-MATCH($A$1,[1]characters!$1:$1,0)+1,FALSE)</f>
        <v>red</v>
      </c>
      <c r="J6" s="11">
        <f ca="1">VLOOKUP(I6,[1]属性!$A:$E,2,FALSE)</f>
        <v>1</v>
      </c>
      <c r="K6" s="11">
        <f ca="1">VLOOKUP(I6,[1]属性!$A:$E,3,FALSE)</f>
        <v>1.02</v>
      </c>
      <c r="L6" s="11">
        <f ca="1">VLOOKUP(I6,[1]属性!$A:$E,4,FALSE)</f>
        <v>1</v>
      </c>
      <c r="M6" s="11">
        <f ca="1">VLOOKUP(I6,[1]属性!$A:$E,5,FALSE)</f>
        <v>0.98</v>
      </c>
      <c r="N6" s="11">
        <f ca="1">INDEX(コスト!$A$1:$I$15,MATCH(H6,コスト!$A$1:$A$15,FALSE),MATCH(G6,コスト!$A$1:$I$1,FALSE))</f>
        <v>99</v>
      </c>
      <c r="O6" s="11">
        <f ca="1">INDEX(レベル!$A$1:$I$16,MATCH(H6,レベル!$A$1:$A$16,FALSE),MATCH(G6,レベル!$A$1:$I$1,FALSE))</f>
        <v>1</v>
      </c>
      <c r="P6" s="149">
        <v>1</v>
      </c>
      <c r="Q6" s="155" t="s">
        <v>246</v>
      </c>
      <c r="R6" s="5" t="str">
        <f>VLOOKUP(Q6,[1]character_type_i18n!$A:$H,3,FALSE)</f>
        <v>攻撃タイプ</v>
      </c>
      <c r="S6" s="11">
        <f>VLOOKUP(Q6,[1]character_type_i18n!$A:$H,4,FALSE)</f>
        <v>1</v>
      </c>
      <c r="T6" s="11">
        <f>VLOOKUP(Q6,[1]character_type_i18n!$A:$H,5,FALSE)</f>
        <v>1.33</v>
      </c>
      <c r="U6" s="11">
        <f>VLOOKUP(Q6,[1]character_type_i18n!$A:$H,6,FALSE)</f>
        <v>1</v>
      </c>
      <c r="V6" s="11">
        <f>VLOOKUP(Q6,[1]character_type_i18n!$A:$H,7,FALSE)</f>
        <v>0.67</v>
      </c>
      <c r="W6" s="57" t="str">
        <f ca="1">VLOOKUP($A6,OFFSET([1]characters!$A$1,0,0,COUNTA([1]characters!$A:$A),MATCH(W$1,[1]characters!$1:$1,0)-MATCH($A$1,[1]characters!$1:$1,0)+1),MATCH(W$1,[1]characters!$1:$1,0)-MATCH($A$1,[1]characters!$1:$1,0)+1,FALSE)</f>
        <v>unknown</v>
      </c>
      <c r="X6" s="5" t="str">
        <f ca="1">VLOOKUP(W6,[1]character_tribe_i18n!$A:$H,3,FALSE)</f>
        <v>Unknown</v>
      </c>
      <c r="Y6" s="57"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1</v>
      </c>
      <c r="AB6" s="11">
        <f ca="1">VLOOKUP(W6,[1]character_tribe_i18n!$A:$H,5,FALSE)</f>
        <v>1</v>
      </c>
      <c r="AC6" s="11">
        <f ca="1">VLOOKUP(W6,[1]character_tribe_i18n!$A:$H,6,FALSE)</f>
        <v>1</v>
      </c>
      <c r="AD6" s="11">
        <f ca="1">VLOOKUP(W6,[1]character_tribe_i18n!$A:$H,7,FALSE)</f>
        <v>1</v>
      </c>
      <c r="AE6" s="9" t="s">
        <v>217</v>
      </c>
      <c r="AF6" s="62" t="str">
        <f ca="1">IF(AE6="NULL","",VLOOKUP($AE6,OFFSET([1]characters!$A$1,0,0,COUNTA([1]characters!$A:$A),MATCH(AF$1,[1]characters!$1:$1,0)-MATCH($A$1,[1]characters!$1:$1,0)+1),MATCH(AF$1,[1]characters!$1:$1,0)-MATCH($A$1,[1]characters!$1:$1,0)+1,FALSE))</f>
        <v/>
      </c>
      <c r="AG6" s="5">
        <f t="shared" ca="1" si="4"/>
        <v>121</v>
      </c>
      <c r="AH6" s="62" t="str">
        <f ca="1">VLOOKUP($AG6,OFFSET([1]characters!$A$1,0,0,COUNTA([1]characters!$A:$A),MATCH(AH$1,[1]characters!$1:$1,0)-MATCH($A$1,[1]characters!$1:$1,0)+1),MATCH(AH$1,[1]characters!$1:$1,0)-MATCH($A$1,[1]characters!$1:$1,0)+1,FALSE)</f>
        <v>攻めの果実</v>
      </c>
      <c r="AI6" s="160" t="str">
        <f>IF(AE6="NULL","NULL",VLOOKUP(G6,ビット!$A$2:$B$7,2)/5)</f>
        <v>NULL</v>
      </c>
      <c r="AJ6" s="6">
        <v>2</v>
      </c>
      <c r="AK6" s="7" t="str">
        <f t="shared" si="0"/>
        <v>普通</v>
      </c>
      <c r="AL6" s="11" t="str">
        <f ca="1">INDEX(経験値!$A$1:$I$15,MATCH(H6,経験値!$A$1:$A$15,FALSE),MATCH(G6,経験値!$A$1:$I$1,FALSE))</f>
        <v>NULL</v>
      </c>
      <c r="AM6" s="8">
        <f ca="1">VLOOKUP(G6,経験値!$A$22:$B$26,2)</f>
        <v>6400</v>
      </c>
      <c r="AN6" s="14">
        <f ca="1">VLOOKUP(G6,ビット!$G$2:$H$7,2)</f>
        <v>900</v>
      </c>
      <c r="AO6" s="44"/>
      <c r="AP6" s="137">
        <v>611</v>
      </c>
      <c r="AQ6" s="57" t="str">
        <f ca="1">VLOOKUP($AP6,OFFSET(unit_skills!$A$1,0,0,COUNTA(unit_skills!$A:$A),MATCH(AQ$1,unit_skills!$1:$1,0)-MATCH($AP$1,unit_skills!$1:$1,0)+1),MATCH(AQ$1,unit_skills!$1:$1,0)-MATCH($AP$1,unit_skills!$1:$1,0)+1,FALSE)</f>
        <v>限界突破素材（攻撃力）</v>
      </c>
      <c r="AR6" s="57" t="str">
        <f ca="1">VLOOKUP($AP6,OFFSET(unit_skills!$A$1,0,0,COUNTA(unit_skills!$A:$A),MATCH(AR$1,unit_skills!$1:$1,0)-MATCH($AP$1,unit_skills!$1:$1,0)+1),MATCH(AR$1,unit_skills!$1:$1,0)-MATCH($AP$1,unit_skills!$1:$1,0)+1,FALSE)</f>
        <v>このユニットをユニット強化の素材にすると攻撃力の限界突破値を+10する</v>
      </c>
      <c r="AS6" s="57">
        <f ca="1">VLOOKUP($AP6,OFFSET(unit_skills!$A$1,0,0,COUNTA(unit_skills!$A:$A),MATCH(AS$1,unit_skills!$1:$1,0)-MATCH($AP$1,unit_skills!$1:$1,0)+1),MATCH(AS$1,unit_skills!$1:$1,0)-MATCH($AP$1,unit_skills!$1:$1,0)+1,FALSE)</f>
        <v>0</v>
      </c>
      <c r="AT6" s="40">
        <v>0</v>
      </c>
      <c r="AU6" s="57" t="e">
        <f ca="1">VLOOKUP($AT6,OFFSET([2]crash_skills!$A$1,0,0,COUNTA([2]crash_skills!$A:$A),MATCH(AU$1,[2]crash_skills!$1:$1,0)-MATCH($AT$1,[2]crash_skills!$1:$1,0)+1),MATCH(AU$1,[2]crash_skills!$1:$1,0)-MATCH($AT$1,[2]crash_skills!$1:$1,0)+1,FALSE)</f>
        <v>#VALUE!</v>
      </c>
      <c r="AV6" s="57" t="e">
        <f ca="1">VLOOKUP($AT6,OFFSET([2]crash_skills!$A$1,0,0,COUNTA([2]crash_skills!$A:$A),MATCH(AV$1,[2]crash_skills!$1:$1,0)-MATCH($AT$1,[2]crash_skills!$1:$1,0)+1),MATCH(AV$1,[2]crash_skills!$1:$1,0)-MATCH($AT$1,[2]crash_skills!$1:$1,0)+1,FALSE)</f>
        <v>#VALUE!</v>
      </c>
      <c r="AW6" s="57" t="e">
        <f ca="1">VLOOKUP($AT6,OFFSET([2]crash_skills!$A$1,0,0,COUNTA([2]crash_skills!$A:$A),MATCH(AW$1,[2]crash_skills!$1:$1,0)-MATCH($AT$1,[2]crash_skills!$1:$1,0)+1),MATCH(AW$1,[2]crash_skills!$1:$1,0)-MATCH($AT$1,[2]crash_skills!$1:$1,0)+1,FALSE)</f>
        <v>#VALUE!</v>
      </c>
      <c r="AX6" s="58">
        <f ca="1">VLOOKUP($A6,OFFSET([1]characters!$A$1,0,0,COUNTA([1]characters!$A:$A),MATCH(AX$1,[1]characters!$1:$1,0)-MATCH($A$1,[1]characters!$1:$1,0)+1),MATCH(AX$1,[1]characters!$1:$1,0)-MATCH($A$1,[1]characters!$1:$1,0)+1,FALSE)</f>
        <v>3</v>
      </c>
      <c r="AY6" s="67">
        <v>5</v>
      </c>
      <c r="AZ6" s="67">
        <v>5</v>
      </c>
      <c r="BA6" s="67">
        <v>0</v>
      </c>
      <c r="BB6" s="67">
        <v>5</v>
      </c>
      <c r="BC6" s="11">
        <f ca="1">INDEX('RC6SV'!$A$1:$G$15,MATCH(H6,'RC6SV'!$A$1:$A$15,FALSE),MATCH(G6,'RC6SV'!$A$1:$G$1,FALSE))</f>
        <v>1000</v>
      </c>
      <c r="BD6" s="47">
        <f t="shared" ca="1" si="1"/>
        <v>1000</v>
      </c>
      <c r="BE6" s="160">
        <v>0</v>
      </c>
      <c r="BF6" s="11">
        <f t="shared" ca="1" si="3"/>
        <v>1</v>
      </c>
      <c r="BG6" s="13">
        <f ca="1">IF($BE6&lt;=0,ROUND(BK6*0.5,0), ROUND($BE6*S6*AA6*J6*AY6*0.8*[1]ステータス!$B$2,0))</f>
        <v>1250</v>
      </c>
      <c r="BH6" s="13">
        <f ca="1">IF($BE6&lt;=0,ROUND(BL6*0.5,0), ROUND($BE6*T6*AB6*K6*AZ6*0.8*[1]ステータス!$C$2,0))</f>
        <v>1018</v>
      </c>
      <c r="BI6" s="13">
        <f ca="1">IF($BE6&lt;=0,ROUND(BM6*0.5,0), ROUND($BE6*U6*AC6*L6*BA6*0.8*[1]ステータス!$D$2,0))</f>
        <v>0</v>
      </c>
      <c r="BJ6" s="13">
        <f ca="1">IF($BE6&lt;=0,ROUND(BN6*0.5,0), ROUND($BE6*V6*AD6*M6*BB6*0.8*[1]ステータス!$E$2,0))</f>
        <v>411</v>
      </c>
      <c r="BK6" s="11">
        <f ca="1">ROUND(BD6*S6*AA6*J6*AY6*[1]ステータス!$B$2,0)</f>
        <v>2500</v>
      </c>
      <c r="BL6" s="11">
        <f ca="1">ROUND(BD6*T6*AB6*K6*AZ6*[1]ステータス!$C$2,0)</f>
        <v>2035</v>
      </c>
      <c r="BM6" s="11">
        <f ca="1">ROUND(BD6*U6*AC6*L6*BA6*[1]ステータス!$D$2,0)</f>
        <v>0</v>
      </c>
      <c r="BN6" s="11">
        <f ca="1">ROUND(BD6*V6*AD6*M6*BB6*[1]ステータス!$E$2,0)</f>
        <v>821</v>
      </c>
      <c r="BO6" s="10">
        <v>0</v>
      </c>
      <c r="BP6" s="10">
        <v>1</v>
      </c>
      <c r="BQ6" s="36" t="s">
        <v>73</v>
      </c>
      <c r="BR6" s="12">
        <f ca="1">VLOOKUP(H6,ghosts_label!$A$2:$B$19,2,FALSE)</f>
        <v>0</v>
      </c>
    </row>
    <row r="7" spans="1:70" s="12" customFormat="1" ht="21" customHeight="1" x14ac:dyDescent="0.15">
      <c r="A7" s="137">
        <v>612</v>
      </c>
      <c r="B7" s="57" t="str">
        <f ca="1">VLOOKUP($A7,OFFSET([1]characters!$A$1,0,0,COUNTA([1]characters!$A:$A),MATCH(B$1,[1]characters!$1:$1,0)-MATCH($A$1,[1]characters!$1:$1,0)+1),MATCH(B$1,[1]characters!$1:$1,0)-MATCH($A$1,[1]characters!$1:$1,0)+1,FALSE)</f>
        <v>ギガ生命の果実</v>
      </c>
      <c r="C7" s="57" t="str">
        <f ca="1">VLOOKUP($A7,OFFSET([1]characters!$A$1,0,0,COUNTA([1]characters!$A:$A),MATCH(C$1,[1]characters!$1:$1,0)-MATCH($A$1,[1]characters!$1:$1,0)+1),MATCH(C$1,[1]characters!$1:$1,0)-MATCH($A$1,[1]characters!$1:$1,0)+1,FALSE)</f>
        <v>限界突破素材・体力・緑</v>
      </c>
      <c r="D7" s="57" t="str">
        <f ca="1">VLOOKUP($A7,OFFSET([1]characters!$A$1,0,0,COUNTA([1]characters!$A:$A),MATCH(D$1,[1]characters!$1:$1,0)-MATCH($A$1,[1]characters!$1:$1,0)+1),MATCH(D$1,[1]characters!$1:$1,0)-MATCH($A$1,[1]characters!$1:$1,0)+1,FALSE)</f>
        <v>アリス</v>
      </c>
      <c r="E7" s="57" t="str">
        <f ca="1">VLOOKUP($A7,OFFSET([1]characters!$A$1,0,0,COUNTA([1]characters!$A:$A),MATCH(E$1,[1]characters!$1:$1,0)-MATCH($A$1,[1]characters!$1:$1,0)+1),MATCH(E$1,[1]characters!$1:$1,0)-MATCH($A$1,[1]characters!$1:$1,0)+1,FALSE)</f>
        <v>世界観</v>
      </c>
      <c r="F7" s="57" t="str">
        <f ca="1">VLOOKUP($A7,OFFSET([1]characters!$A$1,0,0,COUNTA([1]characters!$A:$A),MATCH(F$1,[1]characters!$1:$1,0)-MATCH($A$1,[1]characters!$1:$1,0)+1),MATCH(F$1,[1]characters!$1:$1,0)-MATCH($A$1,[1]characters!$1:$1,0)+1,FALSE)</f>
        <v>不明</v>
      </c>
      <c r="G7" s="57">
        <f ca="1">VLOOKUP($A7,OFFSET([1]characters!$A$1,0,0,COUNTA([1]characters!$A:$A),MATCH(G$1,[1]characters!$1:$1,0)-MATCH($A$1,[1]characters!$1:$1,0)+1),MATCH(G$1,[1]characters!$1:$1,0)-MATCH($A$1,[1]characters!$1:$1,0)+1,FALSE)</f>
        <v>5</v>
      </c>
      <c r="H7" s="57" t="str">
        <f ca="1">VLOOKUP($A7,OFFSET([1]characters!$A$1,0,0,COUNTA([1]characters!$A:$A),MATCH(H$1,[1]characters!$1:$1,0)-MATCH($A$1,[1]characters!$1:$1,0)+1),MATCH(H$1,[1]characters!$1:$1,0)-MATCH($A$1,[1]characters!$1:$1,0)+1,FALSE)</f>
        <v>Material</v>
      </c>
      <c r="I7" s="57" t="str">
        <f ca="1">VLOOKUP($A7,OFFSET([1]characters!$A$1,0,0,COUNTA([1]characters!$A:$A),MATCH(I$1,[1]characters!$1:$1,0)-MATCH($A$1,[1]characters!$1:$1,0)+1),MATCH(I$1,[1]characters!$1:$1,0)-MATCH($A$1,[1]characters!$1:$1,0)+1,FALSE)</f>
        <v>green</v>
      </c>
      <c r="J7" s="11">
        <f ca="1">VLOOKUP(I7,[1]属性!$A:$E,2,FALSE)</f>
        <v>1.02</v>
      </c>
      <c r="K7" s="11">
        <f ca="1">VLOOKUP(I7,[1]属性!$A:$E,3,FALSE)</f>
        <v>0.98</v>
      </c>
      <c r="L7" s="11">
        <f ca="1">VLOOKUP(I7,[1]属性!$A:$E,4,FALSE)</f>
        <v>1</v>
      </c>
      <c r="M7" s="11">
        <f ca="1">VLOOKUP(I7,[1]属性!$A:$E,5,FALSE)</f>
        <v>1</v>
      </c>
      <c r="N7" s="11">
        <f ca="1">INDEX(コスト!$A$1:$I$15,MATCH(H7,コスト!$A$1:$A$15,FALSE),MATCH(G7,コスト!$A$1:$I$1,FALSE))</f>
        <v>99</v>
      </c>
      <c r="O7" s="11">
        <f ca="1">INDEX(レベル!$A$1:$I$16,MATCH(H7,レベル!$A$1:$A$16,FALSE),MATCH(G7,レベル!$A$1:$I$1,FALSE))</f>
        <v>1</v>
      </c>
      <c r="P7" s="149">
        <v>1</v>
      </c>
      <c r="Q7" s="155" t="s">
        <v>247</v>
      </c>
      <c r="R7" s="5" t="str">
        <f>VLOOKUP(Q7,[1]character_type_i18n!$A:$H,3,FALSE)</f>
        <v>体力タイプ</v>
      </c>
      <c r="S7" s="11">
        <f>VLOOKUP(Q7,[1]character_type_i18n!$A:$H,4,FALSE)</f>
        <v>1.45</v>
      </c>
      <c r="T7" s="11">
        <f>VLOOKUP(Q7,[1]character_type_i18n!$A:$H,5,FALSE)</f>
        <v>0.85</v>
      </c>
      <c r="U7" s="11">
        <f>VLOOKUP(Q7,[1]character_type_i18n!$A:$H,6,FALSE)</f>
        <v>1</v>
      </c>
      <c r="V7" s="11">
        <f>VLOOKUP(Q7,[1]character_type_i18n!$A:$H,7,FALSE)</f>
        <v>0.7</v>
      </c>
      <c r="W7" s="57" t="str">
        <f ca="1">VLOOKUP($A7,OFFSET([1]characters!$A$1,0,0,COUNTA([1]characters!$A:$A),MATCH(W$1,[1]characters!$1:$1,0)-MATCH($A$1,[1]characters!$1:$1,0)+1),MATCH(W$1,[1]characters!$1:$1,0)-MATCH($A$1,[1]characters!$1:$1,0)+1,FALSE)</f>
        <v>unknown</v>
      </c>
      <c r="X7" s="5" t="str">
        <f ca="1">VLOOKUP(W7,[1]character_tribe_i18n!$A:$H,3,FALSE)</f>
        <v>Unknown</v>
      </c>
      <c r="Y7" s="57" t="str">
        <f ca="1">VLOOKUP($A7,OFFSET([1]characters!$A$1,0,0,COUNTA([1]characters!$A:$A),MATCH(Y$1,[1]characters!$1:$1,0)-MATCH($A$1,[1]characters!$1:$1,0)+1),MATCH(Y$1,[1]characters!$1:$1,0)-MATCH($A$1,[1]characters!$1:$1,0)+1,FALSE)</f>
        <v>none</v>
      </c>
      <c r="Z7" s="5" t="str">
        <f ca="1">VLOOKUP(Y7,[1]character_tribe_i18n!$A:$H,3,FALSE)</f>
        <v>種族なし</v>
      </c>
      <c r="AA7" s="11">
        <f ca="1">VLOOKUP(W7,[1]character_tribe_i18n!$A:$H,4,FALSE)</f>
        <v>1</v>
      </c>
      <c r="AB7" s="11">
        <f ca="1">VLOOKUP(W7,[1]character_tribe_i18n!$A:$H,5,FALSE)</f>
        <v>1</v>
      </c>
      <c r="AC7" s="11">
        <f ca="1">VLOOKUP(W7,[1]character_tribe_i18n!$A:$H,6,FALSE)</f>
        <v>1</v>
      </c>
      <c r="AD7" s="11">
        <f ca="1">VLOOKUP(W7,[1]character_tribe_i18n!$A:$H,7,FALSE)</f>
        <v>1</v>
      </c>
      <c r="AE7" s="9" t="s">
        <v>218</v>
      </c>
      <c r="AF7" s="62" t="str">
        <f ca="1">IF(AE7="NULL","",VLOOKUP($AE7,OFFSET([1]characters!$A$1,0,0,COUNTA([1]characters!$A:$A),MATCH(AF$1,[1]characters!$1:$1,0)-MATCH($A$1,[1]characters!$1:$1,0)+1),MATCH(AF$1,[1]characters!$1:$1,0)-MATCH($A$1,[1]characters!$1:$1,0)+1,FALSE))</f>
        <v/>
      </c>
      <c r="AG7" s="5">
        <f t="shared" ca="1" si="4"/>
        <v>122</v>
      </c>
      <c r="AH7" s="62" t="str">
        <f ca="1">VLOOKUP($AG7,OFFSET([1]characters!$A$1,0,0,COUNTA([1]characters!$A:$A),MATCH(AH$1,[1]characters!$1:$1,0)-MATCH($A$1,[1]characters!$1:$1,0)+1),MATCH(AH$1,[1]characters!$1:$1,0)-MATCH($A$1,[1]characters!$1:$1,0)+1,FALSE)</f>
        <v>生命の果実</v>
      </c>
      <c r="AI7" s="160" t="str">
        <f>IF(AE7="NULL","NULL",VLOOKUP(G7,ビット!$A$2:$B$7,2)/5)</f>
        <v>NULL</v>
      </c>
      <c r="AJ7" s="6">
        <v>2</v>
      </c>
      <c r="AK7" s="7" t="str">
        <f t="shared" si="0"/>
        <v>普通</v>
      </c>
      <c r="AL7" s="11" t="str">
        <f ca="1">INDEX(経験値!$A$1:$I$15,MATCH(H7,経験値!$A$1:$A$15,FALSE),MATCH(G7,経験値!$A$1:$I$1,FALSE))</f>
        <v>NULL</v>
      </c>
      <c r="AM7" s="8">
        <f ca="1">VLOOKUP(G7,経験値!$A$22:$B$26,2)</f>
        <v>6400</v>
      </c>
      <c r="AN7" s="14">
        <f ca="1">VLOOKUP(G7,ビット!$G$2:$H$7,2)</f>
        <v>900</v>
      </c>
      <c r="AO7" s="44"/>
      <c r="AP7" s="137">
        <v>612</v>
      </c>
      <c r="AQ7" s="57" t="str">
        <f ca="1">VLOOKUP($AP7,OFFSET(unit_skills!$A$1,0,0,COUNTA(unit_skills!$A:$A),MATCH(AQ$1,unit_skills!$1:$1,0)-MATCH($AP$1,unit_skills!$1:$1,0)+1),MATCH(AQ$1,unit_skills!$1:$1,0)-MATCH($AP$1,unit_skills!$1:$1,0)+1,FALSE)</f>
        <v>限界突破素材（体力）</v>
      </c>
      <c r="AR7" s="57" t="str">
        <f ca="1">VLOOKUP($AP7,OFFSET(unit_skills!$A$1,0,0,COUNTA(unit_skills!$A:$A),MATCH(AR$1,unit_skills!$1:$1,0)-MATCH($AP$1,unit_skills!$1:$1,0)+1),MATCH(AR$1,unit_skills!$1:$1,0)-MATCH($AP$1,unit_skills!$1:$1,0)+1,FALSE)</f>
        <v>このユニットをユニット強化の素材にすると体力の限界突破値を+10する</v>
      </c>
      <c r="AS7" s="57">
        <f ca="1">VLOOKUP($AP7,OFFSET(unit_skills!$A$1,0,0,COUNTA(unit_skills!$A:$A),MATCH(AS$1,unit_skills!$1:$1,0)-MATCH($AP$1,unit_skills!$1:$1,0)+1),MATCH(AS$1,unit_skills!$1:$1,0)-MATCH($AP$1,unit_skills!$1:$1,0)+1,FALSE)</f>
        <v>0</v>
      </c>
      <c r="AT7" s="40">
        <v>1</v>
      </c>
      <c r="AU7" s="57" t="e">
        <f ca="1">VLOOKUP($AT7,OFFSET([2]crash_skills!$A$1,0,0,COUNTA([2]crash_skills!$A:$A),MATCH(AU$1,[2]crash_skills!$1:$1,0)-MATCH($AT$1,[2]crash_skills!$1:$1,0)+1),MATCH(AU$1,[2]crash_skills!$1:$1,0)-MATCH($AT$1,[2]crash_skills!$1:$1,0)+1,FALSE)</f>
        <v>#VALUE!</v>
      </c>
      <c r="AV7" s="57" t="e">
        <f ca="1">VLOOKUP($AT7,OFFSET([2]crash_skills!$A$1,0,0,COUNTA([2]crash_skills!$A:$A),MATCH(AV$1,[2]crash_skills!$1:$1,0)-MATCH($AT$1,[2]crash_skills!$1:$1,0)+1),MATCH(AV$1,[2]crash_skills!$1:$1,0)-MATCH($AT$1,[2]crash_skills!$1:$1,0)+1,FALSE)</f>
        <v>#VALUE!</v>
      </c>
      <c r="AW7" s="57" t="e">
        <f ca="1">VLOOKUP($AT7,OFFSET([2]crash_skills!$A$1,0,0,COUNTA([2]crash_skills!$A:$A),MATCH(AW$1,[2]crash_skills!$1:$1,0)-MATCH($AT$1,[2]crash_skills!$1:$1,0)+1),MATCH(AW$1,[2]crash_skills!$1:$1,0)-MATCH($AT$1,[2]crash_skills!$1:$1,0)+1,FALSE)</f>
        <v>#VALUE!</v>
      </c>
      <c r="AX7" s="58">
        <f ca="1">VLOOKUP($A7,OFFSET([1]characters!$A$1,0,0,COUNTA([1]characters!$A:$A),MATCH(AX$1,[1]characters!$1:$1,0)-MATCH($A$1,[1]characters!$1:$1,0)+1),MATCH(AX$1,[1]characters!$1:$1,0)-MATCH($A$1,[1]characters!$1:$1,0)+1,FALSE)</f>
        <v>3</v>
      </c>
      <c r="AY7" s="67">
        <v>5</v>
      </c>
      <c r="AZ7" s="67">
        <v>5</v>
      </c>
      <c r="BA7" s="67">
        <v>0</v>
      </c>
      <c r="BB7" s="67">
        <v>5</v>
      </c>
      <c r="BC7" s="11">
        <f ca="1">INDEX('RC6SV'!$A$1:$G$15,MATCH(H7,'RC6SV'!$A$1:$A$15,FALSE),MATCH(G7,'RC6SV'!$A$1:$G$1,FALSE))</f>
        <v>1000</v>
      </c>
      <c r="BD7" s="47">
        <f t="shared" ca="1" si="1"/>
        <v>1000</v>
      </c>
      <c r="BE7" s="160">
        <v>0</v>
      </c>
      <c r="BF7" s="11">
        <f t="shared" ca="1" si="3"/>
        <v>1</v>
      </c>
      <c r="BG7" s="13">
        <f ca="1">IF($BE7&lt;=0,ROUND(BK7*0.5,0), ROUND($BE7*S7*AA7*J7*AY7*0.8*[1]ステータス!$B$2,0))</f>
        <v>1849</v>
      </c>
      <c r="BH7" s="13">
        <f ca="1">IF($BE7&lt;=0,ROUND(BL7*0.5,0), ROUND($BE7*T7*AB7*K7*AZ7*0.8*[1]ステータス!$C$2,0))</f>
        <v>625</v>
      </c>
      <c r="BI7" s="13">
        <f ca="1">IF($BE7&lt;=0,ROUND(BM7*0.5,0), ROUND($BE7*U7*AC7*L7*BA7*0.8*[1]ステータス!$D$2,0))</f>
        <v>0</v>
      </c>
      <c r="BJ7" s="13">
        <f ca="1">IF($BE7&lt;=0,ROUND(BN7*0.5,0), ROUND($BE7*V7*AD7*M7*BB7*0.8*[1]ステータス!$E$2,0))</f>
        <v>438</v>
      </c>
      <c r="BK7" s="11">
        <f ca="1">ROUND(BD7*S7*AA7*J7*AY7*[1]ステータス!$B$2,0)</f>
        <v>3698</v>
      </c>
      <c r="BL7" s="11">
        <f ca="1">ROUND(BD7*T7*AB7*K7*AZ7*[1]ステータス!$C$2,0)</f>
        <v>1250</v>
      </c>
      <c r="BM7" s="11">
        <f ca="1">ROUND(BD7*U7*AC7*L7*BA7*[1]ステータス!$D$2,0)</f>
        <v>0</v>
      </c>
      <c r="BN7" s="11">
        <f ca="1">ROUND(BD7*V7*AD7*M7*BB7*[1]ステータス!$E$2,0)</f>
        <v>875</v>
      </c>
      <c r="BO7" s="10">
        <v>0</v>
      </c>
      <c r="BP7" s="10">
        <v>1</v>
      </c>
      <c r="BQ7" s="36" t="s">
        <v>73</v>
      </c>
      <c r="BR7" s="12">
        <f ca="1">VLOOKUP(H7,ghosts_label!$A$2:$B$19,2,FALSE)</f>
        <v>0</v>
      </c>
    </row>
    <row r="8" spans="1:70" s="12" customFormat="1" ht="21" customHeight="1" x14ac:dyDescent="0.15">
      <c r="A8" s="137">
        <v>613</v>
      </c>
      <c r="B8" s="57" t="str">
        <f ca="1">VLOOKUP($A8,OFFSET([1]characters!$A$1,0,0,COUNTA([1]characters!$A:$A),MATCH(B$1,[1]characters!$1:$1,0)-MATCH($A$1,[1]characters!$1:$1,0)+1),MATCH(B$1,[1]characters!$1:$1,0)-MATCH($A$1,[1]characters!$1:$1,0)+1,FALSE)</f>
        <v>ギガ癒しの果実</v>
      </c>
      <c r="C8" s="57" t="str">
        <f ca="1">VLOOKUP($A8,OFFSET([1]characters!$A$1,0,0,COUNTA([1]characters!$A:$A),MATCH(C$1,[1]characters!$1:$1,0)-MATCH($A$1,[1]characters!$1:$1,0)+1),MATCH(C$1,[1]characters!$1:$1,0)-MATCH($A$1,[1]characters!$1:$1,0)+1,FALSE)</f>
        <v>限界突破素材・回復・青</v>
      </c>
      <c r="D8" s="57" t="str">
        <f ca="1">VLOOKUP($A8,OFFSET([1]characters!$A$1,0,0,COUNTA([1]characters!$A:$A),MATCH(D$1,[1]characters!$1:$1,0)-MATCH($A$1,[1]characters!$1:$1,0)+1),MATCH(D$1,[1]characters!$1:$1,0)-MATCH($A$1,[1]characters!$1:$1,0)+1,FALSE)</f>
        <v>アリス</v>
      </c>
      <c r="E8" s="57" t="str">
        <f ca="1">VLOOKUP($A8,OFFSET([1]characters!$A$1,0,0,COUNTA([1]characters!$A:$A),MATCH(E$1,[1]characters!$1:$1,0)-MATCH($A$1,[1]characters!$1:$1,0)+1),MATCH(E$1,[1]characters!$1:$1,0)-MATCH($A$1,[1]characters!$1:$1,0)+1,FALSE)</f>
        <v>世界観</v>
      </c>
      <c r="F8" s="57" t="str">
        <f ca="1">VLOOKUP($A8,OFFSET([1]characters!$A$1,0,0,COUNTA([1]characters!$A:$A),MATCH(F$1,[1]characters!$1:$1,0)-MATCH($A$1,[1]characters!$1:$1,0)+1),MATCH(F$1,[1]characters!$1:$1,0)-MATCH($A$1,[1]characters!$1:$1,0)+1,FALSE)</f>
        <v>不明</v>
      </c>
      <c r="G8" s="57">
        <f ca="1">VLOOKUP($A8,OFFSET([1]characters!$A$1,0,0,COUNTA([1]characters!$A:$A),MATCH(G$1,[1]characters!$1:$1,0)-MATCH($A$1,[1]characters!$1:$1,0)+1),MATCH(G$1,[1]characters!$1:$1,0)-MATCH($A$1,[1]characters!$1:$1,0)+1,FALSE)</f>
        <v>5</v>
      </c>
      <c r="H8" s="57" t="str">
        <f ca="1">VLOOKUP($A8,OFFSET([1]characters!$A$1,0,0,COUNTA([1]characters!$A:$A),MATCH(H$1,[1]characters!$1:$1,0)-MATCH($A$1,[1]characters!$1:$1,0)+1),MATCH(H$1,[1]characters!$1:$1,0)-MATCH($A$1,[1]characters!$1:$1,0)+1,FALSE)</f>
        <v>Material</v>
      </c>
      <c r="I8" s="57" t="str">
        <f ca="1">VLOOKUP($A8,OFFSET([1]characters!$A$1,0,0,COUNTA([1]characters!$A:$A),MATCH(I$1,[1]characters!$1:$1,0)-MATCH($A$1,[1]characters!$1:$1,0)+1),MATCH(I$1,[1]characters!$1:$1,0)-MATCH($A$1,[1]characters!$1:$1,0)+1,FALSE)</f>
        <v>blue</v>
      </c>
      <c r="J8" s="11">
        <f ca="1">VLOOKUP(I8,[1]属性!$A:$E,2,FALSE)</f>
        <v>1</v>
      </c>
      <c r="K8" s="11">
        <f ca="1">VLOOKUP(I8,[1]属性!$A:$E,3,FALSE)</f>
        <v>0.98</v>
      </c>
      <c r="L8" s="11">
        <f ca="1">VLOOKUP(I8,[1]属性!$A:$E,4,FALSE)</f>
        <v>1</v>
      </c>
      <c r="M8" s="11">
        <f ca="1">VLOOKUP(I8,[1]属性!$A:$E,5,FALSE)</f>
        <v>1.02</v>
      </c>
      <c r="N8" s="11">
        <f ca="1">INDEX(コスト!$A$1:$I$15,MATCH(H8,コスト!$A$1:$A$15,FALSE),MATCH(G8,コスト!$A$1:$I$1,FALSE))</f>
        <v>99</v>
      </c>
      <c r="O8" s="11">
        <f ca="1">INDEX(レベル!$A$1:$I$16,MATCH(H8,レベル!$A$1:$A$16,FALSE),MATCH(G8,レベル!$A$1:$I$1,FALSE))</f>
        <v>1</v>
      </c>
      <c r="P8" s="149">
        <v>1</v>
      </c>
      <c r="Q8" s="155" t="s">
        <v>248</v>
      </c>
      <c r="R8" s="5" t="str">
        <f>VLOOKUP(Q8,[1]character_type_i18n!$A:$H,3,FALSE)</f>
        <v>回復タイプ</v>
      </c>
      <c r="S8" s="11">
        <f>VLOOKUP(Q8,[1]character_type_i18n!$A:$H,4,FALSE)</f>
        <v>0.8</v>
      </c>
      <c r="T8" s="11">
        <f>VLOOKUP(Q8,[1]character_type_i18n!$A:$H,5,FALSE)</f>
        <v>0.78</v>
      </c>
      <c r="U8" s="11">
        <f>VLOOKUP(Q8,[1]character_type_i18n!$A:$H,6,FALSE)</f>
        <v>1</v>
      </c>
      <c r="V8" s="11">
        <f>VLOOKUP(Q8,[1]character_type_i18n!$A:$H,7,FALSE)</f>
        <v>1.42</v>
      </c>
      <c r="W8" s="57" t="str">
        <f ca="1">VLOOKUP($A8,OFFSET([1]characters!$A$1,0,0,COUNTA([1]characters!$A:$A),MATCH(W$1,[1]characters!$1:$1,0)-MATCH($A$1,[1]characters!$1:$1,0)+1),MATCH(W$1,[1]characters!$1:$1,0)-MATCH($A$1,[1]characters!$1:$1,0)+1,FALSE)</f>
        <v>unknown</v>
      </c>
      <c r="X8" s="5" t="str">
        <f ca="1">VLOOKUP(W8,[1]character_tribe_i18n!$A:$H,3,FALSE)</f>
        <v>Unknown</v>
      </c>
      <c r="Y8" s="57"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1</v>
      </c>
      <c r="AB8" s="11">
        <f ca="1">VLOOKUP(W8,[1]character_tribe_i18n!$A:$H,5,FALSE)</f>
        <v>1</v>
      </c>
      <c r="AC8" s="11">
        <f ca="1">VLOOKUP(W8,[1]character_tribe_i18n!$A:$H,6,FALSE)</f>
        <v>1</v>
      </c>
      <c r="AD8" s="11">
        <f ca="1">VLOOKUP(W8,[1]character_tribe_i18n!$A:$H,7,FALSE)</f>
        <v>1</v>
      </c>
      <c r="AE8" s="9" t="s">
        <v>219</v>
      </c>
      <c r="AF8" s="62" t="str">
        <f ca="1">IF(AE8="NULL","",VLOOKUP($AE8,OFFSET([1]characters!$A$1,0,0,COUNTA([1]characters!$A:$A),MATCH(AF$1,[1]characters!$1:$1,0)-MATCH($A$1,[1]characters!$1:$1,0)+1),MATCH(AF$1,[1]characters!$1:$1,0)-MATCH($A$1,[1]characters!$1:$1,0)+1,FALSE))</f>
        <v/>
      </c>
      <c r="AG8" s="5">
        <f t="shared" ca="1" si="4"/>
        <v>123</v>
      </c>
      <c r="AH8" s="62" t="str">
        <f ca="1">VLOOKUP($AG8,OFFSET([1]characters!$A$1,0,0,COUNTA([1]characters!$A:$A),MATCH(AH$1,[1]characters!$1:$1,0)-MATCH($A$1,[1]characters!$1:$1,0)+1),MATCH(AH$1,[1]characters!$1:$1,0)-MATCH($A$1,[1]characters!$1:$1,0)+1,FALSE)</f>
        <v>癒しの果実</v>
      </c>
      <c r="AI8" s="160" t="str">
        <f>IF(AE8="NULL","NULL",VLOOKUP(G8,ビット!$A$2:$B$7,2)/5)</f>
        <v>NULL</v>
      </c>
      <c r="AJ8" s="6">
        <v>2</v>
      </c>
      <c r="AK8" s="7" t="str">
        <f t="shared" si="0"/>
        <v>普通</v>
      </c>
      <c r="AL8" s="11" t="str">
        <f ca="1">INDEX(経験値!$A$1:$I$15,MATCH(H8,経験値!$A$1:$A$15,FALSE),MATCH(G8,経験値!$A$1:$I$1,FALSE))</f>
        <v>NULL</v>
      </c>
      <c r="AM8" s="8">
        <f ca="1">VLOOKUP(G8,経験値!$A$22:$B$26,2)</f>
        <v>6400</v>
      </c>
      <c r="AN8" s="14">
        <f ca="1">VLOOKUP(G8,ビット!$G$2:$H$7,2)</f>
        <v>900</v>
      </c>
      <c r="AO8" s="44"/>
      <c r="AP8" s="137">
        <v>613</v>
      </c>
      <c r="AQ8" s="57" t="str">
        <f ca="1">VLOOKUP($AP8,OFFSET(unit_skills!$A$1,0,0,COUNTA(unit_skills!$A:$A),MATCH(AQ$1,unit_skills!$1:$1,0)-MATCH($AP$1,unit_skills!$1:$1,0)+1),MATCH(AQ$1,unit_skills!$1:$1,0)-MATCH($AP$1,unit_skills!$1:$1,0)+1,FALSE)</f>
        <v>限界突破素材（回復力）</v>
      </c>
      <c r="AR8" s="57" t="str">
        <f ca="1">VLOOKUP($AP8,OFFSET(unit_skills!$A$1,0,0,COUNTA(unit_skills!$A:$A),MATCH(AR$1,unit_skills!$1:$1,0)-MATCH($AP$1,unit_skills!$1:$1,0)+1),MATCH(AR$1,unit_skills!$1:$1,0)-MATCH($AP$1,unit_skills!$1:$1,0)+1,FALSE)</f>
        <v>このユニットをユニット強化の素材にすると回復力の限界突破値を+10する</v>
      </c>
      <c r="AS8" s="57">
        <f ca="1">VLOOKUP($AP8,OFFSET(unit_skills!$A$1,0,0,COUNTA(unit_skills!$A:$A),MATCH(AS$1,unit_skills!$1:$1,0)-MATCH($AP$1,unit_skills!$1:$1,0)+1),MATCH(AS$1,unit_skills!$1:$1,0)-MATCH($AP$1,unit_skills!$1:$1,0)+1,FALSE)</f>
        <v>0</v>
      </c>
      <c r="AT8" s="40">
        <v>0</v>
      </c>
      <c r="AU8" s="57" t="e">
        <f ca="1">VLOOKUP($AT8,OFFSET([2]crash_skills!$A$1,0,0,COUNTA([2]crash_skills!$A:$A),MATCH(AU$1,[2]crash_skills!$1:$1,0)-MATCH($AT$1,[2]crash_skills!$1:$1,0)+1),MATCH(AU$1,[2]crash_skills!$1:$1,0)-MATCH($AT$1,[2]crash_skills!$1:$1,0)+1,FALSE)</f>
        <v>#VALUE!</v>
      </c>
      <c r="AV8" s="57" t="e">
        <f ca="1">VLOOKUP($AT8,OFFSET([2]crash_skills!$A$1,0,0,COUNTA([2]crash_skills!$A:$A),MATCH(AV$1,[2]crash_skills!$1:$1,0)-MATCH($AT$1,[2]crash_skills!$1:$1,0)+1),MATCH(AV$1,[2]crash_skills!$1:$1,0)-MATCH($AT$1,[2]crash_skills!$1:$1,0)+1,FALSE)</f>
        <v>#VALUE!</v>
      </c>
      <c r="AW8" s="57" t="e">
        <f ca="1">VLOOKUP($AT8,OFFSET([2]crash_skills!$A$1,0,0,COUNTA([2]crash_skills!$A:$A),MATCH(AW$1,[2]crash_skills!$1:$1,0)-MATCH($AT$1,[2]crash_skills!$1:$1,0)+1),MATCH(AW$1,[2]crash_skills!$1:$1,0)-MATCH($AT$1,[2]crash_skills!$1:$1,0)+1,FALSE)</f>
        <v>#VALUE!</v>
      </c>
      <c r="AX8" s="58">
        <f ca="1">VLOOKUP($A8,OFFSET([1]characters!$A$1,0,0,COUNTA([1]characters!$A:$A),MATCH(AX$1,[1]characters!$1:$1,0)-MATCH($A$1,[1]characters!$1:$1,0)+1),MATCH(AX$1,[1]characters!$1:$1,0)-MATCH($A$1,[1]characters!$1:$1,0)+1,FALSE)</f>
        <v>3</v>
      </c>
      <c r="AY8" s="67">
        <v>5</v>
      </c>
      <c r="AZ8" s="67">
        <v>5</v>
      </c>
      <c r="BA8" s="67">
        <v>0</v>
      </c>
      <c r="BB8" s="67">
        <v>5</v>
      </c>
      <c r="BC8" s="11">
        <f ca="1">INDEX('RC6SV'!$A$1:$G$15,MATCH(H8,'RC6SV'!$A$1:$A$15,FALSE),MATCH(G8,'RC6SV'!$A$1:$G$1,FALSE))</f>
        <v>1000</v>
      </c>
      <c r="BD8" s="47">
        <f t="shared" ca="1" si="1"/>
        <v>1000</v>
      </c>
      <c r="BE8" s="160">
        <v>0</v>
      </c>
      <c r="BF8" s="11">
        <f t="shared" ca="1" si="3"/>
        <v>1</v>
      </c>
      <c r="BG8" s="13">
        <f ca="1">IF($BE8&lt;=0,ROUND(BK8*0.5,0), ROUND($BE8*S8*AA8*J8*AY8*0.8*[1]ステータス!$B$2,0))</f>
        <v>1000</v>
      </c>
      <c r="BH8" s="13">
        <f ca="1">IF($BE8&lt;=0,ROUND(BL8*0.5,0), ROUND($BE8*T8*AB8*K8*AZ8*0.8*[1]ステータス!$C$2,0))</f>
        <v>574</v>
      </c>
      <c r="BI8" s="13">
        <f ca="1">IF($BE8&lt;=0,ROUND(BM8*0.5,0), ROUND($BE8*U8*AC8*L8*BA8*0.8*[1]ステータス!$D$2,0))</f>
        <v>0</v>
      </c>
      <c r="BJ8" s="13">
        <f ca="1">IF($BE8&lt;=0,ROUND(BN8*0.5,0), ROUND($BE8*V8*AD8*M8*BB8*0.8*[1]ステータス!$E$2,0))</f>
        <v>906</v>
      </c>
      <c r="BK8" s="11">
        <f ca="1">ROUND(BD8*S8*AA8*J8*AY8*[1]ステータス!$B$2,0)</f>
        <v>2000</v>
      </c>
      <c r="BL8" s="11">
        <f ca="1">ROUND(BD8*T8*AB8*K8*AZ8*[1]ステータス!$C$2,0)</f>
        <v>1147</v>
      </c>
      <c r="BM8" s="11">
        <f ca="1">ROUND(BD8*U8*AC8*L8*BA8*[1]ステータス!$D$2,0)</f>
        <v>0</v>
      </c>
      <c r="BN8" s="11">
        <f ca="1">ROUND(BD8*V8*AD8*M8*BB8*[1]ステータス!$E$2,0)</f>
        <v>1811</v>
      </c>
      <c r="BO8" s="10">
        <v>0</v>
      </c>
      <c r="BP8" s="10">
        <v>1</v>
      </c>
      <c r="BQ8" s="36" t="s">
        <v>73</v>
      </c>
      <c r="BR8" s="12">
        <f ca="1">VLOOKUP(H8,ghosts_label!$A$2:$B$19,2,FALSE)</f>
        <v>0</v>
      </c>
    </row>
    <row r="9" spans="1:70" s="12" customFormat="1" ht="21" customHeight="1" x14ac:dyDescent="0.15">
      <c r="A9" s="137">
        <v>614</v>
      </c>
      <c r="B9" s="57" t="str">
        <f ca="1">VLOOKUP($A9,OFFSET([1]characters!$A$1,0,0,COUNTA([1]characters!$A:$A),MATCH(B$1,[1]characters!$1:$1,0)-MATCH($A$1,[1]characters!$1:$1,0)+1),MATCH(B$1,[1]characters!$1:$1,0)-MATCH($A$1,[1]characters!$1:$1,0)+1,FALSE)</f>
        <v>ギガ秘術の果実</v>
      </c>
      <c r="C9" s="57" t="str">
        <f ca="1">VLOOKUP($A9,OFFSET([1]characters!$A$1,0,0,COUNTA([1]characters!$A:$A),MATCH(C$1,[1]characters!$1:$1,0)-MATCH($A$1,[1]characters!$1:$1,0)+1),MATCH(C$1,[1]characters!$1:$1,0)-MATCH($A$1,[1]characters!$1:$1,0)+1,FALSE)</f>
        <v>スキル進化素材</v>
      </c>
      <c r="D9" s="57" t="str">
        <f ca="1">VLOOKUP($A9,OFFSET([1]characters!$A$1,0,0,COUNTA([1]characters!$A:$A),MATCH(D$1,[1]characters!$1:$1,0)-MATCH($A$1,[1]characters!$1:$1,0)+1),MATCH(D$1,[1]characters!$1:$1,0)-MATCH($A$1,[1]characters!$1:$1,0)+1,FALSE)</f>
        <v>アリス</v>
      </c>
      <c r="E9" s="57" t="str">
        <f ca="1">VLOOKUP($A9,OFFSET([1]characters!$A$1,0,0,COUNTA([1]characters!$A:$A),MATCH(E$1,[1]characters!$1:$1,0)-MATCH($A$1,[1]characters!$1:$1,0)+1),MATCH(E$1,[1]characters!$1:$1,0)-MATCH($A$1,[1]characters!$1:$1,0)+1,FALSE)</f>
        <v>世界観</v>
      </c>
      <c r="F9" s="57" t="str">
        <f ca="1">VLOOKUP($A9,OFFSET([1]characters!$A$1,0,0,COUNTA([1]characters!$A:$A),MATCH(F$1,[1]characters!$1:$1,0)-MATCH($A$1,[1]characters!$1:$1,0)+1),MATCH(F$1,[1]characters!$1:$1,0)-MATCH($A$1,[1]characters!$1:$1,0)+1,FALSE)</f>
        <v>不明</v>
      </c>
      <c r="G9" s="57">
        <f ca="1">VLOOKUP($A9,OFFSET([1]characters!$A$1,0,0,COUNTA([1]characters!$A:$A),MATCH(G$1,[1]characters!$1:$1,0)-MATCH($A$1,[1]characters!$1:$1,0)+1),MATCH(G$1,[1]characters!$1:$1,0)-MATCH($A$1,[1]characters!$1:$1,0)+1,FALSE)</f>
        <v>5</v>
      </c>
      <c r="H9" s="57" t="str">
        <f ca="1">VLOOKUP($A9,OFFSET([1]characters!$A$1,0,0,COUNTA([1]characters!$A:$A),MATCH(H$1,[1]characters!$1:$1,0)-MATCH($A$1,[1]characters!$1:$1,0)+1),MATCH(H$1,[1]characters!$1:$1,0)-MATCH($A$1,[1]characters!$1:$1,0)+1,FALSE)</f>
        <v>Material</v>
      </c>
      <c r="I9" s="57" t="str">
        <f ca="1">VLOOKUP($A9,OFFSET([1]characters!$A$1,0,0,COUNTA([1]characters!$A:$A),MATCH(I$1,[1]characters!$1:$1,0)-MATCH($A$1,[1]characters!$1:$1,0)+1),MATCH(I$1,[1]characters!$1:$1,0)-MATCH($A$1,[1]characters!$1:$1,0)+1,FALSE)</f>
        <v>blue</v>
      </c>
      <c r="J9" s="11">
        <f ca="1">VLOOKUP(I9,[1]属性!$A:$E,2,FALSE)</f>
        <v>1</v>
      </c>
      <c r="K9" s="11">
        <f ca="1">VLOOKUP(I9,[1]属性!$A:$E,3,FALSE)</f>
        <v>0.98</v>
      </c>
      <c r="L9" s="11">
        <f ca="1">VLOOKUP(I9,[1]属性!$A:$E,4,FALSE)</f>
        <v>1</v>
      </c>
      <c r="M9" s="11">
        <f ca="1">VLOOKUP(I9,[1]属性!$A:$E,5,FALSE)</f>
        <v>1.02</v>
      </c>
      <c r="N9" s="11">
        <f ca="1">INDEX(コスト!$A$1:$I$15,MATCH(H9,コスト!$A$1:$A$15,FALSE),MATCH(G9,コスト!$A$1:$I$1,FALSE))</f>
        <v>99</v>
      </c>
      <c r="O9" s="11">
        <f ca="1">INDEX(レベル!$A$1:$I$16,MATCH(H9,レベル!$A$1:$A$16,FALSE),MATCH(G9,レベル!$A$1:$I$1,FALSE))</f>
        <v>1</v>
      </c>
      <c r="P9" s="149">
        <v>1</v>
      </c>
      <c r="Q9" s="155" t="s">
        <v>249</v>
      </c>
      <c r="R9" s="5" t="str">
        <f>VLOOKUP(Q9,[1]character_type_i18n!$A:$H,3,FALSE)</f>
        <v>バランスタイプ</v>
      </c>
      <c r="S9" s="11">
        <f>VLOOKUP(Q9,[1]character_type_i18n!$A:$H,4,FALSE)</f>
        <v>1</v>
      </c>
      <c r="T9" s="11">
        <f>VLOOKUP(Q9,[1]character_type_i18n!$A:$H,5,FALSE)</f>
        <v>1</v>
      </c>
      <c r="U9" s="11">
        <f>VLOOKUP(Q9,[1]character_type_i18n!$A:$H,6,FALSE)</f>
        <v>1</v>
      </c>
      <c r="V9" s="11">
        <f>VLOOKUP(Q9,[1]character_type_i18n!$A:$H,7,FALSE)</f>
        <v>1</v>
      </c>
      <c r="W9" s="57" t="str">
        <f ca="1">VLOOKUP($A9,OFFSET([1]characters!$A$1,0,0,COUNTA([1]characters!$A:$A),MATCH(W$1,[1]characters!$1:$1,0)-MATCH($A$1,[1]characters!$1:$1,0)+1),MATCH(W$1,[1]characters!$1:$1,0)-MATCH($A$1,[1]characters!$1:$1,0)+1,FALSE)</f>
        <v>unknown</v>
      </c>
      <c r="X9" s="5" t="str">
        <f ca="1">VLOOKUP(W9,[1]character_tribe_i18n!$A:$H,3,FALSE)</f>
        <v>Unknown</v>
      </c>
      <c r="Y9" s="57"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1</v>
      </c>
      <c r="AB9" s="11">
        <f ca="1">VLOOKUP(W9,[1]character_tribe_i18n!$A:$H,5,FALSE)</f>
        <v>1</v>
      </c>
      <c r="AC9" s="11">
        <f ca="1">VLOOKUP(W9,[1]character_tribe_i18n!$A:$H,6,FALSE)</f>
        <v>1</v>
      </c>
      <c r="AD9" s="11">
        <f ca="1">VLOOKUP(W9,[1]character_tribe_i18n!$A:$H,7,FALSE)</f>
        <v>1</v>
      </c>
      <c r="AE9" s="9" t="s">
        <v>220</v>
      </c>
      <c r="AF9" s="62" t="str">
        <f ca="1">IF(AE9="NULL","",VLOOKUP($AE9,OFFSET([1]characters!$A$1,0,0,COUNTA([1]characters!$A:$A),MATCH(AF$1,[1]characters!$1:$1,0)-MATCH($A$1,[1]characters!$1:$1,0)+1),MATCH(AF$1,[1]characters!$1:$1,0)-MATCH($A$1,[1]characters!$1:$1,0)+1,FALSE))</f>
        <v/>
      </c>
      <c r="AG9" s="5">
        <f t="shared" ca="1" si="4"/>
        <v>614</v>
      </c>
      <c r="AH9" s="62" t="str">
        <f ca="1">VLOOKUP($AG9,OFFSET([1]characters!$A$1,0,0,COUNTA([1]characters!$A:$A),MATCH(AH$1,[1]characters!$1:$1,0)-MATCH($A$1,[1]characters!$1:$1,0)+1),MATCH(AH$1,[1]characters!$1:$1,0)-MATCH($A$1,[1]characters!$1:$1,0)+1,FALSE)</f>
        <v>ギガ秘術の果実</v>
      </c>
      <c r="AI9" s="160" t="str">
        <f>IF(AE9="NULL","NULL",VLOOKUP(G9,ビット!$A$2:$B$7,2)/5)</f>
        <v>NULL</v>
      </c>
      <c r="AJ9" s="6">
        <v>2</v>
      </c>
      <c r="AK9" s="7" t="str">
        <f t="shared" si="0"/>
        <v>普通</v>
      </c>
      <c r="AL9" s="11" t="str">
        <f ca="1">INDEX(経験値!$A$1:$I$15,MATCH(H9,経験値!$A$1:$A$15,FALSE),MATCH(G9,経験値!$A$1:$I$1,FALSE))</f>
        <v>NULL</v>
      </c>
      <c r="AM9" s="8">
        <f ca="1">VLOOKUP(G9,経験値!$A$22:$B$26,2)</f>
        <v>6400</v>
      </c>
      <c r="AN9" s="14">
        <f ca="1">VLOOKUP(G9,ビット!$G$2:$H$7,2)</f>
        <v>900</v>
      </c>
      <c r="AO9" s="44"/>
      <c r="AP9" s="137">
        <v>614</v>
      </c>
      <c r="AQ9" s="57" t="str">
        <f ca="1">VLOOKUP($AP9,OFFSET(unit_skills!$A$1,0,0,COUNTA(unit_skills!$A:$A),MATCH(AQ$1,unit_skills!$1:$1,0)-MATCH($AP$1,unit_skills!$1:$1,0)+1),MATCH(AQ$1,unit_skills!$1:$1,0)-MATCH($AP$1,unit_skills!$1:$1,0)+1,FALSE)</f>
        <v>スキル強化素材</v>
      </c>
      <c r="AR9" s="57" t="str">
        <f ca="1">VLOOKUP($AP9,OFFSET(unit_skills!$A$1,0,0,COUNTA(unit_skills!$A:$A),MATCH(AR$1,unit_skills!$1:$1,0)-MATCH($AP$1,unit_skills!$1:$1,0)+1),MATCH(AR$1,unit_skills!$1:$1,0)-MATCH($AP$1,unit_skills!$1:$1,0)+1,FALSE)</f>
        <v>このユニットをユニット強化の素材にするとスキルレベルが4上昇する</v>
      </c>
      <c r="AS9" s="57">
        <f ca="1">VLOOKUP($AP9,OFFSET(unit_skills!$A$1,0,0,COUNTA(unit_skills!$A:$A),MATCH(AS$1,unit_skills!$1:$1,0)-MATCH($AP$1,unit_skills!$1:$1,0)+1),MATCH(AS$1,unit_skills!$1:$1,0)-MATCH($AP$1,unit_skills!$1:$1,0)+1,FALSE)</f>
        <v>0</v>
      </c>
      <c r="AT9" s="40">
        <v>0</v>
      </c>
      <c r="AU9" s="57" t="e">
        <f ca="1">VLOOKUP($AT9,OFFSET([2]crash_skills!$A$1,0,0,COUNTA([2]crash_skills!$A:$A),MATCH(AU$1,[2]crash_skills!$1:$1,0)-MATCH($AT$1,[2]crash_skills!$1:$1,0)+1),MATCH(AU$1,[2]crash_skills!$1:$1,0)-MATCH($AT$1,[2]crash_skills!$1:$1,0)+1,FALSE)</f>
        <v>#VALUE!</v>
      </c>
      <c r="AV9" s="57" t="e">
        <f ca="1">VLOOKUP($AT9,OFFSET([2]crash_skills!$A$1,0,0,COUNTA([2]crash_skills!$A:$A),MATCH(AV$1,[2]crash_skills!$1:$1,0)-MATCH($AT$1,[2]crash_skills!$1:$1,0)+1),MATCH(AV$1,[2]crash_skills!$1:$1,0)-MATCH($AT$1,[2]crash_skills!$1:$1,0)+1,FALSE)</f>
        <v>#VALUE!</v>
      </c>
      <c r="AW9" s="57" t="e">
        <f ca="1">VLOOKUP($AT9,OFFSET([2]crash_skills!$A$1,0,0,COUNTA([2]crash_skills!$A:$A),MATCH(AW$1,[2]crash_skills!$1:$1,0)-MATCH($AT$1,[2]crash_skills!$1:$1,0)+1),MATCH(AW$1,[2]crash_skills!$1:$1,0)-MATCH($AT$1,[2]crash_skills!$1:$1,0)+1,FALSE)</f>
        <v>#VALUE!</v>
      </c>
      <c r="AX9" s="58">
        <f ca="1">VLOOKUP($A9,OFFSET([1]characters!$A$1,0,0,COUNTA([1]characters!$A:$A),MATCH(AX$1,[1]characters!$1:$1,0)-MATCH($A$1,[1]characters!$1:$1,0)+1),MATCH(AX$1,[1]characters!$1:$1,0)-MATCH($A$1,[1]characters!$1:$1,0)+1,FALSE)</f>
        <v>3</v>
      </c>
      <c r="AY9" s="67">
        <v>5</v>
      </c>
      <c r="AZ9" s="67">
        <v>5</v>
      </c>
      <c r="BA9" s="67">
        <v>0</v>
      </c>
      <c r="BB9" s="67">
        <v>5</v>
      </c>
      <c r="BC9" s="11">
        <f ca="1">INDEX('RC6SV'!$A$1:$G$15,MATCH(H9,'RC6SV'!$A$1:$A$15,FALSE),MATCH(G9,'RC6SV'!$A$1:$G$1,FALSE))</f>
        <v>1000</v>
      </c>
      <c r="BD9" s="47">
        <f t="shared" ref="BD9:BD11" ca="1" si="5">ROUND(BC9*IF(AJ9=1,0.95,IF(AJ9=2,1,IF(AJ9,1.05,0))),0)</f>
        <v>1000</v>
      </c>
      <c r="BE9" s="11">
        <f t="shared" ca="1" si="2"/>
        <v>0</v>
      </c>
      <c r="BF9" s="11">
        <f t="shared" ca="1" si="3"/>
        <v>1</v>
      </c>
      <c r="BG9" s="13">
        <f ca="1">IF($BE9&lt;=0,ROUND(BK9*0.5,0), ROUND($BE9*S9*AA9*J9*AY9*0.8*[1]ステータス!$B$2,0))</f>
        <v>1250</v>
      </c>
      <c r="BH9" s="13">
        <f ca="1">IF($BE9&lt;=0,ROUND(BL9*0.5,0), ROUND($BE9*T9*AB9*K9*AZ9*0.8*[1]ステータス!$C$2,0))</f>
        <v>735</v>
      </c>
      <c r="BI9" s="13">
        <f ca="1">IF($BE9&lt;=0,ROUND(BM9*0.5,0), ROUND($BE9*U9*AC9*L9*BA9*0.8*[1]ステータス!$D$2,0))</f>
        <v>0</v>
      </c>
      <c r="BJ9" s="13">
        <f ca="1">IF($BE9&lt;=0,ROUND(BN9*0.5,0), ROUND($BE9*V9*AD9*M9*BB9*0.8*[1]ステータス!$E$2,0))</f>
        <v>638</v>
      </c>
      <c r="BK9" s="11">
        <f ca="1">ROUND(BD9*S9*AA9*J9*AY9*[1]ステータス!$B$2,0)</f>
        <v>2500</v>
      </c>
      <c r="BL9" s="11">
        <f ca="1">ROUND(BD9*T9*AB9*K9*AZ9*[1]ステータス!$C$2,0)</f>
        <v>1470</v>
      </c>
      <c r="BM9" s="11">
        <f ca="1">ROUND(BD9*U9*AC9*L9*BA9*[1]ステータス!$D$2,0)</f>
        <v>0</v>
      </c>
      <c r="BN9" s="11">
        <f ca="1">ROUND(BD9*V9*AD9*M9*BB9*[1]ステータス!$E$2,0)</f>
        <v>1275</v>
      </c>
      <c r="BO9" s="10">
        <v>0</v>
      </c>
      <c r="BP9" s="10">
        <v>1</v>
      </c>
      <c r="BQ9" s="10" t="s">
        <v>73</v>
      </c>
      <c r="BR9" s="12">
        <f ca="1">VLOOKUP(H9,ghosts_label!$A$2:$B$19,2,FALSE)</f>
        <v>0</v>
      </c>
    </row>
    <row r="10" spans="1:70" s="12" customFormat="1" ht="21" customHeight="1" x14ac:dyDescent="0.15">
      <c r="A10" s="137">
        <v>1433</v>
      </c>
      <c r="B10" s="57" t="str">
        <f ca="1">VLOOKUP($A10,OFFSET([1]characters!$A$1,0,0,COUNTA([1]characters!$A:$A),MATCH(B$1,[1]characters!$1:$1,0)-MATCH($A$1,[1]characters!$1:$1,0)+1),MATCH(B$1,[1]characters!$1:$1,0)-MATCH($A$1,[1]characters!$1:$1,0)+1,FALSE)</f>
        <v>超越の果実</v>
      </c>
      <c r="C10" s="57" t="str">
        <f ca="1">VLOOKUP($A10,OFFSET([1]characters!$A$1,0,0,COUNTA([1]characters!$A:$A),MATCH(C$1,[1]characters!$1:$1,0)-MATCH($A$1,[1]characters!$1:$1,0)+1),MATCH(C$1,[1]characters!$1:$1,0)-MATCH($A$1,[1]characters!$1:$1,0)+1,FALSE)</f>
        <v>スキル進化素材</v>
      </c>
      <c r="D10" s="57" t="str">
        <f ca="1">VLOOKUP($A10,OFFSET([1]characters!$A$1,0,0,COUNTA([1]characters!$A:$A),MATCH(D$1,[1]characters!$1:$1,0)-MATCH($A$1,[1]characters!$1:$1,0)+1),MATCH(D$1,[1]characters!$1:$1,0)-MATCH($A$1,[1]characters!$1:$1,0)+1,FALSE)</f>
        <v>アリス</v>
      </c>
      <c r="E10" s="57" t="str">
        <f ca="1">VLOOKUP($A10,OFFSET([1]characters!$A$1,0,0,COUNTA([1]characters!$A:$A),MATCH(E$1,[1]characters!$1:$1,0)-MATCH($A$1,[1]characters!$1:$1,0)+1),MATCH(E$1,[1]characters!$1:$1,0)-MATCH($A$1,[1]characters!$1:$1,0)+1,FALSE)</f>
        <v>世界観</v>
      </c>
      <c r="F10" s="57" t="str">
        <f ca="1">VLOOKUP($A10,OFFSET([1]characters!$A$1,0,0,COUNTA([1]characters!$A:$A),MATCH(F$1,[1]characters!$1:$1,0)-MATCH($A$1,[1]characters!$1:$1,0)+1),MATCH(F$1,[1]characters!$1:$1,0)-MATCH($A$1,[1]characters!$1:$1,0)+1,FALSE)</f>
        <v>不明</v>
      </c>
      <c r="G10" s="57">
        <f ca="1">VLOOKUP($A10,OFFSET([1]characters!$A$1,0,0,COUNTA([1]characters!$A:$A),MATCH(G$1,[1]characters!$1:$1,0)-MATCH($A$1,[1]characters!$1:$1,0)+1),MATCH(G$1,[1]characters!$1:$1,0)-MATCH($A$1,[1]characters!$1:$1,0)+1,FALSE)</f>
        <v>3</v>
      </c>
      <c r="H10" s="57" t="str">
        <f ca="1">VLOOKUP($A10,OFFSET([1]characters!$A$1,0,0,COUNTA([1]characters!$A:$A),MATCH(H$1,[1]characters!$1:$1,0)-MATCH($A$1,[1]characters!$1:$1,0)+1),MATCH(H$1,[1]characters!$1:$1,0)-MATCH($A$1,[1]characters!$1:$1,0)+1,FALSE)</f>
        <v>Material</v>
      </c>
      <c r="I10" s="57" t="str">
        <f ca="1">VLOOKUP($A10,OFFSET([1]characters!$A$1,0,0,COUNTA([1]characters!$A:$A),MATCH(I$1,[1]characters!$1:$1,0)-MATCH($A$1,[1]characters!$1:$1,0)+1),MATCH(I$1,[1]characters!$1:$1,0)-MATCH($A$1,[1]characters!$1:$1,0)+1,FALSE)</f>
        <v>yellow</v>
      </c>
      <c r="J10" s="11">
        <f ca="1">VLOOKUP(I10,[1]属性!$A:$E,2,FALSE)</f>
        <v>0.98</v>
      </c>
      <c r="K10" s="11">
        <f ca="1">VLOOKUP(I10,[1]属性!$A:$E,3,FALSE)</f>
        <v>1.01</v>
      </c>
      <c r="L10" s="11">
        <f ca="1">VLOOKUP(I10,[1]属性!$A:$E,4,FALSE)</f>
        <v>1</v>
      </c>
      <c r="M10" s="11">
        <f ca="1">VLOOKUP(I10,[1]属性!$A:$E,5,FALSE)</f>
        <v>1.01</v>
      </c>
      <c r="N10" s="11">
        <f ca="1">INDEX(コスト!$A$1:$I$15,MATCH(H10,コスト!$A$1:$A$15,FALSE),MATCH(G10,コスト!$A$1:$I$1,FALSE))</f>
        <v>99</v>
      </c>
      <c r="O10" s="11">
        <f ca="1">INDEX(レベル!$A$1:$I$16,MATCH(H10,レベル!$A$1:$A$16,FALSE),MATCH(G10,レベル!$A$1:$I$1,FALSE))</f>
        <v>1</v>
      </c>
      <c r="P10" s="149">
        <v>1</v>
      </c>
      <c r="Q10" s="155" t="s">
        <v>282</v>
      </c>
      <c r="R10" s="5" t="str">
        <f>VLOOKUP(Q10,[1]character_type_i18n!$A:$H,3,FALSE)</f>
        <v>テクニカルタイプ</v>
      </c>
      <c r="S10" s="11">
        <f>VLOOKUP(Q10,[1]character_type_i18n!$A:$H,4,FALSE)</f>
        <v>0.9</v>
      </c>
      <c r="T10" s="11">
        <f>VLOOKUP(Q10,[1]character_type_i18n!$A:$H,5,FALSE)</f>
        <v>0.9</v>
      </c>
      <c r="U10" s="11">
        <f>VLOOKUP(Q10,[1]character_type_i18n!$A:$H,6,FALSE)</f>
        <v>1</v>
      </c>
      <c r="V10" s="11">
        <f>VLOOKUP(Q10,[1]character_type_i18n!$A:$H,7,FALSE)</f>
        <v>0.9</v>
      </c>
      <c r="W10" s="57" t="str">
        <f ca="1">VLOOKUP($A10,OFFSET([1]characters!$A$1,0,0,COUNTA([1]characters!$A:$A),MATCH(W$1,[1]characters!$1:$1,0)-MATCH($A$1,[1]characters!$1:$1,0)+1),MATCH(W$1,[1]characters!$1:$1,0)-MATCH($A$1,[1]characters!$1:$1,0)+1,FALSE)</f>
        <v>unknown</v>
      </c>
      <c r="X10" s="5" t="str">
        <f ca="1">VLOOKUP(W10,[1]character_tribe_i18n!$A:$H,3,FALSE)</f>
        <v>Unknown</v>
      </c>
      <c r="Y10" s="57" t="str">
        <f ca="1">VLOOKUP($A10,OFFSET([1]characters!$A$1,0,0,COUNTA([1]characters!$A:$A),MATCH(Y$1,[1]characters!$1:$1,0)-MATCH($A$1,[1]characters!$1:$1,0)+1),MATCH(Y$1,[1]characters!$1:$1,0)-MATCH($A$1,[1]characters!$1:$1,0)+1,FALSE)</f>
        <v>none</v>
      </c>
      <c r="Z10" s="5" t="str">
        <f ca="1">VLOOKUP(Y10,[1]character_tribe_i18n!$A:$H,3,FALSE)</f>
        <v>種族なし</v>
      </c>
      <c r="AA10" s="11">
        <f ca="1">VLOOKUP(W10,[1]character_tribe_i18n!$A:$H,4,FALSE)</f>
        <v>1</v>
      </c>
      <c r="AB10" s="11">
        <f ca="1">VLOOKUP(W10,[1]character_tribe_i18n!$A:$H,5,FALSE)</f>
        <v>1</v>
      </c>
      <c r="AC10" s="11">
        <f ca="1">VLOOKUP(W10,[1]character_tribe_i18n!$A:$H,6,FALSE)</f>
        <v>1</v>
      </c>
      <c r="AD10" s="11">
        <f ca="1">VLOOKUP(W10,[1]character_tribe_i18n!$A:$H,7,FALSE)</f>
        <v>1</v>
      </c>
      <c r="AE10" s="137">
        <v>1434</v>
      </c>
      <c r="AF10" s="62" t="str">
        <f ca="1">IF(AE10="NULL","",VLOOKUP($AE10,OFFSET([1]characters!$A$1,0,0,COUNTA([1]characters!$A:$A),MATCH(AF$1,[1]characters!$1:$1,0)-MATCH($A$1,[1]characters!$1:$1,0)+1),MATCH(AF$1,[1]characters!$1:$1,0)-MATCH($A$1,[1]characters!$1:$1,0)+1,FALSE))</f>
        <v>メガ超越の果実</v>
      </c>
      <c r="AG10" s="137">
        <v>1433</v>
      </c>
      <c r="AH10" s="62" t="str">
        <f ca="1">VLOOKUP($AG10,OFFSET([1]characters!$A$1,0,0,COUNTA([1]characters!$A:$A),MATCH(AH$1,[1]characters!$1:$1,0)-MATCH($A$1,[1]characters!$1:$1,0)+1),MATCH(AH$1,[1]characters!$1:$1,0)-MATCH($A$1,[1]characters!$1:$1,0)+1,FALSE)</f>
        <v>超越の果実</v>
      </c>
      <c r="AI10" s="160">
        <f ca="1">IF(AE10="NULL","NULL",VLOOKUP(G10,ビット!$A$2:$B$7,2)/5)</f>
        <v>4000</v>
      </c>
      <c r="AJ10" s="6">
        <v>2</v>
      </c>
      <c r="AK10" s="7" t="str">
        <f t="shared" ref="AK10:AK12" si="6">IF(AJ10=1,"早熟",IF(AJ10=2,"普通",IF(AJ10=3,"晩成","")))</f>
        <v>普通</v>
      </c>
      <c r="AL10" s="11" t="str">
        <f ca="1">INDEX(経験値!$A$1:$I$15,MATCH(H10,経験値!$A$1:$A$15,FALSE),MATCH(G10,経験値!$A$1:$I$1,FALSE))</f>
        <v>NULL</v>
      </c>
      <c r="AM10" s="8">
        <f ca="1">VLOOKUP(G10,経験値!$A$22:$B$26,2)</f>
        <v>1500</v>
      </c>
      <c r="AN10" s="14">
        <f ca="1">VLOOKUP(G10,ビット!$G$2:$H$7,2)</f>
        <v>300</v>
      </c>
      <c r="AO10" s="44"/>
      <c r="AP10" s="137">
        <v>1433</v>
      </c>
      <c r="AQ10" s="57" t="str">
        <f ca="1">VLOOKUP($AP10,OFFSET(unit_skills!$A$1,0,0,COUNTA(unit_skills!$A:$A),MATCH(AQ$1,unit_skills!$1:$1,0)-MATCH($AP$1,unit_skills!$1:$1,0)+1),MATCH(AQ$1,unit_skills!$1:$1,0)-MATCH($AP$1,unit_skills!$1:$1,0)+1,FALSE)</f>
        <v>限界突破素材（上限）</v>
      </c>
      <c r="AR10" s="57" t="str">
        <f ca="1">VLOOKUP($AP10,OFFSET(unit_skills!$A$1,0,0,COUNTA(unit_skills!$A:$A),MATCH(AR$1,unit_skills!$1:$1,0)-MATCH($AP$1,unit_skills!$1:$1,0)+1),MATCH(AR$1,unit_skills!$1:$1,0)-MATCH($AP$1,unit_skills!$1:$1,0)+1,FALSE)</f>
        <v>このユニットをユニット強化の素材にすると限界突破の上限が1上昇する</v>
      </c>
      <c r="AS10" s="57">
        <f ca="1">VLOOKUP($AP10,OFFSET(unit_skills!$A$1,0,0,COUNTA(unit_skills!$A:$A),MATCH(AS$1,unit_skills!$1:$1,0)-MATCH($AP$1,unit_skills!$1:$1,0)+1),MATCH(AS$1,unit_skills!$1:$1,0)-MATCH($AP$1,unit_skills!$1:$1,0)+1,FALSE)</f>
        <v>0</v>
      </c>
      <c r="AT10" s="40">
        <v>0</v>
      </c>
      <c r="AU10" s="57" t="e">
        <f ca="1">VLOOKUP($AT10,OFFSET([2]crash_skills!$A$1,0,0,COUNTA([2]crash_skills!$A:$A),MATCH(AU$1,[2]crash_skills!$1:$1,0)-MATCH($AT$1,[2]crash_skills!$1:$1,0)+1),MATCH(AU$1,[2]crash_skills!$1:$1,0)-MATCH($AT$1,[2]crash_skills!$1:$1,0)+1,FALSE)</f>
        <v>#VALUE!</v>
      </c>
      <c r="AV10" s="57" t="e">
        <f ca="1">VLOOKUP($AT10,OFFSET([2]crash_skills!$A$1,0,0,COUNTA([2]crash_skills!$A:$A),MATCH(AV$1,[2]crash_skills!$1:$1,0)-MATCH($AT$1,[2]crash_skills!$1:$1,0)+1),MATCH(AV$1,[2]crash_skills!$1:$1,0)-MATCH($AT$1,[2]crash_skills!$1:$1,0)+1,FALSE)</f>
        <v>#VALUE!</v>
      </c>
      <c r="AW10" s="57" t="e">
        <f ca="1">VLOOKUP($AT10,OFFSET([2]crash_skills!$A$1,0,0,COUNTA([2]crash_skills!$A:$A),MATCH(AW$1,[2]crash_skills!$1:$1,0)-MATCH($AT$1,[2]crash_skills!$1:$1,0)+1),MATCH(AW$1,[2]crash_skills!$1:$1,0)-MATCH($AT$1,[2]crash_skills!$1:$1,0)+1,FALSE)</f>
        <v>#VALUE!</v>
      </c>
      <c r="AX10" s="58">
        <f ca="1">VLOOKUP($A10,OFFSET([1]characters!$A$1,0,0,COUNTA([1]characters!$A:$A),MATCH(AX$1,[1]characters!$1:$1,0)-MATCH($A$1,[1]characters!$1:$1,0)+1),MATCH(AX$1,[1]characters!$1:$1,0)-MATCH($A$1,[1]characters!$1:$1,0)+1,FALSE)</f>
        <v>3</v>
      </c>
      <c r="AY10" s="67">
        <v>1</v>
      </c>
      <c r="AZ10" s="67">
        <v>1</v>
      </c>
      <c r="BA10" s="67">
        <v>0</v>
      </c>
      <c r="BB10" s="67">
        <v>1</v>
      </c>
      <c r="BC10" s="11">
        <f ca="1">INDEX('RC6SV'!$A$1:$G$15,MATCH(H10,'RC6SV'!$A$1:$A$15,FALSE),MATCH(G10,'RC6SV'!$A$1:$G$1,FALSE))</f>
        <v>1000</v>
      </c>
      <c r="BD10" s="47">
        <f t="shared" ca="1" si="5"/>
        <v>1000</v>
      </c>
      <c r="BE10" s="11">
        <f t="shared" ca="1" si="2"/>
        <v>0</v>
      </c>
      <c r="BF10" s="11">
        <f t="shared" ca="1" si="3"/>
        <v>1</v>
      </c>
      <c r="BG10" s="13">
        <f ca="1">IF($BE10&lt;=0,ROUND(BK10*0.5,0), ROUND($BE10*S10*AA10*J10*AY10*0.8*[1]ステータス!$B$2,0))</f>
        <v>221</v>
      </c>
      <c r="BH10" s="13">
        <f ca="1">IF($BE10&lt;=0,ROUND(BL10*0.5,0), ROUND($BE10*T10*AB10*K10*AZ10*0.8*[1]ステータス!$C$2,0))</f>
        <v>137</v>
      </c>
      <c r="BI10" s="13">
        <f ca="1">IF($BE10&lt;=0,ROUND(BM10*0.5,0), ROUND($BE10*U10*AC10*L10*BA10*0.8*[1]ステータス!$D$2,0))</f>
        <v>0</v>
      </c>
      <c r="BJ10" s="13">
        <f ca="1">IF($BE10&lt;=0,ROUND(BN10*0.5,0), ROUND($BE10*V10*AD10*M10*BB10*0.8*[1]ステータス!$E$2,0))</f>
        <v>114</v>
      </c>
      <c r="BK10" s="11">
        <f ca="1">ROUND(BD10*S10*AA10*J10*AY10*[1]ステータス!$B$2,0)</f>
        <v>441</v>
      </c>
      <c r="BL10" s="11">
        <f ca="1">ROUND(BD10*T10*AB10*K10*AZ10*[1]ステータス!$C$2,0)</f>
        <v>273</v>
      </c>
      <c r="BM10" s="11">
        <f ca="1">ROUND(BD10*U10*AC10*L10*BA10*[1]ステータス!$D$2,0)</f>
        <v>0</v>
      </c>
      <c r="BN10" s="11">
        <f ca="1">ROUND(BD10*V10*AD10*M10*BB10*[1]ステータス!$E$2,0)</f>
        <v>227</v>
      </c>
      <c r="BO10" s="10">
        <v>0</v>
      </c>
      <c r="BP10" s="10">
        <v>1</v>
      </c>
      <c r="BQ10" s="36" t="s">
        <v>73</v>
      </c>
      <c r="BR10" s="12">
        <f ca="1">VLOOKUP(H10,ghosts_label!$A$2:$B$19,2,FALSE)</f>
        <v>0</v>
      </c>
    </row>
    <row r="11" spans="1:70" s="12" customFormat="1" ht="21" customHeight="1" x14ac:dyDescent="0.15">
      <c r="A11" s="137">
        <v>1434</v>
      </c>
      <c r="B11" s="57" t="str">
        <f ca="1">VLOOKUP($A11,OFFSET([1]characters!$A$1,0,0,COUNTA([1]characters!$A:$A),MATCH(B$1,[1]characters!$1:$1,0)-MATCH($A$1,[1]characters!$1:$1,0)+1),MATCH(B$1,[1]characters!$1:$1,0)-MATCH($A$1,[1]characters!$1:$1,0)+1,FALSE)</f>
        <v>メガ超越の果実</v>
      </c>
      <c r="C11" s="57" t="str">
        <f ca="1">VLOOKUP($A11,OFFSET([1]characters!$A$1,0,0,COUNTA([1]characters!$A:$A),MATCH(C$1,[1]characters!$1:$1,0)-MATCH($A$1,[1]characters!$1:$1,0)+1),MATCH(C$1,[1]characters!$1:$1,0)-MATCH($A$1,[1]characters!$1:$1,0)+1,FALSE)</f>
        <v>スキル進化素材</v>
      </c>
      <c r="D11" s="57" t="str">
        <f ca="1">VLOOKUP($A11,OFFSET([1]characters!$A$1,0,0,COUNTA([1]characters!$A:$A),MATCH(D$1,[1]characters!$1:$1,0)-MATCH($A$1,[1]characters!$1:$1,0)+1),MATCH(D$1,[1]characters!$1:$1,0)-MATCH($A$1,[1]characters!$1:$1,0)+1,FALSE)</f>
        <v>アリス</v>
      </c>
      <c r="E11" s="57" t="str">
        <f ca="1">VLOOKUP($A11,OFFSET([1]characters!$A$1,0,0,COUNTA([1]characters!$A:$A),MATCH(E$1,[1]characters!$1:$1,0)-MATCH($A$1,[1]characters!$1:$1,0)+1),MATCH(E$1,[1]characters!$1:$1,0)-MATCH($A$1,[1]characters!$1:$1,0)+1,FALSE)</f>
        <v>世界観</v>
      </c>
      <c r="F11" s="57" t="str">
        <f ca="1">VLOOKUP($A11,OFFSET([1]characters!$A$1,0,0,COUNTA([1]characters!$A:$A),MATCH(F$1,[1]characters!$1:$1,0)-MATCH($A$1,[1]characters!$1:$1,0)+1),MATCH(F$1,[1]characters!$1:$1,0)-MATCH($A$1,[1]characters!$1:$1,0)+1,FALSE)</f>
        <v>不明</v>
      </c>
      <c r="G11" s="57">
        <f ca="1">VLOOKUP($A11,OFFSET([1]characters!$A$1,0,0,COUNTA([1]characters!$A:$A),MATCH(G$1,[1]characters!$1:$1,0)-MATCH($A$1,[1]characters!$1:$1,0)+1),MATCH(G$1,[1]characters!$1:$1,0)-MATCH($A$1,[1]characters!$1:$1,0)+1,FALSE)</f>
        <v>4</v>
      </c>
      <c r="H11" s="57" t="str">
        <f ca="1">VLOOKUP($A11,OFFSET([1]characters!$A$1,0,0,COUNTA([1]characters!$A:$A),MATCH(H$1,[1]characters!$1:$1,0)-MATCH($A$1,[1]characters!$1:$1,0)+1),MATCH(H$1,[1]characters!$1:$1,0)-MATCH($A$1,[1]characters!$1:$1,0)+1,FALSE)</f>
        <v>Material</v>
      </c>
      <c r="I11" s="57" t="str">
        <f ca="1">VLOOKUP($A11,OFFSET([1]characters!$A$1,0,0,COUNTA([1]characters!$A:$A),MATCH(I$1,[1]characters!$1:$1,0)-MATCH($A$1,[1]characters!$1:$1,0)+1),MATCH(I$1,[1]characters!$1:$1,0)-MATCH($A$1,[1]characters!$1:$1,0)+1,FALSE)</f>
        <v>yellow</v>
      </c>
      <c r="J11" s="11">
        <f ca="1">VLOOKUP(I11,[1]属性!$A:$E,2,FALSE)</f>
        <v>0.98</v>
      </c>
      <c r="K11" s="11">
        <f ca="1">VLOOKUP(I11,[1]属性!$A:$E,3,FALSE)</f>
        <v>1.01</v>
      </c>
      <c r="L11" s="11">
        <f ca="1">VLOOKUP(I11,[1]属性!$A:$E,4,FALSE)</f>
        <v>1</v>
      </c>
      <c r="M11" s="11">
        <f ca="1">VLOOKUP(I11,[1]属性!$A:$E,5,FALSE)</f>
        <v>1.01</v>
      </c>
      <c r="N11" s="11">
        <f ca="1">INDEX(コスト!$A$1:$I$15,MATCH(H11,コスト!$A$1:$A$15,FALSE),MATCH(G11,コスト!$A$1:$I$1,FALSE))</f>
        <v>99</v>
      </c>
      <c r="O11" s="11">
        <f ca="1">INDEX(レベル!$A$1:$I$16,MATCH(H11,レベル!$A$1:$A$16,FALSE),MATCH(G11,レベル!$A$1:$I$1,FALSE))</f>
        <v>1</v>
      </c>
      <c r="P11" s="149">
        <v>1</v>
      </c>
      <c r="Q11" s="155" t="s">
        <v>282</v>
      </c>
      <c r="R11" s="5" t="str">
        <f>VLOOKUP(Q11,[1]character_type_i18n!$A:$H,3,FALSE)</f>
        <v>テクニカルタイプ</v>
      </c>
      <c r="S11" s="11">
        <f>VLOOKUP(Q11,[1]character_type_i18n!$A:$H,4,FALSE)</f>
        <v>0.9</v>
      </c>
      <c r="T11" s="11">
        <f>VLOOKUP(Q11,[1]character_type_i18n!$A:$H,5,FALSE)</f>
        <v>0.9</v>
      </c>
      <c r="U11" s="11">
        <f>VLOOKUP(Q11,[1]character_type_i18n!$A:$H,6,FALSE)</f>
        <v>1</v>
      </c>
      <c r="V11" s="11">
        <f>VLOOKUP(Q11,[1]character_type_i18n!$A:$H,7,FALSE)</f>
        <v>0.9</v>
      </c>
      <c r="W11" s="57" t="str">
        <f ca="1">VLOOKUP($A11,OFFSET([1]characters!$A$1,0,0,COUNTA([1]characters!$A:$A),MATCH(W$1,[1]characters!$1:$1,0)-MATCH($A$1,[1]characters!$1:$1,0)+1),MATCH(W$1,[1]characters!$1:$1,0)-MATCH($A$1,[1]characters!$1:$1,0)+1,FALSE)</f>
        <v>unknown</v>
      </c>
      <c r="X11" s="5" t="str">
        <f ca="1">VLOOKUP(W11,[1]character_tribe_i18n!$A:$H,3,FALSE)</f>
        <v>Unknown</v>
      </c>
      <c r="Y11" s="57" t="str">
        <f ca="1">VLOOKUP($A11,OFFSET([1]characters!$A$1,0,0,COUNTA([1]characters!$A:$A),MATCH(Y$1,[1]characters!$1:$1,0)-MATCH($A$1,[1]characters!$1:$1,0)+1),MATCH(Y$1,[1]characters!$1:$1,0)-MATCH($A$1,[1]characters!$1:$1,0)+1,FALSE)</f>
        <v>none</v>
      </c>
      <c r="Z11" s="5" t="str">
        <f ca="1">VLOOKUP(Y11,[1]character_tribe_i18n!$A:$H,3,FALSE)</f>
        <v>種族なし</v>
      </c>
      <c r="AA11" s="11">
        <f ca="1">VLOOKUP(W11,[1]character_tribe_i18n!$A:$H,4,FALSE)</f>
        <v>1</v>
      </c>
      <c r="AB11" s="11">
        <f ca="1">VLOOKUP(W11,[1]character_tribe_i18n!$A:$H,5,FALSE)</f>
        <v>1</v>
      </c>
      <c r="AC11" s="11">
        <f ca="1">VLOOKUP(W11,[1]character_tribe_i18n!$A:$H,6,FALSE)</f>
        <v>1</v>
      </c>
      <c r="AD11" s="11">
        <f ca="1">VLOOKUP(W11,[1]character_tribe_i18n!$A:$H,7,FALSE)</f>
        <v>1</v>
      </c>
      <c r="AE11" s="137">
        <v>1435</v>
      </c>
      <c r="AF11" s="62" t="str">
        <f ca="1">IF(AE11="NULL","",VLOOKUP($AE11,OFFSET([1]characters!$A$1,0,0,COUNTA([1]characters!$A:$A),MATCH(AF$1,[1]characters!$1:$1,0)-MATCH($A$1,[1]characters!$1:$1,0)+1),MATCH(AF$1,[1]characters!$1:$1,0)-MATCH($A$1,[1]characters!$1:$1,0)+1,FALSE))</f>
        <v>ギガ超越の果実</v>
      </c>
      <c r="AG11" s="137">
        <v>1433</v>
      </c>
      <c r="AH11" s="62" t="str">
        <f ca="1">VLOOKUP($AG11,OFFSET([1]characters!$A$1,0,0,COUNTA([1]characters!$A:$A),MATCH(AH$1,[1]characters!$1:$1,0)-MATCH($A$1,[1]characters!$1:$1,0)+1),MATCH(AH$1,[1]characters!$1:$1,0)-MATCH($A$1,[1]characters!$1:$1,0)+1,FALSE)</f>
        <v>超越の果実</v>
      </c>
      <c r="AI11" s="160">
        <f ca="1">IF(AE11="NULL","NULL",VLOOKUP(G11,ビット!$A$2:$B$7,2)/5)</f>
        <v>10000</v>
      </c>
      <c r="AJ11" s="6">
        <v>2</v>
      </c>
      <c r="AK11" s="7" t="str">
        <f t="shared" si="6"/>
        <v>普通</v>
      </c>
      <c r="AL11" s="11" t="str">
        <f ca="1">INDEX(経験値!$A$1:$I$15,MATCH(H11,経験値!$A$1:$A$15,FALSE),MATCH(G11,経験値!$A$1:$I$1,FALSE))</f>
        <v>NULL</v>
      </c>
      <c r="AM11" s="8">
        <f ca="1">VLOOKUP(G11,経験値!$A$22:$B$26,2)</f>
        <v>3400</v>
      </c>
      <c r="AN11" s="14">
        <f ca="1">VLOOKUP(G11,ビット!$G$2:$H$7,2)</f>
        <v>600</v>
      </c>
      <c r="AO11" s="44"/>
      <c r="AP11" s="137">
        <v>1434</v>
      </c>
      <c r="AQ11" s="57" t="str">
        <f ca="1">VLOOKUP($AP11,OFFSET(unit_skills!$A$1,0,0,COUNTA(unit_skills!$A:$A),MATCH(AQ$1,unit_skills!$1:$1,0)-MATCH($AP$1,unit_skills!$1:$1,0)+1),MATCH(AQ$1,unit_skills!$1:$1,0)-MATCH($AP$1,unit_skills!$1:$1,0)+1,FALSE)</f>
        <v>限界突破素材（上限）</v>
      </c>
      <c r="AR11" s="57" t="str">
        <f ca="1">VLOOKUP($AP11,OFFSET(unit_skills!$A$1,0,0,COUNTA(unit_skills!$A:$A),MATCH(AR$1,unit_skills!$1:$1,0)-MATCH($AP$1,unit_skills!$1:$1,0)+1),MATCH(AR$1,unit_skills!$1:$1,0)-MATCH($AP$1,unit_skills!$1:$1,0)+1,FALSE)</f>
        <v>このユニットをユニット強化の素材にすると限界突破の上限が3上昇する</v>
      </c>
      <c r="AS11" s="57">
        <f ca="1">VLOOKUP($AP11,OFFSET(unit_skills!$A$1,0,0,COUNTA(unit_skills!$A:$A),MATCH(AS$1,unit_skills!$1:$1,0)-MATCH($AP$1,unit_skills!$1:$1,0)+1),MATCH(AS$1,unit_skills!$1:$1,0)-MATCH($AP$1,unit_skills!$1:$1,0)+1,FALSE)</f>
        <v>0</v>
      </c>
      <c r="AT11" s="40">
        <v>0</v>
      </c>
      <c r="AU11" s="57" t="e">
        <f ca="1">VLOOKUP($AT11,OFFSET([2]crash_skills!$A$1,0,0,COUNTA([2]crash_skills!$A:$A),MATCH(AU$1,[2]crash_skills!$1:$1,0)-MATCH($AT$1,[2]crash_skills!$1:$1,0)+1),MATCH(AU$1,[2]crash_skills!$1:$1,0)-MATCH($AT$1,[2]crash_skills!$1:$1,0)+1,FALSE)</f>
        <v>#VALUE!</v>
      </c>
      <c r="AV11" s="57" t="e">
        <f ca="1">VLOOKUP($AT11,OFFSET([2]crash_skills!$A$1,0,0,COUNTA([2]crash_skills!$A:$A),MATCH(AV$1,[2]crash_skills!$1:$1,0)-MATCH($AT$1,[2]crash_skills!$1:$1,0)+1),MATCH(AV$1,[2]crash_skills!$1:$1,0)-MATCH($AT$1,[2]crash_skills!$1:$1,0)+1,FALSE)</f>
        <v>#VALUE!</v>
      </c>
      <c r="AW11" s="57" t="e">
        <f ca="1">VLOOKUP($AT11,OFFSET([2]crash_skills!$A$1,0,0,COUNTA([2]crash_skills!$A:$A),MATCH(AW$1,[2]crash_skills!$1:$1,0)-MATCH($AT$1,[2]crash_skills!$1:$1,0)+1),MATCH(AW$1,[2]crash_skills!$1:$1,0)-MATCH($AT$1,[2]crash_skills!$1:$1,0)+1,FALSE)</f>
        <v>#VALUE!</v>
      </c>
      <c r="AX11" s="58">
        <f ca="1">VLOOKUP($A11,OFFSET([1]characters!$A$1,0,0,COUNTA([1]characters!$A:$A),MATCH(AX$1,[1]characters!$1:$1,0)-MATCH($A$1,[1]characters!$1:$1,0)+1),MATCH(AX$1,[1]characters!$1:$1,0)-MATCH($A$1,[1]characters!$1:$1,0)+1,FALSE)</f>
        <v>3</v>
      </c>
      <c r="AY11" s="67">
        <v>2</v>
      </c>
      <c r="AZ11" s="67">
        <v>2</v>
      </c>
      <c r="BA11" s="67">
        <v>0</v>
      </c>
      <c r="BB11" s="67">
        <v>2</v>
      </c>
      <c r="BC11" s="11">
        <f ca="1">INDEX('RC6SV'!$A$1:$G$15,MATCH(H11,'RC6SV'!$A$1:$A$15,FALSE),MATCH(G11,'RC6SV'!$A$1:$G$1,FALSE))</f>
        <v>1000</v>
      </c>
      <c r="BD11" s="47">
        <f t="shared" ca="1" si="5"/>
        <v>1000</v>
      </c>
      <c r="BE11" s="11">
        <f t="shared" ca="1" si="2"/>
        <v>1000</v>
      </c>
      <c r="BF11" s="11">
        <f t="shared" ca="1" si="3"/>
        <v>1</v>
      </c>
      <c r="BG11" s="13">
        <f ca="1">IF($BE11&lt;=0,ROUND(BK11*0.5,0), ROUND($BE11*S11*AA11*J11*AY11*0.8*[1]ステータス!$B$2,0))</f>
        <v>706</v>
      </c>
      <c r="BH11" s="13">
        <f ca="1">IF($BE11&lt;=0,ROUND(BL11*0.5,0), ROUND($BE11*T11*AB11*K11*AZ11*0.8*[1]ステータス!$C$2,0))</f>
        <v>436</v>
      </c>
      <c r="BI11" s="13">
        <f ca="1">IF($BE11&lt;=0,ROUND(BM11*0.5,0), ROUND($BE11*U11*AC11*L11*BA11*0.8*[1]ステータス!$D$2,0))</f>
        <v>0</v>
      </c>
      <c r="BJ11" s="13">
        <f ca="1">IF($BE11&lt;=0,ROUND(BN11*0.5,0), ROUND($BE11*V11*AD11*M11*BB11*0.8*[1]ステータス!$E$2,0))</f>
        <v>364</v>
      </c>
      <c r="BK11" s="11">
        <f ca="1">ROUND(BD11*S11*AA11*J11*AY11*[1]ステータス!$B$2,0)</f>
        <v>882</v>
      </c>
      <c r="BL11" s="11">
        <f ca="1">ROUND(BD11*T11*AB11*K11*AZ11*[1]ステータス!$C$2,0)</f>
        <v>545</v>
      </c>
      <c r="BM11" s="11">
        <f ca="1">ROUND(BD11*U11*AC11*L11*BA11*[1]ステータス!$D$2,0)</f>
        <v>0</v>
      </c>
      <c r="BN11" s="11">
        <f ca="1">ROUND(BD11*V11*AD11*M11*BB11*[1]ステータス!$E$2,0)</f>
        <v>455</v>
      </c>
      <c r="BO11" s="10">
        <v>0</v>
      </c>
      <c r="BP11" s="10">
        <v>1</v>
      </c>
      <c r="BQ11" s="36" t="s">
        <v>73</v>
      </c>
      <c r="BR11" s="12">
        <f ca="1">VLOOKUP(H11,ghosts_label!$A$2:$B$19,2,FALSE)</f>
        <v>0</v>
      </c>
    </row>
    <row r="12" spans="1:70" s="12" customFormat="1" ht="21" customHeight="1" x14ac:dyDescent="0.15">
      <c r="A12" s="137">
        <v>1435</v>
      </c>
      <c r="B12" s="57" t="str">
        <f ca="1">VLOOKUP($A12,OFFSET([1]characters!$A$1,0,0,COUNTA([1]characters!$A:$A),MATCH(B$1,[1]characters!$1:$1,0)-MATCH($A$1,[1]characters!$1:$1,0)+1),MATCH(B$1,[1]characters!$1:$1,0)-MATCH($A$1,[1]characters!$1:$1,0)+1,FALSE)</f>
        <v>ギガ超越の果実</v>
      </c>
      <c r="C12" s="57" t="str">
        <f ca="1">VLOOKUP($A12,OFFSET([1]characters!$A$1,0,0,COUNTA([1]characters!$A:$A),MATCH(C$1,[1]characters!$1:$1,0)-MATCH($A$1,[1]characters!$1:$1,0)+1),MATCH(C$1,[1]characters!$1:$1,0)-MATCH($A$1,[1]characters!$1:$1,0)+1,FALSE)</f>
        <v>スキル進化素材</v>
      </c>
      <c r="D12" s="57" t="str">
        <f ca="1">VLOOKUP($A12,OFFSET([1]characters!$A$1,0,0,COUNTA([1]characters!$A:$A),MATCH(D$1,[1]characters!$1:$1,0)-MATCH($A$1,[1]characters!$1:$1,0)+1),MATCH(D$1,[1]characters!$1:$1,0)-MATCH($A$1,[1]characters!$1:$1,0)+1,FALSE)</f>
        <v>アリス</v>
      </c>
      <c r="E12" s="57" t="str">
        <f ca="1">VLOOKUP($A12,OFFSET([1]characters!$A$1,0,0,COUNTA([1]characters!$A:$A),MATCH(E$1,[1]characters!$1:$1,0)-MATCH($A$1,[1]characters!$1:$1,0)+1),MATCH(E$1,[1]characters!$1:$1,0)-MATCH($A$1,[1]characters!$1:$1,0)+1,FALSE)</f>
        <v>世界観</v>
      </c>
      <c r="F12" s="57" t="str">
        <f ca="1">VLOOKUP($A12,OFFSET([1]characters!$A$1,0,0,COUNTA([1]characters!$A:$A),MATCH(F$1,[1]characters!$1:$1,0)-MATCH($A$1,[1]characters!$1:$1,0)+1),MATCH(F$1,[1]characters!$1:$1,0)-MATCH($A$1,[1]characters!$1:$1,0)+1,FALSE)</f>
        <v>不明</v>
      </c>
      <c r="G12" s="57">
        <f ca="1">VLOOKUP($A12,OFFSET([1]characters!$A$1,0,0,COUNTA([1]characters!$A:$A),MATCH(G$1,[1]characters!$1:$1,0)-MATCH($A$1,[1]characters!$1:$1,0)+1),MATCH(G$1,[1]characters!$1:$1,0)-MATCH($A$1,[1]characters!$1:$1,0)+1,FALSE)</f>
        <v>5</v>
      </c>
      <c r="H12" s="57" t="str">
        <f ca="1">VLOOKUP($A12,OFFSET([1]characters!$A$1,0,0,COUNTA([1]characters!$A:$A),MATCH(H$1,[1]characters!$1:$1,0)-MATCH($A$1,[1]characters!$1:$1,0)+1),MATCH(H$1,[1]characters!$1:$1,0)-MATCH($A$1,[1]characters!$1:$1,0)+1,FALSE)</f>
        <v>Material</v>
      </c>
      <c r="I12" s="57" t="str">
        <f ca="1">VLOOKUP($A12,OFFSET([1]characters!$A$1,0,0,COUNTA([1]characters!$A:$A),MATCH(I$1,[1]characters!$1:$1,0)-MATCH($A$1,[1]characters!$1:$1,0)+1),MATCH(I$1,[1]characters!$1:$1,0)-MATCH($A$1,[1]characters!$1:$1,0)+1,FALSE)</f>
        <v>yellow</v>
      </c>
      <c r="J12" s="11">
        <f ca="1">VLOOKUP(I12,[1]属性!$A:$E,2,FALSE)</f>
        <v>0.98</v>
      </c>
      <c r="K12" s="11">
        <f ca="1">VLOOKUP(I12,[1]属性!$A:$E,3,FALSE)</f>
        <v>1.01</v>
      </c>
      <c r="L12" s="11">
        <f ca="1">VLOOKUP(I12,[1]属性!$A:$E,4,FALSE)</f>
        <v>1</v>
      </c>
      <c r="M12" s="11">
        <f ca="1">VLOOKUP(I12,[1]属性!$A:$E,5,FALSE)</f>
        <v>1.01</v>
      </c>
      <c r="N12" s="11">
        <f ca="1">INDEX(コスト!$A$1:$I$15,MATCH(H12,コスト!$A$1:$A$15,FALSE),MATCH(G12,コスト!$A$1:$I$1,FALSE))</f>
        <v>99</v>
      </c>
      <c r="O12" s="11">
        <f ca="1">INDEX(レベル!$A$1:$I$16,MATCH(H12,レベル!$A$1:$A$16,FALSE),MATCH(G12,レベル!$A$1:$I$1,FALSE))</f>
        <v>1</v>
      </c>
      <c r="P12" s="149">
        <v>1</v>
      </c>
      <c r="Q12" s="155" t="s">
        <v>282</v>
      </c>
      <c r="R12" s="5" t="str">
        <f>VLOOKUP(Q12,[1]character_type_i18n!$A:$H,3,FALSE)</f>
        <v>テクニカルタイプ</v>
      </c>
      <c r="S12" s="11">
        <f>VLOOKUP(Q12,[1]character_type_i18n!$A:$H,4,FALSE)</f>
        <v>0.9</v>
      </c>
      <c r="T12" s="11">
        <f>VLOOKUP(Q12,[1]character_type_i18n!$A:$H,5,FALSE)</f>
        <v>0.9</v>
      </c>
      <c r="U12" s="11">
        <f>VLOOKUP(Q12,[1]character_type_i18n!$A:$H,6,FALSE)</f>
        <v>1</v>
      </c>
      <c r="V12" s="11">
        <f>VLOOKUP(Q12,[1]character_type_i18n!$A:$H,7,FALSE)</f>
        <v>0.9</v>
      </c>
      <c r="W12" s="57" t="str">
        <f ca="1">VLOOKUP($A12,OFFSET([1]characters!$A$1,0,0,COUNTA([1]characters!$A:$A),MATCH(W$1,[1]characters!$1:$1,0)-MATCH($A$1,[1]characters!$1:$1,0)+1),MATCH(W$1,[1]characters!$1:$1,0)-MATCH($A$1,[1]characters!$1:$1,0)+1,FALSE)</f>
        <v>unknown</v>
      </c>
      <c r="X12" s="5" t="str">
        <f ca="1">VLOOKUP(W12,[1]character_tribe_i18n!$A:$H,3,FALSE)</f>
        <v>Unknown</v>
      </c>
      <c r="Y12" s="57"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1</v>
      </c>
      <c r="AB12" s="11">
        <f ca="1">VLOOKUP(W12,[1]character_tribe_i18n!$A:$H,5,FALSE)</f>
        <v>1</v>
      </c>
      <c r="AC12" s="11">
        <f ca="1">VLOOKUP(W12,[1]character_tribe_i18n!$A:$H,6,FALSE)</f>
        <v>1</v>
      </c>
      <c r="AD12" s="11">
        <f ca="1">VLOOKUP(W12,[1]character_tribe_i18n!$A:$H,7,FALSE)</f>
        <v>1</v>
      </c>
      <c r="AE12" s="9" t="s">
        <v>220</v>
      </c>
      <c r="AF12" s="62" t="str">
        <f ca="1">IF(AE12="NULL","",VLOOKUP($AE12,OFFSET([1]characters!$A$1,0,0,COUNTA([1]characters!$A:$A),MATCH(AF$1,[1]characters!$1:$1,0)-MATCH($A$1,[1]characters!$1:$1,0)+1),MATCH(AF$1,[1]characters!$1:$1,0)-MATCH($A$1,[1]characters!$1:$1,0)+1,FALSE))</f>
        <v/>
      </c>
      <c r="AG12" s="137">
        <v>1433</v>
      </c>
      <c r="AH12" s="62" t="str">
        <f ca="1">VLOOKUP($AG12,OFFSET([1]characters!$A$1,0,0,COUNTA([1]characters!$A:$A),MATCH(AH$1,[1]characters!$1:$1,0)-MATCH($A$1,[1]characters!$1:$1,0)+1),MATCH(AH$1,[1]characters!$1:$1,0)-MATCH($A$1,[1]characters!$1:$1,0)+1,FALSE)</f>
        <v>超越の果実</v>
      </c>
      <c r="AI12" s="160" t="str">
        <f>IF(AE12="NULL","NULL",VLOOKUP(G12,ビット!$A$2:$B$7,2)/5)</f>
        <v>NULL</v>
      </c>
      <c r="AJ12" s="6">
        <v>2</v>
      </c>
      <c r="AK12" s="7" t="str">
        <f t="shared" si="6"/>
        <v>普通</v>
      </c>
      <c r="AL12" s="11" t="str">
        <f ca="1">INDEX(経験値!$A$1:$I$15,MATCH(H12,経験値!$A$1:$A$15,FALSE),MATCH(G12,経験値!$A$1:$I$1,FALSE))</f>
        <v>NULL</v>
      </c>
      <c r="AM12" s="8">
        <f ca="1">VLOOKUP(G12,経験値!$A$22:$B$26,2)</f>
        <v>6400</v>
      </c>
      <c r="AN12" s="14">
        <f ca="1">VLOOKUP(G12,ビット!$G$2:$H$7,2)</f>
        <v>900</v>
      </c>
      <c r="AO12" s="44"/>
      <c r="AP12" s="137">
        <v>1435</v>
      </c>
      <c r="AQ12" s="57" t="str">
        <f ca="1">VLOOKUP($AP12,OFFSET(unit_skills!$A$1,0,0,COUNTA(unit_skills!$A:$A),MATCH(AQ$1,unit_skills!$1:$1,0)-MATCH($AP$1,unit_skills!$1:$1,0)+1),MATCH(AQ$1,unit_skills!$1:$1,0)-MATCH($AP$1,unit_skills!$1:$1,0)+1,FALSE)</f>
        <v>限界突破素材（上限）</v>
      </c>
      <c r="AR12" s="57" t="str">
        <f ca="1">VLOOKUP($AP12,OFFSET(unit_skills!$A$1,0,0,COUNTA(unit_skills!$A:$A),MATCH(AR$1,unit_skills!$1:$1,0)-MATCH($AP$1,unit_skills!$1:$1,0)+1),MATCH(AR$1,unit_skills!$1:$1,0)-MATCH($AP$1,unit_skills!$1:$1,0)+1,FALSE)</f>
        <v>このユニットをユニット強化の素材にすると限界突破の上限が10上昇する</v>
      </c>
      <c r="AS12" s="57">
        <f ca="1">VLOOKUP($AP12,OFFSET(unit_skills!$A$1,0,0,COUNTA(unit_skills!$A:$A),MATCH(AS$1,unit_skills!$1:$1,0)-MATCH($AP$1,unit_skills!$1:$1,0)+1),MATCH(AS$1,unit_skills!$1:$1,0)-MATCH($AP$1,unit_skills!$1:$1,0)+1,FALSE)</f>
        <v>0</v>
      </c>
      <c r="AT12" s="40">
        <v>0</v>
      </c>
      <c r="AU12" s="57" t="e">
        <f ca="1">VLOOKUP($AT12,OFFSET([2]crash_skills!$A$1,0,0,COUNTA([2]crash_skills!$A:$A),MATCH(AU$1,[2]crash_skills!$1:$1,0)-MATCH($AT$1,[2]crash_skills!$1:$1,0)+1),MATCH(AU$1,[2]crash_skills!$1:$1,0)-MATCH($AT$1,[2]crash_skills!$1:$1,0)+1,FALSE)</f>
        <v>#VALUE!</v>
      </c>
      <c r="AV12" s="57" t="e">
        <f ca="1">VLOOKUP($AT12,OFFSET([2]crash_skills!$A$1,0,0,COUNTA([2]crash_skills!$A:$A),MATCH(AV$1,[2]crash_skills!$1:$1,0)-MATCH($AT$1,[2]crash_skills!$1:$1,0)+1),MATCH(AV$1,[2]crash_skills!$1:$1,0)-MATCH($AT$1,[2]crash_skills!$1:$1,0)+1,FALSE)</f>
        <v>#VALUE!</v>
      </c>
      <c r="AW12" s="57" t="e">
        <f ca="1">VLOOKUP($AT12,OFFSET([2]crash_skills!$A$1,0,0,COUNTA([2]crash_skills!$A:$A),MATCH(AW$1,[2]crash_skills!$1:$1,0)-MATCH($AT$1,[2]crash_skills!$1:$1,0)+1),MATCH(AW$1,[2]crash_skills!$1:$1,0)-MATCH($AT$1,[2]crash_skills!$1:$1,0)+1,FALSE)</f>
        <v>#VALUE!</v>
      </c>
      <c r="AX12" s="58">
        <f ca="1">VLOOKUP($A12,OFFSET([1]characters!$A$1,0,0,COUNTA([1]characters!$A:$A),MATCH(AX$1,[1]characters!$1:$1,0)-MATCH($A$1,[1]characters!$1:$1,0)+1),MATCH(AX$1,[1]characters!$1:$1,0)-MATCH($A$1,[1]characters!$1:$1,0)+1,FALSE)</f>
        <v>3</v>
      </c>
      <c r="AY12" s="67">
        <v>5</v>
      </c>
      <c r="AZ12" s="67">
        <v>5</v>
      </c>
      <c r="BA12" s="67">
        <v>0</v>
      </c>
      <c r="BB12" s="67">
        <v>5</v>
      </c>
      <c r="BC12" s="11">
        <f ca="1">INDEX('RC6SV'!$A$1:$G$15,MATCH(H12,'RC6SV'!$A$1:$A$15,FALSE),MATCH(G12,'RC6SV'!$A$1:$G$1,FALSE))</f>
        <v>1000</v>
      </c>
      <c r="BD12" s="47">
        <f t="shared" ref="BD12" ca="1" si="7">ROUND(BC12*IF(AJ12=1,0.95,IF(AJ12=2,1,IF(AJ12,1.05,0))),0)</f>
        <v>1000</v>
      </c>
      <c r="BE12" s="11">
        <f t="shared" ca="1" si="2"/>
        <v>1000</v>
      </c>
      <c r="BF12" s="11">
        <f t="shared" ca="1" si="3"/>
        <v>1</v>
      </c>
      <c r="BG12" s="13">
        <f ca="1">IF($BE12&lt;=0,ROUND(BK12*0.5,0), ROUND($BE12*S12*AA12*J12*AY12*0.8*[1]ステータス!$B$2,0))</f>
        <v>1764</v>
      </c>
      <c r="BH12" s="13">
        <f ca="1">IF($BE12&lt;=0,ROUND(BL12*0.5,0), ROUND($BE12*T12*AB12*K12*AZ12*0.8*[1]ステータス!$C$2,0))</f>
        <v>1091</v>
      </c>
      <c r="BI12" s="13">
        <f ca="1">IF($BE12&lt;=0,ROUND(BM12*0.5,0), ROUND($BE12*U12*AC12*L12*BA12*0.8*[1]ステータス!$D$2,0))</f>
        <v>0</v>
      </c>
      <c r="BJ12" s="13">
        <f ca="1">IF($BE12&lt;=0,ROUND(BN12*0.5,0), ROUND($BE12*V12*AD12*M12*BB12*0.8*[1]ステータス!$E$2,0))</f>
        <v>909</v>
      </c>
      <c r="BK12" s="11">
        <f ca="1">ROUND(BD12*S12*AA12*J12*AY12*[1]ステータス!$B$2,0)</f>
        <v>2205</v>
      </c>
      <c r="BL12" s="11">
        <f ca="1">ROUND(BD12*T12*AB12*K12*AZ12*[1]ステータス!$C$2,0)</f>
        <v>1364</v>
      </c>
      <c r="BM12" s="11">
        <f ca="1">ROUND(BD12*U12*AC12*L12*BA12*[1]ステータス!$D$2,0)</f>
        <v>0</v>
      </c>
      <c r="BN12" s="11">
        <f ca="1">ROUND(BD12*V12*AD12*M12*BB12*[1]ステータス!$E$2,0)</f>
        <v>1136</v>
      </c>
      <c r="BO12" s="10">
        <v>0</v>
      </c>
      <c r="BP12" s="10">
        <v>1</v>
      </c>
      <c r="BQ12" s="10" t="s">
        <v>73</v>
      </c>
      <c r="BR12" s="12">
        <f ca="1">VLOOKUP(H12,ghosts_label!$A$2:$B$19,2,FALSE)</f>
        <v>0</v>
      </c>
    </row>
  </sheetData>
  <autoFilter ref="A1:BQ5"/>
  <phoneticPr fontId="10"/>
  <conditionalFormatting sqref="BO1">
    <cfRule type="cellIs" dxfId="29" priority="120" stopIfTrue="1" operator="equal">
      <formula>1</formula>
    </cfRule>
  </conditionalFormatting>
  <conditionalFormatting sqref="BQ1">
    <cfRule type="cellIs" dxfId="28"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2"/>
  <sheetViews>
    <sheetView showGridLines="0" workbookViewId="0">
      <pane xSplit="4" ySplit="1" topLeftCell="I7" activePane="bottomRight" state="frozen"/>
      <selection pane="topRight" activeCell="D1" sqref="D1"/>
      <selection pane="bottomLeft" activeCell="A2" sqref="A2"/>
      <selection pane="bottomRight" activeCell="K8" sqref="K8"/>
    </sheetView>
  </sheetViews>
  <sheetFormatPr baseColWidth="12" defaultColWidth="13" defaultRowHeight="21" customHeight="1" outlineLevelCol="1" x14ac:dyDescent="0.15"/>
  <cols>
    <col min="1" max="1" width="16.1640625" style="135" bestFit="1" customWidth="1"/>
    <col min="2" max="2" width="13" style="135" bestFit="1" customWidth="1"/>
    <col min="3" max="3" width="21.83203125" style="135" customWidth="1"/>
    <col min="4" max="4" width="48" style="135" bestFit="1" customWidth="1"/>
    <col min="5" max="5" width="9" style="135" customWidth="1"/>
    <col min="6" max="6" width="7.83203125" style="135" bestFit="1" customWidth="1"/>
    <col min="7" max="7" width="8.1640625" style="135" bestFit="1" customWidth="1"/>
    <col min="8" max="8" width="13.6640625" style="135" bestFit="1" customWidth="1"/>
    <col min="9" max="9" width="15.83203125" style="135" customWidth="1"/>
    <col min="10" max="10" width="16.5" style="135" bestFit="1" customWidth="1"/>
    <col min="11" max="11" width="10.83203125" style="135" customWidth="1" outlineLevel="1"/>
    <col min="12" max="17" width="9.5" style="134" customWidth="1" outlineLevel="1"/>
    <col min="18" max="18" width="20.33203125" style="135" customWidth="1" outlineLevel="1"/>
    <col min="19" max="19" width="10.33203125" style="135" bestFit="1" customWidth="1"/>
    <col min="20" max="16384" width="13" style="135"/>
  </cols>
  <sheetData>
    <row r="1" spans="1:19" s="134" customFormat="1" ht="21" customHeight="1" x14ac:dyDescent="0.15">
      <c r="A1" s="123" t="s">
        <v>21</v>
      </c>
      <c r="B1" s="124" t="s">
        <v>167</v>
      </c>
      <c r="C1" s="125" t="s">
        <v>66</v>
      </c>
      <c r="D1" s="126" t="s">
        <v>196</v>
      </c>
      <c r="E1" s="126" t="s">
        <v>197</v>
      </c>
      <c r="F1" s="123" t="s">
        <v>179</v>
      </c>
      <c r="G1" s="127" t="s">
        <v>2</v>
      </c>
      <c r="H1" s="127" t="s">
        <v>198</v>
      </c>
      <c r="I1" s="127" t="s">
        <v>199</v>
      </c>
      <c r="J1" s="128" t="s">
        <v>222</v>
      </c>
      <c r="K1" s="127" t="s">
        <v>4</v>
      </c>
      <c r="L1" s="129" t="s">
        <v>200</v>
      </c>
      <c r="M1" s="130" t="s">
        <v>201</v>
      </c>
      <c r="N1" s="130" t="s">
        <v>202</v>
      </c>
      <c r="O1" s="130" t="s">
        <v>203</v>
      </c>
      <c r="P1" s="130" t="s">
        <v>204</v>
      </c>
      <c r="Q1" s="131" t="s">
        <v>205</v>
      </c>
      <c r="R1" s="132" t="s">
        <v>206</v>
      </c>
      <c r="S1" s="133" t="s">
        <v>207</v>
      </c>
    </row>
    <row r="2" spans="1:19" ht="21" customHeight="1" x14ac:dyDescent="0.15">
      <c r="A2" s="137">
        <v>607</v>
      </c>
      <c r="B2" s="152" t="s">
        <v>223</v>
      </c>
      <c r="C2" s="139" t="s">
        <v>243</v>
      </c>
      <c r="D2" s="156" t="s">
        <v>252</v>
      </c>
      <c r="E2" s="153">
        <f t="shared" ref="E2" si="0">LEN(D2)</f>
        <v>34</v>
      </c>
      <c r="F2" s="122">
        <v>0</v>
      </c>
      <c r="G2" s="122">
        <v>1</v>
      </c>
      <c r="H2" s="141">
        <f>2001</f>
        <v>2001</v>
      </c>
      <c r="I2" s="141"/>
      <c r="J2" s="5" t="str">
        <f ca="1">VLOOKUP($A2,OFFSET([1]characters!$A$1,0,0,COUNTA([1]characters!$A:$A),MATCH("name",[1]characters!$1:$1,0)-MATCH("character_id",[1]characters!$1:$1,0)+1),MATCH("name",[1]characters!$1:$1,0)-MATCH("character_id",[1]characters!$1:$1,0)+1,FALSE)</f>
        <v>メガ攻めの果実</v>
      </c>
      <c r="K2" s="154">
        <v>3</v>
      </c>
      <c r="L2" s="143"/>
      <c r="M2" s="144"/>
      <c r="N2" s="144"/>
      <c r="O2" s="144"/>
      <c r="P2" s="144"/>
      <c r="Q2" s="144"/>
      <c r="R2" s="139"/>
      <c r="S2" s="145"/>
    </row>
    <row r="3" spans="1:19" ht="21" customHeight="1" x14ac:dyDescent="0.15">
      <c r="A3" s="137">
        <v>608</v>
      </c>
      <c r="B3" s="152" t="s">
        <v>223</v>
      </c>
      <c r="C3" s="139" t="s">
        <v>251</v>
      </c>
      <c r="D3" s="156" t="s">
        <v>253</v>
      </c>
      <c r="E3" s="153">
        <f t="shared" ref="E3:E4" si="1">LEN(D3)</f>
        <v>33</v>
      </c>
      <c r="F3" s="122">
        <v>0</v>
      </c>
      <c r="G3" s="122">
        <v>1</v>
      </c>
      <c r="H3" s="141">
        <f>2001</f>
        <v>2001</v>
      </c>
      <c r="I3" s="141"/>
      <c r="J3" s="5" t="str">
        <f ca="1">VLOOKUP($A3,OFFSET([1]characters!$A$1,0,0,COUNTA([1]characters!$A:$A),MATCH("name",[1]characters!$1:$1,0)-MATCH("character_id",[1]characters!$1:$1,0)+1),MATCH("name",[1]characters!$1:$1,0)-MATCH("character_id",[1]characters!$1:$1,0)+1,FALSE)</f>
        <v>メガ生命の果実</v>
      </c>
      <c r="K3" s="154">
        <v>3</v>
      </c>
      <c r="L3" s="143"/>
      <c r="M3" s="144"/>
      <c r="N3" s="144"/>
      <c r="O3" s="144"/>
      <c r="P3" s="144"/>
      <c r="Q3" s="144"/>
      <c r="R3" s="139"/>
      <c r="S3" s="145"/>
    </row>
    <row r="4" spans="1:19" ht="21" customHeight="1" x14ac:dyDescent="0.15">
      <c r="A4" s="137">
        <v>609</v>
      </c>
      <c r="B4" s="152" t="s">
        <v>223</v>
      </c>
      <c r="C4" s="139" t="s">
        <v>242</v>
      </c>
      <c r="D4" s="156" t="s">
        <v>254</v>
      </c>
      <c r="E4" s="153">
        <f t="shared" si="1"/>
        <v>34</v>
      </c>
      <c r="F4" s="122">
        <v>0</v>
      </c>
      <c r="G4" s="122">
        <v>1</v>
      </c>
      <c r="H4" s="141">
        <f>2001</f>
        <v>2001</v>
      </c>
      <c r="I4" s="141"/>
      <c r="J4" s="5" t="str">
        <f ca="1">VLOOKUP($A4,OFFSET([1]characters!$A$1,0,0,COUNTA([1]characters!$A:$A),MATCH("name",[1]characters!$1:$1,0)-MATCH("character_id",[1]characters!$1:$1,0)+1),MATCH("name",[1]characters!$1:$1,0)-MATCH("character_id",[1]characters!$1:$1,0)+1,FALSE)</f>
        <v>メガ癒しの果実</v>
      </c>
      <c r="K4" s="154">
        <v>3</v>
      </c>
      <c r="L4" s="143"/>
      <c r="M4" s="144"/>
      <c r="N4" s="144"/>
      <c r="O4" s="144"/>
      <c r="P4" s="144"/>
      <c r="Q4" s="144"/>
      <c r="R4" s="139"/>
      <c r="S4" s="145"/>
    </row>
    <row r="5" spans="1:19" ht="21" customHeight="1" x14ac:dyDescent="0.15">
      <c r="A5" s="137">
        <v>610</v>
      </c>
      <c r="B5" s="152" t="s">
        <v>223</v>
      </c>
      <c r="C5" s="139" t="s">
        <v>241</v>
      </c>
      <c r="D5" s="139" t="s">
        <v>250</v>
      </c>
      <c r="E5" s="153">
        <f t="shared" ref="E5:E6" si="2">LEN(D5)</f>
        <v>32</v>
      </c>
      <c r="F5" s="122">
        <v>0</v>
      </c>
      <c r="G5" s="122">
        <v>1</v>
      </c>
      <c r="H5" s="141">
        <f>2001</f>
        <v>2001</v>
      </c>
      <c r="I5" s="141"/>
      <c r="J5" s="5" t="str">
        <f ca="1">VLOOKUP($A5,OFFSET([1]characters!$A$1,0,0,COUNTA([1]characters!$A:$A),MATCH("name",[1]characters!$1:$1,0)-MATCH("character_id",[1]characters!$1:$1,0)+1),MATCH("name",[1]characters!$1:$1,0)-MATCH("character_id",[1]characters!$1:$1,0)+1,FALSE)</f>
        <v>メガ秘術の果実</v>
      </c>
      <c r="K5" s="154">
        <v>3</v>
      </c>
      <c r="L5" s="143"/>
      <c r="M5" s="144"/>
      <c r="N5" s="144"/>
      <c r="O5" s="144"/>
      <c r="P5" s="144"/>
      <c r="Q5" s="144"/>
      <c r="R5" s="139"/>
      <c r="S5" s="145"/>
    </row>
    <row r="6" spans="1:19" ht="21" customHeight="1" x14ac:dyDescent="0.15">
      <c r="A6" s="137">
        <v>611</v>
      </c>
      <c r="B6" s="152" t="s">
        <v>223</v>
      </c>
      <c r="C6" s="139" t="s">
        <v>243</v>
      </c>
      <c r="D6" s="157" t="s">
        <v>255</v>
      </c>
      <c r="E6" s="153">
        <f t="shared" si="2"/>
        <v>35</v>
      </c>
      <c r="F6" s="122">
        <v>0</v>
      </c>
      <c r="G6" s="122">
        <v>1</v>
      </c>
      <c r="H6" s="141">
        <f>2001</f>
        <v>2001</v>
      </c>
      <c r="I6" s="141"/>
      <c r="J6" s="5" t="str">
        <f ca="1">VLOOKUP($A6,OFFSET([1]characters!$A$1,0,0,COUNTA([1]characters!$A:$A),MATCH("name",[1]characters!$1:$1,0)-MATCH("character_id",[1]characters!$1:$1,0)+1),MATCH("name",[1]characters!$1:$1,0)-MATCH("character_id",[1]characters!$1:$1,0)+1,FALSE)</f>
        <v>ギガ攻めの果実</v>
      </c>
      <c r="K6" s="154">
        <v>3</v>
      </c>
      <c r="L6" s="143"/>
      <c r="M6" s="144"/>
      <c r="N6" s="144"/>
      <c r="O6" s="144"/>
      <c r="P6" s="144"/>
      <c r="Q6" s="144"/>
      <c r="R6" s="139"/>
      <c r="S6" s="145"/>
    </row>
    <row r="7" spans="1:19" ht="21" customHeight="1" x14ac:dyDescent="0.15">
      <c r="A7" s="137">
        <v>612</v>
      </c>
      <c r="B7" s="152" t="s">
        <v>223</v>
      </c>
      <c r="C7" s="139" t="s">
        <v>251</v>
      </c>
      <c r="D7" s="158" t="s">
        <v>256</v>
      </c>
      <c r="E7" s="153">
        <f t="shared" ref="E7:E8" si="3">LEN(D7)</f>
        <v>34</v>
      </c>
      <c r="F7" s="122">
        <v>0</v>
      </c>
      <c r="G7" s="122">
        <v>1</v>
      </c>
      <c r="H7" s="141">
        <f>2001</f>
        <v>2001</v>
      </c>
      <c r="I7" s="141"/>
      <c r="J7" s="5" t="str">
        <f ca="1">VLOOKUP($A7,OFFSET([1]characters!$A$1,0,0,COUNTA([1]characters!$A:$A),MATCH("name",[1]characters!$1:$1,0)-MATCH("character_id",[1]characters!$1:$1,0)+1),MATCH("name",[1]characters!$1:$1,0)-MATCH("character_id",[1]characters!$1:$1,0)+1,FALSE)</f>
        <v>ギガ生命の果実</v>
      </c>
      <c r="K7" s="154">
        <v>3</v>
      </c>
      <c r="L7" s="143"/>
      <c r="M7" s="144"/>
      <c r="N7" s="144"/>
      <c r="O7" s="144"/>
      <c r="P7" s="144"/>
      <c r="Q7" s="144"/>
      <c r="R7" s="139"/>
      <c r="S7" s="145"/>
    </row>
    <row r="8" spans="1:19" ht="21" customHeight="1" x14ac:dyDescent="0.15">
      <c r="A8" s="137">
        <v>613</v>
      </c>
      <c r="B8" s="152" t="s">
        <v>223</v>
      </c>
      <c r="C8" s="139" t="s">
        <v>242</v>
      </c>
      <c r="D8" s="158" t="s">
        <v>257</v>
      </c>
      <c r="E8" s="153">
        <f t="shared" si="3"/>
        <v>35</v>
      </c>
      <c r="F8" s="122">
        <v>0</v>
      </c>
      <c r="G8" s="122">
        <v>1</v>
      </c>
      <c r="H8" s="141">
        <f>2001</f>
        <v>2001</v>
      </c>
      <c r="I8" s="141"/>
      <c r="J8" s="5" t="str">
        <f ca="1">VLOOKUP($A8,OFFSET([1]characters!$A$1,0,0,COUNTA([1]characters!$A:$A),MATCH("name",[1]characters!$1:$1,0)-MATCH("character_id",[1]characters!$1:$1,0)+1),MATCH("name",[1]characters!$1:$1,0)-MATCH("character_id",[1]characters!$1:$1,0)+1,FALSE)</f>
        <v>ギガ癒しの果実</v>
      </c>
      <c r="K8" s="154">
        <v>3</v>
      </c>
      <c r="L8" s="143"/>
      <c r="M8" s="144"/>
      <c r="N8" s="144"/>
      <c r="O8" s="144"/>
      <c r="P8" s="144"/>
      <c r="Q8" s="144"/>
      <c r="R8" s="139"/>
      <c r="S8" s="145"/>
    </row>
    <row r="9" spans="1:19" ht="21" customHeight="1" x14ac:dyDescent="0.15">
      <c r="A9" s="137">
        <v>614</v>
      </c>
      <c r="B9" s="152" t="s">
        <v>223</v>
      </c>
      <c r="C9" s="139" t="s">
        <v>241</v>
      </c>
      <c r="D9" s="139" t="s">
        <v>258</v>
      </c>
      <c r="E9" s="153">
        <f t="shared" ref="E9" si="4">LEN(D9)</f>
        <v>32</v>
      </c>
      <c r="F9" s="122">
        <v>0</v>
      </c>
      <c r="G9" s="122">
        <v>1</v>
      </c>
      <c r="H9" s="141">
        <f>2001</f>
        <v>2001</v>
      </c>
      <c r="I9" s="141"/>
      <c r="J9" s="5" t="str">
        <f ca="1">VLOOKUP($A9,OFFSET([1]characters!$A$1,0,0,COUNTA([1]characters!$A:$A),MATCH("name",[1]characters!$1:$1,0)-MATCH("character_id",[1]characters!$1:$1,0)+1),MATCH("name",[1]characters!$1:$1,0)-MATCH("character_id",[1]characters!$1:$1,0)+1,FALSE)</f>
        <v>ギガ秘術の果実</v>
      </c>
      <c r="K9" s="154">
        <v>3</v>
      </c>
      <c r="L9" s="143"/>
      <c r="M9" s="144"/>
      <c r="N9" s="144"/>
      <c r="O9" s="144"/>
      <c r="P9" s="144"/>
      <c r="Q9" s="144"/>
      <c r="R9" s="139"/>
      <c r="S9" s="145"/>
    </row>
    <row r="10" spans="1:19" ht="21" customHeight="1" x14ac:dyDescent="0.15">
      <c r="A10" s="137">
        <v>1433</v>
      </c>
      <c r="B10" s="152" t="s">
        <v>223</v>
      </c>
      <c r="C10" s="139" t="s">
        <v>283</v>
      </c>
      <c r="D10" s="139" t="s">
        <v>286</v>
      </c>
      <c r="E10" s="153">
        <f t="shared" ref="E10:E12" si="5">LEN(D10)</f>
        <v>33</v>
      </c>
      <c r="F10" s="122">
        <v>0</v>
      </c>
      <c r="G10" s="122">
        <v>1</v>
      </c>
      <c r="H10" s="141">
        <f>2001</f>
        <v>2001</v>
      </c>
      <c r="I10" s="141"/>
      <c r="J10" s="5" t="str">
        <f ca="1">VLOOKUP($A10,OFFSET([1]characters!$A$1,0,0,COUNTA([1]characters!$A:$A),MATCH("name",[1]characters!$1:$1,0)-MATCH("character_id",[1]characters!$1:$1,0)+1),MATCH("name",[1]characters!$1:$1,0)-MATCH("character_id",[1]characters!$1:$1,0)+1,FALSE)</f>
        <v>超越の果実</v>
      </c>
      <c r="K10" s="154">
        <v>3</v>
      </c>
      <c r="L10" s="143"/>
      <c r="M10" s="144"/>
      <c r="N10" s="144"/>
      <c r="O10" s="144"/>
      <c r="P10" s="144"/>
      <c r="Q10" s="144"/>
      <c r="R10" s="139"/>
      <c r="S10" s="145"/>
    </row>
    <row r="11" spans="1:19" ht="21" customHeight="1" x14ac:dyDescent="0.15">
      <c r="A11" s="137">
        <v>1434</v>
      </c>
      <c r="B11" s="152" t="s">
        <v>223</v>
      </c>
      <c r="C11" s="139" t="s">
        <v>283</v>
      </c>
      <c r="D11" s="139" t="s">
        <v>285</v>
      </c>
      <c r="E11" s="153">
        <f t="shared" si="5"/>
        <v>33</v>
      </c>
      <c r="F11" s="122">
        <v>0</v>
      </c>
      <c r="G11" s="122">
        <v>1</v>
      </c>
      <c r="H11" s="141">
        <f>2001</f>
        <v>2001</v>
      </c>
      <c r="I11" s="141"/>
      <c r="J11" s="5" t="str">
        <f ca="1">VLOOKUP($A11,OFFSET([1]characters!$A$1,0,0,COUNTA([1]characters!$A:$A),MATCH("name",[1]characters!$1:$1,0)-MATCH("character_id",[1]characters!$1:$1,0)+1),MATCH("name",[1]characters!$1:$1,0)-MATCH("character_id",[1]characters!$1:$1,0)+1,FALSE)</f>
        <v>メガ超越の果実</v>
      </c>
      <c r="K11" s="154">
        <v>3</v>
      </c>
      <c r="L11" s="143"/>
      <c r="M11" s="144"/>
      <c r="N11" s="144"/>
      <c r="O11" s="144"/>
      <c r="P11" s="144"/>
      <c r="Q11" s="144"/>
      <c r="R11" s="139"/>
      <c r="S11" s="145"/>
    </row>
    <row r="12" spans="1:19" ht="21" customHeight="1" x14ac:dyDescent="0.15">
      <c r="A12" s="137">
        <v>1435</v>
      </c>
      <c r="B12" s="152" t="s">
        <v>223</v>
      </c>
      <c r="C12" s="139" t="s">
        <v>283</v>
      </c>
      <c r="D12" s="139" t="s">
        <v>284</v>
      </c>
      <c r="E12" s="153">
        <f t="shared" si="5"/>
        <v>34</v>
      </c>
      <c r="F12" s="122">
        <v>0</v>
      </c>
      <c r="G12" s="122">
        <v>1</v>
      </c>
      <c r="H12" s="141">
        <f>2001</f>
        <v>2001</v>
      </c>
      <c r="I12" s="141"/>
      <c r="J12" s="5" t="str">
        <f ca="1">VLOOKUP($A12,OFFSET([1]characters!$A$1,0,0,COUNTA([1]characters!$A:$A),MATCH("name",[1]characters!$1:$1,0)-MATCH("character_id",[1]characters!$1:$1,0)+1),MATCH("name",[1]characters!$1:$1,0)-MATCH("character_id",[1]characters!$1:$1,0)+1,FALSE)</f>
        <v>ギガ超越の果実</v>
      </c>
      <c r="K12" s="154">
        <v>3</v>
      </c>
      <c r="L12" s="143"/>
      <c r="M12" s="144"/>
      <c r="N12" s="144"/>
      <c r="O12" s="144"/>
      <c r="P12" s="144"/>
      <c r="Q12" s="144"/>
      <c r="R12" s="139"/>
      <c r="S12" s="145"/>
    </row>
  </sheetData>
  <sheetProtection selectLockedCells="1" selectUnlockedCells="1"/>
  <autoFilter ref="A1:S1">
    <sortState ref="A2:T432">
      <sortCondition ref="A1:A432"/>
    </sortState>
  </autoFilter>
  <phoneticPr fontId="22"/>
  <conditionalFormatting sqref="E1 E13:E1048576">
    <cfRule type="cellIs" dxfId="27" priority="15" operator="greaterThan">
      <formula>41</formula>
    </cfRule>
  </conditionalFormatting>
  <conditionalFormatting sqref="E2">
    <cfRule type="cellIs" dxfId="26" priority="9" operator="greaterThan">
      <formula>41</formula>
    </cfRule>
  </conditionalFormatting>
  <conditionalFormatting sqref="E3">
    <cfRule type="cellIs" dxfId="25" priority="8" operator="greaterThan">
      <formula>41</formula>
    </cfRule>
  </conditionalFormatting>
  <conditionalFormatting sqref="E4">
    <cfRule type="cellIs" dxfId="24" priority="7" operator="greaterThan">
      <formula>41</formula>
    </cfRule>
  </conditionalFormatting>
  <conditionalFormatting sqref="E5">
    <cfRule type="cellIs" dxfId="23" priority="6" operator="greaterThan">
      <formula>41</formula>
    </cfRule>
  </conditionalFormatting>
  <conditionalFormatting sqref="E6">
    <cfRule type="cellIs" dxfId="22" priority="5" operator="greaterThan">
      <formula>41</formula>
    </cfRule>
  </conditionalFormatting>
  <conditionalFormatting sqref="E7">
    <cfRule type="cellIs" dxfId="21" priority="4" operator="greaterThan">
      <formula>41</formula>
    </cfRule>
  </conditionalFormatting>
  <conditionalFormatting sqref="E8">
    <cfRule type="cellIs" dxfId="20" priority="3" operator="greaterThan">
      <formula>41</formula>
    </cfRule>
  </conditionalFormatting>
  <conditionalFormatting sqref="E9">
    <cfRule type="cellIs" dxfId="19" priority="2" operator="greaterThan">
      <formula>41</formula>
    </cfRule>
  </conditionalFormatting>
  <conditionalFormatting sqref="E10:E12">
    <cfRule type="cellIs" dxfId="18"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0" tint="-0.499984740745262"/>
  </sheetPr>
  <dimension ref="A1:S2"/>
  <sheetViews>
    <sheetView showGridLines="0" workbookViewId="0">
      <pane xSplit="4" ySplit="1" topLeftCell="E2" activePane="bottomRight" state="frozen"/>
      <selection pane="topRight" activeCell="D1" sqref="D1"/>
      <selection pane="bottomLeft" activeCell="A3" sqref="A3"/>
      <selection pane="bottomRight" activeCell="A2" sqref="A2"/>
    </sheetView>
  </sheetViews>
  <sheetFormatPr baseColWidth="12" defaultColWidth="13" defaultRowHeight="21" customHeight="1" x14ac:dyDescent="0.15"/>
  <cols>
    <col min="1" max="2" width="12.1640625" style="135" customWidth="1"/>
    <col min="3" max="3" width="48.83203125" style="136" customWidth="1"/>
    <col min="4" max="4" width="23.83203125" style="136" customWidth="1"/>
    <col min="5" max="5" width="10.5" style="136" customWidth="1"/>
    <col min="6" max="7" width="59.1640625" style="136" customWidth="1"/>
    <col min="8" max="8" width="6.83203125" style="135" bestFit="1" customWidth="1"/>
    <col min="9" max="9" width="20.33203125" style="135" customWidth="1"/>
    <col min="10" max="10" width="5" style="135" bestFit="1" customWidth="1"/>
    <col min="11" max="16384" width="13" style="135"/>
  </cols>
  <sheetData>
    <row r="1" spans="1:19" ht="21" customHeight="1" x14ac:dyDescent="0.15">
      <c r="A1" s="123" t="s">
        <v>215</v>
      </c>
      <c r="B1" s="124" t="s">
        <v>214</v>
      </c>
      <c r="C1" s="125" t="s">
        <v>213</v>
      </c>
      <c r="D1" s="126" t="s">
        <v>212</v>
      </c>
      <c r="E1" s="126" t="s">
        <v>211</v>
      </c>
      <c r="F1" s="127" t="s">
        <v>210</v>
      </c>
      <c r="G1" s="128" t="s">
        <v>222</v>
      </c>
      <c r="H1" s="127" t="s">
        <v>209</v>
      </c>
      <c r="I1" s="128" t="s">
        <v>208</v>
      </c>
      <c r="J1" s="132" t="s">
        <v>207</v>
      </c>
    </row>
    <row r="2" spans="1:19" ht="21" customHeight="1" x14ac:dyDescent="0.15">
      <c r="A2" s="12">
        <v>0</v>
      </c>
      <c r="B2" s="138" t="s">
        <v>224</v>
      </c>
      <c r="C2" s="139" t="s">
        <v>244</v>
      </c>
      <c r="D2" s="139" t="s">
        <v>245</v>
      </c>
      <c r="E2" s="140">
        <f t="shared" ref="E2" si="0">LEN(D2)</f>
        <v>2</v>
      </c>
      <c r="F2" s="122"/>
      <c r="G2" s="57" t="e">
        <f ca="1">VLOOKUP($A2,OFFSET([1]characters!$A$1,0,0,COUNTA([1]characters!$A:$A),MATCH("name",[1]characters!$1:$1,0)-MATCH("character_id",[1]characters!$1:$1,0)+1),MATCH("name",[1]characters!$1:$1,0)-MATCH("character_id",[1]characters!$1:$1,0)+1,FALSE)</f>
        <v>#N/A</v>
      </c>
      <c r="H2" s="141">
        <v>1</v>
      </c>
      <c r="I2" s="141"/>
      <c r="J2" s="146"/>
      <c r="K2" s="142">
        <v>1</v>
      </c>
      <c r="L2" s="143"/>
      <c r="M2" s="144"/>
      <c r="N2" s="144"/>
      <c r="O2" s="144"/>
      <c r="P2" s="144"/>
      <c r="Q2" s="144"/>
      <c r="R2" s="139"/>
      <c r="S2" s="145"/>
    </row>
  </sheetData>
  <sheetProtection selectLockedCells="1" selectUnlockedCells="1"/>
  <autoFilter ref="A1:J1"/>
  <phoneticPr fontId="22"/>
  <conditionalFormatting sqref="E2">
    <cfRule type="cellIs" dxfId="17"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0" tint="-0.499984740745262"/>
  </sheetPr>
  <dimension ref="A1:H25"/>
  <sheetViews>
    <sheetView workbookViewId="0">
      <selection activeCell="I9" sqref="I9"/>
    </sheetView>
  </sheetViews>
  <sheetFormatPr baseColWidth="12" defaultRowHeight="15" outlineLevelCol="1" x14ac:dyDescent="0.15"/>
  <cols>
    <col min="2" max="2" width="12.83203125" style="148"/>
    <col min="4" max="4" width="12.83203125" style="148" customWidth="1" outlineLevel="1"/>
    <col min="5" max="5" width="12.83203125" style="148"/>
  </cols>
  <sheetData>
    <row r="1" spans="1:8" x14ac:dyDescent="0.15">
      <c r="A1" s="119" t="s">
        <v>225</v>
      </c>
      <c r="B1" s="147" t="s">
        <v>226</v>
      </c>
      <c r="C1" s="119" t="s">
        <v>227</v>
      </c>
      <c r="D1" s="147" t="s">
        <v>229</v>
      </c>
      <c r="E1" s="147" t="s">
        <v>230</v>
      </c>
      <c r="F1" s="116" t="s">
        <v>231</v>
      </c>
      <c r="G1" s="119" t="s">
        <v>228</v>
      </c>
      <c r="H1" s="116" t="s">
        <v>232</v>
      </c>
    </row>
    <row r="2" spans="1:8" x14ac:dyDescent="0.15">
      <c r="A2" s="112">
        <v>1</v>
      </c>
      <c r="B2" s="147" t="str">
        <f>VLOOKUP(A2,[1]characters!$A:$C,3,FALSE)</f>
        <v>ジェリー</v>
      </c>
      <c r="C2" s="112" t="s">
        <v>233</v>
      </c>
      <c r="D2" s="147" t="str">
        <f>A2&amp;C2</f>
        <v>1skill</v>
      </c>
      <c r="E2" s="147">
        <f>COUNTIF(D$2:D2,D2)</f>
        <v>1</v>
      </c>
      <c r="F2" s="112" t="s">
        <v>235</v>
      </c>
      <c r="G2" s="112" t="s">
        <v>234</v>
      </c>
      <c r="H2" s="112" t="s">
        <v>236</v>
      </c>
    </row>
    <row r="3" spans="1:8" x14ac:dyDescent="0.15">
      <c r="A3" s="112">
        <v>1</v>
      </c>
      <c r="B3" s="147" t="str">
        <f>VLOOKUP(A3,[1]characters!$A:$C,3,FALSE)</f>
        <v>ジェリー</v>
      </c>
      <c r="C3" s="112" t="s">
        <v>237</v>
      </c>
      <c r="D3" s="147" t="str">
        <f>A3&amp;C3</f>
        <v>1cskill</v>
      </c>
      <c r="E3" s="147">
        <f>COUNTIF(D$2:D3,D3)</f>
        <v>1</v>
      </c>
      <c r="F3" s="112" t="s">
        <v>235</v>
      </c>
      <c r="G3" s="112" t="s">
        <v>234</v>
      </c>
      <c r="H3" s="112" t="s">
        <v>238</v>
      </c>
    </row>
    <row r="4" spans="1:8" x14ac:dyDescent="0.15">
      <c r="A4" s="112"/>
      <c r="B4" s="147"/>
      <c r="C4" s="112"/>
      <c r="D4" s="147"/>
      <c r="E4" s="147"/>
      <c r="F4" s="112"/>
      <c r="G4" s="112"/>
      <c r="H4" s="112"/>
    </row>
    <row r="5" spans="1:8" x14ac:dyDescent="0.15">
      <c r="A5" s="112"/>
      <c r="B5" s="147"/>
      <c r="C5" s="112"/>
      <c r="D5" s="147"/>
      <c r="E5" s="147"/>
      <c r="F5" s="112"/>
      <c r="G5" s="112"/>
      <c r="H5" s="112"/>
    </row>
    <row r="6" spans="1:8" x14ac:dyDescent="0.15">
      <c r="A6" s="112"/>
      <c r="B6" s="147"/>
      <c r="C6" s="112"/>
      <c r="D6" s="147"/>
      <c r="E6" s="147"/>
      <c r="F6" s="112"/>
      <c r="G6" s="112"/>
      <c r="H6" s="112"/>
    </row>
    <row r="7" spans="1:8" x14ac:dyDescent="0.15">
      <c r="A7" s="112"/>
      <c r="B7" s="147"/>
      <c r="C7" s="112"/>
      <c r="D7" s="147"/>
      <c r="E7" s="147"/>
      <c r="F7" s="112"/>
      <c r="G7" s="112"/>
      <c r="H7" s="112"/>
    </row>
    <row r="8" spans="1:8" x14ac:dyDescent="0.15">
      <c r="A8" s="112"/>
      <c r="B8" s="147"/>
      <c r="C8" s="112"/>
      <c r="D8" s="147"/>
      <c r="E8" s="147"/>
      <c r="F8" s="112"/>
      <c r="G8" s="112"/>
      <c r="H8" s="112"/>
    </row>
    <row r="9" spans="1:8" x14ac:dyDescent="0.15">
      <c r="A9" s="112"/>
      <c r="B9" s="147"/>
      <c r="C9" s="112"/>
      <c r="D9" s="147"/>
      <c r="E9" s="147"/>
      <c r="F9" s="112"/>
      <c r="G9" s="112"/>
      <c r="H9" s="112"/>
    </row>
    <row r="10" spans="1:8" x14ac:dyDescent="0.15">
      <c r="A10" s="112"/>
      <c r="B10" s="147"/>
      <c r="C10" s="112"/>
      <c r="D10" s="147"/>
      <c r="E10" s="147"/>
      <c r="F10" s="112"/>
      <c r="G10" s="112"/>
      <c r="H10" s="112"/>
    </row>
    <row r="11" spans="1:8" x14ac:dyDescent="0.15">
      <c r="A11" s="112"/>
      <c r="B11" s="147"/>
      <c r="C11" s="112"/>
      <c r="D11" s="147"/>
      <c r="E11" s="147"/>
      <c r="F11" s="112"/>
      <c r="G11" s="112"/>
      <c r="H11" s="112"/>
    </row>
    <row r="12" spans="1:8" x14ac:dyDescent="0.15">
      <c r="A12" s="112"/>
      <c r="B12" s="147"/>
      <c r="C12" s="112"/>
      <c r="D12" s="147"/>
      <c r="E12" s="147"/>
      <c r="F12" s="112"/>
      <c r="G12" s="112"/>
      <c r="H12" s="112"/>
    </row>
    <row r="13" spans="1:8" x14ac:dyDescent="0.15">
      <c r="A13" s="112"/>
      <c r="B13" s="147"/>
      <c r="C13" s="112"/>
      <c r="D13" s="147"/>
      <c r="E13" s="147"/>
      <c r="F13" s="112"/>
      <c r="G13" s="112"/>
      <c r="H13" s="112"/>
    </row>
    <row r="14" spans="1:8" x14ac:dyDescent="0.15">
      <c r="A14" s="112"/>
      <c r="B14" s="147"/>
      <c r="C14" s="112"/>
      <c r="D14" s="147"/>
      <c r="E14" s="147"/>
      <c r="F14" s="112"/>
      <c r="G14" s="112"/>
      <c r="H14" s="112"/>
    </row>
    <row r="15" spans="1:8" x14ac:dyDescent="0.15">
      <c r="A15" s="112"/>
      <c r="B15" s="147"/>
      <c r="C15" s="112"/>
      <c r="D15" s="147"/>
      <c r="E15" s="147"/>
      <c r="F15" s="112"/>
      <c r="G15" s="112"/>
      <c r="H15" s="112"/>
    </row>
    <row r="16" spans="1:8" x14ac:dyDescent="0.15">
      <c r="A16" s="112"/>
      <c r="B16" s="147"/>
      <c r="C16" s="112"/>
      <c r="D16" s="147"/>
      <c r="E16" s="147"/>
      <c r="F16" s="112"/>
      <c r="G16" s="112"/>
      <c r="H16" s="112"/>
    </row>
    <row r="17" spans="1:8" x14ac:dyDescent="0.15">
      <c r="A17" s="112"/>
      <c r="B17" s="147"/>
      <c r="C17" s="112"/>
      <c r="D17" s="147"/>
      <c r="E17" s="147"/>
      <c r="F17" s="112"/>
      <c r="G17" s="112"/>
      <c r="H17" s="112"/>
    </row>
    <row r="18" spans="1:8" x14ac:dyDescent="0.15">
      <c r="A18" s="112"/>
      <c r="B18" s="147"/>
      <c r="C18" s="112"/>
      <c r="D18" s="147"/>
      <c r="E18" s="147"/>
      <c r="F18" s="112"/>
      <c r="G18" s="112"/>
      <c r="H18" s="112"/>
    </row>
    <row r="19" spans="1:8" x14ac:dyDescent="0.15">
      <c r="A19" s="112"/>
      <c r="B19" s="147"/>
      <c r="C19" s="112"/>
      <c r="D19" s="147"/>
      <c r="E19" s="147"/>
      <c r="F19" s="112"/>
      <c r="G19" s="112"/>
      <c r="H19" s="112"/>
    </row>
    <row r="20" spans="1:8" x14ac:dyDescent="0.15">
      <c r="A20" s="112"/>
      <c r="B20" s="147"/>
      <c r="C20" s="112"/>
      <c r="D20" s="147"/>
      <c r="E20" s="147"/>
      <c r="F20" s="112"/>
      <c r="G20" s="112"/>
      <c r="H20" s="112"/>
    </row>
    <row r="21" spans="1:8" x14ac:dyDescent="0.15">
      <c r="A21" s="112"/>
      <c r="B21" s="147"/>
      <c r="C21" s="112"/>
      <c r="D21" s="147"/>
      <c r="E21" s="147"/>
      <c r="F21" s="112"/>
      <c r="G21" s="112"/>
      <c r="H21" s="112"/>
    </row>
    <row r="22" spans="1:8" x14ac:dyDescent="0.15">
      <c r="A22" s="112"/>
      <c r="B22" s="147"/>
      <c r="C22" s="112"/>
      <c r="D22" s="147"/>
      <c r="E22" s="147"/>
      <c r="F22" s="112"/>
      <c r="G22" s="112"/>
      <c r="H22" s="112"/>
    </row>
    <row r="23" spans="1:8" x14ac:dyDescent="0.15">
      <c r="A23" s="112"/>
      <c r="B23" s="147"/>
      <c r="C23" s="112"/>
      <c r="D23" s="147"/>
      <c r="E23" s="147"/>
      <c r="F23" s="112"/>
      <c r="G23" s="112"/>
      <c r="H23" s="112"/>
    </row>
    <row r="24" spans="1:8" x14ac:dyDescent="0.15">
      <c r="A24" s="112"/>
      <c r="B24" s="147"/>
      <c r="C24" s="112"/>
      <c r="D24" s="147"/>
      <c r="E24" s="147"/>
      <c r="F24" s="112"/>
      <c r="G24" s="112"/>
      <c r="H24" s="112"/>
    </row>
    <row r="25" spans="1:8" x14ac:dyDescent="0.15">
      <c r="A25" s="112"/>
      <c r="B25" s="147"/>
      <c r="C25" s="112"/>
      <c r="D25" s="147"/>
      <c r="E25" s="147"/>
      <c r="F25" s="112"/>
      <c r="G25" s="112"/>
      <c r="H25" s="112"/>
    </row>
  </sheetData>
  <phoneticPr fontId="22"/>
  <dataValidations count="2">
    <dataValidation type="list" allowBlank="1" showInputMessage="1" showErrorMessage="1" sqref="G2:G3">
      <formula1>"maru,giza,kumo"</formula1>
    </dataValidation>
    <dataValidation type="list" allowBlank="1" showInputMessage="1" showErrorMessage="1" sqref="C2:C3">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theme="0" tint="-0.499984740745262"/>
  </sheetPr>
  <dimension ref="A1:I16"/>
  <sheetViews>
    <sheetView showGridLines="0" workbookViewId="0">
      <pane ySplit="1" topLeftCell="A2" activePane="bottomLeft" state="frozen"/>
      <selection activeCell="I9" sqref="I9"/>
      <selection pane="bottomLeft" activeCell="F16" sqref="F16"/>
    </sheetView>
  </sheetViews>
  <sheetFormatPr baseColWidth="12" defaultColWidth="13" defaultRowHeight="15" x14ac:dyDescent="0.15"/>
  <cols>
    <col min="1" max="1" width="11.5" style="65" bestFit="1" customWidth="1"/>
    <col min="2" max="2" width="19.1640625" style="3" bestFit="1" customWidth="1"/>
    <col min="3" max="3" width="22.83203125" style="2" bestFit="1" customWidth="1"/>
    <col min="4" max="4" width="9.6640625" style="2" bestFit="1" customWidth="1"/>
    <col min="5" max="5" width="13.6640625" style="2" bestFit="1" customWidth="1"/>
    <col min="6" max="6" width="21.33203125" style="2" bestFit="1" customWidth="1"/>
    <col min="7" max="7" width="13.5" style="2" bestFit="1" customWidth="1"/>
    <col min="8" max="8" width="17" style="1" bestFit="1" customWidth="1"/>
    <col min="9" max="16384" width="13" style="2"/>
  </cols>
  <sheetData>
    <row r="1" spans="1:9" ht="21" customHeight="1" x14ac:dyDescent="0.15">
      <c r="A1" s="65" t="s">
        <v>125</v>
      </c>
      <c r="B1" s="41" t="s">
        <v>60</v>
      </c>
      <c r="C1" s="17" t="s">
        <v>66</v>
      </c>
      <c r="D1" s="17" t="s">
        <v>68</v>
      </c>
      <c r="E1" s="17" t="s">
        <v>69</v>
      </c>
      <c r="F1" s="42" t="s">
        <v>58</v>
      </c>
      <c r="G1" s="17" t="s">
        <v>67</v>
      </c>
      <c r="H1" s="16" t="s">
        <v>59</v>
      </c>
      <c r="I1" s="117" t="s">
        <v>160</v>
      </c>
    </row>
    <row r="2" spans="1:9" ht="21" customHeight="1" x14ac:dyDescent="0.15">
      <c r="A2" s="65" t="str">
        <f t="shared" ref="A2:A7" si="0">B2&amp;"_"&amp;F2</f>
        <v>121_122</v>
      </c>
      <c r="B2" s="162">
        <v>121</v>
      </c>
      <c r="C2" s="18" t="e">
        <f ca="1">VLOOKUP($B2,OFFSET([3]units!$A$1,0,0,COUNTA([3]units!$A:$A),MATCH([3]awake_materials!C$1,[3]units!$1:$1,0)-COLUMN(INDIRECT("character_id"))+1),MATCH([3]awake_materials!C$1,[3]units!$1:$1,0)-COLUMN(INDIRECT("character_id"))+1,FALSE)</f>
        <v>#VALUE!</v>
      </c>
      <c r="D2" s="18" t="e">
        <f ca="1">VLOOKUP($B2,OFFSET([3]units!$A$1,0,0,COUNTA([3]units!$A:$A),MATCH([3]awake_materials!D$1,[3]units!$1:$1,0)-COLUMN(INDIRECT("character_id"))+1),MATCH([3]awake_materials!D$1,[3]units!$1:$1,0)-COLUMN(INDIRECT("character_id"))+1,FALSE)</f>
        <v>#VALUE!</v>
      </c>
      <c r="E2" s="18" t="e">
        <f ca="1">VLOOKUP($B2,OFFSET([3]units!$A$1,0,0,COUNTA([3]units!$A:$A),MATCH([3]awake_materials!E$1,[3]units!$1:$1,0)-COLUMN(INDIRECT("character_id"))+1),MATCH([3]awake_materials!E$1,[3]units!$1:$1,0)-COLUMN(INDIRECT("character_id"))+1,FALSE)</f>
        <v>#VALUE!</v>
      </c>
      <c r="F2" s="161">
        <v>122</v>
      </c>
      <c r="G2" s="18" t="e">
        <f ca="1">VLOOKUP($F2,OFFSET([3]units!$A$1,0,0,COUNTA([3]units!$A:$A),MATCH([3]awake_materials!G$1,[3]units!$1:$1,0)-COLUMN(INDIRECT("character_id"))+1),MATCH([3]awake_materials!G$1,[3]units!$1:$1,0)-COLUMN(INDIRECT("character_id"))+1,FALSE)</f>
        <v>#VALUE!</v>
      </c>
      <c r="H2" s="15">
        <v>2</v>
      </c>
      <c r="I2" s="118">
        <v>1</v>
      </c>
    </row>
    <row r="3" spans="1:9" ht="21" customHeight="1" x14ac:dyDescent="0.15">
      <c r="A3" s="65" t="str">
        <f t="shared" si="0"/>
        <v>121_123</v>
      </c>
      <c r="B3" s="162">
        <v>121</v>
      </c>
      <c r="C3" s="18" t="e">
        <f ca="1">VLOOKUP($B3,OFFSET([3]units!$A$1,0,0,COUNTA([3]units!$A:$A),MATCH([3]awake_materials!C$1,[3]units!$1:$1,0)-COLUMN(INDIRECT("character_id"))+1),MATCH([3]awake_materials!C$1,[3]units!$1:$1,0)-COLUMN(INDIRECT("character_id"))+1,FALSE)</f>
        <v>#VALUE!</v>
      </c>
      <c r="D3" s="18" t="e">
        <f ca="1">VLOOKUP($B3,OFFSET([3]units!$A$1,0,0,COUNTA([3]units!$A:$A),MATCH([3]awake_materials!D$1,[3]units!$1:$1,0)-COLUMN(INDIRECT("character_id"))+1),MATCH([3]awake_materials!D$1,[3]units!$1:$1,0)-COLUMN(INDIRECT("character_id"))+1,FALSE)</f>
        <v>#VALUE!</v>
      </c>
      <c r="E3" s="18" t="e">
        <f ca="1">VLOOKUP($B3,OFFSET([3]units!$A$1,0,0,COUNTA([3]units!$A:$A),MATCH([3]awake_materials!E$1,[3]units!$1:$1,0)-COLUMN(INDIRECT("character_id"))+1),MATCH([3]awake_materials!E$1,[3]units!$1:$1,0)-COLUMN(INDIRECT("character_id"))+1,FALSE)</f>
        <v>#VALUE!</v>
      </c>
      <c r="F3" s="161">
        <v>123</v>
      </c>
      <c r="G3" s="18" t="e">
        <f ca="1">VLOOKUP($F3,OFFSET([3]units!$A$1,0,0,COUNTA([3]units!$A:$A),MATCH([3]awake_materials!G$1,[3]units!$1:$1,0)-COLUMN(INDIRECT("character_id"))+1),MATCH([3]awake_materials!G$1,[3]units!$1:$1,0)-COLUMN(INDIRECT("character_id"))+1,FALSE)</f>
        <v>#VALUE!</v>
      </c>
      <c r="H3" s="15">
        <v>2</v>
      </c>
      <c r="I3" s="118">
        <v>1</v>
      </c>
    </row>
    <row r="4" spans="1:9" ht="21" customHeight="1" x14ac:dyDescent="0.15">
      <c r="A4" s="65" t="str">
        <f t="shared" si="0"/>
        <v>122_121</v>
      </c>
      <c r="B4" s="162">
        <v>122</v>
      </c>
      <c r="C4" s="18" t="e">
        <f ca="1">VLOOKUP($B4,OFFSET([3]units!$A$1,0,0,COUNTA([3]units!$A:$A),MATCH([3]awake_materials!C$1,[3]units!$1:$1,0)-COLUMN(INDIRECT("character_id"))+1),MATCH([3]awake_materials!C$1,[3]units!$1:$1,0)-COLUMN(INDIRECT("character_id"))+1,FALSE)</f>
        <v>#VALUE!</v>
      </c>
      <c r="D4" s="18" t="e">
        <f ca="1">VLOOKUP($B4,OFFSET([3]units!$A$1,0,0,COUNTA([3]units!$A:$A),MATCH([3]awake_materials!D$1,[3]units!$1:$1,0)-COLUMN(INDIRECT("character_id"))+1),MATCH([3]awake_materials!D$1,[3]units!$1:$1,0)-COLUMN(INDIRECT("character_id"))+1,FALSE)</f>
        <v>#VALUE!</v>
      </c>
      <c r="E4" s="18" t="e">
        <f ca="1">VLOOKUP($B4,OFFSET([3]units!$A$1,0,0,COUNTA([3]units!$A:$A),MATCH([3]awake_materials!E$1,[3]units!$1:$1,0)-COLUMN(INDIRECT("character_id"))+1),MATCH([3]awake_materials!E$1,[3]units!$1:$1,0)-COLUMN(INDIRECT("character_id"))+1,FALSE)</f>
        <v>#VALUE!</v>
      </c>
      <c r="F4" s="43">
        <v>121</v>
      </c>
      <c r="G4" s="18" t="e">
        <f ca="1">VLOOKUP($F4,OFFSET([3]units!$A$1,0,0,COUNTA([3]units!$A:$A),MATCH([3]awake_materials!G$1,[3]units!$1:$1,0)-COLUMN(INDIRECT("character_id"))+1),MATCH([3]awake_materials!G$1,[3]units!$1:$1,0)-COLUMN(INDIRECT("character_id"))+1,FALSE)</f>
        <v>#VALUE!</v>
      </c>
      <c r="H4" s="15">
        <v>2</v>
      </c>
      <c r="I4" s="118">
        <v>1</v>
      </c>
    </row>
    <row r="5" spans="1:9" ht="21" customHeight="1" x14ac:dyDescent="0.15">
      <c r="A5" s="65" t="str">
        <f t="shared" si="0"/>
        <v>122_123</v>
      </c>
      <c r="B5" s="162">
        <v>122</v>
      </c>
      <c r="C5" s="18" t="e">
        <f ca="1">VLOOKUP($B5,OFFSET([3]units!$A$1,0,0,COUNTA([3]units!$A:$A),MATCH([3]awake_materials!C$1,[3]units!$1:$1,0)-COLUMN(INDIRECT("character_id"))+1),MATCH([3]awake_materials!C$1,[3]units!$1:$1,0)-COLUMN(INDIRECT("character_id"))+1,FALSE)</f>
        <v>#VALUE!</v>
      </c>
      <c r="D5" s="18" t="e">
        <f ca="1">VLOOKUP($B5,OFFSET([3]units!$A$1,0,0,COUNTA([3]units!$A:$A),MATCH([3]awake_materials!D$1,[3]units!$1:$1,0)-COLUMN(INDIRECT("character_id"))+1),MATCH([3]awake_materials!D$1,[3]units!$1:$1,0)-COLUMN(INDIRECT("character_id"))+1,FALSE)</f>
        <v>#VALUE!</v>
      </c>
      <c r="E5" s="18" t="e">
        <f ca="1">VLOOKUP($B5,OFFSET([3]units!$A$1,0,0,COUNTA([3]units!$A:$A),MATCH([3]awake_materials!E$1,[3]units!$1:$1,0)-COLUMN(INDIRECT("character_id"))+1),MATCH([3]awake_materials!E$1,[3]units!$1:$1,0)-COLUMN(INDIRECT("character_id"))+1,FALSE)</f>
        <v>#VALUE!</v>
      </c>
      <c r="F5" s="43">
        <v>123</v>
      </c>
      <c r="G5" s="18" t="e">
        <f ca="1">VLOOKUP($F5,OFFSET([3]units!$A$1,0,0,COUNTA([3]units!$A:$A),MATCH([3]awake_materials!G$1,[3]units!$1:$1,0)-COLUMN(INDIRECT("character_id"))+1),MATCH([3]awake_materials!G$1,[3]units!$1:$1,0)-COLUMN(INDIRECT("character_id"))+1,FALSE)</f>
        <v>#VALUE!</v>
      </c>
      <c r="H5" s="15">
        <v>2</v>
      </c>
      <c r="I5" s="118">
        <v>1</v>
      </c>
    </row>
    <row r="6" spans="1:9" ht="21" customHeight="1" x14ac:dyDescent="0.15">
      <c r="A6" s="65" t="str">
        <f t="shared" si="0"/>
        <v>123_121</v>
      </c>
      <c r="B6" s="162">
        <v>123</v>
      </c>
      <c r="C6" s="18" t="e">
        <f ca="1">VLOOKUP($B6,OFFSET([3]units!$A$1,0,0,COUNTA([3]units!$A:$A),MATCH([3]awake_materials!C$1,[3]units!$1:$1,0)-COLUMN(INDIRECT("character_id"))+1),MATCH([3]awake_materials!C$1,[3]units!$1:$1,0)-COLUMN(INDIRECT("character_id"))+1,FALSE)</f>
        <v>#VALUE!</v>
      </c>
      <c r="D6" s="18" t="e">
        <f ca="1">VLOOKUP($B6,OFFSET([3]units!$A$1,0,0,COUNTA([3]units!$A:$A),MATCH([3]awake_materials!D$1,[3]units!$1:$1,0)-COLUMN(INDIRECT("character_id"))+1),MATCH([3]awake_materials!D$1,[3]units!$1:$1,0)-COLUMN(INDIRECT("character_id"))+1,FALSE)</f>
        <v>#VALUE!</v>
      </c>
      <c r="E6" s="18" t="e">
        <f ca="1">VLOOKUP($B6,OFFSET([3]units!$A$1,0,0,COUNTA([3]units!$A:$A),MATCH([3]awake_materials!E$1,[3]units!$1:$1,0)-COLUMN(INDIRECT("character_id"))+1),MATCH([3]awake_materials!E$1,[3]units!$1:$1,0)-COLUMN(INDIRECT("character_id"))+1,FALSE)</f>
        <v>#VALUE!</v>
      </c>
      <c r="F6" s="43">
        <v>121</v>
      </c>
      <c r="G6" s="18" t="e">
        <f ca="1">VLOOKUP($F6,OFFSET([3]units!$A$1,0,0,COUNTA([3]units!$A:$A),MATCH([3]awake_materials!G$1,[3]units!$1:$1,0)-COLUMN(INDIRECT("character_id"))+1),MATCH([3]awake_materials!G$1,[3]units!$1:$1,0)-COLUMN(INDIRECT("character_id"))+1,FALSE)</f>
        <v>#VALUE!</v>
      </c>
      <c r="H6" s="15">
        <v>2</v>
      </c>
      <c r="I6" s="118">
        <v>1</v>
      </c>
    </row>
    <row r="7" spans="1:9" ht="21" customHeight="1" x14ac:dyDescent="0.15">
      <c r="A7" s="65" t="str">
        <f t="shared" si="0"/>
        <v>123_122</v>
      </c>
      <c r="B7" s="162">
        <v>123</v>
      </c>
      <c r="C7" s="18" t="e">
        <f ca="1">VLOOKUP($B7,OFFSET([3]units!$A$1,0,0,COUNTA([3]units!$A:$A),MATCH([3]awake_materials!C$1,[3]units!$1:$1,0)-COLUMN(INDIRECT("character_id"))+1),MATCH([3]awake_materials!C$1,[3]units!$1:$1,0)-COLUMN(INDIRECT("character_id"))+1,FALSE)</f>
        <v>#VALUE!</v>
      </c>
      <c r="D7" s="18" t="e">
        <f ca="1">VLOOKUP($B7,OFFSET([3]units!$A$1,0,0,COUNTA([3]units!$A:$A),MATCH([3]awake_materials!D$1,[3]units!$1:$1,0)-COLUMN(INDIRECT("character_id"))+1),MATCH([3]awake_materials!D$1,[3]units!$1:$1,0)-COLUMN(INDIRECT("character_id"))+1,FALSE)</f>
        <v>#VALUE!</v>
      </c>
      <c r="E7" s="18" t="e">
        <f ca="1">VLOOKUP($B7,OFFSET([3]units!$A$1,0,0,COUNTA([3]units!$A:$A),MATCH([3]awake_materials!E$1,[3]units!$1:$1,0)-COLUMN(INDIRECT("character_id"))+1),MATCH([3]awake_materials!E$1,[3]units!$1:$1,0)-COLUMN(INDIRECT("character_id"))+1,FALSE)</f>
        <v>#VALUE!</v>
      </c>
      <c r="F7" s="43">
        <v>122</v>
      </c>
      <c r="G7" s="18" t="e">
        <f ca="1">VLOOKUP($F7,OFFSET([3]units!$A$1,0,0,COUNTA([3]units!$A:$A),MATCH([3]awake_materials!G$1,[3]units!$1:$1,0)-COLUMN(INDIRECT("character_id"))+1),MATCH([3]awake_materials!G$1,[3]units!$1:$1,0)-COLUMN(INDIRECT("character_id"))+1,FALSE)</f>
        <v>#VALUE!</v>
      </c>
      <c r="H7" s="15">
        <v>2</v>
      </c>
      <c r="I7" s="118">
        <v>1</v>
      </c>
    </row>
    <row r="8" spans="1:9" ht="21" customHeight="1" x14ac:dyDescent="0.15">
      <c r="A8" s="65" t="str">
        <f t="shared" ref="A8:A13" si="1">B8&amp;"_"&amp;F8</f>
        <v>607_608</v>
      </c>
      <c r="B8" s="163">
        <v>607</v>
      </c>
      <c r="C8" s="18" t="str">
        <f ca="1">VLOOKUP($B8,OFFSET(units!$A$1,0,0,COUNTA(units!$A:$A),MATCH(C$1,units!$1:$1,0)-COLUMN(INDIRECT("character_id"))+1),MATCH(C$1,units!$1:$1,0)-COLUMN(INDIRECT("character_id"))+1,FALSE)</f>
        <v>メガ攻めの果実</v>
      </c>
      <c r="D8" s="18">
        <f ca="1">VLOOKUP($B8,OFFSET(units!$A$1,0,0,COUNTA(units!$A:$A),MATCH(D$1,units!$1:$1,0)-COLUMN(INDIRECT("character_id"))+1),MATCH(D$1,units!$1:$1,0)-COLUMN(INDIRECT("character_id"))+1,FALSE)</f>
        <v>4</v>
      </c>
      <c r="E8" s="18" t="str">
        <f ca="1">VLOOKUP($B8,OFFSET(units!$A$1,0,0,COUNTA(units!$A:$A),MATCH(E$1,units!$1:$1,0)-COLUMN(INDIRECT("character_id"))+1),MATCH(E$1,units!$1:$1,0)-COLUMN(INDIRECT("character_id"))+1,FALSE)</f>
        <v>Material</v>
      </c>
      <c r="F8" s="163">
        <v>608</v>
      </c>
      <c r="G8" s="18" t="str">
        <f>VLOOKUP(F8,[1]characters!$A:$C,3,FALSE)</f>
        <v>メガ生命の果実</v>
      </c>
      <c r="H8" s="15">
        <v>2</v>
      </c>
      <c r="I8" s="118">
        <v>1</v>
      </c>
    </row>
    <row r="9" spans="1:9" ht="21" customHeight="1" x14ac:dyDescent="0.15">
      <c r="A9" s="65" t="str">
        <f t="shared" si="1"/>
        <v>607_609</v>
      </c>
      <c r="B9" s="163">
        <v>607</v>
      </c>
      <c r="C9" s="18" t="str">
        <f ca="1">VLOOKUP($B9,OFFSET(units!$A$1,0,0,COUNTA(units!$A:$A),MATCH(C$1,units!$1:$1,0)-COLUMN(INDIRECT("character_id"))+1),MATCH(C$1,units!$1:$1,0)-COLUMN(INDIRECT("character_id"))+1,FALSE)</f>
        <v>メガ攻めの果実</v>
      </c>
      <c r="D9" s="18">
        <f ca="1">VLOOKUP($B9,OFFSET(units!$A$1,0,0,COUNTA(units!$A:$A),MATCH(D$1,units!$1:$1,0)-COLUMN(INDIRECT("character_id"))+1),MATCH(D$1,units!$1:$1,0)-COLUMN(INDIRECT("character_id"))+1,FALSE)</f>
        <v>4</v>
      </c>
      <c r="E9" s="18" t="str">
        <f ca="1">VLOOKUP($B9,OFFSET(units!$A$1,0,0,COUNTA(units!$A:$A),MATCH(E$1,units!$1:$1,0)-COLUMN(INDIRECT("character_id"))+1),MATCH(E$1,units!$1:$1,0)-COLUMN(INDIRECT("character_id"))+1,FALSE)</f>
        <v>Material</v>
      </c>
      <c r="F9" s="163">
        <v>609</v>
      </c>
      <c r="G9" s="18" t="str">
        <f>VLOOKUP(F9,[1]characters!$A:$C,3,FALSE)</f>
        <v>メガ癒しの果実</v>
      </c>
      <c r="H9" s="15">
        <v>2</v>
      </c>
      <c r="I9" s="118">
        <v>1</v>
      </c>
    </row>
    <row r="10" spans="1:9" ht="21" customHeight="1" x14ac:dyDescent="0.15">
      <c r="A10" s="65" t="str">
        <f t="shared" si="1"/>
        <v>608_607</v>
      </c>
      <c r="B10" s="163">
        <v>608</v>
      </c>
      <c r="C10" s="18" t="str">
        <f ca="1">VLOOKUP($B10,OFFSET(units!$A$1,0,0,COUNTA(units!$A:$A),MATCH(C$1,units!$1:$1,0)-COLUMN(INDIRECT("character_id"))+1),MATCH(C$1,units!$1:$1,0)-COLUMN(INDIRECT("character_id"))+1,FALSE)</f>
        <v>メガ生命の果実</v>
      </c>
      <c r="D10" s="18">
        <f ca="1">VLOOKUP($B10,OFFSET(units!$A$1,0,0,COUNTA(units!$A:$A),MATCH(D$1,units!$1:$1,0)-COLUMN(INDIRECT("character_id"))+1),MATCH(D$1,units!$1:$1,0)-COLUMN(INDIRECT("character_id"))+1,FALSE)</f>
        <v>4</v>
      </c>
      <c r="E10" s="18" t="str">
        <f ca="1">VLOOKUP($B10,OFFSET(units!$A$1,0,0,COUNTA(units!$A:$A),MATCH(E$1,units!$1:$1,0)-COLUMN(INDIRECT("character_id"))+1),MATCH(E$1,units!$1:$1,0)-COLUMN(INDIRECT("character_id"))+1,FALSE)</f>
        <v>Material</v>
      </c>
      <c r="F10" s="163">
        <v>607</v>
      </c>
      <c r="G10" s="18" t="str">
        <f>VLOOKUP(F10,[1]characters!$A:$C,3,FALSE)</f>
        <v>メガ攻めの果実</v>
      </c>
      <c r="H10" s="15">
        <v>2</v>
      </c>
      <c r="I10" s="118">
        <v>1</v>
      </c>
    </row>
    <row r="11" spans="1:9" ht="21" customHeight="1" x14ac:dyDescent="0.15">
      <c r="A11" s="65" t="str">
        <f t="shared" si="1"/>
        <v>608_609</v>
      </c>
      <c r="B11" s="163">
        <v>608</v>
      </c>
      <c r="C11" s="18" t="str">
        <f ca="1">VLOOKUP($B11,OFFSET(units!$A$1,0,0,COUNTA(units!$A:$A),MATCH(C$1,units!$1:$1,0)-COLUMN(INDIRECT("character_id"))+1),MATCH(C$1,units!$1:$1,0)-COLUMN(INDIRECT("character_id"))+1,FALSE)</f>
        <v>メガ生命の果実</v>
      </c>
      <c r="D11" s="18">
        <f ca="1">VLOOKUP($B11,OFFSET(units!$A$1,0,0,COUNTA(units!$A:$A),MATCH(D$1,units!$1:$1,0)-COLUMN(INDIRECT("character_id"))+1),MATCH(D$1,units!$1:$1,0)-COLUMN(INDIRECT("character_id"))+1,FALSE)</f>
        <v>4</v>
      </c>
      <c r="E11" s="18" t="str">
        <f ca="1">VLOOKUP($B11,OFFSET(units!$A$1,0,0,COUNTA(units!$A:$A),MATCH(E$1,units!$1:$1,0)-COLUMN(INDIRECT("character_id"))+1),MATCH(E$1,units!$1:$1,0)-COLUMN(INDIRECT("character_id"))+1,FALSE)</f>
        <v>Material</v>
      </c>
      <c r="F11" s="163">
        <v>609</v>
      </c>
      <c r="G11" s="18" t="str">
        <f>VLOOKUP(F11,[1]characters!$A:$C,3,FALSE)</f>
        <v>メガ癒しの果実</v>
      </c>
      <c r="H11" s="15">
        <v>2</v>
      </c>
      <c r="I11" s="118">
        <v>1</v>
      </c>
    </row>
    <row r="12" spans="1:9" ht="21" customHeight="1" x14ac:dyDescent="0.15">
      <c r="A12" s="65" t="str">
        <f t="shared" si="1"/>
        <v>609_607</v>
      </c>
      <c r="B12" s="163">
        <v>609</v>
      </c>
      <c r="C12" s="18" t="str">
        <f ca="1">VLOOKUP($B12,OFFSET(units!$A$1,0,0,COUNTA(units!$A:$A),MATCH(C$1,units!$1:$1,0)-COLUMN(INDIRECT("character_id"))+1),MATCH(C$1,units!$1:$1,0)-COLUMN(INDIRECT("character_id"))+1,FALSE)</f>
        <v>メガ癒しの果実</v>
      </c>
      <c r="D12" s="18">
        <f ca="1">VLOOKUP($B12,OFFSET(units!$A$1,0,0,COUNTA(units!$A:$A),MATCH(D$1,units!$1:$1,0)-COLUMN(INDIRECT("character_id"))+1),MATCH(D$1,units!$1:$1,0)-COLUMN(INDIRECT("character_id"))+1,FALSE)</f>
        <v>4</v>
      </c>
      <c r="E12" s="18" t="str">
        <f ca="1">VLOOKUP($B12,OFFSET(units!$A$1,0,0,COUNTA(units!$A:$A),MATCH(E$1,units!$1:$1,0)-COLUMN(INDIRECT("character_id"))+1),MATCH(E$1,units!$1:$1,0)-COLUMN(INDIRECT("character_id"))+1,FALSE)</f>
        <v>Material</v>
      </c>
      <c r="F12" s="163">
        <v>607</v>
      </c>
      <c r="G12" s="18" t="str">
        <f>VLOOKUP(F12,[1]characters!$A:$C,3,FALSE)</f>
        <v>メガ攻めの果実</v>
      </c>
      <c r="H12" s="15">
        <v>2</v>
      </c>
      <c r="I12" s="118">
        <v>1</v>
      </c>
    </row>
    <row r="13" spans="1:9" ht="21" customHeight="1" x14ac:dyDescent="0.15">
      <c r="A13" s="65" t="str">
        <f t="shared" si="1"/>
        <v>609_608</v>
      </c>
      <c r="B13" s="163">
        <v>609</v>
      </c>
      <c r="C13" s="18" t="str">
        <f ca="1">VLOOKUP($B13,OFFSET(units!$A$1,0,0,COUNTA(units!$A:$A),MATCH(C$1,units!$1:$1,0)-COLUMN(INDIRECT("character_id"))+1),MATCH(C$1,units!$1:$1,0)-COLUMN(INDIRECT("character_id"))+1,FALSE)</f>
        <v>メガ癒しの果実</v>
      </c>
      <c r="D13" s="18">
        <f ca="1">VLOOKUP($B13,OFFSET(units!$A$1,0,0,COUNTA(units!$A:$A),MATCH(D$1,units!$1:$1,0)-COLUMN(INDIRECT("character_id"))+1),MATCH(D$1,units!$1:$1,0)-COLUMN(INDIRECT("character_id"))+1,FALSE)</f>
        <v>4</v>
      </c>
      <c r="E13" s="18" t="str">
        <f ca="1">VLOOKUP($B13,OFFSET(units!$A$1,0,0,COUNTA(units!$A:$A),MATCH(E$1,units!$1:$1,0)-COLUMN(INDIRECT("character_id"))+1),MATCH(E$1,units!$1:$1,0)-COLUMN(INDIRECT("character_id"))+1,FALSE)</f>
        <v>Material</v>
      </c>
      <c r="F13" s="163">
        <v>608</v>
      </c>
      <c r="G13" s="18" t="str">
        <f>VLOOKUP(F13,[1]characters!$A:$C,3,FALSE)</f>
        <v>メガ生命の果実</v>
      </c>
      <c r="H13" s="15">
        <v>2</v>
      </c>
      <c r="I13" s="118">
        <v>1</v>
      </c>
    </row>
    <row r="14" spans="1:9" ht="21" customHeight="1" x14ac:dyDescent="0.15">
      <c r="A14" s="65" t="str">
        <f t="shared" ref="A14:A15" si="2">B14&amp;"_"&amp;F14</f>
        <v>1433_1433</v>
      </c>
      <c r="B14" s="137">
        <v>1433</v>
      </c>
      <c r="C14" s="18" t="str">
        <f ca="1">VLOOKUP($B14,OFFSET(units!$A$1,0,0,COUNTA(units!$A:$A),MATCH(C$1,units!$1:$1,0)-COLUMN(INDIRECT("character_id"))+1),MATCH(C$1,units!$1:$1,0)-COLUMN(INDIRECT("character_id"))+1,FALSE)</f>
        <v>超越の果実</v>
      </c>
      <c r="D14" s="18">
        <f ca="1">VLOOKUP($B14,OFFSET(units!$A$1,0,0,COUNTA(units!$A:$A),MATCH(D$1,units!$1:$1,0)-COLUMN(INDIRECT("character_id"))+1),MATCH(D$1,units!$1:$1,0)-COLUMN(INDIRECT("character_id"))+1,FALSE)</f>
        <v>3</v>
      </c>
      <c r="E14" s="18" t="str">
        <f ca="1">VLOOKUP($B14,OFFSET(units!$A$1,0,0,COUNTA(units!$A:$A),MATCH(E$1,units!$1:$1,0)-COLUMN(INDIRECT("character_id"))+1),MATCH(E$1,units!$1:$1,0)-COLUMN(INDIRECT("character_id"))+1,FALSE)</f>
        <v>Material</v>
      </c>
      <c r="F14" s="137">
        <v>1433</v>
      </c>
      <c r="G14" s="18" t="str">
        <f>VLOOKUP(F14,[1]characters!$A:$C,3,FALSE)</f>
        <v>超越の果実</v>
      </c>
      <c r="H14" s="15">
        <v>2</v>
      </c>
      <c r="I14" s="118">
        <v>1</v>
      </c>
    </row>
    <row r="15" spans="1:9" ht="21" customHeight="1" x14ac:dyDescent="0.15">
      <c r="A15" s="65" t="str">
        <f t="shared" si="2"/>
        <v>1434_1433</v>
      </c>
      <c r="B15" s="137">
        <v>1434</v>
      </c>
      <c r="C15" s="18" t="str">
        <f ca="1">VLOOKUP($B15,OFFSET(units!$A$1,0,0,COUNTA(units!$A:$A),MATCH(C$1,units!$1:$1,0)-COLUMN(INDIRECT("character_id"))+1),MATCH(C$1,units!$1:$1,0)-COLUMN(INDIRECT("character_id"))+1,FALSE)</f>
        <v>メガ超越の果実</v>
      </c>
      <c r="D15" s="18">
        <f ca="1">VLOOKUP($B15,OFFSET(units!$A$1,0,0,COUNTA(units!$A:$A),MATCH(D$1,units!$1:$1,0)-COLUMN(INDIRECT("character_id"))+1),MATCH(D$1,units!$1:$1,0)-COLUMN(INDIRECT("character_id"))+1,FALSE)</f>
        <v>4</v>
      </c>
      <c r="E15" s="18" t="str">
        <f ca="1">VLOOKUP($B15,OFFSET(units!$A$1,0,0,COUNTA(units!$A:$A),MATCH(E$1,units!$1:$1,0)-COLUMN(INDIRECT("character_id"))+1),MATCH(E$1,units!$1:$1,0)-COLUMN(INDIRECT("character_id"))+1,FALSE)</f>
        <v>Material</v>
      </c>
      <c r="F15" s="137">
        <v>1433</v>
      </c>
      <c r="G15" s="18" t="str">
        <f>VLOOKUP(F15,[1]characters!$A:$C,3,FALSE)</f>
        <v>超越の果実</v>
      </c>
      <c r="H15" s="15">
        <v>1</v>
      </c>
      <c r="I15" s="118">
        <v>1</v>
      </c>
    </row>
    <row r="16" spans="1:9" ht="21" customHeight="1" x14ac:dyDescent="0.15">
      <c r="A16" s="65" t="str">
        <f t="shared" ref="A16" si="3">B16&amp;"_"&amp;F16</f>
        <v>1434_1434</v>
      </c>
      <c r="B16" s="137">
        <v>1434</v>
      </c>
      <c r="C16" s="18" t="str">
        <f ca="1">VLOOKUP($B16,OFFSET(units!$A$1,0,0,COUNTA(units!$A:$A),MATCH(C$1,units!$1:$1,0)-COLUMN(INDIRECT("character_id"))+1),MATCH(C$1,units!$1:$1,0)-COLUMN(INDIRECT("character_id"))+1,FALSE)</f>
        <v>メガ超越の果実</v>
      </c>
      <c r="D16" s="18">
        <f ca="1">VLOOKUP($B16,OFFSET(units!$A$1,0,0,COUNTA(units!$A:$A),MATCH(D$1,units!$1:$1,0)-COLUMN(INDIRECT("character_id"))+1),MATCH(D$1,units!$1:$1,0)-COLUMN(INDIRECT("character_id"))+1,FALSE)</f>
        <v>4</v>
      </c>
      <c r="E16" s="18" t="str">
        <f ca="1">VLOOKUP($B16,OFFSET(units!$A$1,0,0,COUNTA(units!$A:$A),MATCH(E$1,units!$1:$1,0)-COLUMN(INDIRECT("character_id"))+1),MATCH(E$1,units!$1:$1,0)-COLUMN(INDIRECT("character_id"))+1,FALSE)</f>
        <v>Material</v>
      </c>
      <c r="F16" s="137">
        <v>1434</v>
      </c>
      <c r="G16" s="18" t="str">
        <f>VLOOKUP(F16,[1]characters!$A:$C,3,FALSE)</f>
        <v>メガ超越の果実</v>
      </c>
      <c r="H16" s="15">
        <v>2</v>
      </c>
      <c r="I16" s="118">
        <v>1</v>
      </c>
    </row>
  </sheetData>
  <sheetProtection selectLockedCells="1" selectUnlockedCells="1"/>
  <autoFilter ref="B1:H1"/>
  <phoneticPr fontId="9"/>
  <pageMargins left="0.75" right="0.75" top="1" bottom="1" header="0.51180555555555551" footer="0.51180555555555551"/>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19"/>
  <sheetViews>
    <sheetView workbookViewId="0">
      <selection activeCell="I37" sqref="I37"/>
    </sheetView>
  </sheetViews>
  <sheetFormatPr baseColWidth="12" defaultRowHeight="15" x14ac:dyDescent="0.15"/>
  <sheetData>
    <row r="1" spans="1:2" x14ac:dyDescent="0.15">
      <c r="A1" t="s">
        <v>260</v>
      </c>
      <c r="B1" t="s">
        <v>261</v>
      </c>
    </row>
    <row r="2" spans="1:2" x14ac:dyDescent="0.15">
      <c r="A2" t="s">
        <v>262</v>
      </c>
      <c r="B2">
        <v>1</v>
      </c>
    </row>
    <row r="3" spans="1:2" x14ac:dyDescent="0.15">
      <c r="A3" t="s">
        <v>263</v>
      </c>
      <c r="B3">
        <v>1</v>
      </c>
    </row>
    <row r="4" spans="1:2" x14ac:dyDescent="0.15">
      <c r="A4" t="s">
        <v>264</v>
      </c>
      <c r="B4">
        <v>1</v>
      </c>
    </row>
    <row r="5" spans="1:2" x14ac:dyDescent="0.15">
      <c r="A5" t="s">
        <v>265</v>
      </c>
      <c r="B5">
        <v>1</v>
      </c>
    </row>
    <row r="6" spans="1:2" x14ac:dyDescent="0.15">
      <c r="A6" t="s">
        <v>266</v>
      </c>
      <c r="B6">
        <v>1</v>
      </c>
    </row>
    <row r="7" spans="1:2" x14ac:dyDescent="0.15">
      <c r="A7" t="s">
        <v>267</v>
      </c>
      <c r="B7">
        <v>1</v>
      </c>
    </row>
    <row r="8" spans="1:2" x14ac:dyDescent="0.15">
      <c r="A8" t="s">
        <v>268</v>
      </c>
      <c r="B8">
        <v>1</v>
      </c>
    </row>
    <row r="9" spans="1:2" x14ac:dyDescent="0.15">
      <c r="A9" t="s">
        <v>269</v>
      </c>
      <c r="B9">
        <v>1</v>
      </c>
    </row>
    <row r="10" spans="1:2" x14ac:dyDescent="0.15">
      <c r="A10" t="s">
        <v>270</v>
      </c>
      <c r="B10">
        <v>1</v>
      </c>
    </row>
    <row r="11" spans="1:2" x14ac:dyDescent="0.15">
      <c r="A11" t="s">
        <v>271</v>
      </c>
      <c r="B11">
        <v>1</v>
      </c>
    </row>
    <row r="12" spans="1:2" x14ac:dyDescent="0.15">
      <c r="A12" t="s">
        <v>272</v>
      </c>
      <c r="B12">
        <v>1</v>
      </c>
    </row>
    <row r="13" spans="1:2" x14ac:dyDescent="0.15">
      <c r="A13" t="s">
        <v>273</v>
      </c>
      <c r="B13">
        <v>0</v>
      </c>
    </row>
    <row r="14" spans="1:2" x14ac:dyDescent="0.15">
      <c r="A14" t="s">
        <v>274</v>
      </c>
      <c r="B14">
        <v>500</v>
      </c>
    </row>
    <row r="15" spans="1:2" x14ac:dyDescent="0.15">
      <c r="A15" t="s">
        <v>275</v>
      </c>
      <c r="B15">
        <v>600</v>
      </c>
    </row>
    <row r="16" spans="1:2" x14ac:dyDescent="0.15">
      <c r="A16" t="s">
        <v>276</v>
      </c>
      <c r="B16">
        <v>700</v>
      </c>
    </row>
    <row r="17" spans="1:2" x14ac:dyDescent="0.15">
      <c r="A17" t="s">
        <v>277</v>
      </c>
      <c r="B17">
        <v>5500</v>
      </c>
    </row>
    <row r="18" spans="1:2" x14ac:dyDescent="0.15">
      <c r="A18" t="s">
        <v>278</v>
      </c>
      <c r="B18">
        <v>6000</v>
      </c>
    </row>
    <row r="19" spans="1:2" x14ac:dyDescent="0.15">
      <c r="A19" t="s">
        <v>279</v>
      </c>
      <c r="B19">
        <v>30000</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15"/>
  <sheetViews>
    <sheetView showGridLines="0" tabSelected="1" workbookViewId="0">
      <selection activeCell="I15" sqref="I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62</v>
      </c>
      <c r="B1" s="30">
        <v>1</v>
      </c>
      <c r="C1" s="30">
        <v>2</v>
      </c>
      <c r="D1" s="30">
        <v>3</v>
      </c>
      <c r="E1" s="30">
        <v>4</v>
      </c>
      <c r="F1" s="30">
        <v>5</v>
      </c>
      <c r="G1" s="30">
        <v>6</v>
      </c>
      <c r="H1" s="30">
        <v>7</v>
      </c>
      <c r="I1" s="30">
        <v>8</v>
      </c>
    </row>
    <row r="2" spans="1:9" ht="21" customHeight="1" x14ac:dyDescent="0.15">
      <c r="A2" s="77" t="s">
        <v>33</v>
      </c>
      <c r="B2" s="37" t="s">
        <v>11</v>
      </c>
      <c r="C2" s="37" t="s">
        <v>11</v>
      </c>
      <c r="D2" s="38" t="s">
        <v>34</v>
      </c>
      <c r="E2" s="38" t="s">
        <v>34</v>
      </c>
      <c r="F2" s="38" t="s">
        <v>34</v>
      </c>
      <c r="G2" s="38" t="s">
        <v>34</v>
      </c>
      <c r="H2" s="38" t="s">
        <v>34</v>
      </c>
      <c r="I2" s="38" t="s">
        <v>34</v>
      </c>
    </row>
    <row r="3" spans="1:9" ht="21" customHeight="1" x14ac:dyDescent="0.15">
      <c r="A3" s="78" t="s">
        <v>32</v>
      </c>
      <c r="B3" s="37" t="s">
        <v>11</v>
      </c>
      <c r="C3" s="37" t="s">
        <v>11</v>
      </c>
      <c r="D3" s="38" t="s">
        <v>34</v>
      </c>
      <c r="E3" s="38">
        <v>30</v>
      </c>
      <c r="F3" s="38">
        <v>40</v>
      </c>
      <c r="G3" s="38" t="s">
        <v>34</v>
      </c>
      <c r="H3" s="38" t="s">
        <v>34</v>
      </c>
      <c r="I3" s="38" t="s">
        <v>34</v>
      </c>
    </row>
    <row r="4" spans="1:9" s="45" customFormat="1" ht="21" customHeight="1" x14ac:dyDescent="0.15">
      <c r="A4" s="79" t="s">
        <v>31</v>
      </c>
      <c r="B4" s="26" t="s">
        <v>11</v>
      </c>
      <c r="C4" s="26" t="s">
        <v>11</v>
      </c>
      <c r="D4" s="109" t="s">
        <v>146</v>
      </c>
      <c r="E4" s="109">
        <v>25</v>
      </c>
      <c r="F4" s="109">
        <v>35</v>
      </c>
      <c r="G4" s="109" t="s">
        <v>34</v>
      </c>
      <c r="H4" s="109" t="s">
        <v>34</v>
      </c>
      <c r="I4" s="109" t="s">
        <v>34</v>
      </c>
    </row>
    <row r="5" spans="1:9" ht="21" customHeight="1" x14ac:dyDescent="0.15">
      <c r="A5" s="79" t="s">
        <v>9</v>
      </c>
      <c r="B5" s="68" t="s">
        <v>11</v>
      </c>
      <c r="C5" s="68" t="s">
        <v>11</v>
      </c>
      <c r="D5" s="26">
        <v>10</v>
      </c>
      <c r="E5" s="26">
        <v>20</v>
      </c>
      <c r="F5" s="26">
        <v>30</v>
      </c>
      <c r="G5" s="68" t="s">
        <v>11</v>
      </c>
      <c r="H5" s="68" t="s">
        <v>11</v>
      </c>
      <c r="I5" s="68" t="s">
        <v>11</v>
      </c>
    </row>
    <row r="6" spans="1:9" ht="21" customHeight="1" x14ac:dyDescent="0.15">
      <c r="A6" s="79" t="s">
        <v>29</v>
      </c>
      <c r="B6" s="68" t="s">
        <v>11</v>
      </c>
      <c r="C6" s="68" t="s">
        <v>11</v>
      </c>
      <c r="D6" s="26">
        <v>9</v>
      </c>
      <c r="E6" s="26">
        <v>18</v>
      </c>
      <c r="F6" s="26">
        <v>28</v>
      </c>
      <c r="G6" s="68" t="s">
        <v>11</v>
      </c>
      <c r="H6" s="68" t="s">
        <v>11</v>
      </c>
      <c r="I6" s="68" t="s">
        <v>11</v>
      </c>
    </row>
    <row r="7" spans="1:9" ht="21" customHeight="1" x14ac:dyDescent="0.15">
      <c r="A7" s="79" t="s">
        <v>28</v>
      </c>
      <c r="B7" s="68" t="s">
        <v>11</v>
      </c>
      <c r="C7" s="68" t="s">
        <v>11</v>
      </c>
      <c r="D7" s="26">
        <v>7</v>
      </c>
      <c r="E7" s="26">
        <v>16</v>
      </c>
      <c r="F7" s="68" t="s">
        <v>11</v>
      </c>
      <c r="G7" s="68" t="s">
        <v>11</v>
      </c>
      <c r="H7" s="68" t="s">
        <v>11</v>
      </c>
      <c r="I7" s="68" t="s">
        <v>11</v>
      </c>
    </row>
    <row r="8" spans="1:9" ht="21" customHeight="1" x14ac:dyDescent="0.15">
      <c r="A8" s="108" t="s">
        <v>45</v>
      </c>
      <c r="B8" s="68" t="s">
        <v>11</v>
      </c>
      <c r="C8" s="68" t="s">
        <v>11</v>
      </c>
      <c r="D8" s="26">
        <v>8</v>
      </c>
      <c r="E8" s="26">
        <v>17</v>
      </c>
      <c r="F8" s="26">
        <v>26</v>
      </c>
      <c r="G8" s="68" t="s">
        <v>11</v>
      </c>
      <c r="H8" s="68" t="s">
        <v>11</v>
      </c>
      <c r="I8" s="68" t="s">
        <v>11</v>
      </c>
    </row>
    <row r="9" spans="1:9" ht="21" customHeight="1" x14ac:dyDescent="0.15">
      <c r="A9" s="79" t="s">
        <v>63</v>
      </c>
      <c r="B9" s="68" t="s">
        <v>11</v>
      </c>
      <c r="C9" s="68" t="s">
        <v>11</v>
      </c>
      <c r="D9" s="26">
        <v>8</v>
      </c>
      <c r="E9" s="26">
        <v>17</v>
      </c>
      <c r="F9" s="26">
        <v>26</v>
      </c>
      <c r="G9" s="68" t="s">
        <v>11</v>
      </c>
      <c r="H9" s="68" t="s">
        <v>11</v>
      </c>
      <c r="I9" s="68" t="s">
        <v>11</v>
      </c>
    </row>
    <row r="10" spans="1:9" ht="21" customHeight="1" x14ac:dyDescent="0.15">
      <c r="A10" s="79" t="s">
        <v>44</v>
      </c>
      <c r="B10" s="68" t="s">
        <v>11</v>
      </c>
      <c r="C10" s="68" t="s">
        <v>11</v>
      </c>
      <c r="D10" s="26">
        <v>6</v>
      </c>
      <c r="E10" s="26">
        <v>14</v>
      </c>
      <c r="F10" s="68" t="s">
        <v>11</v>
      </c>
      <c r="G10" s="68" t="s">
        <v>11</v>
      </c>
      <c r="H10" s="68" t="s">
        <v>11</v>
      </c>
      <c r="I10" s="68" t="s">
        <v>11</v>
      </c>
    </row>
    <row r="11" spans="1:9" ht="21" customHeight="1" x14ac:dyDescent="0.15">
      <c r="A11" s="79" t="s">
        <v>43</v>
      </c>
      <c r="B11" s="68" t="s">
        <v>11</v>
      </c>
      <c r="C11" s="26">
        <v>4</v>
      </c>
      <c r="D11" s="26">
        <v>6</v>
      </c>
      <c r="E11" s="26">
        <v>14</v>
      </c>
      <c r="F11" s="68" t="s">
        <v>11</v>
      </c>
      <c r="G11" s="68" t="s">
        <v>11</v>
      </c>
      <c r="H11" s="68" t="s">
        <v>11</v>
      </c>
      <c r="I11" s="68" t="s">
        <v>11</v>
      </c>
    </row>
    <row r="12" spans="1:9" ht="21" customHeight="1" x14ac:dyDescent="0.15">
      <c r="A12" s="79" t="s">
        <v>8</v>
      </c>
      <c r="B12" s="26">
        <v>2</v>
      </c>
      <c r="C12" s="26">
        <v>4</v>
      </c>
      <c r="D12" s="26">
        <v>6</v>
      </c>
      <c r="E12" s="68" t="s">
        <v>11</v>
      </c>
      <c r="F12" s="68" t="s">
        <v>11</v>
      </c>
      <c r="G12" s="68" t="s">
        <v>11</v>
      </c>
      <c r="H12" s="68" t="s">
        <v>11</v>
      </c>
      <c r="I12" s="68" t="s">
        <v>11</v>
      </c>
    </row>
    <row r="13" spans="1:9" ht="21" customHeight="1" x14ac:dyDescent="0.15">
      <c r="A13" s="80" t="s">
        <v>7</v>
      </c>
      <c r="B13" s="29">
        <v>1</v>
      </c>
      <c r="C13" s="29">
        <v>2</v>
      </c>
      <c r="D13" s="69" t="s">
        <v>11</v>
      </c>
      <c r="E13" s="69" t="s">
        <v>11</v>
      </c>
      <c r="F13" s="69" t="s">
        <v>11</v>
      </c>
      <c r="G13" s="69" t="s">
        <v>11</v>
      </c>
      <c r="H13" s="69" t="s">
        <v>11</v>
      </c>
      <c r="I13" s="69" t="s">
        <v>11</v>
      </c>
    </row>
    <row r="14" spans="1:9" ht="21" customHeight="1" x14ac:dyDescent="0.15">
      <c r="A14" s="81" t="s">
        <v>42</v>
      </c>
      <c r="B14" s="24">
        <v>1</v>
      </c>
      <c r="C14" s="24">
        <v>1</v>
      </c>
      <c r="D14" s="69" t="s">
        <v>11</v>
      </c>
      <c r="E14" s="69" t="s">
        <v>11</v>
      </c>
      <c r="F14" s="69" t="s">
        <v>11</v>
      </c>
      <c r="G14" s="69" t="s">
        <v>11</v>
      </c>
      <c r="H14" s="69" t="s">
        <v>11</v>
      </c>
      <c r="I14" s="69" t="s">
        <v>11</v>
      </c>
    </row>
    <row r="15" spans="1:9" ht="21" customHeight="1" x14ac:dyDescent="0.15">
      <c r="A15" s="35" t="s">
        <v>30</v>
      </c>
      <c r="B15" s="34">
        <v>99</v>
      </c>
      <c r="C15" s="34">
        <v>99</v>
      </c>
      <c r="D15" s="34">
        <v>99</v>
      </c>
      <c r="E15" s="34">
        <v>99</v>
      </c>
      <c r="F15" s="34">
        <v>99</v>
      </c>
      <c r="G15" s="34">
        <v>99</v>
      </c>
      <c r="H15" s="34">
        <v>99</v>
      </c>
      <c r="I15"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15"/>
  <sheetViews>
    <sheetView showGridLines="0" workbookViewId="0">
      <selection activeCell="I4" sqref="I4"/>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ht="21" customHeight="1" x14ac:dyDescent="0.15">
      <c r="A2" s="73" t="s">
        <v>33</v>
      </c>
      <c r="B2" s="39" t="s">
        <v>137</v>
      </c>
      <c r="C2" s="39" t="s">
        <v>137</v>
      </c>
      <c r="D2" s="39" t="s">
        <v>137</v>
      </c>
      <c r="E2" s="39" t="s">
        <v>137</v>
      </c>
      <c r="F2" s="39" t="s">
        <v>137</v>
      </c>
      <c r="G2" s="39" t="s">
        <v>137</v>
      </c>
      <c r="H2" s="39" t="s">
        <v>137</v>
      </c>
      <c r="I2" s="39" t="s">
        <v>137</v>
      </c>
    </row>
    <row r="3" spans="1:9" ht="21" customHeight="1" x14ac:dyDescent="0.15">
      <c r="A3" s="73" t="s">
        <v>32</v>
      </c>
      <c r="B3" s="39" t="s">
        <v>137</v>
      </c>
      <c r="C3" s="39" t="s">
        <v>137</v>
      </c>
      <c r="D3" s="39" t="s">
        <v>137</v>
      </c>
      <c r="E3" s="39">
        <v>60</v>
      </c>
      <c r="F3" s="39">
        <v>80</v>
      </c>
      <c r="G3" s="39" t="s">
        <v>137</v>
      </c>
      <c r="H3" s="39" t="s">
        <v>137</v>
      </c>
      <c r="I3" s="39" t="s">
        <v>137</v>
      </c>
    </row>
    <row r="4" spans="1:9" s="45" customFormat="1" ht="21" customHeight="1" x14ac:dyDescent="0.15">
      <c r="A4" s="74" t="s">
        <v>31</v>
      </c>
      <c r="B4" s="66" t="s">
        <v>137</v>
      </c>
      <c r="C4" s="66" t="s">
        <v>137</v>
      </c>
      <c r="D4" s="66" t="s">
        <v>137</v>
      </c>
      <c r="E4" s="66">
        <v>60</v>
      </c>
      <c r="F4" s="66">
        <v>80</v>
      </c>
      <c r="G4" s="66" t="s">
        <v>137</v>
      </c>
      <c r="H4" s="66" t="s">
        <v>137</v>
      </c>
      <c r="I4" s="66" t="s">
        <v>137</v>
      </c>
    </row>
    <row r="5" spans="1:9" ht="21" customHeight="1" x14ac:dyDescent="0.15">
      <c r="A5" s="74" t="s">
        <v>9</v>
      </c>
      <c r="B5" s="70" t="s">
        <v>136</v>
      </c>
      <c r="C5" s="70" t="s">
        <v>136</v>
      </c>
      <c r="D5" s="34">
        <v>40</v>
      </c>
      <c r="E5" s="34">
        <v>60</v>
      </c>
      <c r="F5" s="34">
        <v>80</v>
      </c>
      <c r="G5" s="70" t="s">
        <v>136</v>
      </c>
      <c r="H5" s="70" t="s">
        <v>136</v>
      </c>
      <c r="I5" s="70" t="s">
        <v>136</v>
      </c>
    </row>
    <row r="6" spans="1:9" ht="21" customHeight="1" x14ac:dyDescent="0.15">
      <c r="A6" s="74" t="s">
        <v>29</v>
      </c>
      <c r="B6" s="70" t="s">
        <v>136</v>
      </c>
      <c r="C6" s="70" t="s">
        <v>136</v>
      </c>
      <c r="D6" s="34">
        <v>40</v>
      </c>
      <c r="E6" s="34">
        <v>60</v>
      </c>
      <c r="F6" s="34">
        <v>80</v>
      </c>
      <c r="G6" s="70" t="s">
        <v>136</v>
      </c>
      <c r="H6" s="70" t="s">
        <v>136</v>
      </c>
      <c r="I6" s="70" t="s">
        <v>136</v>
      </c>
    </row>
    <row r="7" spans="1:9" ht="21" customHeight="1" x14ac:dyDescent="0.15">
      <c r="A7" s="74" t="s">
        <v>53</v>
      </c>
      <c r="B7" s="70" t="s">
        <v>136</v>
      </c>
      <c r="C7" s="70" t="s">
        <v>136</v>
      </c>
      <c r="D7" s="34">
        <v>40</v>
      </c>
      <c r="E7" s="34">
        <v>60</v>
      </c>
      <c r="F7" s="70" t="s">
        <v>136</v>
      </c>
      <c r="G7" s="70" t="s">
        <v>136</v>
      </c>
      <c r="H7" s="70" t="s">
        <v>136</v>
      </c>
      <c r="I7" s="70" t="s">
        <v>136</v>
      </c>
    </row>
    <row r="8" spans="1:9" ht="21" customHeight="1" x14ac:dyDescent="0.15">
      <c r="A8" s="75" t="s">
        <v>64</v>
      </c>
      <c r="B8" s="70" t="s">
        <v>136</v>
      </c>
      <c r="C8" s="70" t="s">
        <v>136</v>
      </c>
      <c r="D8" s="34">
        <v>40</v>
      </c>
      <c r="E8" s="34">
        <v>60</v>
      </c>
      <c r="F8" s="34">
        <v>80</v>
      </c>
      <c r="G8" s="70" t="s">
        <v>136</v>
      </c>
      <c r="H8" s="70" t="s">
        <v>136</v>
      </c>
      <c r="I8" s="70" t="s">
        <v>136</v>
      </c>
    </row>
    <row r="9" spans="1:9" ht="21" customHeight="1" x14ac:dyDescent="0.15">
      <c r="A9" s="55" t="s">
        <v>49</v>
      </c>
      <c r="B9" s="70" t="s">
        <v>136</v>
      </c>
      <c r="C9" s="70" t="s">
        <v>136</v>
      </c>
      <c r="D9" s="34">
        <v>40</v>
      </c>
      <c r="E9" s="34">
        <v>60</v>
      </c>
      <c r="F9" s="34">
        <v>80</v>
      </c>
      <c r="G9" s="70" t="s">
        <v>136</v>
      </c>
      <c r="H9" s="70" t="s">
        <v>136</v>
      </c>
      <c r="I9" s="70" t="s">
        <v>136</v>
      </c>
    </row>
    <row r="10" spans="1:9" ht="21" customHeight="1" x14ac:dyDescent="0.15">
      <c r="A10" s="55" t="s">
        <v>50</v>
      </c>
      <c r="B10" s="70" t="s">
        <v>136</v>
      </c>
      <c r="C10" s="34">
        <v>30</v>
      </c>
      <c r="D10" s="34">
        <v>40</v>
      </c>
      <c r="E10" s="34">
        <v>60</v>
      </c>
      <c r="F10" s="70" t="s">
        <v>136</v>
      </c>
      <c r="G10" s="70" t="s">
        <v>136</v>
      </c>
      <c r="H10" s="70" t="s">
        <v>136</v>
      </c>
      <c r="I10" s="70" t="s">
        <v>136</v>
      </c>
    </row>
    <row r="11" spans="1:9" ht="21" customHeight="1" x14ac:dyDescent="0.15">
      <c r="A11" s="55" t="s">
        <v>51</v>
      </c>
      <c r="B11" s="70" t="s">
        <v>136</v>
      </c>
      <c r="C11" s="34">
        <v>30</v>
      </c>
      <c r="D11" s="34">
        <v>40</v>
      </c>
      <c r="E11" s="34">
        <v>60</v>
      </c>
      <c r="F11" s="70" t="s">
        <v>136</v>
      </c>
      <c r="G11" s="70" t="s">
        <v>136</v>
      </c>
      <c r="H11" s="70" t="s">
        <v>136</v>
      </c>
      <c r="I11" s="70" t="s">
        <v>136</v>
      </c>
    </row>
    <row r="12" spans="1:9" ht="21" customHeight="1" x14ac:dyDescent="0.15">
      <c r="A12" s="56" t="s">
        <v>8</v>
      </c>
      <c r="B12" s="34">
        <v>15</v>
      </c>
      <c r="C12" s="34">
        <v>30</v>
      </c>
      <c r="D12" s="34">
        <v>40</v>
      </c>
      <c r="E12" s="70" t="s">
        <v>136</v>
      </c>
      <c r="F12" s="70" t="s">
        <v>136</v>
      </c>
      <c r="G12" s="70" t="s">
        <v>136</v>
      </c>
      <c r="H12" s="70" t="s">
        <v>136</v>
      </c>
      <c r="I12" s="70" t="s">
        <v>136</v>
      </c>
    </row>
    <row r="13" spans="1:9" ht="21" customHeight="1" x14ac:dyDescent="0.15">
      <c r="A13" s="51" t="s">
        <v>7</v>
      </c>
      <c r="B13" s="34">
        <v>15</v>
      </c>
      <c r="C13" s="34">
        <v>30</v>
      </c>
      <c r="D13" s="34">
        <v>40</v>
      </c>
      <c r="E13" s="70" t="s">
        <v>136</v>
      </c>
      <c r="F13" s="70" t="s">
        <v>136</v>
      </c>
      <c r="G13" s="70" t="s">
        <v>136</v>
      </c>
      <c r="H13" s="70" t="s">
        <v>136</v>
      </c>
      <c r="I13" s="70" t="s">
        <v>136</v>
      </c>
    </row>
    <row r="14" spans="1:9" ht="21" customHeight="1" x14ac:dyDescent="0.15">
      <c r="A14" s="53" t="s">
        <v>52</v>
      </c>
      <c r="B14" s="34">
        <v>10</v>
      </c>
      <c r="C14" s="34">
        <v>20</v>
      </c>
      <c r="D14" s="70" t="s">
        <v>136</v>
      </c>
      <c r="E14" s="70" t="s">
        <v>136</v>
      </c>
      <c r="F14" s="70" t="s">
        <v>136</v>
      </c>
      <c r="G14" s="70" t="s">
        <v>136</v>
      </c>
      <c r="H14" s="70" t="s">
        <v>136</v>
      </c>
      <c r="I14" s="70" t="s">
        <v>136</v>
      </c>
    </row>
    <row r="15" spans="1:9" ht="21" customHeight="1" x14ac:dyDescent="0.15">
      <c r="A15" s="76" t="s">
        <v>54</v>
      </c>
      <c r="B15" s="34">
        <v>1</v>
      </c>
      <c r="C15" s="34">
        <v>1</v>
      </c>
      <c r="D15" s="34">
        <v>1</v>
      </c>
      <c r="E15" s="34">
        <v>1</v>
      </c>
      <c r="F15" s="34">
        <v>1</v>
      </c>
      <c r="G15" s="34">
        <v>1</v>
      </c>
      <c r="H15" s="34">
        <v>1</v>
      </c>
      <c r="I15"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26"/>
  <sheetViews>
    <sheetView showGridLines="0" workbookViewId="0">
      <selection activeCell="I18" sqref="I18"/>
    </sheetView>
  </sheetViews>
  <sheetFormatPr baseColWidth="12" defaultColWidth="13" defaultRowHeight="21" customHeight="1" x14ac:dyDescent="0.15"/>
  <cols>
    <col min="1" max="16384" width="13" style="21"/>
  </cols>
  <sheetData>
    <row r="1" spans="1:11" ht="21" customHeight="1" x14ac:dyDescent="0.15">
      <c r="A1" s="48" t="s">
        <v>10</v>
      </c>
      <c r="B1" s="49">
        <v>1</v>
      </c>
      <c r="C1" s="49">
        <v>2</v>
      </c>
      <c r="D1" s="49">
        <v>3</v>
      </c>
      <c r="E1" s="49">
        <v>4</v>
      </c>
      <c r="F1" s="49">
        <v>5</v>
      </c>
      <c r="G1" s="49">
        <v>6</v>
      </c>
      <c r="H1" s="49">
        <v>7</v>
      </c>
      <c r="I1" s="49">
        <v>8</v>
      </c>
    </row>
    <row r="2" spans="1:11" ht="21" customHeight="1" x14ac:dyDescent="0.15">
      <c r="A2" s="50" t="s">
        <v>17</v>
      </c>
      <c r="B2" s="39" t="s">
        <v>137</v>
      </c>
      <c r="C2" s="39" t="s">
        <v>137</v>
      </c>
      <c r="D2" s="39" t="s">
        <v>137</v>
      </c>
      <c r="E2" s="39" t="s">
        <v>137</v>
      </c>
      <c r="F2" s="39" t="s">
        <v>137</v>
      </c>
      <c r="G2" s="39" t="s">
        <v>137</v>
      </c>
      <c r="H2" s="39" t="s">
        <v>137</v>
      </c>
      <c r="I2" s="39" t="s">
        <v>137</v>
      </c>
    </row>
    <row r="3" spans="1:11" ht="21" customHeight="1" x14ac:dyDescent="0.15">
      <c r="A3" s="50" t="s">
        <v>138</v>
      </c>
      <c r="B3" s="39" t="s">
        <v>137</v>
      </c>
      <c r="C3" s="39" t="s">
        <v>137</v>
      </c>
      <c r="D3" s="39" t="s">
        <v>137</v>
      </c>
      <c r="E3" s="52" t="s">
        <v>147</v>
      </c>
      <c r="F3" s="52" t="s">
        <v>148</v>
      </c>
      <c r="G3" s="39" t="s">
        <v>137</v>
      </c>
      <c r="H3" s="39" t="s">
        <v>137</v>
      </c>
      <c r="I3" s="39" t="s">
        <v>137</v>
      </c>
    </row>
    <row r="4" spans="1:11" s="45" customFormat="1" ht="21" customHeight="1" x14ac:dyDescent="0.15">
      <c r="A4" s="50" t="s">
        <v>139</v>
      </c>
      <c r="B4" s="66" t="s">
        <v>137</v>
      </c>
      <c r="C4" s="66" t="s">
        <v>137</v>
      </c>
      <c r="D4" s="66" t="s">
        <v>137</v>
      </c>
      <c r="E4" s="52" t="s">
        <v>85</v>
      </c>
      <c r="F4" s="52" t="s">
        <v>85</v>
      </c>
      <c r="G4" s="66" t="s">
        <v>137</v>
      </c>
      <c r="H4" s="66" t="s">
        <v>137</v>
      </c>
      <c r="I4" s="66" t="s">
        <v>137</v>
      </c>
    </row>
    <row r="5" spans="1:11" ht="21" customHeight="1" x14ac:dyDescent="0.15">
      <c r="A5" s="51" t="s">
        <v>9</v>
      </c>
      <c r="B5" s="70" t="s">
        <v>136</v>
      </c>
      <c r="C5" s="70" t="s">
        <v>136</v>
      </c>
      <c r="D5" s="52" t="s">
        <v>85</v>
      </c>
      <c r="E5" s="52" t="s">
        <v>85</v>
      </c>
      <c r="F5" s="52" t="s">
        <v>85</v>
      </c>
      <c r="G5" s="70" t="s">
        <v>136</v>
      </c>
      <c r="H5" s="70" t="s">
        <v>136</v>
      </c>
      <c r="I5" s="70" t="s">
        <v>136</v>
      </c>
      <c r="K5" s="25" t="s">
        <v>12</v>
      </c>
    </row>
    <row r="6" spans="1:11" ht="21" customHeight="1" x14ac:dyDescent="0.15">
      <c r="A6" s="53" t="s">
        <v>47</v>
      </c>
      <c r="B6" s="70" t="s">
        <v>136</v>
      </c>
      <c r="C6" s="70" t="s">
        <v>136</v>
      </c>
      <c r="D6" s="53" t="s">
        <v>85</v>
      </c>
      <c r="E6" s="53" t="s">
        <v>85</v>
      </c>
      <c r="F6" s="53" t="s">
        <v>85</v>
      </c>
      <c r="G6" s="70" t="s">
        <v>136</v>
      </c>
      <c r="H6" s="70" t="s">
        <v>136</v>
      </c>
      <c r="I6" s="70" t="s">
        <v>136</v>
      </c>
      <c r="K6" s="27" t="s">
        <v>13</v>
      </c>
    </row>
    <row r="7" spans="1:11" ht="21" customHeight="1" x14ac:dyDescent="0.15">
      <c r="A7" s="54" t="s">
        <v>48</v>
      </c>
      <c r="B7" s="70" t="s">
        <v>136</v>
      </c>
      <c r="C7" s="70" t="s">
        <v>136</v>
      </c>
      <c r="D7" s="54" t="s">
        <v>86</v>
      </c>
      <c r="E7" s="54" t="s">
        <v>86</v>
      </c>
      <c r="F7" s="70" t="s">
        <v>136</v>
      </c>
      <c r="G7" s="70" t="s">
        <v>136</v>
      </c>
      <c r="H7" s="70" t="s">
        <v>136</v>
      </c>
      <c r="I7" s="70" t="s">
        <v>136</v>
      </c>
      <c r="K7" s="71" t="s">
        <v>55</v>
      </c>
    </row>
    <row r="8" spans="1:11" ht="21" customHeight="1" x14ac:dyDescent="0.15">
      <c r="A8" s="54" t="s">
        <v>65</v>
      </c>
      <c r="B8" s="70" t="s">
        <v>136</v>
      </c>
      <c r="C8" s="70" t="s">
        <v>136</v>
      </c>
      <c r="D8" s="55" t="s">
        <v>85</v>
      </c>
      <c r="E8" s="55" t="s">
        <v>85</v>
      </c>
      <c r="F8" s="55" t="s">
        <v>85</v>
      </c>
      <c r="G8" s="70" t="s">
        <v>136</v>
      </c>
      <c r="H8" s="70" t="s">
        <v>136</v>
      </c>
      <c r="I8" s="70" t="s">
        <v>136</v>
      </c>
      <c r="K8" s="72"/>
    </row>
    <row r="9" spans="1:11" ht="21" customHeight="1" x14ac:dyDescent="0.15">
      <c r="A9" s="55" t="s">
        <v>49</v>
      </c>
      <c r="B9" s="70" t="s">
        <v>136</v>
      </c>
      <c r="C9" s="70" t="s">
        <v>136</v>
      </c>
      <c r="D9" s="55" t="s">
        <v>85</v>
      </c>
      <c r="E9" s="55" t="s">
        <v>85</v>
      </c>
      <c r="F9" s="55" t="s">
        <v>85</v>
      </c>
      <c r="G9" s="70" t="s">
        <v>136</v>
      </c>
      <c r="H9" s="70" t="s">
        <v>136</v>
      </c>
      <c r="I9" s="70" t="s">
        <v>136</v>
      </c>
    </row>
    <row r="10" spans="1:11" ht="21" customHeight="1" x14ac:dyDescent="0.15">
      <c r="A10" s="55" t="s">
        <v>50</v>
      </c>
      <c r="B10" s="70" t="s">
        <v>136</v>
      </c>
      <c r="C10" s="70" t="s">
        <v>136</v>
      </c>
      <c r="D10" s="55" t="s">
        <v>86</v>
      </c>
      <c r="E10" s="55" t="s">
        <v>86</v>
      </c>
      <c r="F10" s="70" t="s">
        <v>136</v>
      </c>
      <c r="G10" s="70" t="s">
        <v>136</v>
      </c>
      <c r="H10" s="70" t="s">
        <v>136</v>
      </c>
      <c r="I10" s="70" t="s">
        <v>136</v>
      </c>
    </row>
    <row r="11" spans="1:11" ht="21" customHeight="1" x14ac:dyDescent="0.15">
      <c r="A11" s="55" t="s">
        <v>51</v>
      </c>
      <c r="B11" s="70" t="s">
        <v>136</v>
      </c>
      <c r="C11" s="55" t="s">
        <v>86</v>
      </c>
      <c r="D11" s="55" t="s">
        <v>86</v>
      </c>
      <c r="E11" s="55" t="s">
        <v>86</v>
      </c>
      <c r="F11" s="70" t="s">
        <v>136</v>
      </c>
      <c r="G11" s="70" t="s">
        <v>136</v>
      </c>
      <c r="H11" s="70" t="s">
        <v>136</v>
      </c>
      <c r="I11" s="70" t="s">
        <v>136</v>
      </c>
    </row>
    <row r="12" spans="1:11" ht="21" customHeight="1" x14ac:dyDescent="0.15">
      <c r="A12" s="56" t="s">
        <v>8</v>
      </c>
      <c r="B12" s="56" t="s">
        <v>87</v>
      </c>
      <c r="C12" s="56" t="s">
        <v>87</v>
      </c>
      <c r="D12" s="56" t="s">
        <v>87</v>
      </c>
      <c r="E12" s="70" t="s">
        <v>136</v>
      </c>
      <c r="F12" s="70" t="s">
        <v>136</v>
      </c>
      <c r="G12" s="70" t="s">
        <v>136</v>
      </c>
      <c r="H12" s="70" t="s">
        <v>136</v>
      </c>
      <c r="I12" s="70" t="s">
        <v>136</v>
      </c>
    </row>
    <row r="13" spans="1:11" ht="21" customHeight="1" x14ac:dyDescent="0.15">
      <c r="A13" s="51" t="s">
        <v>7</v>
      </c>
      <c r="B13" s="51" t="s">
        <v>88</v>
      </c>
      <c r="C13" s="51" t="s">
        <v>88</v>
      </c>
      <c r="D13" s="70" t="s">
        <v>136</v>
      </c>
      <c r="E13" s="70" t="s">
        <v>136</v>
      </c>
      <c r="F13" s="70" t="s">
        <v>136</v>
      </c>
      <c r="G13" s="70" t="s">
        <v>136</v>
      </c>
      <c r="H13" s="70" t="s">
        <v>136</v>
      </c>
      <c r="I13" s="70" t="s">
        <v>136</v>
      </c>
    </row>
    <row r="14" spans="1:11" ht="21" customHeight="1" x14ac:dyDescent="0.15">
      <c r="A14" s="53" t="s">
        <v>52</v>
      </c>
      <c r="B14" s="53" t="s">
        <v>89</v>
      </c>
      <c r="C14" s="53" t="s">
        <v>89</v>
      </c>
      <c r="D14" s="70" t="s">
        <v>136</v>
      </c>
      <c r="E14" s="70" t="s">
        <v>136</v>
      </c>
      <c r="F14" s="70" t="s">
        <v>136</v>
      </c>
      <c r="G14" s="70" t="s">
        <v>136</v>
      </c>
      <c r="H14" s="70" t="s">
        <v>136</v>
      </c>
      <c r="I14" s="70" t="s">
        <v>136</v>
      </c>
    </row>
    <row r="15" spans="1:11" ht="21" customHeight="1" x14ac:dyDescent="0.15">
      <c r="A15" s="35" t="s">
        <v>30</v>
      </c>
      <c r="B15" s="82" t="s">
        <v>73</v>
      </c>
      <c r="C15" s="82" t="s">
        <v>73</v>
      </c>
      <c r="D15" s="82" t="s">
        <v>73</v>
      </c>
      <c r="E15" s="82" t="s">
        <v>73</v>
      </c>
      <c r="F15" s="82" t="s">
        <v>73</v>
      </c>
      <c r="G15" s="82" t="s">
        <v>73</v>
      </c>
      <c r="H15" s="82" t="s">
        <v>73</v>
      </c>
      <c r="I15" s="82" t="s">
        <v>73</v>
      </c>
    </row>
    <row r="20" spans="1:2" ht="21" customHeight="1" x14ac:dyDescent="0.15">
      <c r="A20" s="21" t="s">
        <v>14</v>
      </c>
    </row>
    <row r="21" spans="1:2" ht="21" customHeight="1" x14ac:dyDescent="0.15">
      <c r="A21" s="19" t="s">
        <v>90</v>
      </c>
      <c r="B21" s="19" t="s">
        <v>91</v>
      </c>
    </row>
    <row r="22" spans="1:2" ht="21" customHeight="1" x14ac:dyDescent="0.15">
      <c r="A22" s="22">
        <v>1</v>
      </c>
      <c r="B22" s="22">
        <v>200</v>
      </c>
    </row>
    <row r="23" spans="1:2" ht="21" customHeight="1" x14ac:dyDescent="0.15">
      <c r="A23" s="22">
        <v>2</v>
      </c>
      <c r="B23" s="22">
        <v>600</v>
      </c>
    </row>
    <row r="24" spans="1:2" ht="21" customHeight="1" x14ac:dyDescent="0.15">
      <c r="A24" s="22">
        <v>3</v>
      </c>
      <c r="B24" s="22">
        <v>1500</v>
      </c>
    </row>
    <row r="25" spans="1:2" ht="21" customHeight="1" x14ac:dyDescent="0.15">
      <c r="A25" s="22">
        <v>4</v>
      </c>
      <c r="B25" s="22">
        <v>3400</v>
      </c>
    </row>
    <row r="26" spans="1:2" ht="21" customHeight="1" x14ac:dyDescent="0.15">
      <c r="A26" s="22">
        <v>5</v>
      </c>
      <c r="B26" s="22">
        <v>6400</v>
      </c>
    </row>
  </sheetData>
  <sheetProtection selectLockedCells="1" selectUnlockedCells="1"/>
  <phoneticPr fontId="9"/>
  <conditionalFormatting sqref="A29:I65535 J1:IV2 J5:J8 L5:IV8 J9:IV65535">
    <cfRule type="cellIs" dxfId="16" priority="15" stopIfTrue="1" operator="equal">
      <formula>1</formula>
    </cfRule>
  </conditionalFormatting>
  <conditionalFormatting sqref="A19:B20 A27:B28 C19:I28 G14:I14">
    <cfRule type="cellIs" dxfId="15" priority="14" stopIfTrue="1" operator="equal">
      <formula>1</formula>
    </cfRule>
  </conditionalFormatting>
  <conditionalFormatting sqref="D13:G13 F10:I13">
    <cfRule type="cellIs" dxfId="14" priority="13" stopIfTrue="1" operator="equal">
      <formula>1</formula>
    </cfRule>
  </conditionalFormatting>
  <conditionalFormatting sqref="F12:G12">
    <cfRule type="cellIs" dxfId="13" priority="12" stopIfTrue="1" operator="equal">
      <formula>1</formula>
    </cfRule>
  </conditionalFormatting>
  <conditionalFormatting sqref="A15">
    <cfRule type="cellIs" dxfId="12" priority="11" stopIfTrue="1" operator="equal">
      <formula>1</formula>
    </cfRule>
  </conditionalFormatting>
  <conditionalFormatting sqref="K5:K8">
    <cfRule type="cellIs" dxfId="11" priority="10" stopIfTrue="1" operator="equal">
      <formula>1</formula>
    </cfRule>
  </conditionalFormatting>
  <conditionalFormatting sqref="J3:IV3">
    <cfRule type="cellIs" dxfId="10" priority="9" stopIfTrue="1" operator="equal">
      <formula>1</formula>
    </cfRule>
  </conditionalFormatting>
  <conditionalFormatting sqref="J4:IV4">
    <cfRule type="cellIs" dxfId="9" priority="8" stopIfTrue="1" operator="equal">
      <formula>1</formula>
    </cfRule>
  </conditionalFormatting>
  <conditionalFormatting sqref="G5:I9">
    <cfRule type="cellIs" dxfId="8" priority="6" stopIfTrue="1" operator="equal">
      <formula>1</formula>
    </cfRule>
  </conditionalFormatting>
  <conditionalFormatting sqref="B5:C10">
    <cfRule type="cellIs" dxfId="7" priority="5" stopIfTrue="1" operator="equal">
      <formula>1</formula>
    </cfRule>
  </conditionalFormatting>
  <conditionalFormatting sqref="B11">
    <cfRule type="cellIs" dxfId="6" priority="4" stopIfTrue="1" operator="equal">
      <formula>1</formula>
    </cfRule>
  </conditionalFormatting>
  <conditionalFormatting sqref="E12">
    <cfRule type="cellIs" dxfId="5" priority="3" stopIfTrue="1" operator="equal">
      <formula>1</formula>
    </cfRule>
  </conditionalFormatting>
  <conditionalFormatting sqref="F7">
    <cfRule type="cellIs" dxfId="4"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15"/>
  <sheetViews>
    <sheetView showGridLines="0" workbookViewId="0">
      <selection activeCell="D18" sqref="D18"/>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ht="21" customHeight="1" x14ac:dyDescent="0.15">
      <c r="A2" s="77" t="s">
        <v>17</v>
      </c>
      <c r="B2" s="46" t="s">
        <v>11</v>
      </c>
      <c r="C2" s="46" t="s">
        <v>11</v>
      </c>
      <c r="D2" s="46" t="s">
        <v>11</v>
      </c>
      <c r="E2" s="46" t="s">
        <v>11</v>
      </c>
      <c r="F2" s="46" t="s">
        <v>11</v>
      </c>
      <c r="G2" s="46" t="s">
        <v>11</v>
      </c>
      <c r="H2" s="46" t="s">
        <v>11</v>
      </c>
      <c r="I2" s="46" t="s">
        <v>11</v>
      </c>
    </row>
    <row r="3" spans="1:9" ht="21" customHeight="1" x14ac:dyDescent="0.15">
      <c r="A3" s="78" t="s">
        <v>56</v>
      </c>
      <c r="B3" s="46" t="s">
        <v>11</v>
      </c>
      <c r="C3" s="46" t="s">
        <v>11</v>
      </c>
      <c r="D3" s="46" t="s">
        <v>11</v>
      </c>
      <c r="E3" s="46">
        <v>8000</v>
      </c>
      <c r="F3" s="26">
        <v>10000</v>
      </c>
      <c r="G3" s="46" t="s">
        <v>11</v>
      </c>
      <c r="H3" s="46" t="s">
        <v>11</v>
      </c>
      <c r="I3" s="46" t="s">
        <v>11</v>
      </c>
    </row>
    <row r="4" spans="1:9" s="45" customFormat="1" ht="21" customHeight="1" x14ac:dyDescent="0.15">
      <c r="A4" s="79" t="s">
        <v>31</v>
      </c>
      <c r="B4" s="26" t="s">
        <v>11</v>
      </c>
      <c r="C4" s="26" t="s">
        <v>11</v>
      </c>
      <c r="D4" s="26" t="s">
        <v>11</v>
      </c>
      <c r="E4" s="26">
        <v>7500</v>
      </c>
      <c r="F4" s="26">
        <v>9500</v>
      </c>
      <c r="G4" s="26" t="s">
        <v>11</v>
      </c>
      <c r="H4" s="26" t="s">
        <v>11</v>
      </c>
      <c r="I4" s="26" t="s">
        <v>11</v>
      </c>
    </row>
    <row r="5" spans="1:9" ht="21" customHeight="1" x14ac:dyDescent="0.15">
      <c r="A5" s="79" t="s">
        <v>9</v>
      </c>
      <c r="B5" s="68" t="s">
        <v>11</v>
      </c>
      <c r="C5" s="68" t="s">
        <v>11</v>
      </c>
      <c r="D5" s="26">
        <v>5000</v>
      </c>
      <c r="E5" s="26">
        <v>7000</v>
      </c>
      <c r="F5" s="26">
        <v>9000</v>
      </c>
      <c r="G5" s="68" t="s">
        <v>11</v>
      </c>
      <c r="H5" s="68" t="s">
        <v>11</v>
      </c>
      <c r="I5" s="68" t="s">
        <v>11</v>
      </c>
    </row>
    <row r="6" spans="1:9" ht="21" customHeight="1" x14ac:dyDescent="0.15">
      <c r="A6" s="79" t="s">
        <v>57</v>
      </c>
      <c r="B6" s="68" t="s">
        <v>11</v>
      </c>
      <c r="C6" s="68" t="s">
        <v>11</v>
      </c>
      <c r="D6" s="26">
        <v>4900</v>
      </c>
      <c r="E6" s="26">
        <v>6700</v>
      </c>
      <c r="F6" s="26">
        <v>8500</v>
      </c>
      <c r="G6" s="68" t="s">
        <v>11</v>
      </c>
      <c r="H6" s="68" t="s">
        <v>11</v>
      </c>
      <c r="I6" s="68" t="s">
        <v>11</v>
      </c>
    </row>
    <row r="7" spans="1:9" ht="21" customHeight="1" x14ac:dyDescent="0.15">
      <c r="A7" s="79" t="s">
        <v>132</v>
      </c>
      <c r="B7" s="68" t="s">
        <v>11</v>
      </c>
      <c r="C7" s="68" t="s">
        <v>11</v>
      </c>
      <c r="D7" s="26">
        <v>4800</v>
      </c>
      <c r="E7" s="26">
        <v>6600</v>
      </c>
      <c r="F7" s="68" t="s">
        <v>11</v>
      </c>
      <c r="G7" s="68" t="s">
        <v>11</v>
      </c>
      <c r="H7" s="68" t="s">
        <v>11</v>
      </c>
      <c r="I7" s="68" t="s">
        <v>11</v>
      </c>
    </row>
    <row r="8" spans="1:9" ht="21" customHeight="1" x14ac:dyDescent="0.15">
      <c r="A8" s="79" t="s">
        <v>145</v>
      </c>
      <c r="B8" s="68" t="s">
        <v>11</v>
      </c>
      <c r="C8" s="68" t="s">
        <v>11</v>
      </c>
      <c r="D8" s="68" t="s">
        <v>11</v>
      </c>
      <c r="E8" s="26">
        <v>6300</v>
      </c>
      <c r="F8" s="68" t="s">
        <v>11</v>
      </c>
      <c r="G8" s="68" t="s">
        <v>11</v>
      </c>
      <c r="H8" s="68" t="s">
        <v>11</v>
      </c>
      <c r="I8" s="68" t="s">
        <v>11</v>
      </c>
    </row>
    <row r="9" spans="1:9" ht="21" customHeight="1" x14ac:dyDescent="0.15">
      <c r="A9" s="79" t="s">
        <v>133</v>
      </c>
      <c r="B9" s="68" t="s">
        <v>11</v>
      </c>
      <c r="C9" s="68" t="s">
        <v>11</v>
      </c>
      <c r="D9" s="26">
        <v>4600</v>
      </c>
      <c r="E9" s="26">
        <v>5800</v>
      </c>
      <c r="F9" s="26">
        <v>7600</v>
      </c>
      <c r="G9" s="68" t="s">
        <v>11</v>
      </c>
      <c r="H9" s="68" t="s">
        <v>11</v>
      </c>
      <c r="I9" s="68" t="s">
        <v>11</v>
      </c>
    </row>
    <row r="10" spans="1:9" ht="21" customHeight="1" x14ac:dyDescent="0.15">
      <c r="A10" s="79" t="s">
        <v>131</v>
      </c>
      <c r="B10" s="68" t="s">
        <v>11</v>
      </c>
      <c r="C10" s="68" t="s">
        <v>11</v>
      </c>
      <c r="D10" s="26">
        <v>4400</v>
      </c>
      <c r="E10" s="26">
        <v>5600</v>
      </c>
      <c r="F10" s="68" t="s">
        <v>11</v>
      </c>
      <c r="G10" s="68" t="s">
        <v>11</v>
      </c>
      <c r="H10" s="68" t="s">
        <v>11</v>
      </c>
      <c r="I10" s="68" t="s">
        <v>11</v>
      </c>
    </row>
    <row r="11" spans="1:9" ht="21" customHeight="1" x14ac:dyDescent="0.15">
      <c r="A11" s="79" t="s">
        <v>43</v>
      </c>
      <c r="B11" s="68" t="s">
        <v>11</v>
      </c>
      <c r="C11" s="26">
        <v>3000</v>
      </c>
      <c r="D11" s="26">
        <v>4200</v>
      </c>
      <c r="E11" s="26">
        <v>5400</v>
      </c>
      <c r="F11" s="68" t="s">
        <v>11</v>
      </c>
      <c r="G11" s="68" t="s">
        <v>11</v>
      </c>
      <c r="H11" s="68" t="s">
        <v>11</v>
      </c>
      <c r="I11" s="68" t="s">
        <v>11</v>
      </c>
    </row>
    <row r="12" spans="1:9" ht="21" customHeight="1" x14ac:dyDescent="0.15">
      <c r="A12" s="79" t="s">
        <v>8</v>
      </c>
      <c r="B12" s="26">
        <v>2000</v>
      </c>
      <c r="C12" s="26">
        <v>2800</v>
      </c>
      <c r="D12" s="26">
        <v>4000</v>
      </c>
      <c r="E12" s="68" t="s">
        <v>11</v>
      </c>
      <c r="F12" s="68" t="s">
        <v>11</v>
      </c>
      <c r="G12" s="68" t="s">
        <v>11</v>
      </c>
      <c r="H12" s="68" t="s">
        <v>11</v>
      </c>
      <c r="I12" s="68" t="s">
        <v>11</v>
      </c>
    </row>
    <row r="13" spans="1:9" ht="21" customHeight="1" x14ac:dyDescent="0.15">
      <c r="A13" s="80" t="s">
        <v>7</v>
      </c>
      <c r="B13" s="26">
        <v>1750</v>
      </c>
      <c r="C13" s="26">
        <v>2550</v>
      </c>
      <c r="D13" s="68" t="s">
        <v>11</v>
      </c>
      <c r="E13" s="68" t="s">
        <v>11</v>
      </c>
      <c r="F13" s="68" t="s">
        <v>11</v>
      </c>
      <c r="G13" s="68" t="s">
        <v>11</v>
      </c>
      <c r="H13" s="68" t="s">
        <v>11</v>
      </c>
      <c r="I13" s="68" t="s">
        <v>11</v>
      </c>
    </row>
    <row r="14" spans="1:9" ht="21" customHeight="1" x14ac:dyDescent="0.15">
      <c r="A14" s="80" t="s">
        <v>42</v>
      </c>
      <c r="B14" s="26">
        <v>1500</v>
      </c>
      <c r="C14" s="26">
        <v>2300</v>
      </c>
      <c r="D14" s="68" t="s">
        <v>11</v>
      </c>
      <c r="E14" s="68" t="s">
        <v>11</v>
      </c>
      <c r="F14" s="68" t="s">
        <v>11</v>
      </c>
      <c r="G14" s="68" t="s">
        <v>11</v>
      </c>
      <c r="H14" s="68" t="s">
        <v>11</v>
      </c>
      <c r="I14" s="68" t="s">
        <v>11</v>
      </c>
    </row>
    <row r="15" spans="1:9" ht="21" customHeight="1" x14ac:dyDescent="0.15">
      <c r="A15" s="35" t="s">
        <v>30</v>
      </c>
      <c r="B15" s="34">
        <v>1000</v>
      </c>
      <c r="C15" s="34">
        <v>1000</v>
      </c>
      <c r="D15" s="34">
        <v>1000</v>
      </c>
      <c r="E15" s="34">
        <v>1000</v>
      </c>
      <c r="F15" s="34">
        <v>1000</v>
      </c>
      <c r="G15" s="34">
        <v>1000</v>
      </c>
      <c r="H15" s="34">
        <v>1000</v>
      </c>
      <c r="I15" s="34">
        <v>1000</v>
      </c>
    </row>
  </sheetData>
  <sheetProtection selectLockedCells="1" selectUnlockedCells="1"/>
  <phoneticPr fontId="9"/>
  <conditionalFormatting sqref="L17:R65536 J1:K1048576 S1:IU1048576 L1:R14">
    <cfRule type="cellIs" dxfId="3" priority="2" stopIfTrue="1" operator="equal">
      <formula>1</formula>
    </cfRule>
  </conditionalFormatting>
  <conditionalFormatting sqref="A16:I65536">
    <cfRule type="cellIs" dxfId="2" priority="3" stopIfTrue="1" operator="equal">
      <formula>1</formula>
    </cfRule>
  </conditionalFormatting>
  <conditionalFormatting sqref="A15:I15">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B8" sqref="B8"/>
    </sheetView>
  </sheetViews>
  <sheetFormatPr baseColWidth="12" defaultColWidth="13" defaultRowHeight="21" customHeight="1" x14ac:dyDescent="0.15"/>
  <cols>
    <col min="1" max="16384" width="13" style="21"/>
  </cols>
  <sheetData>
    <row r="1" spans="1:8" ht="21" customHeight="1" x14ac:dyDescent="0.15">
      <c r="A1" s="21" t="s">
        <v>141</v>
      </c>
      <c r="G1" s="21" t="s">
        <v>142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c r="G8" s="22">
        <v>6</v>
      </c>
      <c r="H8" s="33"/>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13</vt:i4>
      </vt:variant>
    </vt:vector>
  </HeadingPairs>
  <TitlesOfParts>
    <vt:vector size="13" baseType="lpstr">
      <vt:lpstr>output</vt:lpstr>
      <vt:lpstr>units</vt:lpstr>
      <vt:lpstr>unit_skills</vt:lpstr>
      <vt:lpstr>crash_skills</vt:lpstr>
      <vt:lpstr>unit_serifs</vt:lpstr>
      <vt:lpstr>awake_materials</vt:lpstr>
      <vt:lpstr>→base値</vt:lpstr>
      <vt:lpstr>ghosts_label</vt:lpstr>
      <vt:lpstr>コスト</vt:lpstr>
      <vt:lpstr>レベル</vt:lpstr>
      <vt:lpstr>経験値</vt:lpstr>
      <vt:lpstr>RC6SV</vt:lpstr>
      <vt:lpstr>ビット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2017-06-06T08:18:31Z</dcterms:modified>
</cp:coreProperties>
</file>