
<file path=[Content_Types].xml><?xml version="1.0" encoding="utf-8"?>
<Types xmlns="http://schemas.openxmlformats.org/package/2006/content-types">
  <Default Extension="xml" ContentType="application/xml"/>
  <Default Extension="bin" ContentType="application/vnd.ms-office.vbaProject"/>
  <Default Extension="vml" ContentType="application/vnd.openxmlformats-officedocument.vmlDrawing"/>
  <Default Extension="rels" ContentType="application/vnd.openxmlformats-package.relationships+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28109" codeName="{00000000-0000-0000-0000-000000000000}"/>
  <workbookPr showInkAnnotation="0" codeName="ThisWorkbook" autoCompressPictures="0"/>
  <mc:AlternateContent xmlns:mc="http://schemas.openxmlformats.org/markup-compatibility/2006">
    <mc:Choice Requires="x15">
      <x15ac:absPath xmlns:x15ac="http://schemas.microsoft.com/office/spreadsheetml/2010/11/ac" url="/Users/obaryosuke/Documents/BULL_data/master_excel/"/>
    </mc:Choice>
  </mc:AlternateContent>
  <bookViews>
    <workbookView xWindow="-4320" yWindow="-21140" windowWidth="38400" windowHeight="21140" tabRatio="943" activeTab="3"/>
  </bookViews>
  <sheets>
    <sheet name="確率の考え方" sheetId="110" r:id="rId1"/>
    <sheet name="Sheet1" sheetId="107" r:id="rId2"/>
    <sheet name="output" sheetId="103" r:id="rId3"/>
    <sheet name="input_586100" sheetId="157" r:id="rId4"/>
    <sheet name="tables_586100" sheetId="158" r:id="rId5"/>
    <sheet name="tables_settle_586100" sheetId="159" r:id="rId6"/>
    <sheet name="gacha_bonus_tables" sheetId="98" r:id="rId7"/>
    <sheet name="R6追加前" sheetId="111" r:id="rId8"/>
    <sheet name="R6開放" sheetId="112" r:id="rId9"/>
  </sheets>
  <externalReferences>
    <externalReference r:id="rId10"/>
  </externalReferences>
  <definedNames>
    <definedName name="_xlnm._FilterDatabase" localSheetId="6" hidden="1">gacha_bonus_tables!$A$1:$F$1</definedName>
    <definedName name="_xlnm._FilterDatabase" localSheetId="4" hidden="1">tables_586100!$A$1:$V$359</definedName>
    <definedName name="_xlnm._FilterDatabase" localSheetId="5" hidden="1">tables_settle_586100!$A$1:$V$157</definedName>
  </definedNames>
  <calcPr calcId="150001" concurrentCalc="0"/>
  <extLst>
    <ext xmlns:x14="http://schemas.microsoft.com/office/spreadsheetml/2009/9/main" uri="{79F54976-1DA5-4618-B147-4CDE4B953A38}">
      <x14:workbookPr defaultImageDpi="32767"/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N6" i="157" l="1"/>
  <c r="N5" i="157"/>
  <c r="I159" i="159"/>
  <c r="D159" i="159"/>
  <c r="I158" i="159"/>
  <c r="D158" i="159"/>
  <c r="I2" i="159"/>
  <c r="D2" i="159"/>
  <c r="I3" i="159"/>
  <c r="D3" i="159"/>
  <c r="I4" i="159"/>
  <c r="D4" i="159"/>
  <c r="I5" i="159"/>
  <c r="D5" i="159"/>
  <c r="I6" i="159"/>
  <c r="D6" i="159"/>
  <c r="I7" i="159"/>
  <c r="D7" i="159"/>
  <c r="I8" i="159"/>
  <c r="D8" i="159"/>
  <c r="I9" i="159"/>
  <c r="D9" i="159"/>
  <c r="I10" i="159"/>
  <c r="D10" i="159"/>
  <c r="I11" i="159"/>
  <c r="D11" i="159"/>
  <c r="I12" i="159"/>
  <c r="D12" i="159"/>
  <c r="I13" i="159"/>
  <c r="D13" i="159"/>
  <c r="I14" i="159"/>
  <c r="D14" i="159"/>
  <c r="I15" i="159"/>
  <c r="D15" i="159"/>
  <c r="I16" i="159"/>
  <c r="D16" i="159"/>
  <c r="I17" i="159"/>
  <c r="D17" i="159"/>
  <c r="I18" i="159"/>
  <c r="D18" i="159"/>
  <c r="I19" i="159"/>
  <c r="D19" i="159"/>
  <c r="I20" i="159"/>
  <c r="D20" i="159"/>
  <c r="I21" i="159"/>
  <c r="D21" i="159"/>
  <c r="I22" i="159"/>
  <c r="D22" i="159"/>
  <c r="I23" i="159"/>
  <c r="D23" i="159"/>
  <c r="I24" i="159"/>
  <c r="D24" i="159"/>
  <c r="I25" i="159"/>
  <c r="D25" i="159"/>
  <c r="I26" i="159"/>
  <c r="D26" i="159"/>
  <c r="I27" i="159"/>
  <c r="D27" i="159"/>
  <c r="I28" i="159"/>
  <c r="D28" i="159"/>
  <c r="I29" i="159"/>
  <c r="D29" i="159"/>
  <c r="I30" i="159"/>
  <c r="D30" i="159"/>
  <c r="I31" i="159"/>
  <c r="D31" i="159"/>
  <c r="I32" i="159"/>
  <c r="D32" i="159"/>
  <c r="I33" i="159"/>
  <c r="D33" i="159"/>
  <c r="I34" i="159"/>
  <c r="D34" i="159"/>
  <c r="I35" i="159"/>
  <c r="D35" i="159"/>
  <c r="I36" i="159"/>
  <c r="D36" i="159"/>
  <c r="I37" i="159"/>
  <c r="D37" i="159"/>
  <c r="I38" i="159"/>
  <c r="D38" i="159"/>
  <c r="I39" i="159"/>
  <c r="D39" i="159"/>
  <c r="I40" i="159"/>
  <c r="D40" i="159"/>
  <c r="I41" i="159"/>
  <c r="D41" i="159"/>
  <c r="I42" i="159"/>
  <c r="D42" i="159"/>
  <c r="I43" i="159"/>
  <c r="D43" i="159"/>
  <c r="I44" i="159"/>
  <c r="D44" i="159"/>
  <c r="I45" i="159"/>
  <c r="D45" i="159"/>
  <c r="I46" i="159"/>
  <c r="D46" i="159"/>
  <c r="I47" i="159"/>
  <c r="D47" i="159"/>
  <c r="I48" i="159"/>
  <c r="D48" i="159"/>
  <c r="I49" i="159"/>
  <c r="D49" i="159"/>
  <c r="I50" i="159"/>
  <c r="D50" i="159"/>
  <c r="I51" i="159"/>
  <c r="D51" i="159"/>
  <c r="I52" i="159"/>
  <c r="D52" i="159"/>
  <c r="I53" i="159"/>
  <c r="D53" i="159"/>
  <c r="I54" i="159"/>
  <c r="D54" i="159"/>
  <c r="I55" i="159"/>
  <c r="D55" i="159"/>
  <c r="I56" i="159"/>
  <c r="D56" i="159"/>
  <c r="I57" i="159"/>
  <c r="D57" i="159"/>
  <c r="I58" i="159"/>
  <c r="D58" i="159"/>
  <c r="I59" i="159"/>
  <c r="D59" i="159"/>
  <c r="I60" i="159"/>
  <c r="D60" i="159"/>
  <c r="I61" i="159"/>
  <c r="D61" i="159"/>
  <c r="I62" i="159"/>
  <c r="D62" i="159"/>
  <c r="I63" i="159"/>
  <c r="D63" i="159"/>
  <c r="I64" i="159"/>
  <c r="D64" i="159"/>
  <c r="I65" i="159"/>
  <c r="D65" i="159"/>
  <c r="I66" i="159"/>
  <c r="J66" i="159"/>
  <c r="D66" i="159"/>
  <c r="I67" i="159"/>
  <c r="J67" i="159"/>
  <c r="D67" i="159"/>
  <c r="I68" i="159"/>
  <c r="J68" i="159"/>
  <c r="D68" i="159"/>
  <c r="I69" i="159"/>
  <c r="J69" i="159"/>
  <c r="D69" i="159"/>
  <c r="I70" i="159"/>
  <c r="J70" i="159"/>
  <c r="D70" i="159"/>
  <c r="I71" i="159"/>
  <c r="J71" i="159"/>
  <c r="D71" i="159"/>
  <c r="I72" i="159"/>
  <c r="D72" i="159"/>
  <c r="I73" i="159"/>
  <c r="D73" i="159"/>
  <c r="I74" i="159"/>
  <c r="D74" i="159"/>
  <c r="I75" i="159"/>
  <c r="D75" i="159"/>
  <c r="I76" i="159"/>
  <c r="D76" i="159"/>
  <c r="I77" i="159"/>
  <c r="D77" i="159"/>
  <c r="I78" i="159"/>
  <c r="D78" i="159"/>
  <c r="I79" i="159"/>
  <c r="D79" i="159"/>
  <c r="I80" i="159"/>
  <c r="D80" i="159"/>
  <c r="I81" i="159"/>
  <c r="D81" i="159"/>
  <c r="I82" i="159"/>
  <c r="D82" i="159"/>
  <c r="I83" i="159"/>
  <c r="D83" i="159"/>
  <c r="I84" i="159"/>
  <c r="D84" i="159"/>
  <c r="I85" i="159"/>
  <c r="D85" i="159"/>
  <c r="I86" i="159"/>
  <c r="D86" i="159"/>
  <c r="I87" i="159"/>
  <c r="D87" i="159"/>
  <c r="I88" i="159"/>
  <c r="D88" i="159"/>
  <c r="I89" i="159"/>
  <c r="D89" i="159"/>
  <c r="I90" i="159"/>
  <c r="D90" i="159"/>
  <c r="I91" i="159"/>
  <c r="D91" i="159"/>
  <c r="I92" i="159"/>
  <c r="D92" i="159"/>
  <c r="I93" i="159"/>
  <c r="D93" i="159"/>
  <c r="I94" i="159"/>
  <c r="D94" i="159"/>
  <c r="I95" i="159"/>
  <c r="D95" i="159"/>
  <c r="I96" i="159"/>
  <c r="D96" i="159"/>
  <c r="I97" i="159"/>
  <c r="D97" i="159"/>
  <c r="I98" i="159"/>
  <c r="D98" i="159"/>
  <c r="I99" i="159"/>
  <c r="D99" i="159"/>
  <c r="I100" i="159"/>
  <c r="D100" i="159"/>
  <c r="I101" i="159"/>
  <c r="D101" i="159"/>
  <c r="I102" i="159"/>
  <c r="D102" i="159"/>
  <c r="I103" i="159"/>
  <c r="D103" i="159"/>
  <c r="I104" i="159"/>
  <c r="D104" i="159"/>
  <c r="I105" i="159"/>
  <c r="D105" i="159"/>
  <c r="I106" i="159"/>
  <c r="D106" i="159"/>
  <c r="I107" i="159"/>
  <c r="D107" i="159"/>
  <c r="I108" i="159"/>
  <c r="D108" i="159"/>
  <c r="I109" i="159"/>
  <c r="D109" i="159"/>
  <c r="I110" i="159"/>
  <c r="D110" i="159"/>
  <c r="I111" i="159"/>
  <c r="D111" i="159"/>
  <c r="I112" i="159"/>
  <c r="D112" i="159"/>
  <c r="I113" i="159"/>
  <c r="D113" i="159"/>
  <c r="I114" i="159"/>
  <c r="D114" i="159"/>
  <c r="I115" i="159"/>
  <c r="D115" i="159"/>
  <c r="I116" i="159"/>
  <c r="D116" i="159"/>
  <c r="I117" i="159"/>
  <c r="D117" i="159"/>
  <c r="I118" i="159"/>
  <c r="D118" i="159"/>
  <c r="I119" i="159"/>
  <c r="D119" i="159"/>
  <c r="I120" i="159"/>
  <c r="D120" i="159"/>
  <c r="I121" i="159"/>
  <c r="D121" i="159"/>
  <c r="I122" i="159"/>
  <c r="D122" i="159"/>
  <c r="I123" i="159"/>
  <c r="D123" i="159"/>
  <c r="I124" i="159"/>
  <c r="D124" i="159"/>
  <c r="I125" i="159"/>
  <c r="D125" i="159"/>
  <c r="I126" i="159"/>
  <c r="D126" i="159"/>
  <c r="I127" i="159"/>
  <c r="D127" i="159"/>
  <c r="I128" i="159"/>
  <c r="D128" i="159"/>
  <c r="I129" i="159"/>
  <c r="D129" i="159"/>
  <c r="I130" i="159"/>
  <c r="D130" i="159"/>
  <c r="I131" i="159"/>
  <c r="D131" i="159"/>
  <c r="I132" i="159"/>
  <c r="D132" i="159"/>
  <c r="I133" i="159"/>
  <c r="D133" i="159"/>
  <c r="I134" i="159"/>
  <c r="D134" i="159"/>
  <c r="I135" i="159"/>
  <c r="D135" i="159"/>
  <c r="I136" i="159"/>
  <c r="D136" i="159"/>
  <c r="I137" i="159"/>
  <c r="D137" i="159"/>
  <c r="I138" i="159"/>
  <c r="D138" i="159"/>
  <c r="I139" i="159"/>
  <c r="D139" i="159"/>
  <c r="I140" i="159"/>
  <c r="D140" i="159"/>
  <c r="I141" i="159"/>
  <c r="D141" i="159"/>
  <c r="I142" i="159"/>
  <c r="D142" i="159"/>
  <c r="I143" i="159"/>
  <c r="D143" i="159"/>
  <c r="I144" i="159"/>
  <c r="D144" i="159"/>
  <c r="I145" i="159"/>
  <c r="D145" i="159"/>
  <c r="I146" i="159"/>
  <c r="D146" i="159"/>
  <c r="I147" i="159"/>
  <c r="D147" i="159"/>
  <c r="I148" i="159"/>
  <c r="D148" i="159"/>
  <c r="I149" i="159"/>
  <c r="D149" i="159"/>
  <c r="I150" i="159"/>
  <c r="D150" i="159"/>
  <c r="I151" i="159"/>
  <c r="D151" i="159"/>
  <c r="I152" i="159"/>
  <c r="D152" i="159"/>
  <c r="I153" i="159"/>
  <c r="D153" i="159"/>
  <c r="I154" i="159"/>
  <c r="D154" i="159"/>
  <c r="I155" i="159"/>
  <c r="D155" i="159"/>
  <c r="I156" i="159"/>
  <c r="D156" i="159"/>
  <c r="I157" i="159"/>
  <c r="D157" i="159"/>
  <c r="X2" i="159"/>
  <c r="X3" i="159"/>
  <c r="X4" i="159"/>
  <c r="X5" i="159"/>
  <c r="Y4" i="159"/>
  <c r="O159" i="159"/>
  <c r="Y2" i="159"/>
  <c r="O2" i="159"/>
  <c r="O3" i="159"/>
  <c r="O4" i="159"/>
  <c r="O5" i="159"/>
  <c r="O6" i="159"/>
  <c r="O7" i="159"/>
  <c r="O8" i="159"/>
  <c r="O9" i="159"/>
  <c r="O10" i="159"/>
  <c r="O11" i="159"/>
  <c r="O12" i="159"/>
  <c r="O13" i="159"/>
  <c r="O14" i="159"/>
  <c r="O15" i="159"/>
  <c r="O16" i="159"/>
  <c r="O17" i="159"/>
  <c r="O18" i="159"/>
  <c r="O19" i="159"/>
  <c r="O20" i="159"/>
  <c r="O21" i="159"/>
  <c r="O22" i="159"/>
  <c r="O23" i="159"/>
  <c r="O24" i="159"/>
  <c r="O25" i="159"/>
  <c r="O26" i="159"/>
  <c r="O27" i="159"/>
  <c r="O28" i="159"/>
  <c r="O29" i="159"/>
  <c r="O30" i="159"/>
  <c r="O31" i="159"/>
  <c r="O32" i="159"/>
  <c r="O33" i="159"/>
  <c r="Y3" i="159"/>
  <c r="O34" i="159"/>
  <c r="O35" i="159"/>
  <c r="O36" i="159"/>
  <c r="O37" i="159"/>
  <c r="O38" i="159"/>
  <c r="O39" i="159"/>
  <c r="O40" i="159"/>
  <c r="O41" i="159"/>
  <c r="O42" i="159"/>
  <c r="O43" i="159"/>
  <c r="O44" i="159"/>
  <c r="O45" i="159"/>
  <c r="O46" i="159"/>
  <c r="O47" i="159"/>
  <c r="O48" i="159"/>
  <c r="O49" i="159"/>
  <c r="O50" i="159"/>
  <c r="O51" i="159"/>
  <c r="O52" i="159"/>
  <c r="O53" i="159"/>
  <c r="O54" i="159"/>
  <c r="O55" i="159"/>
  <c r="O56" i="159"/>
  <c r="O57" i="159"/>
  <c r="O58" i="159"/>
  <c r="O59" i="159"/>
  <c r="O60" i="159"/>
  <c r="O61" i="159"/>
  <c r="O62" i="159"/>
  <c r="O63" i="159"/>
  <c r="O64" i="159"/>
  <c r="O65" i="159"/>
  <c r="O66" i="159"/>
  <c r="O67" i="159"/>
  <c r="O68" i="159"/>
  <c r="O69" i="159"/>
  <c r="O70" i="159"/>
  <c r="O71" i="159"/>
  <c r="O72" i="159"/>
  <c r="O73" i="159"/>
  <c r="O74" i="159"/>
  <c r="O75" i="159"/>
  <c r="O76" i="159"/>
  <c r="O77" i="159"/>
  <c r="O78" i="159"/>
  <c r="O79" i="159"/>
  <c r="O80" i="159"/>
  <c r="O81" i="159"/>
  <c r="O82" i="159"/>
  <c r="O83" i="159"/>
  <c r="O84" i="159"/>
  <c r="O85" i="159"/>
  <c r="O86" i="159"/>
  <c r="O87" i="159"/>
  <c r="O88" i="159"/>
  <c r="O89" i="159"/>
  <c r="O90" i="159"/>
  <c r="O91" i="159"/>
  <c r="O92" i="159"/>
  <c r="O93" i="159"/>
  <c r="O94" i="159"/>
  <c r="O95" i="159"/>
  <c r="O96" i="159"/>
  <c r="O97" i="159"/>
  <c r="O98" i="159"/>
  <c r="O99" i="159"/>
  <c r="O100" i="159"/>
  <c r="O101" i="159"/>
  <c r="O102" i="159"/>
  <c r="O103" i="159"/>
  <c r="O104" i="159"/>
  <c r="O105" i="159"/>
  <c r="O106" i="159"/>
  <c r="O107" i="159"/>
  <c r="O108" i="159"/>
  <c r="O109" i="159"/>
  <c r="O110" i="159"/>
  <c r="O111" i="159"/>
  <c r="O112" i="159"/>
  <c r="O113" i="159"/>
  <c r="O114" i="159"/>
  <c r="O115" i="159"/>
  <c r="O116" i="159"/>
  <c r="O117" i="159"/>
  <c r="O118" i="159"/>
  <c r="O119" i="159"/>
  <c r="O120" i="159"/>
  <c r="O121" i="159"/>
  <c r="O122" i="159"/>
  <c r="O123" i="159"/>
  <c r="O124" i="159"/>
  <c r="O125" i="159"/>
  <c r="O126" i="159"/>
  <c r="O127" i="159"/>
  <c r="O128" i="159"/>
  <c r="O129" i="159"/>
  <c r="O130" i="159"/>
  <c r="O131" i="159"/>
  <c r="O132" i="159"/>
  <c r="O133" i="159"/>
  <c r="O134" i="159"/>
  <c r="O135" i="159"/>
  <c r="O136" i="159"/>
  <c r="O137" i="159"/>
  <c r="O138" i="159"/>
  <c r="O139" i="159"/>
  <c r="O140" i="159"/>
  <c r="O141" i="159"/>
  <c r="O142" i="159"/>
  <c r="O143" i="159"/>
  <c r="O144" i="159"/>
  <c r="O145" i="159"/>
  <c r="O146" i="159"/>
  <c r="O147" i="159"/>
  <c r="O148" i="159"/>
  <c r="O149" i="159"/>
  <c r="O150" i="159"/>
  <c r="O151" i="159"/>
  <c r="O152" i="159"/>
  <c r="O153" i="159"/>
  <c r="O154" i="159"/>
  <c r="O155" i="159"/>
  <c r="O156" i="159"/>
  <c r="O157" i="159"/>
  <c r="O158" i="159"/>
  <c r="P159" i="159"/>
  <c r="N159" i="159"/>
  <c r="M159" i="159"/>
  <c r="L159" i="159"/>
  <c r="K159" i="159"/>
  <c r="J159" i="159"/>
  <c r="H159" i="159"/>
  <c r="F159" i="159"/>
  <c r="E159" i="159"/>
  <c r="C159" i="159"/>
  <c r="P158" i="159"/>
  <c r="N158" i="159"/>
  <c r="M158" i="159"/>
  <c r="L158" i="159"/>
  <c r="K158" i="159"/>
  <c r="J158" i="159"/>
  <c r="H158" i="159"/>
  <c r="F158" i="159"/>
  <c r="E158" i="159"/>
  <c r="C158" i="159"/>
  <c r="A2" i="157"/>
  <c r="A159" i="159"/>
  <c r="A158" i="159"/>
  <c r="I2" i="158"/>
  <c r="J2" i="158"/>
  <c r="D2" i="158"/>
  <c r="E2" i="158"/>
  <c r="F2" i="158"/>
  <c r="C2" i="158"/>
  <c r="I3" i="158"/>
  <c r="J3" i="158"/>
  <c r="D3" i="158"/>
  <c r="E3" i="158"/>
  <c r="F3" i="158"/>
  <c r="C3" i="158"/>
  <c r="I4" i="158"/>
  <c r="J4" i="158"/>
  <c r="D4" i="158"/>
  <c r="E4" i="158"/>
  <c r="F4" i="158"/>
  <c r="C4" i="158"/>
  <c r="I5" i="158"/>
  <c r="J5" i="158"/>
  <c r="D5" i="158"/>
  <c r="E5" i="158"/>
  <c r="F5" i="158"/>
  <c r="C5" i="158"/>
  <c r="I6" i="158"/>
  <c r="J6" i="158"/>
  <c r="D6" i="158"/>
  <c r="E6" i="158"/>
  <c r="F6" i="158"/>
  <c r="C6" i="158"/>
  <c r="I7" i="158"/>
  <c r="J7" i="158"/>
  <c r="D7" i="158"/>
  <c r="E7" i="158"/>
  <c r="F7" i="158"/>
  <c r="C7" i="158"/>
  <c r="I8" i="158"/>
  <c r="J8" i="158"/>
  <c r="D8" i="158"/>
  <c r="E8" i="158"/>
  <c r="F8" i="158"/>
  <c r="C8" i="158"/>
  <c r="I9" i="158"/>
  <c r="J9" i="158"/>
  <c r="D9" i="158"/>
  <c r="E9" i="158"/>
  <c r="F9" i="158"/>
  <c r="C9" i="158"/>
  <c r="I10" i="158"/>
  <c r="J10" i="158"/>
  <c r="D10" i="158"/>
  <c r="E10" i="158"/>
  <c r="F10" i="158"/>
  <c r="C10" i="158"/>
  <c r="I11" i="158"/>
  <c r="J11" i="158"/>
  <c r="D11" i="158"/>
  <c r="E11" i="158"/>
  <c r="F11" i="158"/>
  <c r="C11" i="158"/>
  <c r="I12" i="158"/>
  <c r="J12" i="158"/>
  <c r="D12" i="158"/>
  <c r="E12" i="158"/>
  <c r="F12" i="158"/>
  <c r="C12" i="158"/>
  <c r="I13" i="158"/>
  <c r="J13" i="158"/>
  <c r="D13" i="158"/>
  <c r="E13" i="158"/>
  <c r="F13" i="158"/>
  <c r="C13" i="158"/>
  <c r="I14" i="158"/>
  <c r="J14" i="158"/>
  <c r="D14" i="158"/>
  <c r="E14" i="158"/>
  <c r="F14" i="158"/>
  <c r="C14" i="158"/>
  <c r="I15" i="158"/>
  <c r="J15" i="158"/>
  <c r="D15" i="158"/>
  <c r="E15" i="158"/>
  <c r="F15" i="158"/>
  <c r="C15" i="158"/>
  <c r="I16" i="158"/>
  <c r="J16" i="158"/>
  <c r="D16" i="158"/>
  <c r="E16" i="158"/>
  <c r="F16" i="158"/>
  <c r="C16" i="158"/>
  <c r="I17" i="158"/>
  <c r="J17" i="158"/>
  <c r="D17" i="158"/>
  <c r="E17" i="158"/>
  <c r="F17" i="158"/>
  <c r="C17" i="158"/>
  <c r="I18" i="158"/>
  <c r="J18" i="158"/>
  <c r="D18" i="158"/>
  <c r="E18" i="158"/>
  <c r="F18" i="158"/>
  <c r="C18" i="158"/>
  <c r="I19" i="158"/>
  <c r="J19" i="158"/>
  <c r="D19" i="158"/>
  <c r="E19" i="158"/>
  <c r="F19" i="158"/>
  <c r="C19" i="158"/>
  <c r="I20" i="158"/>
  <c r="J20" i="158"/>
  <c r="D20" i="158"/>
  <c r="E20" i="158"/>
  <c r="F20" i="158"/>
  <c r="C20" i="158"/>
  <c r="I21" i="158"/>
  <c r="J21" i="158"/>
  <c r="D21" i="158"/>
  <c r="E21" i="158"/>
  <c r="F21" i="158"/>
  <c r="C21" i="158"/>
  <c r="I22" i="158"/>
  <c r="J22" i="158"/>
  <c r="D22" i="158"/>
  <c r="E22" i="158"/>
  <c r="F22" i="158"/>
  <c r="C22" i="158"/>
  <c r="I23" i="158"/>
  <c r="J23" i="158"/>
  <c r="D23" i="158"/>
  <c r="E23" i="158"/>
  <c r="F23" i="158"/>
  <c r="C23" i="158"/>
  <c r="I24" i="158"/>
  <c r="J24" i="158"/>
  <c r="D24" i="158"/>
  <c r="E24" i="158"/>
  <c r="F24" i="158"/>
  <c r="C24" i="158"/>
  <c r="I25" i="158"/>
  <c r="J25" i="158"/>
  <c r="D25" i="158"/>
  <c r="E25" i="158"/>
  <c r="F25" i="158"/>
  <c r="C25" i="158"/>
  <c r="I26" i="158"/>
  <c r="J26" i="158"/>
  <c r="D26" i="158"/>
  <c r="E26" i="158"/>
  <c r="F26" i="158"/>
  <c r="C26" i="158"/>
  <c r="I27" i="158"/>
  <c r="J27" i="158"/>
  <c r="D27" i="158"/>
  <c r="E27" i="158"/>
  <c r="F27" i="158"/>
  <c r="C27" i="158"/>
  <c r="I28" i="158"/>
  <c r="J28" i="158"/>
  <c r="D28" i="158"/>
  <c r="E28" i="158"/>
  <c r="F28" i="158"/>
  <c r="C28" i="158"/>
  <c r="I29" i="158"/>
  <c r="J29" i="158"/>
  <c r="D29" i="158"/>
  <c r="E29" i="158"/>
  <c r="F29" i="158"/>
  <c r="C29" i="158"/>
  <c r="I30" i="158"/>
  <c r="J30" i="158"/>
  <c r="D30" i="158"/>
  <c r="E30" i="158"/>
  <c r="F30" i="158"/>
  <c r="C30" i="158"/>
  <c r="I31" i="158"/>
  <c r="J31" i="158"/>
  <c r="D31" i="158"/>
  <c r="E31" i="158"/>
  <c r="F31" i="158"/>
  <c r="C31" i="158"/>
  <c r="I32" i="158"/>
  <c r="J32" i="158"/>
  <c r="D32" i="158"/>
  <c r="E32" i="158"/>
  <c r="F32" i="158"/>
  <c r="C32" i="158"/>
  <c r="I33" i="158"/>
  <c r="J33" i="158"/>
  <c r="D33" i="158"/>
  <c r="E33" i="158"/>
  <c r="F33" i="158"/>
  <c r="C33" i="158"/>
  <c r="I34" i="158"/>
  <c r="J34" i="158"/>
  <c r="D34" i="158"/>
  <c r="E34" i="158"/>
  <c r="F34" i="158"/>
  <c r="C34" i="158"/>
  <c r="I35" i="158"/>
  <c r="J35" i="158"/>
  <c r="D35" i="158"/>
  <c r="E35" i="158"/>
  <c r="F35" i="158"/>
  <c r="C35" i="158"/>
  <c r="I36" i="158"/>
  <c r="J36" i="158"/>
  <c r="D36" i="158"/>
  <c r="E36" i="158"/>
  <c r="F36" i="158"/>
  <c r="C36" i="158"/>
  <c r="I37" i="158"/>
  <c r="J37" i="158"/>
  <c r="D37" i="158"/>
  <c r="E37" i="158"/>
  <c r="F37" i="158"/>
  <c r="C37" i="158"/>
  <c r="I38" i="158"/>
  <c r="J38" i="158"/>
  <c r="D38" i="158"/>
  <c r="E38" i="158"/>
  <c r="F38" i="158"/>
  <c r="C38" i="158"/>
  <c r="I39" i="158"/>
  <c r="J39" i="158"/>
  <c r="D39" i="158"/>
  <c r="E39" i="158"/>
  <c r="F39" i="158"/>
  <c r="C39" i="158"/>
  <c r="I40" i="158"/>
  <c r="J40" i="158"/>
  <c r="D40" i="158"/>
  <c r="E40" i="158"/>
  <c r="F40" i="158"/>
  <c r="C40" i="158"/>
  <c r="I41" i="158"/>
  <c r="J41" i="158"/>
  <c r="D41" i="158"/>
  <c r="E41" i="158"/>
  <c r="F41" i="158"/>
  <c r="C41" i="158"/>
  <c r="I42" i="158"/>
  <c r="D42" i="158"/>
  <c r="J42" i="158"/>
  <c r="E42" i="158"/>
  <c r="F42" i="158"/>
  <c r="C42" i="158"/>
  <c r="I43" i="158"/>
  <c r="D43" i="158"/>
  <c r="J43" i="158"/>
  <c r="E43" i="158"/>
  <c r="F43" i="158"/>
  <c r="C43" i="158"/>
  <c r="I44" i="158"/>
  <c r="D44" i="158"/>
  <c r="J44" i="158"/>
  <c r="E44" i="158"/>
  <c r="F44" i="158"/>
  <c r="C44" i="158"/>
  <c r="I45" i="158"/>
  <c r="D45" i="158"/>
  <c r="J45" i="158"/>
  <c r="E45" i="158"/>
  <c r="F45" i="158"/>
  <c r="C45" i="158"/>
  <c r="I46" i="158"/>
  <c r="D46" i="158"/>
  <c r="J46" i="158"/>
  <c r="E46" i="158"/>
  <c r="F46" i="158"/>
  <c r="C46" i="158"/>
  <c r="I47" i="158"/>
  <c r="D47" i="158"/>
  <c r="J47" i="158"/>
  <c r="E47" i="158"/>
  <c r="F47" i="158"/>
  <c r="C47" i="158"/>
  <c r="I48" i="158"/>
  <c r="D48" i="158"/>
  <c r="J48" i="158"/>
  <c r="E48" i="158"/>
  <c r="F48" i="158"/>
  <c r="C48" i="158"/>
  <c r="I49" i="158"/>
  <c r="D49" i="158"/>
  <c r="J49" i="158"/>
  <c r="E49" i="158"/>
  <c r="F49" i="158"/>
  <c r="C49" i="158"/>
  <c r="I50" i="158"/>
  <c r="D50" i="158"/>
  <c r="J50" i="158"/>
  <c r="E50" i="158"/>
  <c r="F50" i="158"/>
  <c r="C50" i="158"/>
  <c r="I51" i="158"/>
  <c r="D51" i="158"/>
  <c r="J51" i="158"/>
  <c r="E51" i="158"/>
  <c r="F51" i="158"/>
  <c r="C51" i="158"/>
  <c r="I52" i="158"/>
  <c r="D52" i="158"/>
  <c r="J52" i="158"/>
  <c r="E52" i="158"/>
  <c r="F52" i="158"/>
  <c r="C52" i="158"/>
  <c r="I53" i="158"/>
  <c r="D53" i="158"/>
  <c r="J53" i="158"/>
  <c r="E53" i="158"/>
  <c r="F53" i="158"/>
  <c r="C53" i="158"/>
  <c r="I54" i="158"/>
  <c r="D54" i="158"/>
  <c r="J54" i="158"/>
  <c r="E54" i="158"/>
  <c r="F54" i="158"/>
  <c r="C54" i="158"/>
  <c r="I55" i="158"/>
  <c r="D55" i="158"/>
  <c r="J55" i="158"/>
  <c r="E55" i="158"/>
  <c r="F55" i="158"/>
  <c r="C55" i="158"/>
  <c r="I56" i="158"/>
  <c r="D56" i="158"/>
  <c r="J56" i="158"/>
  <c r="E56" i="158"/>
  <c r="F56" i="158"/>
  <c r="C56" i="158"/>
  <c r="I57" i="158"/>
  <c r="D57" i="158"/>
  <c r="J57" i="158"/>
  <c r="E57" i="158"/>
  <c r="F57" i="158"/>
  <c r="C57" i="158"/>
  <c r="I58" i="158"/>
  <c r="D58" i="158"/>
  <c r="J58" i="158"/>
  <c r="E58" i="158"/>
  <c r="F58" i="158"/>
  <c r="C58" i="158"/>
  <c r="I59" i="158"/>
  <c r="D59" i="158"/>
  <c r="J59" i="158"/>
  <c r="E59" i="158"/>
  <c r="F59" i="158"/>
  <c r="C59" i="158"/>
  <c r="I60" i="158"/>
  <c r="D60" i="158"/>
  <c r="J60" i="158"/>
  <c r="E60" i="158"/>
  <c r="F60" i="158"/>
  <c r="C60" i="158"/>
  <c r="I61" i="158"/>
  <c r="D61" i="158"/>
  <c r="J61" i="158"/>
  <c r="E61" i="158"/>
  <c r="F61" i="158"/>
  <c r="C61" i="158"/>
  <c r="I62" i="158"/>
  <c r="D62" i="158"/>
  <c r="J62" i="158"/>
  <c r="E62" i="158"/>
  <c r="F62" i="158"/>
  <c r="C62" i="158"/>
  <c r="I63" i="158"/>
  <c r="D63" i="158"/>
  <c r="J63" i="158"/>
  <c r="E63" i="158"/>
  <c r="F63" i="158"/>
  <c r="C63" i="158"/>
  <c r="I64" i="158"/>
  <c r="D64" i="158"/>
  <c r="J64" i="158"/>
  <c r="E64" i="158"/>
  <c r="F64" i="158"/>
  <c r="C64" i="158"/>
  <c r="I65" i="158"/>
  <c r="D65" i="158"/>
  <c r="J65" i="158"/>
  <c r="E65" i="158"/>
  <c r="F65" i="158"/>
  <c r="C65" i="158"/>
  <c r="I66" i="158"/>
  <c r="D66" i="158"/>
  <c r="J66" i="158"/>
  <c r="E66" i="158"/>
  <c r="F66" i="158"/>
  <c r="C66" i="158"/>
  <c r="I67" i="158"/>
  <c r="D67" i="158"/>
  <c r="J67" i="158"/>
  <c r="E67" i="158"/>
  <c r="F67" i="158"/>
  <c r="C67" i="158"/>
  <c r="I68" i="158"/>
  <c r="D68" i="158"/>
  <c r="J68" i="158"/>
  <c r="E68" i="158"/>
  <c r="F68" i="158"/>
  <c r="C68" i="158"/>
  <c r="I69" i="158"/>
  <c r="D69" i="158"/>
  <c r="J69" i="158"/>
  <c r="E69" i="158"/>
  <c r="F69" i="158"/>
  <c r="C69" i="158"/>
  <c r="I70" i="158"/>
  <c r="D70" i="158"/>
  <c r="J70" i="158"/>
  <c r="E70" i="158"/>
  <c r="F70" i="158"/>
  <c r="C70" i="158"/>
  <c r="I71" i="158"/>
  <c r="D71" i="158"/>
  <c r="J71" i="158"/>
  <c r="E71" i="158"/>
  <c r="F71" i="158"/>
  <c r="C71" i="158"/>
  <c r="I72" i="158"/>
  <c r="D72" i="158"/>
  <c r="J72" i="158"/>
  <c r="E72" i="158"/>
  <c r="F72" i="158"/>
  <c r="C72" i="158"/>
  <c r="I73" i="158"/>
  <c r="D73" i="158"/>
  <c r="J73" i="158"/>
  <c r="E73" i="158"/>
  <c r="F73" i="158"/>
  <c r="C73" i="158"/>
  <c r="I74" i="158"/>
  <c r="D74" i="158"/>
  <c r="J74" i="158"/>
  <c r="E74" i="158"/>
  <c r="F74" i="158"/>
  <c r="C74" i="158"/>
  <c r="I75" i="158"/>
  <c r="D75" i="158"/>
  <c r="J75" i="158"/>
  <c r="E75" i="158"/>
  <c r="F75" i="158"/>
  <c r="C75" i="158"/>
  <c r="I76" i="158"/>
  <c r="D76" i="158"/>
  <c r="J76" i="158"/>
  <c r="E76" i="158"/>
  <c r="F76" i="158"/>
  <c r="C76" i="158"/>
  <c r="I77" i="158"/>
  <c r="D77" i="158"/>
  <c r="J77" i="158"/>
  <c r="E77" i="158"/>
  <c r="F77" i="158"/>
  <c r="C77" i="158"/>
  <c r="I78" i="158"/>
  <c r="D78" i="158"/>
  <c r="J78" i="158"/>
  <c r="E78" i="158"/>
  <c r="F78" i="158"/>
  <c r="C78" i="158"/>
  <c r="I79" i="158"/>
  <c r="D79" i="158"/>
  <c r="J79" i="158"/>
  <c r="E79" i="158"/>
  <c r="F79" i="158"/>
  <c r="C79" i="158"/>
  <c r="I80" i="158"/>
  <c r="D80" i="158"/>
  <c r="J80" i="158"/>
  <c r="E80" i="158"/>
  <c r="F80" i="158"/>
  <c r="C80" i="158"/>
  <c r="I81" i="158"/>
  <c r="D81" i="158"/>
  <c r="J81" i="158"/>
  <c r="E81" i="158"/>
  <c r="F81" i="158"/>
  <c r="C81" i="158"/>
  <c r="I82" i="158"/>
  <c r="D82" i="158"/>
  <c r="J82" i="158"/>
  <c r="E82" i="158"/>
  <c r="F82" i="158"/>
  <c r="C82" i="158"/>
  <c r="I83" i="158"/>
  <c r="D83" i="158"/>
  <c r="J83" i="158"/>
  <c r="E83" i="158"/>
  <c r="F83" i="158"/>
  <c r="C83" i="158"/>
  <c r="I84" i="158"/>
  <c r="D84" i="158"/>
  <c r="J84" i="158"/>
  <c r="E84" i="158"/>
  <c r="F84" i="158"/>
  <c r="C84" i="158"/>
  <c r="I85" i="158"/>
  <c r="D85" i="158"/>
  <c r="J85" i="158"/>
  <c r="E85" i="158"/>
  <c r="F85" i="158"/>
  <c r="C85" i="158"/>
  <c r="I86" i="158"/>
  <c r="D86" i="158"/>
  <c r="J86" i="158"/>
  <c r="E86" i="158"/>
  <c r="F86" i="158"/>
  <c r="C86" i="158"/>
  <c r="I87" i="158"/>
  <c r="D87" i="158"/>
  <c r="J87" i="158"/>
  <c r="E87" i="158"/>
  <c r="F87" i="158"/>
  <c r="C87" i="158"/>
  <c r="I88" i="158"/>
  <c r="D88" i="158"/>
  <c r="J88" i="158"/>
  <c r="E88" i="158"/>
  <c r="F88" i="158"/>
  <c r="C88" i="158"/>
  <c r="I89" i="158"/>
  <c r="D89" i="158"/>
  <c r="J89" i="158"/>
  <c r="E89" i="158"/>
  <c r="F89" i="158"/>
  <c r="C89" i="158"/>
  <c r="I90" i="158"/>
  <c r="D90" i="158"/>
  <c r="J90" i="158"/>
  <c r="E90" i="158"/>
  <c r="F90" i="158"/>
  <c r="C90" i="158"/>
  <c r="I91" i="158"/>
  <c r="D91" i="158"/>
  <c r="J91" i="158"/>
  <c r="E91" i="158"/>
  <c r="F91" i="158"/>
  <c r="C91" i="158"/>
  <c r="I92" i="158"/>
  <c r="D92" i="158"/>
  <c r="J92" i="158"/>
  <c r="E92" i="158"/>
  <c r="F92" i="158"/>
  <c r="C92" i="158"/>
  <c r="I93" i="158"/>
  <c r="D93" i="158"/>
  <c r="J93" i="158"/>
  <c r="E93" i="158"/>
  <c r="F93" i="158"/>
  <c r="C93" i="158"/>
  <c r="I94" i="158"/>
  <c r="D94" i="158"/>
  <c r="J94" i="158"/>
  <c r="E94" i="158"/>
  <c r="F94" i="158"/>
  <c r="C94" i="158"/>
  <c r="I95" i="158"/>
  <c r="D95" i="158"/>
  <c r="J95" i="158"/>
  <c r="E95" i="158"/>
  <c r="F95" i="158"/>
  <c r="C95" i="158"/>
  <c r="I96" i="158"/>
  <c r="D96" i="158"/>
  <c r="J96" i="158"/>
  <c r="E96" i="158"/>
  <c r="F96" i="158"/>
  <c r="C96" i="158"/>
  <c r="I97" i="158"/>
  <c r="D97" i="158"/>
  <c r="J97" i="158"/>
  <c r="E97" i="158"/>
  <c r="F97" i="158"/>
  <c r="C97" i="158"/>
  <c r="I98" i="158"/>
  <c r="D98" i="158"/>
  <c r="J98" i="158"/>
  <c r="E98" i="158"/>
  <c r="F98" i="158"/>
  <c r="C98" i="158"/>
  <c r="I99" i="158"/>
  <c r="D99" i="158"/>
  <c r="J99" i="158"/>
  <c r="E99" i="158"/>
  <c r="F99" i="158"/>
  <c r="C99" i="158"/>
  <c r="I100" i="158"/>
  <c r="D100" i="158"/>
  <c r="J100" i="158"/>
  <c r="E100" i="158"/>
  <c r="F100" i="158"/>
  <c r="C100" i="158"/>
  <c r="I101" i="158"/>
  <c r="D101" i="158"/>
  <c r="J101" i="158"/>
  <c r="E101" i="158"/>
  <c r="F101" i="158"/>
  <c r="C101" i="158"/>
  <c r="I102" i="158"/>
  <c r="D102" i="158"/>
  <c r="J102" i="158"/>
  <c r="E102" i="158"/>
  <c r="F102" i="158"/>
  <c r="C102" i="158"/>
  <c r="I103" i="158"/>
  <c r="D103" i="158"/>
  <c r="J103" i="158"/>
  <c r="E103" i="158"/>
  <c r="F103" i="158"/>
  <c r="C103" i="158"/>
  <c r="I104" i="158"/>
  <c r="D104" i="158"/>
  <c r="J104" i="158"/>
  <c r="E104" i="158"/>
  <c r="F104" i="158"/>
  <c r="C104" i="158"/>
  <c r="I105" i="158"/>
  <c r="D105" i="158"/>
  <c r="J105" i="158"/>
  <c r="E105" i="158"/>
  <c r="F105" i="158"/>
  <c r="C105" i="158"/>
  <c r="I106" i="158"/>
  <c r="D106" i="158"/>
  <c r="J106" i="158"/>
  <c r="E106" i="158"/>
  <c r="F106" i="158"/>
  <c r="C106" i="158"/>
  <c r="I107" i="158"/>
  <c r="D107" i="158"/>
  <c r="J107" i="158"/>
  <c r="E107" i="158"/>
  <c r="F107" i="158"/>
  <c r="C107" i="158"/>
  <c r="I108" i="158"/>
  <c r="D108" i="158"/>
  <c r="J108" i="158"/>
  <c r="E108" i="158"/>
  <c r="F108" i="158"/>
  <c r="C108" i="158"/>
  <c r="I109" i="158"/>
  <c r="D109" i="158"/>
  <c r="J109" i="158"/>
  <c r="E109" i="158"/>
  <c r="F109" i="158"/>
  <c r="C109" i="158"/>
  <c r="I110" i="158"/>
  <c r="D110" i="158"/>
  <c r="J110" i="158"/>
  <c r="E110" i="158"/>
  <c r="F110" i="158"/>
  <c r="C110" i="158"/>
  <c r="I111" i="158"/>
  <c r="D111" i="158"/>
  <c r="J111" i="158"/>
  <c r="E111" i="158"/>
  <c r="F111" i="158"/>
  <c r="C111" i="158"/>
  <c r="I112" i="158"/>
  <c r="D112" i="158"/>
  <c r="J112" i="158"/>
  <c r="E112" i="158"/>
  <c r="F112" i="158"/>
  <c r="C112" i="158"/>
  <c r="I113" i="158"/>
  <c r="D113" i="158"/>
  <c r="J113" i="158"/>
  <c r="E113" i="158"/>
  <c r="F113" i="158"/>
  <c r="C113" i="158"/>
  <c r="I114" i="158"/>
  <c r="D114" i="158"/>
  <c r="J114" i="158"/>
  <c r="E114" i="158"/>
  <c r="F114" i="158"/>
  <c r="C114" i="158"/>
  <c r="I115" i="158"/>
  <c r="D115" i="158"/>
  <c r="J115" i="158"/>
  <c r="E115" i="158"/>
  <c r="F115" i="158"/>
  <c r="C115" i="158"/>
  <c r="I116" i="158"/>
  <c r="D116" i="158"/>
  <c r="J116" i="158"/>
  <c r="E116" i="158"/>
  <c r="F116" i="158"/>
  <c r="C116" i="158"/>
  <c r="I117" i="158"/>
  <c r="D117" i="158"/>
  <c r="J117" i="158"/>
  <c r="E117" i="158"/>
  <c r="F117" i="158"/>
  <c r="C117" i="158"/>
  <c r="I118" i="158"/>
  <c r="D118" i="158"/>
  <c r="J118" i="158"/>
  <c r="E118" i="158"/>
  <c r="F118" i="158"/>
  <c r="C118" i="158"/>
  <c r="I119" i="158"/>
  <c r="D119" i="158"/>
  <c r="J119" i="158"/>
  <c r="E119" i="158"/>
  <c r="F119" i="158"/>
  <c r="C119" i="158"/>
  <c r="I120" i="158"/>
  <c r="D120" i="158"/>
  <c r="J120" i="158"/>
  <c r="E120" i="158"/>
  <c r="F120" i="158"/>
  <c r="C120" i="158"/>
  <c r="I121" i="158"/>
  <c r="D121" i="158"/>
  <c r="J121" i="158"/>
  <c r="E121" i="158"/>
  <c r="F121" i="158"/>
  <c r="C121" i="158"/>
  <c r="I122" i="158"/>
  <c r="D122" i="158"/>
  <c r="J122" i="158"/>
  <c r="E122" i="158"/>
  <c r="F122" i="158"/>
  <c r="C122" i="158"/>
  <c r="I123" i="158"/>
  <c r="D123" i="158"/>
  <c r="J123" i="158"/>
  <c r="E123" i="158"/>
  <c r="F123" i="158"/>
  <c r="C123" i="158"/>
  <c r="I124" i="158"/>
  <c r="D124" i="158"/>
  <c r="J124" i="158"/>
  <c r="E124" i="158"/>
  <c r="F124" i="158"/>
  <c r="C124" i="158"/>
  <c r="I125" i="158"/>
  <c r="D125" i="158"/>
  <c r="J125" i="158"/>
  <c r="E125" i="158"/>
  <c r="F125" i="158"/>
  <c r="C125" i="158"/>
  <c r="I126" i="158"/>
  <c r="D126" i="158"/>
  <c r="J126" i="158"/>
  <c r="E126" i="158"/>
  <c r="F126" i="158"/>
  <c r="C126" i="158"/>
  <c r="I127" i="158"/>
  <c r="D127" i="158"/>
  <c r="J127" i="158"/>
  <c r="E127" i="158"/>
  <c r="F127" i="158"/>
  <c r="C127" i="158"/>
  <c r="I128" i="158"/>
  <c r="D128" i="158"/>
  <c r="J128" i="158"/>
  <c r="E128" i="158"/>
  <c r="F128" i="158"/>
  <c r="C128" i="158"/>
  <c r="I129" i="158"/>
  <c r="D129" i="158"/>
  <c r="J129" i="158"/>
  <c r="E129" i="158"/>
  <c r="F129" i="158"/>
  <c r="C129" i="158"/>
  <c r="I130" i="158"/>
  <c r="D130" i="158"/>
  <c r="J130" i="158"/>
  <c r="E130" i="158"/>
  <c r="F130" i="158"/>
  <c r="C130" i="158"/>
  <c r="I131" i="158"/>
  <c r="D131" i="158"/>
  <c r="J131" i="158"/>
  <c r="E131" i="158"/>
  <c r="F131" i="158"/>
  <c r="C131" i="158"/>
  <c r="I132" i="158"/>
  <c r="D132" i="158"/>
  <c r="J132" i="158"/>
  <c r="E132" i="158"/>
  <c r="F132" i="158"/>
  <c r="C132" i="158"/>
  <c r="I133" i="158"/>
  <c r="D133" i="158"/>
  <c r="J133" i="158"/>
  <c r="E133" i="158"/>
  <c r="F133" i="158"/>
  <c r="C133" i="158"/>
  <c r="I134" i="158"/>
  <c r="D134" i="158"/>
  <c r="J134" i="158"/>
  <c r="E134" i="158"/>
  <c r="F134" i="158"/>
  <c r="C134" i="158"/>
  <c r="I135" i="158"/>
  <c r="D135" i="158"/>
  <c r="J135" i="158"/>
  <c r="E135" i="158"/>
  <c r="F135" i="158"/>
  <c r="C135" i="158"/>
  <c r="I136" i="158"/>
  <c r="D136" i="158"/>
  <c r="J136" i="158"/>
  <c r="E136" i="158"/>
  <c r="F136" i="158"/>
  <c r="C136" i="158"/>
  <c r="I137" i="158"/>
  <c r="D137" i="158"/>
  <c r="J137" i="158"/>
  <c r="E137" i="158"/>
  <c r="F137" i="158"/>
  <c r="C137" i="158"/>
  <c r="I138" i="158"/>
  <c r="D138" i="158"/>
  <c r="J138" i="158"/>
  <c r="E138" i="158"/>
  <c r="F138" i="158"/>
  <c r="C138" i="158"/>
  <c r="I139" i="158"/>
  <c r="D139" i="158"/>
  <c r="J139" i="158"/>
  <c r="E139" i="158"/>
  <c r="F139" i="158"/>
  <c r="C139" i="158"/>
  <c r="I140" i="158"/>
  <c r="D140" i="158"/>
  <c r="J140" i="158"/>
  <c r="E140" i="158"/>
  <c r="F140" i="158"/>
  <c r="C140" i="158"/>
  <c r="I141" i="158"/>
  <c r="D141" i="158"/>
  <c r="J141" i="158"/>
  <c r="E141" i="158"/>
  <c r="F141" i="158"/>
  <c r="C141" i="158"/>
  <c r="I142" i="158"/>
  <c r="D142" i="158"/>
  <c r="J142" i="158"/>
  <c r="E142" i="158"/>
  <c r="F142" i="158"/>
  <c r="C142" i="158"/>
  <c r="I143" i="158"/>
  <c r="D143" i="158"/>
  <c r="J143" i="158"/>
  <c r="E143" i="158"/>
  <c r="F143" i="158"/>
  <c r="C143" i="158"/>
  <c r="I144" i="158"/>
  <c r="D144" i="158"/>
  <c r="J144" i="158"/>
  <c r="E144" i="158"/>
  <c r="F144" i="158"/>
  <c r="C144" i="158"/>
  <c r="I145" i="158"/>
  <c r="D145" i="158"/>
  <c r="J145" i="158"/>
  <c r="E145" i="158"/>
  <c r="F145" i="158"/>
  <c r="C145" i="158"/>
  <c r="I146" i="158"/>
  <c r="D146" i="158"/>
  <c r="J146" i="158"/>
  <c r="E146" i="158"/>
  <c r="F146" i="158"/>
  <c r="C146" i="158"/>
  <c r="I147" i="158"/>
  <c r="D147" i="158"/>
  <c r="J147" i="158"/>
  <c r="E147" i="158"/>
  <c r="F147" i="158"/>
  <c r="C147" i="158"/>
  <c r="I148" i="158"/>
  <c r="D148" i="158"/>
  <c r="J148" i="158"/>
  <c r="E148" i="158"/>
  <c r="F148" i="158"/>
  <c r="C148" i="158"/>
  <c r="I149" i="158"/>
  <c r="D149" i="158"/>
  <c r="J149" i="158"/>
  <c r="E149" i="158"/>
  <c r="F149" i="158"/>
  <c r="C149" i="158"/>
  <c r="I150" i="158"/>
  <c r="D150" i="158"/>
  <c r="J150" i="158"/>
  <c r="E150" i="158"/>
  <c r="F150" i="158"/>
  <c r="C150" i="158"/>
  <c r="I151" i="158"/>
  <c r="D151" i="158"/>
  <c r="J151" i="158"/>
  <c r="E151" i="158"/>
  <c r="F151" i="158"/>
  <c r="C151" i="158"/>
  <c r="I152" i="158"/>
  <c r="D152" i="158"/>
  <c r="J152" i="158"/>
  <c r="E152" i="158"/>
  <c r="F152" i="158"/>
  <c r="C152" i="158"/>
  <c r="I153" i="158"/>
  <c r="D153" i="158"/>
  <c r="J153" i="158"/>
  <c r="E153" i="158"/>
  <c r="F153" i="158"/>
  <c r="C153" i="158"/>
  <c r="I154" i="158"/>
  <c r="D154" i="158"/>
  <c r="J154" i="158"/>
  <c r="E154" i="158"/>
  <c r="F154" i="158"/>
  <c r="C154" i="158"/>
  <c r="I155" i="158"/>
  <c r="D155" i="158"/>
  <c r="J155" i="158"/>
  <c r="E155" i="158"/>
  <c r="F155" i="158"/>
  <c r="C155" i="158"/>
  <c r="I156" i="158"/>
  <c r="D156" i="158"/>
  <c r="J156" i="158"/>
  <c r="E156" i="158"/>
  <c r="F156" i="158"/>
  <c r="C156" i="158"/>
  <c r="I157" i="158"/>
  <c r="D157" i="158"/>
  <c r="J157" i="158"/>
  <c r="E157" i="158"/>
  <c r="F157" i="158"/>
  <c r="C157" i="158"/>
  <c r="I158" i="158"/>
  <c r="D158" i="158"/>
  <c r="J158" i="158"/>
  <c r="E158" i="158"/>
  <c r="F158" i="158"/>
  <c r="C158" i="158"/>
  <c r="I159" i="158"/>
  <c r="D159" i="158"/>
  <c r="J159" i="158"/>
  <c r="E159" i="158"/>
  <c r="F159" i="158"/>
  <c r="C159" i="158"/>
  <c r="I160" i="158"/>
  <c r="D160" i="158"/>
  <c r="J160" i="158"/>
  <c r="E160" i="158"/>
  <c r="F160" i="158"/>
  <c r="C160" i="158"/>
  <c r="I161" i="158"/>
  <c r="D161" i="158"/>
  <c r="J161" i="158"/>
  <c r="E161" i="158"/>
  <c r="F161" i="158"/>
  <c r="C161" i="158"/>
  <c r="I162" i="158"/>
  <c r="D162" i="158"/>
  <c r="J162" i="158"/>
  <c r="E162" i="158"/>
  <c r="F162" i="158"/>
  <c r="C162" i="158"/>
  <c r="I163" i="158"/>
  <c r="D163" i="158"/>
  <c r="J163" i="158"/>
  <c r="E163" i="158"/>
  <c r="F163" i="158"/>
  <c r="C163" i="158"/>
  <c r="I164" i="158"/>
  <c r="D164" i="158"/>
  <c r="J164" i="158"/>
  <c r="E164" i="158"/>
  <c r="F164" i="158"/>
  <c r="C164" i="158"/>
  <c r="I165" i="158"/>
  <c r="D165" i="158"/>
  <c r="J165" i="158"/>
  <c r="E165" i="158"/>
  <c r="F165" i="158"/>
  <c r="C165" i="158"/>
  <c r="I166" i="158"/>
  <c r="D166" i="158"/>
  <c r="J166" i="158"/>
  <c r="E166" i="158"/>
  <c r="F166" i="158"/>
  <c r="C166" i="158"/>
  <c r="I167" i="158"/>
  <c r="D167" i="158"/>
  <c r="J167" i="158"/>
  <c r="E167" i="158"/>
  <c r="F167" i="158"/>
  <c r="C167" i="158"/>
  <c r="I168" i="158"/>
  <c r="D168" i="158"/>
  <c r="J168" i="158"/>
  <c r="E168" i="158"/>
  <c r="F168" i="158"/>
  <c r="C168" i="158"/>
  <c r="I169" i="158"/>
  <c r="D169" i="158"/>
  <c r="J169" i="158"/>
  <c r="E169" i="158"/>
  <c r="F169" i="158"/>
  <c r="C169" i="158"/>
  <c r="I170" i="158"/>
  <c r="D170" i="158"/>
  <c r="J170" i="158"/>
  <c r="E170" i="158"/>
  <c r="F170" i="158"/>
  <c r="C170" i="158"/>
  <c r="I171" i="158"/>
  <c r="D171" i="158"/>
  <c r="J171" i="158"/>
  <c r="E171" i="158"/>
  <c r="F171" i="158"/>
  <c r="C171" i="158"/>
  <c r="I172" i="158"/>
  <c r="D172" i="158"/>
  <c r="J172" i="158"/>
  <c r="E172" i="158"/>
  <c r="F172" i="158"/>
  <c r="C172" i="158"/>
  <c r="I173" i="158"/>
  <c r="D173" i="158"/>
  <c r="J173" i="158"/>
  <c r="E173" i="158"/>
  <c r="F173" i="158"/>
  <c r="C173" i="158"/>
  <c r="I174" i="158"/>
  <c r="D174" i="158"/>
  <c r="J174" i="158"/>
  <c r="E174" i="158"/>
  <c r="F174" i="158"/>
  <c r="C174" i="158"/>
  <c r="I175" i="158"/>
  <c r="D175" i="158"/>
  <c r="J175" i="158"/>
  <c r="E175" i="158"/>
  <c r="F175" i="158"/>
  <c r="C175" i="158"/>
  <c r="I176" i="158"/>
  <c r="D176" i="158"/>
  <c r="J176" i="158"/>
  <c r="E176" i="158"/>
  <c r="F176" i="158"/>
  <c r="C176" i="158"/>
  <c r="I177" i="158"/>
  <c r="D177" i="158"/>
  <c r="J177" i="158"/>
  <c r="E177" i="158"/>
  <c r="F177" i="158"/>
  <c r="C177" i="158"/>
  <c r="I178" i="158"/>
  <c r="D178" i="158"/>
  <c r="J178" i="158"/>
  <c r="E178" i="158"/>
  <c r="F178" i="158"/>
  <c r="C178" i="158"/>
  <c r="I179" i="158"/>
  <c r="D179" i="158"/>
  <c r="J179" i="158"/>
  <c r="E179" i="158"/>
  <c r="F179" i="158"/>
  <c r="C179" i="158"/>
  <c r="I180" i="158"/>
  <c r="D180" i="158"/>
  <c r="J180" i="158"/>
  <c r="E180" i="158"/>
  <c r="F180" i="158"/>
  <c r="C180" i="158"/>
  <c r="I181" i="158"/>
  <c r="D181" i="158"/>
  <c r="J181" i="158"/>
  <c r="E181" i="158"/>
  <c r="F181" i="158"/>
  <c r="C181" i="158"/>
  <c r="I182" i="158"/>
  <c r="D182" i="158"/>
  <c r="J182" i="158"/>
  <c r="E182" i="158"/>
  <c r="F182" i="158"/>
  <c r="C182" i="158"/>
  <c r="I183" i="158"/>
  <c r="D183" i="158"/>
  <c r="J183" i="158"/>
  <c r="E183" i="158"/>
  <c r="F183" i="158"/>
  <c r="C183" i="158"/>
  <c r="I184" i="158"/>
  <c r="D184" i="158"/>
  <c r="J184" i="158"/>
  <c r="E184" i="158"/>
  <c r="F184" i="158"/>
  <c r="C184" i="158"/>
  <c r="I185" i="158"/>
  <c r="D185" i="158"/>
  <c r="J185" i="158"/>
  <c r="E185" i="158"/>
  <c r="F185" i="158"/>
  <c r="C185" i="158"/>
  <c r="I186" i="158"/>
  <c r="D186" i="158"/>
  <c r="J186" i="158"/>
  <c r="E186" i="158"/>
  <c r="F186" i="158"/>
  <c r="C186" i="158"/>
  <c r="I187" i="158"/>
  <c r="D187" i="158"/>
  <c r="J187" i="158"/>
  <c r="E187" i="158"/>
  <c r="F187" i="158"/>
  <c r="C187" i="158"/>
  <c r="I188" i="158"/>
  <c r="D188" i="158"/>
  <c r="J188" i="158"/>
  <c r="E188" i="158"/>
  <c r="F188" i="158"/>
  <c r="C188" i="158"/>
  <c r="I189" i="158"/>
  <c r="D189" i="158"/>
  <c r="J189" i="158"/>
  <c r="E189" i="158"/>
  <c r="F189" i="158"/>
  <c r="C189" i="158"/>
  <c r="I190" i="158"/>
  <c r="D190" i="158"/>
  <c r="J190" i="158"/>
  <c r="E190" i="158"/>
  <c r="F190" i="158"/>
  <c r="C190" i="158"/>
  <c r="I191" i="158"/>
  <c r="D191" i="158"/>
  <c r="J191" i="158"/>
  <c r="E191" i="158"/>
  <c r="F191" i="158"/>
  <c r="C191" i="158"/>
  <c r="I192" i="158"/>
  <c r="D192" i="158"/>
  <c r="J192" i="158"/>
  <c r="E192" i="158"/>
  <c r="F192" i="158"/>
  <c r="C192" i="158"/>
  <c r="I193" i="158"/>
  <c r="D193" i="158"/>
  <c r="J193" i="158"/>
  <c r="E193" i="158"/>
  <c r="F193" i="158"/>
  <c r="C193" i="158"/>
  <c r="I194" i="158"/>
  <c r="D194" i="158"/>
  <c r="J194" i="158"/>
  <c r="E194" i="158"/>
  <c r="F194" i="158"/>
  <c r="C194" i="158"/>
  <c r="I195" i="158"/>
  <c r="D195" i="158"/>
  <c r="J195" i="158"/>
  <c r="E195" i="158"/>
  <c r="F195" i="158"/>
  <c r="C195" i="158"/>
  <c r="I196" i="158"/>
  <c r="D196" i="158"/>
  <c r="J196" i="158"/>
  <c r="E196" i="158"/>
  <c r="F196" i="158"/>
  <c r="C196" i="158"/>
  <c r="I197" i="158"/>
  <c r="D197" i="158"/>
  <c r="J197" i="158"/>
  <c r="E197" i="158"/>
  <c r="F197" i="158"/>
  <c r="C197" i="158"/>
  <c r="I198" i="158"/>
  <c r="D198" i="158"/>
  <c r="J198" i="158"/>
  <c r="E198" i="158"/>
  <c r="F198" i="158"/>
  <c r="C198" i="158"/>
  <c r="I199" i="158"/>
  <c r="D199" i="158"/>
  <c r="J199" i="158"/>
  <c r="E199" i="158"/>
  <c r="F199" i="158"/>
  <c r="C199" i="158"/>
  <c r="I200" i="158"/>
  <c r="D200" i="158"/>
  <c r="J200" i="158"/>
  <c r="E200" i="158"/>
  <c r="F200" i="158"/>
  <c r="C200" i="158"/>
  <c r="I201" i="158"/>
  <c r="D201" i="158"/>
  <c r="J201" i="158"/>
  <c r="E201" i="158"/>
  <c r="F201" i="158"/>
  <c r="C201" i="158"/>
  <c r="I202" i="158"/>
  <c r="D202" i="158"/>
  <c r="J202" i="158"/>
  <c r="E202" i="158"/>
  <c r="F202" i="158"/>
  <c r="C202" i="158"/>
  <c r="I203" i="158"/>
  <c r="D203" i="158"/>
  <c r="J203" i="158"/>
  <c r="E203" i="158"/>
  <c r="F203" i="158"/>
  <c r="C203" i="158"/>
  <c r="I204" i="158"/>
  <c r="D204" i="158"/>
  <c r="J204" i="158"/>
  <c r="E204" i="158"/>
  <c r="F204" i="158"/>
  <c r="C204" i="158"/>
  <c r="I205" i="158"/>
  <c r="D205" i="158"/>
  <c r="J205" i="158"/>
  <c r="E205" i="158"/>
  <c r="F205" i="158"/>
  <c r="C205" i="158"/>
  <c r="I206" i="158"/>
  <c r="D206" i="158"/>
  <c r="J206" i="158"/>
  <c r="E206" i="158"/>
  <c r="F206" i="158"/>
  <c r="C206" i="158"/>
  <c r="I207" i="158"/>
  <c r="D207" i="158"/>
  <c r="J207" i="158"/>
  <c r="E207" i="158"/>
  <c r="F207" i="158"/>
  <c r="C207" i="158"/>
  <c r="I208" i="158"/>
  <c r="D208" i="158"/>
  <c r="J208" i="158"/>
  <c r="E208" i="158"/>
  <c r="F208" i="158"/>
  <c r="C208" i="158"/>
  <c r="I209" i="158"/>
  <c r="D209" i="158"/>
  <c r="J209" i="158"/>
  <c r="E209" i="158"/>
  <c r="F209" i="158"/>
  <c r="C209" i="158"/>
  <c r="I210" i="158"/>
  <c r="D210" i="158"/>
  <c r="J210" i="158"/>
  <c r="E210" i="158"/>
  <c r="F210" i="158"/>
  <c r="C210" i="158"/>
  <c r="I211" i="158"/>
  <c r="D211" i="158"/>
  <c r="J211" i="158"/>
  <c r="E211" i="158"/>
  <c r="F211" i="158"/>
  <c r="C211" i="158"/>
  <c r="I212" i="158"/>
  <c r="D212" i="158"/>
  <c r="J212" i="158"/>
  <c r="E212" i="158"/>
  <c r="F212" i="158"/>
  <c r="C212" i="158"/>
  <c r="I213" i="158"/>
  <c r="D213" i="158"/>
  <c r="J213" i="158"/>
  <c r="E213" i="158"/>
  <c r="F213" i="158"/>
  <c r="C213" i="158"/>
  <c r="I214" i="158"/>
  <c r="D214" i="158"/>
  <c r="J214" i="158"/>
  <c r="E214" i="158"/>
  <c r="F214" i="158"/>
  <c r="C214" i="158"/>
  <c r="I215" i="158"/>
  <c r="J215" i="158"/>
  <c r="D215" i="158"/>
  <c r="E215" i="158"/>
  <c r="F215" i="158"/>
  <c r="C215" i="158"/>
  <c r="I216" i="158"/>
  <c r="J216" i="158"/>
  <c r="D216" i="158"/>
  <c r="E216" i="158"/>
  <c r="F216" i="158"/>
  <c r="C216" i="158"/>
  <c r="I217" i="158"/>
  <c r="J217" i="158"/>
  <c r="D217" i="158"/>
  <c r="E217" i="158"/>
  <c r="F217" i="158"/>
  <c r="C217" i="158"/>
  <c r="I218" i="158"/>
  <c r="J218" i="158"/>
  <c r="D218" i="158"/>
  <c r="E218" i="158"/>
  <c r="F218" i="158"/>
  <c r="C218" i="158"/>
  <c r="I219" i="158"/>
  <c r="J219" i="158"/>
  <c r="D219" i="158"/>
  <c r="E219" i="158"/>
  <c r="F219" i="158"/>
  <c r="C219" i="158"/>
  <c r="I220" i="158"/>
  <c r="J220" i="158"/>
  <c r="D220" i="158"/>
  <c r="E220" i="158"/>
  <c r="F220" i="158"/>
  <c r="C220" i="158"/>
  <c r="I221" i="158"/>
  <c r="D221" i="158"/>
  <c r="J221" i="158"/>
  <c r="E221" i="158"/>
  <c r="F221" i="158"/>
  <c r="C221" i="158"/>
  <c r="I222" i="158"/>
  <c r="D222" i="158"/>
  <c r="J222" i="158"/>
  <c r="E222" i="158"/>
  <c r="F222" i="158"/>
  <c r="C222" i="158"/>
  <c r="I223" i="158"/>
  <c r="D223" i="158"/>
  <c r="J223" i="158"/>
  <c r="E223" i="158"/>
  <c r="F223" i="158"/>
  <c r="C223" i="158"/>
  <c r="I224" i="158"/>
  <c r="D224" i="158"/>
  <c r="J224" i="158"/>
  <c r="E224" i="158"/>
  <c r="F224" i="158"/>
  <c r="C224" i="158"/>
  <c r="I225" i="158"/>
  <c r="D225" i="158"/>
  <c r="J225" i="158"/>
  <c r="E225" i="158"/>
  <c r="F225" i="158"/>
  <c r="C225" i="158"/>
  <c r="I226" i="158"/>
  <c r="D226" i="158"/>
  <c r="J226" i="158"/>
  <c r="E226" i="158"/>
  <c r="F226" i="158"/>
  <c r="C226" i="158"/>
  <c r="I227" i="158"/>
  <c r="D227" i="158"/>
  <c r="J227" i="158"/>
  <c r="E227" i="158"/>
  <c r="F227" i="158"/>
  <c r="C227" i="158"/>
  <c r="I228" i="158"/>
  <c r="D228" i="158"/>
  <c r="J228" i="158"/>
  <c r="E228" i="158"/>
  <c r="F228" i="158"/>
  <c r="C228" i="158"/>
  <c r="I229" i="158"/>
  <c r="D229" i="158"/>
  <c r="J229" i="158"/>
  <c r="E229" i="158"/>
  <c r="F229" i="158"/>
  <c r="C229" i="158"/>
  <c r="I230" i="158"/>
  <c r="D230" i="158"/>
  <c r="J230" i="158"/>
  <c r="E230" i="158"/>
  <c r="F230" i="158"/>
  <c r="C230" i="158"/>
  <c r="I231" i="158"/>
  <c r="D231" i="158"/>
  <c r="J231" i="158"/>
  <c r="E231" i="158"/>
  <c r="F231" i="158"/>
  <c r="C231" i="158"/>
  <c r="I232" i="158"/>
  <c r="D232" i="158"/>
  <c r="J232" i="158"/>
  <c r="E232" i="158"/>
  <c r="F232" i="158"/>
  <c r="C232" i="158"/>
  <c r="I233" i="158"/>
  <c r="D233" i="158"/>
  <c r="J233" i="158"/>
  <c r="E233" i="158"/>
  <c r="F233" i="158"/>
  <c r="C233" i="158"/>
  <c r="I234" i="158"/>
  <c r="D234" i="158"/>
  <c r="J234" i="158"/>
  <c r="E234" i="158"/>
  <c r="F234" i="158"/>
  <c r="C234" i="158"/>
  <c r="I235" i="158"/>
  <c r="D235" i="158"/>
  <c r="J235" i="158"/>
  <c r="E235" i="158"/>
  <c r="F235" i="158"/>
  <c r="C235" i="158"/>
  <c r="I236" i="158"/>
  <c r="D236" i="158"/>
  <c r="J236" i="158"/>
  <c r="E236" i="158"/>
  <c r="F236" i="158"/>
  <c r="C236" i="158"/>
  <c r="I237" i="158"/>
  <c r="D237" i="158"/>
  <c r="J237" i="158"/>
  <c r="E237" i="158"/>
  <c r="F237" i="158"/>
  <c r="C237" i="158"/>
  <c r="I238" i="158"/>
  <c r="D238" i="158"/>
  <c r="J238" i="158"/>
  <c r="E238" i="158"/>
  <c r="F238" i="158"/>
  <c r="C238" i="158"/>
  <c r="I239" i="158"/>
  <c r="D239" i="158"/>
  <c r="J239" i="158"/>
  <c r="E239" i="158"/>
  <c r="F239" i="158"/>
  <c r="C239" i="158"/>
  <c r="I240" i="158"/>
  <c r="D240" i="158"/>
  <c r="J240" i="158"/>
  <c r="E240" i="158"/>
  <c r="F240" i="158"/>
  <c r="C240" i="158"/>
  <c r="I241" i="158"/>
  <c r="D241" i="158"/>
  <c r="J241" i="158"/>
  <c r="E241" i="158"/>
  <c r="F241" i="158"/>
  <c r="C241" i="158"/>
  <c r="I242" i="158"/>
  <c r="D242" i="158"/>
  <c r="J242" i="158"/>
  <c r="E242" i="158"/>
  <c r="F242" i="158"/>
  <c r="C242" i="158"/>
  <c r="I243" i="158"/>
  <c r="D243" i="158"/>
  <c r="J243" i="158"/>
  <c r="E243" i="158"/>
  <c r="F243" i="158"/>
  <c r="C243" i="158"/>
  <c r="I244" i="158"/>
  <c r="D244" i="158"/>
  <c r="J244" i="158"/>
  <c r="E244" i="158"/>
  <c r="F244" i="158"/>
  <c r="C244" i="158"/>
  <c r="I245" i="158"/>
  <c r="D245" i="158"/>
  <c r="J245" i="158"/>
  <c r="E245" i="158"/>
  <c r="F245" i="158"/>
  <c r="C245" i="158"/>
  <c r="I246" i="158"/>
  <c r="D246" i="158"/>
  <c r="J246" i="158"/>
  <c r="E246" i="158"/>
  <c r="F246" i="158"/>
  <c r="C246" i="158"/>
  <c r="I247" i="158"/>
  <c r="D247" i="158"/>
  <c r="J247" i="158"/>
  <c r="E247" i="158"/>
  <c r="F247" i="158"/>
  <c r="C247" i="158"/>
  <c r="I248" i="158"/>
  <c r="D248" i="158"/>
  <c r="J248" i="158"/>
  <c r="E248" i="158"/>
  <c r="F248" i="158"/>
  <c r="C248" i="158"/>
  <c r="I249" i="158"/>
  <c r="D249" i="158"/>
  <c r="J249" i="158"/>
  <c r="E249" i="158"/>
  <c r="F249" i="158"/>
  <c r="C249" i="158"/>
  <c r="I250" i="158"/>
  <c r="D250" i="158"/>
  <c r="J250" i="158"/>
  <c r="E250" i="158"/>
  <c r="F250" i="158"/>
  <c r="C250" i="158"/>
  <c r="I251" i="158"/>
  <c r="D251" i="158"/>
  <c r="J251" i="158"/>
  <c r="E251" i="158"/>
  <c r="F251" i="158"/>
  <c r="C251" i="158"/>
  <c r="I252" i="158"/>
  <c r="D252" i="158"/>
  <c r="J252" i="158"/>
  <c r="E252" i="158"/>
  <c r="F252" i="158"/>
  <c r="C252" i="158"/>
  <c r="I253" i="158"/>
  <c r="D253" i="158"/>
  <c r="J253" i="158"/>
  <c r="E253" i="158"/>
  <c r="F253" i="158"/>
  <c r="C253" i="158"/>
  <c r="I254" i="158"/>
  <c r="D254" i="158"/>
  <c r="J254" i="158"/>
  <c r="E254" i="158"/>
  <c r="F254" i="158"/>
  <c r="C254" i="158"/>
  <c r="I255" i="158"/>
  <c r="D255" i="158"/>
  <c r="J255" i="158"/>
  <c r="E255" i="158"/>
  <c r="F255" i="158"/>
  <c r="C255" i="158"/>
  <c r="I256" i="158"/>
  <c r="D256" i="158"/>
  <c r="J256" i="158"/>
  <c r="E256" i="158"/>
  <c r="F256" i="158"/>
  <c r="C256" i="158"/>
  <c r="I257" i="158"/>
  <c r="D257" i="158"/>
  <c r="J257" i="158"/>
  <c r="E257" i="158"/>
  <c r="F257" i="158"/>
  <c r="C257" i="158"/>
  <c r="I258" i="158"/>
  <c r="D258" i="158"/>
  <c r="J258" i="158"/>
  <c r="E258" i="158"/>
  <c r="F258" i="158"/>
  <c r="C258" i="158"/>
  <c r="I259" i="158"/>
  <c r="D259" i="158"/>
  <c r="J259" i="158"/>
  <c r="E259" i="158"/>
  <c r="F259" i="158"/>
  <c r="C259" i="158"/>
  <c r="I260" i="158"/>
  <c r="D260" i="158"/>
  <c r="J260" i="158"/>
  <c r="E260" i="158"/>
  <c r="F260" i="158"/>
  <c r="C260" i="158"/>
  <c r="I261" i="158"/>
  <c r="D261" i="158"/>
  <c r="J261" i="158"/>
  <c r="E261" i="158"/>
  <c r="F261" i="158"/>
  <c r="C261" i="158"/>
  <c r="I262" i="158"/>
  <c r="D262" i="158"/>
  <c r="J262" i="158"/>
  <c r="E262" i="158"/>
  <c r="F262" i="158"/>
  <c r="C262" i="158"/>
  <c r="I263" i="158"/>
  <c r="D263" i="158"/>
  <c r="J263" i="158"/>
  <c r="E263" i="158"/>
  <c r="F263" i="158"/>
  <c r="C263" i="158"/>
  <c r="I264" i="158"/>
  <c r="D264" i="158"/>
  <c r="J264" i="158"/>
  <c r="E264" i="158"/>
  <c r="F264" i="158"/>
  <c r="C264" i="158"/>
  <c r="I265" i="158"/>
  <c r="D265" i="158"/>
  <c r="J265" i="158"/>
  <c r="E265" i="158"/>
  <c r="F265" i="158"/>
  <c r="C265" i="158"/>
  <c r="I266" i="158"/>
  <c r="D266" i="158"/>
  <c r="J266" i="158"/>
  <c r="E266" i="158"/>
  <c r="F266" i="158"/>
  <c r="C266" i="158"/>
  <c r="I267" i="158"/>
  <c r="D267" i="158"/>
  <c r="J267" i="158"/>
  <c r="E267" i="158"/>
  <c r="F267" i="158"/>
  <c r="C267" i="158"/>
  <c r="I268" i="158"/>
  <c r="D268" i="158"/>
  <c r="J268" i="158"/>
  <c r="E268" i="158"/>
  <c r="F268" i="158"/>
  <c r="C268" i="158"/>
  <c r="I269" i="158"/>
  <c r="D269" i="158"/>
  <c r="J269" i="158"/>
  <c r="E269" i="158"/>
  <c r="F269" i="158"/>
  <c r="C269" i="158"/>
  <c r="I270" i="158"/>
  <c r="D270" i="158"/>
  <c r="J270" i="158"/>
  <c r="E270" i="158"/>
  <c r="F270" i="158"/>
  <c r="C270" i="158"/>
  <c r="I271" i="158"/>
  <c r="D271" i="158"/>
  <c r="J271" i="158"/>
  <c r="E271" i="158"/>
  <c r="F271" i="158"/>
  <c r="C271" i="158"/>
  <c r="I272" i="158"/>
  <c r="D272" i="158"/>
  <c r="J272" i="158"/>
  <c r="E272" i="158"/>
  <c r="F272" i="158"/>
  <c r="C272" i="158"/>
  <c r="I273" i="158"/>
  <c r="D273" i="158"/>
  <c r="J273" i="158"/>
  <c r="E273" i="158"/>
  <c r="F273" i="158"/>
  <c r="C273" i="158"/>
  <c r="I274" i="158"/>
  <c r="D274" i="158"/>
  <c r="J274" i="158"/>
  <c r="E274" i="158"/>
  <c r="F274" i="158"/>
  <c r="C274" i="158"/>
  <c r="I275" i="158"/>
  <c r="D275" i="158"/>
  <c r="J275" i="158"/>
  <c r="E275" i="158"/>
  <c r="F275" i="158"/>
  <c r="C275" i="158"/>
  <c r="I276" i="158"/>
  <c r="D276" i="158"/>
  <c r="J276" i="158"/>
  <c r="E276" i="158"/>
  <c r="F276" i="158"/>
  <c r="C276" i="158"/>
  <c r="I277" i="158"/>
  <c r="D277" i="158"/>
  <c r="J277" i="158"/>
  <c r="E277" i="158"/>
  <c r="F277" i="158"/>
  <c r="C277" i="158"/>
  <c r="I278" i="158"/>
  <c r="D278" i="158"/>
  <c r="J278" i="158"/>
  <c r="E278" i="158"/>
  <c r="F278" i="158"/>
  <c r="C278" i="158"/>
  <c r="I279" i="158"/>
  <c r="D279" i="158"/>
  <c r="J279" i="158"/>
  <c r="E279" i="158"/>
  <c r="F279" i="158"/>
  <c r="C279" i="158"/>
  <c r="I280" i="158"/>
  <c r="D280" i="158"/>
  <c r="J280" i="158"/>
  <c r="E280" i="158"/>
  <c r="F280" i="158"/>
  <c r="C280" i="158"/>
  <c r="I281" i="158"/>
  <c r="D281" i="158"/>
  <c r="J281" i="158"/>
  <c r="E281" i="158"/>
  <c r="F281" i="158"/>
  <c r="C281" i="158"/>
  <c r="I282" i="158"/>
  <c r="D282" i="158"/>
  <c r="J282" i="158"/>
  <c r="E282" i="158"/>
  <c r="F282" i="158"/>
  <c r="C282" i="158"/>
  <c r="I283" i="158"/>
  <c r="D283" i="158"/>
  <c r="J283" i="158"/>
  <c r="E283" i="158"/>
  <c r="F283" i="158"/>
  <c r="C283" i="158"/>
  <c r="I284" i="158"/>
  <c r="D284" i="158"/>
  <c r="J284" i="158"/>
  <c r="E284" i="158"/>
  <c r="F284" i="158"/>
  <c r="C284" i="158"/>
  <c r="I285" i="158"/>
  <c r="D285" i="158"/>
  <c r="J285" i="158"/>
  <c r="E285" i="158"/>
  <c r="F285" i="158"/>
  <c r="C285" i="158"/>
  <c r="I286" i="158"/>
  <c r="D286" i="158"/>
  <c r="J286" i="158"/>
  <c r="E286" i="158"/>
  <c r="F286" i="158"/>
  <c r="C286" i="158"/>
  <c r="I287" i="158"/>
  <c r="D287" i="158"/>
  <c r="J287" i="158"/>
  <c r="E287" i="158"/>
  <c r="F287" i="158"/>
  <c r="C287" i="158"/>
  <c r="I288" i="158"/>
  <c r="D288" i="158"/>
  <c r="J288" i="158"/>
  <c r="E288" i="158"/>
  <c r="F288" i="158"/>
  <c r="C288" i="158"/>
  <c r="I289" i="158"/>
  <c r="D289" i="158"/>
  <c r="J289" i="158"/>
  <c r="E289" i="158"/>
  <c r="F289" i="158"/>
  <c r="C289" i="158"/>
  <c r="I290" i="158"/>
  <c r="D290" i="158"/>
  <c r="J290" i="158"/>
  <c r="E290" i="158"/>
  <c r="F290" i="158"/>
  <c r="C290" i="158"/>
  <c r="I291" i="158"/>
  <c r="D291" i="158"/>
  <c r="J291" i="158"/>
  <c r="E291" i="158"/>
  <c r="F291" i="158"/>
  <c r="C291" i="158"/>
  <c r="I292" i="158"/>
  <c r="D292" i="158"/>
  <c r="J292" i="158"/>
  <c r="E292" i="158"/>
  <c r="F292" i="158"/>
  <c r="C292" i="158"/>
  <c r="I293" i="158"/>
  <c r="D293" i="158"/>
  <c r="J293" i="158"/>
  <c r="E293" i="158"/>
  <c r="F293" i="158"/>
  <c r="C293" i="158"/>
  <c r="I294" i="158"/>
  <c r="D294" i="158"/>
  <c r="J294" i="158"/>
  <c r="E294" i="158"/>
  <c r="F294" i="158"/>
  <c r="C294" i="158"/>
  <c r="I295" i="158"/>
  <c r="D295" i="158"/>
  <c r="J295" i="158"/>
  <c r="E295" i="158"/>
  <c r="F295" i="158"/>
  <c r="C295" i="158"/>
  <c r="I296" i="158"/>
  <c r="D296" i="158"/>
  <c r="J296" i="158"/>
  <c r="E296" i="158"/>
  <c r="F296" i="158"/>
  <c r="C296" i="158"/>
  <c r="I297" i="158"/>
  <c r="D297" i="158"/>
  <c r="J297" i="158"/>
  <c r="E297" i="158"/>
  <c r="F297" i="158"/>
  <c r="C297" i="158"/>
  <c r="I298" i="158"/>
  <c r="D298" i="158"/>
  <c r="J298" i="158"/>
  <c r="E298" i="158"/>
  <c r="F298" i="158"/>
  <c r="C298" i="158"/>
  <c r="I299" i="158"/>
  <c r="D299" i="158"/>
  <c r="J299" i="158"/>
  <c r="E299" i="158"/>
  <c r="F299" i="158"/>
  <c r="C299" i="158"/>
  <c r="I300" i="158"/>
  <c r="D300" i="158"/>
  <c r="J300" i="158"/>
  <c r="E300" i="158"/>
  <c r="F300" i="158"/>
  <c r="C300" i="158"/>
  <c r="I301" i="158"/>
  <c r="D301" i="158"/>
  <c r="J301" i="158"/>
  <c r="E301" i="158"/>
  <c r="F301" i="158"/>
  <c r="C301" i="158"/>
  <c r="I302" i="158"/>
  <c r="D302" i="158"/>
  <c r="J302" i="158"/>
  <c r="E302" i="158"/>
  <c r="F302" i="158"/>
  <c r="C302" i="158"/>
  <c r="I303" i="158"/>
  <c r="D303" i="158"/>
  <c r="J303" i="158"/>
  <c r="E303" i="158"/>
  <c r="F303" i="158"/>
  <c r="C303" i="158"/>
  <c r="I304" i="158"/>
  <c r="D304" i="158"/>
  <c r="J304" i="158"/>
  <c r="E304" i="158"/>
  <c r="F304" i="158"/>
  <c r="C304" i="158"/>
  <c r="I305" i="158"/>
  <c r="D305" i="158"/>
  <c r="J305" i="158"/>
  <c r="E305" i="158"/>
  <c r="F305" i="158"/>
  <c r="C305" i="158"/>
  <c r="I306" i="158"/>
  <c r="D306" i="158"/>
  <c r="J306" i="158"/>
  <c r="E306" i="158"/>
  <c r="F306" i="158"/>
  <c r="C306" i="158"/>
  <c r="I307" i="158"/>
  <c r="D307" i="158"/>
  <c r="J307" i="158"/>
  <c r="E307" i="158"/>
  <c r="F307" i="158"/>
  <c r="C307" i="158"/>
  <c r="I308" i="158"/>
  <c r="D308" i="158"/>
  <c r="J308" i="158"/>
  <c r="E308" i="158"/>
  <c r="F308" i="158"/>
  <c r="C308" i="158"/>
  <c r="I309" i="158"/>
  <c r="D309" i="158"/>
  <c r="J309" i="158"/>
  <c r="E309" i="158"/>
  <c r="F309" i="158"/>
  <c r="C309" i="158"/>
  <c r="I310" i="158"/>
  <c r="D310" i="158"/>
  <c r="J310" i="158"/>
  <c r="E310" i="158"/>
  <c r="F310" i="158"/>
  <c r="C310" i="158"/>
  <c r="I311" i="158"/>
  <c r="D311" i="158"/>
  <c r="J311" i="158"/>
  <c r="E311" i="158"/>
  <c r="F311" i="158"/>
  <c r="C311" i="158"/>
  <c r="I312" i="158"/>
  <c r="D312" i="158"/>
  <c r="J312" i="158"/>
  <c r="E312" i="158"/>
  <c r="F312" i="158"/>
  <c r="C312" i="158"/>
  <c r="I313" i="158"/>
  <c r="D313" i="158"/>
  <c r="J313" i="158"/>
  <c r="E313" i="158"/>
  <c r="F313" i="158"/>
  <c r="C313" i="158"/>
  <c r="I314" i="158"/>
  <c r="D314" i="158"/>
  <c r="J314" i="158"/>
  <c r="E314" i="158"/>
  <c r="F314" i="158"/>
  <c r="C314" i="158"/>
  <c r="I315" i="158"/>
  <c r="D315" i="158"/>
  <c r="J315" i="158"/>
  <c r="E315" i="158"/>
  <c r="F315" i="158"/>
  <c r="C315" i="158"/>
  <c r="I316" i="158"/>
  <c r="D316" i="158"/>
  <c r="J316" i="158"/>
  <c r="E316" i="158"/>
  <c r="F316" i="158"/>
  <c r="C316" i="158"/>
  <c r="I317" i="158"/>
  <c r="D317" i="158"/>
  <c r="J317" i="158"/>
  <c r="E317" i="158"/>
  <c r="F317" i="158"/>
  <c r="C317" i="158"/>
  <c r="I318" i="158"/>
  <c r="D318" i="158"/>
  <c r="J318" i="158"/>
  <c r="E318" i="158"/>
  <c r="F318" i="158"/>
  <c r="C318" i="158"/>
  <c r="I319" i="158"/>
  <c r="D319" i="158"/>
  <c r="J319" i="158"/>
  <c r="E319" i="158"/>
  <c r="F319" i="158"/>
  <c r="C319" i="158"/>
  <c r="I320" i="158"/>
  <c r="D320" i="158"/>
  <c r="J320" i="158"/>
  <c r="E320" i="158"/>
  <c r="F320" i="158"/>
  <c r="C320" i="158"/>
  <c r="I321" i="158"/>
  <c r="D321" i="158"/>
  <c r="J321" i="158"/>
  <c r="E321" i="158"/>
  <c r="F321" i="158"/>
  <c r="C321" i="158"/>
  <c r="I322" i="158"/>
  <c r="D322" i="158"/>
  <c r="J322" i="158"/>
  <c r="E322" i="158"/>
  <c r="F322" i="158"/>
  <c r="C322" i="158"/>
  <c r="I323" i="158"/>
  <c r="D323" i="158"/>
  <c r="J323" i="158"/>
  <c r="E323" i="158"/>
  <c r="F323" i="158"/>
  <c r="C323" i="158"/>
  <c r="I324" i="158"/>
  <c r="D324" i="158"/>
  <c r="J324" i="158"/>
  <c r="E324" i="158"/>
  <c r="F324" i="158"/>
  <c r="C324" i="158"/>
  <c r="I325" i="158"/>
  <c r="D325" i="158"/>
  <c r="J325" i="158"/>
  <c r="E325" i="158"/>
  <c r="F325" i="158"/>
  <c r="C325" i="158"/>
  <c r="I326" i="158"/>
  <c r="D326" i="158"/>
  <c r="J326" i="158"/>
  <c r="E326" i="158"/>
  <c r="F326" i="158"/>
  <c r="C326" i="158"/>
  <c r="I327" i="158"/>
  <c r="D327" i="158"/>
  <c r="J327" i="158"/>
  <c r="E327" i="158"/>
  <c r="F327" i="158"/>
  <c r="C327" i="158"/>
  <c r="I328" i="158"/>
  <c r="D328" i="158"/>
  <c r="J328" i="158"/>
  <c r="E328" i="158"/>
  <c r="F328" i="158"/>
  <c r="C328" i="158"/>
  <c r="I329" i="158"/>
  <c r="D329" i="158"/>
  <c r="J329" i="158"/>
  <c r="E329" i="158"/>
  <c r="F329" i="158"/>
  <c r="C329" i="158"/>
  <c r="I330" i="158"/>
  <c r="D330" i="158"/>
  <c r="J330" i="158"/>
  <c r="E330" i="158"/>
  <c r="F330" i="158"/>
  <c r="C330" i="158"/>
  <c r="I331" i="158"/>
  <c r="D331" i="158"/>
  <c r="J331" i="158"/>
  <c r="E331" i="158"/>
  <c r="F331" i="158"/>
  <c r="C331" i="158"/>
  <c r="I332" i="158"/>
  <c r="D332" i="158"/>
  <c r="J332" i="158"/>
  <c r="E332" i="158"/>
  <c r="F332" i="158"/>
  <c r="C332" i="158"/>
  <c r="I333" i="158"/>
  <c r="D333" i="158"/>
  <c r="J333" i="158"/>
  <c r="E333" i="158"/>
  <c r="F333" i="158"/>
  <c r="C333" i="158"/>
  <c r="I334" i="158"/>
  <c r="D334" i="158"/>
  <c r="J334" i="158"/>
  <c r="E334" i="158"/>
  <c r="F334" i="158"/>
  <c r="C334" i="158"/>
  <c r="I335" i="158"/>
  <c r="D335" i="158"/>
  <c r="J335" i="158"/>
  <c r="E335" i="158"/>
  <c r="F335" i="158"/>
  <c r="C335" i="158"/>
  <c r="I336" i="158"/>
  <c r="D336" i="158"/>
  <c r="J336" i="158"/>
  <c r="E336" i="158"/>
  <c r="F336" i="158"/>
  <c r="C336" i="158"/>
  <c r="I337" i="158"/>
  <c r="D337" i="158"/>
  <c r="J337" i="158"/>
  <c r="E337" i="158"/>
  <c r="F337" i="158"/>
  <c r="C337" i="158"/>
  <c r="I338" i="158"/>
  <c r="D338" i="158"/>
  <c r="J338" i="158"/>
  <c r="E338" i="158"/>
  <c r="F338" i="158"/>
  <c r="C338" i="158"/>
  <c r="I339" i="158"/>
  <c r="D339" i="158"/>
  <c r="J339" i="158"/>
  <c r="E339" i="158"/>
  <c r="F339" i="158"/>
  <c r="C339" i="158"/>
  <c r="I340" i="158"/>
  <c r="D340" i="158"/>
  <c r="J340" i="158"/>
  <c r="E340" i="158"/>
  <c r="F340" i="158"/>
  <c r="C340" i="158"/>
  <c r="I341" i="158"/>
  <c r="D341" i="158"/>
  <c r="J341" i="158"/>
  <c r="E341" i="158"/>
  <c r="F341" i="158"/>
  <c r="C341" i="158"/>
  <c r="I342" i="158"/>
  <c r="D342" i="158"/>
  <c r="J342" i="158"/>
  <c r="E342" i="158"/>
  <c r="F342" i="158"/>
  <c r="C342" i="158"/>
  <c r="I343" i="158"/>
  <c r="D343" i="158"/>
  <c r="J343" i="158"/>
  <c r="E343" i="158"/>
  <c r="F343" i="158"/>
  <c r="C343" i="158"/>
  <c r="I344" i="158"/>
  <c r="D344" i="158"/>
  <c r="J344" i="158"/>
  <c r="E344" i="158"/>
  <c r="F344" i="158"/>
  <c r="C344" i="158"/>
  <c r="I345" i="158"/>
  <c r="D345" i="158"/>
  <c r="J345" i="158"/>
  <c r="E345" i="158"/>
  <c r="F345" i="158"/>
  <c r="C345" i="158"/>
  <c r="I346" i="158"/>
  <c r="D346" i="158"/>
  <c r="J346" i="158"/>
  <c r="E346" i="158"/>
  <c r="F346" i="158"/>
  <c r="C346" i="158"/>
  <c r="I347" i="158"/>
  <c r="D347" i="158"/>
  <c r="J347" i="158"/>
  <c r="E347" i="158"/>
  <c r="F347" i="158"/>
  <c r="C347" i="158"/>
  <c r="I348" i="158"/>
  <c r="D348" i="158"/>
  <c r="J348" i="158"/>
  <c r="E348" i="158"/>
  <c r="F348" i="158"/>
  <c r="C348" i="158"/>
  <c r="I349" i="158"/>
  <c r="D349" i="158"/>
  <c r="J349" i="158"/>
  <c r="E349" i="158"/>
  <c r="F349" i="158"/>
  <c r="C349" i="158"/>
  <c r="I350" i="158"/>
  <c r="D350" i="158"/>
  <c r="J350" i="158"/>
  <c r="E350" i="158"/>
  <c r="F350" i="158"/>
  <c r="C350" i="158"/>
  <c r="I351" i="158"/>
  <c r="D351" i="158"/>
  <c r="J351" i="158"/>
  <c r="E351" i="158"/>
  <c r="F351" i="158"/>
  <c r="C351" i="158"/>
  <c r="I352" i="158"/>
  <c r="D352" i="158"/>
  <c r="J352" i="158"/>
  <c r="E352" i="158"/>
  <c r="F352" i="158"/>
  <c r="C352" i="158"/>
  <c r="I353" i="158"/>
  <c r="D353" i="158"/>
  <c r="J353" i="158"/>
  <c r="E353" i="158"/>
  <c r="F353" i="158"/>
  <c r="C353" i="158"/>
  <c r="I354" i="158"/>
  <c r="D354" i="158"/>
  <c r="J354" i="158"/>
  <c r="E354" i="158"/>
  <c r="F354" i="158"/>
  <c r="C354" i="158"/>
  <c r="I355" i="158"/>
  <c r="D355" i="158"/>
  <c r="J355" i="158"/>
  <c r="E355" i="158"/>
  <c r="F355" i="158"/>
  <c r="C355" i="158"/>
  <c r="I356" i="158"/>
  <c r="D356" i="158"/>
  <c r="J356" i="158"/>
  <c r="E356" i="158"/>
  <c r="F356" i="158"/>
  <c r="C356" i="158"/>
  <c r="I357" i="158"/>
  <c r="D357" i="158"/>
  <c r="J357" i="158"/>
  <c r="E357" i="158"/>
  <c r="F357" i="158"/>
  <c r="C357" i="158"/>
  <c r="I358" i="158"/>
  <c r="D358" i="158"/>
  <c r="J358" i="158"/>
  <c r="E358" i="158"/>
  <c r="F358" i="158"/>
  <c r="C358" i="158"/>
  <c r="I359" i="158"/>
  <c r="D359" i="158"/>
  <c r="J359" i="158"/>
  <c r="E359" i="158"/>
  <c r="F359" i="158"/>
  <c r="C359" i="158"/>
  <c r="I360" i="158"/>
  <c r="D360" i="158"/>
  <c r="J360" i="158"/>
  <c r="E360" i="158"/>
  <c r="F360" i="158"/>
  <c r="C360" i="158"/>
  <c r="Q3" i="157"/>
  <c r="Q4" i="157"/>
  <c r="Q5" i="157"/>
  <c r="Q6" i="157"/>
  <c r="Q7" i="157"/>
  <c r="Q8" i="157"/>
  <c r="Q9" i="157"/>
  <c r="Q10" i="157"/>
  <c r="Q11" i="157"/>
  <c r="Q12" i="157"/>
  <c r="Q13" i="157"/>
  <c r="Q14" i="157"/>
  <c r="Q15" i="157"/>
  <c r="Q16" i="157"/>
  <c r="Q17" i="157"/>
  <c r="Q18" i="157"/>
  <c r="Q19" i="157"/>
  <c r="Q20" i="157"/>
  <c r="E29" i="157"/>
  <c r="E28" i="157"/>
  <c r="B29" i="157"/>
  <c r="B28" i="157"/>
  <c r="C28" i="157"/>
  <c r="C27" i="157"/>
  <c r="B27" i="157"/>
  <c r="F5" i="157"/>
  <c r="F6" i="157"/>
  <c r="A36" i="157"/>
  <c r="G30" i="157"/>
  <c r="E30" i="157"/>
  <c r="H30" i="157"/>
  <c r="G31" i="157"/>
  <c r="E31" i="157"/>
  <c r="H31" i="157"/>
  <c r="R8" i="157"/>
  <c r="E6" i="157"/>
  <c r="E19" i="157"/>
  <c r="B19" i="157"/>
  <c r="E24" i="157"/>
  <c r="B24" i="157"/>
  <c r="B17" i="157"/>
  <c r="G17" i="157"/>
  <c r="E17" i="157"/>
  <c r="H17" i="157"/>
  <c r="O2" i="158"/>
  <c r="E20" i="157"/>
  <c r="B20" i="157"/>
  <c r="E22" i="157"/>
  <c r="E23" i="157"/>
  <c r="B23" i="157"/>
  <c r="B22" i="157"/>
  <c r="E25" i="157"/>
  <c r="B25" i="157"/>
  <c r="E5" i="157"/>
  <c r="E27" i="157"/>
  <c r="C30" i="157"/>
  <c r="B18" i="157"/>
  <c r="G18" i="157"/>
  <c r="E18" i="157"/>
  <c r="H18" i="157"/>
  <c r="O3" i="158"/>
  <c r="O4" i="158"/>
  <c r="O5" i="158"/>
  <c r="O6" i="158"/>
  <c r="O7" i="158"/>
  <c r="O8" i="158"/>
  <c r="O9" i="158"/>
  <c r="O10" i="158"/>
  <c r="O11" i="158"/>
  <c r="O12" i="158"/>
  <c r="O13" i="158"/>
  <c r="O14" i="158"/>
  <c r="O15" i="158"/>
  <c r="O16" i="158"/>
  <c r="O17" i="158"/>
  <c r="O18" i="158"/>
  <c r="O19" i="158"/>
  <c r="O20" i="158"/>
  <c r="O21" i="158"/>
  <c r="O22" i="158"/>
  <c r="O23" i="158"/>
  <c r="O24" i="158"/>
  <c r="O25" i="158"/>
  <c r="O26" i="158"/>
  <c r="O27" i="158"/>
  <c r="O28" i="158"/>
  <c r="O29" i="158"/>
  <c r="O30" i="158"/>
  <c r="O31" i="158"/>
  <c r="O32" i="158"/>
  <c r="O33" i="158"/>
  <c r="O34" i="158"/>
  <c r="O35" i="158"/>
  <c r="O36" i="158"/>
  <c r="O37" i="158"/>
  <c r="O38" i="158"/>
  <c r="O39" i="158"/>
  <c r="O40" i="158"/>
  <c r="O41" i="158"/>
  <c r="G24" i="157"/>
  <c r="H24" i="157"/>
  <c r="O42" i="158"/>
  <c r="G25" i="157"/>
  <c r="H25" i="157"/>
  <c r="O43" i="158"/>
  <c r="E26" i="157"/>
  <c r="B26" i="157"/>
  <c r="G26" i="157"/>
  <c r="H26" i="157"/>
  <c r="O44" i="158"/>
  <c r="O45" i="158"/>
  <c r="O46" i="158"/>
  <c r="O47" i="158"/>
  <c r="O48" i="158"/>
  <c r="O49" i="158"/>
  <c r="O50" i="158"/>
  <c r="G19" i="157"/>
  <c r="H19" i="157"/>
  <c r="O51" i="158"/>
  <c r="G20" i="157"/>
  <c r="H20" i="157"/>
  <c r="O52" i="158"/>
  <c r="C31" i="157"/>
  <c r="B21" i="157"/>
  <c r="G21" i="157"/>
  <c r="E21" i="157"/>
  <c r="H21" i="157"/>
  <c r="O53" i="158"/>
  <c r="O54" i="158"/>
  <c r="O55" i="158"/>
  <c r="O56" i="158"/>
  <c r="O57" i="158"/>
  <c r="O58" i="158"/>
  <c r="O59" i="158"/>
  <c r="O60" i="158"/>
  <c r="O61" i="158"/>
  <c r="O62" i="158"/>
  <c r="O63" i="158"/>
  <c r="O64" i="158"/>
  <c r="O65" i="158"/>
  <c r="O66" i="158"/>
  <c r="O67" i="158"/>
  <c r="O68" i="158"/>
  <c r="O69" i="158"/>
  <c r="O70" i="158"/>
  <c r="O71" i="158"/>
  <c r="O72" i="158"/>
  <c r="O73" i="158"/>
  <c r="O74" i="158"/>
  <c r="O75" i="158"/>
  <c r="O76" i="158"/>
  <c r="O77" i="158"/>
  <c r="O78" i="158"/>
  <c r="O79" i="158"/>
  <c r="O80" i="158"/>
  <c r="O81" i="158"/>
  <c r="O82" i="158"/>
  <c r="O83" i="158"/>
  <c r="O84" i="158"/>
  <c r="O85" i="158"/>
  <c r="O86" i="158"/>
  <c r="O87" i="158"/>
  <c r="O88" i="158"/>
  <c r="O89" i="158"/>
  <c r="O90" i="158"/>
  <c r="O91" i="158"/>
  <c r="O92" i="158"/>
  <c r="O93" i="158"/>
  <c r="O94" i="158"/>
  <c r="O95" i="158"/>
  <c r="O96" i="158"/>
  <c r="O97" i="158"/>
  <c r="O98" i="158"/>
  <c r="O99" i="158"/>
  <c r="O100" i="158"/>
  <c r="O101" i="158"/>
  <c r="O102" i="158"/>
  <c r="O103" i="158"/>
  <c r="O104" i="158"/>
  <c r="O105" i="158"/>
  <c r="O106" i="158"/>
  <c r="O107" i="158"/>
  <c r="O108" i="158"/>
  <c r="O109" i="158"/>
  <c r="O110" i="158"/>
  <c r="O111" i="158"/>
  <c r="O112" i="158"/>
  <c r="O113" i="158"/>
  <c r="O114" i="158"/>
  <c r="O115" i="158"/>
  <c r="O116" i="158"/>
  <c r="O117" i="158"/>
  <c r="O118" i="158"/>
  <c r="O119" i="158"/>
  <c r="O120" i="158"/>
  <c r="O121" i="158"/>
  <c r="O122" i="158"/>
  <c r="O123" i="158"/>
  <c r="O124" i="158"/>
  <c r="O125" i="158"/>
  <c r="O126" i="158"/>
  <c r="O127" i="158"/>
  <c r="O128" i="158"/>
  <c r="O129" i="158"/>
  <c r="O130" i="158"/>
  <c r="O131" i="158"/>
  <c r="O132" i="158"/>
  <c r="O133" i="158"/>
  <c r="O134" i="158"/>
  <c r="O135" i="158"/>
  <c r="O136" i="158"/>
  <c r="O137" i="158"/>
  <c r="G27" i="157"/>
  <c r="H27" i="157"/>
  <c r="O138" i="158"/>
  <c r="G28" i="157"/>
  <c r="H28" i="157"/>
  <c r="O139" i="158"/>
  <c r="O140" i="158"/>
  <c r="O141" i="158"/>
  <c r="O142" i="158"/>
  <c r="O143" i="158"/>
  <c r="O144" i="158"/>
  <c r="O145" i="158"/>
  <c r="O146" i="158"/>
  <c r="O147" i="158"/>
  <c r="O148" i="158"/>
  <c r="O149" i="158"/>
  <c r="O150" i="158"/>
  <c r="O151" i="158"/>
  <c r="O152" i="158"/>
  <c r="O153" i="158"/>
  <c r="O154" i="158"/>
  <c r="O155" i="158"/>
  <c r="O156" i="158"/>
  <c r="O157" i="158"/>
  <c r="O158" i="158"/>
  <c r="O159" i="158"/>
  <c r="O160" i="158"/>
  <c r="O161" i="158"/>
  <c r="O162" i="158"/>
  <c r="O163" i="158"/>
  <c r="O164" i="158"/>
  <c r="O165" i="158"/>
  <c r="O166" i="158"/>
  <c r="O167" i="158"/>
  <c r="O168" i="158"/>
  <c r="O169" i="158"/>
  <c r="O170" i="158"/>
  <c r="O171" i="158"/>
  <c r="O172" i="158"/>
  <c r="O173" i="158"/>
  <c r="O174" i="158"/>
  <c r="O175" i="158"/>
  <c r="O176" i="158"/>
  <c r="O177" i="158"/>
  <c r="O178" i="158"/>
  <c r="O179" i="158"/>
  <c r="O180" i="158"/>
  <c r="O181" i="158"/>
  <c r="O182" i="158"/>
  <c r="O183" i="158"/>
  <c r="O184" i="158"/>
  <c r="O185" i="158"/>
  <c r="O186" i="158"/>
  <c r="O187" i="158"/>
  <c r="O188" i="158"/>
  <c r="O189" i="158"/>
  <c r="O190" i="158"/>
  <c r="O191" i="158"/>
  <c r="O192" i="158"/>
  <c r="O193" i="158"/>
  <c r="O194" i="158"/>
  <c r="O195" i="158"/>
  <c r="O196" i="158"/>
  <c r="O197" i="158"/>
  <c r="O198" i="158"/>
  <c r="O199" i="158"/>
  <c r="O200" i="158"/>
  <c r="O201" i="158"/>
  <c r="O202" i="158"/>
  <c r="O203" i="158"/>
  <c r="O204" i="158"/>
  <c r="O205" i="158"/>
  <c r="O206" i="158"/>
  <c r="O207" i="158"/>
  <c r="O208" i="158"/>
  <c r="O209" i="158"/>
  <c r="O210" i="158"/>
  <c r="O211" i="158"/>
  <c r="O212" i="158"/>
  <c r="O213" i="158"/>
  <c r="O214" i="158"/>
  <c r="G23" i="157"/>
  <c r="H23" i="157"/>
  <c r="O215" i="158"/>
  <c r="O216" i="158"/>
  <c r="O217" i="158"/>
  <c r="O218" i="158"/>
  <c r="O219" i="158"/>
  <c r="O220" i="158"/>
  <c r="O221" i="158"/>
  <c r="O222" i="158"/>
  <c r="O223" i="158"/>
  <c r="O224" i="158"/>
  <c r="O225" i="158"/>
  <c r="O226" i="158"/>
  <c r="O227" i="158"/>
  <c r="O228" i="158"/>
  <c r="O229" i="158"/>
  <c r="O230" i="158"/>
  <c r="O231" i="158"/>
  <c r="O232" i="158"/>
  <c r="O233" i="158"/>
  <c r="O234" i="158"/>
  <c r="O235" i="158"/>
  <c r="O236" i="158"/>
  <c r="O237" i="158"/>
  <c r="O238" i="158"/>
  <c r="O239" i="158"/>
  <c r="O240" i="158"/>
  <c r="O241" i="158"/>
  <c r="O242" i="158"/>
  <c r="O243" i="158"/>
  <c r="O244" i="158"/>
  <c r="O245" i="158"/>
  <c r="O246" i="158"/>
  <c r="O247" i="158"/>
  <c r="O248" i="158"/>
  <c r="O249" i="158"/>
  <c r="O250" i="158"/>
  <c r="O251" i="158"/>
  <c r="O252" i="158"/>
  <c r="O253" i="158"/>
  <c r="O254" i="158"/>
  <c r="O255" i="158"/>
  <c r="O256" i="158"/>
  <c r="O257" i="158"/>
  <c r="O258" i="158"/>
  <c r="O259" i="158"/>
  <c r="O260" i="158"/>
  <c r="O261" i="158"/>
  <c r="G22" i="157"/>
  <c r="H22" i="157"/>
  <c r="O262" i="158"/>
  <c r="O263" i="158"/>
  <c r="O264" i="158"/>
  <c r="O265" i="158"/>
  <c r="G29" i="157"/>
  <c r="H29" i="157"/>
  <c r="O266" i="158"/>
  <c r="O267" i="158"/>
  <c r="O268" i="158"/>
  <c r="O269" i="158"/>
  <c r="O270" i="158"/>
  <c r="O271" i="158"/>
  <c r="O272" i="158"/>
  <c r="O273" i="158"/>
  <c r="O274" i="158"/>
  <c r="O275" i="158"/>
  <c r="O276" i="158"/>
  <c r="O277" i="158"/>
  <c r="O278" i="158"/>
  <c r="O279" i="158"/>
  <c r="O280" i="158"/>
  <c r="O281" i="158"/>
  <c r="O282" i="158"/>
  <c r="O283" i="158"/>
  <c r="O284" i="158"/>
  <c r="O285" i="158"/>
  <c r="O286" i="158"/>
  <c r="O287" i="158"/>
  <c r="O288" i="158"/>
  <c r="O289" i="158"/>
  <c r="O290" i="158"/>
  <c r="O291" i="158"/>
  <c r="O292" i="158"/>
  <c r="O293" i="158"/>
  <c r="O294" i="158"/>
  <c r="O295" i="158"/>
  <c r="O296" i="158"/>
  <c r="O297" i="158"/>
  <c r="O298" i="158"/>
  <c r="O299" i="158"/>
  <c r="O300" i="158"/>
  <c r="O301" i="158"/>
  <c r="O302" i="158"/>
  <c r="O303" i="158"/>
  <c r="O304" i="158"/>
  <c r="O305" i="158"/>
  <c r="O306" i="158"/>
  <c r="O307" i="158"/>
  <c r="O308" i="158"/>
  <c r="O309" i="158"/>
  <c r="O310" i="158"/>
  <c r="O311" i="158"/>
  <c r="O312" i="158"/>
  <c r="O313" i="158"/>
  <c r="O314" i="158"/>
  <c r="O315" i="158"/>
  <c r="O316" i="158"/>
  <c r="O317" i="158"/>
  <c r="O318" i="158"/>
  <c r="O319" i="158"/>
  <c r="O320" i="158"/>
  <c r="O321" i="158"/>
  <c r="O322" i="158"/>
  <c r="O323" i="158"/>
  <c r="O324" i="158"/>
  <c r="O325" i="158"/>
  <c r="O326" i="158"/>
  <c r="O327" i="158"/>
  <c r="O328" i="158"/>
  <c r="O329" i="158"/>
  <c r="O330" i="158"/>
  <c r="O331" i="158"/>
  <c r="O332" i="158"/>
  <c r="O333" i="158"/>
  <c r="O334" i="158"/>
  <c r="O335" i="158"/>
  <c r="O336" i="158"/>
  <c r="O337" i="158"/>
  <c r="O338" i="158"/>
  <c r="O339" i="158"/>
  <c r="O340" i="158"/>
  <c r="O341" i="158"/>
  <c r="O342" i="158"/>
  <c r="O343" i="158"/>
  <c r="O344" i="158"/>
  <c r="O345" i="158"/>
  <c r="O346" i="158"/>
  <c r="O347" i="158"/>
  <c r="O348" i="158"/>
  <c r="O349" i="158"/>
  <c r="O350" i="158"/>
  <c r="O351" i="158"/>
  <c r="O352" i="158"/>
  <c r="O353" i="158"/>
  <c r="O354" i="158"/>
  <c r="O355" i="158"/>
  <c r="R3" i="157"/>
  <c r="O356" i="158"/>
  <c r="R4" i="157"/>
  <c r="O357" i="158"/>
  <c r="R5" i="157"/>
  <c r="O358" i="158"/>
  <c r="R6" i="157"/>
  <c r="O359" i="158"/>
  <c r="R7" i="157"/>
  <c r="O360" i="158"/>
  <c r="P360" i="158"/>
  <c r="N360" i="158"/>
  <c r="M360" i="158"/>
  <c r="L360" i="158"/>
  <c r="K360" i="158"/>
  <c r="H360" i="158"/>
  <c r="A360" i="158"/>
  <c r="P157" i="159"/>
  <c r="P156" i="159"/>
  <c r="N157" i="159"/>
  <c r="M157" i="159"/>
  <c r="L157" i="159"/>
  <c r="K157" i="159"/>
  <c r="J157" i="159"/>
  <c r="H157" i="159"/>
  <c r="F157" i="159"/>
  <c r="E157" i="159"/>
  <c r="C157" i="159"/>
  <c r="N156" i="159"/>
  <c r="M156" i="159"/>
  <c r="L156" i="159"/>
  <c r="K156" i="159"/>
  <c r="J156" i="159"/>
  <c r="H156" i="159"/>
  <c r="F156" i="159"/>
  <c r="E156" i="159"/>
  <c r="C156" i="159"/>
  <c r="P155" i="159"/>
  <c r="N155" i="159"/>
  <c r="M155" i="159"/>
  <c r="L155" i="159"/>
  <c r="K155" i="159"/>
  <c r="J155" i="159"/>
  <c r="H155" i="159"/>
  <c r="F155" i="159"/>
  <c r="E155" i="159"/>
  <c r="C155" i="159"/>
  <c r="P154" i="159"/>
  <c r="N154" i="159"/>
  <c r="M154" i="159"/>
  <c r="L154" i="159"/>
  <c r="K154" i="159"/>
  <c r="J154" i="159"/>
  <c r="H154" i="159"/>
  <c r="F154" i="159"/>
  <c r="E154" i="159"/>
  <c r="C154" i="159"/>
  <c r="P153" i="159"/>
  <c r="N153" i="159"/>
  <c r="M153" i="159"/>
  <c r="L153" i="159"/>
  <c r="K153" i="159"/>
  <c r="J153" i="159"/>
  <c r="H153" i="159"/>
  <c r="F153" i="159"/>
  <c r="E153" i="159"/>
  <c r="C153" i="159"/>
  <c r="P152" i="159"/>
  <c r="N152" i="159"/>
  <c r="M152" i="159"/>
  <c r="L152" i="159"/>
  <c r="K152" i="159"/>
  <c r="J152" i="159"/>
  <c r="H152" i="159"/>
  <c r="F152" i="159"/>
  <c r="E152" i="159"/>
  <c r="C152" i="159"/>
  <c r="P151" i="159"/>
  <c r="N151" i="159"/>
  <c r="M151" i="159"/>
  <c r="L151" i="159"/>
  <c r="K151" i="159"/>
  <c r="J151" i="159"/>
  <c r="H151" i="159"/>
  <c r="F151" i="159"/>
  <c r="E151" i="159"/>
  <c r="C151" i="159"/>
  <c r="P150" i="159"/>
  <c r="N150" i="159"/>
  <c r="M150" i="159"/>
  <c r="L150" i="159"/>
  <c r="K150" i="159"/>
  <c r="J150" i="159"/>
  <c r="H150" i="159"/>
  <c r="F150" i="159"/>
  <c r="E150" i="159"/>
  <c r="C150" i="159"/>
  <c r="P149" i="159"/>
  <c r="N149" i="159"/>
  <c r="M149" i="159"/>
  <c r="L149" i="159"/>
  <c r="K149" i="159"/>
  <c r="J149" i="159"/>
  <c r="H149" i="159"/>
  <c r="F149" i="159"/>
  <c r="E149" i="159"/>
  <c r="C149" i="159"/>
  <c r="P148" i="159"/>
  <c r="N148" i="159"/>
  <c r="M148" i="159"/>
  <c r="L148" i="159"/>
  <c r="K148" i="159"/>
  <c r="J148" i="159"/>
  <c r="H148" i="159"/>
  <c r="F148" i="159"/>
  <c r="E148" i="159"/>
  <c r="C148" i="159"/>
  <c r="P147" i="159"/>
  <c r="N147" i="159"/>
  <c r="M147" i="159"/>
  <c r="L147" i="159"/>
  <c r="K147" i="159"/>
  <c r="J147" i="159"/>
  <c r="H147" i="159"/>
  <c r="F147" i="159"/>
  <c r="E147" i="159"/>
  <c r="C147" i="159"/>
  <c r="P146" i="159"/>
  <c r="N146" i="159"/>
  <c r="M146" i="159"/>
  <c r="L146" i="159"/>
  <c r="K146" i="159"/>
  <c r="J146" i="159"/>
  <c r="H146" i="159"/>
  <c r="F146" i="159"/>
  <c r="E146" i="159"/>
  <c r="C146" i="159"/>
  <c r="P145" i="159"/>
  <c r="N145" i="159"/>
  <c r="M145" i="159"/>
  <c r="L145" i="159"/>
  <c r="K145" i="159"/>
  <c r="J145" i="159"/>
  <c r="H145" i="159"/>
  <c r="F145" i="159"/>
  <c r="E145" i="159"/>
  <c r="C145" i="159"/>
  <c r="P144" i="159"/>
  <c r="N144" i="159"/>
  <c r="M144" i="159"/>
  <c r="L144" i="159"/>
  <c r="K144" i="159"/>
  <c r="J144" i="159"/>
  <c r="H144" i="159"/>
  <c r="F144" i="159"/>
  <c r="E144" i="159"/>
  <c r="C144" i="159"/>
  <c r="P143" i="159"/>
  <c r="N143" i="159"/>
  <c r="M143" i="159"/>
  <c r="L143" i="159"/>
  <c r="K143" i="159"/>
  <c r="J143" i="159"/>
  <c r="H143" i="159"/>
  <c r="F143" i="159"/>
  <c r="E143" i="159"/>
  <c r="C143" i="159"/>
  <c r="P142" i="159"/>
  <c r="N142" i="159"/>
  <c r="M142" i="159"/>
  <c r="L142" i="159"/>
  <c r="K142" i="159"/>
  <c r="J142" i="159"/>
  <c r="H142" i="159"/>
  <c r="F142" i="159"/>
  <c r="E142" i="159"/>
  <c r="C142" i="159"/>
  <c r="P141" i="159"/>
  <c r="N141" i="159"/>
  <c r="M141" i="159"/>
  <c r="L141" i="159"/>
  <c r="K141" i="159"/>
  <c r="J141" i="159"/>
  <c r="H141" i="159"/>
  <c r="F141" i="159"/>
  <c r="E141" i="159"/>
  <c r="C141" i="159"/>
  <c r="P140" i="159"/>
  <c r="N140" i="159"/>
  <c r="M140" i="159"/>
  <c r="L140" i="159"/>
  <c r="K140" i="159"/>
  <c r="J140" i="159"/>
  <c r="H140" i="159"/>
  <c r="F140" i="159"/>
  <c r="E140" i="159"/>
  <c r="C140" i="159"/>
  <c r="P139" i="159"/>
  <c r="N139" i="159"/>
  <c r="M139" i="159"/>
  <c r="L139" i="159"/>
  <c r="K139" i="159"/>
  <c r="J139" i="159"/>
  <c r="H139" i="159"/>
  <c r="F139" i="159"/>
  <c r="E139" i="159"/>
  <c r="C139" i="159"/>
  <c r="P138" i="159"/>
  <c r="N138" i="159"/>
  <c r="M138" i="159"/>
  <c r="L138" i="159"/>
  <c r="K138" i="159"/>
  <c r="J138" i="159"/>
  <c r="H138" i="159"/>
  <c r="F138" i="159"/>
  <c r="E138" i="159"/>
  <c r="C138" i="159"/>
  <c r="P137" i="159"/>
  <c r="N137" i="159"/>
  <c r="M137" i="159"/>
  <c r="L137" i="159"/>
  <c r="K137" i="159"/>
  <c r="J137" i="159"/>
  <c r="H137" i="159"/>
  <c r="F137" i="159"/>
  <c r="E137" i="159"/>
  <c r="C137" i="159"/>
  <c r="P136" i="159"/>
  <c r="N136" i="159"/>
  <c r="M136" i="159"/>
  <c r="L136" i="159"/>
  <c r="K136" i="159"/>
  <c r="J136" i="159"/>
  <c r="H136" i="159"/>
  <c r="F136" i="159"/>
  <c r="E136" i="159"/>
  <c r="C136" i="159"/>
  <c r="P135" i="159"/>
  <c r="N135" i="159"/>
  <c r="M135" i="159"/>
  <c r="L135" i="159"/>
  <c r="K135" i="159"/>
  <c r="J135" i="159"/>
  <c r="H135" i="159"/>
  <c r="F135" i="159"/>
  <c r="E135" i="159"/>
  <c r="C135" i="159"/>
  <c r="P134" i="159"/>
  <c r="N134" i="159"/>
  <c r="M134" i="159"/>
  <c r="L134" i="159"/>
  <c r="K134" i="159"/>
  <c r="J134" i="159"/>
  <c r="H134" i="159"/>
  <c r="F134" i="159"/>
  <c r="E134" i="159"/>
  <c r="C134" i="159"/>
  <c r="P133" i="159"/>
  <c r="N133" i="159"/>
  <c r="M133" i="159"/>
  <c r="L133" i="159"/>
  <c r="K133" i="159"/>
  <c r="J133" i="159"/>
  <c r="H133" i="159"/>
  <c r="F133" i="159"/>
  <c r="E133" i="159"/>
  <c r="C133" i="159"/>
  <c r="P132" i="159"/>
  <c r="N132" i="159"/>
  <c r="M132" i="159"/>
  <c r="L132" i="159"/>
  <c r="K132" i="159"/>
  <c r="J132" i="159"/>
  <c r="H132" i="159"/>
  <c r="F132" i="159"/>
  <c r="E132" i="159"/>
  <c r="C132" i="159"/>
  <c r="P131" i="159"/>
  <c r="N131" i="159"/>
  <c r="M131" i="159"/>
  <c r="L131" i="159"/>
  <c r="K131" i="159"/>
  <c r="J131" i="159"/>
  <c r="H131" i="159"/>
  <c r="F131" i="159"/>
  <c r="E131" i="159"/>
  <c r="C131" i="159"/>
  <c r="P130" i="159"/>
  <c r="N130" i="159"/>
  <c r="M130" i="159"/>
  <c r="L130" i="159"/>
  <c r="K130" i="159"/>
  <c r="J130" i="159"/>
  <c r="H130" i="159"/>
  <c r="F130" i="159"/>
  <c r="E130" i="159"/>
  <c r="C130" i="159"/>
  <c r="P129" i="159"/>
  <c r="N129" i="159"/>
  <c r="M129" i="159"/>
  <c r="L129" i="159"/>
  <c r="K129" i="159"/>
  <c r="J129" i="159"/>
  <c r="H129" i="159"/>
  <c r="F129" i="159"/>
  <c r="E129" i="159"/>
  <c r="C129" i="159"/>
  <c r="P128" i="159"/>
  <c r="N128" i="159"/>
  <c r="M128" i="159"/>
  <c r="L128" i="159"/>
  <c r="K128" i="159"/>
  <c r="J128" i="159"/>
  <c r="H128" i="159"/>
  <c r="F128" i="159"/>
  <c r="E128" i="159"/>
  <c r="C128" i="159"/>
  <c r="P127" i="159"/>
  <c r="N127" i="159"/>
  <c r="M127" i="159"/>
  <c r="L127" i="159"/>
  <c r="K127" i="159"/>
  <c r="J127" i="159"/>
  <c r="H127" i="159"/>
  <c r="F127" i="159"/>
  <c r="E127" i="159"/>
  <c r="C127" i="159"/>
  <c r="P126" i="159"/>
  <c r="N126" i="159"/>
  <c r="M126" i="159"/>
  <c r="L126" i="159"/>
  <c r="K126" i="159"/>
  <c r="J126" i="159"/>
  <c r="H126" i="159"/>
  <c r="F126" i="159"/>
  <c r="E126" i="159"/>
  <c r="C126" i="159"/>
  <c r="P125" i="159"/>
  <c r="N125" i="159"/>
  <c r="M125" i="159"/>
  <c r="L125" i="159"/>
  <c r="K125" i="159"/>
  <c r="J125" i="159"/>
  <c r="H125" i="159"/>
  <c r="F125" i="159"/>
  <c r="E125" i="159"/>
  <c r="C125" i="159"/>
  <c r="P124" i="159"/>
  <c r="N124" i="159"/>
  <c r="M124" i="159"/>
  <c r="L124" i="159"/>
  <c r="K124" i="159"/>
  <c r="J124" i="159"/>
  <c r="H124" i="159"/>
  <c r="F124" i="159"/>
  <c r="E124" i="159"/>
  <c r="C124" i="159"/>
  <c r="P123" i="159"/>
  <c r="N123" i="159"/>
  <c r="M123" i="159"/>
  <c r="L123" i="159"/>
  <c r="K123" i="159"/>
  <c r="J123" i="159"/>
  <c r="H123" i="159"/>
  <c r="F123" i="159"/>
  <c r="E123" i="159"/>
  <c r="C123" i="159"/>
  <c r="P122" i="159"/>
  <c r="N122" i="159"/>
  <c r="M122" i="159"/>
  <c r="L122" i="159"/>
  <c r="K122" i="159"/>
  <c r="J122" i="159"/>
  <c r="H122" i="159"/>
  <c r="F122" i="159"/>
  <c r="E122" i="159"/>
  <c r="C122" i="159"/>
  <c r="P121" i="159"/>
  <c r="N121" i="159"/>
  <c r="M121" i="159"/>
  <c r="L121" i="159"/>
  <c r="K121" i="159"/>
  <c r="J121" i="159"/>
  <c r="H121" i="159"/>
  <c r="F121" i="159"/>
  <c r="E121" i="159"/>
  <c r="C121" i="159"/>
  <c r="P120" i="159"/>
  <c r="N120" i="159"/>
  <c r="M120" i="159"/>
  <c r="L120" i="159"/>
  <c r="K120" i="159"/>
  <c r="J120" i="159"/>
  <c r="H120" i="159"/>
  <c r="F120" i="159"/>
  <c r="E120" i="159"/>
  <c r="C120" i="159"/>
  <c r="P119" i="159"/>
  <c r="N119" i="159"/>
  <c r="M119" i="159"/>
  <c r="L119" i="159"/>
  <c r="K119" i="159"/>
  <c r="J119" i="159"/>
  <c r="H119" i="159"/>
  <c r="F119" i="159"/>
  <c r="E119" i="159"/>
  <c r="C119" i="159"/>
  <c r="P118" i="159"/>
  <c r="N118" i="159"/>
  <c r="M118" i="159"/>
  <c r="L118" i="159"/>
  <c r="K118" i="159"/>
  <c r="J118" i="159"/>
  <c r="H118" i="159"/>
  <c r="F118" i="159"/>
  <c r="E118" i="159"/>
  <c r="C118" i="159"/>
  <c r="P117" i="159"/>
  <c r="N117" i="159"/>
  <c r="M117" i="159"/>
  <c r="L117" i="159"/>
  <c r="K117" i="159"/>
  <c r="J117" i="159"/>
  <c r="H117" i="159"/>
  <c r="F117" i="159"/>
  <c r="E117" i="159"/>
  <c r="C117" i="159"/>
  <c r="P116" i="159"/>
  <c r="N116" i="159"/>
  <c r="M116" i="159"/>
  <c r="L116" i="159"/>
  <c r="K116" i="159"/>
  <c r="J116" i="159"/>
  <c r="H116" i="159"/>
  <c r="F116" i="159"/>
  <c r="E116" i="159"/>
  <c r="C116" i="159"/>
  <c r="P115" i="159"/>
  <c r="N115" i="159"/>
  <c r="M115" i="159"/>
  <c r="L115" i="159"/>
  <c r="K115" i="159"/>
  <c r="J115" i="159"/>
  <c r="H115" i="159"/>
  <c r="F115" i="159"/>
  <c r="E115" i="159"/>
  <c r="C115" i="159"/>
  <c r="P114" i="159"/>
  <c r="N114" i="159"/>
  <c r="M114" i="159"/>
  <c r="L114" i="159"/>
  <c r="K114" i="159"/>
  <c r="J114" i="159"/>
  <c r="H114" i="159"/>
  <c r="F114" i="159"/>
  <c r="E114" i="159"/>
  <c r="C114" i="159"/>
  <c r="P113" i="159"/>
  <c r="N113" i="159"/>
  <c r="M113" i="159"/>
  <c r="L113" i="159"/>
  <c r="K113" i="159"/>
  <c r="J113" i="159"/>
  <c r="H113" i="159"/>
  <c r="F113" i="159"/>
  <c r="E113" i="159"/>
  <c r="C113" i="159"/>
  <c r="P112" i="159"/>
  <c r="N112" i="159"/>
  <c r="M112" i="159"/>
  <c r="L112" i="159"/>
  <c r="K112" i="159"/>
  <c r="J112" i="159"/>
  <c r="H112" i="159"/>
  <c r="F112" i="159"/>
  <c r="E112" i="159"/>
  <c r="C112" i="159"/>
  <c r="P111" i="159"/>
  <c r="N111" i="159"/>
  <c r="M111" i="159"/>
  <c r="L111" i="159"/>
  <c r="K111" i="159"/>
  <c r="J111" i="159"/>
  <c r="H111" i="159"/>
  <c r="F111" i="159"/>
  <c r="E111" i="159"/>
  <c r="C111" i="159"/>
  <c r="P110" i="159"/>
  <c r="N110" i="159"/>
  <c r="M110" i="159"/>
  <c r="L110" i="159"/>
  <c r="K110" i="159"/>
  <c r="J110" i="159"/>
  <c r="H110" i="159"/>
  <c r="F110" i="159"/>
  <c r="E110" i="159"/>
  <c r="C110" i="159"/>
  <c r="P109" i="159"/>
  <c r="N109" i="159"/>
  <c r="M109" i="159"/>
  <c r="L109" i="159"/>
  <c r="K109" i="159"/>
  <c r="J109" i="159"/>
  <c r="H109" i="159"/>
  <c r="F109" i="159"/>
  <c r="E109" i="159"/>
  <c r="C109" i="159"/>
  <c r="P108" i="159"/>
  <c r="N108" i="159"/>
  <c r="M108" i="159"/>
  <c r="L108" i="159"/>
  <c r="K108" i="159"/>
  <c r="J108" i="159"/>
  <c r="H108" i="159"/>
  <c r="F108" i="159"/>
  <c r="E108" i="159"/>
  <c r="C108" i="159"/>
  <c r="P107" i="159"/>
  <c r="N107" i="159"/>
  <c r="M107" i="159"/>
  <c r="L107" i="159"/>
  <c r="K107" i="159"/>
  <c r="J107" i="159"/>
  <c r="H107" i="159"/>
  <c r="F107" i="159"/>
  <c r="E107" i="159"/>
  <c r="C107" i="159"/>
  <c r="P106" i="159"/>
  <c r="N106" i="159"/>
  <c r="M106" i="159"/>
  <c r="L106" i="159"/>
  <c r="K106" i="159"/>
  <c r="J106" i="159"/>
  <c r="H106" i="159"/>
  <c r="F106" i="159"/>
  <c r="E106" i="159"/>
  <c r="C106" i="159"/>
  <c r="P105" i="159"/>
  <c r="N105" i="159"/>
  <c r="M105" i="159"/>
  <c r="L105" i="159"/>
  <c r="K105" i="159"/>
  <c r="J105" i="159"/>
  <c r="H105" i="159"/>
  <c r="F105" i="159"/>
  <c r="E105" i="159"/>
  <c r="C105" i="159"/>
  <c r="P104" i="159"/>
  <c r="N104" i="159"/>
  <c r="M104" i="159"/>
  <c r="L104" i="159"/>
  <c r="K104" i="159"/>
  <c r="J104" i="159"/>
  <c r="H104" i="159"/>
  <c r="F104" i="159"/>
  <c r="E104" i="159"/>
  <c r="C104" i="159"/>
  <c r="P103" i="159"/>
  <c r="N103" i="159"/>
  <c r="M103" i="159"/>
  <c r="L103" i="159"/>
  <c r="K103" i="159"/>
  <c r="J103" i="159"/>
  <c r="H103" i="159"/>
  <c r="F103" i="159"/>
  <c r="E103" i="159"/>
  <c r="C103" i="159"/>
  <c r="P102" i="159"/>
  <c r="N102" i="159"/>
  <c r="M102" i="159"/>
  <c r="L102" i="159"/>
  <c r="K102" i="159"/>
  <c r="J102" i="159"/>
  <c r="H102" i="159"/>
  <c r="F102" i="159"/>
  <c r="E102" i="159"/>
  <c r="C102" i="159"/>
  <c r="P101" i="159"/>
  <c r="N101" i="159"/>
  <c r="M101" i="159"/>
  <c r="L101" i="159"/>
  <c r="K101" i="159"/>
  <c r="J101" i="159"/>
  <c r="H101" i="159"/>
  <c r="F101" i="159"/>
  <c r="E101" i="159"/>
  <c r="C101" i="159"/>
  <c r="P100" i="159"/>
  <c r="N100" i="159"/>
  <c r="M100" i="159"/>
  <c r="L100" i="159"/>
  <c r="K100" i="159"/>
  <c r="J100" i="159"/>
  <c r="H100" i="159"/>
  <c r="F100" i="159"/>
  <c r="E100" i="159"/>
  <c r="C100" i="159"/>
  <c r="P99" i="159"/>
  <c r="N99" i="159"/>
  <c r="M99" i="159"/>
  <c r="L99" i="159"/>
  <c r="K99" i="159"/>
  <c r="J99" i="159"/>
  <c r="H99" i="159"/>
  <c r="F99" i="159"/>
  <c r="E99" i="159"/>
  <c r="C99" i="159"/>
  <c r="P98" i="159"/>
  <c r="N98" i="159"/>
  <c r="M98" i="159"/>
  <c r="L98" i="159"/>
  <c r="K98" i="159"/>
  <c r="J98" i="159"/>
  <c r="H98" i="159"/>
  <c r="F98" i="159"/>
  <c r="E98" i="159"/>
  <c r="C98" i="159"/>
  <c r="P97" i="159"/>
  <c r="N97" i="159"/>
  <c r="M97" i="159"/>
  <c r="L97" i="159"/>
  <c r="K97" i="159"/>
  <c r="J97" i="159"/>
  <c r="H97" i="159"/>
  <c r="F97" i="159"/>
  <c r="E97" i="159"/>
  <c r="C97" i="159"/>
  <c r="P96" i="159"/>
  <c r="N96" i="159"/>
  <c r="M96" i="159"/>
  <c r="L96" i="159"/>
  <c r="K96" i="159"/>
  <c r="J96" i="159"/>
  <c r="H96" i="159"/>
  <c r="F96" i="159"/>
  <c r="E96" i="159"/>
  <c r="C96" i="159"/>
  <c r="P95" i="159"/>
  <c r="N95" i="159"/>
  <c r="M95" i="159"/>
  <c r="L95" i="159"/>
  <c r="K95" i="159"/>
  <c r="J95" i="159"/>
  <c r="H95" i="159"/>
  <c r="F95" i="159"/>
  <c r="E95" i="159"/>
  <c r="C95" i="159"/>
  <c r="P94" i="159"/>
  <c r="N94" i="159"/>
  <c r="M94" i="159"/>
  <c r="L94" i="159"/>
  <c r="K94" i="159"/>
  <c r="J94" i="159"/>
  <c r="H94" i="159"/>
  <c r="F94" i="159"/>
  <c r="E94" i="159"/>
  <c r="C94" i="159"/>
  <c r="P93" i="159"/>
  <c r="N93" i="159"/>
  <c r="M93" i="159"/>
  <c r="L93" i="159"/>
  <c r="K93" i="159"/>
  <c r="J93" i="159"/>
  <c r="H93" i="159"/>
  <c r="F93" i="159"/>
  <c r="E93" i="159"/>
  <c r="C93" i="159"/>
  <c r="P92" i="159"/>
  <c r="N92" i="159"/>
  <c r="M92" i="159"/>
  <c r="L92" i="159"/>
  <c r="K92" i="159"/>
  <c r="J92" i="159"/>
  <c r="H92" i="159"/>
  <c r="F92" i="159"/>
  <c r="E92" i="159"/>
  <c r="C92" i="159"/>
  <c r="P91" i="159"/>
  <c r="N91" i="159"/>
  <c r="M91" i="159"/>
  <c r="L91" i="159"/>
  <c r="K91" i="159"/>
  <c r="J91" i="159"/>
  <c r="H91" i="159"/>
  <c r="F91" i="159"/>
  <c r="E91" i="159"/>
  <c r="C91" i="159"/>
  <c r="P90" i="159"/>
  <c r="N90" i="159"/>
  <c r="M90" i="159"/>
  <c r="L90" i="159"/>
  <c r="K90" i="159"/>
  <c r="J90" i="159"/>
  <c r="H90" i="159"/>
  <c r="F90" i="159"/>
  <c r="E90" i="159"/>
  <c r="C90" i="159"/>
  <c r="P89" i="159"/>
  <c r="N89" i="159"/>
  <c r="M89" i="159"/>
  <c r="L89" i="159"/>
  <c r="K89" i="159"/>
  <c r="J89" i="159"/>
  <c r="H89" i="159"/>
  <c r="F89" i="159"/>
  <c r="E89" i="159"/>
  <c r="C89" i="159"/>
  <c r="P88" i="159"/>
  <c r="N88" i="159"/>
  <c r="M88" i="159"/>
  <c r="L88" i="159"/>
  <c r="K88" i="159"/>
  <c r="J88" i="159"/>
  <c r="H88" i="159"/>
  <c r="F88" i="159"/>
  <c r="E88" i="159"/>
  <c r="C88" i="159"/>
  <c r="P87" i="159"/>
  <c r="N87" i="159"/>
  <c r="M87" i="159"/>
  <c r="L87" i="159"/>
  <c r="K87" i="159"/>
  <c r="J87" i="159"/>
  <c r="H87" i="159"/>
  <c r="F87" i="159"/>
  <c r="E87" i="159"/>
  <c r="C87" i="159"/>
  <c r="P86" i="159"/>
  <c r="N86" i="159"/>
  <c r="M86" i="159"/>
  <c r="L86" i="159"/>
  <c r="K86" i="159"/>
  <c r="J86" i="159"/>
  <c r="H86" i="159"/>
  <c r="F86" i="159"/>
  <c r="E86" i="159"/>
  <c r="C86" i="159"/>
  <c r="P85" i="159"/>
  <c r="N85" i="159"/>
  <c r="M85" i="159"/>
  <c r="L85" i="159"/>
  <c r="K85" i="159"/>
  <c r="J85" i="159"/>
  <c r="H85" i="159"/>
  <c r="F85" i="159"/>
  <c r="E85" i="159"/>
  <c r="C85" i="159"/>
  <c r="P84" i="159"/>
  <c r="N84" i="159"/>
  <c r="M84" i="159"/>
  <c r="L84" i="159"/>
  <c r="K84" i="159"/>
  <c r="J84" i="159"/>
  <c r="H84" i="159"/>
  <c r="F84" i="159"/>
  <c r="E84" i="159"/>
  <c r="C84" i="159"/>
  <c r="P83" i="159"/>
  <c r="N83" i="159"/>
  <c r="M83" i="159"/>
  <c r="L83" i="159"/>
  <c r="K83" i="159"/>
  <c r="J83" i="159"/>
  <c r="H83" i="159"/>
  <c r="F83" i="159"/>
  <c r="E83" i="159"/>
  <c r="C83" i="159"/>
  <c r="P82" i="159"/>
  <c r="N82" i="159"/>
  <c r="M82" i="159"/>
  <c r="L82" i="159"/>
  <c r="K82" i="159"/>
  <c r="J82" i="159"/>
  <c r="H82" i="159"/>
  <c r="F82" i="159"/>
  <c r="E82" i="159"/>
  <c r="C82" i="159"/>
  <c r="P81" i="159"/>
  <c r="N81" i="159"/>
  <c r="M81" i="159"/>
  <c r="L81" i="159"/>
  <c r="K81" i="159"/>
  <c r="J81" i="159"/>
  <c r="H81" i="159"/>
  <c r="F81" i="159"/>
  <c r="E81" i="159"/>
  <c r="C81" i="159"/>
  <c r="P80" i="159"/>
  <c r="N80" i="159"/>
  <c r="M80" i="159"/>
  <c r="L80" i="159"/>
  <c r="K80" i="159"/>
  <c r="J80" i="159"/>
  <c r="H80" i="159"/>
  <c r="F80" i="159"/>
  <c r="E80" i="159"/>
  <c r="C80" i="159"/>
  <c r="P79" i="159"/>
  <c r="N79" i="159"/>
  <c r="M79" i="159"/>
  <c r="L79" i="159"/>
  <c r="K79" i="159"/>
  <c r="J79" i="159"/>
  <c r="H79" i="159"/>
  <c r="F79" i="159"/>
  <c r="E79" i="159"/>
  <c r="C79" i="159"/>
  <c r="P78" i="159"/>
  <c r="N78" i="159"/>
  <c r="M78" i="159"/>
  <c r="L78" i="159"/>
  <c r="K78" i="159"/>
  <c r="J78" i="159"/>
  <c r="H78" i="159"/>
  <c r="F78" i="159"/>
  <c r="E78" i="159"/>
  <c r="C78" i="159"/>
  <c r="P77" i="159"/>
  <c r="N77" i="159"/>
  <c r="M77" i="159"/>
  <c r="L77" i="159"/>
  <c r="K77" i="159"/>
  <c r="J77" i="159"/>
  <c r="H77" i="159"/>
  <c r="F77" i="159"/>
  <c r="E77" i="159"/>
  <c r="C77" i="159"/>
  <c r="P76" i="159"/>
  <c r="N76" i="159"/>
  <c r="M76" i="159"/>
  <c r="L76" i="159"/>
  <c r="K76" i="159"/>
  <c r="J76" i="159"/>
  <c r="H76" i="159"/>
  <c r="F76" i="159"/>
  <c r="E76" i="159"/>
  <c r="C76" i="159"/>
  <c r="P75" i="159"/>
  <c r="N75" i="159"/>
  <c r="M75" i="159"/>
  <c r="L75" i="159"/>
  <c r="K75" i="159"/>
  <c r="J75" i="159"/>
  <c r="H75" i="159"/>
  <c r="F75" i="159"/>
  <c r="E75" i="159"/>
  <c r="C75" i="159"/>
  <c r="P74" i="159"/>
  <c r="N74" i="159"/>
  <c r="M74" i="159"/>
  <c r="L74" i="159"/>
  <c r="K74" i="159"/>
  <c r="J74" i="159"/>
  <c r="H74" i="159"/>
  <c r="F74" i="159"/>
  <c r="E74" i="159"/>
  <c r="C74" i="159"/>
  <c r="P73" i="159"/>
  <c r="N73" i="159"/>
  <c r="M73" i="159"/>
  <c r="L73" i="159"/>
  <c r="K73" i="159"/>
  <c r="J73" i="159"/>
  <c r="H73" i="159"/>
  <c r="F73" i="159"/>
  <c r="E73" i="159"/>
  <c r="C73" i="159"/>
  <c r="P72" i="159"/>
  <c r="N72" i="159"/>
  <c r="M72" i="159"/>
  <c r="L72" i="159"/>
  <c r="K72" i="159"/>
  <c r="J72" i="159"/>
  <c r="H72" i="159"/>
  <c r="F72" i="159"/>
  <c r="E72" i="159"/>
  <c r="C72" i="159"/>
  <c r="P71" i="159"/>
  <c r="N71" i="159"/>
  <c r="M71" i="159"/>
  <c r="L71" i="159"/>
  <c r="K71" i="159"/>
  <c r="H71" i="159"/>
  <c r="F71" i="159"/>
  <c r="E71" i="159"/>
  <c r="C71" i="159"/>
  <c r="P70" i="159"/>
  <c r="N70" i="159"/>
  <c r="M70" i="159"/>
  <c r="L70" i="159"/>
  <c r="K70" i="159"/>
  <c r="H70" i="159"/>
  <c r="F70" i="159"/>
  <c r="E70" i="159"/>
  <c r="C70" i="159"/>
  <c r="P69" i="159"/>
  <c r="N69" i="159"/>
  <c r="M69" i="159"/>
  <c r="L69" i="159"/>
  <c r="K69" i="159"/>
  <c r="H69" i="159"/>
  <c r="F69" i="159"/>
  <c r="E69" i="159"/>
  <c r="C69" i="159"/>
  <c r="P68" i="159"/>
  <c r="N68" i="159"/>
  <c r="M68" i="159"/>
  <c r="L68" i="159"/>
  <c r="K68" i="159"/>
  <c r="H68" i="159"/>
  <c r="F68" i="159"/>
  <c r="E68" i="159"/>
  <c r="C68" i="159"/>
  <c r="P67" i="159"/>
  <c r="N67" i="159"/>
  <c r="M67" i="159"/>
  <c r="L67" i="159"/>
  <c r="K67" i="159"/>
  <c r="H67" i="159"/>
  <c r="F67" i="159"/>
  <c r="E67" i="159"/>
  <c r="C67" i="159"/>
  <c r="P66" i="159"/>
  <c r="N66" i="159"/>
  <c r="M66" i="159"/>
  <c r="L66" i="159"/>
  <c r="K66" i="159"/>
  <c r="H66" i="159"/>
  <c r="F66" i="159"/>
  <c r="E66" i="159"/>
  <c r="C66" i="159"/>
  <c r="P65" i="159"/>
  <c r="N65" i="159"/>
  <c r="M65" i="159"/>
  <c r="L65" i="159"/>
  <c r="K65" i="159"/>
  <c r="J65" i="159"/>
  <c r="H65" i="159"/>
  <c r="F65" i="159"/>
  <c r="E65" i="159"/>
  <c r="C65" i="159"/>
  <c r="P64" i="159"/>
  <c r="N64" i="159"/>
  <c r="M64" i="159"/>
  <c r="L64" i="159"/>
  <c r="K64" i="159"/>
  <c r="J64" i="159"/>
  <c r="H64" i="159"/>
  <c r="F64" i="159"/>
  <c r="E64" i="159"/>
  <c r="C64" i="159"/>
  <c r="P63" i="159"/>
  <c r="N63" i="159"/>
  <c r="M63" i="159"/>
  <c r="L63" i="159"/>
  <c r="K63" i="159"/>
  <c r="J63" i="159"/>
  <c r="H63" i="159"/>
  <c r="F63" i="159"/>
  <c r="E63" i="159"/>
  <c r="C63" i="159"/>
  <c r="P62" i="159"/>
  <c r="N62" i="159"/>
  <c r="M62" i="159"/>
  <c r="L62" i="159"/>
  <c r="K62" i="159"/>
  <c r="J62" i="159"/>
  <c r="H62" i="159"/>
  <c r="F62" i="159"/>
  <c r="E62" i="159"/>
  <c r="C62" i="159"/>
  <c r="P61" i="159"/>
  <c r="N61" i="159"/>
  <c r="M61" i="159"/>
  <c r="L61" i="159"/>
  <c r="K61" i="159"/>
  <c r="J61" i="159"/>
  <c r="H61" i="159"/>
  <c r="F61" i="159"/>
  <c r="E61" i="159"/>
  <c r="C61" i="159"/>
  <c r="P60" i="159"/>
  <c r="N60" i="159"/>
  <c r="M60" i="159"/>
  <c r="L60" i="159"/>
  <c r="K60" i="159"/>
  <c r="J60" i="159"/>
  <c r="H60" i="159"/>
  <c r="F60" i="159"/>
  <c r="E60" i="159"/>
  <c r="C60" i="159"/>
  <c r="P59" i="159"/>
  <c r="N59" i="159"/>
  <c r="M59" i="159"/>
  <c r="L59" i="159"/>
  <c r="K59" i="159"/>
  <c r="J59" i="159"/>
  <c r="H59" i="159"/>
  <c r="F59" i="159"/>
  <c r="E59" i="159"/>
  <c r="C59" i="159"/>
  <c r="P58" i="159"/>
  <c r="N58" i="159"/>
  <c r="M58" i="159"/>
  <c r="L58" i="159"/>
  <c r="K58" i="159"/>
  <c r="J58" i="159"/>
  <c r="H58" i="159"/>
  <c r="F58" i="159"/>
  <c r="E58" i="159"/>
  <c r="C58" i="159"/>
  <c r="P57" i="159"/>
  <c r="N57" i="159"/>
  <c r="M57" i="159"/>
  <c r="L57" i="159"/>
  <c r="K57" i="159"/>
  <c r="J57" i="159"/>
  <c r="H57" i="159"/>
  <c r="F57" i="159"/>
  <c r="E57" i="159"/>
  <c r="C57" i="159"/>
  <c r="P56" i="159"/>
  <c r="N56" i="159"/>
  <c r="M56" i="159"/>
  <c r="L56" i="159"/>
  <c r="K56" i="159"/>
  <c r="J56" i="159"/>
  <c r="H56" i="159"/>
  <c r="F56" i="159"/>
  <c r="E56" i="159"/>
  <c r="C56" i="159"/>
  <c r="P55" i="159"/>
  <c r="N55" i="159"/>
  <c r="M55" i="159"/>
  <c r="L55" i="159"/>
  <c r="K55" i="159"/>
  <c r="J55" i="159"/>
  <c r="H55" i="159"/>
  <c r="F55" i="159"/>
  <c r="E55" i="159"/>
  <c r="C55" i="159"/>
  <c r="P54" i="159"/>
  <c r="N54" i="159"/>
  <c r="M54" i="159"/>
  <c r="L54" i="159"/>
  <c r="K54" i="159"/>
  <c r="J54" i="159"/>
  <c r="H54" i="159"/>
  <c r="F54" i="159"/>
  <c r="E54" i="159"/>
  <c r="C54" i="159"/>
  <c r="P53" i="159"/>
  <c r="N53" i="159"/>
  <c r="M53" i="159"/>
  <c r="L53" i="159"/>
  <c r="K53" i="159"/>
  <c r="J53" i="159"/>
  <c r="H53" i="159"/>
  <c r="F53" i="159"/>
  <c r="E53" i="159"/>
  <c r="C53" i="159"/>
  <c r="P52" i="159"/>
  <c r="N52" i="159"/>
  <c r="M52" i="159"/>
  <c r="L52" i="159"/>
  <c r="K52" i="159"/>
  <c r="J52" i="159"/>
  <c r="H52" i="159"/>
  <c r="F52" i="159"/>
  <c r="E52" i="159"/>
  <c r="C52" i="159"/>
  <c r="P51" i="159"/>
  <c r="N51" i="159"/>
  <c r="M51" i="159"/>
  <c r="L51" i="159"/>
  <c r="K51" i="159"/>
  <c r="J51" i="159"/>
  <c r="H51" i="159"/>
  <c r="F51" i="159"/>
  <c r="E51" i="159"/>
  <c r="C51" i="159"/>
  <c r="P50" i="159"/>
  <c r="N50" i="159"/>
  <c r="M50" i="159"/>
  <c r="L50" i="159"/>
  <c r="K50" i="159"/>
  <c r="J50" i="159"/>
  <c r="H50" i="159"/>
  <c r="F50" i="159"/>
  <c r="E50" i="159"/>
  <c r="C50" i="159"/>
  <c r="P49" i="159"/>
  <c r="N49" i="159"/>
  <c r="M49" i="159"/>
  <c r="L49" i="159"/>
  <c r="K49" i="159"/>
  <c r="J49" i="159"/>
  <c r="H49" i="159"/>
  <c r="F49" i="159"/>
  <c r="E49" i="159"/>
  <c r="C49" i="159"/>
  <c r="P48" i="159"/>
  <c r="N48" i="159"/>
  <c r="M48" i="159"/>
  <c r="L48" i="159"/>
  <c r="K48" i="159"/>
  <c r="J48" i="159"/>
  <c r="H48" i="159"/>
  <c r="F48" i="159"/>
  <c r="E48" i="159"/>
  <c r="C48" i="159"/>
  <c r="P47" i="159"/>
  <c r="N47" i="159"/>
  <c r="M47" i="159"/>
  <c r="L47" i="159"/>
  <c r="K47" i="159"/>
  <c r="J47" i="159"/>
  <c r="H47" i="159"/>
  <c r="F47" i="159"/>
  <c r="E47" i="159"/>
  <c r="C47" i="159"/>
  <c r="P46" i="159"/>
  <c r="N46" i="159"/>
  <c r="M46" i="159"/>
  <c r="L46" i="159"/>
  <c r="K46" i="159"/>
  <c r="J46" i="159"/>
  <c r="H46" i="159"/>
  <c r="F46" i="159"/>
  <c r="E46" i="159"/>
  <c r="C46" i="159"/>
  <c r="P45" i="159"/>
  <c r="N45" i="159"/>
  <c r="M45" i="159"/>
  <c r="L45" i="159"/>
  <c r="K45" i="159"/>
  <c r="J45" i="159"/>
  <c r="H45" i="159"/>
  <c r="F45" i="159"/>
  <c r="E45" i="159"/>
  <c r="C45" i="159"/>
  <c r="P44" i="159"/>
  <c r="N44" i="159"/>
  <c r="M44" i="159"/>
  <c r="L44" i="159"/>
  <c r="K44" i="159"/>
  <c r="J44" i="159"/>
  <c r="H44" i="159"/>
  <c r="F44" i="159"/>
  <c r="E44" i="159"/>
  <c r="C44" i="159"/>
  <c r="A157" i="159"/>
  <c r="A156" i="159"/>
  <c r="A155" i="159"/>
  <c r="A154" i="159"/>
  <c r="A153" i="159"/>
  <c r="A152" i="159"/>
  <c r="A151" i="159"/>
  <c r="A150" i="159"/>
  <c r="A149" i="159"/>
  <c r="A148" i="159"/>
  <c r="A147" i="159"/>
  <c r="A146" i="159"/>
  <c r="A145" i="159"/>
  <c r="A144" i="159"/>
  <c r="A143" i="159"/>
  <c r="A142" i="159"/>
  <c r="A141" i="159"/>
  <c r="A140" i="159"/>
  <c r="A139" i="159"/>
  <c r="A138" i="159"/>
  <c r="A137" i="159"/>
  <c r="A136" i="159"/>
  <c r="A135" i="159"/>
  <c r="A134" i="159"/>
  <c r="A133" i="159"/>
  <c r="A132" i="159"/>
  <c r="A131" i="159"/>
  <c r="A130" i="159"/>
  <c r="A129" i="159"/>
  <c r="A128" i="159"/>
  <c r="A127" i="159"/>
  <c r="A126" i="159"/>
  <c r="A125" i="159"/>
  <c r="A124" i="159"/>
  <c r="A123" i="159"/>
  <c r="A122" i="159"/>
  <c r="A121" i="159"/>
  <c r="A120" i="159"/>
  <c r="A119" i="159"/>
  <c r="A118" i="159"/>
  <c r="A117" i="159"/>
  <c r="A116" i="159"/>
  <c r="A115" i="159"/>
  <c r="A114" i="159"/>
  <c r="A113" i="159"/>
  <c r="A112" i="159"/>
  <c r="A111" i="159"/>
  <c r="A110" i="159"/>
  <c r="A109" i="159"/>
  <c r="A108" i="159"/>
  <c r="A107" i="159"/>
  <c r="A106" i="159"/>
  <c r="A105" i="159"/>
  <c r="A104" i="159"/>
  <c r="A103" i="159"/>
  <c r="A102" i="159"/>
  <c r="A101" i="159"/>
  <c r="A100" i="159"/>
  <c r="A99" i="159"/>
  <c r="A98" i="159"/>
  <c r="A97" i="159"/>
  <c r="A96" i="159"/>
  <c r="A95" i="159"/>
  <c r="A94" i="159"/>
  <c r="A93" i="159"/>
  <c r="A92" i="159"/>
  <c r="A91" i="159"/>
  <c r="A90" i="159"/>
  <c r="A89" i="159"/>
  <c r="A88" i="159"/>
  <c r="A87" i="159"/>
  <c r="A86" i="159"/>
  <c r="A85" i="159"/>
  <c r="A84" i="159"/>
  <c r="A83" i="159"/>
  <c r="A82" i="159"/>
  <c r="A81" i="159"/>
  <c r="A80" i="159"/>
  <c r="A79" i="159"/>
  <c r="A78" i="159"/>
  <c r="A77" i="159"/>
  <c r="A76" i="159"/>
  <c r="A75" i="159"/>
  <c r="A74" i="159"/>
  <c r="A73" i="159"/>
  <c r="A72" i="159"/>
  <c r="A71" i="159"/>
  <c r="A70" i="159"/>
  <c r="A69" i="159"/>
  <c r="A68" i="159"/>
  <c r="A67" i="159"/>
  <c r="A66" i="159"/>
  <c r="A65" i="159"/>
  <c r="A64" i="159"/>
  <c r="A63" i="159"/>
  <c r="A62" i="159"/>
  <c r="A61" i="159"/>
  <c r="A60" i="159"/>
  <c r="A59" i="159"/>
  <c r="A58" i="159"/>
  <c r="A57" i="159"/>
  <c r="A56" i="159"/>
  <c r="A55" i="159"/>
  <c r="A54" i="159"/>
  <c r="A53" i="159"/>
  <c r="A52" i="159"/>
  <c r="A51" i="159"/>
  <c r="A50" i="159"/>
  <c r="A49" i="159"/>
  <c r="A48" i="159"/>
  <c r="A47" i="159"/>
  <c r="A46" i="159"/>
  <c r="A45" i="159"/>
  <c r="A44" i="159"/>
  <c r="A43" i="159"/>
  <c r="A42" i="159"/>
  <c r="A41" i="159"/>
  <c r="A40" i="159"/>
  <c r="A39" i="159"/>
  <c r="A38" i="159"/>
  <c r="A37" i="159"/>
  <c r="A36" i="159"/>
  <c r="A35" i="159"/>
  <c r="A34" i="159"/>
  <c r="A33" i="159"/>
  <c r="A32" i="159"/>
  <c r="A31" i="159"/>
  <c r="A30" i="159"/>
  <c r="A29" i="159"/>
  <c r="A28" i="159"/>
  <c r="A27" i="159"/>
  <c r="A26" i="159"/>
  <c r="A25" i="159"/>
  <c r="A24" i="159"/>
  <c r="A23" i="159"/>
  <c r="A22" i="159"/>
  <c r="A21" i="159"/>
  <c r="A20" i="159"/>
  <c r="A19" i="159"/>
  <c r="A18" i="159"/>
  <c r="A17" i="159"/>
  <c r="A16" i="159"/>
  <c r="A15" i="159"/>
  <c r="A14" i="159"/>
  <c r="A13" i="159"/>
  <c r="A12" i="159"/>
  <c r="A11" i="159"/>
  <c r="A10" i="159"/>
  <c r="A9" i="159"/>
  <c r="A8" i="159"/>
  <c r="A7" i="159"/>
  <c r="A6" i="159"/>
  <c r="A5" i="159"/>
  <c r="A4" i="159"/>
  <c r="A3" i="159"/>
  <c r="A2" i="159"/>
  <c r="B46" i="157"/>
  <c r="B10" i="157"/>
  <c r="P359" i="158"/>
  <c r="N359" i="158"/>
  <c r="M359" i="158"/>
  <c r="L359" i="158"/>
  <c r="K359" i="158"/>
  <c r="H359" i="158"/>
  <c r="P358" i="158"/>
  <c r="N358" i="158"/>
  <c r="M358" i="158"/>
  <c r="L358" i="158"/>
  <c r="K358" i="158"/>
  <c r="H358" i="158"/>
  <c r="P357" i="158"/>
  <c r="N357" i="158"/>
  <c r="M357" i="158"/>
  <c r="L357" i="158"/>
  <c r="K357" i="158"/>
  <c r="H357" i="158"/>
  <c r="P356" i="158"/>
  <c r="N356" i="158"/>
  <c r="M356" i="158"/>
  <c r="L356" i="158"/>
  <c r="K356" i="158"/>
  <c r="H356" i="158"/>
  <c r="A359" i="158"/>
  <c r="A358" i="158"/>
  <c r="A357" i="158"/>
  <c r="A356" i="158"/>
  <c r="P355" i="158"/>
  <c r="N355" i="158"/>
  <c r="M355" i="158"/>
  <c r="L355" i="158"/>
  <c r="K355" i="158"/>
  <c r="H355" i="158"/>
  <c r="P354" i="158"/>
  <c r="N354" i="158"/>
  <c r="M354" i="158"/>
  <c r="L354" i="158"/>
  <c r="K354" i="158"/>
  <c r="H354" i="158"/>
  <c r="P353" i="158"/>
  <c r="N353" i="158"/>
  <c r="M353" i="158"/>
  <c r="L353" i="158"/>
  <c r="K353" i="158"/>
  <c r="H353" i="158"/>
  <c r="P352" i="158"/>
  <c r="N352" i="158"/>
  <c r="M352" i="158"/>
  <c r="L352" i="158"/>
  <c r="K352" i="158"/>
  <c r="H352" i="158"/>
  <c r="P351" i="158"/>
  <c r="N351" i="158"/>
  <c r="M351" i="158"/>
  <c r="L351" i="158"/>
  <c r="K351" i="158"/>
  <c r="H351" i="158"/>
  <c r="P350" i="158"/>
  <c r="N350" i="158"/>
  <c r="M350" i="158"/>
  <c r="L350" i="158"/>
  <c r="K350" i="158"/>
  <c r="H350" i="158"/>
  <c r="P349" i="158"/>
  <c r="N349" i="158"/>
  <c r="M349" i="158"/>
  <c r="L349" i="158"/>
  <c r="K349" i="158"/>
  <c r="H349" i="158"/>
  <c r="P348" i="158"/>
  <c r="N348" i="158"/>
  <c r="M348" i="158"/>
  <c r="L348" i="158"/>
  <c r="K348" i="158"/>
  <c r="H348" i="158"/>
  <c r="P347" i="158"/>
  <c r="N347" i="158"/>
  <c r="M347" i="158"/>
  <c r="L347" i="158"/>
  <c r="K347" i="158"/>
  <c r="H347" i="158"/>
  <c r="P346" i="158"/>
  <c r="N346" i="158"/>
  <c r="M346" i="158"/>
  <c r="L346" i="158"/>
  <c r="K346" i="158"/>
  <c r="H346" i="158"/>
  <c r="P345" i="158"/>
  <c r="N345" i="158"/>
  <c r="M345" i="158"/>
  <c r="L345" i="158"/>
  <c r="K345" i="158"/>
  <c r="H345" i="158"/>
  <c r="P344" i="158"/>
  <c r="N344" i="158"/>
  <c r="M344" i="158"/>
  <c r="L344" i="158"/>
  <c r="K344" i="158"/>
  <c r="H344" i="158"/>
  <c r="P343" i="158"/>
  <c r="N343" i="158"/>
  <c r="M343" i="158"/>
  <c r="L343" i="158"/>
  <c r="K343" i="158"/>
  <c r="H343" i="158"/>
  <c r="P342" i="158"/>
  <c r="N342" i="158"/>
  <c r="M342" i="158"/>
  <c r="L342" i="158"/>
  <c r="K342" i="158"/>
  <c r="H342" i="158"/>
  <c r="P341" i="158"/>
  <c r="N341" i="158"/>
  <c r="M341" i="158"/>
  <c r="L341" i="158"/>
  <c r="K341" i="158"/>
  <c r="H341" i="158"/>
  <c r="P340" i="158"/>
  <c r="N340" i="158"/>
  <c r="M340" i="158"/>
  <c r="L340" i="158"/>
  <c r="K340" i="158"/>
  <c r="H340" i="158"/>
  <c r="P339" i="158"/>
  <c r="N339" i="158"/>
  <c r="M339" i="158"/>
  <c r="L339" i="158"/>
  <c r="K339" i="158"/>
  <c r="H339" i="158"/>
  <c r="P338" i="158"/>
  <c r="N338" i="158"/>
  <c r="M338" i="158"/>
  <c r="L338" i="158"/>
  <c r="K338" i="158"/>
  <c r="H338" i="158"/>
  <c r="P337" i="158"/>
  <c r="N337" i="158"/>
  <c r="M337" i="158"/>
  <c r="L337" i="158"/>
  <c r="K337" i="158"/>
  <c r="H337" i="158"/>
  <c r="P336" i="158"/>
  <c r="N336" i="158"/>
  <c r="M336" i="158"/>
  <c r="L336" i="158"/>
  <c r="K336" i="158"/>
  <c r="H336" i="158"/>
  <c r="P335" i="158"/>
  <c r="N335" i="158"/>
  <c r="M335" i="158"/>
  <c r="L335" i="158"/>
  <c r="K335" i="158"/>
  <c r="H335" i="158"/>
  <c r="P334" i="158"/>
  <c r="N334" i="158"/>
  <c r="M334" i="158"/>
  <c r="L334" i="158"/>
  <c r="K334" i="158"/>
  <c r="H334" i="158"/>
  <c r="P333" i="158"/>
  <c r="N333" i="158"/>
  <c r="M333" i="158"/>
  <c r="L333" i="158"/>
  <c r="K333" i="158"/>
  <c r="H333" i="158"/>
  <c r="P332" i="158"/>
  <c r="N332" i="158"/>
  <c r="M332" i="158"/>
  <c r="L332" i="158"/>
  <c r="K332" i="158"/>
  <c r="H332" i="158"/>
  <c r="P331" i="158"/>
  <c r="N331" i="158"/>
  <c r="M331" i="158"/>
  <c r="L331" i="158"/>
  <c r="K331" i="158"/>
  <c r="H331" i="158"/>
  <c r="P330" i="158"/>
  <c r="N330" i="158"/>
  <c r="M330" i="158"/>
  <c r="L330" i="158"/>
  <c r="K330" i="158"/>
  <c r="H330" i="158"/>
  <c r="P329" i="158"/>
  <c r="N329" i="158"/>
  <c r="M329" i="158"/>
  <c r="L329" i="158"/>
  <c r="K329" i="158"/>
  <c r="H329" i="158"/>
  <c r="P328" i="158"/>
  <c r="N328" i="158"/>
  <c r="M328" i="158"/>
  <c r="L328" i="158"/>
  <c r="K328" i="158"/>
  <c r="H328" i="158"/>
  <c r="P327" i="158"/>
  <c r="N327" i="158"/>
  <c r="M327" i="158"/>
  <c r="L327" i="158"/>
  <c r="K327" i="158"/>
  <c r="H327" i="158"/>
  <c r="P326" i="158"/>
  <c r="N326" i="158"/>
  <c r="M326" i="158"/>
  <c r="L326" i="158"/>
  <c r="K326" i="158"/>
  <c r="H326" i="158"/>
  <c r="P325" i="158"/>
  <c r="N325" i="158"/>
  <c r="M325" i="158"/>
  <c r="L325" i="158"/>
  <c r="K325" i="158"/>
  <c r="H325" i="158"/>
  <c r="P324" i="158"/>
  <c r="N324" i="158"/>
  <c r="M324" i="158"/>
  <c r="L324" i="158"/>
  <c r="K324" i="158"/>
  <c r="H324" i="158"/>
  <c r="P323" i="158"/>
  <c r="N323" i="158"/>
  <c r="M323" i="158"/>
  <c r="L323" i="158"/>
  <c r="K323" i="158"/>
  <c r="H323" i="158"/>
  <c r="P322" i="158"/>
  <c r="N322" i="158"/>
  <c r="M322" i="158"/>
  <c r="L322" i="158"/>
  <c r="K322" i="158"/>
  <c r="H322" i="158"/>
  <c r="P321" i="158"/>
  <c r="N321" i="158"/>
  <c r="M321" i="158"/>
  <c r="L321" i="158"/>
  <c r="K321" i="158"/>
  <c r="H321" i="158"/>
  <c r="P320" i="158"/>
  <c r="N320" i="158"/>
  <c r="M320" i="158"/>
  <c r="L320" i="158"/>
  <c r="K320" i="158"/>
  <c r="H320" i="158"/>
  <c r="P319" i="158"/>
  <c r="N319" i="158"/>
  <c r="M319" i="158"/>
  <c r="L319" i="158"/>
  <c r="K319" i="158"/>
  <c r="H319" i="158"/>
  <c r="P318" i="158"/>
  <c r="N318" i="158"/>
  <c r="M318" i="158"/>
  <c r="L318" i="158"/>
  <c r="K318" i="158"/>
  <c r="H318" i="158"/>
  <c r="P317" i="158"/>
  <c r="N317" i="158"/>
  <c r="M317" i="158"/>
  <c r="L317" i="158"/>
  <c r="K317" i="158"/>
  <c r="H317" i="158"/>
  <c r="P316" i="158"/>
  <c r="N316" i="158"/>
  <c r="M316" i="158"/>
  <c r="L316" i="158"/>
  <c r="K316" i="158"/>
  <c r="H316" i="158"/>
  <c r="P315" i="158"/>
  <c r="N315" i="158"/>
  <c r="M315" i="158"/>
  <c r="L315" i="158"/>
  <c r="K315" i="158"/>
  <c r="H315" i="158"/>
  <c r="P314" i="158"/>
  <c r="N314" i="158"/>
  <c r="M314" i="158"/>
  <c r="L314" i="158"/>
  <c r="K314" i="158"/>
  <c r="H314" i="158"/>
  <c r="P313" i="158"/>
  <c r="N313" i="158"/>
  <c r="M313" i="158"/>
  <c r="L313" i="158"/>
  <c r="K313" i="158"/>
  <c r="H313" i="158"/>
  <c r="P312" i="158"/>
  <c r="N312" i="158"/>
  <c r="M312" i="158"/>
  <c r="L312" i="158"/>
  <c r="K312" i="158"/>
  <c r="H312" i="158"/>
  <c r="P311" i="158"/>
  <c r="N311" i="158"/>
  <c r="M311" i="158"/>
  <c r="L311" i="158"/>
  <c r="K311" i="158"/>
  <c r="H311" i="158"/>
  <c r="P310" i="158"/>
  <c r="N310" i="158"/>
  <c r="M310" i="158"/>
  <c r="L310" i="158"/>
  <c r="K310" i="158"/>
  <c r="H310" i="158"/>
  <c r="P309" i="158"/>
  <c r="N309" i="158"/>
  <c r="M309" i="158"/>
  <c r="L309" i="158"/>
  <c r="K309" i="158"/>
  <c r="H309" i="158"/>
  <c r="P308" i="158"/>
  <c r="N308" i="158"/>
  <c r="M308" i="158"/>
  <c r="L308" i="158"/>
  <c r="K308" i="158"/>
  <c r="H308" i="158"/>
  <c r="P307" i="158"/>
  <c r="N307" i="158"/>
  <c r="M307" i="158"/>
  <c r="L307" i="158"/>
  <c r="K307" i="158"/>
  <c r="H307" i="158"/>
  <c r="P306" i="158"/>
  <c r="N306" i="158"/>
  <c r="M306" i="158"/>
  <c r="L306" i="158"/>
  <c r="K306" i="158"/>
  <c r="H306" i="158"/>
  <c r="P305" i="158"/>
  <c r="N305" i="158"/>
  <c r="M305" i="158"/>
  <c r="L305" i="158"/>
  <c r="K305" i="158"/>
  <c r="H305" i="158"/>
  <c r="P304" i="158"/>
  <c r="N304" i="158"/>
  <c r="M304" i="158"/>
  <c r="L304" i="158"/>
  <c r="K304" i="158"/>
  <c r="H304" i="158"/>
  <c r="P303" i="158"/>
  <c r="N303" i="158"/>
  <c r="M303" i="158"/>
  <c r="L303" i="158"/>
  <c r="K303" i="158"/>
  <c r="H303" i="158"/>
  <c r="P302" i="158"/>
  <c r="N302" i="158"/>
  <c r="M302" i="158"/>
  <c r="L302" i="158"/>
  <c r="K302" i="158"/>
  <c r="H302" i="158"/>
  <c r="P301" i="158"/>
  <c r="N301" i="158"/>
  <c r="M301" i="158"/>
  <c r="L301" i="158"/>
  <c r="K301" i="158"/>
  <c r="H301" i="158"/>
  <c r="P300" i="158"/>
  <c r="N300" i="158"/>
  <c r="M300" i="158"/>
  <c r="L300" i="158"/>
  <c r="K300" i="158"/>
  <c r="H300" i="158"/>
  <c r="P299" i="158"/>
  <c r="N299" i="158"/>
  <c r="M299" i="158"/>
  <c r="L299" i="158"/>
  <c r="K299" i="158"/>
  <c r="H299" i="158"/>
  <c r="P298" i="158"/>
  <c r="N298" i="158"/>
  <c r="M298" i="158"/>
  <c r="L298" i="158"/>
  <c r="K298" i="158"/>
  <c r="H298" i="158"/>
  <c r="P297" i="158"/>
  <c r="N297" i="158"/>
  <c r="M297" i="158"/>
  <c r="L297" i="158"/>
  <c r="K297" i="158"/>
  <c r="H297" i="158"/>
  <c r="P296" i="158"/>
  <c r="N296" i="158"/>
  <c r="M296" i="158"/>
  <c r="L296" i="158"/>
  <c r="K296" i="158"/>
  <c r="H296" i="158"/>
  <c r="P295" i="158"/>
  <c r="N295" i="158"/>
  <c r="M295" i="158"/>
  <c r="L295" i="158"/>
  <c r="K295" i="158"/>
  <c r="H295" i="158"/>
  <c r="P294" i="158"/>
  <c r="N294" i="158"/>
  <c r="M294" i="158"/>
  <c r="L294" i="158"/>
  <c r="K294" i="158"/>
  <c r="H294" i="158"/>
  <c r="P293" i="158"/>
  <c r="N293" i="158"/>
  <c r="M293" i="158"/>
  <c r="L293" i="158"/>
  <c r="K293" i="158"/>
  <c r="H293" i="158"/>
  <c r="P292" i="158"/>
  <c r="N292" i="158"/>
  <c r="M292" i="158"/>
  <c r="L292" i="158"/>
  <c r="K292" i="158"/>
  <c r="H292" i="158"/>
  <c r="P291" i="158"/>
  <c r="N291" i="158"/>
  <c r="M291" i="158"/>
  <c r="L291" i="158"/>
  <c r="K291" i="158"/>
  <c r="H291" i="158"/>
  <c r="P290" i="158"/>
  <c r="N290" i="158"/>
  <c r="M290" i="158"/>
  <c r="L290" i="158"/>
  <c r="K290" i="158"/>
  <c r="H290" i="158"/>
  <c r="P289" i="158"/>
  <c r="N289" i="158"/>
  <c r="M289" i="158"/>
  <c r="L289" i="158"/>
  <c r="K289" i="158"/>
  <c r="H289" i="158"/>
  <c r="P288" i="158"/>
  <c r="N288" i="158"/>
  <c r="M288" i="158"/>
  <c r="L288" i="158"/>
  <c r="K288" i="158"/>
  <c r="H288" i="158"/>
  <c r="P287" i="158"/>
  <c r="N287" i="158"/>
  <c r="M287" i="158"/>
  <c r="L287" i="158"/>
  <c r="K287" i="158"/>
  <c r="H287" i="158"/>
  <c r="P286" i="158"/>
  <c r="N286" i="158"/>
  <c r="M286" i="158"/>
  <c r="L286" i="158"/>
  <c r="K286" i="158"/>
  <c r="H286" i="158"/>
  <c r="P285" i="158"/>
  <c r="N285" i="158"/>
  <c r="M285" i="158"/>
  <c r="L285" i="158"/>
  <c r="K285" i="158"/>
  <c r="H285" i="158"/>
  <c r="P284" i="158"/>
  <c r="N284" i="158"/>
  <c r="M284" i="158"/>
  <c r="L284" i="158"/>
  <c r="K284" i="158"/>
  <c r="H284" i="158"/>
  <c r="P283" i="158"/>
  <c r="N283" i="158"/>
  <c r="M283" i="158"/>
  <c r="L283" i="158"/>
  <c r="K283" i="158"/>
  <c r="H283" i="158"/>
  <c r="P282" i="158"/>
  <c r="N282" i="158"/>
  <c r="M282" i="158"/>
  <c r="L282" i="158"/>
  <c r="K282" i="158"/>
  <c r="H282" i="158"/>
  <c r="P281" i="158"/>
  <c r="N281" i="158"/>
  <c r="M281" i="158"/>
  <c r="L281" i="158"/>
  <c r="K281" i="158"/>
  <c r="H281" i="158"/>
  <c r="P280" i="158"/>
  <c r="N280" i="158"/>
  <c r="M280" i="158"/>
  <c r="L280" i="158"/>
  <c r="K280" i="158"/>
  <c r="H280" i="158"/>
  <c r="P279" i="158"/>
  <c r="N279" i="158"/>
  <c r="M279" i="158"/>
  <c r="L279" i="158"/>
  <c r="K279" i="158"/>
  <c r="H279" i="158"/>
  <c r="P278" i="158"/>
  <c r="N278" i="158"/>
  <c r="M278" i="158"/>
  <c r="L278" i="158"/>
  <c r="K278" i="158"/>
  <c r="H278" i="158"/>
  <c r="P277" i="158"/>
  <c r="N277" i="158"/>
  <c r="M277" i="158"/>
  <c r="L277" i="158"/>
  <c r="K277" i="158"/>
  <c r="H277" i="158"/>
  <c r="P276" i="158"/>
  <c r="N276" i="158"/>
  <c r="M276" i="158"/>
  <c r="L276" i="158"/>
  <c r="K276" i="158"/>
  <c r="H276" i="158"/>
  <c r="P275" i="158"/>
  <c r="N275" i="158"/>
  <c r="M275" i="158"/>
  <c r="L275" i="158"/>
  <c r="K275" i="158"/>
  <c r="H275" i="158"/>
  <c r="P274" i="158"/>
  <c r="N274" i="158"/>
  <c r="M274" i="158"/>
  <c r="L274" i="158"/>
  <c r="K274" i="158"/>
  <c r="H274" i="158"/>
  <c r="P273" i="158"/>
  <c r="N273" i="158"/>
  <c r="M273" i="158"/>
  <c r="L273" i="158"/>
  <c r="K273" i="158"/>
  <c r="H273" i="158"/>
  <c r="P272" i="158"/>
  <c r="N272" i="158"/>
  <c r="M272" i="158"/>
  <c r="L272" i="158"/>
  <c r="K272" i="158"/>
  <c r="H272" i="158"/>
  <c r="P271" i="158"/>
  <c r="N271" i="158"/>
  <c r="M271" i="158"/>
  <c r="L271" i="158"/>
  <c r="K271" i="158"/>
  <c r="H271" i="158"/>
  <c r="P270" i="158"/>
  <c r="N270" i="158"/>
  <c r="M270" i="158"/>
  <c r="L270" i="158"/>
  <c r="K270" i="158"/>
  <c r="H270" i="158"/>
  <c r="P269" i="158"/>
  <c r="N269" i="158"/>
  <c r="M269" i="158"/>
  <c r="L269" i="158"/>
  <c r="K269" i="158"/>
  <c r="H269" i="158"/>
  <c r="P268" i="158"/>
  <c r="N268" i="158"/>
  <c r="M268" i="158"/>
  <c r="L268" i="158"/>
  <c r="K268" i="158"/>
  <c r="H268" i="158"/>
  <c r="P267" i="158"/>
  <c r="N267" i="158"/>
  <c r="M267" i="158"/>
  <c r="L267" i="158"/>
  <c r="K267" i="158"/>
  <c r="H267" i="158"/>
  <c r="P266" i="158"/>
  <c r="N266" i="158"/>
  <c r="M266" i="158"/>
  <c r="L266" i="158"/>
  <c r="K266" i="158"/>
  <c r="H266" i="158"/>
  <c r="P265" i="158"/>
  <c r="N265" i="158"/>
  <c r="M265" i="158"/>
  <c r="L265" i="158"/>
  <c r="K265" i="158"/>
  <c r="H265" i="158"/>
  <c r="P264" i="158"/>
  <c r="N264" i="158"/>
  <c r="M264" i="158"/>
  <c r="L264" i="158"/>
  <c r="K264" i="158"/>
  <c r="H264" i="158"/>
  <c r="P263" i="158"/>
  <c r="N263" i="158"/>
  <c r="M263" i="158"/>
  <c r="L263" i="158"/>
  <c r="K263" i="158"/>
  <c r="H263" i="158"/>
  <c r="P262" i="158"/>
  <c r="N262" i="158"/>
  <c r="M262" i="158"/>
  <c r="L262" i="158"/>
  <c r="K262" i="158"/>
  <c r="H262" i="158"/>
  <c r="P261" i="158"/>
  <c r="N261" i="158"/>
  <c r="M261" i="158"/>
  <c r="L261" i="158"/>
  <c r="K261" i="158"/>
  <c r="H261" i="158"/>
  <c r="P260" i="158"/>
  <c r="N260" i="158"/>
  <c r="M260" i="158"/>
  <c r="L260" i="158"/>
  <c r="K260" i="158"/>
  <c r="H260" i="158"/>
  <c r="P259" i="158"/>
  <c r="N259" i="158"/>
  <c r="M259" i="158"/>
  <c r="L259" i="158"/>
  <c r="K259" i="158"/>
  <c r="H259" i="158"/>
  <c r="P258" i="158"/>
  <c r="N258" i="158"/>
  <c r="M258" i="158"/>
  <c r="L258" i="158"/>
  <c r="K258" i="158"/>
  <c r="H258" i="158"/>
  <c r="P257" i="158"/>
  <c r="N257" i="158"/>
  <c r="M257" i="158"/>
  <c r="L257" i="158"/>
  <c r="K257" i="158"/>
  <c r="H257" i="158"/>
  <c r="P256" i="158"/>
  <c r="N256" i="158"/>
  <c r="M256" i="158"/>
  <c r="L256" i="158"/>
  <c r="K256" i="158"/>
  <c r="H256" i="158"/>
  <c r="P255" i="158"/>
  <c r="N255" i="158"/>
  <c r="M255" i="158"/>
  <c r="L255" i="158"/>
  <c r="K255" i="158"/>
  <c r="H255" i="158"/>
  <c r="P254" i="158"/>
  <c r="N254" i="158"/>
  <c r="M254" i="158"/>
  <c r="L254" i="158"/>
  <c r="K254" i="158"/>
  <c r="H254" i="158"/>
  <c r="P253" i="158"/>
  <c r="N253" i="158"/>
  <c r="M253" i="158"/>
  <c r="L253" i="158"/>
  <c r="K253" i="158"/>
  <c r="H253" i="158"/>
  <c r="P252" i="158"/>
  <c r="N252" i="158"/>
  <c r="M252" i="158"/>
  <c r="L252" i="158"/>
  <c r="K252" i="158"/>
  <c r="H252" i="158"/>
  <c r="P251" i="158"/>
  <c r="N251" i="158"/>
  <c r="M251" i="158"/>
  <c r="L251" i="158"/>
  <c r="K251" i="158"/>
  <c r="H251" i="158"/>
  <c r="P250" i="158"/>
  <c r="N250" i="158"/>
  <c r="M250" i="158"/>
  <c r="L250" i="158"/>
  <c r="K250" i="158"/>
  <c r="H250" i="158"/>
  <c r="P249" i="158"/>
  <c r="N249" i="158"/>
  <c r="M249" i="158"/>
  <c r="L249" i="158"/>
  <c r="K249" i="158"/>
  <c r="H249" i="158"/>
  <c r="P248" i="158"/>
  <c r="N248" i="158"/>
  <c r="M248" i="158"/>
  <c r="L248" i="158"/>
  <c r="K248" i="158"/>
  <c r="H248" i="158"/>
  <c r="P247" i="158"/>
  <c r="N247" i="158"/>
  <c r="M247" i="158"/>
  <c r="L247" i="158"/>
  <c r="K247" i="158"/>
  <c r="H247" i="158"/>
  <c r="P246" i="158"/>
  <c r="N246" i="158"/>
  <c r="M246" i="158"/>
  <c r="L246" i="158"/>
  <c r="K246" i="158"/>
  <c r="H246" i="158"/>
  <c r="P245" i="158"/>
  <c r="N245" i="158"/>
  <c r="M245" i="158"/>
  <c r="L245" i="158"/>
  <c r="K245" i="158"/>
  <c r="H245" i="158"/>
  <c r="P244" i="158"/>
  <c r="N244" i="158"/>
  <c r="M244" i="158"/>
  <c r="L244" i="158"/>
  <c r="K244" i="158"/>
  <c r="H244" i="158"/>
  <c r="P243" i="158"/>
  <c r="N243" i="158"/>
  <c r="M243" i="158"/>
  <c r="L243" i="158"/>
  <c r="K243" i="158"/>
  <c r="H243" i="158"/>
  <c r="P242" i="158"/>
  <c r="N242" i="158"/>
  <c r="M242" i="158"/>
  <c r="L242" i="158"/>
  <c r="K242" i="158"/>
  <c r="H242" i="158"/>
  <c r="P241" i="158"/>
  <c r="N241" i="158"/>
  <c r="M241" i="158"/>
  <c r="L241" i="158"/>
  <c r="K241" i="158"/>
  <c r="H241" i="158"/>
  <c r="P240" i="158"/>
  <c r="N240" i="158"/>
  <c r="M240" i="158"/>
  <c r="L240" i="158"/>
  <c r="K240" i="158"/>
  <c r="H240" i="158"/>
  <c r="P239" i="158"/>
  <c r="N239" i="158"/>
  <c r="M239" i="158"/>
  <c r="L239" i="158"/>
  <c r="K239" i="158"/>
  <c r="H239" i="158"/>
  <c r="P238" i="158"/>
  <c r="N238" i="158"/>
  <c r="M238" i="158"/>
  <c r="L238" i="158"/>
  <c r="K238" i="158"/>
  <c r="H238" i="158"/>
  <c r="P237" i="158"/>
  <c r="N237" i="158"/>
  <c r="M237" i="158"/>
  <c r="L237" i="158"/>
  <c r="K237" i="158"/>
  <c r="H237" i="158"/>
  <c r="P236" i="158"/>
  <c r="N236" i="158"/>
  <c r="M236" i="158"/>
  <c r="L236" i="158"/>
  <c r="K236" i="158"/>
  <c r="H236" i="158"/>
  <c r="P235" i="158"/>
  <c r="N235" i="158"/>
  <c r="M235" i="158"/>
  <c r="L235" i="158"/>
  <c r="K235" i="158"/>
  <c r="H235" i="158"/>
  <c r="P234" i="158"/>
  <c r="N234" i="158"/>
  <c r="M234" i="158"/>
  <c r="L234" i="158"/>
  <c r="K234" i="158"/>
  <c r="H234" i="158"/>
  <c r="P233" i="158"/>
  <c r="N233" i="158"/>
  <c r="M233" i="158"/>
  <c r="L233" i="158"/>
  <c r="K233" i="158"/>
  <c r="H233" i="158"/>
  <c r="P232" i="158"/>
  <c r="N232" i="158"/>
  <c r="M232" i="158"/>
  <c r="L232" i="158"/>
  <c r="K232" i="158"/>
  <c r="H232" i="158"/>
  <c r="P231" i="158"/>
  <c r="N231" i="158"/>
  <c r="M231" i="158"/>
  <c r="L231" i="158"/>
  <c r="K231" i="158"/>
  <c r="H231" i="158"/>
  <c r="P230" i="158"/>
  <c r="N230" i="158"/>
  <c r="M230" i="158"/>
  <c r="L230" i="158"/>
  <c r="K230" i="158"/>
  <c r="H230" i="158"/>
  <c r="P229" i="158"/>
  <c r="N229" i="158"/>
  <c r="M229" i="158"/>
  <c r="L229" i="158"/>
  <c r="K229" i="158"/>
  <c r="H229" i="158"/>
  <c r="P228" i="158"/>
  <c r="N228" i="158"/>
  <c r="M228" i="158"/>
  <c r="L228" i="158"/>
  <c r="K228" i="158"/>
  <c r="H228" i="158"/>
  <c r="P227" i="158"/>
  <c r="N227" i="158"/>
  <c r="M227" i="158"/>
  <c r="L227" i="158"/>
  <c r="K227" i="158"/>
  <c r="H227" i="158"/>
  <c r="P226" i="158"/>
  <c r="N226" i="158"/>
  <c r="M226" i="158"/>
  <c r="L226" i="158"/>
  <c r="K226" i="158"/>
  <c r="H226" i="158"/>
  <c r="P225" i="158"/>
  <c r="N225" i="158"/>
  <c r="M225" i="158"/>
  <c r="L225" i="158"/>
  <c r="K225" i="158"/>
  <c r="H225" i="158"/>
  <c r="P224" i="158"/>
  <c r="N224" i="158"/>
  <c r="M224" i="158"/>
  <c r="L224" i="158"/>
  <c r="K224" i="158"/>
  <c r="H224" i="158"/>
  <c r="P223" i="158"/>
  <c r="N223" i="158"/>
  <c r="M223" i="158"/>
  <c r="L223" i="158"/>
  <c r="K223" i="158"/>
  <c r="H223" i="158"/>
  <c r="P222" i="158"/>
  <c r="N222" i="158"/>
  <c r="M222" i="158"/>
  <c r="L222" i="158"/>
  <c r="K222" i="158"/>
  <c r="H222" i="158"/>
  <c r="P221" i="158"/>
  <c r="N221" i="158"/>
  <c r="M221" i="158"/>
  <c r="L221" i="158"/>
  <c r="K221" i="158"/>
  <c r="H221" i="158"/>
  <c r="P220" i="158"/>
  <c r="N220" i="158"/>
  <c r="M220" i="158"/>
  <c r="L220" i="158"/>
  <c r="K220" i="158"/>
  <c r="H220" i="158"/>
  <c r="P219" i="158"/>
  <c r="N219" i="158"/>
  <c r="M219" i="158"/>
  <c r="L219" i="158"/>
  <c r="K219" i="158"/>
  <c r="H219" i="158"/>
  <c r="P218" i="158"/>
  <c r="N218" i="158"/>
  <c r="M218" i="158"/>
  <c r="L218" i="158"/>
  <c r="K218" i="158"/>
  <c r="H218" i="158"/>
  <c r="P217" i="158"/>
  <c r="N217" i="158"/>
  <c r="M217" i="158"/>
  <c r="L217" i="158"/>
  <c r="K217" i="158"/>
  <c r="H217" i="158"/>
  <c r="P216" i="158"/>
  <c r="N216" i="158"/>
  <c r="M216" i="158"/>
  <c r="L216" i="158"/>
  <c r="K216" i="158"/>
  <c r="H216" i="158"/>
  <c r="P215" i="158"/>
  <c r="N215" i="158"/>
  <c r="M215" i="158"/>
  <c r="L215" i="158"/>
  <c r="K215" i="158"/>
  <c r="H215" i="158"/>
  <c r="P214" i="158"/>
  <c r="N214" i="158"/>
  <c r="M214" i="158"/>
  <c r="L214" i="158"/>
  <c r="K214" i="158"/>
  <c r="H214" i="158"/>
  <c r="P213" i="158"/>
  <c r="N213" i="158"/>
  <c r="M213" i="158"/>
  <c r="L213" i="158"/>
  <c r="K213" i="158"/>
  <c r="H213" i="158"/>
  <c r="P212" i="158"/>
  <c r="N212" i="158"/>
  <c r="M212" i="158"/>
  <c r="L212" i="158"/>
  <c r="K212" i="158"/>
  <c r="H212" i="158"/>
  <c r="P211" i="158"/>
  <c r="N211" i="158"/>
  <c r="M211" i="158"/>
  <c r="L211" i="158"/>
  <c r="K211" i="158"/>
  <c r="H211" i="158"/>
  <c r="P210" i="158"/>
  <c r="N210" i="158"/>
  <c r="M210" i="158"/>
  <c r="L210" i="158"/>
  <c r="K210" i="158"/>
  <c r="H210" i="158"/>
  <c r="P209" i="158"/>
  <c r="N209" i="158"/>
  <c r="M209" i="158"/>
  <c r="L209" i="158"/>
  <c r="K209" i="158"/>
  <c r="H209" i="158"/>
  <c r="P208" i="158"/>
  <c r="N208" i="158"/>
  <c r="M208" i="158"/>
  <c r="L208" i="158"/>
  <c r="K208" i="158"/>
  <c r="H208" i="158"/>
  <c r="P207" i="158"/>
  <c r="N207" i="158"/>
  <c r="M207" i="158"/>
  <c r="L207" i="158"/>
  <c r="K207" i="158"/>
  <c r="H207" i="158"/>
  <c r="P206" i="158"/>
  <c r="N206" i="158"/>
  <c r="M206" i="158"/>
  <c r="L206" i="158"/>
  <c r="K206" i="158"/>
  <c r="H206" i="158"/>
  <c r="P205" i="158"/>
  <c r="N205" i="158"/>
  <c r="M205" i="158"/>
  <c r="L205" i="158"/>
  <c r="K205" i="158"/>
  <c r="H205" i="158"/>
  <c r="P204" i="158"/>
  <c r="N204" i="158"/>
  <c r="M204" i="158"/>
  <c r="L204" i="158"/>
  <c r="K204" i="158"/>
  <c r="H204" i="158"/>
  <c r="P203" i="158"/>
  <c r="N203" i="158"/>
  <c r="M203" i="158"/>
  <c r="L203" i="158"/>
  <c r="K203" i="158"/>
  <c r="H203" i="158"/>
  <c r="P202" i="158"/>
  <c r="N202" i="158"/>
  <c r="M202" i="158"/>
  <c r="L202" i="158"/>
  <c r="K202" i="158"/>
  <c r="H202" i="158"/>
  <c r="P201" i="158"/>
  <c r="N201" i="158"/>
  <c r="M201" i="158"/>
  <c r="L201" i="158"/>
  <c r="K201" i="158"/>
  <c r="H201" i="158"/>
  <c r="P200" i="158"/>
  <c r="N200" i="158"/>
  <c r="M200" i="158"/>
  <c r="L200" i="158"/>
  <c r="K200" i="158"/>
  <c r="H200" i="158"/>
  <c r="P199" i="158"/>
  <c r="N199" i="158"/>
  <c r="M199" i="158"/>
  <c r="L199" i="158"/>
  <c r="K199" i="158"/>
  <c r="H199" i="158"/>
  <c r="P198" i="158"/>
  <c r="N198" i="158"/>
  <c r="M198" i="158"/>
  <c r="L198" i="158"/>
  <c r="K198" i="158"/>
  <c r="H198" i="158"/>
  <c r="P197" i="158"/>
  <c r="N197" i="158"/>
  <c r="M197" i="158"/>
  <c r="L197" i="158"/>
  <c r="K197" i="158"/>
  <c r="H197" i="158"/>
  <c r="P196" i="158"/>
  <c r="N196" i="158"/>
  <c r="M196" i="158"/>
  <c r="L196" i="158"/>
  <c r="K196" i="158"/>
  <c r="H196" i="158"/>
  <c r="P195" i="158"/>
  <c r="N195" i="158"/>
  <c r="M195" i="158"/>
  <c r="L195" i="158"/>
  <c r="K195" i="158"/>
  <c r="H195" i="158"/>
  <c r="P194" i="158"/>
  <c r="N194" i="158"/>
  <c r="M194" i="158"/>
  <c r="L194" i="158"/>
  <c r="K194" i="158"/>
  <c r="H194" i="158"/>
  <c r="P193" i="158"/>
  <c r="N193" i="158"/>
  <c r="M193" i="158"/>
  <c r="L193" i="158"/>
  <c r="K193" i="158"/>
  <c r="H193" i="158"/>
  <c r="P192" i="158"/>
  <c r="N192" i="158"/>
  <c r="M192" i="158"/>
  <c r="L192" i="158"/>
  <c r="K192" i="158"/>
  <c r="H192" i="158"/>
  <c r="P191" i="158"/>
  <c r="N191" i="158"/>
  <c r="M191" i="158"/>
  <c r="L191" i="158"/>
  <c r="K191" i="158"/>
  <c r="H191" i="158"/>
  <c r="P190" i="158"/>
  <c r="N190" i="158"/>
  <c r="M190" i="158"/>
  <c r="L190" i="158"/>
  <c r="K190" i="158"/>
  <c r="H190" i="158"/>
  <c r="P189" i="158"/>
  <c r="N189" i="158"/>
  <c r="M189" i="158"/>
  <c r="L189" i="158"/>
  <c r="K189" i="158"/>
  <c r="H189" i="158"/>
  <c r="P188" i="158"/>
  <c r="N188" i="158"/>
  <c r="M188" i="158"/>
  <c r="L188" i="158"/>
  <c r="K188" i="158"/>
  <c r="H188" i="158"/>
  <c r="P187" i="158"/>
  <c r="N187" i="158"/>
  <c r="M187" i="158"/>
  <c r="L187" i="158"/>
  <c r="K187" i="158"/>
  <c r="H187" i="158"/>
  <c r="P186" i="158"/>
  <c r="N186" i="158"/>
  <c r="M186" i="158"/>
  <c r="L186" i="158"/>
  <c r="K186" i="158"/>
  <c r="H186" i="158"/>
  <c r="P185" i="158"/>
  <c r="N185" i="158"/>
  <c r="M185" i="158"/>
  <c r="L185" i="158"/>
  <c r="K185" i="158"/>
  <c r="H185" i="158"/>
  <c r="P184" i="158"/>
  <c r="N184" i="158"/>
  <c r="M184" i="158"/>
  <c r="L184" i="158"/>
  <c r="K184" i="158"/>
  <c r="H184" i="158"/>
  <c r="P183" i="158"/>
  <c r="N183" i="158"/>
  <c r="M183" i="158"/>
  <c r="L183" i="158"/>
  <c r="K183" i="158"/>
  <c r="H183" i="158"/>
  <c r="P182" i="158"/>
  <c r="N182" i="158"/>
  <c r="M182" i="158"/>
  <c r="L182" i="158"/>
  <c r="K182" i="158"/>
  <c r="H182" i="158"/>
  <c r="P181" i="158"/>
  <c r="N181" i="158"/>
  <c r="M181" i="158"/>
  <c r="L181" i="158"/>
  <c r="K181" i="158"/>
  <c r="H181" i="158"/>
  <c r="P180" i="158"/>
  <c r="N180" i="158"/>
  <c r="M180" i="158"/>
  <c r="L180" i="158"/>
  <c r="K180" i="158"/>
  <c r="H180" i="158"/>
  <c r="P179" i="158"/>
  <c r="N179" i="158"/>
  <c r="M179" i="158"/>
  <c r="L179" i="158"/>
  <c r="K179" i="158"/>
  <c r="H179" i="158"/>
  <c r="P178" i="158"/>
  <c r="N178" i="158"/>
  <c r="M178" i="158"/>
  <c r="L178" i="158"/>
  <c r="K178" i="158"/>
  <c r="H178" i="158"/>
  <c r="P177" i="158"/>
  <c r="N177" i="158"/>
  <c r="M177" i="158"/>
  <c r="L177" i="158"/>
  <c r="K177" i="158"/>
  <c r="H177" i="158"/>
  <c r="P176" i="158"/>
  <c r="N176" i="158"/>
  <c r="M176" i="158"/>
  <c r="L176" i="158"/>
  <c r="K176" i="158"/>
  <c r="H176" i="158"/>
  <c r="P175" i="158"/>
  <c r="N175" i="158"/>
  <c r="M175" i="158"/>
  <c r="L175" i="158"/>
  <c r="K175" i="158"/>
  <c r="H175" i="158"/>
  <c r="P174" i="158"/>
  <c r="N174" i="158"/>
  <c r="M174" i="158"/>
  <c r="L174" i="158"/>
  <c r="K174" i="158"/>
  <c r="H174" i="158"/>
  <c r="P173" i="158"/>
  <c r="N173" i="158"/>
  <c r="M173" i="158"/>
  <c r="L173" i="158"/>
  <c r="K173" i="158"/>
  <c r="H173" i="158"/>
  <c r="P172" i="158"/>
  <c r="N172" i="158"/>
  <c r="M172" i="158"/>
  <c r="L172" i="158"/>
  <c r="K172" i="158"/>
  <c r="H172" i="158"/>
  <c r="P171" i="158"/>
  <c r="N171" i="158"/>
  <c r="M171" i="158"/>
  <c r="L171" i="158"/>
  <c r="K171" i="158"/>
  <c r="H171" i="158"/>
  <c r="P170" i="158"/>
  <c r="N170" i="158"/>
  <c r="M170" i="158"/>
  <c r="L170" i="158"/>
  <c r="K170" i="158"/>
  <c r="H170" i="158"/>
  <c r="P169" i="158"/>
  <c r="N169" i="158"/>
  <c r="M169" i="158"/>
  <c r="L169" i="158"/>
  <c r="K169" i="158"/>
  <c r="H169" i="158"/>
  <c r="P168" i="158"/>
  <c r="N168" i="158"/>
  <c r="M168" i="158"/>
  <c r="L168" i="158"/>
  <c r="K168" i="158"/>
  <c r="H168" i="158"/>
  <c r="P167" i="158"/>
  <c r="N167" i="158"/>
  <c r="M167" i="158"/>
  <c r="L167" i="158"/>
  <c r="K167" i="158"/>
  <c r="H167" i="158"/>
  <c r="P166" i="158"/>
  <c r="N166" i="158"/>
  <c r="M166" i="158"/>
  <c r="L166" i="158"/>
  <c r="K166" i="158"/>
  <c r="H166" i="158"/>
  <c r="P165" i="158"/>
  <c r="N165" i="158"/>
  <c r="M165" i="158"/>
  <c r="L165" i="158"/>
  <c r="K165" i="158"/>
  <c r="H165" i="158"/>
  <c r="P164" i="158"/>
  <c r="N164" i="158"/>
  <c r="M164" i="158"/>
  <c r="L164" i="158"/>
  <c r="K164" i="158"/>
  <c r="H164" i="158"/>
  <c r="P163" i="158"/>
  <c r="N163" i="158"/>
  <c r="M163" i="158"/>
  <c r="L163" i="158"/>
  <c r="K163" i="158"/>
  <c r="H163" i="158"/>
  <c r="P162" i="158"/>
  <c r="N162" i="158"/>
  <c r="M162" i="158"/>
  <c r="L162" i="158"/>
  <c r="K162" i="158"/>
  <c r="H162" i="158"/>
  <c r="P161" i="158"/>
  <c r="N161" i="158"/>
  <c r="M161" i="158"/>
  <c r="L161" i="158"/>
  <c r="K161" i="158"/>
  <c r="H161" i="158"/>
  <c r="P160" i="158"/>
  <c r="N160" i="158"/>
  <c r="M160" i="158"/>
  <c r="L160" i="158"/>
  <c r="K160" i="158"/>
  <c r="H160" i="158"/>
  <c r="P159" i="158"/>
  <c r="N159" i="158"/>
  <c r="M159" i="158"/>
  <c r="L159" i="158"/>
  <c r="K159" i="158"/>
  <c r="H159" i="158"/>
  <c r="P158" i="158"/>
  <c r="N158" i="158"/>
  <c r="M158" i="158"/>
  <c r="L158" i="158"/>
  <c r="K158" i="158"/>
  <c r="H158" i="158"/>
  <c r="P157" i="158"/>
  <c r="N157" i="158"/>
  <c r="M157" i="158"/>
  <c r="L157" i="158"/>
  <c r="K157" i="158"/>
  <c r="H157" i="158"/>
  <c r="P156" i="158"/>
  <c r="N156" i="158"/>
  <c r="M156" i="158"/>
  <c r="L156" i="158"/>
  <c r="K156" i="158"/>
  <c r="H156" i="158"/>
  <c r="P155" i="158"/>
  <c r="N155" i="158"/>
  <c r="M155" i="158"/>
  <c r="L155" i="158"/>
  <c r="K155" i="158"/>
  <c r="H155" i="158"/>
  <c r="P154" i="158"/>
  <c r="N154" i="158"/>
  <c r="M154" i="158"/>
  <c r="L154" i="158"/>
  <c r="K154" i="158"/>
  <c r="H154" i="158"/>
  <c r="P153" i="158"/>
  <c r="N153" i="158"/>
  <c r="M153" i="158"/>
  <c r="L153" i="158"/>
  <c r="K153" i="158"/>
  <c r="H153" i="158"/>
  <c r="P152" i="158"/>
  <c r="N152" i="158"/>
  <c r="M152" i="158"/>
  <c r="L152" i="158"/>
  <c r="K152" i="158"/>
  <c r="H152" i="158"/>
  <c r="P151" i="158"/>
  <c r="N151" i="158"/>
  <c r="M151" i="158"/>
  <c r="L151" i="158"/>
  <c r="K151" i="158"/>
  <c r="H151" i="158"/>
  <c r="P150" i="158"/>
  <c r="N150" i="158"/>
  <c r="M150" i="158"/>
  <c r="L150" i="158"/>
  <c r="K150" i="158"/>
  <c r="H150" i="158"/>
  <c r="P149" i="158"/>
  <c r="N149" i="158"/>
  <c r="M149" i="158"/>
  <c r="L149" i="158"/>
  <c r="K149" i="158"/>
  <c r="H149" i="158"/>
  <c r="P148" i="158"/>
  <c r="N148" i="158"/>
  <c r="M148" i="158"/>
  <c r="L148" i="158"/>
  <c r="K148" i="158"/>
  <c r="H148" i="158"/>
  <c r="P147" i="158"/>
  <c r="N147" i="158"/>
  <c r="M147" i="158"/>
  <c r="L147" i="158"/>
  <c r="K147" i="158"/>
  <c r="H147" i="158"/>
  <c r="P146" i="158"/>
  <c r="N146" i="158"/>
  <c r="M146" i="158"/>
  <c r="L146" i="158"/>
  <c r="K146" i="158"/>
  <c r="H146" i="158"/>
  <c r="P145" i="158"/>
  <c r="N145" i="158"/>
  <c r="M145" i="158"/>
  <c r="L145" i="158"/>
  <c r="K145" i="158"/>
  <c r="H145" i="158"/>
  <c r="P144" i="158"/>
  <c r="N144" i="158"/>
  <c r="M144" i="158"/>
  <c r="L144" i="158"/>
  <c r="K144" i="158"/>
  <c r="H144" i="158"/>
  <c r="P143" i="158"/>
  <c r="N143" i="158"/>
  <c r="M143" i="158"/>
  <c r="L143" i="158"/>
  <c r="K143" i="158"/>
  <c r="H143" i="158"/>
  <c r="P142" i="158"/>
  <c r="N142" i="158"/>
  <c r="M142" i="158"/>
  <c r="L142" i="158"/>
  <c r="K142" i="158"/>
  <c r="H142" i="158"/>
  <c r="P141" i="158"/>
  <c r="N141" i="158"/>
  <c r="M141" i="158"/>
  <c r="L141" i="158"/>
  <c r="K141" i="158"/>
  <c r="H141" i="158"/>
  <c r="P140" i="158"/>
  <c r="N140" i="158"/>
  <c r="M140" i="158"/>
  <c r="L140" i="158"/>
  <c r="K140" i="158"/>
  <c r="H140" i="158"/>
  <c r="P139" i="158"/>
  <c r="N139" i="158"/>
  <c r="M139" i="158"/>
  <c r="L139" i="158"/>
  <c r="K139" i="158"/>
  <c r="H139" i="158"/>
  <c r="P138" i="158"/>
  <c r="N138" i="158"/>
  <c r="M138" i="158"/>
  <c r="L138" i="158"/>
  <c r="K138" i="158"/>
  <c r="H138" i="158"/>
  <c r="P137" i="158"/>
  <c r="N137" i="158"/>
  <c r="M137" i="158"/>
  <c r="L137" i="158"/>
  <c r="K137" i="158"/>
  <c r="H137" i="158"/>
  <c r="P136" i="158"/>
  <c r="N136" i="158"/>
  <c r="M136" i="158"/>
  <c r="L136" i="158"/>
  <c r="K136" i="158"/>
  <c r="H136" i="158"/>
  <c r="P135" i="158"/>
  <c r="N135" i="158"/>
  <c r="M135" i="158"/>
  <c r="L135" i="158"/>
  <c r="K135" i="158"/>
  <c r="H135" i="158"/>
  <c r="P134" i="158"/>
  <c r="N134" i="158"/>
  <c r="M134" i="158"/>
  <c r="L134" i="158"/>
  <c r="K134" i="158"/>
  <c r="H134" i="158"/>
  <c r="P133" i="158"/>
  <c r="N133" i="158"/>
  <c r="M133" i="158"/>
  <c r="L133" i="158"/>
  <c r="K133" i="158"/>
  <c r="H133" i="158"/>
  <c r="P132" i="158"/>
  <c r="N132" i="158"/>
  <c r="M132" i="158"/>
  <c r="L132" i="158"/>
  <c r="K132" i="158"/>
  <c r="H132" i="158"/>
  <c r="P131" i="158"/>
  <c r="N131" i="158"/>
  <c r="M131" i="158"/>
  <c r="L131" i="158"/>
  <c r="K131" i="158"/>
  <c r="H131" i="158"/>
  <c r="P130" i="158"/>
  <c r="N130" i="158"/>
  <c r="M130" i="158"/>
  <c r="L130" i="158"/>
  <c r="K130" i="158"/>
  <c r="H130" i="158"/>
  <c r="P129" i="158"/>
  <c r="N129" i="158"/>
  <c r="M129" i="158"/>
  <c r="L129" i="158"/>
  <c r="K129" i="158"/>
  <c r="H129" i="158"/>
  <c r="P128" i="158"/>
  <c r="N128" i="158"/>
  <c r="M128" i="158"/>
  <c r="L128" i="158"/>
  <c r="K128" i="158"/>
  <c r="H128" i="158"/>
  <c r="P127" i="158"/>
  <c r="N127" i="158"/>
  <c r="M127" i="158"/>
  <c r="L127" i="158"/>
  <c r="K127" i="158"/>
  <c r="H127" i="158"/>
  <c r="P126" i="158"/>
  <c r="N126" i="158"/>
  <c r="M126" i="158"/>
  <c r="L126" i="158"/>
  <c r="K126" i="158"/>
  <c r="H126" i="158"/>
  <c r="P125" i="158"/>
  <c r="N125" i="158"/>
  <c r="M125" i="158"/>
  <c r="L125" i="158"/>
  <c r="K125" i="158"/>
  <c r="H125" i="158"/>
  <c r="P124" i="158"/>
  <c r="N124" i="158"/>
  <c r="M124" i="158"/>
  <c r="L124" i="158"/>
  <c r="K124" i="158"/>
  <c r="H124" i="158"/>
  <c r="P123" i="158"/>
  <c r="N123" i="158"/>
  <c r="M123" i="158"/>
  <c r="L123" i="158"/>
  <c r="K123" i="158"/>
  <c r="H123" i="158"/>
  <c r="P122" i="158"/>
  <c r="N122" i="158"/>
  <c r="M122" i="158"/>
  <c r="L122" i="158"/>
  <c r="K122" i="158"/>
  <c r="H122" i="158"/>
  <c r="P121" i="158"/>
  <c r="N121" i="158"/>
  <c r="M121" i="158"/>
  <c r="L121" i="158"/>
  <c r="K121" i="158"/>
  <c r="H121" i="158"/>
  <c r="P120" i="158"/>
  <c r="N120" i="158"/>
  <c r="M120" i="158"/>
  <c r="L120" i="158"/>
  <c r="K120" i="158"/>
  <c r="H120" i="158"/>
  <c r="P119" i="158"/>
  <c r="N119" i="158"/>
  <c r="M119" i="158"/>
  <c r="L119" i="158"/>
  <c r="K119" i="158"/>
  <c r="H119" i="158"/>
  <c r="P118" i="158"/>
  <c r="N118" i="158"/>
  <c r="M118" i="158"/>
  <c r="L118" i="158"/>
  <c r="K118" i="158"/>
  <c r="H118" i="158"/>
  <c r="P117" i="158"/>
  <c r="N117" i="158"/>
  <c r="M117" i="158"/>
  <c r="L117" i="158"/>
  <c r="K117" i="158"/>
  <c r="H117" i="158"/>
  <c r="P116" i="158"/>
  <c r="N116" i="158"/>
  <c r="M116" i="158"/>
  <c r="L116" i="158"/>
  <c r="K116" i="158"/>
  <c r="H116" i="158"/>
  <c r="P115" i="158"/>
  <c r="N115" i="158"/>
  <c r="M115" i="158"/>
  <c r="L115" i="158"/>
  <c r="K115" i="158"/>
  <c r="H115" i="158"/>
  <c r="P114" i="158"/>
  <c r="N114" i="158"/>
  <c r="M114" i="158"/>
  <c r="L114" i="158"/>
  <c r="K114" i="158"/>
  <c r="H114" i="158"/>
  <c r="P113" i="158"/>
  <c r="N113" i="158"/>
  <c r="M113" i="158"/>
  <c r="L113" i="158"/>
  <c r="K113" i="158"/>
  <c r="H113" i="158"/>
  <c r="P112" i="158"/>
  <c r="N112" i="158"/>
  <c r="M112" i="158"/>
  <c r="L112" i="158"/>
  <c r="K112" i="158"/>
  <c r="H112" i="158"/>
  <c r="P111" i="158"/>
  <c r="N111" i="158"/>
  <c r="M111" i="158"/>
  <c r="L111" i="158"/>
  <c r="K111" i="158"/>
  <c r="H111" i="158"/>
  <c r="P110" i="158"/>
  <c r="N110" i="158"/>
  <c r="M110" i="158"/>
  <c r="L110" i="158"/>
  <c r="K110" i="158"/>
  <c r="H110" i="158"/>
  <c r="P109" i="158"/>
  <c r="N109" i="158"/>
  <c r="M109" i="158"/>
  <c r="L109" i="158"/>
  <c r="K109" i="158"/>
  <c r="H109" i="158"/>
  <c r="P108" i="158"/>
  <c r="N108" i="158"/>
  <c r="M108" i="158"/>
  <c r="L108" i="158"/>
  <c r="K108" i="158"/>
  <c r="H108" i="158"/>
  <c r="P107" i="158"/>
  <c r="N107" i="158"/>
  <c r="M107" i="158"/>
  <c r="L107" i="158"/>
  <c r="K107" i="158"/>
  <c r="H107" i="158"/>
  <c r="P106" i="158"/>
  <c r="N106" i="158"/>
  <c r="M106" i="158"/>
  <c r="L106" i="158"/>
  <c r="K106" i="158"/>
  <c r="H106" i="158"/>
  <c r="P105" i="158"/>
  <c r="N105" i="158"/>
  <c r="M105" i="158"/>
  <c r="L105" i="158"/>
  <c r="K105" i="158"/>
  <c r="H105" i="158"/>
  <c r="P104" i="158"/>
  <c r="N104" i="158"/>
  <c r="M104" i="158"/>
  <c r="L104" i="158"/>
  <c r="K104" i="158"/>
  <c r="H104" i="158"/>
  <c r="P103" i="158"/>
  <c r="N103" i="158"/>
  <c r="M103" i="158"/>
  <c r="L103" i="158"/>
  <c r="K103" i="158"/>
  <c r="H103" i="158"/>
  <c r="P102" i="158"/>
  <c r="N102" i="158"/>
  <c r="M102" i="158"/>
  <c r="L102" i="158"/>
  <c r="K102" i="158"/>
  <c r="H102" i="158"/>
  <c r="P101" i="158"/>
  <c r="N101" i="158"/>
  <c r="M101" i="158"/>
  <c r="L101" i="158"/>
  <c r="K101" i="158"/>
  <c r="H101" i="158"/>
  <c r="P100" i="158"/>
  <c r="N100" i="158"/>
  <c r="M100" i="158"/>
  <c r="L100" i="158"/>
  <c r="K100" i="158"/>
  <c r="H100" i="158"/>
  <c r="P99" i="158"/>
  <c r="N99" i="158"/>
  <c r="M99" i="158"/>
  <c r="L99" i="158"/>
  <c r="K99" i="158"/>
  <c r="H99" i="158"/>
  <c r="P98" i="158"/>
  <c r="N98" i="158"/>
  <c r="M98" i="158"/>
  <c r="L98" i="158"/>
  <c r="K98" i="158"/>
  <c r="H98" i="158"/>
  <c r="P97" i="158"/>
  <c r="N97" i="158"/>
  <c r="M97" i="158"/>
  <c r="L97" i="158"/>
  <c r="K97" i="158"/>
  <c r="H97" i="158"/>
  <c r="P96" i="158"/>
  <c r="N96" i="158"/>
  <c r="M96" i="158"/>
  <c r="L96" i="158"/>
  <c r="K96" i="158"/>
  <c r="H96" i="158"/>
  <c r="P95" i="158"/>
  <c r="N95" i="158"/>
  <c r="M95" i="158"/>
  <c r="L95" i="158"/>
  <c r="K95" i="158"/>
  <c r="H95" i="158"/>
  <c r="P94" i="158"/>
  <c r="N94" i="158"/>
  <c r="M94" i="158"/>
  <c r="L94" i="158"/>
  <c r="K94" i="158"/>
  <c r="H94" i="158"/>
  <c r="P93" i="158"/>
  <c r="N93" i="158"/>
  <c r="M93" i="158"/>
  <c r="L93" i="158"/>
  <c r="K93" i="158"/>
  <c r="H93" i="158"/>
  <c r="P92" i="158"/>
  <c r="N92" i="158"/>
  <c r="M92" i="158"/>
  <c r="L92" i="158"/>
  <c r="K92" i="158"/>
  <c r="H92" i="158"/>
  <c r="P91" i="158"/>
  <c r="N91" i="158"/>
  <c r="M91" i="158"/>
  <c r="L91" i="158"/>
  <c r="K91" i="158"/>
  <c r="H91" i="158"/>
  <c r="P90" i="158"/>
  <c r="N90" i="158"/>
  <c r="M90" i="158"/>
  <c r="L90" i="158"/>
  <c r="K90" i="158"/>
  <c r="H90" i="158"/>
  <c r="P89" i="158"/>
  <c r="N89" i="158"/>
  <c r="M89" i="158"/>
  <c r="L89" i="158"/>
  <c r="K89" i="158"/>
  <c r="H89" i="158"/>
  <c r="P88" i="158"/>
  <c r="N88" i="158"/>
  <c r="M88" i="158"/>
  <c r="L88" i="158"/>
  <c r="K88" i="158"/>
  <c r="H88" i="158"/>
  <c r="P87" i="158"/>
  <c r="N87" i="158"/>
  <c r="M87" i="158"/>
  <c r="L87" i="158"/>
  <c r="K87" i="158"/>
  <c r="H87" i="158"/>
  <c r="P86" i="158"/>
  <c r="N86" i="158"/>
  <c r="M86" i="158"/>
  <c r="L86" i="158"/>
  <c r="K86" i="158"/>
  <c r="H86" i="158"/>
  <c r="P85" i="158"/>
  <c r="N85" i="158"/>
  <c r="M85" i="158"/>
  <c r="L85" i="158"/>
  <c r="K85" i="158"/>
  <c r="H85" i="158"/>
  <c r="P84" i="158"/>
  <c r="N84" i="158"/>
  <c r="M84" i="158"/>
  <c r="L84" i="158"/>
  <c r="K84" i="158"/>
  <c r="H84" i="158"/>
  <c r="P83" i="158"/>
  <c r="N83" i="158"/>
  <c r="M83" i="158"/>
  <c r="L83" i="158"/>
  <c r="K83" i="158"/>
  <c r="H83" i="158"/>
  <c r="P82" i="158"/>
  <c r="N82" i="158"/>
  <c r="M82" i="158"/>
  <c r="L82" i="158"/>
  <c r="K82" i="158"/>
  <c r="H82" i="158"/>
  <c r="P81" i="158"/>
  <c r="N81" i="158"/>
  <c r="M81" i="158"/>
  <c r="L81" i="158"/>
  <c r="K81" i="158"/>
  <c r="H81" i="158"/>
  <c r="P80" i="158"/>
  <c r="N80" i="158"/>
  <c r="M80" i="158"/>
  <c r="L80" i="158"/>
  <c r="K80" i="158"/>
  <c r="H80" i="158"/>
  <c r="P79" i="158"/>
  <c r="N79" i="158"/>
  <c r="M79" i="158"/>
  <c r="L79" i="158"/>
  <c r="K79" i="158"/>
  <c r="H79" i="158"/>
  <c r="P78" i="158"/>
  <c r="N78" i="158"/>
  <c r="M78" i="158"/>
  <c r="L78" i="158"/>
  <c r="K78" i="158"/>
  <c r="H78" i="158"/>
  <c r="P77" i="158"/>
  <c r="N77" i="158"/>
  <c r="M77" i="158"/>
  <c r="L77" i="158"/>
  <c r="K77" i="158"/>
  <c r="H77" i="158"/>
  <c r="P76" i="158"/>
  <c r="N76" i="158"/>
  <c r="M76" i="158"/>
  <c r="L76" i="158"/>
  <c r="K76" i="158"/>
  <c r="H76" i="158"/>
  <c r="P75" i="158"/>
  <c r="N75" i="158"/>
  <c r="M75" i="158"/>
  <c r="L75" i="158"/>
  <c r="K75" i="158"/>
  <c r="H75" i="158"/>
  <c r="P74" i="158"/>
  <c r="N74" i="158"/>
  <c r="M74" i="158"/>
  <c r="L74" i="158"/>
  <c r="K74" i="158"/>
  <c r="H74" i="158"/>
  <c r="A355" i="158"/>
  <c r="A354" i="158"/>
  <c r="A353" i="158"/>
  <c r="A352" i="158"/>
  <c r="A351" i="158"/>
  <c r="A350" i="158"/>
  <c r="A349" i="158"/>
  <c r="A348" i="158"/>
  <c r="A347" i="158"/>
  <c r="A346" i="158"/>
  <c r="A345" i="158"/>
  <c r="A344" i="158"/>
  <c r="A343" i="158"/>
  <c r="A342" i="158"/>
  <c r="A341" i="158"/>
  <c r="A340" i="158"/>
  <c r="A339" i="158"/>
  <c r="A338" i="158"/>
  <c r="A337" i="158"/>
  <c r="A336" i="158"/>
  <c r="A335" i="158"/>
  <c r="A334" i="158"/>
  <c r="A333" i="158"/>
  <c r="A332" i="158"/>
  <c r="A331" i="158"/>
  <c r="A330" i="158"/>
  <c r="A329" i="158"/>
  <c r="A328" i="158"/>
  <c r="A327" i="158"/>
  <c r="A326" i="158"/>
  <c r="A325" i="158"/>
  <c r="A324" i="158"/>
  <c r="A323" i="158"/>
  <c r="A322" i="158"/>
  <c r="A321" i="158"/>
  <c r="A320" i="158"/>
  <c r="A319" i="158"/>
  <c r="A318" i="158"/>
  <c r="A317" i="158"/>
  <c r="A316" i="158"/>
  <c r="A315" i="158"/>
  <c r="A314" i="158"/>
  <c r="A313" i="158"/>
  <c r="A312" i="158"/>
  <c r="A311" i="158"/>
  <c r="A310" i="158"/>
  <c r="A309" i="158"/>
  <c r="A308" i="158"/>
  <c r="A307" i="158"/>
  <c r="A306" i="158"/>
  <c r="A305" i="158"/>
  <c r="A304" i="158"/>
  <c r="A303" i="158"/>
  <c r="A302" i="158"/>
  <c r="A301" i="158"/>
  <c r="A300" i="158"/>
  <c r="A299" i="158"/>
  <c r="A298" i="158"/>
  <c r="A297" i="158"/>
  <c r="A296" i="158"/>
  <c r="A295" i="158"/>
  <c r="A294" i="158"/>
  <c r="A293" i="158"/>
  <c r="A292" i="158"/>
  <c r="A291" i="158"/>
  <c r="A290" i="158"/>
  <c r="A289" i="158"/>
  <c r="A288" i="158"/>
  <c r="A287" i="158"/>
  <c r="A286" i="158"/>
  <c r="A285" i="158"/>
  <c r="A284" i="158"/>
  <c r="A283" i="158"/>
  <c r="A282" i="158"/>
  <c r="A281" i="158"/>
  <c r="A280" i="158"/>
  <c r="A279" i="158"/>
  <c r="A278" i="158"/>
  <c r="A277" i="158"/>
  <c r="A276" i="158"/>
  <c r="A275" i="158"/>
  <c r="A274" i="158"/>
  <c r="A273" i="158"/>
  <c r="A272" i="158"/>
  <c r="A271" i="158"/>
  <c r="A270" i="158"/>
  <c r="A269" i="158"/>
  <c r="A268" i="158"/>
  <c r="A267" i="158"/>
  <c r="A266" i="158"/>
  <c r="A265" i="158"/>
  <c r="A264" i="158"/>
  <c r="A263" i="158"/>
  <c r="A262" i="158"/>
  <c r="A261" i="158"/>
  <c r="A260" i="158"/>
  <c r="A259" i="158"/>
  <c r="A258" i="158"/>
  <c r="A257" i="158"/>
  <c r="A256" i="158"/>
  <c r="A255" i="158"/>
  <c r="A254" i="158"/>
  <c r="A253" i="158"/>
  <c r="A252" i="158"/>
  <c r="A251" i="158"/>
  <c r="A250" i="158"/>
  <c r="A249" i="158"/>
  <c r="A248" i="158"/>
  <c r="A247" i="158"/>
  <c r="A246" i="158"/>
  <c r="A245" i="158"/>
  <c r="A244" i="158"/>
  <c r="A243" i="158"/>
  <c r="A242" i="158"/>
  <c r="A241" i="158"/>
  <c r="A240" i="158"/>
  <c r="A239" i="158"/>
  <c r="A238" i="158"/>
  <c r="A237" i="158"/>
  <c r="A236" i="158"/>
  <c r="A235" i="158"/>
  <c r="A234" i="158"/>
  <c r="A233" i="158"/>
  <c r="A232" i="158"/>
  <c r="A231" i="158"/>
  <c r="A230" i="158"/>
  <c r="A229" i="158"/>
  <c r="A228" i="158"/>
  <c r="A227" i="158"/>
  <c r="A226" i="158"/>
  <c r="A225" i="158"/>
  <c r="A224" i="158"/>
  <c r="A223" i="158"/>
  <c r="A222" i="158"/>
  <c r="A221" i="158"/>
  <c r="A220" i="158"/>
  <c r="A219" i="158"/>
  <c r="A218" i="158"/>
  <c r="A217" i="158"/>
  <c r="A216" i="158"/>
  <c r="A215" i="158"/>
  <c r="A214" i="158"/>
  <c r="A213" i="158"/>
  <c r="A212" i="158"/>
  <c r="A211" i="158"/>
  <c r="A210" i="158"/>
  <c r="A209" i="158"/>
  <c r="A208" i="158"/>
  <c r="A207" i="158"/>
  <c r="A206" i="158"/>
  <c r="A205" i="158"/>
  <c r="A204" i="158"/>
  <c r="A203" i="158"/>
  <c r="A202" i="158"/>
  <c r="A201" i="158"/>
  <c r="A200" i="158"/>
  <c r="A199" i="158"/>
  <c r="A198" i="158"/>
  <c r="A197" i="158"/>
  <c r="A196" i="158"/>
  <c r="A195" i="158"/>
  <c r="A194" i="158"/>
  <c r="A193" i="158"/>
  <c r="A192" i="158"/>
  <c r="A191" i="158"/>
  <c r="A190" i="158"/>
  <c r="A189" i="158"/>
  <c r="A188" i="158"/>
  <c r="A187" i="158"/>
  <c r="A186" i="158"/>
  <c r="A185" i="158"/>
  <c r="A184" i="158"/>
  <c r="A183" i="158"/>
  <c r="A182" i="158"/>
  <c r="A181" i="158"/>
  <c r="A180" i="158"/>
  <c r="A179" i="158"/>
  <c r="A178" i="158"/>
  <c r="A177" i="158"/>
  <c r="A176" i="158"/>
  <c r="A175" i="158"/>
  <c r="A174" i="158"/>
  <c r="A173" i="158"/>
  <c r="A172" i="158"/>
  <c r="A171" i="158"/>
  <c r="A170" i="158"/>
  <c r="A169" i="158"/>
  <c r="A168" i="158"/>
  <c r="A167" i="158"/>
  <c r="A166" i="158"/>
  <c r="A165" i="158"/>
  <c r="A164" i="158"/>
  <c r="A163" i="158"/>
  <c r="A162" i="158"/>
  <c r="A161" i="158"/>
  <c r="A160" i="158"/>
  <c r="A159" i="158"/>
  <c r="A158" i="158"/>
  <c r="A157" i="158"/>
  <c r="A156" i="158"/>
  <c r="A155" i="158"/>
  <c r="A154" i="158"/>
  <c r="A153" i="158"/>
  <c r="A152" i="158"/>
  <c r="A151" i="158"/>
  <c r="A150" i="158"/>
  <c r="A149" i="158"/>
  <c r="A148" i="158"/>
  <c r="A147" i="158"/>
  <c r="A146" i="158"/>
  <c r="A145" i="158"/>
  <c r="A144" i="158"/>
  <c r="A143" i="158"/>
  <c r="A142" i="158"/>
  <c r="A141" i="158"/>
  <c r="A140" i="158"/>
  <c r="A139" i="158"/>
  <c r="A138" i="158"/>
  <c r="A137" i="158"/>
  <c r="A136" i="158"/>
  <c r="A135" i="158"/>
  <c r="A134" i="158"/>
  <c r="A133" i="158"/>
  <c r="A132" i="158"/>
  <c r="A131" i="158"/>
  <c r="A130" i="158"/>
  <c r="A129" i="158"/>
  <c r="A128" i="158"/>
  <c r="A127" i="158"/>
  <c r="A126" i="158"/>
  <c r="A125" i="158"/>
  <c r="A124" i="158"/>
  <c r="A123" i="158"/>
  <c r="A122" i="158"/>
  <c r="A121" i="158"/>
  <c r="A120" i="158"/>
  <c r="A119" i="158"/>
  <c r="A118" i="158"/>
  <c r="A117" i="158"/>
  <c r="A116" i="158"/>
  <c r="A115" i="158"/>
  <c r="A114" i="158"/>
  <c r="A113" i="158"/>
  <c r="A112" i="158"/>
  <c r="A111" i="158"/>
  <c r="A110" i="158"/>
  <c r="A109" i="158"/>
  <c r="A108" i="158"/>
  <c r="A107" i="158"/>
  <c r="A106" i="158"/>
  <c r="A105" i="158"/>
  <c r="A104" i="158"/>
  <c r="A103" i="158"/>
  <c r="A102" i="158"/>
  <c r="A101" i="158"/>
  <c r="A100" i="158"/>
  <c r="A99" i="158"/>
  <c r="A98" i="158"/>
  <c r="A97" i="158"/>
  <c r="A96" i="158"/>
  <c r="A95" i="158"/>
  <c r="A94" i="158"/>
  <c r="A93" i="158"/>
  <c r="A92" i="158"/>
  <c r="A91" i="158"/>
  <c r="A90" i="158"/>
  <c r="A89" i="158"/>
  <c r="A88" i="158"/>
  <c r="A87" i="158"/>
  <c r="A86" i="158"/>
  <c r="A85" i="158"/>
  <c r="A84" i="158"/>
  <c r="A83" i="158"/>
  <c r="A82" i="158"/>
  <c r="A81" i="158"/>
  <c r="A80" i="158"/>
  <c r="A79" i="158"/>
  <c r="A78" i="158"/>
  <c r="A77" i="158"/>
  <c r="A76" i="158"/>
  <c r="A75" i="158"/>
  <c r="A74" i="158"/>
  <c r="B30" i="157"/>
  <c r="P23" i="158"/>
  <c r="P24" i="158"/>
  <c r="P27" i="158"/>
  <c r="P28" i="158"/>
  <c r="P2" i="158"/>
  <c r="P3" i="158"/>
  <c r="P4" i="158"/>
  <c r="P5" i="158"/>
  <c r="P6" i="158"/>
  <c r="P7" i="158"/>
  <c r="P8" i="158"/>
  <c r="P9" i="158"/>
  <c r="P10" i="158"/>
  <c r="P11" i="158"/>
  <c r="P12" i="158"/>
  <c r="P13" i="158"/>
  <c r="P14" i="158"/>
  <c r="P15" i="158"/>
  <c r="P16" i="158"/>
  <c r="P17" i="158"/>
  <c r="P18" i="158"/>
  <c r="P19" i="158"/>
  <c r="P20" i="158"/>
  <c r="P21" i="158"/>
  <c r="P22" i="158"/>
  <c r="P25" i="158"/>
  <c r="P26" i="158"/>
  <c r="P29" i="158"/>
  <c r="P30" i="158"/>
  <c r="P31" i="158"/>
  <c r="P32" i="158"/>
  <c r="P33" i="158"/>
  <c r="P34" i="158"/>
  <c r="P35" i="158"/>
  <c r="P36" i="158"/>
  <c r="P37" i="158"/>
  <c r="P38" i="158"/>
  <c r="P39" i="158"/>
  <c r="P40" i="158"/>
  <c r="P41" i="158"/>
  <c r="P42" i="158"/>
  <c r="P43" i="158"/>
  <c r="P44" i="158"/>
  <c r="P45" i="158"/>
  <c r="P46" i="158"/>
  <c r="P47" i="158"/>
  <c r="P48" i="158"/>
  <c r="P49" i="158"/>
  <c r="P50" i="158"/>
  <c r="P51" i="158"/>
  <c r="P52" i="158"/>
  <c r="P53" i="158"/>
  <c r="P54" i="158"/>
  <c r="P55" i="158"/>
  <c r="P56" i="158"/>
  <c r="P57" i="158"/>
  <c r="P58" i="158"/>
  <c r="P59" i="158"/>
  <c r="P60" i="158"/>
  <c r="P61" i="158"/>
  <c r="P62" i="158"/>
  <c r="P63" i="158"/>
  <c r="P64" i="158"/>
  <c r="P65" i="158"/>
  <c r="P66" i="158"/>
  <c r="P67" i="158"/>
  <c r="P68" i="158"/>
  <c r="P69" i="158"/>
  <c r="P70" i="158"/>
  <c r="P71" i="158"/>
  <c r="P72" i="158"/>
  <c r="P73" i="158"/>
  <c r="F48" i="157"/>
  <c r="F49" i="157"/>
  <c r="F50" i="157"/>
  <c r="J18" i="159"/>
  <c r="J19" i="159"/>
  <c r="J38" i="159"/>
  <c r="E38" i="159"/>
  <c r="F38" i="159"/>
  <c r="C38" i="159"/>
  <c r="H38" i="159"/>
  <c r="K38" i="159"/>
  <c r="L38" i="159"/>
  <c r="M38" i="159"/>
  <c r="N38" i="159"/>
  <c r="P38" i="159"/>
  <c r="J39" i="159"/>
  <c r="E39" i="159"/>
  <c r="F39" i="159"/>
  <c r="C39" i="159"/>
  <c r="H39" i="159"/>
  <c r="K39" i="159"/>
  <c r="L39" i="159"/>
  <c r="M39" i="159"/>
  <c r="N39" i="159"/>
  <c r="P39" i="159"/>
  <c r="J40" i="159"/>
  <c r="E40" i="159"/>
  <c r="F40" i="159"/>
  <c r="C40" i="159"/>
  <c r="H40" i="159"/>
  <c r="K40" i="159"/>
  <c r="L40" i="159"/>
  <c r="M40" i="159"/>
  <c r="N40" i="159"/>
  <c r="P40" i="159"/>
  <c r="J41" i="159"/>
  <c r="E41" i="159"/>
  <c r="F41" i="159"/>
  <c r="C41" i="159"/>
  <c r="H41" i="159"/>
  <c r="K41" i="159"/>
  <c r="L41" i="159"/>
  <c r="M41" i="159"/>
  <c r="N41" i="159"/>
  <c r="P41" i="159"/>
  <c r="J42" i="159"/>
  <c r="E42" i="159"/>
  <c r="F42" i="159"/>
  <c r="C42" i="159"/>
  <c r="H42" i="159"/>
  <c r="K42" i="159"/>
  <c r="L42" i="159"/>
  <c r="M42" i="159"/>
  <c r="N42" i="159"/>
  <c r="P42" i="159"/>
  <c r="J43" i="159"/>
  <c r="E43" i="159"/>
  <c r="F43" i="159"/>
  <c r="C43" i="159"/>
  <c r="H43" i="159"/>
  <c r="K43" i="159"/>
  <c r="L43" i="159"/>
  <c r="M43" i="159"/>
  <c r="N43" i="159"/>
  <c r="P43" i="159"/>
  <c r="R9" i="157"/>
  <c r="F42" i="157"/>
  <c r="G42" i="157"/>
  <c r="H70" i="158"/>
  <c r="K70" i="158"/>
  <c r="L70" i="158"/>
  <c r="M70" i="158"/>
  <c r="N70" i="158"/>
  <c r="H71" i="158"/>
  <c r="K71" i="158"/>
  <c r="L71" i="158"/>
  <c r="M71" i="158"/>
  <c r="N71" i="158"/>
  <c r="H72" i="158"/>
  <c r="K72" i="158"/>
  <c r="L72" i="158"/>
  <c r="M72" i="158"/>
  <c r="N72" i="158"/>
  <c r="H73" i="158"/>
  <c r="K73" i="158"/>
  <c r="L73" i="158"/>
  <c r="M73" i="158"/>
  <c r="N73" i="158"/>
  <c r="A70" i="158"/>
  <c r="A71" i="158"/>
  <c r="A72" i="158"/>
  <c r="A73" i="158"/>
  <c r="F41" i="157"/>
  <c r="G41" i="157"/>
  <c r="J2" i="159"/>
  <c r="E2" i="159"/>
  <c r="F2" i="159"/>
  <c r="C2" i="159"/>
  <c r="J3" i="159"/>
  <c r="E3" i="159"/>
  <c r="F3" i="159"/>
  <c r="C3" i="159"/>
  <c r="J4" i="159"/>
  <c r="E4" i="159"/>
  <c r="F4" i="159"/>
  <c r="C4" i="159"/>
  <c r="J5" i="159"/>
  <c r="E5" i="159"/>
  <c r="F5" i="159"/>
  <c r="C5" i="159"/>
  <c r="J6" i="159"/>
  <c r="E6" i="159"/>
  <c r="F6" i="159"/>
  <c r="C6" i="159"/>
  <c r="J7" i="159"/>
  <c r="E7" i="159"/>
  <c r="F7" i="159"/>
  <c r="C7" i="159"/>
  <c r="J8" i="159"/>
  <c r="E8" i="159"/>
  <c r="F8" i="159"/>
  <c r="C8" i="159"/>
  <c r="J9" i="159"/>
  <c r="E9" i="159"/>
  <c r="F9" i="159"/>
  <c r="C9" i="159"/>
  <c r="J10" i="159"/>
  <c r="E10" i="159"/>
  <c r="F10" i="159"/>
  <c r="C10" i="159"/>
  <c r="J11" i="159"/>
  <c r="E11" i="159"/>
  <c r="F11" i="159"/>
  <c r="C11" i="159"/>
  <c r="J12" i="159"/>
  <c r="E12" i="159"/>
  <c r="F12" i="159"/>
  <c r="C12" i="159"/>
  <c r="J13" i="159"/>
  <c r="E13" i="159"/>
  <c r="F13" i="159"/>
  <c r="C13" i="159"/>
  <c r="J14" i="159"/>
  <c r="E14" i="159"/>
  <c r="F14" i="159"/>
  <c r="C14" i="159"/>
  <c r="J15" i="159"/>
  <c r="E15" i="159"/>
  <c r="F15" i="159"/>
  <c r="C15" i="159"/>
  <c r="J16" i="159"/>
  <c r="E16" i="159"/>
  <c r="F16" i="159"/>
  <c r="C16" i="159"/>
  <c r="J17" i="159"/>
  <c r="E17" i="159"/>
  <c r="F17" i="159"/>
  <c r="C17" i="159"/>
  <c r="E18" i="159"/>
  <c r="F18" i="159"/>
  <c r="C18" i="159"/>
  <c r="E19" i="159"/>
  <c r="F19" i="159"/>
  <c r="C19" i="159"/>
  <c r="J20" i="159"/>
  <c r="E20" i="159"/>
  <c r="F20" i="159"/>
  <c r="C20" i="159"/>
  <c r="J21" i="159"/>
  <c r="E21" i="159"/>
  <c r="F21" i="159"/>
  <c r="C21" i="159"/>
  <c r="J22" i="159"/>
  <c r="E22" i="159"/>
  <c r="F22" i="159"/>
  <c r="C22" i="159"/>
  <c r="J23" i="159"/>
  <c r="E23" i="159"/>
  <c r="F23" i="159"/>
  <c r="C23" i="159"/>
  <c r="J24" i="159"/>
  <c r="E24" i="159"/>
  <c r="F24" i="159"/>
  <c r="C24" i="159"/>
  <c r="J25" i="159"/>
  <c r="E25" i="159"/>
  <c r="F25" i="159"/>
  <c r="C25" i="159"/>
  <c r="J26" i="159"/>
  <c r="E26" i="159"/>
  <c r="F26" i="159"/>
  <c r="C26" i="159"/>
  <c r="J27" i="159"/>
  <c r="E27" i="159"/>
  <c r="F27" i="159"/>
  <c r="C27" i="159"/>
  <c r="J28" i="159"/>
  <c r="E28" i="159"/>
  <c r="F28" i="159"/>
  <c r="C28" i="159"/>
  <c r="J29" i="159"/>
  <c r="E29" i="159"/>
  <c r="F29" i="159"/>
  <c r="C29" i="159"/>
  <c r="J30" i="159"/>
  <c r="E30" i="159"/>
  <c r="F30" i="159"/>
  <c r="C30" i="159"/>
  <c r="J31" i="159"/>
  <c r="E31" i="159"/>
  <c r="F31" i="159"/>
  <c r="C31" i="159"/>
  <c r="J32" i="159"/>
  <c r="E32" i="159"/>
  <c r="F32" i="159"/>
  <c r="C32" i="159"/>
  <c r="J33" i="159"/>
  <c r="E33" i="159"/>
  <c r="F33" i="159"/>
  <c r="C33" i="159"/>
  <c r="J34" i="159"/>
  <c r="E34" i="159"/>
  <c r="F34" i="159"/>
  <c r="C34" i="159"/>
  <c r="J35" i="159"/>
  <c r="E35" i="159"/>
  <c r="F35" i="159"/>
  <c r="C35" i="159"/>
  <c r="J36" i="159"/>
  <c r="E36" i="159"/>
  <c r="F36" i="159"/>
  <c r="C36" i="159"/>
  <c r="J37" i="159"/>
  <c r="E37" i="159"/>
  <c r="F37" i="159"/>
  <c r="C37" i="159"/>
  <c r="P37" i="159"/>
  <c r="N37" i="159"/>
  <c r="M37" i="159"/>
  <c r="L37" i="159"/>
  <c r="K37" i="159"/>
  <c r="H37" i="159"/>
  <c r="P36" i="159"/>
  <c r="N36" i="159"/>
  <c r="M36" i="159"/>
  <c r="L36" i="159"/>
  <c r="K36" i="159"/>
  <c r="H36" i="159"/>
  <c r="P35" i="159"/>
  <c r="N35" i="159"/>
  <c r="M35" i="159"/>
  <c r="L35" i="159"/>
  <c r="K35" i="159"/>
  <c r="H35" i="159"/>
  <c r="P34" i="159"/>
  <c r="N34" i="159"/>
  <c r="M34" i="159"/>
  <c r="L34" i="159"/>
  <c r="K34" i="159"/>
  <c r="H34" i="159"/>
  <c r="P33" i="159"/>
  <c r="N33" i="159"/>
  <c r="M33" i="159"/>
  <c r="L33" i="159"/>
  <c r="K33" i="159"/>
  <c r="H33" i="159"/>
  <c r="P32" i="159"/>
  <c r="N32" i="159"/>
  <c r="M32" i="159"/>
  <c r="L32" i="159"/>
  <c r="K32" i="159"/>
  <c r="H32" i="159"/>
  <c r="P31" i="159"/>
  <c r="N31" i="159"/>
  <c r="M31" i="159"/>
  <c r="L31" i="159"/>
  <c r="K31" i="159"/>
  <c r="H31" i="159"/>
  <c r="P30" i="159"/>
  <c r="N30" i="159"/>
  <c r="M30" i="159"/>
  <c r="L30" i="159"/>
  <c r="K30" i="159"/>
  <c r="H30" i="159"/>
  <c r="P29" i="159"/>
  <c r="N29" i="159"/>
  <c r="M29" i="159"/>
  <c r="L29" i="159"/>
  <c r="K29" i="159"/>
  <c r="H29" i="159"/>
  <c r="P28" i="159"/>
  <c r="N28" i="159"/>
  <c r="M28" i="159"/>
  <c r="L28" i="159"/>
  <c r="K28" i="159"/>
  <c r="H28" i="159"/>
  <c r="P27" i="159"/>
  <c r="N27" i="159"/>
  <c r="M27" i="159"/>
  <c r="L27" i="159"/>
  <c r="K27" i="159"/>
  <c r="H27" i="159"/>
  <c r="P26" i="159"/>
  <c r="N26" i="159"/>
  <c r="M26" i="159"/>
  <c r="L26" i="159"/>
  <c r="K26" i="159"/>
  <c r="H26" i="159"/>
  <c r="P25" i="159"/>
  <c r="N25" i="159"/>
  <c r="M25" i="159"/>
  <c r="L25" i="159"/>
  <c r="K25" i="159"/>
  <c r="H25" i="159"/>
  <c r="P24" i="159"/>
  <c r="N24" i="159"/>
  <c r="M24" i="159"/>
  <c r="L24" i="159"/>
  <c r="K24" i="159"/>
  <c r="H24" i="159"/>
  <c r="P23" i="159"/>
  <c r="N23" i="159"/>
  <c r="M23" i="159"/>
  <c r="L23" i="159"/>
  <c r="K23" i="159"/>
  <c r="H23" i="159"/>
  <c r="P22" i="159"/>
  <c r="N22" i="159"/>
  <c r="M22" i="159"/>
  <c r="L22" i="159"/>
  <c r="K22" i="159"/>
  <c r="H22" i="159"/>
  <c r="P21" i="159"/>
  <c r="N21" i="159"/>
  <c r="M21" i="159"/>
  <c r="L21" i="159"/>
  <c r="K21" i="159"/>
  <c r="H21" i="159"/>
  <c r="P20" i="159"/>
  <c r="N20" i="159"/>
  <c r="M20" i="159"/>
  <c r="L20" i="159"/>
  <c r="K20" i="159"/>
  <c r="H20" i="159"/>
  <c r="P19" i="159"/>
  <c r="N19" i="159"/>
  <c r="M19" i="159"/>
  <c r="L19" i="159"/>
  <c r="K19" i="159"/>
  <c r="H19" i="159"/>
  <c r="P18" i="159"/>
  <c r="N18" i="159"/>
  <c r="M18" i="159"/>
  <c r="L18" i="159"/>
  <c r="K18" i="159"/>
  <c r="H18" i="159"/>
  <c r="P17" i="159"/>
  <c r="N17" i="159"/>
  <c r="M17" i="159"/>
  <c r="L17" i="159"/>
  <c r="K17" i="159"/>
  <c r="H17" i="159"/>
  <c r="P16" i="159"/>
  <c r="N16" i="159"/>
  <c r="M16" i="159"/>
  <c r="L16" i="159"/>
  <c r="K16" i="159"/>
  <c r="H16" i="159"/>
  <c r="P15" i="159"/>
  <c r="N15" i="159"/>
  <c r="M15" i="159"/>
  <c r="L15" i="159"/>
  <c r="K15" i="159"/>
  <c r="H15" i="159"/>
  <c r="P14" i="159"/>
  <c r="N14" i="159"/>
  <c r="M14" i="159"/>
  <c r="L14" i="159"/>
  <c r="K14" i="159"/>
  <c r="H14" i="159"/>
  <c r="P13" i="159"/>
  <c r="N13" i="159"/>
  <c r="M13" i="159"/>
  <c r="L13" i="159"/>
  <c r="K13" i="159"/>
  <c r="H13" i="159"/>
  <c r="P12" i="159"/>
  <c r="N12" i="159"/>
  <c r="M12" i="159"/>
  <c r="L12" i="159"/>
  <c r="K12" i="159"/>
  <c r="H12" i="159"/>
  <c r="P11" i="159"/>
  <c r="N11" i="159"/>
  <c r="M11" i="159"/>
  <c r="L11" i="159"/>
  <c r="K11" i="159"/>
  <c r="H11" i="159"/>
  <c r="P10" i="159"/>
  <c r="N10" i="159"/>
  <c r="M10" i="159"/>
  <c r="L10" i="159"/>
  <c r="K10" i="159"/>
  <c r="H10" i="159"/>
  <c r="P9" i="159"/>
  <c r="N9" i="159"/>
  <c r="M9" i="159"/>
  <c r="L9" i="159"/>
  <c r="K9" i="159"/>
  <c r="H9" i="159"/>
  <c r="P8" i="159"/>
  <c r="N8" i="159"/>
  <c r="M8" i="159"/>
  <c r="L8" i="159"/>
  <c r="K8" i="159"/>
  <c r="H8" i="159"/>
  <c r="P7" i="159"/>
  <c r="N7" i="159"/>
  <c r="M7" i="159"/>
  <c r="L7" i="159"/>
  <c r="K7" i="159"/>
  <c r="H7" i="159"/>
  <c r="P6" i="159"/>
  <c r="N6" i="159"/>
  <c r="M6" i="159"/>
  <c r="L6" i="159"/>
  <c r="K6" i="159"/>
  <c r="H6" i="159"/>
  <c r="P5" i="159"/>
  <c r="N5" i="159"/>
  <c r="M5" i="159"/>
  <c r="L5" i="159"/>
  <c r="K5" i="159"/>
  <c r="H5" i="159"/>
  <c r="P4" i="159"/>
  <c r="N4" i="159"/>
  <c r="M4" i="159"/>
  <c r="L4" i="159"/>
  <c r="K4" i="159"/>
  <c r="H4" i="159"/>
  <c r="P3" i="159"/>
  <c r="N3" i="159"/>
  <c r="M3" i="159"/>
  <c r="L3" i="159"/>
  <c r="K3" i="159"/>
  <c r="H3" i="159"/>
  <c r="P2" i="159"/>
  <c r="N2" i="159"/>
  <c r="M2" i="159"/>
  <c r="L2" i="159"/>
  <c r="K2" i="159"/>
  <c r="H2" i="159"/>
  <c r="C19" i="157"/>
  <c r="C20" i="157"/>
  <c r="C21" i="157"/>
  <c r="C22" i="157"/>
  <c r="C23" i="157"/>
  <c r="C24" i="157"/>
  <c r="C25" i="157"/>
  <c r="C26" i="157"/>
  <c r="C29" i="157"/>
  <c r="C32" i="157"/>
  <c r="C4" i="103"/>
  <c r="E4" i="103"/>
  <c r="R10" i="157"/>
  <c r="N69" i="158"/>
  <c r="M69" i="158"/>
  <c r="L69" i="158"/>
  <c r="K69" i="158"/>
  <c r="H69" i="158"/>
  <c r="A69" i="158"/>
  <c r="N68" i="158"/>
  <c r="M68" i="158"/>
  <c r="L68" i="158"/>
  <c r="K68" i="158"/>
  <c r="H68" i="158"/>
  <c r="A68" i="158"/>
  <c r="N67" i="158"/>
  <c r="M67" i="158"/>
  <c r="L67" i="158"/>
  <c r="K67" i="158"/>
  <c r="H67" i="158"/>
  <c r="A67" i="158"/>
  <c r="N66" i="158"/>
  <c r="M66" i="158"/>
  <c r="L66" i="158"/>
  <c r="K66" i="158"/>
  <c r="H66" i="158"/>
  <c r="A66" i="158"/>
  <c r="N65" i="158"/>
  <c r="M65" i="158"/>
  <c r="L65" i="158"/>
  <c r="K65" i="158"/>
  <c r="H65" i="158"/>
  <c r="A65" i="158"/>
  <c r="N64" i="158"/>
  <c r="M64" i="158"/>
  <c r="L64" i="158"/>
  <c r="K64" i="158"/>
  <c r="H64" i="158"/>
  <c r="A64" i="158"/>
  <c r="N63" i="158"/>
  <c r="M63" i="158"/>
  <c r="L63" i="158"/>
  <c r="K63" i="158"/>
  <c r="H63" i="158"/>
  <c r="A63" i="158"/>
  <c r="N62" i="158"/>
  <c r="M62" i="158"/>
  <c r="L62" i="158"/>
  <c r="K62" i="158"/>
  <c r="H62" i="158"/>
  <c r="A62" i="158"/>
  <c r="N61" i="158"/>
  <c r="M61" i="158"/>
  <c r="L61" i="158"/>
  <c r="K61" i="158"/>
  <c r="H61" i="158"/>
  <c r="A61" i="158"/>
  <c r="N60" i="158"/>
  <c r="M60" i="158"/>
  <c r="L60" i="158"/>
  <c r="K60" i="158"/>
  <c r="H60" i="158"/>
  <c r="A60" i="158"/>
  <c r="N59" i="158"/>
  <c r="M59" i="158"/>
  <c r="L59" i="158"/>
  <c r="K59" i="158"/>
  <c r="H59" i="158"/>
  <c r="A59" i="158"/>
  <c r="N58" i="158"/>
  <c r="M58" i="158"/>
  <c r="L58" i="158"/>
  <c r="K58" i="158"/>
  <c r="H58" i="158"/>
  <c r="A58" i="158"/>
  <c r="N57" i="158"/>
  <c r="M57" i="158"/>
  <c r="L57" i="158"/>
  <c r="K57" i="158"/>
  <c r="H57" i="158"/>
  <c r="A57" i="158"/>
  <c r="N56" i="158"/>
  <c r="M56" i="158"/>
  <c r="L56" i="158"/>
  <c r="K56" i="158"/>
  <c r="H56" i="158"/>
  <c r="A56" i="158"/>
  <c r="N55" i="158"/>
  <c r="M55" i="158"/>
  <c r="L55" i="158"/>
  <c r="K55" i="158"/>
  <c r="H55" i="158"/>
  <c r="A55" i="158"/>
  <c r="N54" i="158"/>
  <c r="M54" i="158"/>
  <c r="L54" i="158"/>
  <c r="K54" i="158"/>
  <c r="H54" i="158"/>
  <c r="A54" i="158"/>
  <c r="N53" i="158"/>
  <c r="M53" i="158"/>
  <c r="L53" i="158"/>
  <c r="K53" i="158"/>
  <c r="H53" i="158"/>
  <c r="A53" i="158"/>
  <c r="N52" i="158"/>
  <c r="M52" i="158"/>
  <c r="L52" i="158"/>
  <c r="K52" i="158"/>
  <c r="H52" i="158"/>
  <c r="A52" i="158"/>
  <c r="N51" i="158"/>
  <c r="M51" i="158"/>
  <c r="L51" i="158"/>
  <c r="K51" i="158"/>
  <c r="H51" i="158"/>
  <c r="A51" i="158"/>
  <c r="N50" i="158"/>
  <c r="M50" i="158"/>
  <c r="L50" i="158"/>
  <c r="K50" i="158"/>
  <c r="H50" i="158"/>
  <c r="A50" i="158"/>
  <c r="N49" i="158"/>
  <c r="M49" i="158"/>
  <c r="L49" i="158"/>
  <c r="K49" i="158"/>
  <c r="H49" i="158"/>
  <c r="A49" i="158"/>
  <c r="N48" i="158"/>
  <c r="M48" i="158"/>
  <c r="L48" i="158"/>
  <c r="K48" i="158"/>
  <c r="H48" i="158"/>
  <c r="A48" i="158"/>
  <c r="N47" i="158"/>
  <c r="M47" i="158"/>
  <c r="L47" i="158"/>
  <c r="K47" i="158"/>
  <c r="H47" i="158"/>
  <c r="A47" i="158"/>
  <c r="N46" i="158"/>
  <c r="M46" i="158"/>
  <c r="L46" i="158"/>
  <c r="K46" i="158"/>
  <c r="H46" i="158"/>
  <c r="A46" i="158"/>
  <c r="N45" i="158"/>
  <c r="M45" i="158"/>
  <c r="L45" i="158"/>
  <c r="K45" i="158"/>
  <c r="H45" i="158"/>
  <c r="A45" i="158"/>
  <c r="N44" i="158"/>
  <c r="M44" i="158"/>
  <c r="L44" i="158"/>
  <c r="K44" i="158"/>
  <c r="H44" i="158"/>
  <c r="A44" i="158"/>
  <c r="N43" i="158"/>
  <c r="M43" i="158"/>
  <c r="L43" i="158"/>
  <c r="K43" i="158"/>
  <c r="H43" i="158"/>
  <c r="A43" i="158"/>
  <c r="N42" i="158"/>
  <c r="M42" i="158"/>
  <c r="L42" i="158"/>
  <c r="K42" i="158"/>
  <c r="H42" i="158"/>
  <c r="A42" i="158"/>
  <c r="N41" i="158"/>
  <c r="M41" i="158"/>
  <c r="L41" i="158"/>
  <c r="K41" i="158"/>
  <c r="H41" i="158"/>
  <c r="A41" i="158"/>
  <c r="N40" i="158"/>
  <c r="M40" i="158"/>
  <c r="L40" i="158"/>
  <c r="K40" i="158"/>
  <c r="H40" i="158"/>
  <c r="A40" i="158"/>
  <c r="N39" i="158"/>
  <c r="M39" i="158"/>
  <c r="L39" i="158"/>
  <c r="K39" i="158"/>
  <c r="H39" i="158"/>
  <c r="A39" i="158"/>
  <c r="N38" i="158"/>
  <c r="M38" i="158"/>
  <c r="L38" i="158"/>
  <c r="K38" i="158"/>
  <c r="H38" i="158"/>
  <c r="A38" i="158"/>
  <c r="N37" i="158"/>
  <c r="M37" i="158"/>
  <c r="L37" i="158"/>
  <c r="K37" i="158"/>
  <c r="H37" i="158"/>
  <c r="A37" i="158"/>
  <c r="N36" i="158"/>
  <c r="M36" i="158"/>
  <c r="L36" i="158"/>
  <c r="K36" i="158"/>
  <c r="H36" i="158"/>
  <c r="A36" i="158"/>
  <c r="N35" i="158"/>
  <c r="M35" i="158"/>
  <c r="L35" i="158"/>
  <c r="K35" i="158"/>
  <c r="H35" i="158"/>
  <c r="A35" i="158"/>
  <c r="N34" i="158"/>
  <c r="M34" i="158"/>
  <c r="L34" i="158"/>
  <c r="K34" i="158"/>
  <c r="H34" i="158"/>
  <c r="A34" i="158"/>
  <c r="N33" i="158"/>
  <c r="M33" i="158"/>
  <c r="L33" i="158"/>
  <c r="K33" i="158"/>
  <c r="H33" i="158"/>
  <c r="A33" i="158"/>
  <c r="N32" i="158"/>
  <c r="M32" i="158"/>
  <c r="L32" i="158"/>
  <c r="K32" i="158"/>
  <c r="H32" i="158"/>
  <c r="A32" i="158"/>
  <c r="N31" i="158"/>
  <c r="M31" i="158"/>
  <c r="L31" i="158"/>
  <c r="K31" i="158"/>
  <c r="H31" i="158"/>
  <c r="A31" i="158"/>
  <c r="N30" i="158"/>
  <c r="M30" i="158"/>
  <c r="L30" i="158"/>
  <c r="K30" i="158"/>
  <c r="H30" i="158"/>
  <c r="A30" i="158"/>
  <c r="N29" i="158"/>
  <c r="M29" i="158"/>
  <c r="L29" i="158"/>
  <c r="K29" i="158"/>
  <c r="H29" i="158"/>
  <c r="A29" i="158"/>
  <c r="N28" i="158"/>
  <c r="M28" i="158"/>
  <c r="L28" i="158"/>
  <c r="K28" i="158"/>
  <c r="H28" i="158"/>
  <c r="A28" i="158"/>
  <c r="N27" i="158"/>
  <c r="M27" i="158"/>
  <c r="L27" i="158"/>
  <c r="K27" i="158"/>
  <c r="H27" i="158"/>
  <c r="A27" i="158"/>
  <c r="N26" i="158"/>
  <c r="M26" i="158"/>
  <c r="L26" i="158"/>
  <c r="K26" i="158"/>
  <c r="H26" i="158"/>
  <c r="A26" i="158"/>
  <c r="N25" i="158"/>
  <c r="M25" i="158"/>
  <c r="L25" i="158"/>
  <c r="K25" i="158"/>
  <c r="H25" i="158"/>
  <c r="A25" i="158"/>
  <c r="N24" i="158"/>
  <c r="M24" i="158"/>
  <c r="L24" i="158"/>
  <c r="K24" i="158"/>
  <c r="H24" i="158"/>
  <c r="A24" i="158"/>
  <c r="N23" i="158"/>
  <c r="M23" i="158"/>
  <c r="L23" i="158"/>
  <c r="K23" i="158"/>
  <c r="H23" i="158"/>
  <c r="A23" i="158"/>
  <c r="N22" i="158"/>
  <c r="M22" i="158"/>
  <c r="L22" i="158"/>
  <c r="K22" i="158"/>
  <c r="H22" i="158"/>
  <c r="A22" i="158"/>
  <c r="N21" i="158"/>
  <c r="M21" i="158"/>
  <c r="L21" i="158"/>
  <c r="K21" i="158"/>
  <c r="H21" i="158"/>
  <c r="A21" i="158"/>
  <c r="N20" i="158"/>
  <c r="M20" i="158"/>
  <c r="L20" i="158"/>
  <c r="K20" i="158"/>
  <c r="H20" i="158"/>
  <c r="A20" i="158"/>
  <c r="N19" i="158"/>
  <c r="M19" i="158"/>
  <c r="L19" i="158"/>
  <c r="K19" i="158"/>
  <c r="H19" i="158"/>
  <c r="A19" i="158"/>
  <c r="N18" i="158"/>
  <c r="M18" i="158"/>
  <c r="L18" i="158"/>
  <c r="K18" i="158"/>
  <c r="H18" i="158"/>
  <c r="A18" i="158"/>
  <c r="N17" i="158"/>
  <c r="M17" i="158"/>
  <c r="L17" i="158"/>
  <c r="K17" i="158"/>
  <c r="H17" i="158"/>
  <c r="A17" i="158"/>
  <c r="N16" i="158"/>
  <c r="M16" i="158"/>
  <c r="L16" i="158"/>
  <c r="K16" i="158"/>
  <c r="H16" i="158"/>
  <c r="A16" i="158"/>
  <c r="N15" i="158"/>
  <c r="M15" i="158"/>
  <c r="L15" i="158"/>
  <c r="K15" i="158"/>
  <c r="H15" i="158"/>
  <c r="A15" i="158"/>
  <c r="N14" i="158"/>
  <c r="M14" i="158"/>
  <c r="L14" i="158"/>
  <c r="K14" i="158"/>
  <c r="H14" i="158"/>
  <c r="A14" i="158"/>
  <c r="N13" i="158"/>
  <c r="M13" i="158"/>
  <c r="L13" i="158"/>
  <c r="K13" i="158"/>
  <c r="H13" i="158"/>
  <c r="A13" i="158"/>
  <c r="N12" i="158"/>
  <c r="M12" i="158"/>
  <c r="L12" i="158"/>
  <c r="K12" i="158"/>
  <c r="H12" i="158"/>
  <c r="A12" i="158"/>
  <c r="N11" i="158"/>
  <c r="M11" i="158"/>
  <c r="L11" i="158"/>
  <c r="K11" i="158"/>
  <c r="H11" i="158"/>
  <c r="A11" i="158"/>
  <c r="N10" i="158"/>
  <c r="M10" i="158"/>
  <c r="L10" i="158"/>
  <c r="K10" i="158"/>
  <c r="H10" i="158"/>
  <c r="A10" i="158"/>
  <c r="N9" i="158"/>
  <c r="M9" i="158"/>
  <c r="L9" i="158"/>
  <c r="K9" i="158"/>
  <c r="H9" i="158"/>
  <c r="A9" i="158"/>
  <c r="N8" i="158"/>
  <c r="M8" i="158"/>
  <c r="L8" i="158"/>
  <c r="K8" i="158"/>
  <c r="H8" i="158"/>
  <c r="A8" i="158"/>
  <c r="N7" i="158"/>
  <c r="M7" i="158"/>
  <c r="L7" i="158"/>
  <c r="K7" i="158"/>
  <c r="H7" i="158"/>
  <c r="A7" i="158"/>
  <c r="N6" i="158"/>
  <c r="M6" i="158"/>
  <c r="L6" i="158"/>
  <c r="K6" i="158"/>
  <c r="H6" i="158"/>
  <c r="A6" i="158"/>
  <c r="N5" i="158"/>
  <c r="M5" i="158"/>
  <c r="L5" i="158"/>
  <c r="K5" i="158"/>
  <c r="H5" i="158"/>
  <c r="A5" i="158"/>
  <c r="N4" i="158"/>
  <c r="M4" i="158"/>
  <c r="L4" i="158"/>
  <c r="K4" i="158"/>
  <c r="H4" i="158"/>
  <c r="A4" i="158"/>
  <c r="N3" i="158"/>
  <c r="M3" i="158"/>
  <c r="L3" i="158"/>
  <c r="K3" i="158"/>
  <c r="H3" i="158"/>
  <c r="A3" i="158"/>
  <c r="N2" i="158"/>
  <c r="M2" i="158"/>
  <c r="L2" i="158"/>
  <c r="K2" i="158"/>
  <c r="H2" i="158"/>
  <c r="A2" i="158"/>
  <c r="F47" i="157"/>
  <c r="B40" i="157"/>
  <c r="B41" i="157"/>
  <c r="B42" i="157"/>
  <c r="B43" i="157"/>
  <c r="B44" i="157"/>
  <c r="B45" i="157"/>
  <c r="B47" i="157"/>
  <c r="C40" i="157"/>
  <c r="C41" i="157"/>
  <c r="C42" i="157"/>
  <c r="C43" i="157"/>
  <c r="C44" i="157"/>
  <c r="C45" i="157"/>
  <c r="C46" i="157"/>
  <c r="C47" i="157"/>
  <c r="F46" i="157"/>
  <c r="F45" i="157"/>
  <c r="F40" i="157"/>
  <c r="G40" i="157"/>
  <c r="B32" i="157"/>
  <c r="D32" i="157"/>
  <c r="I31" i="157"/>
  <c r="J31" i="157"/>
  <c r="F31" i="157"/>
  <c r="D31" i="157"/>
  <c r="I30" i="157"/>
  <c r="J30" i="157"/>
  <c r="F30" i="157"/>
  <c r="D30" i="157"/>
  <c r="I29" i="157"/>
  <c r="J29" i="157"/>
  <c r="F29" i="157"/>
  <c r="D29" i="157"/>
  <c r="I28" i="157"/>
  <c r="J28" i="157"/>
  <c r="F28" i="157"/>
  <c r="D28" i="157"/>
  <c r="I27" i="157"/>
  <c r="J27" i="157"/>
  <c r="F27" i="157"/>
  <c r="D27" i="157"/>
  <c r="I26" i="157"/>
  <c r="J26" i="157"/>
  <c r="F26" i="157"/>
  <c r="D26" i="157"/>
  <c r="I25" i="157"/>
  <c r="J25" i="157"/>
  <c r="F25" i="157"/>
  <c r="D25" i="157"/>
  <c r="I24" i="157"/>
  <c r="J24" i="157"/>
  <c r="F24" i="157"/>
  <c r="D24" i="157"/>
  <c r="I23" i="157"/>
  <c r="J23" i="157"/>
  <c r="F23" i="157"/>
  <c r="D23" i="157"/>
  <c r="I22" i="157"/>
  <c r="J22" i="157"/>
  <c r="F22" i="157"/>
  <c r="D22" i="157"/>
  <c r="I21" i="157"/>
  <c r="J21" i="157"/>
  <c r="F21" i="157"/>
  <c r="D21" i="157"/>
  <c r="R20" i="157"/>
  <c r="P20" i="157"/>
  <c r="O20" i="157"/>
  <c r="M20" i="157"/>
  <c r="I20" i="157"/>
  <c r="J20" i="157"/>
  <c r="F20" i="157"/>
  <c r="D20" i="157"/>
  <c r="R19" i="157"/>
  <c r="P19" i="157"/>
  <c r="O19" i="157"/>
  <c r="M19" i="157"/>
  <c r="I19" i="157"/>
  <c r="J19" i="157"/>
  <c r="F19" i="157"/>
  <c r="D19" i="157"/>
  <c r="R18" i="157"/>
  <c r="P18" i="157"/>
  <c r="O18" i="157"/>
  <c r="M18" i="157"/>
  <c r="I18" i="157"/>
  <c r="J18" i="157"/>
  <c r="F18" i="157"/>
  <c r="C18" i="157"/>
  <c r="D18" i="157"/>
  <c r="R17" i="157"/>
  <c r="P17" i="157"/>
  <c r="O17" i="157"/>
  <c r="M17" i="157"/>
  <c r="I17" i="157"/>
  <c r="J17" i="157"/>
  <c r="F17" i="157"/>
  <c r="C17" i="157"/>
  <c r="D17" i="157"/>
  <c r="V16" i="157"/>
  <c r="R16" i="157"/>
  <c r="P16" i="157"/>
  <c r="O16" i="157"/>
  <c r="M16" i="157"/>
  <c r="V15" i="157"/>
  <c r="R15" i="157"/>
  <c r="P15" i="157"/>
  <c r="O15" i="157"/>
  <c r="M15" i="157"/>
  <c r="V14" i="157"/>
  <c r="R14" i="157"/>
  <c r="P14" i="157"/>
  <c r="O14" i="157"/>
  <c r="M14" i="157"/>
  <c r="V13" i="157"/>
  <c r="R13" i="157"/>
  <c r="P13" i="157"/>
  <c r="O13" i="157"/>
  <c r="M13" i="157"/>
  <c r="V12" i="157"/>
  <c r="R12" i="157"/>
  <c r="P12" i="157"/>
  <c r="O12" i="157"/>
  <c r="M12" i="157"/>
  <c r="V11" i="157"/>
  <c r="R11" i="157"/>
  <c r="P11" i="157"/>
  <c r="O11" i="157"/>
  <c r="M11" i="157"/>
  <c r="V10" i="157"/>
  <c r="P10" i="157"/>
  <c r="O10" i="157"/>
  <c r="M10" i="157"/>
  <c r="V9" i="157"/>
  <c r="P9" i="157"/>
  <c r="O9" i="157"/>
  <c r="M9" i="157"/>
  <c r="V8" i="157"/>
  <c r="P8" i="157"/>
  <c r="O8" i="157"/>
  <c r="M8" i="157"/>
  <c r="V7" i="157"/>
  <c r="P7" i="157"/>
  <c r="O7" i="157"/>
  <c r="M7" i="157"/>
  <c r="V6" i="157"/>
  <c r="P6" i="157"/>
  <c r="O6" i="157"/>
  <c r="M6" i="157"/>
  <c r="V5" i="157"/>
  <c r="P5" i="157"/>
  <c r="O5" i="157"/>
  <c r="M5" i="157"/>
  <c r="V4" i="157"/>
  <c r="P4" i="157"/>
  <c r="O4" i="157"/>
  <c r="M4" i="157"/>
  <c r="V3" i="157"/>
  <c r="P3" i="157"/>
  <c r="O3" i="157"/>
  <c r="M3" i="157"/>
  <c r="V2" i="157"/>
  <c r="C5" i="103"/>
  <c r="E5" i="103"/>
  <c r="C6" i="103"/>
  <c r="E6" i="103"/>
  <c r="C2" i="103"/>
  <c r="E2" i="103"/>
  <c r="C7" i="103"/>
  <c r="E7" i="103"/>
  <c r="B14" i="112"/>
  <c r="B13" i="112"/>
  <c r="B12" i="112"/>
  <c r="B11" i="112"/>
  <c r="B10" i="112"/>
  <c r="B9" i="112"/>
  <c r="B8" i="112"/>
  <c r="B7" i="112"/>
  <c r="B6" i="112"/>
  <c r="B5" i="112"/>
  <c r="B4" i="112"/>
  <c r="B3" i="112"/>
  <c r="B266" i="111"/>
  <c r="B265" i="111"/>
  <c r="B264" i="111"/>
  <c r="B263" i="111"/>
  <c r="B262" i="111"/>
  <c r="B261" i="111"/>
  <c r="B260" i="111"/>
  <c r="B259" i="111"/>
  <c r="B258" i="111"/>
  <c r="B257" i="111"/>
  <c r="B256" i="111"/>
  <c r="B255" i="111"/>
  <c r="B254" i="111"/>
  <c r="B253" i="111"/>
  <c r="B252" i="111"/>
  <c r="B251" i="111"/>
  <c r="B250" i="111"/>
  <c r="B249" i="111"/>
  <c r="B248" i="111"/>
  <c r="B247" i="111"/>
  <c r="B246" i="111"/>
  <c r="B245" i="111"/>
  <c r="B244" i="111"/>
  <c r="B243" i="111"/>
  <c r="B242" i="111"/>
  <c r="B241" i="111"/>
  <c r="B240" i="111"/>
  <c r="B239" i="111"/>
  <c r="B238" i="111"/>
  <c r="B237" i="111"/>
  <c r="B236" i="111"/>
  <c r="B235" i="111"/>
  <c r="B234" i="111"/>
  <c r="B233" i="111"/>
  <c r="B232" i="111"/>
  <c r="B231" i="111"/>
  <c r="B230" i="111"/>
  <c r="B229" i="111"/>
  <c r="B228" i="111"/>
  <c r="B227" i="111"/>
  <c r="B226" i="111"/>
  <c r="B225" i="111"/>
  <c r="B224" i="111"/>
  <c r="B223" i="111"/>
  <c r="B222" i="111"/>
  <c r="B221" i="111"/>
  <c r="B220" i="111"/>
  <c r="B219" i="111"/>
  <c r="B218" i="111"/>
  <c r="B217" i="111"/>
  <c r="B216" i="111"/>
  <c r="B215" i="111"/>
  <c r="B214" i="111"/>
  <c r="B213" i="111"/>
  <c r="B212" i="111"/>
  <c r="B211" i="111"/>
  <c r="B210" i="111"/>
  <c r="B209" i="111"/>
  <c r="B208" i="111"/>
  <c r="B207" i="111"/>
  <c r="B206" i="111"/>
  <c r="B205" i="111"/>
  <c r="B204" i="111"/>
  <c r="B203" i="111"/>
  <c r="B202" i="111"/>
  <c r="B201" i="111"/>
  <c r="B200" i="111"/>
  <c r="B199" i="111"/>
  <c r="B198" i="111"/>
  <c r="B197" i="111"/>
  <c r="B196" i="111"/>
  <c r="B195" i="111"/>
  <c r="B194" i="111"/>
  <c r="B193" i="111"/>
  <c r="B192" i="111"/>
  <c r="B191" i="111"/>
  <c r="B190" i="111"/>
  <c r="B189" i="111"/>
  <c r="B188" i="111"/>
  <c r="B187" i="111"/>
  <c r="B186" i="111"/>
  <c r="B185" i="111"/>
  <c r="B184" i="111"/>
  <c r="B183" i="111"/>
  <c r="B182" i="111"/>
  <c r="B181" i="111"/>
  <c r="B180" i="111"/>
  <c r="B179" i="111"/>
  <c r="B178" i="111"/>
  <c r="B177" i="111"/>
  <c r="B176" i="111"/>
  <c r="B175" i="111"/>
  <c r="B174" i="111"/>
  <c r="B173" i="111"/>
  <c r="B172" i="111"/>
  <c r="B171" i="111"/>
  <c r="B170" i="111"/>
  <c r="B169" i="111"/>
  <c r="B168" i="111"/>
  <c r="B167" i="111"/>
  <c r="B166" i="111"/>
  <c r="B165" i="111"/>
  <c r="B164" i="111"/>
  <c r="B163" i="111"/>
  <c r="B162" i="111"/>
  <c r="B161" i="111"/>
  <c r="B160" i="111"/>
  <c r="B159" i="111"/>
  <c r="B158" i="111"/>
  <c r="B157" i="111"/>
  <c r="B156" i="111"/>
  <c r="B155" i="111"/>
  <c r="B154" i="111"/>
  <c r="B153" i="111"/>
  <c r="B152" i="111"/>
  <c r="B151" i="111"/>
  <c r="B150" i="111"/>
  <c r="B149" i="111"/>
  <c r="B148" i="111"/>
  <c r="B147" i="111"/>
  <c r="B146" i="111"/>
  <c r="B145" i="111"/>
  <c r="B144" i="111"/>
  <c r="B143" i="111"/>
  <c r="B142" i="111"/>
  <c r="B141" i="111"/>
  <c r="B140" i="111"/>
  <c r="B139" i="111"/>
  <c r="B138" i="111"/>
  <c r="B137" i="111"/>
  <c r="B136" i="111"/>
  <c r="B135" i="111"/>
  <c r="B134" i="111"/>
  <c r="B133" i="111"/>
  <c r="B132" i="111"/>
  <c r="B131" i="111"/>
  <c r="B130" i="111"/>
  <c r="B129" i="111"/>
  <c r="B128" i="111"/>
  <c r="B127" i="111"/>
  <c r="B126" i="111"/>
  <c r="B125" i="111"/>
  <c r="B124" i="111"/>
  <c r="B123" i="111"/>
  <c r="B122" i="111"/>
  <c r="B121" i="111"/>
  <c r="B120" i="111"/>
  <c r="B119" i="111"/>
  <c r="B118" i="111"/>
  <c r="B117" i="111"/>
  <c r="B116" i="111"/>
  <c r="B115" i="111"/>
  <c r="B114" i="111"/>
  <c r="B113" i="111"/>
  <c r="B112" i="111"/>
  <c r="B111" i="111"/>
  <c r="B110" i="111"/>
  <c r="B109" i="111"/>
  <c r="B108" i="111"/>
  <c r="B107" i="111"/>
  <c r="B106" i="111"/>
  <c r="B105" i="111"/>
  <c r="B104" i="111"/>
  <c r="B103" i="111"/>
  <c r="B102" i="111"/>
  <c r="B101" i="111"/>
  <c r="B100" i="111"/>
  <c r="B99" i="111"/>
  <c r="B98" i="111"/>
  <c r="B97" i="111"/>
  <c r="B96" i="111"/>
  <c r="B95" i="111"/>
  <c r="B94" i="111"/>
  <c r="B93" i="111"/>
  <c r="B92" i="111"/>
  <c r="B91" i="111"/>
  <c r="B90" i="111"/>
  <c r="B89" i="111"/>
  <c r="B88" i="111"/>
  <c r="B87" i="111"/>
  <c r="B86" i="111"/>
  <c r="B85" i="111"/>
  <c r="B84" i="111"/>
  <c r="B83" i="111"/>
  <c r="B82" i="111"/>
  <c r="B81" i="111"/>
  <c r="B80" i="111"/>
  <c r="B79" i="111"/>
  <c r="B78" i="111"/>
  <c r="B77" i="111"/>
  <c r="B76" i="111"/>
  <c r="B75" i="111"/>
  <c r="B74" i="111"/>
  <c r="B73" i="111"/>
  <c r="B72" i="111"/>
  <c r="B71" i="111"/>
  <c r="B70" i="111"/>
  <c r="B69" i="111"/>
  <c r="B68" i="111"/>
  <c r="B67" i="111"/>
  <c r="B66" i="111"/>
  <c r="B65" i="111"/>
  <c r="B64" i="111"/>
  <c r="B63" i="111"/>
  <c r="B62" i="111"/>
  <c r="B61" i="111"/>
  <c r="B60" i="111"/>
  <c r="B59" i="111"/>
  <c r="B58" i="111"/>
  <c r="B57" i="111"/>
  <c r="B56" i="111"/>
  <c r="B55" i="111"/>
  <c r="B54" i="111"/>
  <c r="B53" i="111"/>
  <c r="B52" i="111"/>
  <c r="B51" i="111"/>
  <c r="B50" i="111"/>
  <c r="B49" i="111"/>
  <c r="B48" i="111"/>
  <c r="B47" i="111"/>
  <c r="B46" i="111"/>
  <c r="B45" i="111"/>
  <c r="B44" i="111"/>
  <c r="B43" i="111"/>
  <c r="B42" i="111"/>
  <c r="B41" i="111"/>
  <c r="B40" i="111"/>
  <c r="B39" i="111"/>
  <c r="B38" i="111"/>
  <c r="B37" i="111"/>
  <c r="B36" i="111"/>
  <c r="B35" i="111"/>
  <c r="B34" i="111"/>
  <c r="B33" i="111"/>
  <c r="B32" i="111"/>
  <c r="B31" i="111"/>
  <c r="B30" i="111"/>
  <c r="B29" i="111"/>
  <c r="B28" i="111"/>
  <c r="B27" i="111"/>
  <c r="B26" i="111"/>
  <c r="B25" i="111"/>
  <c r="B24" i="111"/>
  <c r="B23" i="111"/>
  <c r="B22" i="111"/>
  <c r="B21" i="111"/>
  <c r="B20" i="111"/>
  <c r="B19" i="111"/>
  <c r="B18" i="111"/>
  <c r="B17" i="111"/>
  <c r="B16" i="111"/>
  <c r="B15" i="111"/>
  <c r="B14" i="111"/>
  <c r="B13" i="111"/>
  <c r="B12" i="111"/>
  <c r="B11" i="111"/>
  <c r="B10" i="111"/>
  <c r="B9" i="111"/>
  <c r="B8" i="111"/>
  <c r="B7" i="111"/>
  <c r="B6" i="111"/>
  <c r="B5" i="111"/>
  <c r="B4" i="111"/>
  <c r="B3" i="111"/>
  <c r="B2" i="111"/>
  <c r="C3" i="103"/>
  <c r="E10" i="103"/>
  <c r="E9" i="103"/>
  <c r="E8" i="103"/>
  <c r="E3" i="103"/>
</calcChain>
</file>

<file path=xl/comments1.xml><?xml version="1.0" encoding="utf-8"?>
<comments xmlns="http://schemas.openxmlformats.org/spreadsheetml/2006/main">
  <authors>
    <author>鷲見 政明</author>
  </authors>
  <commentList>
    <comment ref="O1" authorId="0">
      <text>
        <r>
          <rPr>
            <b/>
            <sz val="10"/>
            <color indexed="81"/>
            <rFont val="ＭＳ Ｐゴシック"/>
            <family val="3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出現率の重み</t>
        </r>
      </text>
    </comment>
  </commentList>
</comments>
</file>

<file path=xl/comments2.xml><?xml version="1.0" encoding="utf-8"?>
<comments xmlns="http://schemas.openxmlformats.org/spreadsheetml/2006/main">
  <authors>
    <author>鷲見 政明</author>
  </authors>
  <commentList>
    <comment ref="O1" authorId="0">
      <text>
        <r>
          <rPr>
            <b/>
            <sz val="10"/>
            <color indexed="81"/>
            <rFont val="ＭＳ Ｐゴシック"/>
            <family val="3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出現率の重み</t>
        </r>
      </text>
    </comment>
  </commentList>
</comments>
</file>

<file path=xl/comments3.xml><?xml version="1.0" encoding="utf-8"?>
<comments xmlns="http://schemas.openxmlformats.org/spreadsheetml/2006/main">
  <authors>
    <author>加藤 雅大</author>
    <author>鷲見 政明</author>
  </authors>
  <commentList>
    <comment ref="B1" authorId="0">
      <text>
        <r>
          <rPr>
            <b/>
            <sz val="10"/>
            <color indexed="81"/>
            <rFont val="ＭＳ Ｐゴシック"/>
            <family val="3"/>
            <charset val="128"/>
          </rPr>
          <t>加藤 雅大:
ガチャ：
ガチャid3桁+識別子2桁でと思います
ランキング:
ランキングid5桁+識別子2桁
パック販売：
70000 + 識別子2桁</t>
        </r>
      </text>
    </comment>
    <comment ref="F1" authorId="1">
      <text>
        <r>
          <rPr>
            <b/>
            <sz val="10"/>
            <color indexed="81"/>
            <rFont val="ＭＳ Ｐゴシック"/>
            <family val="3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出現率の重み</t>
        </r>
      </text>
    </comment>
  </commentList>
</comments>
</file>

<file path=xl/sharedStrings.xml><?xml version="1.0" encoding="utf-8"?>
<sst xmlns="http://schemas.openxmlformats.org/spreadsheetml/2006/main" count="425" uniqueCount="256">
  <si>
    <t>character_id</t>
  </si>
  <si>
    <t>character_id</t>
    <phoneticPr fontId="22"/>
  </si>
  <si>
    <t>weight</t>
    <phoneticPr fontId="22"/>
  </si>
  <si>
    <t>unit_level</t>
  </si>
  <si>
    <t>weight</t>
  </si>
  <si>
    <t>hp_plus</t>
  </si>
  <si>
    <t>attack_plus</t>
  </si>
  <si>
    <t>defense_plus</t>
  </si>
  <si>
    <t>heal_plus</t>
  </si>
  <si>
    <t>bug</t>
  </si>
  <si>
    <t>bonus_table_no</t>
    <phoneticPr fontId="22"/>
  </si>
  <si>
    <t>bonus_table_no</t>
    <phoneticPr fontId="22"/>
  </si>
  <si>
    <t>weight</t>
    <phoneticPr fontId="22"/>
  </si>
  <si>
    <t>gift_id</t>
    <phoneticPr fontId="22"/>
  </si>
  <si>
    <t>gift_id</t>
    <phoneticPr fontId="22"/>
  </si>
  <si>
    <t>gift_type</t>
    <phoneticPr fontId="22"/>
  </si>
  <si>
    <t>gift_value</t>
    <phoneticPr fontId="22"/>
  </si>
  <si>
    <t>gift_count</t>
    <phoneticPr fontId="22"/>
  </si>
  <si>
    <t>language</t>
    <phoneticPr fontId="22"/>
  </si>
  <si>
    <t>title</t>
    <phoneticPr fontId="22"/>
  </si>
  <si>
    <t>detail</t>
    <phoneticPr fontId="22"/>
  </si>
  <si>
    <t>message</t>
    <phoneticPr fontId="22"/>
  </si>
  <si>
    <t>gift_id</t>
    <phoneticPr fontId="22"/>
  </si>
  <si>
    <t>gift_value</t>
    <phoneticPr fontId="22"/>
  </si>
  <si>
    <t>gift_value</t>
    <phoneticPr fontId="22"/>
  </si>
  <si>
    <t>gift_count</t>
    <phoneticPr fontId="22"/>
  </si>
  <si>
    <t>language</t>
    <phoneticPr fontId="22"/>
  </si>
  <si>
    <t>title</t>
    <phoneticPr fontId="22"/>
  </si>
  <si>
    <t>detail</t>
    <phoneticPr fontId="22"/>
  </si>
  <si>
    <t>message</t>
    <phoneticPr fontId="22"/>
  </si>
  <si>
    <t>gift_type</t>
    <phoneticPr fontId="22"/>
  </si>
  <si>
    <t>備考</t>
    <rPh sb="0" eb="2">
      <t>ビコウ</t>
    </rPh>
    <phoneticPr fontId="22"/>
  </si>
  <si>
    <t>character_id</t>
    <phoneticPr fontId="22"/>
  </si>
  <si>
    <t>name</t>
    <phoneticPr fontId="22"/>
  </si>
  <si>
    <t>drop_label</t>
    <phoneticPr fontId="22"/>
  </si>
  <si>
    <t>rare</t>
    <phoneticPr fontId="22"/>
  </si>
  <si>
    <t>character_type_id</t>
    <phoneticPr fontId="22"/>
  </si>
  <si>
    <t>character_tribe_id</t>
    <phoneticPr fontId="22"/>
  </si>
  <si>
    <t>unit_level</t>
    <phoneticPr fontId="22"/>
  </si>
  <si>
    <t>接頭語</t>
    <rPh sb="0" eb="3">
      <t>セットウゴ</t>
    </rPh>
    <phoneticPr fontId="55"/>
  </si>
  <si>
    <t>識別子</t>
    <rPh sb="0" eb="3">
      <t>シキベツシ</t>
    </rPh>
    <phoneticPr fontId="55"/>
  </si>
  <si>
    <t>形式</t>
    <rPh sb="0" eb="2">
      <t>ケイシキ</t>
    </rPh>
    <phoneticPr fontId="55"/>
  </si>
  <si>
    <t>出力ファイル名</t>
    <rPh sb="0" eb="2">
      <t>シュツリョク</t>
    </rPh>
    <rPh sb="6" eb="7">
      <t>メイ</t>
    </rPh>
    <phoneticPr fontId="55"/>
  </si>
  <si>
    <t>入力シート名</t>
    <rPh sb="0" eb="2">
      <t>ニュウリョク</t>
    </rPh>
    <rPh sb="5" eb="6">
      <t>メイ</t>
    </rPh>
    <phoneticPr fontId="55"/>
  </si>
  <si>
    <t>出力データ</t>
    <rPh sb="0" eb="2">
      <t>シュツリョク</t>
    </rPh>
    <phoneticPr fontId="55"/>
  </si>
  <si>
    <t>.tmp</t>
    <phoneticPr fontId="55"/>
  </si>
  <si>
    <t>.tmp</t>
    <phoneticPr fontId="55"/>
  </si>
  <si>
    <t>gacha_bonus_tables</t>
    <phoneticPr fontId="55"/>
  </si>
  <si>
    <t>gifts_tmp_</t>
    <phoneticPr fontId="22"/>
  </si>
  <si>
    <t>gifts_i18n_</t>
    <phoneticPr fontId="22"/>
  </si>
  <si>
    <r>
      <t>gacha_bonus_tables</t>
    </r>
    <r>
      <rPr>
        <sz val="12"/>
        <color theme="1"/>
        <rFont val="ＭＳ Ｐゴシック"/>
        <family val="2"/>
        <charset val="128"/>
        <scheme val="minor"/>
      </rPr>
      <t>_</t>
    </r>
    <phoneticPr fontId="22"/>
  </si>
  <si>
    <t>出力flg</t>
    <rPh sb="0" eb="2">
      <t>シュツリョク</t>
    </rPh>
    <phoneticPr fontId="55"/>
  </si>
  <si>
    <t>color</t>
    <phoneticPr fontId="22"/>
  </si>
  <si>
    <t>レアリティ別確率</t>
    <rPh sb="5" eb="6">
      <t>ベツ</t>
    </rPh>
    <rPh sb="6" eb="8">
      <t>カクリツ</t>
    </rPh>
    <phoneticPr fontId="22"/>
  </si>
  <si>
    <t>ラベル別確率</t>
    <rPh sb="3" eb="4">
      <t>ベツ</t>
    </rPh>
    <rPh sb="4" eb="6">
      <t>カクリツ</t>
    </rPh>
    <phoneticPr fontId="22"/>
  </si>
  <si>
    <t>SSS</t>
    <phoneticPr fontId="22"/>
  </si>
  <si>
    <t>SS</t>
    <phoneticPr fontId="22"/>
  </si>
  <si>
    <t>ラベル*レアリティ標準確率</t>
    <rPh sb="9" eb="11">
      <t>ヒョウジュン</t>
    </rPh>
    <rPh sb="11" eb="13">
      <t>カクリツ</t>
    </rPh>
    <phoneticPr fontId="22"/>
  </si>
  <si>
    <t>性別</t>
    <rPh sb="0" eb="2">
      <t>セイベツ</t>
    </rPh>
    <phoneticPr fontId="22"/>
  </si>
  <si>
    <t>合計</t>
    <rPh sb="0" eb="2">
      <t>ゴウケイ</t>
    </rPh>
    <phoneticPr fontId="22"/>
  </si>
  <si>
    <t>グループ</t>
    <phoneticPr fontId="22"/>
  </si>
  <si>
    <t>ピックアップ確率</t>
    <rPh sb="6" eb="8">
      <t>カクリツ</t>
    </rPh>
    <phoneticPr fontId="22"/>
  </si>
  <si>
    <t>残り確率</t>
    <rPh sb="0" eb="1">
      <t>ノコ</t>
    </rPh>
    <rPh sb="2" eb="4">
      <t>カクリツ</t>
    </rPh>
    <phoneticPr fontId="22"/>
  </si>
  <si>
    <t>確率</t>
    <rPh sb="0" eb="2">
      <t>カクリツ</t>
    </rPh>
    <phoneticPr fontId="22"/>
  </si>
  <si>
    <t>所属グループ</t>
    <rPh sb="0" eb="2">
      <t>ショゾク</t>
    </rPh>
    <phoneticPr fontId="22"/>
  </si>
  <si>
    <t>名前</t>
    <rPh sb="0" eb="2">
      <t>ナマエ</t>
    </rPh>
    <phoneticPr fontId="22"/>
  </si>
  <si>
    <t>レアリティ</t>
    <phoneticPr fontId="22"/>
  </si>
  <si>
    <t>ラベル</t>
    <phoneticPr fontId="22"/>
  </si>
  <si>
    <t>R3</t>
    <phoneticPr fontId="22"/>
  </si>
  <si>
    <t>R4</t>
    <phoneticPr fontId="22"/>
  </si>
  <si>
    <t>R5</t>
    <phoneticPr fontId="22"/>
  </si>
  <si>
    <t>個別確率</t>
    <rPh sb="0" eb="4">
      <t>コベツカクリツ</t>
    </rPh>
    <phoneticPr fontId="22"/>
  </si>
  <si>
    <t>該当数(ピックアップ除く)</t>
    <rPh sb="0" eb="2">
      <t>ガイトウ</t>
    </rPh>
    <rPh sb="2" eb="3">
      <t>スウ</t>
    </rPh>
    <rPh sb="10" eb="11">
      <t>ノゾ</t>
    </rPh>
    <phoneticPr fontId="22"/>
  </si>
  <si>
    <t>個別weight</t>
    <rPh sb="0" eb="2">
      <t>コベツ</t>
    </rPh>
    <phoneticPr fontId="22"/>
  </si>
  <si>
    <t>グループweight</t>
    <phoneticPr fontId="22"/>
  </si>
  <si>
    <t>端数</t>
    <rPh sb="0" eb="2">
      <t>ハスウ</t>
    </rPh>
    <phoneticPr fontId="22"/>
  </si>
  <si>
    <t>--検算用--</t>
    <rPh sb="3" eb="6">
      <t>ケンザンヨウ</t>
    </rPh>
    <phoneticPr fontId="22"/>
  </si>
  <si>
    <t>端数逆数</t>
    <rPh sb="0" eb="2">
      <t>ハスウ</t>
    </rPh>
    <rPh sb="2" eb="4">
      <t>ギャクスウ</t>
    </rPh>
    <phoneticPr fontId="22"/>
  </si>
  <si>
    <t>テーブルを増やしたい場合</t>
    <rPh sb="5" eb="6">
      <t>フ</t>
    </rPh>
    <rPh sb="10" eb="12">
      <t>バアイ</t>
    </rPh>
    <phoneticPr fontId="22"/>
  </si>
  <si>
    <t>１．Inputのシートを複製する（名前は一意につける）</t>
    <rPh sb="12" eb="14">
      <t>フクセイ</t>
    </rPh>
    <rPh sb="17" eb="19">
      <t>ナマエ</t>
    </rPh>
    <rPh sb="20" eb="22">
      <t>イチイ</t>
    </rPh>
    <phoneticPr fontId="22"/>
  </si>
  <si>
    <t>２．tablesのシートを複製する（名前は一意につける）</t>
    <rPh sb="13" eb="15">
      <t>フクセイ</t>
    </rPh>
    <rPh sb="18" eb="20">
      <t>ナマエ</t>
    </rPh>
    <rPh sb="21" eb="23">
      <t>イチイ</t>
    </rPh>
    <phoneticPr fontId="22"/>
  </si>
  <si>
    <t>３．outputシートで２で作ったtablesを指定する</t>
    <rPh sb="14" eb="15">
      <t>ツク</t>
    </rPh>
    <rPh sb="24" eb="26">
      <t>シテイ</t>
    </rPh>
    <phoneticPr fontId="22"/>
  </si>
  <si>
    <t>テーブルid</t>
    <phoneticPr fontId="22"/>
  </si>
  <si>
    <t>→ピックアップの確率は右のほうにいます</t>
    <rPh sb="8" eb="10">
      <t>カクリツ</t>
    </rPh>
    <rPh sb="11" eb="12">
      <t>ミギ</t>
    </rPh>
    <phoneticPr fontId="22"/>
  </si>
  <si>
    <t>table_no</t>
    <phoneticPr fontId="22"/>
  </si>
  <si>
    <t>table_no</t>
    <phoneticPr fontId="22"/>
  </si>
  <si>
    <t>skill_level</t>
  </si>
  <si>
    <t>level</t>
  </si>
  <si>
    <t>hp_plus</t>
    <phoneticPr fontId="55"/>
  </si>
  <si>
    <t>attack_plus</t>
    <phoneticPr fontId="55"/>
  </si>
  <si>
    <t>heal_plus</t>
    <phoneticPr fontId="55"/>
  </si>
  <si>
    <t>defense_plus</t>
    <phoneticPr fontId="55"/>
  </si>
  <si>
    <t>level</t>
    <phoneticPr fontId="55"/>
  </si>
  <si>
    <t>skill_level</t>
    <phoneticPr fontId="55"/>
  </si>
  <si>
    <t>bug</t>
    <phoneticPr fontId="55"/>
  </si>
  <si>
    <t>drop_label2</t>
    <phoneticPr fontId="22"/>
  </si>
  <si>
    <t>Premium</t>
    <phoneticPr fontId="22"/>
  </si>
  <si>
    <t>Premium3</t>
    <phoneticPr fontId="22"/>
  </si>
  <si>
    <t>Premium4</t>
    <phoneticPr fontId="22"/>
  </si>
  <si>
    <t>Premium5</t>
    <phoneticPr fontId="22"/>
  </si>
  <si>
    <t>グループ確率</t>
    <rPh sb="4" eb="6">
      <t>カクリツ</t>
    </rPh>
    <phoneticPr fontId="22"/>
  </si>
  <si>
    <t>レア度別確率</t>
    <rPh sb="2" eb="4">
      <t>ドベツ</t>
    </rPh>
    <rPh sb="4" eb="6">
      <t>カクリツ</t>
    </rPh>
    <phoneticPr fontId="22"/>
  </si>
  <si>
    <t>color2</t>
    <phoneticPr fontId="22"/>
  </si>
  <si>
    <t>Premium3</t>
  </si>
  <si>
    <t>Premium4</t>
  </si>
  <si>
    <t>Premium5</t>
  </si>
  <si>
    <t>PremiumSS4</t>
    <phoneticPr fontId="22"/>
  </si>
  <si>
    <t>PremiumSS5</t>
    <phoneticPr fontId="22"/>
  </si>
  <si>
    <t>PremiumSSS5</t>
    <phoneticPr fontId="22"/>
  </si>
  <si>
    <t>PremiumSSS4</t>
    <phoneticPr fontId="22"/>
  </si>
  <si>
    <t>gacha_select_tables_</t>
    <phoneticPr fontId="22"/>
  </si>
  <si>
    <t>ラベル確率で考えましょう</t>
    <rPh sb="6" eb="7">
      <t>カンガエマショウ</t>
    </rPh>
    <phoneticPr fontId="55"/>
  </si>
  <si>
    <t>ラベル</t>
    <phoneticPr fontId="55"/>
  </si>
  <si>
    <t>レアリティ</t>
    <phoneticPr fontId="55"/>
  </si>
  <si>
    <t>{W}</t>
    <phoneticPr fontId="55"/>
  </si>
  <si>
    <t>{N,S}</t>
    <phoneticPr fontId="55"/>
  </si>
  <si>
    <t>{N,S}R3less</t>
    <phoneticPr fontId="55"/>
  </si>
  <si>
    <t>{N,S}R6release</t>
    <phoneticPr fontId="55"/>
  </si>
  <si>
    <t>{SS}</t>
    <phoneticPr fontId="55"/>
  </si>
  <si>
    <t>{SS}R6only</t>
    <phoneticPr fontId="55"/>
  </si>
  <si>
    <t>小計</t>
    <rPh sb="0" eb="2">
      <t>ショウケイ</t>
    </rPh>
    <phoneticPr fontId="55"/>
  </si>
  <si>
    <t>A</t>
    <phoneticPr fontId="55"/>
  </si>
  <si>
    <t>C</t>
    <phoneticPr fontId="55"/>
  </si>
  <si>
    <t>H</t>
    <phoneticPr fontId="55"/>
  </si>
  <si>
    <t>B</t>
    <phoneticPr fontId="55"/>
  </si>
  <si>
    <t>D</t>
    <phoneticPr fontId="55"/>
  </si>
  <si>
    <t>F</t>
    <phoneticPr fontId="55"/>
  </si>
  <si>
    <t>I</t>
    <phoneticPr fontId="55"/>
  </si>
  <si>
    <t>K</t>
    <phoneticPr fontId="55"/>
  </si>
  <si>
    <t>E</t>
    <phoneticPr fontId="55"/>
  </si>
  <si>
    <t>G</t>
    <phoneticPr fontId="55"/>
  </si>
  <si>
    <t>J</t>
    <phoneticPr fontId="55"/>
  </si>
  <si>
    <t>L</t>
    <phoneticPr fontId="55"/>
  </si>
  <si>
    <t>M</t>
    <phoneticPr fontId="55"/>
  </si>
  <si>
    <t>→</t>
    <phoneticPr fontId="55"/>
  </si>
  <si>
    <t>1-SS率</t>
    <rPh sb="4" eb="5">
      <t>リツ</t>
    </rPh>
    <phoneticPr fontId="55"/>
  </si>
  <si>
    <t>SS率</t>
    <rPh sb="2" eb="3">
      <t>リツ</t>
    </rPh>
    <phoneticPr fontId="55"/>
  </si>
  <si>
    <t>考え方を変える</t>
    <rPh sb="0" eb="1">
      <t>カンガエカタ</t>
    </rPh>
    <rPh sb="4" eb="5">
      <t>カエル</t>
    </rPh>
    <phoneticPr fontId="55"/>
  </si>
  <si>
    <t>SS4%は確定事項</t>
    <rPh sb="5" eb="7">
      <t>カクテイ</t>
    </rPh>
    <rPh sb="7" eb="9">
      <t>ジコウ</t>
    </rPh>
    <phoneticPr fontId="55"/>
  </si>
  <si>
    <t>当たりは分配</t>
    <rPh sb="0" eb="1">
      <t>アタリ</t>
    </rPh>
    <rPh sb="4" eb="6">
      <t>ブンパイ</t>
    </rPh>
    <phoneticPr fontId="55"/>
  </si>
  <si>
    <t>当たり素体確率 X = SS率/(SS+R6release) とする</t>
    <rPh sb="0" eb="1">
      <t>アタリ</t>
    </rPh>
    <rPh sb="3" eb="5">
      <t>ソタイ</t>
    </rPh>
    <rPh sb="5" eb="7">
      <t>カクリツ</t>
    </rPh>
    <phoneticPr fontId="55"/>
  </si>
  <si>
    <t>=</t>
    <phoneticPr fontId="55"/>
  </si>
  <si>
    <t>X*{SS R5only}</t>
    <phoneticPr fontId="55"/>
  </si>
  <si>
    <t>K</t>
    <phoneticPr fontId="55"/>
  </si>
  <si>
    <t>=</t>
    <phoneticPr fontId="55"/>
  </si>
  <si>
    <t>X*{SS}*(R3率+R4率)</t>
    <rPh sb="10" eb="11">
      <t>リツ</t>
    </rPh>
    <rPh sb="14" eb="15">
      <t>リツ</t>
    </rPh>
    <phoneticPr fontId="55"/>
  </si>
  <si>
    <t>L</t>
    <phoneticPr fontId="55"/>
  </si>
  <si>
    <t>X*{SS}*R5率</t>
    <rPh sb="9" eb="10">
      <t>リツ</t>
    </rPh>
    <phoneticPr fontId="55"/>
  </si>
  <si>
    <t>X*{R6release}*R3率</t>
    <rPh sb="16" eb="17">
      <t>リツ</t>
    </rPh>
    <phoneticPr fontId="55"/>
  </si>
  <si>
    <t>X*{R6release}*R4率</t>
    <rPh sb="16" eb="17">
      <t>リツ</t>
    </rPh>
    <phoneticPr fontId="55"/>
  </si>
  <si>
    <t>J</t>
    <phoneticPr fontId="55"/>
  </si>
  <si>
    <t>X*{R6release}*R5率</t>
    <rPh sb="16" eb="17">
      <t>リツ</t>
    </rPh>
    <phoneticPr fontId="55"/>
  </si>
  <si>
    <t>ハズレで確率を整える</t>
    <rPh sb="4" eb="6">
      <t>カクリツ</t>
    </rPh>
    <rPh sb="7" eb="8">
      <t>トトノエル</t>
    </rPh>
    <phoneticPr fontId="55"/>
  </si>
  <si>
    <t>ハズレ素体確率 Y = (1-SS率)/(W+N+S-R6release)</t>
    <rPh sb="3" eb="5">
      <t>ソタイカクリ</t>
    </rPh>
    <rPh sb="5" eb="7">
      <t>カクリツ</t>
    </rPh>
    <rPh sb="17" eb="18">
      <t>リツ</t>
    </rPh>
    <phoneticPr fontId="55"/>
  </si>
  <si>
    <t>A + C</t>
    <phoneticPr fontId="55"/>
  </si>
  <si>
    <t>=</t>
    <phoneticPr fontId="55"/>
  </si>
  <si>
    <t>50%-H</t>
    <phoneticPr fontId="55"/>
  </si>
  <si>
    <t>①</t>
    <phoneticPr fontId="55"/>
  </si>
  <si>
    <t>B + D + F</t>
    <phoneticPr fontId="55"/>
  </si>
  <si>
    <t>45%-I-K</t>
    <phoneticPr fontId="55"/>
  </si>
  <si>
    <t>②</t>
    <phoneticPr fontId="55"/>
  </si>
  <si>
    <t>E+G</t>
    <phoneticPr fontId="55"/>
  </si>
  <si>
    <t>5%-J-L-M</t>
    <phoneticPr fontId="55"/>
  </si>
  <si>
    <t>③</t>
    <phoneticPr fontId="55"/>
  </si>
  <si>
    <t>A+B</t>
    <phoneticPr fontId="55"/>
  </si>
  <si>
    <t>Y*{W}</t>
    <phoneticPr fontId="55"/>
  </si>
  <si>
    <t>④</t>
    <phoneticPr fontId="55"/>
  </si>
  <si>
    <t>C+D+E</t>
    <phoneticPr fontId="55"/>
  </si>
  <si>
    <t>Y*{N,S}</t>
    <phoneticPr fontId="55"/>
  </si>
  <si>
    <t>⑤</t>
    <phoneticPr fontId="55"/>
  </si>
  <si>
    <t>F+G</t>
    <phoneticPr fontId="55"/>
  </si>
  <si>
    <t>Y*{N,S R3less}</t>
    <phoneticPr fontId="55"/>
  </si>
  <si>
    <t>⑥</t>
    <phoneticPr fontId="55"/>
  </si>
  <si>
    <t>A+B+C+D+E+F+G</t>
    <phoneticPr fontId="55"/>
  </si>
  <si>
    <t>⑦</t>
    <phoneticPr fontId="55"/>
  </si>
  <si>
    <t>←これは4,5,6で作れるのでダメだわ</t>
    <rPh sb="10" eb="11">
      <t>ツクレル</t>
    </rPh>
    <phoneticPr fontId="55"/>
  </si>
  <si>
    <t>E*R3率/R5率</t>
    <rPh sb="4" eb="5">
      <t>リツ</t>
    </rPh>
    <rPh sb="8" eb="9">
      <t>リツ</t>
    </rPh>
    <phoneticPr fontId="55"/>
  </si>
  <si>
    <t>←{N,S}を想定分配すると決めてしまう</t>
    <rPh sb="7" eb="9">
      <t>ソウテイ</t>
    </rPh>
    <rPh sb="9" eb="11">
      <t>ブンパイ</t>
    </rPh>
    <rPh sb="14" eb="15">
      <t>キメテシマウ</t>
    </rPh>
    <phoneticPr fontId="55"/>
  </si>
  <si>
    <t>E*R4率/R5率</t>
    <rPh sb="4" eb="5">
      <t>リツ</t>
    </rPh>
    <rPh sb="8" eb="9">
      <t>リツ</t>
    </rPh>
    <phoneticPr fontId="55"/>
  </si>
  <si>
    <t>∴</t>
    <phoneticPr fontId="55"/>
  </si>
  <si>
    <t>E</t>
    <phoneticPr fontId="55"/>
  </si>
  <si>
    <t>Y*{N,S}*R5率</t>
    <rPh sb="10" eb="11">
      <t>リツ</t>
    </rPh>
    <phoneticPr fontId="55"/>
  </si>
  <si>
    <t>Y*{N,S}*R4率</t>
    <rPh sb="10" eb="11">
      <t>リツ</t>
    </rPh>
    <phoneticPr fontId="55"/>
  </si>
  <si>
    <t>Y*{N,S}*R3率</t>
    <rPh sb="10" eb="11">
      <t>リツ</t>
    </rPh>
    <phoneticPr fontId="55"/>
  </si>
  <si>
    <t>50%-H-C</t>
    <phoneticPr fontId="55"/>
  </si>
  <si>
    <t>Y*{W}-A</t>
    <phoneticPr fontId="55"/>
  </si>
  <si>
    <t>5%-J-L-M-E</t>
    <phoneticPr fontId="55"/>
  </si>
  <si>
    <t>Y*{N,S R3less} - G</t>
    <phoneticPr fontId="55"/>
  </si>
  <si>
    <t>R6境界前後</t>
    <rPh sb="2" eb="4">
      <t>キョウカイ</t>
    </rPh>
    <rPh sb="4" eb="6">
      <t>ゼンゴ</t>
    </rPh>
    <phoneticPr fontId="22"/>
  </si>
  <si>
    <t>R6事後開放N,S</t>
    <rPh sb="2" eb="6">
      <t>ジゴカイホウ</t>
    </rPh>
    <phoneticPr fontId="22"/>
  </si>
  <si>
    <t>PremiumW3</t>
    <phoneticPr fontId="22"/>
  </si>
  <si>
    <t>PremiumW4</t>
    <phoneticPr fontId="22"/>
  </si>
  <si>
    <t>ラベル確率</t>
    <rPh sb="3" eb="5">
      <t>カクリツ</t>
    </rPh>
    <phoneticPr fontId="22"/>
  </si>
  <si>
    <t>Premium3R6release</t>
  </si>
  <si>
    <t>Premium4R6release</t>
  </si>
  <si>
    <t>Premium5R6release</t>
  </si>
  <si>
    <t>Premium4R3less</t>
  </si>
  <si>
    <t>Premium5R3less</t>
  </si>
  <si>
    <t>PremiumSSS4</t>
    <phoneticPr fontId="22"/>
  </si>
  <si>
    <t>PremiumSS5R5only</t>
  </si>
  <si>
    <t>計算用中間データ</t>
    <rPh sb="0" eb="3">
      <t>ケイサンヨウ</t>
    </rPh>
    <rPh sb="3" eb="5">
      <t>チュウカン</t>
    </rPh>
    <phoneticPr fontId="22"/>
  </si>
  <si>
    <t>X</t>
    <phoneticPr fontId="22"/>
  </si>
  <si>
    <t>Y</t>
    <phoneticPr fontId="22"/>
  </si>
  <si>
    <t>対象数</t>
    <rPh sb="0" eb="3">
      <t>タイショウスウ</t>
    </rPh>
    <phoneticPr fontId="22"/>
  </si>
  <si>
    <t>PremiumW</t>
    <phoneticPr fontId="22"/>
  </si>
  <si>
    <t>PremiumN</t>
    <phoneticPr fontId="22"/>
  </si>
  <si>
    <t>PremiumS</t>
    <phoneticPr fontId="22"/>
  </si>
  <si>
    <t>PremiumSS</t>
    <phoneticPr fontId="22"/>
  </si>
  <si>
    <t>←R6分はここから差し引く</t>
    <rPh sb="3" eb="4">
      <t>ブン</t>
    </rPh>
    <rPh sb="9" eb="10">
      <t>サシヒク</t>
    </rPh>
    <phoneticPr fontId="22"/>
  </si>
  <si>
    <t>除外確率</t>
    <rPh sb="0" eb="2">
      <t>ジョガイ</t>
    </rPh>
    <rPh sb="2" eb="4">
      <t>カクリツ</t>
    </rPh>
    <phoneticPr fontId="22"/>
  </si>
  <si>
    <t>除外数</t>
    <rPh sb="0" eb="3">
      <t>ジョガイスウ</t>
    </rPh>
    <phoneticPr fontId="22"/>
  </si>
  <si>
    <t>もうここは手で入れよう…</t>
    <rPh sb="5" eb="6">
      <t>テ</t>
    </rPh>
    <rPh sb="7" eb="8">
      <t>イレヨウ</t>
    </rPh>
    <phoneticPr fontId="22"/>
  </si>
  <si>
    <t>通常weight</t>
    <rPh sb="0" eb="2">
      <t>ツウジョウ</t>
    </rPh>
    <phoneticPr fontId="22"/>
  </si>
  <si>
    <t>A</t>
    <phoneticPr fontId="22"/>
  </si>
  <si>
    <t>B</t>
    <phoneticPr fontId="22"/>
  </si>
  <si>
    <t>PremiumW4</t>
    <phoneticPr fontId="22"/>
  </si>
  <si>
    <t>C</t>
    <phoneticPr fontId="22"/>
  </si>
  <si>
    <t>Premium3</t>
    <phoneticPr fontId="22"/>
  </si>
  <si>
    <t>D</t>
    <phoneticPr fontId="22"/>
  </si>
  <si>
    <t>Premium4</t>
    <phoneticPr fontId="22"/>
  </si>
  <si>
    <t>E</t>
    <phoneticPr fontId="22"/>
  </si>
  <si>
    <t>Premium5</t>
    <phoneticPr fontId="22"/>
  </si>
  <si>
    <t>F</t>
    <phoneticPr fontId="22"/>
  </si>
  <si>
    <t>Premium4R3less</t>
    <phoneticPr fontId="22"/>
  </si>
  <si>
    <t>G</t>
    <phoneticPr fontId="22"/>
  </si>
  <si>
    <t>Premium5R3less</t>
    <phoneticPr fontId="22"/>
  </si>
  <si>
    <t>H</t>
    <phoneticPr fontId="22"/>
  </si>
  <si>
    <t>I</t>
    <phoneticPr fontId="22"/>
  </si>
  <si>
    <t>J</t>
    <phoneticPr fontId="22"/>
  </si>
  <si>
    <t>K</t>
    <phoneticPr fontId="22"/>
  </si>
  <si>
    <t>Premium3R6release</t>
    <phoneticPr fontId="22"/>
  </si>
  <si>
    <t>Premium4R6release</t>
    <phoneticPr fontId="22"/>
  </si>
  <si>
    <t>Premium5R6release</t>
    <phoneticPr fontId="22"/>
  </si>
  <si>
    <t>PremiumSS4</t>
    <phoneticPr fontId="22"/>
  </si>
  <si>
    <t>PremiumSS5</t>
    <phoneticPr fontId="22"/>
  </si>
  <si>
    <t>L</t>
    <phoneticPr fontId="22"/>
  </si>
  <si>
    <t>M</t>
    <phoneticPr fontId="22"/>
  </si>
  <si>
    <t>PremiumSS5R5only</t>
    <phoneticPr fontId="22"/>
  </si>
  <si>
    <t>50% - H - C</t>
    <phoneticPr fontId="22"/>
  </si>
  <si>
    <t>PremiumSSS4R3less</t>
    <phoneticPr fontId="22"/>
  </si>
  <si>
    <t>PremiumSSS5R3less</t>
    <phoneticPr fontId="22"/>
  </si>
  <si>
    <t>skip</t>
    <phoneticPr fontId="22"/>
  </si>
  <si>
    <t>通常確率</t>
    <phoneticPr fontId="22"/>
  </si>
  <si>
    <t>tables_363104</t>
    <phoneticPr fontId="22"/>
  </si>
  <si>
    <t>tables_363105</t>
    <phoneticPr fontId="22"/>
  </si>
  <si>
    <t>tables_363100</t>
    <phoneticPr fontId="22"/>
  </si>
  <si>
    <t>gacha_settle_tables_</t>
    <phoneticPr fontId="22"/>
  </si>
  <si>
    <t>.tmp</t>
    <phoneticPr fontId="55"/>
  </si>
  <si>
    <t>PremiumSSw</t>
    <phoneticPr fontId="22"/>
  </si>
  <si>
    <t>old</t>
    <phoneticPr fontId="22"/>
  </si>
  <si>
    <t>PremiumSSS</t>
    <phoneticPr fontId="22"/>
  </si>
  <si>
    <t>tables_560010</t>
    <phoneticPr fontId="22"/>
  </si>
  <si>
    <t>Premium</t>
  </si>
  <si>
    <t>PremiumSS</t>
  </si>
  <si>
    <t>tables_586100</t>
    <phoneticPr fontId="22"/>
  </si>
  <si>
    <t>tables_settle_586100</t>
    <phoneticPr fontId="22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</si>
</sst>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8">
    <numFmt numFmtId="176" formatCode="0.000%"/>
    <numFmt numFmtId="177" formatCode="0.0000%"/>
    <numFmt numFmtId="178" formatCode="0.0%"/>
    <numFmt numFmtId="179" formatCode="0.00000%"/>
    <numFmt numFmtId="180" formatCode="0.0000000000000000%"/>
    <numFmt numFmtId="181" formatCode="0.000000%"/>
    <numFmt numFmtId="182" formatCode="0.000000000000000%"/>
    <numFmt numFmtId="183" formatCode="0.00000000000000%"/>
  </numFmts>
  <fonts count="60" x14ac:knownFonts="1">
    <font>
      <sz val="10"/>
      <name val="ＭＳ Ｐゴシック"/>
      <family val="3"/>
      <charset val="128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0"/>
      <color indexed="8"/>
      <name val="Arial"/>
      <family val="2"/>
    </font>
    <font>
      <sz val="6"/>
      <name val="ＭＳ Ｐゴシック"/>
      <family val="2"/>
      <charset val="128"/>
    </font>
    <font>
      <sz val="10"/>
      <color indexed="81"/>
      <name val="ＭＳ Ｐゴシック"/>
      <family val="3"/>
      <charset val="128"/>
    </font>
    <font>
      <b/>
      <sz val="10"/>
      <color indexed="81"/>
      <name val="ＭＳ Ｐゴシック"/>
      <family val="3"/>
      <charset val="128"/>
    </font>
    <font>
      <sz val="12"/>
      <color theme="1"/>
      <name val="ＭＳ Ｐゴシック"/>
      <family val="2"/>
      <charset val="128"/>
      <scheme val="minor"/>
    </font>
    <font>
      <sz val="10"/>
      <color theme="1"/>
      <name val="ＭＳ Ｐゴシック"/>
      <family val="3"/>
      <charset val="128"/>
    </font>
    <font>
      <sz val="10"/>
      <color theme="1"/>
      <name val="ＭＳ Ｐゴシック"/>
      <family val="3"/>
      <charset val="128"/>
      <scheme val="minor"/>
    </font>
    <font>
      <sz val="10"/>
      <name val="ＭＳ Ｐゴシック"/>
      <family val="3"/>
      <charset val="128"/>
      <scheme val="minor"/>
    </font>
    <font>
      <sz val="12"/>
      <color theme="0"/>
      <name val="ＭＳ Ｐゴシック"/>
      <family val="2"/>
      <charset val="128"/>
      <scheme val="minor"/>
    </font>
    <font>
      <u/>
      <sz val="10"/>
      <color theme="10"/>
      <name val="ＭＳ Ｐゴシック"/>
      <family val="3"/>
      <charset val="128"/>
    </font>
    <font>
      <u/>
      <sz val="10"/>
      <color theme="11"/>
      <name val="ＭＳ Ｐゴシック"/>
      <family val="3"/>
      <charset val="128"/>
    </font>
    <font>
      <sz val="10"/>
      <color indexed="8"/>
      <name val="ＭＳ Ｐゴシック"/>
      <family val="3"/>
      <charset val="128"/>
    </font>
    <font>
      <sz val="12"/>
      <color indexed="60"/>
      <name val="lr oSVbN"/>
      <family val="3"/>
      <charset val="128"/>
    </font>
    <font>
      <sz val="12"/>
      <color indexed="62"/>
      <name val="lr oSVbN"/>
      <family val="3"/>
      <charset val="128"/>
    </font>
    <font>
      <i/>
      <sz val="12"/>
      <color indexed="23"/>
      <name val="lr oSVbN"/>
      <family val="3"/>
      <charset val="128"/>
    </font>
    <font>
      <sz val="12"/>
      <color indexed="14"/>
      <name val="lr oSVbN"/>
      <family val="3"/>
      <charset val="128"/>
    </font>
    <font>
      <b/>
      <sz val="12"/>
      <color indexed="9"/>
      <name val="lr oSVbN"/>
      <family val="3"/>
      <charset val="128"/>
    </font>
    <font>
      <b/>
      <sz val="18"/>
      <color indexed="62"/>
      <name val="lr oSVbN"/>
      <family val="3"/>
      <charset val="128"/>
    </font>
    <font>
      <b/>
      <sz val="15"/>
      <color indexed="62"/>
      <name val="lr oSVbN"/>
      <family val="3"/>
      <charset val="128"/>
    </font>
    <font>
      <b/>
      <sz val="13"/>
      <color indexed="62"/>
      <name val="lr oSVbN"/>
      <family val="3"/>
      <charset val="128"/>
    </font>
    <font>
      <b/>
      <sz val="11"/>
      <color indexed="62"/>
      <name val="lr oSVbN"/>
      <family val="3"/>
      <charset val="128"/>
    </font>
    <font>
      <sz val="12"/>
      <color indexed="8"/>
      <name val="lr oSVbN"/>
      <family val="3"/>
      <charset val="128"/>
    </font>
    <font>
      <sz val="12"/>
      <color indexed="9"/>
      <name val="lr oSVbN"/>
      <family val="3"/>
      <charset val="128"/>
    </font>
    <font>
      <sz val="12"/>
      <color indexed="17"/>
      <name val="lr oSVbN"/>
      <family val="3"/>
      <charset val="128"/>
    </font>
    <font>
      <sz val="12"/>
      <color indexed="52"/>
      <name val="lr oSVbN"/>
      <family val="3"/>
      <charset val="128"/>
    </font>
    <font>
      <b/>
      <sz val="12"/>
      <color indexed="63"/>
      <name val="lr oSVbN"/>
      <family val="3"/>
      <charset val="128"/>
    </font>
    <font>
      <b/>
      <sz val="12"/>
      <color indexed="8"/>
      <name val="lr oSVbN"/>
      <family val="3"/>
      <charset val="128"/>
    </font>
    <font>
      <b/>
      <sz val="12"/>
      <color indexed="52"/>
      <name val="lr oSVbN"/>
      <family val="3"/>
      <charset val="128"/>
    </font>
    <font>
      <sz val="12"/>
      <color indexed="10"/>
      <name val="lr oSVbN"/>
      <family val="3"/>
      <charset val="128"/>
    </font>
    <font>
      <b/>
      <sz val="15"/>
      <color indexed="56"/>
      <name val="lr oSVbN"/>
      <family val="3"/>
      <charset val="128"/>
    </font>
    <font>
      <sz val="12"/>
      <color indexed="15"/>
      <name val="ＭＳ Ｐゴシック"/>
      <family val="3"/>
      <charset val="128"/>
    </font>
    <font>
      <sz val="12"/>
      <color indexed="10"/>
      <name val="ＭＳ Ｐゴシック"/>
      <family val="3"/>
      <charset val="128"/>
    </font>
    <font>
      <sz val="12"/>
      <color indexed="52"/>
      <name val="ＭＳ Ｐゴシック"/>
      <family val="3"/>
      <charset val="128"/>
    </font>
    <font>
      <sz val="10"/>
      <color rgb="FF000000"/>
      <name val="ＭＳ Ｐゴシック"/>
      <family val="3"/>
      <charset val="128"/>
    </font>
    <font>
      <sz val="6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10"/>
      <name val="ＭＳ Ｐゴシック"/>
      <family val="3"/>
      <charset val="128"/>
    </font>
    <font>
      <b/>
      <sz val="10"/>
      <color rgb="FFFF0000"/>
      <name val="ＭＳ Ｐゴシック"/>
      <family val="3"/>
      <charset val="128"/>
    </font>
    <font>
      <sz val="10"/>
      <color theme="0"/>
      <name val="ＭＳ Ｐゴシック"/>
      <family val="3"/>
      <charset val="128"/>
    </font>
  </fonts>
  <fills count="34">
    <fill>
      <patternFill patternType="none"/>
    </fill>
    <fill>
      <patternFill patternType="gray125"/>
    </fill>
    <fill>
      <patternFill patternType="solid">
        <fgColor theme="4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indexed="43"/>
        <bgColor indexed="26"/>
      </patternFill>
    </fill>
    <fill>
      <patternFill patternType="solid">
        <fgColor indexed="26"/>
        <bgColor indexed="9"/>
      </patternFill>
    </fill>
    <fill>
      <patternFill patternType="solid">
        <fgColor indexed="22"/>
        <bgColor indexed="31"/>
      </patternFill>
    </fill>
    <fill>
      <patternFill patternType="solid">
        <fgColor indexed="45"/>
        <bgColor indexed="29"/>
      </patternFill>
    </fill>
    <fill>
      <patternFill patternType="solid">
        <fgColor indexed="55"/>
        <bgColor indexed="23"/>
      </patternFill>
    </fill>
    <fill>
      <patternFill patternType="solid">
        <fgColor indexed="31"/>
        <bgColor indexed="22"/>
      </patternFill>
    </fill>
    <fill>
      <patternFill patternType="solid">
        <fgColor indexed="27"/>
        <bgColor indexed="41"/>
      </patternFill>
    </fill>
    <fill>
      <patternFill patternType="solid">
        <fgColor indexed="29"/>
        <bgColor indexed="45"/>
      </patternFill>
    </fill>
    <fill>
      <patternFill patternType="solid">
        <fgColor indexed="44"/>
        <bgColor indexed="31"/>
      </patternFill>
    </fill>
    <fill>
      <patternFill patternType="solid">
        <fgColor indexed="49"/>
        <bgColor indexed="40"/>
      </patternFill>
    </fill>
    <fill>
      <patternFill patternType="solid">
        <fgColor indexed="19"/>
        <bgColor indexed="23"/>
      </patternFill>
    </fill>
    <fill>
      <patternFill patternType="solid">
        <fgColor indexed="54"/>
        <bgColor indexed="23"/>
      </patternFill>
    </fill>
    <fill>
      <patternFill patternType="solid">
        <fgColor indexed="42"/>
        <bgColor indexed="27"/>
      </patternFill>
    </fill>
    <fill>
      <patternFill patternType="solid">
        <fgColor indexed="9"/>
        <bgColor indexed="26"/>
      </patternFill>
    </fill>
    <fill>
      <patternFill patternType="solid">
        <fgColor indexed="18"/>
        <bgColor indexed="32"/>
      </patternFill>
    </fill>
    <fill>
      <patternFill patternType="solid">
        <fgColor indexed="16"/>
        <bgColor indexed="59"/>
      </patternFill>
    </fill>
    <fill>
      <patternFill patternType="solid">
        <fgColor theme="4" tint="0.79998168889431442"/>
        <bgColor rgb="FF000000"/>
      </patternFill>
    </fill>
    <fill>
      <patternFill patternType="solid">
        <fgColor theme="1" tint="0.499984740745262"/>
        <bgColor indexed="64"/>
      </patternFill>
    </fill>
    <fill>
      <patternFill patternType="solid">
        <fgColor theme="0" tint="-0.14999847407452621"/>
        <bgColor rgb="FF000000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6" tint="0.79998168889431442"/>
        <bgColor rgb="FF000000"/>
      </patternFill>
    </fill>
    <fill>
      <patternFill patternType="solid">
        <fgColor theme="1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92D050"/>
        <bgColor indexed="64"/>
      </patternFill>
    </fill>
  </fills>
  <borders count="17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thick">
        <color indexed="49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49"/>
      </bottom>
      <diagonal/>
    </border>
    <border>
      <left/>
      <right/>
      <top/>
      <bottom style="double">
        <color indexed="5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thin">
        <color indexed="49"/>
      </top>
      <bottom style="double">
        <color indexed="49"/>
      </bottom>
      <diagonal/>
    </border>
    <border>
      <left/>
      <right/>
      <top/>
      <bottom style="thick">
        <color indexed="62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/>
      <right/>
      <top/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/>
      <right/>
      <top style="thin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</borders>
  <cellStyleXfs count="3670">
    <xf numFmtId="0" fontId="0" fillId="0" borderId="0"/>
    <xf numFmtId="0" fontId="21" fillId="0" borderId="0"/>
    <xf numFmtId="0" fontId="25" fillId="0" borderId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20" fillId="0" borderId="0"/>
    <xf numFmtId="0" fontId="32" fillId="5" borderId="2" applyNumberFormat="0" applyAlignment="0" applyProtection="0"/>
    <xf numFmtId="0" fontId="33" fillId="6" borderId="0" applyNumberFormat="0" applyBorder="0" applyAlignment="0" applyProtection="0"/>
    <xf numFmtId="0" fontId="34" fillId="7" borderId="3" applyNumberFormat="0" applyAlignment="0" applyProtection="0"/>
    <xf numFmtId="0" fontId="35" fillId="0" borderId="0" applyNumberFormat="0" applyFill="0" applyBorder="0" applyAlignment="0" applyProtection="0"/>
    <xf numFmtId="0" fontId="36" fillId="8" borderId="0" applyNumberFormat="0" applyBorder="0" applyAlignment="0" applyProtection="0"/>
    <xf numFmtId="0" fontId="37" fillId="9" borderId="4" applyNumberFormat="0" applyAlignment="0" applyProtection="0"/>
    <xf numFmtId="0" fontId="38" fillId="0" borderId="0" applyNumberFormat="0" applyFill="0" applyBorder="0" applyAlignment="0" applyProtection="0"/>
    <xf numFmtId="0" fontId="39" fillId="0" borderId="5" applyNumberFormat="0" applyFill="0" applyAlignment="0" applyProtection="0"/>
    <xf numFmtId="0" fontId="40" fillId="0" borderId="6" applyNumberFormat="0" applyFill="0" applyAlignment="0" applyProtection="0"/>
    <xf numFmtId="0" fontId="41" fillId="0" borderId="7" applyNumberFormat="0" applyFill="0" applyAlignment="0" applyProtection="0"/>
    <xf numFmtId="0" fontId="41" fillId="0" borderId="0" applyNumberFormat="0" applyFill="0" applyBorder="0" applyAlignment="0" applyProtection="0"/>
    <xf numFmtId="0" fontId="42" fillId="7" borderId="0" applyNumberFormat="0" applyBorder="0" applyAlignment="0" applyProtection="0"/>
    <xf numFmtId="0" fontId="42" fillId="6" borderId="0" applyNumberFormat="0" applyBorder="0" applyAlignment="0" applyProtection="0"/>
    <xf numFmtId="0" fontId="42" fillId="10" borderId="0" applyNumberFormat="0" applyBorder="0" applyAlignment="0" applyProtection="0"/>
    <xf numFmtId="0" fontId="42" fillId="7" borderId="0" applyNumberFormat="0" applyBorder="0" applyAlignment="0" applyProtection="0"/>
    <xf numFmtId="0" fontId="42" fillId="11" borderId="0" applyNumberFormat="0" applyBorder="0" applyAlignment="0" applyProtection="0"/>
    <xf numFmtId="0" fontId="42" fillId="5" borderId="0" applyNumberFormat="0" applyBorder="0" applyAlignment="0" applyProtection="0"/>
    <xf numFmtId="0" fontId="42" fillId="7" borderId="0" applyNumberFormat="0" applyBorder="0" applyAlignment="0" applyProtection="0"/>
    <xf numFmtId="0" fontId="42" fillId="12" borderId="0" applyNumberFormat="0" applyBorder="0" applyAlignment="0" applyProtection="0"/>
    <xf numFmtId="0" fontId="42" fillId="10" borderId="0" applyNumberFormat="0" applyBorder="0" applyAlignment="0" applyProtection="0"/>
    <xf numFmtId="0" fontId="42" fillId="7" borderId="0" applyNumberFormat="0" applyBorder="0" applyAlignment="0" applyProtection="0"/>
    <xf numFmtId="0" fontId="42" fillId="13" borderId="0" applyNumberFormat="0" applyBorder="0" applyAlignment="0" applyProtection="0"/>
    <xf numFmtId="0" fontId="42" fillId="6" borderId="0" applyNumberFormat="0" applyBorder="0" applyAlignment="0" applyProtection="0"/>
    <xf numFmtId="0" fontId="43" fillId="14" borderId="0" applyNumberFormat="0" applyBorder="0" applyAlignment="0" applyProtection="0"/>
    <xf numFmtId="0" fontId="43" fillId="12" borderId="0" applyNumberFormat="0" applyBorder="0" applyAlignment="0" applyProtection="0"/>
    <xf numFmtId="0" fontId="43" fillId="10" borderId="0" applyNumberFormat="0" applyBorder="0" applyAlignment="0" applyProtection="0"/>
    <xf numFmtId="0" fontId="43" fillId="7" borderId="0" applyNumberFormat="0" applyBorder="0" applyAlignment="0" applyProtection="0"/>
    <xf numFmtId="0" fontId="43" fillId="14" borderId="0" applyNumberFormat="0" applyBorder="0" applyAlignment="0" applyProtection="0"/>
    <xf numFmtId="0" fontId="43" fillId="6" borderId="0" applyNumberFormat="0" applyBorder="0" applyAlignment="0" applyProtection="0"/>
    <xf numFmtId="0" fontId="35" fillId="0" borderId="0" applyNumberFormat="0" applyFill="0" applyBorder="0" applyAlignment="0" applyProtection="0"/>
    <xf numFmtId="0" fontId="43" fillId="14" borderId="0" applyNumberFormat="0" applyBorder="0" applyAlignment="0" applyProtection="0"/>
    <xf numFmtId="0" fontId="43" fillId="15" borderId="0" applyNumberFormat="0" applyBorder="0" applyAlignment="0" applyProtection="0"/>
    <xf numFmtId="0" fontId="43" fillId="10" borderId="0" applyNumberFormat="0" applyBorder="0" applyAlignment="0" applyProtection="0"/>
    <xf numFmtId="0" fontId="43" fillId="16" borderId="0" applyNumberFormat="0" applyBorder="0" applyAlignment="0" applyProtection="0"/>
    <xf numFmtId="0" fontId="43" fillId="14" borderId="0" applyNumberFormat="0" applyBorder="0" applyAlignment="0" applyProtection="0"/>
    <xf numFmtId="0" fontId="43" fillId="12" borderId="0" applyNumberFormat="0" applyBorder="0" applyAlignment="0" applyProtection="0"/>
    <xf numFmtId="0" fontId="44" fillId="17" borderId="0" applyNumberFormat="0" applyBorder="0" applyAlignment="0" applyProtection="0"/>
    <xf numFmtId="0" fontId="33" fillId="6" borderId="0" applyNumberFormat="0" applyBorder="0" applyAlignment="0" applyProtection="0"/>
    <xf numFmtId="0" fontId="45" fillId="0" borderId="8" applyNumberFormat="0" applyFill="0" applyAlignment="0" applyProtection="0"/>
    <xf numFmtId="0" fontId="46" fillId="7" borderId="9" applyNumberFormat="0" applyAlignment="0" applyProtection="0"/>
    <xf numFmtId="0" fontId="46" fillId="18" borderId="9" applyNumberFormat="0" applyAlignment="0" applyProtection="0"/>
    <xf numFmtId="0" fontId="34" fillId="6" borderId="3" applyNumberFormat="0" applyAlignment="0" applyProtection="0"/>
    <xf numFmtId="0" fontId="47" fillId="0" borderId="10" applyNumberFormat="0" applyFill="0" applyAlignment="0" applyProtection="0"/>
    <xf numFmtId="0" fontId="48" fillId="18" borderId="3" applyNumberFormat="0" applyAlignment="0" applyProtection="0"/>
    <xf numFmtId="0" fontId="49" fillId="0" borderId="0" applyNumberFormat="0" applyFill="0" applyBorder="0" applyAlignment="0" applyProtection="0"/>
    <xf numFmtId="0" fontId="49" fillId="0" borderId="0" applyNumberFormat="0" applyFill="0" applyBorder="0" applyAlignment="0" applyProtection="0"/>
    <xf numFmtId="0" fontId="50" fillId="0" borderId="11" applyNumberFormat="0" applyFill="0" applyAlignment="0" applyProtection="0"/>
    <xf numFmtId="38" fontId="20" fillId="0" borderId="0" applyFont="0" applyFill="0" applyBorder="0" applyAlignment="0" applyProtection="0">
      <alignment vertical="center"/>
    </xf>
    <xf numFmtId="0" fontId="51" fillId="19" borderId="0" applyNumberFormat="0" applyBorder="0" applyAlignment="0" applyProtection="0"/>
    <xf numFmtId="0" fontId="52" fillId="20" borderId="0" applyNumberFormat="0" applyBorder="0" applyAlignment="0" applyProtection="0"/>
    <xf numFmtId="0" fontId="20" fillId="0" borderId="0"/>
    <xf numFmtId="0" fontId="53" fillId="20" borderId="0" applyNumberFormat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15" fillId="0" borderId="0"/>
    <xf numFmtId="0" fontId="56" fillId="0" borderId="0">
      <alignment vertical="center"/>
    </xf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13" fillId="0" borderId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9" fontId="57" fillId="0" borderId="0" applyFon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9" fillId="0" borderId="0"/>
    <xf numFmtId="38" fontId="57" fillId="0" borderId="0" applyFon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</cellStyleXfs>
  <cellXfs count="100">
    <xf numFmtId="0" fontId="0" fillId="0" borderId="0" xfId="0"/>
    <xf numFmtId="0" fontId="27" fillId="0" borderId="0" xfId="2" applyFont="1" applyAlignment="1">
      <alignment vertical="center"/>
    </xf>
    <xf numFmtId="0" fontId="27" fillId="0" borderId="1" xfId="2" applyFont="1" applyBorder="1" applyAlignment="1">
      <alignment vertical="center"/>
    </xf>
    <xf numFmtId="0" fontId="27" fillId="3" borderId="1" xfId="2" applyFont="1" applyFill="1" applyBorder="1" applyAlignment="1">
      <alignment horizontal="center" vertical="center"/>
    </xf>
    <xf numFmtId="0" fontId="27" fillId="0" borderId="0" xfId="2" applyFont="1" applyAlignment="1">
      <alignment horizontal="center" vertical="center"/>
    </xf>
    <xf numFmtId="0" fontId="27" fillId="4" borderId="1" xfId="2" applyFont="1" applyFill="1" applyBorder="1" applyAlignment="1">
      <alignment vertical="center"/>
    </xf>
    <xf numFmtId="0" fontId="26" fillId="4" borderId="1" xfId="0" applyFont="1" applyFill="1" applyBorder="1" applyAlignment="1">
      <alignment horizontal="right" vertical="center"/>
    </xf>
    <xf numFmtId="0" fontId="27" fillId="3" borderId="1" xfId="2" applyFont="1" applyFill="1" applyBorder="1" applyAlignment="1">
      <alignment vertical="center"/>
    </xf>
    <xf numFmtId="0" fontId="28" fillId="4" borderId="1" xfId="0" applyFont="1" applyFill="1" applyBorder="1" applyAlignment="1">
      <alignment vertical="center"/>
    </xf>
    <xf numFmtId="0" fontId="27" fillId="0" borderId="13" xfId="2" applyFont="1" applyBorder="1" applyAlignment="1">
      <alignment vertical="center"/>
    </xf>
    <xf numFmtId="0" fontId="26" fillId="4" borderId="12" xfId="0" applyFont="1" applyFill="1" applyBorder="1" applyAlignment="1">
      <alignment horizontal="right" vertical="center"/>
    </xf>
    <xf numFmtId="0" fontId="26" fillId="4" borderId="14" xfId="0" applyFont="1" applyFill="1" applyBorder="1" applyAlignment="1">
      <alignment horizontal="right" vertical="center"/>
    </xf>
    <xf numFmtId="0" fontId="27" fillId="0" borderId="15" xfId="2" applyFont="1" applyBorder="1" applyAlignment="1">
      <alignment vertical="center"/>
    </xf>
    <xf numFmtId="0" fontId="27" fillId="2" borderId="1" xfId="2" applyFont="1" applyFill="1" applyBorder="1" applyAlignment="1">
      <alignment horizontal="left" vertical="center"/>
    </xf>
    <xf numFmtId="0" fontId="54" fillId="21" borderId="1" xfId="0" applyFont="1" applyFill="1" applyBorder="1" applyAlignment="1">
      <alignment horizontal="left" vertical="center"/>
    </xf>
    <xf numFmtId="0" fontId="27" fillId="2" borderId="1" xfId="2" applyFont="1" applyFill="1" applyBorder="1" applyAlignment="1">
      <alignment horizontal="center" vertical="center"/>
    </xf>
    <xf numFmtId="0" fontId="29" fillId="22" borderId="1" xfId="2978" applyFont="1" applyFill="1" applyBorder="1"/>
    <xf numFmtId="0" fontId="15" fillId="22" borderId="1" xfId="2978" applyFill="1" applyBorder="1"/>
    <xf numFmtId="0" fontId="15" fillId="0" borderId="0" xfId="2978"/>
    <xf numFmtId="0" fontId="15" fillId="0" borderId="1" xfId="2978" applyBorder="1"/>
    <xf numFmtId="0" fontId="15" fillId="2" borderId="1" xfId="2978" applyFill="1" applyBorder="1"/>
    <xf numFmtId="0" fontId="19" fillId="2" borderId="1" xfId="19" applyFont="1" applyFill="1" applyBorder="1"/>
    <xf numFmtId="0" fontId="20" fillId="2" borderId="1" xfId="19" applyFill="1" applyBorder="1"/>
    <xf numFmtId="0" fontId="18" fillId="2" borderId="1" xfId="19" applyFont="1" applyFill="1" applyBorder="1"/>
    <xf numFmtId="0" fontId="16" fillId="2" borderId="1" xfId="19" applyFont="1" applyFill="1" applyBorder="1"/>
    <xf numFmtId="0" fontId="17" fillId="2" borderId="1" xfId="19" applyFont="1" applyFill="1" applyBorder="1"/>
    <xf numFmtId="0" fontId="15" fillId="2" borderId="1" xfId="19" applyFont="1" applyFill="1" applyBorder="1"/>
    <xf numFmtId="0" fontId="14" fillId="0" borderId="1" xfId="2978" applyFont="1" applyBorder="1"/>
    <xf numFmtId="0" fontId="29" fillId="22" borderId="1" xfId="0" applyFont="1" applyFill="1" applyBorder="1"/>
    <xf numFmtId="0" fontId="54" fillId="23" borderId="1" xfId="0" applyFont="1" applyFill="1" applyBorder="1" applyAlignment="1">
      <alignment horizontal="center" vertical="center"/>
    </xf>
    <xf numFmtId="0" fontId="54" fillId="3" borderId="1" xfId="0" applyFont="1" applyFill="1" applyBorder="1" applyAlignment="1">
      <alignment vertical="center"/>
    </xf>
    <xf numFmtId="0" fontId="0" fillId="4" borderId="0" xfId="0" applyFill="1"/>
    <xf numFmtId="0" fontId="12" fillId="0" borderId="1" xfId="2978" applyFont="1" applyBorder="1"/>
    <xf numFmtId="0" fontId="0" fillId="0" borderId="1" xfId="0" applyBorder="1"/>
    <xf numFmtId="0" fontId="0" fillId="25" borderId="0" xfId="0" applyFill="1"/>
    <xf numFmtId="0" fontId="0" fillId="24" borderId="0" xfId="0" applyFill="1"/>
    <xf numFmtId="0" fontId="0" fillId="26" borderId="0" xfId="0" applyFill="1"/>
    <xf numFmtId="0" fontId="0" fillId="3" borderId="1" xfId="0" applyFill="1" applyBorder="1"/>
    <xf numFmtId="0" fontId="0" fillId="27" borderId="0" xfId="0" applyFill="1"/>
    <xf numFmtId="0" fontId="0" fillId="28" borderId="1" xfId="0" applyFill="1" applyBorder="1"/>
    <xf numFmtId="10" fontId="0" fillId="28" borderId="1" xfId="0" applyNumberFormat="1" applyFill="1" applyBorder="1"/>
    <xf numFmtId="178" fontId="0" fillId="28" borderId="1" xfId="3575" applyNumberFormat="1" applyFont="1" applyFill="1" applyBorder="1"/>
    <xf numFmtId="177" fontId="0" fillId="28" borderId="1" xfId="0" applyNumberFormat="1" applyFill="1" applyBorder="1"/>
    <xf numFmtId="179" fontId="0" fillId="0" borderId="0" xfId="3575" applyNumberFormat="1" applyFont="1"/>
    <xf numFmtId="0" fontId="0" fillId="3" borderId="16" xfId="0" applyFill="1" applyBorder="1"/>
    <xf numFmtId="0" fontId="0" fillId="29" borderId="1" xfId="0" applyFill="1" applyBorder="1"/>
    <xf numFmtId="177" fontId="0" fillId="29" borderId="1" xfId="3575" applyNumberFormat="1" applyFont="1" applyFill="1" applyBorder="1"/>
    <xf numFmtId="0" fontId="0" fillId="0" borderId="0" xfId="0" quotePrefix="1"/>
    <xf numFmtId="0" fontId="0" fillId="28" borderId="0" xfId="0" applyFill="1"/>
    <xf numFmtId="0" fontId="11" fillId="2" borderId="1" xfId="19" applyFont="1" applyFill="1" applyBorder="1"/>
    <xf numFmtId="0" fontId="11" fillId="4" borderId="1" xfId="2978" applyFont="1" applyFill="1" applyBorder="1"/>
    <xf numFmtId="0" fontId="0" fillId="2" borderId="0" xfId="0" applyFill="1"/>
    <xf numFmtId="0" fontId="54" fillId="30" borderId="1" xfId="0" applyFont="1" applyFill="1" applyBorder="1" applyAlignment="1">
      <alignment horizontal="left" vertical="center"/>
    </xf>
    <xf numFmtId="0" fontId="27" fillId="25" borderId="1" xfId="2" applyFont="1" applyFill="1" applyBorder="1" applyAlignment="1">
      <alignment horizontal="left" vertical="center"/>
    </xf>
    <xf numFmtId="10" fontId="0" fillId="0" borderId="0" xfId="3575" applyNumberFormat="1" applyFont="1"/>
    <xf numFmtId="10" fontId="0" fillId="0" borderId="0" xfId="0" applyNumberFormat="1"/>
    <xf numFmtId="177" fontId="0" fillId="4" borderId="1" xfId="0" applyNumberFormat="1" applyFill="1" applyBorder="1"/>
    <xf numFmtId="0" fontId="0" fillId="0" borderId="1" xfId="0" applyFill="1" applyBorder="1"/>
    <xf numFmtId="10" fontId="0" fillId="0" borderId="1" xfId="0" applyNumberFormat="1" applyFill="1" applyBorder="1"/>
    <xf numFmtId="0" fontId="0" fillId="0" borderId="0" xfId="0" applyFill="1"/>
    <xf numFmtId="0" fontId="26" fillId="25" borderId="1" xfId="0" applyFont="1" applyFill="1" applyBorder="1" applyAlignment="1">
      <alignment horizontal="right" vertical="center"/>
    </xf>
    <xf numFmtId="0" fontId="10" fillId="0" borderId="1" xfId="2978" applyFont="1" applyBorder="1"/>
    <xf numFmtId="0" fontId="0" fillId="0" borderId="0" xfId="0" applyNumberFormat="1"/>
    <xf numFmtId="176" fontId="0" fillId="0" borderId="1" xfId="0" applyNumberFormat="1" applyBorder="1"/>
    <xf numFmtId="0" fontId="9" fillId="0" borderId="0" xfId="3662"/>
    <xf numFmtId="0" fontId="9" fillId="4" borderId="0" xfId="3662" applyFill="1"/>
    <xf numFmtId="9" fontId="9" fillId="0" borderId="0" xfId="3662" applyNumberFormat="1"/>
    <xf numFmtId="0" fontId="9" fillId="0" borderId="0" xfId="3662" applyFill="1"/>
    <xf numFmtId="9" fontId="9" fillId="0" borderId="0" xfId="3662" applyNumberFormat="1" applyAlignment="1"/>
    <xf numFmtId="0" fontId="9" fillId="0" borderId="0" xfId="3662" applyNumberFormat="1"/>
    <xf numFmtId="180" fontId="0" fillId="4" borderId="1" xfId="0" applyNumberFormat="1" applyFont="1" applyFill="1" applyBorder="1"/>
    <xf numFmtId="10" fontId="0" fillId="0" borderId="1" xfId="0" applyNumberFormat="1" applyBorder="1"/>
    <xf numFmtId="178" fontId="0" fillId="0" borderId="1" xfId="0" applyNumberFormat="1" applyBorder="1"/>
    <xf numFmtId="0" fontId="58" fillId="0" borderId="0" xfId="0" applyFont="1"/>
    <xf numFmtId="177" fontId="0" fillId="31" borderId="1" xfId="0" applyNumberFormat="1" applyFill="1" applyBorder="1"/>
    <xf numFmtId="181" fontId="0" fillId="4" borderId="1" xfId="0" applyNumberFormat="1" applyFont="1" applyFill="1" applyBorder="1"/>
    <xf numFmtId="177" fontId="0" fillId="0" borderId="0" xfId="3575" applyNumberFormat="1" applyFont="1"/>
    <xf numFmtId="178" fontId="59" fillId="32" borderId="1" xfId="0" applyNumberFormat="1" applyFont="1" applyFill="1" applyBorder="1"/>
    <xf numFmtId="38" fontId="27" fillId="4" borderId="1" xfId="3663" quotePrefix="1" applyFont="1" applyFill="1" applyBorder="1" applyAlignment="1">
      <alignment vertical="center"/>
    </xf>
    <xf numFmtId="0" fontId="54" fillId="0" borderId="1" xfId="0" applyFont="1" applyBorder="1" applyAlignment="1">
      <alignment vertical="center"/>
    </xf>
    <xf numFmtId="0" fontId="54" fillId="0" borderId="1" xfId="0" applyFont="1" applyBorder="1" applyAlignment="1">
      <alignment vertical="center" wrapText="1"/>
    </xf>
    <xf numFmtId="182" fontId="0" fillId="4" borderId="1" xfId="0" applyNumberFormat="1" applyFill="1" applyBorder="1"/>
    <xf numFmtId="0" fontId="8" fillId="0" borderId="0" xfId="3662" applyFont="1"/>
    <xf numFmtId="178" fontId="0" fillId="4" borderId="0" xfId="0" applyNumberFormat="1" applyFill="1"/>
    <xf numFmtId="0" fontId="27" fillId="0" borderId="0" xfId="2" applyFont="1" applyFill="1" applyBorder="1" applyAlignment="1">
      <alignment vertical="center"/>
    </xf>
    <xf numFmtId="0" fontId="7" fillId="0" borderId="1" xfId="3036" applyFont="1" applyBorder="1"/>
    <xf numFmtId="0" fontId="26" fillId="25" borderId="0" xfId="0" applyFont="1" applyFill="1" applyBorder="1" applyAlignment="1">
      <alignment horizontal="right" vertical="center"/>
    </xf>
    <xf numFmtId="10" fontId="0" fillId="4" borderId="0" xfId="0" applyNumberFormat="1" applyFill="1"/>
    <xf numFmtId="0" fontId="6" fillId="4" borderId="1" xfId="2978" applyFont="1" applyFill="1" applyBorder="1"/>
    <xf numFmtId="0" fontId="28" fillId="25" borderId="1" xfId="0" applyFont="1" applyFill="1" applyBorder="1" applyAlignment="1">
      <alignment vertical="center"/>
    </xf>
    <xf numFmtId="183" fontId="0" fillId="4" borderId="1" xfId="0" applyNumberFormat="1" applyFill="1" applyBorder="1"/>
    <xf numFmtId="0" fontId="5" fillId="0" borderId="1" xfId="2978" applyFont="1" applyBorder="1"/>
    <xf numFmtId="0" fontId="5" fillId="4" borderId="1" xfId="2978" applyFont="1" applyFill="1" applyBorder="1"/>
    <xf numFmtId="178" fontId="0" fillId="0" borderId="0" xfId="0" applyNumberFormat="1"/>
    <xf numFmtId="0" fontId="4" fillId="0" borderId="1" xfId="3036" applyFont="1" applyBorder="1"/>
    <xf numFmtId="0" fontId="26" fillId="33" borderId="1" xfId="0" applyFont="1" applyFill="1" applyBorder="1" applyAlignment="1">
      <alignment horizontal="right" vertical="center"/>
    </xf>
    <xf numFmtId="180" fontId="0" fillId="4" borderId="1" xfId="0" applyNumberFormat="1" applyFill="1" applyBorder="1"/>
    <xf numFmtId="0" fontId="3" fillId="4" borderId="1" xfId="2978" applyFont="1" applyFill="1" applyBorder="1"/>
    <xf numFmtId="177" fontId="0" fillId="0" borderId="1" xfId="3575" applyNumberFormat="1" applyFont="1" applyFill="1" applyBorder="1"/>
    <xf numFmtId="0" fontId="2" fillId="4" borderId="1" xfId="2978" applyFont="1" applyFill="1" applyBorder="1"/>
  </cellXfs>
  <cellStyles count="3670">
    <cellStyle name="20% - ANZg1" xfId="31"/>
    <cellStyle name="20% - ANZg2" xfId="32"/>
    <cellStyle name="20% - ANZg3" xfId="33"/>
    <cellStyle name="20% - ANZg4" xfId="34"/>
    <cellStyle name="20% - ANZg5" xfId="35"/>
    <cellStyle name="20% - ANZg6" xfId="36"/>
    <cellStyle name="40% - ANZg1" xfId="37"/>
    <cellStyle name="40% - ANZg2" xfId="38"/>
    <cellStyle name="40% - ANZg3" xfId="39"/>
    <cellStyle name="40% - ANZg4" xfId="40"/>
    <cellStyle name="40% - ANZg5" xfId="41"/>
    <cellStyle name="40% - ANZg6" xfId="42"/>
    <cellStyle name="60% - ANZg1" xfId="43"/>
    <cellStyle name="60% - ANZg2" xfId="44"/>
    <cellStyle name="60% - ANZg3" xfId="45"/>
    <cellStyle name="60% - ANZg4" xfId="46"/>
    <cellStyle name="60% - ANZg5" xfId="47"/>
    <cellStyle name="60% - ANZg6" xfId="48"/>
    <cellStyle name="Excel Built-in Normal" xfId="1"/>
    <cellStyle name="^Cg" xfId="26"/>
    <cellStyle name="`FbN Z" xfId="25"/>
    <cellStyle name="ANZg 1" xfId="50"/>
    <cellStyle name="ANZg 2" xfId="51"/>
    <cellStyle name="ANZg 3" xfId="52"/>
    <cellStyle name="ANZg 4" xfId="53"/>
    <cellStyle name="ANZg 5" xfId="54"/>
    <cellStyle name="ANZg 6" xfId="55"/>
    <cellStyle name="" xfId="20"/>
    <cellStyle name="N Z" xfId="58"/>
    <cellStyle name="_" xfId="21"/>
    <cellStyle name="«¢" xfId="24"/>
    <cellStyle name="vZ" xfId="63"/>
    <cellStyle name="x÷" xfId="65"/>
    <cellStyle name="x¶" xfId="64"/>
    <cellStyle name="ýo_ 1" xfId="66"/>
    <cellStyle name="©oµ 1" xfId="27"/>
    <cellStyle name="©oµ 2" xfId="28"/>
    <cellStyle name="©oµ 3" xfId="29"/>
    <cellStyle name="©oµ 4" xfId="30"/>
    <cellStyle name="v" xfId="62"/>
    <cellStyle name="o_" xfId="59"/>
    <cellStyle name="oÍ" xfId="60"/>
    <cellStyle name="__÷" xfId="23"/>
    <cellStyle name="à¾¶" xfId="49"/>
    <cellStyle name="__" xfId="22"/>
    <cellStyle name="üÍ" xfId="61"/>
    <cellStyle name="Ê" xfId="57"/>
    <cellStyle name="Ç¢" xfId="56"/>
    <cellStyle name="パーセント" xfId="3575" builtinId="5"/>
    <cellStyle name="ハイパーリンク" xfId="3" builtinId="8" hidden="1"/>
    <cellStyle name="ハイパーリンク" xfId="5" builtinId="8" hidden="1"/>
    <cellStyle name="ハイパーリンク" xfId="7" builtinId="8" hidden="1"/>
    <cellStyle name="ハイパーリンク" xfId="9" builtinId="8" hidden="1"/>
    <cellStyle name="ハイパーリンク" xfId="11" builtinId="8" hidden="1"/>
    <cellStyle name="ハイパーリンク" xfId="13" builtinId="8" hidden="1"/>
    <cellStyle name="ハイパーリンク" xfId="15" builtinId="8" hidden="1"/>
    <cellStyle name="ハイパーリンク" xfId="17" builtinId="8" hidden="1"/>
    <cellStyle name="ハイパーリンク" xfId="72" builtinId="8" hidden="1"/>
    <cellStyle name="ハイパーリンク" xfId="74" builtinId="8" hidden="1"/>
    <cellStyle name="ハイパーリンク" xfId="76" builtinId="8" hidden="1"/>
    <cellStyle name="ハイパーリンク" xfId="78" builtinId="8" hidden="1"/>
    <cellStyle name="ハイパーリンク" xfId="80" builtinId="8" hidden="1"/>
    <cellStyle name="ハイパーリンク" xfId="82" builtinId="8" hidden="1"/>
    <cellStyle name="ハイパーリンク" xfId="84" builtinId="8" hidden="1"/>
    <cellStyle name="ハイパーリンク" xfId="86" builtinId="8" hidden="1"/>
    <cellStyle name="ハイパーリンク" xfId="88" builtinId="8" hidden="1"/>
    <cellStyle name="ハイパーリンク" xfId="90" builtinId="8" hidden="1"/>
    <cellStyle name="ハイパーリンク" xfId="92" builtinId="8" hidden="1"/>
    <cellStyle name="ハイパーリンク" xfId="94" builtinId="8" hidden="1"/>
    <cellStyle name="ハイパーリンク" xfId="96" builtinId="8" hidden="1"/>
    <cellStyle name="ハイパーリンク" xfId="98" builtinId="8" hidden="1"/>
    <cellStyle name="ハイパーリンク" xfId="100" builtinId="8" hidden="1"/>
    <cellStyle name="ハイパーリンク" xfId="102" builtinId="8" hidden="1"/>
    <cellStyle name="ハイパーリンク" xfId="104" builtinId="8" hidden="1"/>
    <cellStyle name="ハイパーリンク" xfId="106" builtinId="8" hidden="1"/>
    <cellStyle name="ハイパーリンク" xfId="108" builtinId="8" hidden="1"/>
    <cellStyle name="ハイパーリンク" xfId="110" builtinId="8" hidden="1"/>
    <cellStyle name="ハイパーリンク" xfId="112" builtinId="8" hidden="1"/>
    <cellStyle name="ハイパーリンク" xfId="114" builtinId="8" hidden="1"/>
    <cellStyle name="ハイパーリンク" xfId="116" builtinId="8" hidden="1"/>
    <cellStyle name="ハイパーリンク" xfId="118" builtinId="8" hidden="1"/>
    <cellStyle name="ハイパーリンク" xfId="120" builtinId="8" hidden="1"/>
    <cellStyle name="ハイパーリンク" xfId="122" builtinId="8" hidden="1"/>
    <cellStyle name="ハイパーリンク" xfId="124" builtinId="8" hidden="1"/>
    <cellStyle name="ハイパーリンク" xfId="126" builtinId="8" hidden="1"/>
    <cellStyle name="ハイパーリンク" xfId="128" builtinId="8" hidden="1"/>
    <cellStyle name="ハイパーリンク" xfId="130" builtinId="8" hidden="1"/>
    <cellStyle name="ハイパーリンク" xfId="132" builtinId="8" hidden="1"/>
    <cellStyle name="ハイパーリンク" xfId="134" builtinId="8" hidden="1"/>
    <cellStyle name="ハイパーリンク" xfId="136" builtinId="8" hidden="1"/>
    <cellStyle name="ハイパーリンク" xfId="138" builtinId="8" hidden="1"/>
    <cellStyle name="ハイパーリンク" xfId="140" builtinId="8" hidden="1"/>
    <cellStyle name="ハイパーリンク" xfId="142" builtinId="8" hidden="1"/>
    <cellStyle name="ハイパーリンク" xfId="144" builtinId="8" hidden="1"/>
    <cellStyle name="ハイパーリンク" xfId="146" builtinId="8" hidden="1"/>
    <cellStyle name="ハイパーリンク" xfId="148" builtinId="8" hidden="1"/>
    <cellStyle name="ハイパーリンク" xfId="150" builtinId="8" hidden="1"/>
    <cellStyle name="ハイパーリンク" xfId="152" builtinId="8" hidden="1"/>
    <cellStyle name="ハイパーリンク" xfId="154" builtinId="8" hidden="1"/>
    <cellStyle name="ハイパーリンク" xfId="156" builtinId="8" hidden="1"/>
    <cellStyle name="ハイパーリンク" xfId="158" builtinId="8" hidden="1"/>
    <cellStyle name="ハイパーリンク" xfId="160" builtinId="8" hidden="1"/>
    <cellStyle name="ハイパーリンク" xfId="162" builtinId="8" hidden="1"/>
    <cellStyle name="ハイパーリンク" xfId="164" builtinId="8" hidden="1"/>
    <cellStyle name="ハイパーリンク" xfId="166" builtinId="8" hidden="1"/>
    <cellStyle name="ハイパーリンク" xfId="168" builtinId="8" hidden="1"/>
    <cellStyle name="ハイパーリンク" xfId="170" builtinId="8" hidden="1"/>
    <cellStyle name="ハイパーリンク" xfId="172" builtinId="8" hidden="1"/>
    <cellStyle name="ハイパーリンク" xfId="174" builtinId="8" hidden="1"/>
    <cellStyle name="ハイパーリンク" xfId="176" builtinId="8" hidden="1"/>
    <cellStyle name="ハイパーリンク" xfId="178" builtinId="8" hidden="1"/>
    <cellStyle name="ハイパーリンク" xfId="180" builtinId="8" hidden="1"/>
    <cellStyle name="ハイパーリンク" xfId="182" builtinId="8" hidden="1"/>
    <cellStyle name="ハイパーリンク" xfId="184" builtinId="8" hidden="1"/>
    <cellStyle name="ハイパーリンク" xfId="186" builtinId="8" hidden="1"/>
    <cellStyle name="ハイパーリンク" xfId="188" builtinId="8" hidden="1"/>
    <cellStyle name="ハイパーリンク" xfId="190" builtinId="8" hidden="1"/>
    <cellStyle name="ハイパーリンク" xfId="192" builtinId="8" hidden="1"/>
    <cellStyle name="ハイパーリンク" xfId="194" builtinId="8" hidden="1"/>
    <cellStyle name="ハイパーリンク" xfId="196" builtinId="8" hidden="1"/>
    <cellStyle name="ハイパーリンク" xfId="198" builtinId="8" hidden="1"/>
    <cellStyle name="ハイパーリンク" xfId="200" builtinId="8" hidden="1"/>
    <cellStyle name="ハイパーリンク" xfId="202" builtinId="8" hidden="1"/>
    <cellStyle name="ハイパーリンク" xfId="204" builtinId="8" hidden="1"/>
    <cellStyle name="ハイパーリンク" xfId="206" builtinId="8" hidden="1"/>
    <cellStyle name="ハイパーリンク" xfId="208" builtinId="8" hidden="1"/>
    <cellStyle name="ハイパーリンク" xfId="210" builtinId="8" hidden="1"/>
    <cellStyle name="ハイパーリンク" xfId="212" builtinId="8" hidden="1"/>
    <cellStyle name="ハイパーリンク" xfId="214" builtinId="8" hidden="1"/>
    <cellStyle name="ハイパーリンク" xfId="216" builtinId="8" hidden="1"/>
    <cellStyle name="ハイパーリンク" xfId="218" builtinId="8" hidden="1"/>
    <cellStyle name="ハイパーリンク" xfId="220" builtinId="8" hidden="1"/>
    <cellStyle name="ハイパーリンク" xfId="222" builtinId="8" hidden="1"/>
    <cellStyle name="ハイパーリンク" xfId="224" builtinId="8" hidden="1"/>
    <cellStyle name="ハイパーリンク" xfId="226" builtinId="8" hidden="1"/>
    <cellStyle name="ハイパーリンク" xfId="228" builtinId="8" hidden="1"/>
    <cellStyle name="ハイパーリンク" xfId="230" builtinId="8" hidden="1"/>
    <cellStyle name="ハイパーリンク" xfId="232" builtinId="8" hidden="1"/>
    <cellStyle name="ハイパーリンク" xfId="234" builtinId="8" hidden="1"/>
    <cellStyle name="ハイパーリンク" xfId="236" builtinId="8" hidden="1"/>
    <cellStyle name="ハイパーリンク" xfId="238" builtinId="8" hidden="1"/>
    <cellStyle name="ハイパーリンク" xfId="240" builtinId="8" hidden="1"/>
    <cellStyle name="ハイパーリンク" xfId="242" builtinId="8" hidden="1"/>
    <cellStyle name="ハイパーリンク" xfId="244" builtinId="8" hidden="1"/>
    <cellStyle name="ハイパーリンク" xfId="246" builtinId="8" hidden="1"/>
    <cellStyle name="ハイパーリンク" xfId="248" builtinId="8" hidden="1"/>
    <cellStyle name="ハイパーリンク" xfId="250" builtinId="8" hidden="1"/>
    <cellStyle name="ハイパーリンク" xfId="252" builtinId="8" hidden="1"/>
    <cellStyle name="ハイパーリンク" xfId="254" builtinId="8" hidden="1"/>
    <cellStyle name="ハイパーリンク" xfId="256" builtinId="8" hidden="1"/>
    <cellStyle name="ハイパーリンク" xfId="258" builtinId="8" hidden="1"/>
    <cellStyle name="ハイパーリンク" xfId="260" builtinId="8" hidden="1"/>
    <cellStyle name="ハイパーリンク" xfId="262" builtinId="8" hidden="1"/>
    <cellStyle name="ハイパーリンク" xfId="264" builtinId="8" hidden="1"/>
    <cellStyle name="ハイパーリンク" xfId="266" builtinId="8" hidden="1"/>
    <cellStyle name="ハイパーリンク" xfId="268" builtinId="8" hidden="1"/>
    <cellStyle name="ハイパーリンク" xfId="270" builtinId="8" hidden="1"/>
    <cellStyle name="ハイパーリンク" xfId="272" builtinId="8" hidden="1"/>
    <cellStyle name="ハイパーリンク" xfId="274" builtinId="8" hidden="1"/>
    <cellStyle name="ハイパーリンク" xfId="276" builtinId="8" hidden="1"/>
    <cellStyle name="ハイパーリンク" xfId="278" builtinId="8" hidden="1"/>
    <cellStyle name="ハイパーリンク" xfId="280" builtinId="8" hidden="1"/>
    <cellStyle name="ハイパーリンク" xfId="282" builtinId="8" hidden="1"/>
    <cellStyle name="ハイパーリンク" xfId="284" builtinId="8" hidden="1"/>
    <cellStyle name="ハイパーリンク" xfId="286" builtinId="8" hidden="1"/>
    <cellStyle name="ハイパーリンク" xfId="288" builtinId="8" hidden="1"/>
    <cellStyle name="ハイパーリンク" xfId="290" builtinId="8" hidden="1"/>
    <cellStyle name="ハイパーリンク" xfId="292" builtinId="8" hidden="1"/>
    <cellStyle name="ハイパーリンク" xfId="294" builtinId="8" hidden="1"/>
    <cellStyle name="ハイパーリンク" xfId="296" builtinId="8" hidden="1"/>
    <cellStyle name="ハイパーリンク" xfId="298" builtinId="8" hidden="1"/>
    <cellStyle name="ハイパーリンク" xfId="300" builtinId="8" hidden="1"/>
    <cellStyle name="ハイパーリンク" xfId="302" builtinId="8" hidden="1"/>
    <cellStyle name="ハイパーリンク" xfId="304" builtinId="8" hidden="1"/>
    <cellStyle name="ハイパーリンク" xfId="306" builtinId="8" hidden="1"/>
    <cellStyle name="ハイパーリンク" xfId="308" builtinId="8" hidden="1"/>
    <cellStyle name="ハイパーリンク" xfId="310" builtinId="8" hidden="1"/>
    <cellStyle name="ハイパーリンク" xfId="312" builtinId="8" hidden="1"/>
    <cellStyle name="ハイパーリンク" xfId="314" builtinId="8" hidden="1"/>
    <cellStyle name="ハイパーリンク" xfId="316" builtinId="8" hidden="1"/>
    <cellStyle name="ハイパーリンク" xfId="318" builtinId="8" hidden="1"/>
    <cellStyle name="ハイパーリンク" xfId="320" builtinId="8" hidden="1"/>
    <cellStyle name="ハイパーリンク" xfId="322" builtinId="8" hidden="1"/>
    <cellStyle name="ハイパーリンク" xfId="324" builtinId="8" hidden="1"/>
    <cellStyle name="ハイパーリンク" xfId="326" builtinId="8" hidden="1"/>
    <cellStyle name="ハイパーリンク" xfId="328" builtinId="8" hidden="1"/>
    <cellStyle name="ハイパーリンク" xfId="330" builtinId="8" hidden="1"/>
    <cellStyle name="ハイパーリンク" xfId="332" builtinId="8" hidden="1"/>
    <cellStyle name="ハイパーリンク" xfId="334" builtinId="8" hidden="1"/>
    <cellStyle name="ハイパーリンク" xfId="336" builtinId="8" hidden="1"/>
    <cellStyle name="ハイパーリンク" xfId="338" builtinId="8" hidden="1"/>
    <cellStyle name="ハイパーリンク" xfId="340" builtinId="8" hidden="1"/>
    <cellStyle name="ハイパーリンク" xfId="342" builtinId="8" hidden="1"/>
    <cellStyle name="ハイパーリンク" xfId="344" builtinId="8" hidden="1"/>
    <cellStyle name="ハイパーリンク" xfId="346" builtinId="8" hidden="1"/>
    <cellStyle name="ハイパーリンク" xfId="348" builtinId="8" hidden="1"/>
    <cellStyle name="ハイパーリンク" xfId="350" builtinId="8" hidden="1"/>
    <cellStyle name="ハイパーリンク" xfId="352" builtinId="8" hidden="1"/>
    <cellStyle name="ハイパーリンク" xfId="354" builtinId="8" hidden="1"/>
    <cellStyle name="ハイパーリンク" xfId="356" builtinId="8" hidden="1"/>
    <cellStyle name="ハイパーリンク" xfId="358" builtinId="8" hidden="1"/>
    <cellStyle name="ハイパーリンク" xfId="360" builtinId="8" hidden="1"/>
    <cellStyle name="ハイパーリンク" xfId="362" builtinId="8" hidden="1"/>
    <cellStyle name="ハイパーリンク" xfId="364" builtinId="8" hidden="1"/>
    <cellStyle name="ハイパーリンク" xfId="366" builtinId="8" hidden="1"/>
    <cellStyle name="ハイパーリンク" xfId="368" builtinId="8" hidden="1"/>
    <cellStyle name="ハイパーリンク" xfId="370" builtinId="8" hidden="1"/>
    <cellStyle name="ハイパーリンク" xfId="372" builtinId="8" hidden="1"/>
    <cellStyle name="ハイパーリンク" xfId="374" builtinId="8" hidden="1"/>
    <cellStyle name="ハイパーリンク" xfId="376" builtinId="8" hidden="1"/>
    <cellStyle name="ハイパーリンク" xfId="378" builtinId="8" hidden="1"/>
    <cellStyle name="ハイパーリンク" xfId="380" builtinId="8" hidden="1"/>
    <cellStyle name="ハイパーリンク" xfId="382" builtinId="8" hidden="1"/>
    <cellStyle name="ハイパーリンク" xfId="384" builtinId="8" hidden="1"/>
    <cellStyle name="ハイパーリンク" xfId="386" builtinId="8" hidden="1"/>
    <cellStyle name="ハイパーリンク" xfId="388" builtinId="8" hidden="1"/>
    <cellStyle name="ハイパーリンク" xfId="390" builtinId="8" hidden="1"/>
    <cellStyle name="ハイパーリンク" xfId="392" builtinId="8" hidden="1"/>
    <cellStyle name="ハイパーリンク" xfId="394" builtinId="8" hidden="1"/>
    <cellStyle name="ハイパーリンク" xfId="396" builtinId="8" hidden="1"/>
    <cellStyle name="ハイパーリンク" xfId="398" builtinId="8" hidden="1"/>
    <cellStyle name="ハイパーリンク" xfId="400" builtinId="8" hidden="1"/>
    <cellStyle name="ハイパーリンク" xfId="402" builtinId="8" hidden="1"/>
    <cellStyle name="ハイパーリンク" xfId="404" builtinId="8" hidden="1"/>
    <cellStyle name="ハイパーリンク" xfId="406" builtinId="8" hidden="1"/>
    <cellStyle name="ハイパーリンク" xfId="408" builtinId="8" hidden="1"/>
    <cellStyle name="ハイパーリンク" xfId="410" builtinId="8" hidden="1"/>
    <cellStyle name="ハイパーリンク" xfId="412" builtinId="8" hidden="1"/>
    <cellStyle name="ハイパーリンク" xfId="414" builtinId="8" hidden="1"/>
    <cellStyle name="ハイパーリンク" xfId="416" builtinId="8" hidden="1"/>
    <cellStyle name="ハイパーリンク" xfId="418" builtinId="8" hidden="1"/>
    <cellStyle name="ハイパーリンク" xfId="420" builtinId="8" hidden="1"/>
    <cellStyle name="ハイパーリンク" xfId="422" builtinId="8" hidden="1"/>
    <cellStyle name="ハイパーリンク" xfId="424" builtinId="8" hidden="1"/>
    <cellStyle name="ハイパーリンク" xfId="426" builtinId="8" hidden="1"/>
    <cellStyle name="ハイパーリンク" xfId="428" builtinId="8" hidden="1"/>
    <cellStyle name="ハイパーリンク" xfId="430" builtinId="8" hidden="1"/>
    <cellStyle name="ハイパーリンク" xfId="432" builtinId="8" hidden="1"/>
    <cellStyle name="ハイパーリンク" xfId="434" builtinId="8" hidden="1"/>
    <cellStyle name="ハイパーリンク" xfId="436" builtinId="8" hidden="1"/>
    <cellStyle name="ハイパーリンク" xfId="438" builtinId="8" hidden="1"/>
    <cellStyle name="ハイパーリンク" xfId="440" builtinId="8" hidden="1"/>
    <cellStyle name="ハイパーリンク" xfId="442" builtinId="8" hidden="1"/>
    <cellStyle name="ハイパーリンク" xfId="444" builtinId="8" hidden="1"/>
    <cellStyle name="ハイパーリンク" xfId="446" builtinId="8" hidden="1"/>
    <cellStyle name="ハイパーリンク" xfId="448" builtinId="8" hidden="1"/>
    <cellStyle name="ハイパーリンク" xfId="450" builtinId="8" hidden="1"/>
    <cellStyle name="ハイパーリンク" xfId="452" builtinId="8" hidden="1"/>
    <cellStyle name="ハイパーリンク" xfId="454" builtinId="8" hidden="1"/>
    <cellStyle name="ハイパーリンク" xfId="456" builtinId="8" hidden="1"/>
    <cellStyle name="ハイパーリンク" xfId="458" builtinId="8" hidden="1"/>
    <cellStyle name="ハイパーリンク" xfId="460" builtinId="8" hidden="1"/>
    <cellStyle name="ハイパーリンク" xfId="462" builtinId="8" hidden="1"/>
    <cellStyle name="ハイパーリンク" xfId="464" builtinId="8" hidden="1"/>
    <cellStyle name="ハイパーリンク" xfId="466" builtinId="8" hidden="1"/>
    <cellStyle name="ハイパーリンク" xfId="468" builtinId="8" hidden="1"/>
    <cellStyle name="ハイパーリンク" xfId="470" builtinId="8" hidden="1"/>
    <cellStyle name="ハイパーリンク" xfId="472" builtinId="8" hidden="1"/>
    <cellStyle name="ハイパーリンク" xfId="474" builtinId="8" hidden="1"/>
    <cellStyle name="ハイパーリンク" xfId="476" builtinId="8" hidden="1"/>
    <cellStyle name="ハイパーリンク" xfId="478" builtinId="8" hidden="1"/>
    <cellStyle name="ハイパーリンク" xfId="480" builtinId="8" hidden="1"/>
    <cellStyle name="ハイパーリンク" xfId="482" builtinId="8" hidden="1"/>
    <cellStyle name="ハイパーリンク" xfId="484" builtinId="8" hidden="1"/>
    <cellStyle name="ハイパーリンク" xfId="486" builtinId="8" hidden="1"/>
    <cellStyle name="ハイパーリンク" xfId="488" builtinId="8" hidden="1"/>
    <cellStyle name="ハイパーリンク" xfId="490" builtinId="8" hidden="1"/>
    <cellStyle name="ハイパーリンク" xfId="492" builtinId="8" hidden="1"/>
    <cellStyle name="ハイパーリンク" xfId="494" builtinId="8" hidden="1"/>
    <cellStyle name="ハイパーリンク" xfId="496" builtinId="8" hidden="1"/>
    <cellStyle name="ハイパーリンク" xfId="498" builtinId="8" hidden="1"/>
    <cellStyle name="ハイパーリンク" xfId="500" builtinId="8" hidden="1"/>
    <cellStyle name="ハイパーリンク" xfId="502" builtinId="8" hidden="1"/>
    <cellStyle name="ハイパーリンク" xfId="504" builtinId="8" hidden="1"/>
    <cellStyle name="ハイパーリンク" xfId="506" builtinId="8" hidden="1"/>
    <cellStyle name="ハイパーリンク" xfId="508" builtinId="8" hidden="1"/>
    <cellStyle name="ハイパーリンク" xfId="510" builtinId="8" hidden="1"/>
    <cellStyle name="ハイパーリンク" xfId="512" builtinId="8" hidden="1"/>
    <cellStyle name="ハイパーリンク" xfId="514" builtinId="8" hidden="1"/>
    <cellStyle name="ハイパーリンク" xfId="516" builtinId="8" hidden="1"/>
    <cellStyle name="ハイパーリンク" xfId="518" builtinId="8" hidden="1"/>
    <cellStyle name="ハイパーリンク" xfId="520" builtinId="8" hidden="1"/>
    <cellStyle name="ハイパーリンク" xfId="522" builtinId="8" hidden="1"/>
    <cellStyle name="ハイパーリンク" xfId="524" builtinId="8" hidden="1"/>
    <cellStyle name="ハイパーリンク" xfId="526" builtinId="8" hidden="1"/>
    <cellStyle name="ハイパーリンク" xfId="528" builtinId="8" hidden="1"/>
    <cellStyle name="ハイパーリンク" xfId="530" builtinId="8" hidden="1"/>
    <cellStyle name="ハイパーリンク" xfId="532" builtinId="8" hidden="1"/>
    <cellStyle name="ハイパーリンク" xfId="534" builtinId="8" hidden="1"/>
    <cellStyle name="ハイパーリンク" xfId="536" builtinId="8" hidden="1"/>
    <cellStyle name="ハイパーリンク" xfId="538" builtinId="8" hidden="1"/>
    <cellStyle name="ハイパーリンク" xfId="540" builtinId="8" hidden="1"/>
    <cellStyle name="ハイパーリンク" xfId="542" builtinId="8" hidden="1"/>
    <cellStyle name="ハイパーリンク" xfId="544" builtinId="8" hidden="1"/>
    <cellStyle name="ハイパーリンク" xfId="546" builtinId="8" hidden="1"/>
    <cellStyle name="ハイパーリンク" xfId="548" builtinId="8" hidden="1"/>
    <cellStyle name="ハイパーリンク" xfId="550" builtinId="8" hidden="1"/>
    <cellStyle name="ハイパーリンク" xfId="552" builtinId="8" hidden="1"/>
    <cellStyle name="ハイパーリンク" xfId="554" builtinId="8" hidden="1"/>
    <cellStyle name="ハイパーリンク" xfId="556" builtinId="8" hidden="1"/>
    <cellStyle name="ハイパーリンク" xfId="558" builtinId="8" hidden="1"/>
    <cellStyle name="ハイパーリンク" xfId="560" builtinId="8" hidden="1"/>
    <cellStyle name="ハイパーリンク" xfId="562" builtinId="8" hidden="1"/>
    <cellStyle name="ハイパーリンク" xfId="564" builtinId="8" hidden="1"/>
    <cellStyle name="ハイパーリンク" xfId="566" builtinId="8" hidden="1"/>
    <cellStyle name="ハイパーリンク" xfId="568" builtinId="8" hidden="1"/>
    <cellStyle name="ハイパーリンク" xfId="570" builtinId="8" hidden="1"/>
    <cellStyle name="ハイパーリンク" xfId="572" builtinId="8" hidden="1"/>
    <cellStyle name="ハイパーリンク" xfId="574" builtinId="8" hidden="1"/>
    <cellStyle name="ハイパーリンク" xfId="576" builtinId="8" hidden="1"/>
    <cellStyle name="ハイパーリンク" xfId="578" builtinId="8" hidden="1"/>
    <cellStyle name="ハイパーリンク" xfId="580" builtinId="8" hidden="1"/>
    <cellStyle name="ハイパーリンク" xfId="582" builtinId="8" hidden="1"/>
    <cellStyle name="ハイパーリンク" xfId="584" builtinId="8" hidden="1"/>
    <cellStyle name="ハイパーリンク" xfId="586" builtinId="8" hidden="1"/>
    <cellStyle name="ハイパーリンク" xfId="588" builtinId="8" hidden="1"/>
    <cellStyle name="ハイパーリンク" xfId="590" builtinId="8" hidden="1"/>
    <cellStyle name="ハイパーリンク" xfId="592" builtinId="8" hidden="1"/>
    <cellStyle name="ハイパーリンク" xfId="594" builtinId="8" hidden="1"/>
    <cellStyle name="ハイパーリンク" xfId="596" builtinId="8" hidden="1"/>
    <cellStyle name="ハイパーリンク" xfId="598" builtinId="8" hidden="1"/>
    <cellStyle name="ハイパーリンク" xfId="600" builtinId="8" hidden="1"/>
    <cellStyle name="ハイパーリンク" xfId="602" builtinId="8" hidden="1"/>
    <cellStyle name="ハイパーリンク" xfId="604" builtinId="8" hidden="1"/>
    <cellStyle name="ハイパーリンク" xfId="606" builtinId="8" hidden="1"/>
    <cellStyle name="ハイパーリンク" xfId="608" builtinId="8" hidden="1"/>
    <cellStyle name="ハイパーリンク" xfId="610" builtinId="8" hidden="1"/>
    <cellStyle name="ハイパーリンク" xfId="612" builtinId="8" hidden="1"/>
    <cellStyle name="ハイパーリンク" xfId="614" builtinId="8" hidden="1"/>
    <cellStyle name="ハイパーリンク" xfId="616" builtinId="8" hidden="1"/>
    <cellStyle name="ハイパーリンク" xfId="618" builtinId="8" hidden="1"/>
    <cellStyle name="ハイパーリンク" xfId="620" builtinId="8" hidden="1"/>
    <cellStyle name="ハイパーリンク" xfId="622" builtinId="8" hidden="1"/>
    <cellStyle name="ハイパーリンク" xfId="624" builtinId="8" hidden="1"/>
    <cellStyle name="ハイパーリンク" xfId="626" builtinId="8" hidden="1"/>
    <cellStyle name="ハイパーリンク" xfId="628" builtinId="8" hidden="1"/>
    <cellStyle name="ハイパーリンク" xfId="630" builtinId="8" hidden="1"/>
    <cellStyle name="ハイパーリンク" xfId="632" builtinId="8" hidden="1"/>
    <cellStyle name="ハイパーリンク" xfId="634" builtinId="8" hidden="1"/>
    <cellStyle name="ハイパーリンク" xfId="636" builtinId="8" hidden="1"/>
    <cellStyle name="ハイパーリンク" xfId="638" builtinId="8" hidden="1"/>
    <cellStyle name="ハイパーリンク" xfId="640" builtinId="8" hidden="1"/>
    <cellStyle name="ハイパーリンク" xfId="642" builtinId="8" hidden="1"/>
    <cellStyle name="ハイパーリンク" xfId="644" builtinId="8" hidden="1"/>
    <cellStyle name="ハイパーリンク" xfId="646" builtinId="8" hidden="1"/>
    <cellStyle name="ハイパーリンク" xfId="648" builtinId="8" hidden="1"/>
    <cellStyle name="ハイパーリンク" xfId="650" builtinId="8" hidden="1"/>
    <cellStyle name="ハイパーリンク" xfId="652" builtinId="8" hidden="1"/>
    <cellStyle name="ハイパーリンク" xfId="654" builtinId="8" hidden="1"/>
    <cellStyle name="ハイパーリンク" xfId="656" builtinId="8" hidden="1"/>
    <cellStyle name="ハイパーリンク" xfId="658" builtinId="8" hidden="1"/>
    <cellStyle name="ハイパーリンク" xfId="660" builtinId="8" hidden="1"/>
    <cellStyle name="ハイパーリンク" xfId="662" builtinId="8" hidden="1"/>
    <cellStyle name="ハイパーリンク" xfId="664" builtinId="8" hidden="1"/>
    <cellStyle name="ハイパーリンク" xfId="666" builtinId="8" hidden="1"/>
    <cellStyle name="ハイパーリンク" xfId="668" builtinId="8" hidden="1"/>
    <cellStyle name="ハイパーリンク" xfId="670" builtinId="8" hidden="1"/>
    <cellStyle name="ハイパーリンク" xfId="672" builtinId="8" hidden="1"/>
    <cellStyle name="ハイパーリンク" xfId="674" builtinId="8" hidden="1"/>
    <cellStyle name="ハイパーリンク" xfId="676" builtinId="8" hidden="1"/>
    <cellStyle name="ハイパーリンク" xfId="678" builtinId="8" hidden="1"/>
    <cellStyle name="ハイパーリンク" xfId="680" builtinId="8" hidden="1"/>
    <cellStyle name="ハイパーリンク" xfId="682" builtinId="8" hidden="1"/>
    <cellStyle name="ハイパーリンク" xfId="684" builtinId="8" hidden="1"/>
    <cellStyle name="ハイパーリンク" xfId="686" builtinId="8" hidden="1"/>
    <cellStyle name="ハイパーリンク" xfId="688" builtinId="8" hidden="1"/>
    <cellStyle name="ハイパーリンク" xfId="690" builtinId="8" hidden="1"/>
    <cellStyle name="ハイパーリンク" xfId="692" builtinId="8" hidden="1"/>
    <cellStyle name="ハイパーリンク" xfId="694" builtinId="8" hidden="1"/>
    <cellStyle name="ハイパーリンク" xfId="696" builtinId="8" hidden="1"/>
    <cellStyle name="ハイパーリンク" xfId="698" builtinId="8" hidden="1"/>
    <cellStyle name="ハイパーリンク" xfId="700" builtinId="8" hidden="1"/>
    <cellStyle name="ハイパーリンク" xfId="702" builtinId="8" hidden="1"/>
    <cellStyle name="ハイパーリンク" xfId="704" builtinId="8" hidden="1"/>
    <cellStyle name="ハイパーリンク" xfId="706" builtinId="8" hidden="1"/>
    <cellStyle name="ハイパーリンク" xfId="708" builtinId="8" hidden="1"/>
    <cellStyle name="ハイパーリンク" xfId="710" builtinId="8" hidden="1"/>
    <cellStyle name="ハイパーリンク" xfId="712" builtinId="8" hidden="1"/>
    <cellStyle name="ハイパーリンク" xfId="714" builtinId="8" hidden="1"/>
    <cellStyle name="ハイパーリンク" xfId="716" builtinId="8" hidden="1"/>
    <cellStyle name="ハイパーリンク" xfId="718" builtinId="8" hidden="1"/>
    <cellStyle name="ハイパーリンク" xfId="720" builtinId="8" hidden="1"/>
    <cellStyle name="ハイパーリンク" xfId="722" builtinId="8" hidden="1"/>
    <cellStyle name="ハイパーリンク" xfId="724" builtinId="8" hidden="1"/>
    <cellStyle name="ハイパーリンク" xfId="726" builtinId="8" hidden="1"/>
    <cellStyle name="ハイパーリンク" xfId="728" builtinId="8" hidden="1"/>
    <cellStyle name="ハイパーリンク" xfId="730" builtinId="8" hidden="1"/>
    <cellStyle name="ハイパーリンク" xfId="732" builtinId="8" hidden="1"/>
    <cellStyle name="ハイパーリンク" xfId="734" builtinId="8" hidden="1"/>
    <cellStyle name="ハイパーリンク" xfId="736" builtinId="8" hidden="1"/>
    <cellStyle name="ハイパーリンク" xfId="738" builtinId="8" hidden="1"/>
    <cellStyle name="ハイパーリンク" xfId="740" builtinId="8" hidden="1"/>
    <cellStyle name="ハイパーリンク" xfId="742" builtinId="8" hidden="1"/>
    <cellStyle name="ハイパーリンク" xfId="744" builtinId="8" hidden="1"/>
    <cellStyle name="ハイパーリンク" xfId="746" builtinId="8" hidden="1"/>
    <cellStyle name="ハイパーリンク" xfId="748" builtinId="8" hidden="1"/>
    <cellStyle name="ハイパーリンク" xfId="750" builtinId="8" hidden="1"/>
    <cellStyle name="ハイパーリンク" xfId="752" builtinId="8" hidden="1"/>
    <cellStyle name="ハイパーリンク" xfId="754" builtinId="8" hidden="1"/>
    <cellStyle name="ハイパーリンク" xfId="756" builtinId="8" hidden="1"/>
    <cellStyle name="ハイパーリンク" xfId="758" builtinId="8" hidden="1"/>
    <cellStyle name="ハイパーリンク" xfId="760" builtinId="8" hidden="1"/>
    <cellStyle name="ハイパーリンク" xfId="762" builtinId="8" hidden="1"/>
    <cellStyle name="ハイパーリンク" xfId="764" builtinId="8" hidden="1"/>
    <cellStyle name="ハイパーリンク" xfId="766" builtinId="8" hidden="1"/>
    <cellStyle name="ハイパーリンク" xfId="768" builtinId="8" hidden="1"/>
    <cellStyle name="ハイパーリンク" xfId="770" builtinId="8" hidden="1"/>
    <cellStyle name="ハイパーリンク" xfId="772" builtinId="8" hidden="1"/>
    <cellStyle name="ハイパーリンク" xfId="774" builtinId="8" hidden="1"/>
    <cellStyle name="ハイパーリンク" xfId="776" builtinId="8" hidden="1"/>
    <cellStyle name="ハイパーリンク" xfId="778" builtinId="8" hidden="1"/>
    <cellStyle name="ハイパーリンク" xfId="780" builtinId="8" hidden="1"/>
    <cellStyle name="ハイパーリンク" xfId="782" builtinId="8" hidden="1"/>
    <cellStyle name="ハイパーリンク" xfId="784" builtinId="8" hidden="1"/>
    <cellStyle name="ハイパーリンク" xfId="786" builtinId="8" hidden="1"/>
    <cellStyle name="ハイパーリンク" xfId="788" builtinId="8" hidden="1"/>
    <cellStyle name="ハイパーリンク" xfId="790" builtinId="8" hidden="1"/>
    <cellStyle name="ハイパーリンク" xfId="792" builtinId="8" hidden="1"/>
    <cellStyle name="ハイパーリンク" xfId="794" builtinId="8" hidden="1"/>
    <cellStyle name="ハイパーリンク" xfId="796" builtinId="8" hidden="1"/>
    <cellStyle name="ハイパーリンク" xfId="798" builtinId="8" hidden="1"/>
    <cellStyle name="ハイパーリンク" xfId="800" builtinId="8" hidden="1"/>
    <cellStyle name="ハイパーリンク" xfId="802" builtinId="8" hidden="1"/>
    <cellStyle name="ハイパーリンク" xfId="804" builtinId="8" hidden="1"/>
    <cellStyle name="ハイパーリンク" xfId="806" builtinId="8" hidden="1"/>
    <cellStyle name="ハイパーリンク" xfId="808" builtinId="8" hidden="1"/>
    <cellStyle name="ハイパーリンク" xfId="810" builtinId="8" hidden="1"/>
    <cellStyle name="ハイパーリンク" xfId="812" builtinId="8" hidden="1"/>
    <cellStyle name="ハイパーリンク" xfId="814" builtinId="8" hidden="1"/>
    <cellStyle name="ハイパーリンク" xfId="816" builtinId="8" hidden="1"/>
    <cellStyle name="ハイパーリンク" xfId="818" builtinId="8" hidden="1"/>
    <cellStyle name="ハイパーリンク" xfId="820" builtinId="8" hidden="1"/>
    <cellStyle name="ハイパーリンク" xfId="822" builtinId="8" hidden="1"/>
    <cellStyle name="ハイパーリンク" xfId="824" builtinId="8" hidden="1"/>
    <cellStyle name="ハイパーリンク" xfId="826" builtinId="8" hidden="1"/>
    <cellStyle name="ハイパーリンク" xfId="828" builtinId="8" hidden="1"/>
    <cellStyle name="ハイパーリンク" xfId="830" builtinId="8" hidden="1"/>
    <cellStyle name="ハイパーリンク" xfId="832" builtinId="8" hidden="1"/>
    <cellStyle name="ハイパーリンク" xfId="834" builtinId="8" hidden="1"/>
    <cellStyle name="ハイパーリンク" xfId="836" builtinId="8" hidden="1"/>
    <cellStyle name="ハイパーリンク" xfId="838" builtinId="8" hidden="1"/>
    <cellStyle name="ハイパーリンク" xfId="840" builtinId="8" hidden="1"/>
    <cellStyle name="ハイパーリンク" xfId="842" builtinId="8" hidden="1"/>
    <cellStyle name="ハイパーリンク" xfId="844" builtinId="8" hidden="1"/>
    <cellStyle name="ハイパーリンク" xfId="846" builtinId="8" hidden="1"/>
    <cellStyle name="ハイパーリンク" xfId="848" builtinId="8" hidden="1"/>
    <cellStyle name="ハイパーリンク" xfId="850" builtinId="8" hidden="1"/>
    <cellStyle name="ハイパーリンク" xfId="852" builtinId="8" hidden="1"/>
    <cellStyle name="ハイパーリンク" xfId="854" builtinId="8" hidden="1"/>
    <cellStyle name="ハイパーリンク" xfId="856" builtinId="8" hidden="1"/>
    <cellStyle name="ハイパーリンク" xfId="858" builtinId="8" hidden="1"/>
    <cellStyle name="ハイパーリンク" xfId="860" builtinId="8" hidden="1"/>
    <cellStyle name="ハイパーリンク" xfId="862" builtinId="8" hidden="1"/>
    <cellStyle name="ハイパーリンク" xfId="864" builtinId="8" hidden="1"/>
    <cellStyle name="ハイパーリンク" xfId="866" builtinId="8" hidden="1"/>
    <cellStyle name="ハイパーリンク" xfId="868" builtinId="8" hidden="1"/>
    <cellStyle name="ハイパーリンク" xfId="870" builtinId="8" hidden="1"/>
    <cellStyle name="ハイパーリンク" xfId="872" builtinId="8" hidden="1"/>
    <cellStyle name="ハイパーリンク" xfId="874" builtinId="8" hidden="1"/>
    <cellStyle name="ハイパーリンク" xfId="876" builtinId="8" hidden="1"/>
    <cellStyle name="ハイパーリンク" xfId="878" builtinId="8" hidden="1"/>
    <cellStyle name="ハイパーリンク" xfId="880" builtinId="8" hidden="1"/>
    <cellStyle name="ハイパーリンク" xfId="882" builtinId="8" hidden="1"/>
    <cellStyle name="ハイパーリンク" xfId="884" builtinId="8" hidden="1"/>
    <cellStyle name="ハイパーリンク" xfId="886" builtinId="8" hidden="1"/>
    <cellStyle name="ハイパーリンク" xfId="888" builtinId="8" hidden="1"/>
    <cellStyle name="ハイパーリンク" xfId="890" builtinId="8" hidden="1"/>
    <cellStyle name="ハイパーリンク" xfId="892" builtinId="8" hidden="1"/>
    <cellStyle name="ハイパーリンク" xfId="894" builtinId="8" hidden="1"/>
    <cellStyle name="ハイパーリンク" xfId="896" builtinId="8" hidden="1"/>
    <cellStyle name="ハイパーリンク" xfId="898" builtinId="8" hidden="1"/>
    <cellStyle name="ハイパーリンク" xfId="900" builtinId="8" hidden="1"/>
    <cellStyle name="ハイパーリンク" xfId="902" builtinId="8" hidden="1"/>
    <cellStyle name="ハイパーリンク" xfId="904" builtinId="8" hidden="1"/>
    <cellStyle name="ハイパーリンク" xfId="906" builtinId="8" hidden="1"/>
    <cellStyle name="ハイパーリンク" xfId="908" builtinId="8" hidden="1"/>
    <cellStyle name="ハイパーリンク" xfId="910" builtinId="8" hidden="1"/>
    <cellStyle name="ハイパーリンク" xfId="912" builtinId="8" hidden="1"/>
    <cellStyle name="ハイパーリンク" xfId="914" builtinId="8" hidden="1"/>
    <cellStyle name="ハイパーリンク" xfId="916" builtinId="8" hidden="1"/>
    <cellStyle name="ハイパーリンク" xfId="918" builtinId="8" hidden="1"/>
    <cellStyle name="ハイパーリンク" xfId="920" builtinId="8" hidden="1"/>
    <cellStyle name="ハイパーリンク" xfId="922" builtinId="8" hidden="1"/>
    <cellStyle name="ハイパーリンク" xfId="924" builtinId="8" hidden="1"/>
    <cellStyle name="ハイパーリンク" xfId="926" builtinId="8" hidden="1"/>
    <cellStyle name="ハイパーリンク" xfId="928" builtinId="8" hidden="1"/>
    <cellStyle name="ハイパーリンク" xfId="930" builtinId="8" hidden="1"/>
    <cellStyle name="ハイパーリンク" xfId="932" builtinId="8" hidden="1"/>
    <cellStyle name="ハイパーリンク" xfId="934" builtinId="8" hidden="1"/>
    <cellStyle name="ハイパーリンク" xfId="936" builtinId="8" hidden="1"/>
    <cellStyle name="ハイパーリンク" xfId="938" builtinId="8" hidden="1"/>
    <cellStyle name="ハイパーリンク" xfId="940" builtinId="8" hidden="1"/>
    <cellStyle name="ハイパーリンク" xfId="942" builtinId="8" hidden="1"/>
    <cellStyle name="ハイパーリンク" xfId="944" builtinId="8" hidden="1"/>
    <cellStyle name="ハイパーリンク" xfId="946" builtinId="8" hidden="1"/>
    <cellStyle name="ハイパーリンク" xfId="948" builtinId="8" hidden="1"/>
    <cellStyle name="ハイパーリンク" xfId="950" builtinId="8" hidden="1"/>
    <cellStyle name="ハイパーリンク" xfId="952" builtinId="8" hidden="1"/>
    <cellStyle name="ハイパーリンク" xfId="954" builtinId="8" hidden="1"/>
    <cellStyle name="ハイパーリンク" xfId="956" builtinId="8" hidden="1"/>
    <cellStyle name="ハイパーリンク" xfId="958" builtinId="8" hidden="1"/>
    <cellStyle name="ハイパーリンク" xfId="960" builtinId="8" hidden="1"/>
    <cellStyle name="ハイパーリンク" xfId="962" builtinId="8" hidden="1"/>
    <cellStyle name="ハイパーリンク" xfId="964" builtinId="8" hidden="1"/>
    <cellStyle name="ハイパーリンク" xfId="966" builtinId="8" hidden="1"/>
    <cellStyle name="ハイパーリンク" xfId="968" builtinId="8" hidden="1"/>
    <cellStyle name="ハイパーリンク" xfId="970" builtinId="8" hidden="1"/>
    <cellStyle name="ハイパーリンク" xfId="972" builtinId="8" hidden="1"/>
    <cellStyle name="ハイパーリンク" xfId="974" builtinId="8" hidden="1"/>
    <cellStyle name="ハイパーリンク" xfId="976" builtinId="8" hidden="1"/>
    <cellStyle name="ハイパーリンク" xfId="978" builtinId="8" hidden="1"/>
    <cellStyle name="ハイパーリンク" xfId="980" builtinId="8" hidden="1"/>
    <cellStyle name="ハイパーリンク" xfId="982" builtinId="8" hidden="1"/>
    <cellStyle name="ハイパーリンク" xfId="984" builtinId="8" hidden="1"/>
    <cellStyle name="ハイパーリンク" xfId="986" builtinId="8" hidden="1"/>
    <cellStyle name="ハイパーリンク" xfId="988" builtinId="8" hidden="1"/>
    <cellStyle name="ハイパーリンク" xfId="990" builtinId="8" hidden="1"/>
    <cellStyle name="ハイパーリンク" xfId="992" builtinId="8" hidden="1"/>
    <cellStyle name="ハイパーリンク" xfId="994" builtinId="8" hidden="1"/>
    <cellStyle name="ハイパーリンク" xfId="996" builtinId="8" hidden="1"/>
    <cellStyle name="ハイパーリンク" xfId="998" builtinId="8" hidden="1"/>
    <cellStyle name="ハイパーリンク" xfId="1000" builtinId="8" hidden="1"/>
    <cellStyle name="ハイパーリンク" xfId="1002" builtinId="8" hidden="1"/>
    <cellStyle name="ハイパーリンク" xfId="1004" builtinId="8" hidden="1"/>
    <cellStyle name="ハイパーリンク" xfId="1006" builtinId="8" hidden="1"/>
    <cellStyle name="ハイパーリンク" xfId="1008" builtinId="8" hidden="1"/>
    <cellStyle name="ハイパーリンク" xfId="1010" builtinId="8" hidden="1"/>
    <cellStyle name="ハイパーリンク" xfId="1012" builtinId="8" hidden="1"/>
    <cellStyle name="ハイパーリンク" xfId="1014" builtinId="8" hidden="1"/>
    <cellStyle name="ハイパーリンク" xfId="1016" builtinId="8" hidden="1"/>
    <cellStyle name="ハイパーリンク" xfId="1018" builtinId="8" hidden="1"/>
    <cellStyle name="ハイパーリンク" xfId="1020" builtinId="8" hidden="1"/>
    <cellStyle name="ハイパーリンク" xfId="1022" builtinId="8" hidden="1"/>
    <cellStyle name="ハイパーリンク" xfId="1024" builtinId="8" hidden="1"/>
    <cellStyle name="ハイパーリンク" xfId="1026" builtinId="8" hidden="1"/>
    <cellStyle name="ハイパーリンク" xfId="1028" builtinId="8" hidden="1"/>
    <cellStyle name="ハイパーリンク" xfId="1030" builtinId="8" hidden="1"/>
    <cellStyle name="ハイパーリンク" xfId="1032" builtinId="8" hidden="1"/>
    <cellStyle name="ハイパーリンク" xfId="1034" builtinId="8" hidden="1"/>
    <cellStyle name="ハイパーリンク" xfId="1036" builtinId="8" hidden="1"/>
    <cellStyle name="ハイパーリンク" xfId="1038" builtinId="8" hidden="1"/>
    <cellStyle name="ハイパーリンク" xfId="1040" builtinId="8" hidden="1"/>
    <cellStyle name="ハイパーリンク" xfId="1042" builtinId="8" hidden="1"/>
    <cellStyle name="ハイパーリンク" xfId="1044" builtinId="8" hidden="1"/>
    <cellStyle name="ハイパーリンク" xfId="1046" builtinId="8" hidden="1"/>
    <cellStyle name="ハイパーリンク" xfId="1048" builtinId="8" hidden="1"/>
    <cellStyle name="ハイパーリンク" xfId="1050" builtinId="8" hidden="1"/>
    <cellStyle name="ハイパーリンク" xfId="1052" builtinId="8" hidden="1"/>
    <cellStyle name="ハイパーリンク" xfId="1054" builtinId="8" hidden="1"/>
    <cellStyle name="ハイパーリンク" xfId="1056" builtinId="8" hidden="1"/>
    <cellStyle name="ハイパーリンク" xfId="1058" builtinId="8" hidden="1"/>
    <cellStyle name="ハイパーリンク" xfId="1060" builtinId="8" hidden="1"/>
    <cellStyle name="ハイパーリンク" xfId="1062" builtinId="8" hidden="1"/>
    <cellStyle name="ハイパーリンク" xfId="1064" builtinId="8" hidden="1"/>
    <cellStyle name="ハイパーリンク" xfId="1066" builtinId="8" hidden="1"/>
    <cellStyle name="ハイパーリンク" xfId="1068" builtinId="8" hidden="1"/>
    <cellStyle name="ハイパーリンク" xfId="1070" builtinId="8" hidden="1"/>
    <cellStyle name="ハイパーリンク" xfId="1072" builtinId="8" hidden="1"/>
    <cellStyle name="ハイパーリンク" xfId="1074" builtinId="8" hidden="1"/>
    <cellStyle name="ハイパーリンク" xfId="1076" builtinId="8" hidden="1"/>
    <cellStyle name="ハイパーリンク" xfId="1078" builtinId="8" hidden="1"/>
    <cellStyle name="ハイパーリンク" xfId="1080" builtinId="8" hidden="1"/>
    <cellStyle name="ハイパーリンク" xfId="1082" builtinId="8" hidden="1"/>
    <cellStyle name="ハイパーリンク" xfId="1084" builtinId="8" hidden="1"/>
    <cellStyle name="ハイパーリンク" xfId="1086" builtinId="8" hidden="1"/>
    <cellStyle name="ハイパーリンク" xfId="1088" builtinId="8" hidden="1"/>
    <cellStyle name="ハイパーリンク" xfId="1090" builtinId="8" hidden="1"/>
    <cellStyle name="ハイパーリンク" xfId="1092" builtinId="8" hidden="1"/>
    <cellStyle name="ハイパーリンク" xfId="1094" builtinId="8" hidden="1"/>
    <cellStyle name="ハイパーリンク" xfId="1096" builtinId="8" hidden="1"/>
    <cellStyle name="ハイパーリンク" xfId="1098" builtinId="8" hidden="1"/>
    <cellStyle name="ハイパーリンク" xfId="1100" builtinId="8" hidden="1"/>
    <cellStyle name="ハイパーリンク" xfId="1102" builtinId="8" hidden="1"/>
    <cellStyle name="ハイパーリンク" xfId="1104" builtinId="8" hidden="1"/>
    <cellStyle name="ハイパーリンク" xfId="1106" builtinId="8" hidden="1"/>
    <cellStyle name="ハイパーリンク" xfId="1108" builtinId="8" hidden="1"/>
    <cellStyle name="ハイパーリンク" xfId="1110" builtinId="8" hidden="1"/>
    <cellStyle name="ハイパーリンク" xfId="1112" builtinId="8" hidden="1"/>
    <cellStyle name="ハイパーリンク" xfId="1114" builtinId="8" hidden="1"/>
    <cellStyle name="ハイパーリンク" xfId="1116" builtinId="8" hidden="1"/>
    <cellStyle name="ハイパーリンク" xfId="1118" builtinId="8" hidden="1"/>
    <cellStyle name="ハイパーリンク" xfId="1120" builtinId="8" hidden="1"/>
    <cellStyle name="ハイパーリンク" xfId="1122" builtinId="8" hidden="1"/>
    <cellStyle name="ハイパーリンク" xfId="1124" builtinId="8" hidden="1"/>
    <cellStyle name="ハイパーリンク" xfId="1126" builtinId="8" hidden="1"/>
    <cellStyle name="ハイパーリンク" xfId="1128" builtinId="8" hidden="1"/>
    <cellStyle name="ハイパーリンク" xfId="1130" builtinId="8" hidden="1"/>
    <cellStyle name="ハイパーリンク" xfId="1132" builtinId="8" hidden="1"/>
    <cellStyle name="ハイパーリンク" xfId="1134" builtinId="8" hidden="1"/>
    <cellStyle name="ハイパーリンク" xfId="1136" builtinId="8" hidden="1"/>
    <cellStyle name="ハイパーリンク" xfId="1138" builtinId="8" hidden="1"/>
    <cellStyle name="ハイパーリンク" xfId="1140" builtinId="8" hidden="1"/>
    <cellStyle name="ハイパーリンク" xfId="1142" builtinId="8" hidden="1"/>
    <cellStyle name="ハイパーリンク" xfId="1144" builtinId="8" hidden="1"/>
    <cellStyle name="ハイパーリンク" xfId="1146" builtinId="8" hidden="1"/>
    <cellStyle name="ハイパーリンク" xfId="1148" builtinId="8" hidden="1"/>
    <cellStyle name="ハイパーリンク" xfId="1150" builtinId="8" hidden="1"/>
    <cellStyle name="ハイパーリンク" xfId="1152" builtinId="8" hidden="1"/>
    <cellStyle name="ハイパーリンク" xfId="1154" builtinId="8" hidden="1"/>
    <cellStyle name="ハイパーリンク" xfId="1156" builtinId="8" hidden="1"/>
    <cellStyle name="ハイパーリンク" xfId="1158" builtinId="8" hidden="1"/>
    <cellStyle name="ハイパーリンク" xfId="1160" builtinId="8" hidden="1"/>
    <cellStyle name="ハイパーリンク" xfId="1162" builtinId="8" hidden="1"/>
    <cellStyle name="ハイパーリンク" xfId="1164" builtinId="8" hidden="1"/>
    <cellStyle name="ハイパーリンク" xfId="1166" builtinId="8" hidden="1"/>
    <cellStyle name="ハイパーリンク" xfId="1168" builtinId="8" hidden="1"/>
    <cellStyle name="ハイパーリンク" xfId="1170" builtinId="8" hidden="1"/>
    <cellStyle name="ハイパーリンク" xfId="1172" builtinId="8" hidden="1"/>
    <cellStyle name="ハイパーリンク" xfId="1174" builtinId="8" hidden="1"/>
    <cellStyle name="ハイパーリンク" xfId="1176" builtinId="8" hidden="1"/>
    <cellStyle name="ハイパーリンク" xfId="1178" builtinId="8" hidden="1"/>
    <cellStyle name="ハイパーリンク" xfId="1180" builtinId="8" hidden="1"/>
    <cellStyle name="ハイパーリンク" xfId="1182" builtinId="8" hidden="1"/>
    <cellStyle name="ハイパーリンク" xfId="1184" builtinId="8" hidden="1"/>
    <cellStyle name="ハイパーリンク" xfId="1186" builtinId="8" hidden="1"/>
    <cellStyle name="ハイパーリンク" xfId="1188" builtinId="8" hidden="1"/>
    <cellStyle name="ハイパーリンク" xfId="1190" builtinId="8" hidden="1"/>
    <cellStyle name="ハイパーリンク" xfId="1192" builtinId="8" hidden="1"/>
    <cellStyle name="ハイパーリンク" xfId="1194" builtinId="8" hidden="1"/>
    <cellStyle name="ハイパーリンク" xfId="1196" builtinId="8" hidden="1"/>
    <cellStyle name="ハイパーリンク" xfId="1198" builtinId="8" hidden="1"/>
    <cellStyle name="ハイパーリンク" xfId="1200" builtinId="8" hidden="1"/>
    <cellStyle name="ハイパーリンク" xfId="1202" builtinId="8" hidden="1"/>
    <cellStyle name="ハイパーリンク" xfId="1204" builtinId="8" hidden="1"/>
    <cellStyle name="ハイパーリンク" xfId="1206" builtinId="8" hidden="1"/>
    <cellStyle name="ハイパーリンク" xfId="1208" builtinId="8" hidden="1"/>
    <cellStyle name="ハイパーリンク" xfId="1210" builtinId="8" hidden="1"/>
    <cellStyle name="ハイパーリンク" xfId="1212" builtinId="8" hidden="1"/>
    <cellStyle name="ハイパーリンク" xfId="1214" builtinId="8" hidden="1"/>
    <cellStyle name="ハイパーリンク" xfId="1216" builtinId="8" hidden="1"/>
    <cellStyle name="ハイパーリンク" xfId="1218" builtinId="8" hidden="1"/>
    <cellStyle name="ハイパーリンク" xfId="1220" builtinId="8" hidden="1"/>
    <cellStyle name="ハイパーリンク" xfId="1222" builtinId="8" hidden="1"/>
    <cellStyle name="ハイパーリンク" xfId="1224" builtinId="8" hidden="1"/>
    <cellStyle name="ハイパーリンク" xfId="1226" builtinId="8" hidden="1"/>
    <cellStyle name="ハイパーリンク" xfId="1228" builtinId="8" hidden="1"/>
    <cellStyle name="ハイパーリンク" xfId="1230" builtinId="8" hidden="1"/>
    <cellStyle name="ハイパーリンク" xfId="1232" builtinId="8" hidden="1"/>
    <cellStyle name="ハイパーリンク" xfId="1234" builtinId="8" hidden="1"/>
    <cellStyle name="ハイパーリンク" xfId="1236" builtinId="8" hidden="1"/>
    <cellStyle name="ハイパーリンク" xfId="1238" builtinId="8" hidden="1"/>
    <cellStyle name="ハイパーリンク" xfId="1240" builtinId="8" hidden="1"/>
    <cellStyle name="ハイパーリンク" xfId="1242" builtinId="8" hidden="1"/>
    <cellStyle name="ハイパーリンク" xfId="1244" builtinId="8" hidden="1"/>
    <cellStyle name="ハイパーリンク" xfId="1246" builtinId="8" hidden="1"/>
    <cellStyle name="ハイパーリンク" xfId="1248" builtinId="8" hidden="1"/>
    <cellStyle name="ハイパーリンク" xfId="1250" builtinId="8" hidden="1"/>
    <cellStyle name="ハイパーリンク" xfId="1252" builtinId="8" hidden="1"/>
    <cellStyle name="ハイパーリンク" xfId="1254" builtinId="8" hidden="1"/>
    <cellStyle name="ハイパーリンク" xfId="1256" builtinId="8" hidden="1"/>
    <cellStyle name="ハイパーリンク" xfId="1258" builtinId="8" hidden="1"/>
    <cellStyle name="ハイパーリンク" xfId="1260" builtinId="8" hidden="1"/>
    <cellStyle name="ハイパーリンク" xfId="1262" builtinId="8" hidden="1"/>
    <cellStyle name="ハイパーリンク" xfId="1264" builtinId="8" hidden="1"/>
    <cellStyle name="ハイパーリンク" xfId="1266" builtinId="8" hidden="1"/>
    <cellStyle name="ハイパーリンク" xfId="1268" builtinId="8" hidden="1"/>
    <cellStyle name="ハイパーリンク" xfId="1270" builtinId="8" hidden="1"/>
    <cellStyle name="ハイパーリンク" xfId="1272" builtinId="8" hidden="1"/>
    <cellStyle name="ハイパーリンク" xfId="1274" builtinId="8" hidden="1"/>
    <cellStyle name="ハイパーリンク" xfId="1276" builtinId="8" hidden="1"/>
    <cellStyle name="ハイパーリンク" xfId="1278" builtinId="8" hidden="1"/>
    <cellStyle name="ハイパーリンク" xfId="1280" builtinId="8" hidden="1"/>
    <cellStyle name="ハイパーリンク" xfId="1282" builtinId="8" hidden="1"/>
    <cellStyle name="ハイパーリンク" xfId="1284" builtinId="8" hidden="1"/>
    <cellStyle name="ハイパーリンク" xfId="1286" builtinId="8" hidden="1"/>
    <cellStyle name="ハイパーリンク" xfId="1288" builtinId="8" hidden="1"/>
    <cellStyle name="ハイパーリンク" xfId="1290" builtinId="8" hidden="1"/>
    <cellStyle name="ハイパーリンク" xfId="1292" builtinId="8" hidden="1"/>
    <cellStyle name="ハイパーリンク" xfId="1294" builtinId="8" hidden="1"/>
    <cellStyle name="ハイパーリンク" xfId="1296" builtinId="8" hidden="1"/>
    <cellStyle name="ハイパーリンク" xfId="1298" builtinId="8" hidden="1"/>
    <cellStyle name="ハイパーリンク" xfId="1300" builtinId="8" hidden="1"/>
    <cellStyle name="ハイパーリンク" xfId="1302" builtinId="8" hidden="1"/>
    <cellStyle name="ハイパーリンク" xfId="1304" builtinId="8" hidden="1"/>
    <cellStyle name="ハイパーリンク" xfId="1306" builtinId="8" hidden="1"/>
    <cellStyle name="ハイパーリンク" xfId="1308" builtinId="8" hidden="1"/>
    <cellStyle name="ハイパーリンク" xfId="1310" builtinId="8" hidden="1"/>
    <cellStyle name="ハイパーリンク" xfId="1312" builtinId="8" hidden="1"/>
    <cellStyle name="ハイパーリンク" xfId="1314" builtinId="8" hidden="1"/>
    <cellStyle name="ハイパーリンク" xfId="1316" builtinId="8" hidden="1"/>
    <cellStyle name="ハイパーリンク" xfId="1318" builtinId="8" hidden="1"/>
    <cellStyle name="ハイパーリンク" xfId="1320" builtinId="8" hidden="1"/>
    <cellStyle name="ハイパーリンク" xfId="1322" builtinId="8" hidden="1"/>
    <cellStyle name="ハイパーリンク" xfId="1324" builtinId="8" hidden="1"/>
    <cellStyle name="ハイパーリンク" xfId="1326" builtinId="8" hidden="1"/>
    <cellStyle name="ハイパーリンク" xfId="1328" builtinId="8" hidden="1"/>
    <cellStyle name="ハイパーリンク" xfId="1330" builtinId="8" hidden="1"/>
    <cellStyle name="ハイパーリンク" xfId="1332" builtinId="8" hidden="1"/>
    <cellStyle name="ハイパーリンク" xfId="1334" builtinId="8" hidden="1"/>
    <cellStyle name="ハイパーリンク" xfId="1336" builtinId="8" hidden="1"/>
    <cellStyle name="ハイパーリンク" xfId="1338" builtinId="8" hidden="1"/>
    <cellStyle name="ハイパーリンク" xfId="1340" builtinId="8" hidden="1"/>
    <cellStyle name="ハイパーリンク" xfId="1342" builtinId="8" hidden="1"/>
    <cellStyle name="ハイパーリンク" xfId="1344" builtinId="8" hidden="1"/>
    <cellStyle name="ハイパーリンク" xfId="1346" builtinId="8" hidden="1"/>
    <cellStyle name="ハイパーリンク" xfId="1348" builtinId="8" hidden="1"/>
    <cellStyle name="ハイパーリンク" xfId="1350" builtinId="8" hidden="1"/>
    <cellStyle name="ハイパーリンク" xfId="1352" builtinId="8" hidden="1"/>
    <cellStyle name="ハイパーリンク" xfId="1354" builtinId="8" hidden="1"/>
    <cellStyle name="ハイパーリンク" xfId="1356" builtinId="8" hidden="1"/>
    <cellStyle name="ハイパーリンク" xfId="1358" builtinId="8" hidden="1"/>
    <cellStyle name="ハイパーリンク" xfId="1360" builtinId="8" hidden="1"/>
    <cellStyle name="ハイパーリンク" xfId="1362" builtinId="8" hidden="1"/>
    <cellStyle name="ハイパーリンク" xfId="1364" builtinId="8" hidden="1"/>
    <cellStyle name="ハイパーリンク" xfId="1366" builtinId="8" hidden="1"/>
    <cellStyle name="ハイパーリンク" xfId="1368" builtinId="8" hidden="1"/>
    <cellStyle name="ハイパーリンク" xfId="1370" builtinId="8" hidden="1"/>
    <cellStyle name="ハイパーリンク" xfId="1372" builtinId="8" hidden="1"/>
    <cellStyle name="ハイパーリンク" xfId="1374" builtinId="8" hidden="1"/>
    <cellStyle name="ハイパーリンク" xfId="1376" builtinId="8" hidden="1"/>
    <cellStyle name="ハイパーリンク" xfId="1378" builtinId="8" hidden="1"/>
    <cellStyle name="ハイパーリンク" xfId="1380" builtinId="8" hidden="1"/>
    <cellStyle name="ハイパーリンク" xfId="1382" builtinId="8" hidden="1"/>
    <cellStyle name="ハイパーリンク" xfId="1384" builtinId="8" hidden="1"/>
    <cellStyle name="ハイパーリンク" xfId="1386" builtinId="8" hidden="1"/>
    <cellStyle name="ハイパーリンク" xfId="1388" builtinId="8" hidden="1"/>
    <cellStyle name="ハイパーリンク" xfId="1390" builtinId="8" hidden="1"/>
    <cellStyle name="ハイパーリンク" xfId="1392" builtinId="8" hidden="1"/>
    <cellStyle name="ハイパーリンク" xfId="1394" builtinId="8" hidden="1"/>
    <cellStyle name="ハイパーリンク" xfId="1396" builtinId="8" hidden="1"/>
    <cellStyle name="ハイパーリンク" xfId="1398" builtinId="8" hidden="1"/>
    <cellStyle name="ハイパーリンク" xfId="1400" builtinId="8" hidden="1"/>
    <cellStyle name="ハイパーリンク" xfId="1402" builtinId="8" hidden="1"/>
    <cellStyle name="ハイパーリンク" xfId="1404" builtinId="8" hidden="1"/>
    <cellStyle name="ハイパーリンク" xfId="1406" builtinId="8" hidden="1"/>
    <cellStyle name="ハイパーリンク" xfId="1408" builtinId="8" hidden="1"/>
    <cellStyle name="ハイパーリンク" xfId="1410" builtinId="8" hidden="1"/>
    <cellStyle name="ハイパーリンク" xfId="1412" builtinId="8" hidden="1"/>
    <cellStyle name="ハイパーリンク" xfId="1414" builtinId="8" hidden="1"/>
    <cellStyle name="ハイパーリンク" xfId="1416" builtinId="8" hidden="1"/>
    <cellStyle name="ハイパーリンク" xfId="1418" builtinId="8" hidden="1"/>
    <cellStyle name="ハイパーリンク" xfId="1420" builtinId="8" hidden="1"/>
    <cellStyle name="ハイパーリンク" xfId="1422" builtinId="8" hidden="1"/>
    <cellStyle name="ハイパーリンク" xfId="1424" builtinId="8" hidden="1"/>
    <cellStyle name="ハイパーリンク" xfId="1426" builtinId="8" hidden="1"/>
    <cellStyle name="ハイパーリンク" xfId="1428" builtinId="8" hidden="1"/>
    <cellStyle name="ハイパーリンク" xfId="1430" builtinId="8" hidden="1"/>
    <cellStyle name="ハイパーリンク" xfId="1432" builtinId="8" hidden="1"/>
    <cellStyle name="ハイパーリンク" xfId="1434" builtinId="8" hidden="1"/>
    <cellStyle name="ハイパーリンク" xfId="1436" builtinId="8" hidden="1"/>
    <cellStyle name="ハイパーリンク" xfId="1438" builtinId="8" hidden="1"/>
    <cellStyle name="ハイパーリンク" xfId="1440" builtinId="8" hidden="1"/>
    <cellStyle name="ハイパーリンク" xfId="1442" builtinId="8" hidden="1"/>
    <cellStyle name="ハイパーリンク" xfId="1444" builtinId="8" hidden="1"/>
    <cellStyle name="ハイパーリンク" xfId="1446" builtinId="8" hidden="1"/>
    <cellStyle name="ハイパーリンク" xfId="1448" builtinId="8" hidden="1"/>
    <cellStyle name="ハイパーリンク" xfId="1450" builtinId="8" hidden="1"/>
    <cellStyle name="ハイパーリンク" xfId="1452" builtinId="8" hidden="1"/>
    <cellStyle name="ハイパーリンク" xfId="1454" builtinId="8" hidden="1"/>
    <cellStyle name="ハイパーリンク" xfId="1456" builtinId="8" hidden="1"/>
    <cellStyle name="ハイパーリンク" xfId="1458" builtinId="8" hidden="1"/>
    <cellStyle name="ハイパーリンク" xfId="1460" builtinId="8" hidden="1"/>
    <cellStyle name="ハイパーリンク" xfId="1462" builtinId="8" hidden="1"/>
    <cellStyle name="ハイパーリンク" xfId="1464" builtinId="8" hidden="1"/>
    <cellStyle name="ハイパーリンク" xfId="1466" builtinId="8" hidden="1"/>
    <cellStyle name="ハイパーリンク" xfId="1468" builtinId="8" hidden="1"/>
    <cellStyle name="ハイパーリンク" xfId="1470" builtinId="8" hidden="1"/>
    <cellStyle name="ハイパーリンク" xfId="1472" builtinId="8" hidden="1"/>
    <cellStyle name="ハイパーリンク" xfId="1474" builtinId="8" hidden="1"/>
    <cellStyle name="ハイパーリンク" xfId="1476" builtinId="8" hidden="1"/>
    <cellStyle name="ハイパーリンク" xfId="1478" builtinId="8" hidden="1"/>
    <cellStyle name="ハイパーリンク" xfId="1480" builtinId="8" hidden="1"/>
    <cellStyle name="ハイパーリンク" xfId="1482" builtinId="8" hidden="1"/>
    <cellStyle name="ハイパーリンク" xfId="1484" builtinId="8" hidden="1"/>
    <cellStyle name="ハイパーリンク" xfId="1486" builtinId="8" hidden="1"/>
    <cellStyle name="ハイパーリンク" xfId="1488" builtinId="8" hidden="1"/>
    <cellStyle name="ハイパーリンク" xfId="1490" builtinId="8" hidden="1"/>
    <cellStyle name="ハイパーリンク" xfId="1492" builtinId="8" hidden="1"/>
    <cellStyle name="ハイパーリンク" xfId="1494" builtinId="8" hidden="1"/>
    <cellStyle name="ハイパーリンク" xfId="1496" builtinId="8" hidden="1"/>
    <cellStyle name="ハイパーリンク" xfId="1498" builtinId="8" hidden="1"/>
    <cellStyle name="ハイパーリンク" xfId="1500" builtinId="8" hidden="1"/>
    <cellStyle name="ハイパーリンク" xfId="1502" builtinId="8" hidden="1"/>
    <cellStyle name="ハイパーリンク" xfId="1504" builtinId="8" hidden="1"/>
    <cellStyle name="ハイパーリンク" xfId="1506" builtinId="8" hidden="1"/>
    <cellStyle name="ハイパーリンク" xfId="1508" builtinId="8" hidden="1"/>
    <cellStyle name="ハイパーリンク" xfId="1510" builtinId="8" hidden="1"/>
    <cellStyle name="ハイパーリンク" xfId="1512" builtinId="8" hidden="1"/>
    <cellStyle name="ハイパーリンク" xfId="1514" builtinId="8" hidden="1"/>
    <cellStyle name="ハイパーリンク" xfId="1516" builtinId="8" hidden="1"/>
    <cellStyle name="ハイパーリンク" xfId="1518" builtinId="8" hidden="1"/>
    <cellStyle name="ハイパーリンク" xfId="1520" builtinId="8" hidden="1"/>
    <cellStyle name="ハイパーリンク" xfId="1522" builtinId="8" hidden="1"/>
    <cellStyle name="ハイパーリンク" xfId="1524" builtinId="8" hidden="1"/>
    <cellStyle name="ハイパーリンク" xfId="1526" builtinId="8" hidden="1"/>
    <cellStyle name="ハイパーリンク" xfId="1528" builtinId="8" hidden="1"/>
    <cellStyle name="ハイパーリンク" xfId="1530" builtinId="8" hidden="1"/>
    <cellStyle name="ハイパーリンク" xfId="1532" builtinId="8" hidden="1"/>
    <cellStyle name="ハイパーリンク" xfId="1534" builtinId="8" hidden="1"/>
    <cellStyle name="ハイパーリンク" xfId="1536" builtinId="8" hidden="1"/>
    <cellStyle name="ハイパーリンク" xfId="1538" builtinId="8" hidden="1"/>
    <cellStyle name="ハイパーリンク" xfId="1540" builtinId="8" hidden="1"/>
    <cellStyle name="ハイパーリンク" xfId="1542" builtinId="8" hidden="1"/>
    <cellStyle name="ハイパーリンク" xfId="1544" builtinId="8" hidden="1"/>
    <cellStyle name="ハイパーリンク" xfId="1546" builtinId="8" hidden="1"/>
    <cellStyle name="ハイパーリンク" xfId="1548" builtinId="8" hidden="1"/>
    <cellStyle name="ハイパーリンク" xfId="1550" builtinId="8" hidden="1"/>
    <cellStyle name="ハイパーリンク" xfId="1552" builtinId="8" hidden="1"/>
    <cellStyle name="ハイパーリンク" xfId="1554" builtinId="8" hidden="1"/>
    <cellStyle name="ハイパーリンク" xfId="1556" builtinId="8" hidden="1"/>
    <cellStyle name="ハイパーリンク" xfId="1558" builtinId="8" hidden="1"/>
    <cellStyle name="ハイパーリンク" xfId="1560" builtinId="8" hidden="1"/>
    <cellStyle name="ハイパーリンク" xfId="1562" builtinId="8" hidden="1"/>
    <cellStyle name="ハイパーリンク" xfId="1564" builtinId="8" hidden="1"/>
    <cellStyle name="ハイパーリンク" xfId="1566" builtinId="8" hidden="1"/>
    <cellStyle name="ハイパーリンク" xfId="1568" builtinId="8" hidden="1"/>
    <cellStyle name="ハイパーリンク" xfId="1570" builtinId="8" hidden="1"/>
    <cellStyle name="ハイパーリンク" xfId="1572" builtinId="8" hidden="1"/>
    <cellStyle name="ハイパーリンク" xfId="1574" builtinId="8" hidden="1"/>
    <cellStyle name="ハイパーリンク" xfId="1576" builtinId="8" hidden="1"/>
    <cellStyle name="ハイパーリンク" xfId="1578" builtinId="8" hidden="1"/>
    <cellStyle name="ハイパーリンク" xfId="1580" builtinId="8" hidden="1"/>
    <cellStyle name="ハイパーリンク" xfId="1582" builtinId="8" hidden="1"/>
    <cellStyle name="ハイパーリンク" xfId="1584" builtinId="8" hidden="1"/>
    <cellStyle name="ハイパーリンク" xfId="1586" builtinId="8" hidden="1"/>
    <cellStyle name="ハイパーリンク" xfId="1588" builtinId="8" hidden="1"/>
    <cellStyle name="ハイパーリンク" xfId="1590" builtinId="8" hidden="1"/>
    <cellStyle name="ハイパーリンク" xfId="1592" builtinId="8" hidden="1"/>
    <cellStyle name="ハイパーリンク" xfId="1594" builtinId="8" hidden="1"/>
    <cellStyle name="ハイパーリンク" xfId="1596" builtinId="8" hidden="1"/>
    <cellStyle name="ハイパーリンク" xfId="1598" builtinId="8" hidden="1"/>
    <cellStyle name="ハイパーリンク" xfId="1600" builtinId="8" hidden="1"/>
    <cellStyle name="ハイパーリンク" xfId="1602" builtinId="8" hidden="1"/>
    <cellStyle name="ハイパーリンク" xfId="1604" builtinId="8" hidden="1"/>
    <cellStyle name="ハイパーリンク" xfId="1606" builtinId="8" hidden="1"/>
    <cellStyle name="ハイパーリンク" xfId="1608" builtinId="8" hidden="1"/>
    <cellStyle name="ハイパーリンク" xfId="1610" builtinId="8" hidden="1"/>
    <cellStyle name="ハイパーリンク" xfId="1612" builtinId="8" hidden="1"/>
    <cellStyle name="ハイパーリンク" xfId="1614" builtinId="8" hidden="1"/>
    <cellStyle name="ハイパーリンク" xfId="1616" builtinId="8" hidden="1"/>
    <cellStyle name="ハイパーリンク" xfId="1618" builtinId="8" hidden="1"/>
    <cellStyle name="ハイパーリンク" xfId="1620" builtinId="8" hidden="1"/>
    <cellStyle name="ハイパーリンク" xfId="1622" builtinId="8" hidden="1"/>
    <cellStyle name="ハイパーリンク" xfId="1624" builtinId="8" hidden="1"/>
    <cellStyle name="ハイパーリンク" xfId="1626" builtinId="8" hidden="1"/>
    <cellStyle name="ハイパーリンク" xfId="1628" builtinId="8" hidden="1"/>
    <cellStyle name="ハイパーリンク" xfId="1630" builtinId="8" hidden="1"/>
    <cellStyle name="ハイパーリンク" xfId="1632" builtinId="8" hidden="1"/>
    <cellStyle name="ハイパーリンク" xfId="1634" builtinId="8" hidden="1"/>
    <cellStyle name="ハイパーリンク" xfId="1636" builtinId="8" hidden="1"/>
    <cellStyle name="ハイパーリンク" xfId="1638" builtinId="8" hidden="1"/>
    <cellStyle name="ハイパーリンク" xfId="1640" builtinId="8" hidden="1"/>
    <cellStyle name="ハイパーリンク" xfId="1642" builtinId="8" hidden="1"/>
    <cellStyle name="ハイパーリンク" xfId="1644" builtinId="8" hidden="1"/>
    <cellStyle name="ハイパーリンク" xfId="1646" builtinId="8" hidden="1"/>
    <cellStyle name="ハイパーリンク" xfId="1648" builtinId="8" hidden="1"/>
    <cellStyle name="ハイパーリンク" xfId="1650" builtinId="8" hidden="1"/>
    <cellStyle name="ハイパーリンク" xfId="1652" builtinId="8" hidden="1"/>
    <cellStyle name="ハイパーリンク" xfId="1654" builtinId="8" hidden="1"/>
    <cellStyle name="ハイパーリンク" xfId="1656" builtinId="8" hidden="1"/>
    <cellStyle name="ハイパーリンク" xfId="1658" builtinId="8" hidden="1"/>
    <cellStyle name="ハイパーリンク" xfId="1660" builtinId="8" hidden="1"/>
    <cellStyle name="ハイパーリンク" xfId="1662" builtinId="8" hidden="1"/>
    <cellStyle name="ハイパーリンク" xfId="1664" builtinId="8" hidden="1"/>
    <cellStyle name="ハイパーリンク" xfId="1666" builtinId="8" hidden="1"/>
    <cellStyle name="ハイパーリンク" xfId="1668" builtinId="8" hidden="1"/>
    <cellStyle name="ハイパーリンク" xfId="1670" builtinId="8" hidden="1"/>
    <cellStyle name="ハイパーリンク" xfId="1672" builtinId="8" hidden="1"/>
    <cellStyle name="ハイパーリンク" xfId="1674" builtinId="8" hidden="1"/>
    <cellStyle name="ハイパーリンク" xfId="1676" builtinId="8" hidden="1"/>
    <cellStyle name="ハイパーリンク" xfId="1678" builtinId="8" hidden="1"/>
    <cellStyle name="ハイパーリンク" xfId="1680" builtinId="8" hidden="1"/>
    <cellStyle name="ハイパーリンク" xfId="1682" builtinId="8" hidden="1"/>
    <cellStyle name="ハイパーリンク" xfId="1684" builtinId="8" hidden="1"/>
    <cellStyle name="ハイパーリンク" xfId="1686" builtinId="8" hidden="1"/>
    <cellStyle name="ハイパーリンク" xfId="1688" builtinId="8" hidden="1"/>
    <cellStyle name="ハイパーリンク" xfId="1690" builtinId="8" hidden="1"/>
    <cellStyle name="ハイパーリンク" xfId="1692" builtinId="8" hidden="1"/>
    <cellStyle name="ハイパーリンク" xfId="1694" builtinId="8" hidden="1"/>
    <cellStyle name="ハイパーリンク" xfId="1696" builtinId="8" hidden="1"/>
    <cellStyle name="ハイパーリンク" xfId="1698" builtinId="8" hidden="1"/>
    <cellStyle name="ハイパーリンク" xfId="1700" builtinId="8" hidden="1"/>
    <cellStyle name="ハイパーリンク" xfId="1702" builtinId="8" hidden="1"/>
    <cellStyle name="ハイパーリンク" xfId="1704" builtinId="8" hidden="1"/>
    <cellStyle name="ハイパーリンク" xfId="1706" builtinId="8" hidden="1"/>
    <cellStyle name="ハイパーリンク" xfId="1708" builtinId="8" hidden="1"/>
    <cellStyle name="ハイパーリンク" xfId="1710" builtinId="8" hidden="1"/>
    <cellStyle name="ハイパーリンク" xfId="1712" builtinId="8" hidden="1"/>
    <cellStyle name="ハイパーリンク" xfId="1714" builtinId="8" hidden="1"/>
    <cellStyle name="ハイパーリンク" xfId="1716" builtinId="8" hidden="1"/>
    <cellStyle name="ハイパーリンク" xfId="1718" builtinId="8" hidden="1"/>
    <cellStyle name="ハイパーリンク" xfId="1720" builtinId="8" hidden="1"/>
    <cellStyle name="ハイパーリンク" xfId="1722" builtinId="8" hidden="1"/>
    <cellStyle name="ハイパーリンク" xfId="1724" builtinId="8" hidden="1"/>
    <cellStyle name="ハイパーリンク" xfId="1726" builtinId="8" hidden="1"/>
    <cellStyle name="ハイパーリンク" xfId="1728" builtinId="8" hidden="1"/>
    <cellStyle name="ハイパーリンク" xfId="1730" builtinId="8" hidden="1"/>
    <cellStyle name="ハイパーリンク" xfId="1732" builtinId="8" hidden="1"/>
    <cellStyle name="ハイパーリンク" xfId="1734" builtinId="8" hidden="1"/>
    <cellStyle name="ハイパーリンク" xfId="1736" builtinId="8" hidden="1"/>
    <cellStyle name="ハイパーリンク" xfId="1738" builtinId="8" hidden="1"/>
    <cellStyle name="ハイパーリンク" xfId="1740" builtinId="8" hidden="1"/>
    <cellStyle name="ハイパーリンク" xfId="1742" builtinId="8" hidden="1"/>
    <cellStyle name="ハイパーリンク" xfId="1744" builtinId="8" hidden="1"/>
    <cellStyle name="ハイパーリンク" xfId="1746" builtinId="8" hidden="1"/>
    <cellStyle name="ハイパーリンク" xfId="1748" builtinId="8" hidden="1"/>
    <cellStyle name="ハイパーリンク" xfId="1750" builtinId="8" hidden="1"/>
    <cellStyle name="ハイパーリンク" xfId="1752" builtinId="8" hidden="1"/>
    <cellStyle name="ハイパーリンク" xfId="1754" builtinId="8" hidden="1"/>
    <cellStyle name="ハイパーリンク" xfId="1756" builtinId="8" hidden="1"/>
    <cellStyle name="ハイパーリンク" xfId="1758" builtinId="8" hidden="1"/>
    <cellStyle name="ハイパーリンク" xfId="1760" builtinId="8" hidden="1"/>
    <cellStyle name="ハイパーリンク" xfId="1762" builtinId="8" hidden="1"/>
    <cellStyle name="ハイパーリンク" xfId="1764" builtinId="8" hidden="1"/>
    <cellStyle name="ハイパーリンク" xfId="1766" builtinId="8" hidden="1"/>
    <cellStyle name="ハイパーリンク" xfId="1768" builtinId="8" hidden="1"/>
    <cellStyle name="ハイパーリンク" xfId="1770" builtinId="8" hidden="1"/>
    <cellStyle name="ハイパーリンク" xfId="1772" builtinId="8" hidden="1"/>
    <cellStyle name="ハイパーリンク" xfId="1774" builtinId="8" hidden="1"/>
    <cellStyle name="ハイパーリンク" xfId="1776" builtinId="8" hidden="1"/>
    <cellStyle name="ハイパーリンク" xfId="1778" builtinId="8" hidden="1"/>
    <cellStyle name="ハイパーリンク" xfId="1780" builtinId="8" hidden="1"/>
    <cellStyle name="ハイパーリンク" xfId="1782" builtinId="8" hidden="1"/>
    <cellStyle name="ハイパーリンク" xfId="1784" builtinId="8" hidden="1"/>
    <cellStyle name="ハイパーリンク" xfId="1786" builtinId="8" hidden="1"/>
    <cellStyle name="ハイパーリンク" xfId="1788" builtinId="8" hidden="1"/>
    <cellStyle name="ハイパーリンク" xfId="1790" builtinId="8" hidden="1"/>
    <cellStyle name="ハイパーリンク" xfId="1792" builtinId="8" hidden="1"/>
    <cellStyle name="ハイパーリンク" xfId="1794" builtinId="8" hidden="1"/>
    <cellStyle name="ハイパーリンク" xfId="1796" builtinId="8" hidden="1"/>
    <cellStyle name="ハイパーリンク" xfId="1798" builtinId="8" hidden="1"/>
    <cellStyle name="ハイパーリンク" xfId="1800" builtinId="8" hidden="1"/>
    <cellStyle name="ハイパーリンク" xfId="1802" builtinId="8" hidden="1"/>
    <cellStyle name="ハイパーリンク" xfId="1804" builtinId="8" hidden="1"/>
    <cellStyle name="ハイパーリンク" xfId="1806" builtinId="8" hidden="1"/>
    <cellStyle name="ハイパーリンク" xfId="1808" builtinId="8" hidden="1"/>
    <cellStyle name="ハイパーリンク" xfId="1810" builtinId="8" hidden="1"/>
    <cellStyle name="ハイパーリンク" xfId="1812" builtinId="8" hidden="1"/>
    <cellStyle name="ハイパーリンク" xfId="1814" builtinId="8" hidden="1"/>
    <cellStyle name="ハイパーリンク" xfId="1816" builtinId="8" hidden="1"/>
    <cellStyle name="ハイパーリンク" xfId="1818" builtinId="8" hidden="1"/>
    <cellStyle name="ハイパーリンク" xfId="1820" builtinId="8" hidden="1"/>
    <cellStyle name="ハイパーリンク" xfId="1822" builtinId="8" hidden="1"/>
    <cellStyle name="ハイパーリンク" xfId="1824" builtinId="8" hidden="1"/>
    <cellStyle name="ハイパーリンク" xfId="1826" builtinId="8" hidden="1"/>
    <cellStyle name="ハイパーリンク" xfId="1828" builtinId="8" hidden="1"/>
    <cellStyle name="ハイパーリンク" xfId="1830" builtinId="8" hidden="1"/>
    <cellStyle name="ハイパーリンク" xfId="1832" builtinId="8" hidden="1"/>
    <cellStyle name="ハイパーリンク" xfId="1834" builtinId="8" hidden="1"/>
    <cellStyle name="ハイパーリンク" xfId="1836" builtinId="8" hidden="1"/>
    <cellStyle name="ハイパーリンク" xfId="1838" builtinId="8" hidden="1"/>
    <cellStyle name="ハイパーリンク" xfId="1840" builtinId="8" hidden="1"/>
    <cellStyle name="ハイパーリンク" xfId="1842" builtinId="8" hidden="1"/>
    <cellStyle name="ハイパーリンク" xfId="1844" builtinId="8" hidden="1"/>
    <cellStyle name="ハイパーリンク" xfId="1846" builtinId="8" hidden="1"/>
    <cellStyle name="ハイパーリンク" xfId="1848" builtinId="8" hidden="1"/>
    <cellStyle name="ハイパーリンク" xfId="1850" builtinId="8" hidden="1"/>
    <cellStyle name="ハイパーリンク" xfId="1852" builtinId="8" hidden="1"/>
    <cellStyle name="ハイパーリンク" xfId="1854" builtinId="8" hidden="1"/>
    <cellStyle name="ハイパーリンク" xfId="1856" builtinId="8" hidden="1"/>
    <cellStyle name="ハイパーリンク" xfId="1858" builtinId="8" hidden="1"/>
    <cellStyle name="ハイパーリンク" xfId="1860" builtinId="8" hidden="1"/>
    <cellStyle name="ハイパーリンク" xfId="1862" builtinId="8" hidden="1"/>
    <cellStyle name="ハイパーリンク" xfId="1864" builtinId="8" hidden="1"/>
    <cellStyle name="ハイパーリンク" xfId="1866" builtinId="8" hidden="1"/>
    <cellStyle name="ハイパーリンク" xfId="1868" builtinId="8" hidden="1"/>
    <cellStyle name="ハイパーリンク" xfId="1870" builtinId="8" hidden="1"/>
    <cellStyle name="ハイパーリンク" xfId="1872" builtinId="8" hidden="1"/>
    <cellStyle name="ハイパーリンク" xfId="1874" builtinId="8" hidden="1"/>
    <cellStyle name="ハイパーリンク" xfId="1876" builtinId="8" hidden="1"/>
    <cellStyle name="ハイパーリンク" xfId="1878" builtinId="8" hidden="1"/>
    <cellStyle name="ハイパーリンク" xfId="1880" builtinId="8" hidden="1"/>
    <cellStyle name="ハイパーリンク" xfId="1882" builtinId="8" hidden="1"/>
    <cellStyle name="ハイパーリンク" xfId="1884" builtinId="8" hidden="1"/>
    <cellStyle name="ハイパーリンク" xfId="1886" builtinId="8" hidden="1"/>
    <cellStyle name="ハイパーリンク" xfId="1888" builtinId="8" hidden="1"/>
    <cellStyle name="ハイパーリンク" xfId="1890" builtinId="8" hidden="1"/>
    <cellStyle name="ハイパーリンク" xfId="1892" builtinId="8" hidden="1"/>
    <cellStyle name="ハイパーリンク" xfId="1894" builtinId="8" hidden="1"/>
    <cellStyle name="ハイパーリンク" xfId="1896" builtinId="8" hidden="1"/>
    <cellStyle name="ハイパーリンク" xfId="1898" builtinId="8" hidden="1"/>
    <cellStyle name="ハイパーリンク" xfId="1900" builtinId="8" hidden="1"/>
    <cellStyle name="ハイパーリンク" xfId="1902" builtinId="8" hidden="1"/>
    <cellStyle name="ハイパーリンク" xfId="1904" builtinId="8" hidden="1"/>
    <cellStyle name="ハイパーリンク" xfId="1906" builtinId="8" hidden="1"/>
    <cellStyle name="ハイパーリンク" xfId="1908" builtinId="8" hidden="1"/>
    <cellStyle name="ハイパーリンク" xfId="1910" builtinId="8" hidden="1"/>
    <cellStyle name="ハイパーリンク" xfId="1912" builtinId="8" hidden="1"/>
    <cellStyle name="ハイパーリンク" xfId="1914" builtinId="8" hidden="1"/>
    <cellStyle name="ハイパーリンク" xfId="1916" builtinId="8" hidden="1"/>
    <cellStyle name="ハイパーリンク" xfId="1918" builtinId="8" hidden="1"/>
    <cellStyle name="ハイパーリンク" xfId="1920" builtinId="8" hidden="1"/>
    <cellStyle name="ハイパーリンク" xfId="1922" builtinId="8" hidden="1"/>
    <cellStyle name="ハイパーリンク" xfId="1924" builtinId="8" hidden="1"/>
    <cellStyle name="ハイパーリンク" xfId="1926" builtinId="8" hidden="1"/>
    <cellStyle name="ハイパーリンク" xfId="1928" builtinId="8" hidden="1"/>
    <cellStyle name="ハイパーリンク" xfId="1930" builtinId="8" hidden="1"/>
    <cellStyle name="ハイパーリンク" xfId="1932" builtinId="8" hidden="1"/>
    <cellStyle name="ハイパーリンク" xfId="1934" builtinId="8" hidden="1"/>
    <cellStyle name="ハイパーリンク" xfId="1936" builtinId="8" hidden="1"/>
    <cellStyle name="ハイパーリンク" xfId="1938" builtinId="8" hidden="1"/>
    <cellStyle name="ハイパーリンク" xfId="1940" builtinId="8" hidden="1"/>
    <cellStyle name="ハイパーリンク" xfId="1942" builtinId="8" hidden="1"/>
    <cellStyle name="ハイパーリンク" xfId="1944" builtinId="8" hidden="1"/>
    <cellStyle name="ハイパーリンク" xfId="1946" builtinId="8" hidden="1"/>
    <cellStyle name="ハイパーリンク" xfId="1948" builtinId="8" hidden="1"/>
    <cellStyle name="ハイパーリンク" xfId="1950" builtinId="8" hidden="1"/>
    <cellStyle name="ハイパーリンク" xfId="1952" builtinId="8" hidden="1"/>
    <cellStyle name="ハイパーリンク" xfId="1954" builtinId="8" hidden="1"/>
    <cellStyle name="ハイパーリンク" xfId="1956" builtinId="8" hidden="1"/>
    <cellStyle name="ハイパーリンク" xfId="1958" builtinId="8" hidden="1"/>
    <cellStyle name="ハイパーリンク" xfId="1960" builtinId="8" hidden="1"/>
    <cellStyle name="ハイパーリンク" xfId="1962" builtinId="8" hidden="1"/>
    <cellStyle name="ハイパーリンク" xfId="1964" builtinId="8" hidden="1"/>
    <cellStyle name="ハイパーリンク" xfId="1966" builtinId="8" hidden="1"/>
    <cellStyle name="ハイパーリンク" xfId="1968" builtinId="8" hidden="1"/>
    <cellStyle name="ハイパーリンク" xfId="1970" builtinId="8" hidden="1"/>
    <cellStyle name="ハイパーリンク" xfId="1972" builtinId="8" hidden="1"/>
    <cellStyle name="ハイパーリンク" xfId="1974" builtinId="8" hidden="1"/>
    <cellStyle name="ハイパーリンク" xfId="1976" builtinId="8" hidden="1"/>
    <cellStyle name="ハイパーリンク" xfId="1978" builtinId="8" hidden="1"/>
    <cellStyle name="ハイパーリンク" xfId="1980" builtinId="8" hidden="1"/>
    <cellStyle name="ハイパーリンク" xfId="1982" builtinId="8" hidden="1"/>
    <cellStyle name="ハイパーリンク" xfId="1984" builtinId="8" hidden="1"/>
    <cellStyle name="ハイパーリンク" xfId="1986" builtinId="8" hidden="1"/>
    <cellStyle name="ハイパーリンク" xfId="1988" builtinId="8" hidden="1"/>
    <cellStyle name="ハイパーリンク" xfId="1990" builtinId="8" hidden="1"/>
    <cellStyle name="ハイパーリンク" xfId="1992" builtinId="8" hidden="1"/>
    <cellStyle name="ハイパーリンク" xfId="1994" builtinId="8" hidden="1"/>
    <cellStyle name="ハイパーリンク" xfId="1996" builtinId="8" hidden="1"/>
    <cellStyle name="ハイパーリンク" xfId="1998" builtinId="8" hidden="1"/>
    <cellStyle name="ハイパーリンク" xfId="2000" builtinId="8" hidden="1"/>
    <cellStyle name="ハイパーリンク" xfId="2002" builtinId="8" hidden="1"/>
    <cellStyle name="ハイパーリンク" xfId="2004" builtinId="8" hidden="1"/>
    <cellStyle name="ハイパーリンク" xfId="2006" builtinId="8" hidden="1"/>
    <cellStyle name="ハイパーリンク" xfId="2008" builtinId="8" hidden="1"/>
    <cellStyle name="ハイパーリンク" xfId="2010" builtinId="8" hidden="1"/>
    <cellStyle name="ハイパーリンク" xfId="2012" builtinId="8" hidden="1"/>
    <cellStyle name="ハイパーリンク" xfId="2014" builtinId="8" hidden="1"/>
    <cellStyle name="ハイパーリンク" xfId="2016" builtinId="8" hidden="1"/>
    <cellStyle name="ハイパーリンク" xfId="2018" builtinId="8" hidden="1"/>
    <cellStyle name="ハイパーリンク" xfId="2020" builtinId="8" hidden="1"/>
    <cellStyle name="ハイパーリンク" xfId="2022" builtinId="8" hidden="1"/>
    <cellStyle name="ハイパーリンク" xfId="2024" builtinId="8" hidden="1"/>
    <cellStyle name="ハイパーリンク" xfId="2026" builtinId="8" hidden="1"/>
    <cellStyle name="ハイパーリンク" xfId="2028" builtinId="8" hidden="1"/>
    <cellStyle name="ハイパーリンク" xfId="2030" builtinId="8" hidden="1"/>
    <cellStyle name="ハイパーリンク" xfId="2032" builtinId="8" hidden="1"/>
    <cellStyle name="ハイパーリンク" xfId="2034" builtinId="8" hidden="1"/>
    <cellStyle name="ハイパーリンク" xfId="2036" builtinId="8" hidden="1"/>
    <cellStyle name="ハイパーリンク" xfId="2038" builtinId="8" hidden="1"/>
    <cellStyle name="ハイパーリンク" xfId="2040" builtinId="8" hidden="1"/>
    <cellStyle name="ハイパーリンク" xfId="2042" builtinId="8" hidden="1"/>
    <cellStyle name="ハイパーリンク" xfId="2044" builtinId="8" hidden="1"/>
    <cellStyle name="ハイパーリンク" xfId="2046" builtinId="8" hidden="1"/>
    <cellStyle name="ハイパーリンク" xfId="2048" builtinId="8" hidden="1"/>
    <cellStyle name="ハイパーリンク" xfId="2050" builtinId="8" hidden="1"/>
    <cellStyle name="ハイパーリンク" xfId="2052" builtinId="8" hidden="1"/>
    <cellStyle name="ハイパーリンク" xfId="2054" builtinId="8" hidden="1"/>
    <cellStyle name="ハイパーリンク" xfId="2056" builtinId="8" hidden="1"/>
    <cellStyle name="ハイパーリンク" xfId="2058" builtinId="8" hidden="1"/>
    <cellStyle name="ハイパーリンク" xfId="2060" builtinId="8" hidden="1"/>
    <cellStyle name="ハイパーリンク" xfId="2062" builtinId="8" hidden="1"/>
    <cellStyle name="ハイパーリンク" xfId="2064" builtinId="8" hidden="1"/>
    <cellStyle name="ハイパーリンク" xfId="2066" builtinId="8" hidden="1"/>
    <cellStyle name="ハイパーリンク" xfId="2068" builtinId="8" hidden="1"/>
    <cellStyle name="ハイパーリンク" xfId="2070" builtinId="8" hidden="1"/>
    <cellStyle name="ハイパーリンク" xfId="2072" builtinId="8" hidden="1"/>
    <cellStyle name="ハイパーリンク" xfId="2074" builtinId="8" hidden="1"/>
    <cellStyle name="ハイパーリンク" xfId="2076" builtinId="8" hidden="1"/>
    <cellStyle name="ハイパーリンク" xfId="2078" builtinId="8" hidden="1"/>
    <cellStyle name="ハイパーリンク" xfId="2080" builtinId="8" hidden="1"/>
    <cellStyle name="ハイパーリンク" xfId="2082" builtinId="8" hidden="1"/>
    <cellStyle name="ハイパーリンク" xfId="2084" builtinId="8" hidden="1"/>
    <cellStyle name="ハイパーリンク" xfId="2086" builtinId="8" hidden="1"/>
    <cellStyle name="ハイパーリンク" xfId="2088" builtinId="8" hidden="1"/>
    <cellStyle name="ハイパーリンク" xfId="2090" builtinId="8" hidden="1"/>
    <cellStyle name="ハイパーリンク" xfId="2092" builtinId="8" hidden="1"/>
    <cellStyle name="ハイパーリンク" xfId="2094" builtinId="8" hidden="1"/>
    <cellStyle name="ハイパーリンク" xfId="2096" builtinId="8" hidden="1"/>
    <cellStyle name="ハイパーリンク" xfId="2098" builtinId="8" hidden="1"/>
    <cellStyle name="ハイパーリンク" xfId="2100" builtinId="8" hidden="1"/>
    <cellStyle name="ハイパーリンク" xfId="2102" builtinId="8" hidden="1"/>
    <cellStyle name="ハイパーリンク" xfId="2104" builtinId="8" hidden="1"/>
    <cellStyle name="ハイパーリンク" xfId="2106" builtinId="8" hidden="1"/>
    <cellStyle name="ハイパーリンク" xfId="2108" builtinId="8" hidden="1"/>
    <cellStyle name="ハイパーリンク" xfId="2110" builtinId="8" hidden="1"/>
    <cellStyle name="ハイパーリンク" xfId="2112" builtinId="8" hidden="1"/>
    <cellStyle name="ハイパーリンク" xfId="2114" builtinId="8" hidden="1"/>
    <cellStyle name="ハイパーリンク" xfId="2116" builtinId="8" hidden="1"/>
    <cellStyle name="ハイパーリンク" xfId="2118" builtinId="8" hidden="1"/>
    <cellStyle name="ハイパーリンク" xfId="2120" builtinId="8" hidden="1"/>
    <cellStyle name="ハイパーリンク" xfId="2122" builtinId="8" hidden="1"/>
    <cellStyle name="ハイパーリンク" xfId="2124" builtinId="8" hidden="1"/>
    <cellStyle name="ハイパーリンク" xfId="2126" builtinId="8" hidden="1"/>
    <cellStyle name="ハイパーリンク" xfId="2128" builtinId="8" hidden="1"/>
    <cellStyle name="ハイパーリンク" xfId="2130" builtinId="8" hidden="1"/>
    <cellStyle name="ハイパーリンク" xfId="2132" builtinId="8" hidden="1"/>
    <cellStyle name="ハイパーリンク" xfId="2134" builtinId="8" hidden="1"/>
    <cellStyle name="ハイパーリンク" xfId="2136" builtinId="8" hidden="1"/>
    <cellStyle name="ハイパーリンク" xfId="2138" builtinId="8" hidden="1"/>
    <cellStyle name="ハイパーリンク" xfId="2140" builtinId="8" hidden="1"/>
    <cellStyle name="ハイパーリンク" xfId="2142" builtinId="8" hidden="1"/>
    <cellStyle name="ハイパーリンク" xfId="2144" builtinId="8" hidden="1"/>
    <cellStyle name="ハイパーリンク" xfId="2146" builtinId="8" hidden="1"/>
    <cellStyle name="ハイパーリンク" xfId="2148" builtinId="8" hidden="1"/>
    <cellStyle name="ハイパーリンク" xfId="2150" builtinId="8" hidden="1"/>
    <cellStyle name="ハイパーリンク" xfId="2152" builtinId="8" hidden="1"/>
    <cellStyle name="ハイパーリンク" xfId="2154" builtinId="8" hidden="1"/>
    <cellStyle name="ハイパーリンク" xfId="2156" builtinId="8" hidden="1"/>
    <cellStyle name="ハイパーリンク" xfId="2158" builtinId="8" hidden="1"/>
    <cellStyle name="ハイパーリンク" xfId="2160" builtinId="8" hidden="1"/>
    <cellStyle name="ハイパーリンク" xfId="2162" builtinId="8" hidden="1"/>
    <cellStyle name="ハイパーリンク" xfId="2164" builtinId="8" hidden="1"/>
    <cellStyle name="ハイパーリンク" xfId="2166" builtinId="8" hidden="1"/>
    <cellStyle name="ハイパーリンク" xfId="2168" builtinId="8" hidden="1"/>
    <cellStyle name="ハイパーリンク" xfId="2170" builtinId="8" hidden="1"/>
    <cellStyle name="ハイパーリンク" xfId="2172" builtinId="8" hidden="1"/>
    <cellStyle name="ハイパーリンク" xfId="2174" builtinId="8" hidden="1"/>
    <cellStyle name="ハイパーリンク" xfId="2176" builtinId="8" hidden="1"/>
    <cellStyle name="ハイパーリンク" xfId="2178" builtinId="8" hidden="1"/>
    <cellStyle name="ハイパーリンク" xfId="2180" builtinId="8" hidden="1"/>
    <cellStyle name="ハイパーリンク" xfId="2182" builtinId="8" hidden="1"/>
    <cellStyle name="ハイパーリンク" xfId="2184" builtinId="8" hidden="1"/>
    <cellStyle name="ハイパーリンク" xfId="2186" builtinId="8" hidden="1"/>
    <cellStyle name="ハイパーリンク" xfId="2188" builtinId="8" hidden="1"/>
    <cellStyle name="ハイパーリンク" xfId="2190" builtinId="8" hidden="1"/>
    <cellStyle name="ハイパーリンク" xfId="2192" builtinId="8" hidden="1"/>
    <cellStyle name="ハイパーリンク" xfId="2194" builtinId="8" hidden="1"/>
    <cellStyle name="ハイパーリンク" xfId="2196" builtinId="8" hidden="1"/>
    <cellStyle name="ハイパーリンク" xfId="2198" builtinId="8" hidden="1"/>
    <cellStyle name="ハイパーリンク" xfId="2200" builtinId="8" hidden="1"/>
    <cellStyle name="ハイパーリンク" xfId="2202" builtinId="8" hidden="1"/>
    <cellStyle name="ハイパーリンク" xfId="2204" builtinId="8" hidden="1"/>
    <cellStyle name="ハイパーリンク" xfId="2206" builtinId="8" hidden="1"/>
    <cellStyle name="ハイパーリンク" xfId="2208" builtinId="8" hidden="1"/>
    <cellStyle name="ハイパーリンク" xfId="2210" builtinId="8" hidden="1"/>
    <cellStyle name="ハイパーリンク" xfId="2212" builtinId="8" hidden="1"/>
    <cellStyle name="ハイパーリンク" xfId="2214" builtinId="8" hidden="1"/>
    <cellStyle name="ハイパーリンク" xfId="2216" builtinId="8" hidden="1"/>
    <cellStyle name="ハイパーリンク" xfId="2218" builtinId="8" hidden="1"/>
    <cellStyle name="ハイパーリンク" xfId="2220" builtinId="8" hidden="1"/>
    <cellStyle name="ハイパーリンク" xfId="2222" builtinId="8" hidden="1"/>
    <cellStyle name="ハイパーリンク" xfId="2224" builtinId="8" hidden="1"/>
    <cellStyle name="ハイパーリンク" xfId="2226" builtinId="8" hidden="1"/>
    <cellStyle name="ハイパーリンク" xfId="2228" builtinId="8" hidden="1"/>
    <cellStyle name="ハイパーリンク" xfId="2230" builtinId="8" hidden="1"/>
    <cellStyle name="ハイパーリンク" xfId="2232" builtinId="8" hidden="1"/>
    <cellStyle name="ハイパーリンク" xfId="2234" builtinId="8" hidden="1"/>
    <cellStyle name="ハイパーリンク" xfId="2236" builtinId="8" hidden="1"/>
    <cellStyle name="ハイパーリンク" xfId="2238" builtinId="8" hidden="1"/>
    <cellStyle name="ハイパーリンク" xfId="2240" builtinId="8" hidden="1"/>
    <cellStyle name="ハイパーリンク" xfId="2242" builtinId="8" hidden="1"/>
    <cellStyle name="ハイパーリンク" xfId="2244" builtinId="8" hidden="1"/>
    <cellStyle name="ハイパーリンク" xfId="2246" builtinId="8" hidden="1"/>
    <cellStyle name="ハイパーリンク" xfId="2248" builtinId="8" hidden="1"/>
    <cellStyle name="ハイパーリンク" xfId="2250" builtinId="8" hidden="1"/>
    <cellStyle name="ハイパーリンク" xfId="2252" builtinId="8" hidden="1"/>
    <cellStyle name="ハイパーリンク" xfId="2254" builtinId="8" hidden="1"/>
    <cellStyle name="ハイパーリンク" xfId="2256" builtinId="8" hidden="1"/>
    <cellStyle name="ハイパーリンク" xfId="2258" builtinId="8" hidden="1"/>
    <cellStyle name="ハイパーリンク" xfId="2260" builtinId="8" hidden="1"/>
    <cellStyle name="ハイパーリンク" xfId="2262" builtinId="8" hidden="1"/>
    <cellStyle name="ハイパーリンク" xfId="2264" builtinId="8" hidden="1"/>
    <cellStyle name="ハイパーリンク" xfId="2266" builtinId="8" hidden="1"/>
    <cellStyle name="ハイパーリンク" xfId="2268" builtinId="8" hidden="1"/>
    <cellStyle name="ハイパーリンク" xfId="2270" builtinId="8" hidden="1"/>
    <cellStyle name="ハイパーリンク" xfId="2272" builtinId="8" hidden="1"/>
    <cellStyle name="ハイパーリンク" xfId="2274" builtinId="8" hidden="1"/>
    <cellStyle name="ハイパーリンク" xfId="2276" builtinId="8" hidden="1"/>
    <cellStyle name="ハイパーリンク" xfId="2278" builtinId="8" hidden="1"/>
    <cellStyle name="ハイパーリンク" xfId="2280" builtinId="8" hidden="1"/>
    <cellStyle name="ハイパーリンク" xfId="2282" builtinId="8" hidden="1"/>
    <cellStyle name="ハイパーリンク" xfId="2284" builtinId="8" hidden="1"/>
    <cellStyle name="ハイパーリンク" xfId="2286" builtinId="8" hidden="1"/>
    <cellStyle name="ハイパーリンク" xfId="2288" builtinId="8" hidden="1"/>
    <cellStyle name="ハイパーリンク" xfId="2290" builtinId="8" hidden="1"/>
    <cellStyle name="ハイパーリンク" xfId="2292" builtinId="8" hidden="1"/>
    <cellStyle name="ハイパーリンク" xfId="2294" builtinId="8" hidden="1"/>
    <cellStyle name="ハイパーリンク" xfId="2296" builtinId="8" hidden="1"/>
    <cellStyle name="ハイパーリンク" xfId="2298" builtinId="8" hidden="1"/>
    <cellStyle name="ハイパーリンク" xfId="2300" builtinId="8" hidden="1"/>
    <cellStyle name="ハイパーリンク" xfId="2302" builtinId="8" hidden="1"/>
    <cellStyle name="ハイパーリンク" xfId="2304" builtinId="8" hidden="1"/>
    <cellStyle name="ハイパーリンク" xfId="2306" builtinId="8" hidden="1"/>
    <cellStyle name="ハイパーリンク" xfId="2308" builtinId="8" hidden="1"/>
    <cellStyle name="ハイパーリンク" xfId="2310" builtinId="8" hidden="1"/>
    <cellStyle name="ハイパーリンク" xfId="2312" builtinId="8" hidden="1"/>
    <cellStyle name="ハイパーリンク" xfId="2314" builtinId="8" hidden="1"/>
    <cellStyle name="ハイパーリンク" xfId="2316" builtinId="8" hidden="1"/>
    <cellStyle name="ハイパーリンク" xfId="2318" builtinId="8" hidden="1"/>
    <cellStyle name="ハイパーリンク" xfId="2320" builtinId="8" hidden="1"/>
    <cellStyle name="ハイパーリンク" xfId="2322" builtinId="8" hidden="1"/>
    <cellStyle name="ハイパーリンク" xfId="2324" builtinId="8" hidden="1"/>
    <cellStyle name="ハイパーリンク" xfId="2326" builtinId="8" hidden="1"/>
    <cellStyle name="ハイパーリンク" xfId="2328" builtinId="8" hidden="1"/>
    <cellStyle name="ハイパーリンク" xfId="2330" builtinId="8" hidden="1"/>
    <cellStyle name="ハイパーリンク" xfId="2332" builtinId="8" hidden="1"/>
    <cellStyle name="ハイパーリンク" xfId="2334" builtinId="8" hidden="1"/>
    <cellStyle name="ハイパーリンク" xfId="2336" builtinId="8" hidden="1"/>
    <cellStyle name="ハイパーリンク" xfId="2338" builtinId="8" hidden="1"/>
    <cellStyle name="ハイパーリンク" xfId="2340" builtinId="8" hidden="1"/>
    <cellStyle name="ハイパーリンク" xfId="2342" builtinId="8" hidden="1"/>
    <cellStyle name="ハイパーリンク" xfId="2344" builtinId="8" hidden="1"/>
    <cellStyle name="ハイパーリンク" xfId="2346" builtinId="8" hidden="1"/>
    <cellStyle name="ハイパーリンク" xfId="2348" builtinId="8" hidden="1"/>
    <cellStyle name="ハイパーリンク" xfId="2350" builtinId="8" hidden="1"/>
    <cellStyle name="ハイパーリンク" xfId="2352" builtinId="8" hidden="1"/>
    <cellStyle name="ハイパーリンク" xfId="2354" builtinId="8" hidden="1"/>
    <cellStyle name="ハイパーリンク" xfId="2356" builtinId="8" hidden="1"/>
    <cellStyle name="ハイパーリンク" xfId="2358" builtinId="8" hidden="1"/>
    <cellStyle name="ハイパーリンク" xfId="2360" builtinId="8" hidden="1"/>
    <cellStyle name="ハイパーリンク" xfId="2362" builtinId="8" hidden="1"/>
    <cellStyle name="ハイパーリンク" xfId="2364" builtinId="8" hidden="1"/>
    <cellStyle name="ハイパーリンク" xfId="2366" builtinId="8" hidden="1"/>
    <cellStyle name="ハイパーリンク" xfId="2368" builtinId="8" hidden="1"/>
    <cellStyle name="ハイパーリンク" xfId="2370" builtinId="8" hidden="1"/>
    <cellStyle name="ハイパーリンク" xfId="2372" builtinId="8" hidden="1"/>
    <cellStyle name="ハイパーリンク" xfId="2374" builtinId="8" hidden="1"/>
    <cellStyle name="ハイパーリンク" xfId="2376" builtinId="8" hidden="1"/>
    <cellStyle name="ハイパーリンク" xfId="2378" builtinId="8" hidden="1"/>
    <cellStyle name="ハイパーリンク" xfId="2380" builtinId="8" hidden="1"/>
    <cellStyle name="ハイパーリンク" xfId="2382" builtinId="8" hidden="1"/>
    <cellStyle name="ハイパーリンク" xfId="2384" builtinId="8" hidden="1"/>
    <cellStyle name="ハイパーリンク" xfId="2386" builtinId="8" hidden="1"/>
    <cellStyle name="ハイパーリンク" xfId="2388" builtinId="8" hidden="1"/>
    <cellStyle name="ハイパーリンク" xfId="2390" builtinId="8" hidden="1"/>
    <cellStyle name="ハイパーリンク" xfId="2392" builtinId="8" hidden="1"/>
    <cellStyle name="ハイパーリンク" xfId="2394" builtinId="8" hidden="1"/>
    <cellStyle name="ハイパーリンク" xfId="2396" builtinId="8" hidden="1"/>
    <cellStyle name="ハイパーリンク" xfId="2398" builtinId="8" hidden="1"/>
    <cellStyle name="ハイパーリンク" xfId="2400" builtinId="8" hidden="1"/>
    <cellStyle name="ハイパーリンク" xfId="2402" builtinId="8" hidden="1"/>
    <cellStyle name="ハイパーリンク" xfId="2404" builtinId="8" hidden="1"/>
    <cellStyle name="ハイパーリンク" xfId="2406" builtinId="8" hidden="1"/>
    <cellStyle name="ハイパーリンク" xfId="2408" builtinId="8" hidden="1"/>
    <cellStyle name="ハイパーリンク" xfId="2410" builtinId="8" hidden="1"/>
    <cellStyle name="ハイパーリンク" xfId="2412" builtinId="8" hidden="1"/>
    <cellStyle name="ハイパーリンク" xfId="2414" builtinId="8" hidden="1"/>
    <cellStyle name="ハイパーリンク" xfId="2416" builtinId="8" hidden="1"/>
    <cellStyle name="ハイパーリンク" xfId="2418" builtinId="8" hidden="1"/>
    <cellStyle name="ハイパーリンク" xfId="2420" builtinId="8" hidden="1"/>
    <cellStyle name="ハイパーリンク" xfId="2422" builtinId="8" hidden="1"/>
    <cellStyle name="ハイパーリンク" xfId="2424" builtinId="8" hidden="1"/>
    <cellStyle name="ハイパーリンク" xfId="2426" builtinId="8" hidden="1"/>
    <cellStyle name="ハイパーリンク" xfId="2428" builtinId="8" hidden="1"/>
    <cellStyle name="ハイパーリンク" xfId="2430" builtinId="8" hidden="1"/>
    <cellStyle name="ハイパーリンク" xfId="2432" builtinId="8" hidden="1"/>
    <cellStyle name="ハイパーリンク" xfId="2434" builtinId="8" hidden="1"/>
    <cellStyle name="ハイパーリンク" xfId="2436" builtinId="8" hidden="1"/>
    <cellStyle name="ハイパーリンク" xfId="2438" builtinId="8" hidden="1"/>
    <cellStyle name="ハイパーリンク" xfId="2440" builtinId="8" hidden="1"/>
    <cellStyle name="ハイパーリンク" xfId="2442" builtinId="8" hidden="1"/>
    <cellStyle name="ハイパーリンク" xfId="2444" builtinId="8" hidden="1"/>
    <cellStyle name="ハイパーリンク" xfId="2446" builtinId="8" hidden="1"/>
    <cellStyle name="ハイパーリンク" xfId="2448" builtinId="8" hidden="1"/>
    <cellStyle name="ハイパーリンク" xfId="2450" builtinId="8" hidden="1"/>
    <cellStyle name="ハイパーリンク" xfId="2452" builtinId="8" hidden="1"/>
    <cellStyle name="ハイパーリンク" xfId="2454" builtinId="8" hidden="1"/>
    <cellStyle name="ハイパーリンク" xfId="2456" builtinId="8" hidden="1"/>
    <cellStyle name="ハイパーリンク" xfId="2458" builtinId="8" hidden="1"/>
    <cellStyle name="ハイパーリンク" xfId="2460" builtinId="8" hidden="1"/>
    <cellStyle name="ハイパーリンク" xfId="2462" builtinId="8" hidden="1"/>
    <cellStyle name="ハイパーリンク" xfId="2464" builtinId="8" hidden="1"/>
    <cellStyle name="ハイパーリンク" xfId="2466" builtinId="8" hidden="1"/>
    <cellStyle name="ハイパーリンク" xfId="2468" builtinId="8" hidden="1"/>
    <cellStyle name="ハイパーリンク" xfId="2470" builtinId="8" hidden="1"/>
    <cellStyle name="ハイパーリンク" xfId="2472" builtinId="8" hidden="1"/>
    <cellStyle name="ハイパーリンク" xfId="2474" builtinId="8" hidden="1"/>
    <cellStyle name="ハイパーリンク" xfId="2476" builtinId="8" hidden="1"/>
    <cellStyle name="ハイパーリンク" xfId="2478" builtinId="8" hidden="1"/>
    <cellStyle name="ハイパーリンク" xfId="2480" builtinId="8" hidden="1"/>
    <cellStyle name="ハイパーリンク" xfId="2482" builtinId="8" hidden="1"/>
    <cellStyle name="ハイパーリンク" xfId="2484" builtinId="8" hidden="1"/>
    <cellStyle name="ハイパーリンク" xfId="2486" builtinId="8" hidden="1"/>
    <cellStyle name="ハイパーリンク" xfId="2488" builtinId="8" hidden="1"/>
    <cellStyle name="ハイパーリンク" xfId="2490" builtinId="8" hidden="1"/>
    <cellStyle name="ハイパーリンク" xfId="2492" builtinId="8" hidden="1"/>
    <cellStyle name="ハイパーリンク" xfId="2494" builtinId="8" hidden="1"/>
    <cellStyle name="ハイパーリンク" xfId="2496" builtinId="8" hidden="1"/>
    <cellStyle name="ハイパーリンク" xfId="2498" builtinId="8" hidden="1"/>
    <cellStyle name="ハイパーリンク" xfId="2500" builtinId="8" hidden="1"/>
    <cellStyle name="ハイパーリンク" xfId="2502" builtinId="8" hidden="1"/>
    <cellStyle name="ハイパーリンク" xfId="2504" builtinId="8" hidden="1"/>
    <cellStyle name="ハイパーリンク" xfId="2506" builtinId="8" hidden="1"/>
    <cellStyle name="ハイパーリンク" xfId="2508" builtinId="8" hidden="1"/>
    <cellStyle name="ハイパーリンク" xfId="2510" builtinId="8" hidden="1"/>
    <cellStyle name="ハイパーリンク" xfId="2512" builtinId="8" hidden="1"/>
    <cellStyle name="ハイパーリンク" xfId="2514" builtinId="8" hidden="1"/>
    <cellStyle name="ハイパーリンク" xfId="2516" builtinId="8" hidden="1"/>
    <cellStyle name="ハイパーリンク" xfId="2518" builtinId="8" hidden="1"/>
    <cellStyle name="ハイパーリンク" xfId="2520" builtinId="8" hidden="1"/>
    <cellStyle name="ハイパーリンク" xfId="2522" builtinId="8" hidden="1"/>
    <cellStyle name="ハイパーリンク" xfId="2524" builtinId="8" hidden="1"/>
    <cellStyle name="ハイパーリンク" xfId="2526" builtinId="8" hidden="1"/>
    <cellStyle name="ハイパーリンク" xfId="2528" builtinId="8" hidden="1"/>
    <cellStyle name="ハイパーリンク" xfId="2530" builtinId="8" hidden="1"/>
    <cellStyle name="ハイパーリンク" xfId="2532" builtinId="8" hidden="1"/>
    <cellStyle name="ハイパーリンク" xfId="2534" builtinId="8" hidden="1"/>
    <cellStyle name="ハイパーリンク" xfId="2536" builtinId="8" hidden="1"/>
    <cellStyle name="ハイパーリンク" xfId="2538" builtinId="8" hidden="1"/>
    <cellStyle name="ハイパーリンク" xfId="2540" builtinId="8" hidden="1"/>
    <cellStyle name="ハイパーリンク" xfId="2542" builtinId="8" hidden="1"/>
    <cellStyle name="ハイパーリンク" xfId="2544" builtinId="8" hidden="1"/>
    <cellStyle name="ハイパーリンク" xfId="2546" builtinId="8" hidden="1"/>
    <cellStyle name="ハイパーリンク" xfId="2548" builtinId="8" hidden="1"/>
    <cellStyle name="ハイパーリンク" xfId="2550" builtinId="8" hidden="1"/>
    <cellStyle name="ハイパーリンク" xfId="2552" builtinId="8" hidden="1"/>
    <cellStyle name="ハイパーリンク" xfId="2554" builtinId="8" hidden="1"/>
    <cellStyle name="ハイパーリンク" xfId="2556" builtinId="8" hidden="1"/>
    <cellStyle name="ハイパーリンク" xfId="2558" builtinId="8" hidden="1"/>
    <cellStyle name="ハイパーリンク" xfId="2560" builtinId="8" hidden="1"/>
    <cellStyle name="ハイパーリンク" xfId="2562" builtinId="8" hidden="1"/>
    <cellStyle name="ハイパーリンク" xfId="2564" builtinId="8" hidden="1"/>
    <cellStyle name="ハイパーリンク" xfId="2566" builtinId="8" hidden="1"/>
    <cellStyle name="ハイパーリンク" xfId="2568" builtinId="8" hidden="1"/>
    <cellStyle name="ハイパーリンク" xfId="2570" builtinId="8" hidden="1"/>
    <cellStyle name="ハイパーリンク" xfId="2572" builtinId="8" hidden="1"/>
    <cellStyle name="ハイパーリンク" xfId="2574" builtinId="8" hidden="1"/>
    <cellStyle name="ハイパーリンク" xfId="2576" builtinId="8" hidden="1"/>
    <cellStyle name="ハイパーリンク" xfId="2578" builtinId="8" hidden="1"/>
    <cellStyle name="ハイパーリンク" xfId="2580" builtinId="8" hidden="1"/>
    <cellStyle name="ハイパーリンク" xfId="2582" builtinId="8" hidden="1"/>
    <cellStyle name="ハイパーリンク" xfId="2584" builtinId="8" hidden="1"/>
    <cellStyle name="ハイパーリンク" xfId="2586" builtinId="8" hidden="1"/>
    <cellStyle name="ハイパーリンク" xfId="2588" builtinId="8" hidden="1"/>
    <cellStyle name="ハイパーリンク" xfId="2590" builtinId="8" hidden="1"/>
    <cellStyle name="ハイパーリンク" xfId="2592" builtinId="8" hidden="1"/>
    <cellStyle name="ハイパーリンク" xfId="2594" builtinId="8" hidden="1"/>
    <cellStyle name="ハイパーリンク" xfId="2596" builtinId="8" hidden="1"/>
    <cellStyle name="ハイパーリンク" xfId="2598" builtinId="8" hidden="1"/>
    <cellStyle name="ハイパーリンク" xfId="2600" builtinId="8" hidden="1"/>
    <cellStyle name="ハイパーリンク" xfId="2602" builtinId="8" hidden="1"/>
    <cellStyle name="ハイパーリンク" xfId="2604" builtinId="8" hidden="1"/>
    <cellStyle name="ハイパーリンク" xfId="2606" builtinId="8" hidden="1"/>
    <cellStyle name="ハイパーリンク" xfId="2608" builtinId="8" hidden="1"/>
    <cellStyle name="ハイパーリンク" xfId="2610" builtinId="8" hidden="1"/>
    <cellStyle name="ハイパーリンク" xfId="2612" builtinId="8" hidden="1"/>
    <cellStyle name="ハイパーリンク" xfId="2614" builtinId="8" hidden="1"/>
    <cellStyle name="ハイパーリンク" xfId="2616" builtinId="8" hidden="1"/>
    <cellStyle name="ハイパーリンク" xfId="2618" builtinId="8" hidden="1"/>
    <cellStyle name="ハイパーリンク" xfId="2620" builtinId="8" hidden="1"/>
    <cellStyle name="ハイパーリンク" xfId="2622" builtinId="8" hidden="1"/>
    <cellStyle name="ハイパーリンク" xfId="2624" builtinId="8" hidden="1"/>
    <cellStyle name="ハイパーリンク" xfId="2626" builtinId="8" hidden="1"/>
    <cellStyle name="ハイパーリンク" xfId="2628" builtinId="8" hidden="1"/>
    <cellStyle name="ハイパーリンク" xfId="2630" builtinId="8" hidden="1"/>
    <cellStyle name="ハイパーリンク" xfId="2632" builtinId="8" hidden="1"/>
    <cellStyle name="ハイパーリンク" xfId="2634" builtinId="8" hidden="1"/>
    <cellStyle name="ハイパーリンク" xfId="2636" builtinId="8" hidden="1"/>
    <cellStyle name="ハイパーリンク" xfId="2638" builtinId="8" hidden="1"/>
    <cellStyle name="ハイパーリンク" xfId="2640" builtinId="8" hidden="1"/>
    <cellStyle name="ハイパーリンク" xfId="2642" builtinId="8" hidden="1"/>
    <cellStyle name="ハイパーリンク" xfId="2644" builtinId="8" hidden="1"/>
    <cellStyle name="ハイパーリンク" xfId="2646" builtinId="8" hidden="1"/>
    <cellStyle name="ハイパーリンク" xfId="2648" builtinId="8" hidden="1"/>
    <cellStyle name="ハイパーリンク" xfId="2650" builtinId="8" hidden="1"/>
    <cellStyle name="ハイパーリンク" xfId="2652" builtinId="8" hidden="1"/>
    <cellStyle name="ハイパーリンク" xfId="2654" builtinId="8" hidden="1"/>
    <cellStyle name="ハイパーリンク" xfId="2656" builtinId="8" hidden="1"/>
    <cellStyle name="ハイパーリンク" xfId="2658" builtinId="8" hidden="1"/>
    <cellStyle name="ハイパーリンク" xfId="2660" builtinId="8" hidden="1"/>
    <cellStyle name="ハイパーリンク" xfId="2662" builtinId="8" hidden="1"/>
    <cellStyle name="ハイパーリンク" xfId="2664" builtinId="8" hidden="1"/>
    <cellStyle name="ハイパーリンク" xfId="2666" builtinId="8" hidden="1"/>
    <cellStyle name="ハイパーリンク" xfId="2668" builtinId="8" hidden="1"/>
    <cellStyle name="ハイパーリンク" xfId="2670" builtinId="8" hidden="1"/>
    <cellStyle name="ハイパーリンク" xfId="2672" builtinId="8" hidden="1"/>
    <cellStyle name="ハイパーリンク" xfId="2674" builtinId="8" hidden="1"/>
    <cellStyle name="ハイパーリンク" xfId="2676" builtinId="8" hidden="1"/>
    <cellStyle name="ハイパーリンク" xfId="2678" builtinId="8" hidden="1"/>
    <cellStyle name="ハイパーリンク" xfId="2680" builtinId="8" hidden="1"/>
    <cellStyle name="ハイパーリンク" xfId="2682" builtinId="8" hidden="1"/>
    <cellStyle name="ハイパーリンク" xfId="2684" builtinId="8" hidden="1"/>
    <cellStyle name="ハイパーリンク" xfId="2686" builtinId="8" hidden="1"/>
    <cellStyle name="ハイパーリンク" xfId="2688" builtinId="8" hidden="1"/>
    <cellStyle name="ハイパーリンク" xfId="2690" builtinId="8" hidden="1"/>
    <cellStyle name="ハイパーリンク" xfId="2692" builtinId="8" hidden="1"/>
    <cellStyle name="ハイパーリンク" xfId="2694" builtinId="8" hidden="1"/>
    <cellStyle name="ハイパーリンク" xfId="2696" builtinId="8" hidden="1"/>
    <cellStyle name="ハイパーリンク" xfId="2698" builtinId="8" hidden="1"/>
    <cellStyle name="ハイパーリンク" xfId="2700" builtinId="8" hidden="1"/>
    <cellStyle name="ハイパーリンク" xfId="2702" builtinId="8" hidden="1"/>
    <cellStyle name="ハイパーリンク" xfId="2704" builtinId="8" hidden="1"/>
    <cellStyle name="ハイパーリンク" xfId="2706" builtinId="8" hidden="1"/>
    <cellStyle name="ハイパーリンク" xfId="2708" builtinId="8" hidden="1"/>
    <cellStyle name="ハイパーリンク" xfId="2710" builtinId="8" hidden="1"/>
    <cellStyle name="ハイパーリンク" xfId="2712" builtinId="8" hidden="1"/>
    <cellStyle name="ハイパーリンク" xfId="2714" builtinId="8" hidden="1"/>
    <cellStyle name="ハイパーリンク" xfId="2716" builtinId="8" hidden="1"/>
    <cellStyle name="ハイパーリンク" xfId="2718" builtinId="8" hidden="1"/>
    <cellStyle name="ハイパーリンク" xfId="2720" builtinId="8" hidden="1"/>
    <cellStyle name="ハイパーリンク" xfId="2722" builtinId="8" hidden="1"/>
    <cellStyle name="ハイパーリンク" xfId="2724" builtinId="8" hidden="1"/>
    <cellStyle name="ハイパーリンク" xfId="2726" builtinId="8" hidden="1"/>
    <cellStyle name="ハイパーリンク" xfId="2728" builtinId="8" hidden="1"/>
    <cellStyle name="ハイパーリンク" xfId="2730" builtinId="8" hidden="1"/>
    <cellStyle name="ハイパーリンク" xfId="2732" builtinId="8" hidden="1"/>
    <cellStyle name="ハイパーリンク" xfId="2734" builtinId="8" hidden="1"/>
    <cellStyle name="ハイパーリンク" xfId="2736" builtinId="8" hidden="1"/>
    <cellStyle name="ハイパーリンク" xfId="2738" builtinId="8" hidden="1"/>
    <cellStyle name="ハイパーリンク" xfId="2740" builtinId="8" hidden="1"/>
    <cellStyle name="ハイパーリンク" xfId="2742" builtinId="8" hidden="1"/>
    <cellStyle name="ハイパーリンク" xfId="2744" builtinId="8" hidden="1"/>
    <cellStyle name="ハイパーリンク" xfId="2746" builtinId="8" hidden="1"/>
    <cellStyle name="ハイパーリンク" xfId="2748" builtinId="8" hidden="1"/>
    <cellStyle name="ハイパーリンク" xfId="2750" builtinId="8" hidden="1"/>
    <cellStyle name="ハイパーリンク" xfId="2752" builtinId="8" hidden="1"/>
    <cellStyle name="ハイパーリンク" xfId="2754" builtinId="8" hidden="1"/>
    <cellStyle name="ハイパーリンク" xfId="2756" builtinId="8" hidden="1"/>
    <cellStyle name="ハイパーリンク" xfId="2758" builtinId="8" hidden="1"/>
    <cellStyle name="ハイパーリンク" xfId="2760" builtinId="8" hidden="1"/>
    <cellStyle name="ハイパーリンク" xfId="2762" builtinId="8" hidden="1"/>
    <cellStyle name="ハイパーリンク" xfId="2764" builtinId="8" hidden="1"/>
    <cellStyle name="ハイパーリンク" xfId="2766" builtinId="8" hidden="1"/>
    <cellStyle name="ハイパーリンク" xfId="2768" builtinId="8" hidden="1"/>
    <cellStyle name="ハイパーリンク" xfId="2770" builtinId="8" hidden="1"/>
    <cellStyle name="ハイパーリンク" xfId="2772" builtinId="8" hidden="1"/>
    <cellStyle name="ハイパーリンク" xfId="2774" builtinId="8" hidden="1"/>
    <cellStyle name="ハイパーリンク" xfId="2776" builtinId="8" hidden="1"/>
    <cellStyle name="ハイパーリンク" xfId="2778" builtinId="8" hidden="1"/>
    <cellStyle name="ハイパーリンク" xfId="2780" builtinId="8" hidden="1"/>
    <cellStyle name="ハイパーリンク" xfId="2782" builtinId="8" hidden="1"/>
    <cellStyle name="ハイパーリンク" xfId="2784" builtinId="8" hidden="1"/>
    <cellStyle name="ハイパーリンク" xfId="2786" builtinId="8" hidden="1"/>
    <cellStyle name="ハイパーリンク" xfId="2788" builtinId="8" hidden="1"/>
    <cellStyle name="ハイパーリンク" xfId="2790" builtinId="8" hidden="1"/>
    <cellStyle name="ハイパーリンク" xfId="2792" builtinId="8" hidden="1"/>
    <cellStyle name="ハイパーリンク" xfId="2794" builtinId="8" hidden="1"/>
    <cellStyle name="ハイパーリンク" xfId="2796" builtinId="8" hidden="1"/>
    <cellStyle name="ハイパーリンク" xfId="2798" builtinId="8" hidden="1"/>
    <cellStyle name="ハイパーリンク" xfId="2800" builtinId="8" hidden="1"/>
    <cellStyle name="ハイパーリンク" xfId="2802" builtinId="8" hidden="1"/>
    <cellStyle name="ハイパーリンク" xfId="2804" builtinId="8" hidden="1"/>
    <cellStyle name="ハイパーリンク" xfId="2806" builtinId="8" hidden="1"/>
    <cellStyle name="ハイパーリンク" xfId="2808" builtinId="8" hidden="1"/>
    <cellStyle name="ハイパーリンク" xfId="2810" builtinId="8" hidden="1"/>
    <cellStyle name="ハイパーリンク" xfId="2812" builtinId="8" hidden="1"/>
    <cellStyle name="ハイパーリンク" xfId="2814" builtinId="8" hidden="1"/>
    <cellStyle name="ハイパーリンク" xfId="2816" builtinId="8" hidden="1"/>
    <cellStyle name="ハイパーリンク" xfId="2818" builtinId="8" hidden="1"/>
    <cellStyle name="ハイパーリンク" xfId="2820" builtinId="8" hidden="1"/>
    <cellStyle name="ハイパーリンク" xfId="2822" builtinId="8" hidden="1"/>
    <cellStyle name="ハイパーリンク" xfId="2824" builtinId="8" hidden="1"/>
    <cellStyle name="ハイパーリンク" xfId="2826" builtinId="8" hidden="1"/>
    <cellStyle name="ハイパーリンク" xfId="2828" builtinId="8" hidden="1"/>
    <cellStyle name="ハイパーリンク" xfId="2830" builtinId="8" hidden="1"/>
    <cellStyle name="ハイパーリンク" xfId="2832" builtinId="8" hidden="1"/>
    <cellStyle name="ハイパーリンク" xfId="2834" builtinId="8" hidden="1"/>
    <cellStyle name="ハイパーリンク" xfId="2836" builtinId="8" hidden="1"/>
    <cellStyle name="ハイパーリンク" xfId="2838" builtinId="8" hidden="1"/>
    <cellStyle name="ハイパーリンク" xfId="2840" builtinId="8" hidden="1"/>
    <cellStyle name="ハイパーリンク" xfId="2842" builtinId="8" hidden="1"/>
    <cellStyle name="ハイパーリンク" xfId="2844" builtinId="8" hidden="1"/>
    <cellStyle name="ハイパーリンク" xfId="2846" builtinId="8" hidden="1"/>
    <cellStyle name="ハイパーリンク" xfId="2848" builtinId="8" hidden="1"/>
    <cellStyle name="ハイパーリンク" xfId="2850" builtinId="8" hidden="1"/>
    <cellStyle name="ハイパーリンク" xfId="2852" builtinId="8" hidden="1"/>
    <cellStyle name="ハイパーリンク" xfId="2854" builtinId="8" hidden="1"/>
    <cellStyle name="ハイパーリンク" xfId="2856" builtinId="8" hidden="1"/>
    <cellStyle name="ハイパーリンク" xfId="2858" builtinId="8" hidden="1"/>
    <cellStyle name="ハイパーリンク" xfId="2860" builtinId="8" hidden="1"/>
    <cellStyle name="ハイパーリンク" xfId="2862" builtinId="8" hidden="1"/>
    <cellStyle name="ハイパーリンク" xfId="2864" builtinId="8" hidden="1"/>
    <cellStyle name="ハイパーリンク" xfId="2866" builtinId="8" hidden="1"/>
    <cellStyle name="ハイパーリンク" xfId="2868" builtinId="8" hidden="1"/>
    <cellStyle name="ハイパーリンク" xfId="2870" builtinId="8" hidden="1"/>
    <cellStyle name="ハイパーリンク" xfId="2872" builtinId="8" hidden="1"/>
    <cellStyle name="ハイパーリンク" xfId="2874" builtinId="8" hidden="1"/>
    <cellStyle name="ハイパーリンク" xfId="2876" builtinId="8" hidden="1"/>
    <cellStyle name="ハイパーリンク" xfId="2878" builtinId="8" hidden="1"/>
    <cellStyle name="ハイパーリンク" xfId="2880" builtinId="8" hidden="1"/>
    <cellStyle name="ハイパーリンク" xfId="2882" builtinId="8" hidden="1"/>
    <cellStyle name="ハイパーリンク" xfId="2884" builtinId="8" hidden="1"/>
    <cellStyle name="ハイパーリンク" xfId="2886" builtinId="8" hidden="1"/>
    <cellStyle name="ハイパーリンク" xfId="2888" builtinId="8" hidden="1"/>
    <cellStyle name="ハイパーリンク" xfId="2890" builtinId="8" hidden="1"/>
    <cellStyle name="ハイパーリンク" xfId="2892" builtinId="8" hidden="1"/>
    <cellStyle name="ハイパーリンク" xfId="2894" builtinId="8" hidden="1"/>
    <cellStyle name="ハイパーリンク" xfId="2896" builtinId="8" hidden="1"/>
    <cellStyle name="ハイパーリンク" xfId="2898" builtinId="8" hidden="1"/>
    <cellStyle name="ハイパーリンク" xfId="2900" builtinId="8" hidden="1"/>
    <cellStyle name="ハイパーリンク" xfId="2902" builtinId="8" hidden="1"/>
    <cellStyle name="ハイパーリンク" xfId="2904" builtinId="8" hidden="1"/>
    <cellStyle name="ハイパーリンク" xfId="2906" builtinId="8" hidden="1"/>
    <cellStyle name="ハイパーリンク" xfId="2908" builtinId="8" hidden="1"/>
    <cellStyle name="ハイパーリンク" xfId="2910" builtinId="8" hidden="1"/>
    <cellStyle name="ハイパーリンク" xfId="2912" builtinId="8" hidden="1"/>
    <cellStyle name="ハイパーリンク" xfId="2914" builtinId="8" hidden="1"/>
    <cellStyle name="ハイパーリンク" xfId="2916" builtinId="8" hidden="1"/>
    <cellStyle name="ハイパーリンク" xfId="2918" builtinId="8" hidden="1"/>
    <cellStyle name="ハイパーリンク" xfId="2920" builtinId="8" hidden="1"/>
    <cellStyle name="ハイパーリンク" xfId="2922" builtinId="8" hidden="1"/>
    <cellStyle name="ハイパーリンク" xfId="2924" builtinId="8" hidden="1"/>
    <cellStyle name="ハイパーリンク" xfId="2926" builtinId="8" hidden="1"/>
    <cellStyle name="ハイパーリンク" xfId="2928" builtinId="8" hidden="1"/>
    <cellStyle name="ハイパーリンク" xfId="2930" builtinId="8" hidden="1"/>
    <cellStyle name="ハイパーリンク" xfId="2932" builtinId="8" hidden="1"/>
    <cellStyle name="ハイパーリンク" xfId="2934" builtinId="8" hidden="1"/>
    <cellStyle name="ハイパーリンク" xfId="2936" builtinId="8" hidden="1"/>
    <cellStyle name="ハイパーリンク" xfId="2938" builtinId="8" hidden="1"/>
    <cellStyle name="ハイパーリンク" xfId="2940" builtinId="8" hidden="1"/>
    <cellStyle name="ハイパーリンク" xfId="2942" builtinId="8" hidden="1"/>
    <cellStyle name="ハイパーリンク" xfId="2944" builtinId="8" hidden="1"/>
    <cellStyle name="ハイパーリンク" xfId="2946" builtinId="8" hidden="1"/>
    <cellStyle name="ハイパーリンク" xfId="2948" builtinId="8" hidden="1"/>
    <cellStyle name="ハイパーリンク" xfId="2950" builtinId="8" hidden="1"/>
    <cellStyle name="ハイパーリンク" xfId="2952" builtinId="8" hidden="1"/>
    <cellStyle name="ハイパーリンク" xfId="2954" builtinId="8" hidden="1"/>
    <cellStyle name="ハイパーリンク" xfId="2956" builtinId="8" hidden="1"/>
    <cellStyle name="ハイパーリンク" xfId="2958" builtinId="8" hidden="1"/>
    <cellStyle name="ハイパーリンク" xfId="2960" builtinId="8" hidden="1"/>
    <cellStyle name="ハイパーリンク" xfId="2962" builtinId="8" hidden="1"/>
    <cellStyle name="ハイパーリンク" xfId="2964" builtinId="8" hidden="1"/>
    <cellStyle name="ハイパーリンク" xfId="2966" builtinId="8" hidden="1"/>
    <cellStyle name="ハイパーリンク" xfId="2968" builtinId="8" hidden="1"/>
    <cellStyle name="ハイパーリンク" xfId="2970" builtinId="8" hidden="1"/>
    <cellStyle name="ハイパーリンク" xfId="2972" builtinId="8" hidden="1"/>
    <cellStyle name="ハイパーリンク" xfId="2974" builtinId="8" hidden="1"/>
    <cellStyle name="ハイパーリンク" xfId="2976" builtinId="8" hidden="1"/>
    <cellStyle name="ハイパーリンク" xfId="2980" builtinId="8" hidden="1"/>
    <cellStyle name="ハイパーリンク" xfId="2982" builtinId="8" hidden="1"/>
    <cellStyle name="ハイパーリンク" xfId="2984" builtinId="8" hidden="1"/>
    <cellStyle name="ハイパーリンク" xfId="2986" builtinId="8" hidden="1"/>
    <cellStyle name="ハイパーリンク" xfId="2988" builtinId="8" hidden="1"/>
    <cellStyle name="ハイパーリンク" xfId="2990" builtinId="8" hidden="1"/>
    <cellStyle name="ハイパーリンク" xfId="2992" builtinId="8" hidden="1"/>
    <cellStyle name="ハイパーリンク" xfId="2994" builtinId="8" hidden="1"/>
    <cellStyle name="ハイパーリンク" xfId="2996" builtinId="8" hidden="1"/>
    <cellStyle name="ハイパーリンク" xfId="2998" builtinId="8" hidden="1"/>
    <cellStyle name="ハイパーリンク" xfId="3000" builtinId="8" hidden="1"/>
    <cellStyle name="ハイパーリンク" xfId="3002" builtinId="8" hidden="1"/>
    <cellStyle name="ハイパーリンク" xfId="3004" builtinId="8" hidden="1"/>
    <cellStyle name="ハイパーリンク" xfId="3006" builtinId="8" hidden="1"/>
    <cellStyle name="ハイパーリンク" xfId="3008" builtinId="8" hidden="1"/>
    <cellStyle name="ハイパーリンク" xfId="3010" builtinId="8" hidden="1"/>
    <cellStyle name="ハイパーリンク" xfId="3012" builtinId="8" hidden="1"/>
    <cellStyle name="ハイパーリンク" xfId="3014" builtinId="8" hidden="1"/>
    <cellStyle name="ハイパーリンク" xfId="3016" builtinId="8" hidden="1"/>
    <cellStyle name="ハイパーリンク" xfId="3018" builtinId="8" hidden="1"/>
    <cellStyle name="ハイパーリンク" xfId="3020" builtinId="8" hidden="1"/>
    <cellStyle name="ハイパーリンク" xfId="3022" builtinId="8" hidden="1"/>
    <cellStyle name="ハイパーリンク" xfId="3024" builtinId="8" hidden="1"/>
    <cellStyle name="ハイパーリンク" xfId="3026" builtinId="8" hidden="1"/>
    <cellStyle name="ハイパーリンク" xfId="3028" builtinId="8" hidden="1"/>
    <cellStyle name="ハイパーリンク" xfId="3030" builtinId="8" hidden="1"/>
    <cellStyle name="ハイパーリンク" xfId="3032" builtinId="8" hidden="1"/>
    <cellStyle name="ハイパーリンク" xfId="3034" builtinId="8" hidden="1"/>
    <cellStyle name="ハイパーリンク" xfId="3037" builtinId="8" hidden="1"/>
    <cellStyle name="ハイパーリンク" xfId="3039" builtinId="8" hidden="1"/>
    <cellStyle name="ハイパーリンク" xfId="3041" builtinId="8" hidden="1"/>
    <cellStyle name="ハイパーリンク" xfId="3043" builtinId="8" hidden="1"/>
    <cellStyle name="ハイパーリンク" xfId="3045" builtinId="8" hidden="1"/>
    <cellStyle name="ハイパーリンク" xfId="3047" builtinId="8" hidden="1"/>
    <cellStyle name="ハイパーリンク" xfId="3049" builtinId="8" hidden="1"/>
    <cellStyle name="ハイパーリンク" xfId="3051" builtinId="8" hidden="1"/>
    <cellStyle name="ハイパーリンク" xfId="3053" builtinId="8" hidden="1"/>
    <cellStyle name="ハイパーリンク" xfId="3055" builtinId="8" hidden="1"/>
    <cellStyle name="ハイパーリンク" xfId="3057" builtinId="8" hidden="1"/>
    <cellStyle name="ハイパーリンク" xfId="3059" builtinId="8" hidden="1"/>
    <cellStyle name="ハイパーリンク" xfId="3061" builtinId="8" hidden="1"/>
    <cellStyle name="ハイパーリンク" xfId="3063" builtinId="8" hidden="1"/>
    <cellStyle name="ハイパーリンク" xfId="3065" builtinId="8" hidden="1"/>
    <cellStyle name="ハイパーリンク" xfId="3067" builtinId="8" hidden="1"/>
    <cellStyle name="ハイパーリンク" xfId="3069" builtinId="8" hidden="1"/>
    <cellStyle name="ハイパーリンク" xfId="3071" builtinId="8" hidden="1"/>
    <cellStyle name="ハイパーリンク" xfId="3073" builtinId="8" hidden="1"/>
    <cellStyle name="ハイパーリンク" xfId="3075" builtinId="8" hidden="1"/>
    <cellStyle name="ハイパーリンク" xfId="3077" builtinId="8" hidden="1"/>
    <cellStyle name="ハイパーリンク" xfId="3079" builtinId="8" hidden="1"/>
    <cellStyle name="ハイパーリンク" xfId="3081" builtinId="8" hidden="1"/>
    <cellStyle name="ハイパーリンク" xfId="3083" builtinId="8" hidden="1"/>
    <cellStyle name="ハイパーリンク" xfId="3085" builtinId="8" hidden="1"/>
    <cellStyle name="ハイパーリンク" xfId="3087" builtinId="8" hidden="1"/>
    <cellStyle name="ハイパーリンク" xfId="3089" builtinId="8" hidden="1"/>
    <cellStyle name="ハイパーリンク" xfId="3091" builtinId="8" hidden="1"/>
    <cellStyle name="ハイパーリンク" xfId="3093" builtinId="8" hidden="1"/>
    <cellStyle name="ハイパーリンク" xfId="3095" builtinId="8" hidden="1"/>
    <cellStyle name="ハイパーリンク" xfId="3097" builtinId="8" hidden="1"/>
    <cellStyle name="ハイパーリンク" xfId="3099" builtinId="8" hidden="1"/>
    <cellStyle name="ハイパーリンク" xfId="3101" builtinId="8" hidden="1"/>
    <cellStyle name="ハイパーリンク" xfId="3103" builtinId="8" hidden="1"/>
    <cellStyle name="ハイパーリンク" xfId="3105" builtinId="8" hidden="1"/>
    <cellStyle name="ハイパーリンク" xfId="3107" builtinId="8" hidden="1"/>
    <cellStyle name="ハイパーリンク" xfId="3109" builtinId="8" hidden="1"/>
    <cellStyle name="ハイパーリンク" xfId="3111" builtinId="8" hidden="1"/>
    <cellStyle name="ハイパーリンク" xfId="3113" builtinId="8" hidden="1"/>
    <cellStyle name="ハイパーリンク" xfId="3115" builtinId="8" hidden="1"/>
    <cellStyle name="ハイパーリンク" xfId="3117" builtinId="8" hidden="1"/>
    <cellStyle name="ハイパーリンク" xfId="3119" builtinId="8" hidden="1"/>
    <cellStyle name="ハイパーリンク" xfId="3121" builtinId="8" hidden="1"/>
    <cellStyle name="ハイパーリンク" xfId="3123" builtinId="8" hidden="1"/>
    <cellStyle name="ハイパーリンク" xfId="3125" builtinId="8" hidden="1"/>
    <cellStyle name="ハイパーリンク" xfId="3127" builtinId="8" hidden="1"/>
    <cellStyle name="ハイパーリンク" xfId="3129" builtinId="8" hidden="1"/>
    <cellStyle name="ハイパーリンク" xfId="3131" builtinId="8" hidden="1"/>
    <cellStyle name="ハイパーリンク" xfId="3133" builtinId="8" hidden="1"/>
    <cellStyle name="ハイパーリンク" xfId="3135" builtinId="8" hidden="1"/>
    <cellStyle name="ハイパーリンク" xfId="3137" builtinId="8" hidden="1"/>
    <cellStyle name="ハイパーリンク" xfId="3139" builtinId="8" hidden="1"/>
    <cellStyle name="ハイパーリンク" xfId="3141" builtinId="8" hidden="1"/>
    <cellStyle name="ハイパーリンク" xfId="3143" builtinId="8" hidden="1"/>
    <cellStyle name="ハイパーリンク" xfId="3145" builtinId="8" hidden="1"/>
    <cellStyle name="ハイパーリンク" xfId="3147" builtinId="8" hidden="1"/>
    <cellStyle name="ハイパーリンク" xfId="3149" builtinId="8" hidden="1"/>
    <cellStyle name="ハイパーリンク" xfId="3151" builtinId="8" hidden="1"/>
    <cellStyle name="ハイパーリンク" xfId="3153" builtinId="8" hidden="1"/>
    <cellStyle name="ハイパーリンク" xfId="3155" builtinId="8" hidden="1"/>
    <cellStyle name="ハイパーリンク" xfId="3157" builtinId="8" hidden="1"/>
    <cellStyle name="ハイパーリンク" xfId="3159" builtinId="8" hidden="1"/>
    <cellStyle name="ハイパーリンク" xfId="3161" builtinId="8" hidden="1"/>
    <cellStyle name="ハイパーリンク" xfId="3163" builtinId="8" hidden="1"/>
    <cellStyle name="ハイパーリンク" xfId="3165" builtinId="8" hidden="1"/>
    <cellStyle name="ハイパーリンク" xfId="3167" builtinId="8" hidden="1"/>
    <cellStyle name="ハイパーリンク" xfId="3169" builtinId="8" hidden="1"/>
    <cellStyle name="ハイパーリンク" xfId="3171" builtinId="8" hidden="1"/>
    <cellStyle name="ハイパーリンク" xfId="3173" builtinId="8" hidden="1"/>
    <cellStyle name="ハイパーリンク" xfId="3175" builtinId="8" hidden="1"/>
    <cellStyle name="ハイパーリンク" xfId="3177" builtinId="8" hidden="1"/>
    <cellStyle name="ハイパーリンク" xfId="3179" builtinId="8" hidden="1"/>
    <cellStyle name="ハイパーリンク" xfId="3181" builtinId="8" hidden="1"/>
    <cellStyle name="ハイパーリンク" xfId="3183" builtinId="8" hidden="1"/>
    <cellStyle name="ハイパーリンク" xfId="3185" builtinId="8" hidden="1"/>
    <cellStyle name="ハイパーリンク" xfId="3187" builtinId="8" hidden="1"/>
    <cellStyle name="ハイパーリンク" xfId="3189" builtinId="8" hidden="1"/>
    <cellStyle name="ハイパーリンク" xfId="3191" builtinId="8" hidden="1"/>
    <cellStyle name="ハイパーリンク" xfId="3193" builtinId="8" hidden="1"/>
    <cellStyle name="ハイパーリンク" xfId="3195" builtinId="8" hidden="1"/>
    <cellStyle name="ハイパーリンク" xfId="3197" builtinId="8" hidden="1"/>
    <cellStyle name="ハイパーリンク" xfId="3199" builtinId="8" hidden="1"/>
    <cellStyle name="ハイパーリンク" xfId="3201" builtinId="8" hidden="1"/>
    <cellStyle name="ハイパーリンク" xfId="3203" builtinId="8" hidden="1"/>
    <cellStyle name="ハイパーリンク" xfId="3205" builtinId="8" hidden="1"/>
    <cellStyle name="ハイパーリンク" xfId="3207" builtinId="8" hidden="1"/>
    <cellStyle name="ハイパーリンク" xfId="3209" builtinId="8" hidden="1"/>
    <cellStyle name="ハイパーリンク" xfId="3211" builtinId="8" hidden="1"/>
    <cellStyle name="ハイパーリンク" xfId="3213" builtinId="8" hidden="1"/>
    <cellStyle name="ハイパーリンク" xfId="3215" builtinId="8" hidden="1"/>
    <cellStyle name="ハイパーリンク" xfId="3217" builtinId="8" hidden="1"/>
    <cellStyle name="ハイパーリンク" xfId="3219" builtinId="8" hidden="1"/>
    <cellStyle name="ハイパーリンク" xfId="3221" builtinId="8" hidden="1"/>
    <cellStyle name="ハイパーリンク" xfId="3223" builtinId="8" hidden="1"/>
    <cellStyle name="ハイパーリンク" xfId="3225" builtinId="8" hidden="1"/>
    <cellStyle name="ハイパーリンク" xfId="3227" builtinId="8" hidden="1"/>
    <cellStyle name="ハイパーリンク" xfId="3229" builtinId="8" hidden="1"/>
    <cellStyle name="ハイパーリンク" xfId="3231" builtinId="8" hidden="1"/>
    <cellStyle name="ハイパーリンク" xfId="3233" builtinId="8" hidden="1"/>
    <cellStyle name="ハイパーリンク" xfId="3235" builtinId="8" hidden="1"/>
    <cellStyle name="ハイパーリンク" xfId="3237" builtinId="8" hidden="1"/>
    <cellStyle name="ハイパーリンク" xfId="3239" builtinId="8" hidden="1"/>
    <cellStyle name="ハイパーリンク" xfId="3241" builtinId="8" hidden="1"/>
    <cellStyle name="ハイパーリンク" xfId="3243" builtinId="8" hidden="1"/>
    <cellStyle name="ハイパーリンク" xfId="3245" builtinId="8" hidden="1"/>
    <cellStyle name="ハイパーリンク" xfId="3247" builtinId="8" hidden="1"/>
    <cellStyle name="ハイパーリンク" xfId="3249" builtinId="8" hidden="1"/>
    <cellStyle name="ハイパーリンク" xfId="3251" builtinId="8" hidden="1"/>
    <cellStyle name="ハイパーリンク" xfId="3253" builtinId="8" hidden="1"/>
    <cellStyle name="ハイパーリンク" xfId="3255" builtinId="8" hidden="1"/>
    <cellStyle name="ハイパーリンク" xfId="3257" builtinId="8" hidden="1"/>
    <cellStyle name="ハイパーリンク" xfId="3259" builtinId="8" hidden="1"/>
    <cellStyle name="ハイパーリンク" xfId="3261" builtinId="8" hidden="1"/>
    <cellStyle name="ハイパーリンク" xfId="3263" builtinId="8" hidden="1"/>
    <cellStyle name="ハイパーリンク" xfId="3265" builtinId="8" hidden="1"/>
    <cellStyle name="ハイパーリンク" xfId="3267" builtinId="8" hidden="1"/>
    <cellStyle name="ハイパーリンク" xfId="3269" builtinId="8" hidden="1"/>
    <cellStyle name="ハイパーリンク" xfId="3271" builtinId="8" hidden="1"/>
    <cellStyle name="ハイパーリンク" xfId="3273" builtinId="8" hidden="1"/>
    <cellStyle name="ハイパーリンク" xfId="3275" builtinId="8" hidden="1"/>
    <cellStyle name="ハイパーリンク" xfId="3277" builtinId="8" hidden="1"/>
    <cellStyle name="ハイパーリンク" xfId="3279" builtinId="8" hidden="1"/>
    <cellStyle name="ハイパーリンク" xfId="3281" builtinId="8" hidden="1"/>
    <cellStyle name="ハイパーリンク" xfId="3283" builtinId="8" hidden="1"/>
    <cellStyle name="ハイパーリンク" xfId="3285" builtinId="8" hidden="1"/>
    <cellStyle name="ハイパーリンク" xfId="3287" builtinId="8" hidden="1"/>
    <cellStyle name="ハイパーリンク" xfId="3289" builtinId="8" hidden="1"/>
    <cellStyle name="ハイパーリンク" xfId="3291" builtinId="8" hidden="1"/>
    <cellStyle name="ハイパーリンク" xfId="3293" builtinId="8" hidden="1"/>
    <cellStyle name="ハイパーリンク" xfId="3295" builtinId="8" hidden="1"/>
    <cellStyle name="ハイパーリンク" xfId="3297" builtinId="8" hidden="1"/>
    <cellStyle name="ハイパーリンク" xfId="3299" builtinId="8" hidden="1"/>
    <cellStyle name="ハイパーリンク" xfId="3301" builtinId="8" hidden="1"/>
    <cellStyle name="ハイパーリンク" xfId="3303" builtinId="8" hidden="1"/>
    <cellStyle name="ハイパーリンク" xfId="3305" builtinId="8" hidden="1"/>
    <cellStyle name="ハイパーリンク" xfId="3307" builtinId="8" hidden="1"/>
    <cellStyle name="ハイパーリンク" xfId="3309" builtinId="8" hidden="1"/>
    <cellStyle name="ハイパーリンク" xfId="3311" builtinId="8" hidden="1"/>
    <cellStyle name="ハイパーリンク" xfId="3313" builtinId="8" hidden="1"/>
    <cellStyle name="ハイパーリンク" xfId="3315" builtinId="8" hidden="1"/>
    <cellStyle name="ハイパーリンク" xfId="3317" builtinId="8" hidden="1"/>
    <cellStyle name="ハイパーリンク" xfId="3319" builtinId="8" hidden="1"/>
    <cellStyle name="ハイパーリンク" xfId="3321" builtinId="8" hidden="1"/>
    <cellStyle name="ハイパーリンク" xfId="3323" builtinId="8" hidden="1"/>
    <cellStyle name="ハイパーリンク" xfId="3325" builtinId="8" hidden="1"/>
    <cellStyle name="ハイパーリンク" xfId="3327" builtinId="8" hidden="1"/>
    <cellStyle name="ハイパーリンク" xfId="3329" builtinId="8" hidden="1"/>
    <cellStyle name="ハイパーリンク" xfId="3331" builtinId="8" hidden="1"/>
    <cellStyle name="ハイパーリンク" xfId="3333" builtinId="8" hidden="1"/>
    <cellStyle name="ハイパーリンク" xfId="3335" builtinId="8" hidden="1"/>
    <cellStyle name="ハイパーリンク" xfId="3337" builtinId="8" hidden="1"/>
    <cellStyle name="ハイパーリンク" xfId="3339" builtinId="8" hidden="1"/>
    <cellStyle name="ハイパーリンク" xfId="3341" builtinId="8" hidden="1"/>
    <cellStyle name="ハイパーリンク" xfId="3343" builtinId="8" hidden="1"/>
    <cellStyle name="ハイパーリンク" xfId="3345" builtinId="8" hidden="1"/>
    <cellStyle name="ハイパーリンク" xfId="3347" builtinId="8" hidden="1"/>
    <cellStyle name="ハイパーリンク" xfId="3349" builtinId="8" hidden="1"/>
    <cellStyle name="ハイパーリンク" xfId="3351" builtinId="8" hidden="1"/>
    <cellStyle name="ハイパーリンク" xfId="3353" builtinId="8" hidden="1"/>
    <cellStyle name="ハイパーリンク" xfId="3355" builtinId="8" hidden="1"/>
    <cellStyle name="ハイパーリンク" xfId="3357" builtinId="8" hidden="1"/>
    <cellStyle name="ハイパーリンク" xfId="3359" builtinId="8" hidden="1"/>
    <cellStyle name="ハイパーリンク" xfId="3361" builtinId="8" hidden="1"/>
    <cellStyle name="ハイパーリンク" xfId="3363" builtinId="8" hidden="1"/>
    <cellStyle name="ハイパーリンク" xfId="3365" builtinId="8" hidden="1"/>
    <cellStyle name="ハイパーリンク" xfId="3367" builtinId="8" hidden="1"/>
    <cellStyle name="ハイパーリンク" xfId="3369" builtinId="8" hidden="1"/>
    <cellStyle name="ハイパーリンク" xfId="3371" builtinId="8" hidden="1"/>
    <cellStyle name="ハイパーリンク" xfId="3373" builtinId="8" hidden="1"/>
    <cellStyle name="ハイパーリンク" xfId="3375" builtinId="8" hidden="1"/>
    <cellStyle name="ハイパーリンク" xfId="3377" builtinId="8" hidden="1"/>
    <cellStyle name="ハイパーリンク" xfId="3379" builtinId="8" hidden="1"/>
    <cellStyle name="ハイパーリンク" xfId="3381" builtinId="8" hidden="1"/>
    <cellStyle name="ハイパーリンク" xfId="3383" builtinId="8" hidden="1"/>
    <cellStyle name="ハイパーリンク" xfId="3385" builtinId="8" hidden="1"/>
    <cellStyle name="ハイパーリンク" xfId="3387" builtinId="8" hidden="1"/>
    <cellStyle name="ハイパーリンク" xfId="3389" builtinId="8" hidden="1"/>
    <cellStyle name="ハイパーリンク" xfId="3391" builtinId="8" hidden="1"/>
    <cellStyle name="ハイパーリンク" xfId="3393" builtinId="8" hidden="1"/>
    <cellStyle name="ハイパーリンク" xfId="3395" builtinId="8" hidden="1"/>
    <cellStyle name="ハイパーリンク" xfId="3397" builtinId="8" hidden="1"/>
    <cellStyle name="ハイパーリンク" xfId="3399" builtinId="8" hidden="1"/>
    <cellStyle name="ハイパーリンク" xfId="3401" builtinId="8" hidden="1"/>
    <cellStyle name="ハイパーリンク" xfId="3403" builtinId="8" hidden="1"/>
    <cellStyle name="ハイパーリンク" xfId="3405" builtinId="8" hidden="1"/>
    <cellStyle name="ハイパーリンク" xfId="3407" builtinId="8" hidden="1"/>
    <cellStyle name="ハイパーリンク" xfId="3409" builtinId="8" hidden="1"/>
    <cellStyle name="ハイパーリンク" xfId="3411" builtinId="8" hidden="1"/>
    <cellStyle name="ハイパーリンク" xfId="3413" builtinId="8" hidden="1"/>
    <cellStyle name="ハイパーリンク" xfId="3415" builtinId="8" hidden="1"/>
    <cellStyle name="ハイパーリンク" xfId="3417" builtinId="8" hidden="1"/>
    <cellStyle name="ハイパーリンク" xfId="3419" builtinId="8" hidden="1"/>
    <cellStyle name="ハイパーリンク" xfId="3421" builtinId="8" hidden="1"/>
    <cellStyle name="ハイパーリンク" xfId="3423" builtinId="8" hidden="1"/>
    <cellStyle name="ハイパーリンク" xfId="3425" builtinId="8" hidden="1"/>
    <cellStyle name="ハイパーリンク" xfId="3427" builtinId="8" hidden="1"/>
    <cellStyle name="ハイパーリンク" xfId="3429" builtinId="8" hidden="1"/>
    <cellStyle name="ハイパーリンク" xfId="3431" builtinId="8" hidden="1"/>
    <cellStyle name="ハイパーリンク" xfId="3433" builtinId="8" hidden="1"/>
    <cellStyle name="ハイパーリンク" xfId="3435" builtinId="8" hidden="1"/>
    <cellStyle name="ハイパーリンク" xfId="3437" builtinId="8" hidden="1"/>
    <cellStyle name="ハイパーリンク" xfId="3439" builtinId="8" hidden="1"/>
    <cellStyle name="ハイパーリンク" xfId="3441" builtinId="8" hidden="1"/>
    <cellStyle name="ハイパーリンク" xfId="3443" builtinId="8" hidden="1"/>
    <cellStyle name="ハイパーリンク" xfId="3445" builtinId="8" hidden="1"/>
    <cellStyle name="ハイパーリンク" xfId="3447" builtinId="8" hidden="1"/>
    <cellStyle name="ハイパーリンク" xfId="3449" builtinId="8" hidden="1"/>
    <cellStyle name="ハイパーリンク" xfId="3451" builtinId="8" hidden="1"/>
    <cellStyle name="ハイパーリンク" xfId="3453" builtinId="8" hidden="1"/>
    <cellStyle name="ハイパーリンク" xfId="3455" builtinId="8" hidden="1"/>
    <cellStyle name="ハイパーリンク" xfId="3457" builtinId="8" hidden="1"/>
    <cellStyle name="ハイパーリンク" xfId="3459" builtinId="8" hidden="1"/>
    <cellStyle name="ハイパーリンク" xfId="3461" builtinId="8" hidden="1"/>
    <cellStyle name="ハイパーリンク" xfId="3463" builtinId="8" hidden="1"/>
    <cellStyle name="ハイパーリンク" xfId="3465" builtinId="8" hidden="1"/>
    <cellStyle name="ハイパーリンク" xfId="3467" builtinId="8" hidden="1"/>
    <cellStyle name="ハイパーリンク" xfId="3469" builtinId="8" hidden="1"/>
    <cellStyle name="ハイパーリンク" xfId="3471" builtinId="8" hidden="1"/>
    <cellStyle name="ハイパーリンク" xfId="3473" builtinId="8" hidden="1"/>
    <cellStyle name="ハイパーリンク" xfId="3475" builtinId="8" hidden="1"/>
    <cellStyle name="ハイパーリンク" xfId="3477" builtinId="8" hidden="1"/>
    <cellStyle name="ハイパーリンク" xfId="3479" builtinId="8" hidden="1"/>
    <cellStyle name="ハイパーリンク" xfId="3481" builtinId="8" hidden="1"/>
    <cellStyle name="ハイパーリンク" xfId="3483" builtinId="8" hidden="1"/>
    <cellStyle name="ハイパーリンク" xfId="3485" builtinId="8" hidden="1"/>
    <cellStyle name="ハイパーリンク" xfId="3487" builtinId="8" hidden="1"/>
    <cellStyle name="ハイパーリンク" xfId="3489" builtinId="8" hidden="1"/>
    <cellStyle name="ハイパーリンク" xfId="3491" builtinId="8" hidden="1"/>
    <cellStyle name="ハイパーリンク" xfId="3493" builtinId="8" hidden="1"/>
    <cellStyle name="ハイパーリンク" xfId="3495" builtinId="8" hidden="1"/>
    <cellStyle name="ハイパーリンク" xfId="3497" builtinId="8" hidden="1"/>
    <cellStyle name="ハイパーリンク" xfId="3499" builtinId="8" hidden="1"/>
    <cellStyle name="ハイパーリンク" xfId="3501" builtinId="8" hidden="1"/>
    <cellStyle name="ハイパーリンク" xfId="3503" builtinId="8" hidden="1"/>
    <cellStyle name="ハイパーリンク" xfId="3505" builtinId="8" hidden="1"/>
    <cellStyle name="ハイパーリンク" xfId="3507" builtinId="8" hidden="1"/>
    <cellStyle name="ハイパーリンク" xfId="3509" builtinId="8" hidden="1"/>
    <cellStyle name="ハイパーリンク" xfId="3511" builtinId="8" hidden="1"/>
    <cellStyle name="ハイパーリンク" xfId="3513" builtinId="8" hidden="1"/>
    <cellStyle name="ハイパーリンク" xfId="3515" builtinId="8" hidden="1"/>
    <cellStyle name="ハイパーリンク" xfId="3517" builtinId="8" hidden="1"/>
    <cellStyle name="ハイパーリンク" xfId="3519" builtinId="8" hidden="1"/>
    <cellStyle name="ハイパーリンク" xfId="3521" builtinId="8" hidden="1"/>
    <cellStyle name="ハイパーリンク" xfId="3523" builtinId="8" hidden="1"/>
    <cellStyle name="ハイパーリンク" xfId="3525" builtinId="8" hidden="1"/>
    <cellStyle name="ハイパーリンク" xfId="3527" builtinId="8" hidden="1"/>
    <cellStyle name="ハイパーリンク" xfId="3529" builtinId="8" hidden="1"/>
    <cellStyle name="ハイパーリンク" xfId="3531" builtinId="8" hidden="1"/>
    <cellStyle name="ハイパーリンク" xfId="3533" builtinId="8" hidden="1"/>
    <cellStyle name="ハイパーリンク" xfId="3535" builtinId="8" hidden="1"/>
    <cellStyle name="ハイパーリンク" xfId="3537" builtinId="8" hidden="1"/>
    <cellStyle name="ハイパーリンク" xfId="3539" builtinId="8" hidden="1"/>
    <cellStyle name="ハイパーリンク" xfId="3541" builtinId="8" hidden="1"/>
    <cellStyle name="ハイパーリンク" xfId="3543" builtinId="8" hidden="1"/>
    <cellStyle name="ハイパーリンク" xfId="3545" builtinId="8" hidden="1"/>
    <cellStyle name="ハイパーリンク" xfId="3547" builtinId="8" hidden="1"/>
    <cellStyle name="ハイパーリンク" xfId="3549" builtinId="8" hidden="1"/>
    <cellStyle name="ハイパーリンク" xfId="3551" builtinId="8" hidden="1"/>
    <cellStyle name="ハイパーリンク" xfId="3553" builtinId="8" hidden="1"/>
    <cellStyle name="ハイパーリンク" xfId="3555" builtinId="8" hidden="1"/>
    <cellStyle name="ハイパーリンク" xfId="3557" builtinId="8" hidden="1"/>
    <cellStyle name="ハイパーリンク" xfId="3559" builtinId="8" hidden="1"/>
    <cellStyle name="ハイパーリンク" xfId="3561" builtinId="8" hidden="1"/>
    <cellStyle name="ハイパーリンク" xfId="3563" builtinId="8" hidden="1"/>
    <cellStyle name="ハイパーリンク" xfId="3565" builtinId="8" hidden="1"/>
    <cellStyle name="ハイパーリンク" xfId="3567" builtinId="8" hidden="1"/>
    <cellStyle name="ハイパーリンク" xfId="3569" builtinId="8" hidden="1"/>
    <cellStyle name="ハイパーリンク" xfId="3571" builtinId="8" hidden="1"/>
    <cellStyle name="ハイパーリンク" xfId="3573" builtinId="8" hidden="1"/>
    <cellStyle name="ハイパーリンク" xfId="3576" builtinId="8" hidden="1"/>
    <cellStyle name="ハイパーリンク" xfId="3578" builtinId="8" hidden="1"/>
    <cellStyle name="ハイパーリンク" xfId="3580" builtinId="8" hidden="1"/>
    <cellStyle name="ハイパーリンク" xfId="3582" builtinId="8" hidden="1"/>
    <cellStyle name="ハイパーリンク" xfId="3584" builtinId="8" hidden="1"/>
    <cellStyle name="ハイパーリンク" xfId="3586" builtinId="8" hidden="1"/>
    <cellStyle name="ハイパーリンク" xfId="3588" builtinId="8" hidden="1"/>
    <cellStyle name="ハイパーリンク" xfId="3590" builtinId="8" hidden="1"/>
    <cellStyle name="ハイパーリンク" xfId="3592" builtinId="8" hidden="1"/>
    <cellStyle name="ハイパーリンク" xfId="3594" builtinId="8" hidden="1"/>
    <cellStyle name="ハイパーリンク" xfId="3596" builtinId="8" hidden="1"/>
    <cellStyle name="ハイパーリンク" xfId="3598" builtinId="8" hidden="1"/>
    <cellStyle name="ハイパーリンク" xfId="3600" builtinId="8" hidden="1"/>
    <cellStyle name="ハイパーリンク" xfId="3602" builtinId="8" hidden="1"/>
    <cellStyle name="ハイパーリンク" xfId="3604" builtinId="8" hidden="1"/>
    <cellStyle name="ハイパーリンク" xfId="3606" builtinId="8" hidden="1"/>
    <cellStyle name="ハイパーリンク" xfId="3608" builtinId="8" hidden="1"/>
    <cellStyle name="ハイパーリンク" xfId="3610" builtinId="8" hidden="1"/>
    <cellStyle name="ハイパーリンク" xfId="3612" builtinId="8" hidden="1"/>
    <cellStyle name="ハイパーリンク" xfId="3614" builtinId="8" hidden="1"/>
    <cellStyle name="ハイパーリンク" xfId="3616" builtinId="8" hidden="1"/>
    <cellStyle name="ハイパーリンク" xfId="3618" builtinId="8" hidden="1"/>
    <cellStyle name="ハイパーリンク" xfId="3620" builtinId="8" hidden="1"/>
    <cellStyle name="ハイパーリンク" xfId="3622" builtinId="8" hidden="1"/>
    <cellStyle name="ハイパーリンク" xfId="3624" builtinId="8" hidden="1"/>
    <cellStyle name="ハイパーリンク" xfId="3626" builtinId="8" hidden="1"/>
    <cellStyle name="ハイパーリンク" xfId="3628" builtinId="8" hidden="1"/>
    <cellStyle name="ハイパーリンク" xfId="3630" builtinId="8" hidden="1"/>
    <cellStyle name="ハイパーリンク" xfId="3632" builtinId="8" hidden="1"/>
    <cellStyle name="ハイパーリンク" xfId="3634" builtinId="8" hidden="1"/>
    <cellStyle name="ハイパーリンク" xfId="3636" builtinId="8" hidden="1"/>
    <cellStyle name="ハイパーリンク" xfId="3638" builtinId="8" hidden="1"/>
    <cellStyle name="ハイパーリンク" xfId="3640" builtinId="8" hidden="1"/>
    <cellStyle name="ハイパーリンク" xfId="3642" builtinId="8" hidden="1"/>
    <cellStyle name="ハイパーリンク" xfId="3644" builtinId="8" hidden="1"/>
    <cellStyle name="ハイパーリンク" xfId="3646" builtinId="8" hidden="1"/>
    <cellStyle name="ハイパーリンク" xfId="3648" builtinId="8" hidden="1"/>
    <cellStyle name="ハイパーリンク" xfId="3650" builtinId="8" hidden="1"/>
    <cellStyle name="ハイパーリンク" xfId="3652" builtinId="8" hidden="1"/>
    <cellStyle name="ハイパーリンク" xfId="3654" builtinId="8" hidden="1"/>
    <cellStyle name="ハイパーリンク" xfId="3656" builtinId="8" hidden="1"/>
    <cellStyle name="ハイパーリンク" xfId="3658" builtinId="8" hidden="1"/>
    <cellStyle name="ハイパーリンク" xfId="3660" builtinId="8" hidden="1"/>
    <cellStyle name="ハイパーリンク" xfId="3664" builtinId="8" hidden="1"/>
    <cellStyle name="ハイパーリンク" xfId="3666" builtinId="8" hidden="1"/>
    <cellStyle name="ハイパーリンク" xfId="3668" builtinId="8" hidden="1"/>
    <cellStyle name="桁区切り 2" xfId="67"/>
    <cellStyle name="桁区切り [0]" xfId="3663" builtinId="6"/>
    <cellStyle name="標準" xfId="0" builtinId="0"/>
    <cellStyle name="標準 2" xfId="2"/>
    <cellStyle name="標準 2 2" xfId="2979"/>
    <cellStyle name="標準 3" xfId="19"/>
    <cellStyle name="標準 4" xfId="70"/>
    <cellStyle name="標準 5" xfId="2978"/>
    <cellStyle name="標準 6" xfId="3036"/>
    <cellStyle name="標準 7" xfId="3662"/>
    <cellStyle name="無題1" xfId="71"/>
    <cellStyle name="表示済みのハイパーリンク" xfId="4" builtinId="9" hidden="1"/>
    <cellStyle name="表示済みのハイパーリンク" xfId="6" builtinId="9" hidden="1"/>
    <cellStyle name="表示済みのハイパーリンク" xfId="8" builtinId="9" hidden="1"/>
    <cellStyle name="表示済みのハイパーリンク" xfId="10" builtinId="9" hidden="1"/>
    <cellStyle name="表示済みのハイパーリンク" xfId="12" builtinId="9" hidden="1"/>
    <cellStyle name="表示済みのハイパーリンク" xfId="14" builtinId="9" hidden="1"/>
    <cellStyle name="表示済みのハイパーリンク" xfId="16" builtinId="9" hidden="1"/>
    <cellStyle name="表示済みのハイパーリンク" xfId="18" builtinId="9" hidden="1"/>
    <cellStyle name="表示済みのハイパーリンク" xfId="73" builtinId="9" hidden="1"/>
    <cellStyle name="表示済みのハイパーリンク" xfId="75" builtinId="9" hidden="1"/>
    <cellStyle name="表示済みのハイパーリンク" xfId="77" builtinId="9" hidden="1"/>
    <cellStyle name="表示済みのハイパーリンク" xfId="79" builtinId="9" hidden="1"/>
    <cellStyle name="表示済みのハイパーリンク" xfId="81" builtinId="9" hidden="1"/>
    <cellStyle name="表示済みのハイパーリンク" xfId="83" builtinId="9" hidden="1"/>
    <cellStyle name="表示済みのハイパーリンク" xfId="85" builtinId="9" hidden="1"/>
    <cellStyle name="表示済みのハイパーリンク" xfId="87" builtinId="9" hidden="1"/>
    <cellStyle name="表示済みのハイパーリンク" xfId="89" builtinId="9" hidden="1"/>
    <cellStyle name="表示済みのハイパーリンク" xfId="91" builtinId="9" hidden="1"/>
    <cellStyle name="表示済みのハイパーリンク" xfId="93" builtinId="9" hidden="1"/>
    <cellStyle name="表示済みのハイパーリンク" xfId="95" builtinId="9" hidden="1"/>
    <cellStyle name="表示済みのハイパーリンク" xfId="97" builtinId="9" hidden="1"/>
    <cellStyle name="表示済みのハイパーリンク" xfId="99" builtinId="9" hidden="1"/>
    <cellStyle name="表示済みのハイパーリンク" xfId="101" builtinId="9" hidden="1"/>
    <cellStyle name="表示済みのハイパーリンク" xfId="103" builtinId="9" hidden="1"/>
    <cellStyle name="表示済みのハイパーリンク" xfId="105" builtinId="9" hidden="1"/>
    <cellStyle name="表示済みのハイパーリンク" xfId="107" builtinId="9" hidden="1"/>
    <cellStyle name="表示済みのハイパーリンク" xfId="109" builtinId="9" hidden="1"/>
    <cellStyle name="表示済みのハイパーリンク" xfId="111" builtinId="9" hidden="1"/>
    <cellStyle name="表示済みのハイパーリンク" xfId="113" builtinId="9" hidden="1"/>
    <cellStyle name="表示済みのハイパーリンク" xfId="115" builtinId="9" hidden="1"/>
    <cellStyle name="表示済みのハイパーリンク" xfId="117" builtinId="9" hidden="1"/>
    <cellStyle name="表示済みのハイパーリンク" xfId="119" builtinId="9" hidden="1"/>
    <cellStyle name="表示済みのハイパーリンク" xfId="121" builtinId="9" hidden="1"/>
    <cellStyle name="表示済みのハイパーリンク" xfId="123" builtinId="9" hidden="1"/>
    <cellStyle name="表示済みのハイパーリンク" xfId="125" builtinId="9" hidden="1"/>
    <cellStyle name="表示済みのハイパーリンク" xfId="127" builtinId="9" hidden="1"/>
    <cellStyle name="表示済みのハイパーリンク" xfId="129" builtinId="9" hidden="1"/>
    <cellStyle name="表示済みのハイパーリンク" xfId="131" builtinId="9" hidden="1"/>
    <cellStyle name="表示済みのハイパーリンク" xfId="133" builtinId="9" hidden="1"/>
    <cellStyle name="表示済みのハイパーリンク" xfId="135" builtinId="9" hidden="1"/>
    <cellStyle name="表示済みのハイパーリンク" xfId="137" builtinId="9" hidden="1"/>
    <cellStyle name="表示済みのハイパーリンク" xfId="139" builtinId="9" hidden="1"/>
    <cellStyle name="表示済みのハイパーリンク" xfId="141" builtinId="9" hidden="1"/>
    <cellStyle name="表示済みのハイパーリンク" xfId="143" builtinId="9" hidden="1"/>
    <cellStyle name="表示済みのハイパーリンク" xfId="145" builtinId="9" hidden="1"/>
    <cellStyle name="表示済みのハイパーリンク" xfId="147" builtinId="9" hidden="1"/>
    <cellStyle name="表示済みのハイパーリンク" xfId="149" builtinId="9" hidden="1"/>
    <cellStyle name="表示済みのハイパーリンク" xfId="151" builtinId="9" hidden="1"/>
    <cellStyle name="表示済みのハイパーリンク" xfId="153" builtinId="9" hidden="1"/>
    <cellStyle name="表示済みのハイパーリンク" xfId="155" builtinId="9" hidden="1"/>
    <cellStyle name="表示済みのハイパーリンク" xfId="157" builtinId="9" hidden="1"/>
    <cellStyle name="表示済みのハイパーリンク" xfId="159" builtinId="9" hidden="1"/>
    <cellStyle name="表示済みのハイパーリンク" xfId="161" builtinId="9" hidden="1"/>
    <cellStyle name="表示済みのハイパーリンク" xfId="163" builtinId="9" hidden="1"/>
    <cellStyle name="表示済みのハイパーリンク" xfId="165" builtinId="9" hidden="1"/>
    <cellStyle name="表示済みのハイパーリンク" xfId="167" builtinId="9" hidden="1"/>
    <cellStyle name="表示済みのハイパーリンク" xfId="169" builtinId="9" hidden="1"/>
    <cellStyle name="表示済みのハイパーリンク" xfId="171" builtinId="9" hidden="1"/>
    <cellStyle name="表示済みのハイパーリンク" xfId="173" builtinId="9" hidden="1"/>
    <cellStyle name="表示済みのハイパーリンク" xfId="175" builtinId="9" hidden="1"/>
    <cellStyle name="表示済みのハイパーリンク" xfId="177" builtinId="9" hidden="1"/>
    <cellStyle name="表示済みのハイパーリンク" xfId="179" builtinId="9" hidden="1"/>
    <cellStyle name="表示済みのハイパーリンク" xfId="181" builtinId="9" hidden="1"/>
    <cellStyle name="表示済みのハイパーリンク" xfId="183" builtinId="9" hidden="1"/>
    <cellStyle name="表示済みのハイパーリンク" xfId="185" builtinId="9" hidden="1"/>
    <cellStyle name="表示済みのハイパーリンク" xfId="187" builtinId="9" hidden="1"/>
    <cellStyle name="表示済みのハイパーリンク" xfId="189" builtinId="9" hidden="1"/>
    <cellStyle name="表示済みのハイパーリンク" xfId="191" builtinId="9" hidden="1"/>
    <cellStyle name="表示済みのハイパーリンク" xfId="193" builtinId="9" hidden="1"/>
    <cellStyle name="表示済みのハイパーリンク" xfId="195" builtinId="9" hidden="1"/>
    <cellStyle name="表示済みのハイパーリンク" xfId="197" builtinId="9" hidden="1"/>
    <cellStyle name="表示済みのハイパーリンク" xfId="199" builtinId="9" hidden="1"/>
    <cellStyle name="表示済みのハイパーリンク" xfId="201" builtinId="9" hidden="1"/>
    <cellStyle name="表示済みのハイパーリンク" xfId="203" builtinId="9" hidden="1"/>
    <cellStyle name="表示済みのハイパーリンク" xfId="205" builtinId="9" hidden="1"/>
    <cellStyle name="表示済みのハイパーリンク" xfId="207" builtinId="9" hidden="1"/>
    <cellStyle name="表示済みのハイパーリンク" xfId="209" builtinId="9" hidden="1"/>
    <cellStyle name="表示済みのハイパーリンク" xfId="211" builtinId="9" hidden="1"/>
    <cellStyle name="表示済みのハイパーリンク" xfId="213" builtinId="9" hidden="1"/>
    <cellStyle name="表示済みのハイパーリンク" xfId="215" builtinId="9" hidden="1"/>
    <cellStyle name="表示済みのハイパーリンク" xfId="217" builtinId="9" hidden="1"/>
    <cellStyle name="表示済みのハイパーリンク" xfId="219" builtinId="9" hidden="1"/>
    <cellStyle name="表示済みのハイパーリンク" xfId="221" builtinId="9" hidden="1"/>
    <cellStyle name="表示済みのハイパーリンク" xfId="223" builtinId="9" hidden="1"/>
    <cellStyle name="表示済みのハイパーリンク" xfId="225" builtinId="9" hidden="1"/>
    <cellStyle name="表示済みのハイパーリンク" xfId="227" builtinId="9" hidden="1"/>
    <cellStyle name="表示済みのハイパーリンク" xfId="229" builtinId="9" hidden="1"/>
    <cellStyle name="表示済みのハイパーリンク" xfId="231" builtinId="9" hidden="1"/>
    <cellStyle name="表示済みのハイパーリンク" xfId="233" builtinId="9" hidden="1"/>
    <cellStyle name="表示済みのハイパーリンク" xfId="235" builtinId="9" hidden="1"/>
    <cellStyle name="表示済みのハイパーリンク" xfId="237" builtinId="9" hidden="1"/>
    <cellStyle name="表示済みのハイパーリンク" xfId="239" builtinId="9" hidden="1"/>
    <cellStyle name="表示済みのハイパーリンク" xfId="241" builtinId="9" hidden="1"/>
    <cellStyle name="表示済みのハイパーリンク" xfId="243" builtinId="9" hidden="1"/>
    <cellStyle name="表示済みのハイパーリンク" xfId="245" builtinId="9" hidden="1"/>
    <cellStyle name="表示済みのハイパーリンク" xfId="247" builtinId="9" hidden="1"/>
    <cellStyle name="表示済みのハイパーリンク" xfId="249" builtinId="9" hidden="1"/>
    <cellStyle name="表示済みのハイパーリンク" xfId="251" builtinId="9" hidden="1"/>
    <cellStyle name="表示済みのハイパーリンク" xfId="253" builtinId="9" hidden="1"/>
    <cellStyle name="表示済みのハイパーリンク" xfId="255" builtinId="9" hidden="1"/>
    <cellStyle name="表示済みのハイパーリンク" xfId="257" builtinId="9" hidden="1"/>
    <cellStyle name="表示済みのハイパーリンク" xfId="259" builtinId="9" hidden="1"/>
    <cellStyle name="表示済みのハイパーリンク" xfId="261" builtinId="9" hidden="1"/>
    <cellStyle name="表示済みのハイパーリンク" xfId="263" builtinId="9" hidden="1"/>
    <cellStyle name="表示済みのハイパーリンク" xfId="265" builtinId="9" hidden="1"/>
    <cellStyle name="表示済みのハイパーリンク" xfId="267" builtinId="9" hidden="1"/>
    <cellStyle name="表示済みのハイパーリンク" xfId="269" builtinId="9" hidden="1"/>
    <cellStyle name="表示済みのハイパーリンク" xfId="271" builtinId="9" hidden="1"/>
    <cellStyle name="表示済みのハイパーリンク" xfId="273" builtinId="9" hidden="1"/>
    <cellStyle name="表示済みのハイパーリンク" xfId="275" builtinId="9" hidden="1"/>
    <cellStyle name="表示済みのハイパーリンク" xfId="277" builtinId="9" hidden="1"/>
    <cellStyle name="表示済みのハイパーリンク" xfId="279" builtinId="9" hidden="1"/>
    <cellStyle name="表示済みのハイパーリンク" xfId="281" builtinId="9" hidden="1"/>
    <cellStyle name="表示済みのハイパーリンク" xfId="283" builtinId="9" hidden="1"/>
    <cellStyle name="表示済みのハイパーリンク" xfId="285" builtinId="9" hidden="1"/>
    <cellStyle name="表示済みのハイパーリンク" xfId="287" builtinId="9" hidden="1"/>
    <cellStyle name="表示済みのハイパーリンク" xfId="289" builtinId="9" hidden="1"/>
    <cellStyle name="表示済みのハイパーリンク" xfId="291" builtinId="9" hidden="1"/>
    <cellStyle name="表示済みのハイパーリンク" xfId="293" builtinId="9" hidden="1"/>
    <cellStyle name="表示済みのハイパーリンク" xfId="295" builtinId="9" hidden="1"/>
    <cellStyle name="表示済みのハイパーリンク" xfId="297" builtinId="9" hidden="1"/>
    <cellStyle name="表示済みのハイパーリンク" xfId="299" builtinId="9" hidden="1"/>
    <cellStyle name="表示済みのハイパーリンク" xfId="301" builtinId="9" hidden="1"/>
    <cellStyle name="表示済みのハイパーリンク" xfId="303" builtinId="9" hidden="1"/>
    <cellStyle name="表示済みのハイパーリンク" xfId="305" builtinId="9" hidden="1"/>
    <cellStyle name="表示済みのハイパーリンク" xfId="307" builtinId="9" hidden="1"/>
    <cellStyle name="表示済みのハイパーリンク" xfId="309" builtinId="9" hidden="1"/>
    <cellStyle name="表示済みのハイパーリンク" xfId="311" builtinId="9" hidden="1"/>
    <cellStyle name="表示済みのハイパーリンク" xfId="313" builtinId="9" hidden="1"/>
    <cellStyle name="表示済みのハイパーリンク" xfId="315" builtinId="9" hidden="1"/>
    <cellStyle name="表示済みのハイパーリンク" xfId="317" builtinId="9" hidden="1"/>
    <cellStyle name="表示済みのハイパーリンク" xfId="319" builtinId="9" hidden="1"/>
    <cellStyle name="表示済みのハイパーリンク" xfId="321" builtinId="9" hidden="1"/>
    <cellStyle name="表示済みのハイパーリンク" xfId="323" builtinId="9" hidden="1"/>
    <cellStyle name="表示済みのハイパーリンク" xfId="325" builtinId="9" hidden="1"/>
    <cellStyle name="表示済みのハイパーリンク" xfId="327" builtinId="9" hidden="1"/>
    <cellStyle name="表示済みのハイパーリンク" xfId="329" builtinId="9" hidden="1"/>
    <cellStyle name="表示済みのハイパーリンク" xfId="331" builtinId="9" hidden="1"/>
    <cellStyle name="表示済みのハイパーリンク" xfId="333" builtinId="9" hidden="1"/>
    <cellStyle name="表示済みのハイパーリンク" xfId="335" builtinId="9" hidden="1"/>
    <cellStyle name="表示済みのハイパーリンク" xfId="337" builtinId="9" hidden="1"/>
    <cellStyle name="表示済みのハイパーリンク" xfId="339" builtinId="9" hidden="1"/>
    <cellStyle name="表示済みのハイパーリンク" xfId="341" builtinId="9" hidden="1"/>
    <cellStyle name="表示済みのハイパーリンク" xfId="343" builtinId="9" hidden="1"/>
    <cellStyle name="表示済みのハイパーリンク" xfId="345" builtinId="9" hidden="1"/>
    <cellStyle name="表示済みのハイパーリンク" xfId="347" builtinId="9" hidden="1"/>
    <cellStyle name="表示済みのハイパーリンク" xfId="349" builtinId="9" hidden="1"/>
    <cellStyle name="表示済みのハイパーリンク" xfId="351" builtinId="9" hidden="1"/>
    <cellStyle name="表示済みのハイパーリンク" xfId="353" builtinId="9" hidden="1"/>
    <cellStyle name="表示済みのハイパーリンク" xfId="355" builtinId="9" hidden="1"/>
    <cellStyle name="表示済みのハイパーリンク" xfId="357" builtinId="9" hidden="1"/>
    <cellStyle name="表示済みのハイパーリンク" xfId="359" builtinId="9" hidden="1"/>
    <cellStyle name="表示済みのハイパーリンク" xfId="361" builtinId="9" hidden="1"/>
    <cellStyle name="表示済みのハイパーリンク" xfId="363" builtinId="9" hidden="1"/>
    <cellStyle name="表示済みのハイパーリンク" xfId="365" builtinId="9" hidden="1"/>
    <cellStyle name="表示済みのハイパーリンク" xfId="367" builtinId="9" hidden="1"/>
    <cellStyle name="表示済みのハイパーリンク" xfId="369" builtinId="9" hidden="1"/>
    <cellStyle name="表示済みのハイパーリンク" xfId="371" builtinId="9" hidden="1"/>
    <cellStyle name="表示済みのハイパーリンク" xfId="373" builtinId="9" hidden="1"/>
    <cellStyle name="表示済みのハイパーリンク" xfId="375" builtinId="9" hidden="1"/>
    <cellStyle name="表示済みのハイパーリンク" xfId="377" builtinId="9" hidden="1"/>
    <cellStyle name="表示済みのハイパーリンク" xfId="379" builtinId="9" hidden="1"/>
    <cellStyle name="表示済みのハイパーリンク" xfId="381" builtinId="9" hidden="1"/>
    <cellStyle name="表示済みのハイパーリンク" xfId="383" builtinId="9" hidden="1"/>
    <cellStyle name="表示済みのハイパーリンク" xfId="385" builtinId="9" hidden="1"/>
    <cellStyle name="表示済みのハイパーリンク" xfId="387" builtinId="9" hidden="1"/>
    <cellStyle name="表示済みのハイパーリンク" xfId="389" builtinId="9" hidden="1"/>
    <cellStyle name="表示済みのハイパーリンク" xfId="391" builtinId="9" hidden="1"/>
    <cellStyle name="表示済みのハイパーリンク" xfId="393" builtinId="9" hidden="1"/>
    <cellStyle name="表示済みのハイパーリンク" xfId="395" builtinId="9" hidden="1"/>
    <cellStyle name="表示済みのハイパーリンク" xfId="397" builtinId="9" hidden="1"/>
    <cellStyle name="表示済みのハイパーリンク" xfId="399" builtinId="9" hidden="1"/>
    <cellStyle name="表示済みのハイパーリンク" xfId="401" builtinId="9" hidden="1"/>
    <cellStyle name="表示済みのハイパーリンク" xfId="403" builtinId="9" hidden="1"/>
    <cellStyle name="表示済みのハイパーリンク" xfId="405" builtinId="9" hidden="1"/>
    <cellStyle name="表示済みのハイパーリンク" xfId="407" builtinId="9" hidden="1"/>
    <cellStyle name="表示済みのハイパーリンク" xfId="409" builtinId="9" hidden="1"/>
    <cellStyle name="表示済みのハイパーリンク" xfId="411" builtinId="9" hidden="1"/>
    <cellStyle name="表示済みのハイパーリンク" xfId="413" builtinId="9" hidden="1"/>
    <cellStyle name="表示済みのハイパーリンク" xfId="415" builtinId="9" hidden="1"/>
    <cellStyle name="表示済みのハイパーリンク" xfId="417" builtinId="9" hidden="1"/>
    <cellStyle name="表示済みのハイパーリンク" xfId="419" builtinId="9" hidden="1"/>
    <cellStyle name="表示済みのハイパーリンク" xfId="421" builtinId="9" hidden="1"/>
    <cellStyle name="表示済みのハイパーリンク" xfId="423" builtinId="9" hidden="1"/>
    <cellStyle name="表示済みのハイパーリンク" xfId="425" builtinId="9" hidden="1"/>
    <cellStyle name="表示済みのハイパーリンク" xfId="427" builtinId="9" hidden="1"/>
    <cellStyle name="表示済みのハイパーリンク" xfId="429" builtinId="9" hidden="1"/>
    <cellStyle name="表示済みのハイパーリンク" xfId="431" builtinId="9" hidden="1"/>
    <cellStyle name="表示済みのハイパーリンク" xfId="433" builtinId="9" hidden="1"/>
    <cellStyle name="表示済みのハイパーリンク" xfId="435" builtinId="9" hidden="1"/>
    <cellStyle name="表示済みのハイパーリンク" xfId="437" builtinId="9" hidden="1"/>
    <cellStyle name="表示済みのハイパーリンク" xfId="439" builtinId="9" hidden="1"/>
    <cellStyle name="表示済みのハイパーリンク" xfId="441" builtinId="9" hidden="1"/>
    <cellStyle name="表示済みのハイパーリンク" xfId="443" builtinId="9" hidden="1"/>
    <cellStyle name="表示済みのハイパーリンク" xfId="445" builtinId="9" hidden="1"/>
    <cellStyle name="表示済みのハイパーリンク" xfId="447" builtinId="9" hidden="1"/>
    <cellStyle name="表示済みのハイパーリンク" xfId="449" builtinId="9" hidden="1"/>
    <cellStyle name="表示済みのハイパーリンク" xfId="451" builtinId="9" hidden="1"/>
    <cellStyle name="表示済みのハイパーリンク" xfId="453" builtinId="9" hidden="1"/>
    <cellStyle name="表示済みのハイパーリンク" xfId="455" builtinId="9" hidden="1"/>
    <cellStyle name="表示済みのハイパーリンク" xfId="457" builtinId="9" hidden="1"/>
    <cellStyle name="表示済みのハイパーリンク" xfId="459" builtinId="9" hidden="1"/>
    <cellStyle name="表示済みのハイパーリンク" xfId="461" builtinId="9" hidden="1"/>
    <cellStyle name="表示済みのハイパーリンク" xfId="463" builtinId="9" hidden="1"/>
    <cellStyle name="表示済みのハイパーリンク" xfId="465" builtinId="9" hidden="1"/>
    <cellStyle name="表示済みのハイパーリンク" xfId="467" builtinId="9" hidden="1"/>
    <cellStyle name="表示済みのハイパーリンク" xfId="469" builtinId="9" hidden="1"/>
    <cellStyle name="表示済みのハイパーリンク" xfId="471" builtinId="9" hidden="1"/>
    <cellStyle name="表示済みのハイパーリンク" xfId="473" builtinId="9" hidden="1"/>
    <cellStyle name="表示済みのハイパーリンク" xfId="475" builtinId="9" hidden="1"/>
    <cellStyle name="表示済みのハイパーリンク" xfId="477" builtinId="9" hidden="1"/>
    <cellStyle name="表示済みのハイパーリンク" xfId="479" builtinId="9" hidden="1"/>
    <cellStyle name="表示済みのハイパーリンク" xfId="481" builtinId="9" hidden="1"/>
    <cellStyle name="表示済みのハイパーリンク" xfId="483" builtinId="9" hidden="1"/>
    <cellStyle name="表示済みのハイパーリンク" xfId="485" builtinId="9" hidden="1"/>
    <cellStyle name="表示済みのハイパーリンク" xfId="487" builtinId="9" hidden="1"/>
    <cellStyle name="表示済みのハイパーリンク" xfId="489" builtinId="9" hidden="1"/>
    <cellStyle name="表示済みのハイパーリンク" xfId="491" builtinId="9" hidden="1"/>
    <cellStyle name="表示済みのハイパーリンク" xfId="493" builtinId="9" hidden="1"/>
    <cellStyle name="表示済みのハイパーリンク" xfId="495" builtinId="9" hidden="1"/>
    <cellStyle name="表示済みのハイパーリンク" xfId="497" builtinId="9" hidden="1"/>
    <cellStyle name="表示済みのハイパーリンク" xfId="499" builtinId="9" hidden="1"/>
    <cellStyle name="表示済みのハイパーリンク" xfId="501" builtinId="9" hidden="1"/>
    <cellStyle name="表示済みのハイパーリンク" xfId="503" builtinId="9" hidden="1"/>
    <cellStyle name="表示済みのハイパーリンク" xfId="505" builtinId="9" hidden="1"/>
    <cellStyle name="表示済みのハイパーリンク" xfId="507" builtinId="9" hidden="1"/>
    <cellStyle name="表示済みのハイパーリンク" xfId="509" builtinId="9" hidden="1"/>
    <cellStyle name="表示済みのハイパーリンク" xfId="511" builtinId="9" hidden="1"/>
    <cellStyle name="表示済みのハイパーリンク" xfId="513" builtinId="9" hidden="1"/>
    <cellStyle name="表示済みのハイパーリンク" xfId="515" builtinId="9" hidden="1"/>
    <cellStyle name="表示済みのハイパーリンク" xfId="517" builtinId="9" hidden="1"/>
    <cellStyle name="表示済みのハイパーリンク" xfId="519" builtinId="9" hidden="1"/>
    <cellStyle name="表示済みのハイパーリンク" xfId="521" builtinId="9" hidden="1"/>
    <cellStyle name="表示済みのハイパーリンク" xfId="523" builtinId="9" hidden="1"/>
    <cellStyle name="表示済みのハイパーリンク" xfId="525" builtinId="9" hidden="1"/>
    <cellStyle name="表示済みのハイパーリンク" xfId="527" builtinId="9" hidden="1"/>
    <cellStyle name="表示済みのハイパーリンク" xfId="529" builtinId="9" hidden="1"/>
    <cellStyle name="表示済みのハイパーリンク" xfId="531" builtinId="9" hidden="1"/>
    <cellStyle name="表示済みのハイパーリンク" xfId="533" builtinId="9" hidden="1"/>
    <cellStyle name="表示済みのハイパーリンク" xfId="535" builtinId="9" hidden="1"/>
    <cellStyle name="表示済みのハイパーリンク" xfId="537" builtinId="9" hidden="1"/>
    <cellStyle name="表示済みのハイパーリンク" xfId="539" builtinId="9" hidden="1"/>
    <cellStyle name="表示済みのハイパーリンク" xfId="541" builtinId="9" hidden="1"/>
    <cellStyle name="表示済みのハイパーリンク" xfId="543" builtinId="9" hidden="1"/>
    <cellStyle name="表示済みのハイパーリンク" xfId="545" builtinId="9" hidden="1"/>
    <cellStyle name="表示済みのハイパーリンク" xfId="547" builtinId="9" hidden="1"/>
    <cellStyle name="表示済みのハイパーリンク" xfId="549" builtinId="9" hidden="1"/>
    <cellStyle name="表示済みのハイパーリンク" xfId="551" builtinId="9" hidden="1"/>
    <cellStyle name="表示済みのハイパーリンク" xfId="553" builtinId="9" hidden="1"/>
    <cellStyle name="表示済みのハイパーリンク" xfId="555" builtinId="9" hidden="1"/>
    <cellStyle name="表示済みのハイパーリンク" xfId="557" builtinId="9" hidden="1"/>
    <cellStyle name="表示済みのハイパーリンク" xfId="559" builtinId="9" hidden="1"/>
    <cellStyle name="表示済みのハイパーリンク" xfId="561" builtinId="9" hidden="1"/>
    <cellStyle name="表示済みのハイパーリンク" xfId="563" builtinId="9" hidden="1"/>
    <cellStyle name="表示済みのハイパーリンク" xfId="565" builtinId="9" hidden="1"/>
    <cellStyle name="表示済みのハイパーリンク" xfId="567" builtinId="9" hidden="1"/>
    <cellStyle name="表示済みのハイパーリンク" xfId="569" builtinId="9" hidden="1"/>
    <cellStyle name="表示済みのハイパーリンク" xfId="571" builtinId="9" hidden="1"/>
    <cellStyle name="表示済みのハイパーリンク" xfId="573" builtinId="9" hidden="1"/>
    <cellStyle name="表示済みのハイパーリンク" xfId="575" builtinId="9" hidden="1"/>
    <cellStyle name="表示済みのハイパーリンク" xfId="577" builtinId="9" hidden="1"/>
    <cellStyle name="表示済みのハイパーリンク" xfId="579" builtinId="9" hidden="1"/>
    <cellStyle name="表示済みのハイパーリンク" xfId="581" builtinId="9" hidden="1"/>
    <cellStyle name="表示済みのハイパーリンク" xfId="583" builtinId="9" hidden="1"/>
    <cellStyle name="表示済みのハイパーリンク" xfId="585" builtinId="9" hidden="1"/>
    <cellStyle name="表示済みのハイパーリンク" xfId="587" builtinId="9" hidden="1"/>
    <cellStyle name="表示済みのハイパーリンク" xfId="589" builtinId="9" hidden="1"/>
    <cellStyle name="表示済みのハイパーリンク" xfId="591" builtinId="9" hidden="1"/>
    <cellStyle name="表示済みのハイパーリンク" xfId="593" builtinId="9" hidden="1"/>
    <cellStyle name="表示済みのハイパーリンク" xfId="595" builtinId="9" hidden="1"/>
    <cellStyle name="表示済みのハイパーリンク" xfId="597" builtinId="9" hidden="1"/>
    <cellStyle name="表示済みのハイパーリンク" xfId="599" builtinId="9" hidden="1"/>
    <cellStyle name="表示済みのハイパーリンク" xfId="601" builtinId="9" hidden="1"/>
    <cellStyle name="表示済みのハイパーリンク" xfId="603" builtinId="9" hidden="1"/>
    <cellStyle name="表示済みのハイパーリンク" xfId="605" builtinId="9" hidden="1"/>
    <cellStyle name="表示済みのハイパーリンク" xfId="607" builtinId="9" hidden="1"/>
    <cellStyle name="表示済みのハイパーリンク" xfId="609" builtinId="9" hidden="1"/>
    <cellStyle name="表示済みのハイパーリンク" xfId="611" builtinId="9" hidden="1"/>
    <cellStyle name="表示済みのハイパーリンク" xfId="613" builtinId="9" hidden="1"/>
    <cellStyle name="表示済みのハイパーリンク" xfId="615" builtinId="9" hidden="1"/>
    <cellStyle name="表示済みのハイパーリンク" xfId="617" builtinId="9" hidden="1"/>
    <cellStyle name="表示済みのハイパーリンク" xfId="619" builtinId="9" hidden="1"/>
    <cellStyle name="表示済みのハイパーリンク" xfId="621" builtinId="9" hidden="1"/>
    <cellStyle name="表示済みのハイパーリンク" xfId="623" builtinId="9" hidden="1"/>
    <cellStyle name="表示済みのハイパーリンク" xfId="625" builtinId="9" hidden="1"/>
    <cellStyle name="表示済みのハイパーリンク" xfId="627" builtinId="9" hidden="1"/>
    <cellStyle name="表示済みのハイパーリンク" xfId="629" builtinId="9" hidden="1"/>
    <cellStyle name="表示済みのハイパーリンク" xfId="631" builtinId="9" hidden="1"/>
    <cellStyle name="表示済みのハイパーリンク" xfId="633" builtinId="9" hidden="1"/>
    <cellStyle name="表示済みのハイパーリンク" xfId="635" builtinId="9" hidden="1"/>
    <cellStyle name="表示済みのハイパーリンク" xfId="637" builtinId="9" hidden="1"/>
    <cellStyle name="表示済みのハイパーリンク" xfId="639" builtinId="9" hidden="1"/>
    <cellStyle name="表示済みのハイパーリンク" xfId="641" builtinId="9" hidden="1"/>
    <cellStyle name="表示済みのハイパーリンク" xfId="643" builtinId="9" hidden="1"/>
    <cellStyle name="表示済みのハイパーリンク" xfId="645" builtinId="9" hidden="1"/>
    <cellStyle name="表示済みのハイパーリンク" xfId="647" builtinId="9" hidden="1"/>
    <cellStyle name="表示済みのハイパーリンク" xfId="649" builtinId="9" hidden="1"/>
    <cellStyle name="表示済みのハイパーリンク" xfId="651" builtinId="9" hidden="1"/>
    <cellStyle name="表示済みのハイパーリンク" xfId="653" builtinId="9" hidden="1"/>
    <cellStyle name="表示済みのハイパーリンク" xfId="655" builtinId="9" hidden="1"/>
    <cellStyle name="表示済みのハイパーリンク" xfId="657" builtinId="9" hidden="1"/>
    <cellStyle name="表示済みのハイパーリンク" xfId="659" builtinId="9" hidden="1"/>
    <cellStyle name="表示済みのハイパーリンク" xfId="661" builtinId="9" hidden="1"/>
    <cellStyle name="表示済みのハイパーリンク" xfId="663" builtinId="9" hidden="1"/>
    <cellStyle name="表示済みのハイパーリンク" xfId="665" builtinId="9" hidden="1"/>
    <cellStyle name="表示済みのハイパーリンク" xfId="667" builtinId="9" hidden="1"/>
    <cellStyle name="表示済みのハイパーリンク" xfId="669" builtinId="9" hidden="1"/>
    <cellStyle name="表示済みのハイパーリンク" xfId="671" builtinId="9" hidden="1"/>
    <cellStyle name="表示済みのハイパーリンク" xfId="673" builtinId="9" hidden="1"/>
    <cellStyle name="表示済みのハイパーリンク" xfId="675" builtinId="9" hidden="1"/>
    <cellStyle name="表示済みのハイパーリンク" xfId="677" builtinId="9" hidden="1"/>
    <cellStyle name="表示済みのハイパーリンク" xfId="679" builtinId="9" hidden="1"/>
    <cellStyle name="表示済みのハイパーリンク" xfId="681" builtinId="9" hidden="1"/>
    <cellStyle name="表示済みのハイパーリンク" xfId="683" builtinId="9" hidden="1"/>
    <cellStyle name="表示済みのハイパーリンク" xfId="685" builtinId="9" hidden="1"/>
    <cellStyle name="表示済みのハイパーリンク" xfId="687" builtinId="9" hidden="1"/>
    <cellStyle name="表示済みのハイパーリンク" xfId="689" builtinId="9" hidden="1"/>
    <cellStyle name="表示済みのハイパーリンク" xfId="691" builtinId="9" hidden="1"/>
    <cellStyle name="表示済みのハイパーリンク" xfId="693" builtinId="9" hidden="1"/>
    <cellStyle name="表示済みのハイパーリンク" xfId="695" builtinId="9" hidden="1"/>
    <cellStyle name="表示済みのハイパーリンク" xfId="697" builtinId="9" hidden="1"/>
    <cellStyle name="表示済みのハイパーリンク" xfId="699" builtinId="9" hidden="1"/>
    <cellStyle name="表示済みのハイパーリンク" xfId="701" builtinId="9" hidden="1"/>
    <cellStyle name="表示済みのハイパーリンク" xfId="703" builtinId="9" hidden="1"/>
    <cellStyle name="表示済みのハイパーリンク" xfId="705" builtinId="9" hidden="1"/>
    <cellStyle name="表示済みのハイパーリンク" xfId="707" builtinId="9" hidden="1"/>
    <cellStyle name="表示済みのハイパーリンク" xfId="709" builtinId="9" hidden="1"/>
    <cellStyle name="表示済みのハイパーリンク" xfId="711" builtinId="9" hidden="1"/>
    <cellStyle name="表示済みのハイパーリンク" xfId="713" builtinId="9" hidden="1"/>
    <cellStyle name="表示済みのハイパーリンク" xfId="715" builtinId="9" hidden="1"/>
    <cellStyle name="表示済みのハイパーリンク" xfId="717" builtinId="9" hidden="1"/>
    <cellStyle name="表示済みのハイパーリンク" xfId="719" builtinId="9" hidden="1"/>
    <cellStyle name="表示済みのハイパーリンク" xfId="721" builtinId="9" hidden="1"/>
    <cellStyle name="表示済みのハイパーリンク" xfId="723" builtinId="9" hidden="1"/>
    <cellStyle name="表示済みのハイパーリンク" xfId="725" builtinId="9" hidden="1"/>
    <cellStyle name="表示済みのハイパーリンク" xfId="727" builtinId="9" hidden="1"/>
    <cellStyle name="表示済みのハイパーリンク" xfId="729" builtinId="9" hidden="1"/>
    <cellStyle name="表示済みのハイパーリンク" xfId="731" builtinId="9" hidden="1"/>
    <cellStyle name="表示済みのハイパーリンク" xfId="733" builtinId="9" hidden="1"/>
    <cellStyle name="表示済みのハイパーリンク" xfId="735" builtinId="9" hidden="1"/>
    <cellStyle name="表示済みのハイパーリンク" xfId="737" builtinId="9" hidden="1"/>
    <cellStyle name="表示済みのハイパーリンク" xfId="739" builtinId="9" hidden="1"/>
    <cellStyle name="表示済みのハイパーリンク" xfId="741" builtinId="9" hidden="1"/>
    <cellStyle name="表示済みのハイパーリンク" xfId="743" builtinId="9" hidden="1"/>
    <cellStyle name="表示済みのハイパーリンク" xfId="745" builtinId="9" hidden="1"/>
    <cellStyle name="表示済みのハイパーリンク" xfId="747" builtinId="9" hidden="1"/>
    <cellStyle name="表示済みのハイパーリンク" xfId="749" builtinId="9" hidden="1"/>
    <cellStyle name="表示済みのハイパーリンク" xfId="751" builtinId="9" hidden="1"/>
    <cellStyle name="表示済みのハイパーリンク" xfId="753" builtinId="9" hidden="1"/>
    <cellStyle name="表示済みのハイパーリンク" xfId="755" builtinId="9" hidden="1"/>
    <cellStyle name="表示済みのハイパーリンク" xfId="757" builtinId="9" hidden="1"/>
    <cellStyle name="表示済みのハイパーリンク" xfId="759" builtinId="9" hidden="1"/>
    <cellStyle name="表示済みのハイパーリンク" xfId="761" builtinId="9" hidden="1"/>
    <cellStyle name="表示済みのハイパーリンク" xfId="763" builtinId="9" hidden="1"/>
    <cellStyle name="表示済みのハイパーリンク" xfId="765" builtinId="9" hidden="1"/>
    <cellStyle name="表示済みのハイパーリンク" xfId="767" builtinId="9" hidden="1"/>
    <cellStyle name="表示済みのハイパーリンク" xfId="769" builtinId="9" hidden="1"/>
    <cellStyle name="表示済みのハイパーリンク" xfId="771" builtinId="9" hidden="1"/>
    <cellStyle name="表示済みのハイパーリンク" xfId="773" builtinId="9" hidden="1"/>
    <cellStyle name="表示済みのハイパーリンク" xfId="775" builtinId="9" hidden="1"/>
    <cellStyle name="表示済みのハイパーリンク" xfId="777" builtinId="9" hidden="1"/>
    <cellStyle name="表示済みのハイパーリンク" xfId="779" builtinId="9" hidden="1"/>
    <cellStyle name="表示済みのハイパーリンク" xfId="781" builtinId="9" hidden="1"/>
    <cellStyle name="表示済みのハイパーリンク" xfId="783" builtinId="9" hidden="1"/>
    <cellStyle name="表示済みのハイパーリンク" xfId="785" builtinId="9" hidden="1"/>
    <cellStyle name="表示済みのハイパーリンク" xfId="787" builtinId="9" hidden="1"/>
    <cellStyle name="表示済みのハイパーリンク" xfId="789" builtinId="9" hidden="1"/>
    <cellStyle name="表示済みのハイパーリンク" xfId="791" builtinId="9" hidden="1"/>
    <cellStyle name="表示済みのハイパーリンク" xfId="793" builtinId="9" hidden="1"/>
    <cellStyle name="表示済みのハイパーリンク" xfId="795" builtinId="9" hidden="1"/>
    <cellStyle name="表示済みのハイパーリンク" xfId="797" builtinId="9" hidden="1"/>
    <cellStyle name="表示済みのハイパーリンク" xfId="799" builtinId="9" hidden="1"/>
    <cellStyle name="表示済みのハイパーリンク" xfId="801" builtinId="9" hidden="1"/>
    <cellStyle name="表示済みのハイパーリンク" xfId="803" builtinId="9" hidden="1"/>
    <cellStyle name="表示済みのハイパーリンク" xfId="805" builtinId="9" hidden="1"/>
    <cellStyle name="表示済みのハイパーリンク" xfId="807" builtinId="9" hidden="1"/>
    <cellStyle name="表示済みのハイパーリンク" xfId="809" builtinId="9" hidden="1"/>
    <cellStyle name="表示済みのハイパーリンク" xfId="811" builtinId="9" hidden="1"/>
    <cellStyle name="表示済みのハイパーリンク" xfId="813" builtinId="9" hidden="1"/>
    <cellStyle name="表示済みのハイパーリンク" xfId="815" builtinId="9" hidden="1"/>
    <cellStyle name="表示済みのハイパーリンク" xfId="817" builtinId="9" hidden="1"/>
    <cellStyle name="表示済みのハイパーリンク" xfId="819" builtinId="9" hidden="1"/>
    <cellStyle name="表示済みのハイパーリンク" xfId="821" builtinId="9" hidden="1"/>
    <cellStyle name="表示済みのハイパーリンク" xfId="823" builtinId="9" hidden="1"/>
    <cellStyle name="表示済みのハイパーリンク" xfId="825" builtinId="9" hidden="1"/>
    <cellStyle name="表示済みのハイパーリンク" xfId="827" builtinId="9" hidden="1"/>
    <cellStyle name="表示済みのハイパーリンク" xfId="829" builtinId="9" hidden="1"/>
    <cellStyle name="表示済みのハイパーリンク" xfId="831" builtinId="9" hidden="1"/>
    <cellStyle name="表示済みのハイパーリンク" xfId="833" builtinId="9" hidden="1"/>
    <cellStyle name="表示済みのハイパーリンク" xfId="835" builtinId="9" hidden="1"/>
    <cellStyle name="表示済みのハイパーリンク" xfId="837" builtinId="9" hidden="1"/>
    <cellStyle name="表示済みのハイパーリンク" xfId="839" builtinId="9" hidden="1"/>
    <cellStyle name="表示済みのハイパーリンク" xfId="841" builtinId="9" hidden="1"/>
    <cellStyle name="表示済みのハイパーリンク" xfId="843" builtinId="9" hidden="1"/>
    <cellStyle name="表示済みのハイパーリンク" xfId="845" builtinId="9" hidden="1"/>
    <cellStyle name="表示済みのハイパーリンク" xfId="847" builtinId="9" hidden="1"/>
    <cellStyle name="表示済みのハイパーリンク" xfId="849" builtinId="9" hidden="1"/>
    <cellStyle name="表示済みのハイパーリンク" xfId="851" builtinId="9" hidden="1"/>
    <cellStyle name="表示済みのハイパーリンク" xfId="853" builtinId="9" hidden="1"/>
    <cellStyle name="表示済みのハイパーリンク" xfId="855" builtinId="9" hidden="1"/>
    <cellStyle name="表示済みのハイパーリンク" xfId="857" builtinId="9" hidden="1"/>
    <cellStyle name="表示済みのハイパーリンク" xfId="859" builtinId="9" hidden="1"/>
    <cellStyle name="表示済みのハイパーリンク" xfId="861" builtinId="9" hidden="1"/>
    <cellStyle name="表示済みのハイパーリンク" xfId="863" builtinId="9" hidden="1"/>
    <cellStyle name="表示済みのハイパーリンク" xfId="865" builtinId="9" hidden="1"/>
    <cellStyle name="表示済みのハイパーリンク" xfId="867" builtinId="9" hidden="1"/>
    <cellStyle name="表示済みのハイパーリンク" xfId="869" builtinId="9" hidden="1"/>
    <cellStyle name="表示済みのハイパーリンク" xfId="871" builtinId="9" hidden="1"/>
    <cellStyle name="表示済みのハイパーリンク" xfId="873" builtinId="9" hidden="1"/>
    <cellStyle name="表示済みのハイパーリンク" xfId="875" builtinId="9" hidden="1"/>
    <cellStyle name="表示済みのハイパーリンク" xfId="877" builtinId="9" hidden="1"/>
    <cellStyle name="表示済みのハイパーリンク" xfId="879" builtinId="9" hidden="1"/>
    <cellStyle name="表示済みのハイパーリンク" xfId="881" builtinId="9" hidden="1"/>
    <cellStyle name="表示済みのハイパーリンク" xfId="883" builtinId="9" hidden="1"/>
    <cellStyle name="表示済みのハイパーリンク" xfId="885" builtinId="9" hidden="1"/>
    <cellStyle name="表示済みのハイパーリンク" xfId="887" builtinId="9" hidden="1"/>
    <cellStyle name="表示済みのハイパーリンク" xfId="889" builtinId="9" hidden="1"/>
    <cellStyle name="表示済みのハイパーリンク" xfId="891" builtinId="9" hidden="1"/>
    <cellStyle name="表示済みのハイパーリンク" xfId="893" builtinId="9" hidden="1"/>
    <cellStyle name="表示済みのハイパーリンク" xfId="895" builtinId="9" hidden="1"/>
    <cellStyle name="表示済みのハイパーリンク" xfId="897" builtinId="9" hidden="1"/>
    <cellStyle name="表示済みのハイパーリンク" xfId="899" builtinId="9" hidden="1"/>
    <cellStyle name="表示済みのハイパーリンク" xfId="901" builtinId="9" hidden="1"/>
    <cellStyle name="表示済みのハイパーリンク" xfId="903" builtinId="9" hidden="1"/>
    <cellStyle name="表示済みのハイパーリンク" xfId="905" builtinId="9" hidden="1"/>
    <cellStyle name="表示済みのハイパーリンク" xfId="907" builtinId="9" hidden="1"/>
    <cellStyle name="表示済みのハイパーリンク" xfId="909" builtinId="9" hidden="1"/>
    <cellStyle name="表示済みのハイパーリンク" xfId="911" builtinId="9" hidden="1"/>
    <cellStyle name="表示済みのハイパーリンク" xfId="913" builtinId="9" hidden="1"/>
    <cellStyle name="表示済みのハイパーリンク" xfId="915" builtinId="9" hidden="1"/>
    <cellStyle name="表示済みのハイパーリンク" xfId="917" builtinId="9" hidden="1"/>
    <cellStyle name="表示済みのハイパーリンク" xfId="919" builtinId="9" hidden="1"/>
    <cellStyle name="表示済みのハイパーリンク" xfId="921" builtinId="9" hidden="1"/>
    <cellStyle name="表示済みのハイパーリンク" xfId="923" builtinId="9" hidden="1"/>
    <cellStyle name="表示済みのハイパーリンク" xfId="925" builtinId="9" hidden="1"/>
    <cellStyle name="表示済みのハイパーリンク" xfId="927" builtinId="9" hidden="1"/>
    <cellStyle name="表示済みのハイパーリンク" xfId="929" builtinId="9" hidden="1"/>
    <cellStyle name="表示済みのハイパーリンク" xfId="931" builtinId="9" hidden="1"/>
    <cellStyle name="表示済みのハイパーリンク" xfId="933" builtinId="9" hidden="1"/>
    <cellStyle name="表示済みのハイパーリンク" xfId="935" builtinId="9" hidden="1"/>
    <cellStyle name="表示済みのハイパーリンク" xfId="937" builtinId="9" hidden="1"/>
    <cellStyle name="表示済みのハイパーリンク" xfId="939" builtinId="9" hidden="1"/>
    <cellStyle name="表示済みのハイパーリンク" xfId="941" builtinId="9" hidden="1"/>
    <cellStyle name="表示済みのハイパーリンク" xfId="943" builtinId="9" hidden="1"/>
    <cellStyle name="表示済みのハイパーリンク" xfId="945" builtinId="9" hidden="1"/>
    <cellStyle name="表示済みのハイパーリンク" xfId="947" builtinId="9" hidden="1"/>
    <cellStyle name="表示済みのハイパーリンク" xfId="949" builtinId="9" hidden="1"/>
    <cellStyle name="表示済みのハイパーリンク" xfId="951" builtinId="9" hidden="1"/>
    <cellStyle name="表示済みのハイパーリンク" xfId="953" builtinId="9" hidden="1"/>
    <cellStyle name="表示済みのハイパーリンク" xfId="955" builtinId="9" hidden="1"/>
    <cellStyle name="表示済みのハイパーリンク" xfId="957" builtinId="9" hidden="1"/>
    <cellStyle name="表示済みのハイパーリンク" xfId="959" builtinId="9" hidden="1"/>
    <cellStyle name="表示済みのハイパーリンク" xfId="961" builtinId="9" hidden="1"/>
    <cellStyle name="表示済みのハイパーリンク" xfId="963" builtinId="9" hidden="1"/>
    <cellStyle name="表示済みのハイパーリンク" xfId="965" builtinId="9" hidden="1"/>
    <cellStyle name="表示済みのハイパーリンク" xfId="967" builtinId="9" hidden="1"/>
    <cellStyle name="表示済みのハイパーリンク" xfId="969" builtinId="9" hidden="1"/>
    <cellStyle name="表示済みのハイパーリンク" xfId="971" builtinId="9" hidden="1"/>
    <cellStyle name="表示済みのハイパーリンク" xfId="973" builtinId="9" hidden="1"/>
    <cellStyle name="表示済みのハイパーリンク" xfId="975" builtinId="9" hidden="1"/>
    <cellStyle name="表示済みのハイパーリンク" xfId="977" builtinId="9" hidden="1"/>
    <cellStyle name="表示済みのハイパーリンク" xfId="979" builtinId="9" hidden="1"/>
    <cellStyle name="表示済みのハイパーリンク" xfId="981" builtinId="9" hidden="1"/>
    <cellStyle name="表示済みのハイパーリンク" xfId="983" builtinId="9" hidden="1"/>
    <cellStyle name="表示済みのハイパーリンク" xfId="985" builtinId="9" hidden="1"/>
    <cellStyle name="表示済みのハイパーリンク" xfId="987" builtinId="9" hidden="1"/>
    <cellStyle name="表示済みのハイパーリンク" xfId="989" builtinId="9" hidden="1"/>
    <cellStyle name="表示済みのハイパーリンク" xfId="991" builtinId="9" hidden="1"/>
    <cellStyle name="表示済みのハイパーリンク" xfId="993" builtinId="9" hidden="1"/>
    <cellStyle name="表示済みのハイパーリンク" xfId="995" builtinId="9" hidden="1"/>
    <cellStyle name="表示済みのハイパーリンク" xfId="997" builtinId="9" hidden="1"/>
    <cellStyle name="表示済みのハイパーリンク" xfId="999" builtinId="9" hidden="1"/>
    <cellStyle name="表示済みのハイパーリンク" xfId="1001" builtinId="9" hidden="1"/>
    <cellStyle name="表示済みのハイパーリンク" xfId="1003" builtinId="9" hidden="1"/>
    <cellStyle name="表示済みのハイパーリンク" xfId="1005" builtinId="9" hidden="1"/>
    <cellStyle name="表示済みのハイパーリンク" xfId="1007" builtinId="9" hidden="1"/>
    <cellStyle name="表示済みのハイパーリンク" xfId="1009" builtinId="9" hidden="1"/>
    <cellStyle name="表示済みのハイパーリンク" xfId="1011" builtinId="9" hidden="1"/>
    <cellStyle name="表示済みのハイパーリンク" xfId="1013" builtinId="9" hidden="1"/>
    <cellStyle name="表示済みのハイパーリンク" xfId="1015" builtinId="9" hidden="1"/>
    <cellStyle name="表示済みのハイパーリンク" xfId="1017" builtinId="9" hidden="1"/>
    <cellStyle name="表示済みのハイパーリンク" xfId="1019" builtinId="9" hidden="1"/>
    <cellStyle name="表示済みのハイパーリンク" xfId="1021" builtinId="9" hidden="1"/>
    <cellStyle name="表示済みのハイパーリンク" xfId="1023" builtinId="9" hidden="1"/>
    <cellStyle name="表示済みのハイパーリンク" xfId="1025" builtinId="9" hidden="1"/>
    <cellStyle name="表示済みのハイパーリンク" xfId="1027" builtinId="9" hidden="1"/>
    <cellStyle name="表示済みのハイパーリンク" xfId="1029" builtinId="9" hidden="1"/>
    <cellStyle name="表示済みのハイパーリンク" xfId="1031" builtinId="9" hidden="1"/>
    <cellStyle name="表示済みのハイパーリンク" xfId="1033" builtinId="9" hidden="1"/>
    <cellStyle name="表示済みのハイパーリンク" xfId="1035" builtinId="9" hidden="1"/>
    <cellStyle name="表示済みのハイパーリンク" xfId="1037" builtinId="9" hidden="1"/>
    <cellStyle name="表示済みのハイパーリンク" xfId="1039" builtinId="9" hidden="1"/>
    <cellStyle name="表示済みのハイパーリンク" xfId="1041" builtinId="9" hidden="1"/>
    <cellStyle name="表示済みのハイパーリンク" xfId="1043" builtinId="9" hidden="1"/>
    <cellStyle name="表示済みのハイパーリンク" xfId="1045" builtinId="9" hidden="1"/>
    <cellStyle name="表示済みのハイパーリンク" xfId="1047" builtinId="9" hidden="1"/>
    <cellStyle name="表示済みのハイパーリンク" xfId="1049" builtinId="9" hidden="1"/>
    <cellStyle name="表示済みのハイパーリンク" xfId="1051" builtinId="9" hidden="1"/>
    <cellStyle name="表示済みのハイパーリンク" xfId="1053" builtinId="9" hidden="1"/>
    <cellStyle name="表示済みのハイパーリンク" xfId="1055" builtinId="9" hidden="1"/>
    <cellStyle name="表示済みのハイパーリンク" xfId="1057" builtinId="9" hidden="1"/>
    <cellStyle name="表示済みのハイパーリンク" xfId="1059" builtinId="9" hidden="1"/>
    <cellStyle name="表示済みのハイパーリンク" xfId="1061" builtinId="9" hidden="1"/>
    <cellStyle name="表示済みのハイパーリンク" xfId="1063" builtinId="9" hidden="1"/>
    <cellStyle name="表示済みのハイパーリンク" xfId="1065" builtinId="9" hidden="1"/>
    <cellStyle name="表示済みのハイパーリンク" xfId="1067" builtinId="9" hidden="1"/>
    <cellStyle name="表示済みのハイパーリンク" xfId="1069" builtinId="9" hidden="1"/>
    <cellStyle name="表示済みのハイパーリンク" xfId="1071" builtinId="9" hidden="1"/>
    <cellStyle name="表示済みのハイパーリンク" xfId="1073" builtinId="9" hidden="1"/>
    <cellStyle name="表示済みのハイパーリンク" xfId="1075" builtinId="9" hidden="1"/>
    <cellStyle name="表示済みのハイパーリンク" xfId="1077" builtinId="9" hidden="1"/>
    <cellStyle name="表示済みのハイパーリンク" xfId="1079" builtinId="9" hidden="1"/>
    <cellStyle name="表示済みのハイパーリンク" xfId="1081" builtinId="9" hidden="1"/>
    <cellStyle name="表示済みのハイパーリンク" xfId="1083" builtinId="9" hidden="1"/>
    <cellStyle name="表示済みのハイパーリンク" xfId="1085" builtinId="9" hidden="1"/>
    <cellStyle name="表示済みのハイパーリンク" xfId="1087" builtinId="9" hidden="1"/>
    <cellStyle name="表示済みのハイパーリンク" xfId="1089" builtinId="9" hidden="1"/>
    <cellStyle name="表示済みのハイパーリンク" xfId="1091" builtinId="9" hidden="1"/>
    <cellStyle name="表示済みのハイパーリンク" xfId="1093" builtinId="9" hidden="1"/>
    <cellStyle name="表示済みのハイパーリンク" xfId="1095" builtinId="9" hidden="1"/>
    <cellStyle name="表示済みのハイパーリンク" xfId="1097" builtinId="9" hidden="1"/>
    <cellStyle name="表示済みのハイパーリンク" xfId="1099" builtinId="9" hidden="1"/>
    <cellStyle name="表示済みのハイパーリンク" xfId="1101" builtinId="9" hidden="1"/>
    <cellStyle name="表示済みのハイパーリンク" xfId="1103" builtinId="9" hidden="1"/>
    <cellStyle name="表示済みのハイパーリンク" xfId="1105" builtinId="9" hidden="1"/>
    <cellStyle name="表示済みのハイパーリンク" xfId="1107" builtinId="9" hidden="1"/>
    <cellStyle name="表示済みのハイパーリンク" xfId="1109" builtinId="9" hidden="1"/>
    <cellStyle name="表示済みのハイパーリンク" xfId="1111" builtinId="9" hidden="1"/>
    <cellStyle name="表示済みのハイパーリンク" xfId="1113" builtinId="9" hidden="1"/>
    <cellStyle name="表示済みのハイパーリンク" xfId="1115" builtinId="9" hidden="1"/>
    <cellStyle name="表示済みのハイパーリンク" xfId="1117" builtinId="9" hidden="1"/>
    <cellStyle name="表示済みのハイパーリンク" xfId="1119" builtinId="9" hidden="1"/>
    <cellStyle name="表示済みのハイパーリンク" xfId="1121" builtinId="9" hidden="1"/>
    <cellStyle name="表示済みのハイパーリンク" xfId="1123" builtinId="9" hidden="1"/>
    <cellStyle name="表示済みのハイパーリンク" xfId="1125" builtinId="9" hidden="1"/>
    <cellStyle name="表示済みのハイパーリンク" xfId="1127" builtinId="9" hidden="1"/>
    <cellStyle name="表示済みのハイパーリンク" xfId="1129" builtinId="9" hidden="1"/>
    <cellStyle name="表示済みのハイパーリンク" xfId="1131" builtinId="9" hidden="1"/>
    <cellStyle name="表示済みのハイパーリンク" xfId="1133" builtinId="9" hidden="1"/>
    <cellStyle name="表示済みのハイパーリンク" xfId="1135" builtinId="9" hidden="1"/>
    <cellStyle name="表示済みのハイパーリンク" xfId="1137" builtinId="9" hidden="1"/>
    <cellStyle name="表示済みのハイパーリンク" xfId="1139" builtinId="9" hidden="1"/>
    <cellStyle name="表示済みのハイパーリンク" xfId="1141" builtinId="9" hidden="1"/>
    <cellStyle name="表示済みのハイパーリンク" xfId="1143" builtinId="9" hidden="1"/>
    <cellStyle name="表示済みのハイパーリンク" xfId="1145" builtinId="9" hidden="1"/>
    <cellStyle name="表示済みのハイパーリンク" xfId="1147" builtinId="9" hidden="1"/>
    <cellStyle name="表示済みのハイパーリンク" xfId="1149" builtinId="9" hidden="1"/>
    <cellStyle name="表示済みのハイパーリンク" xfId="1151" builtinId="9" hidden="1"/>
    <cellStyle name="表示済みのハイパーリンク" xfId="1153" builtinId="9" hidden="1"/>
    <cellStyle name="表示済みのハイパーリンク" xfId="1155" builtinId="9" hidden="1"/>
    <cellStyle name="表示済みのハイパーリンク" xfId="1157" builtinId="9" hidden="1"/>
    <cellStyle name="表示済みのハイパーリンク" xfId="1159" builtinId="9" hidden="1"/>
    <cellStyle name="表示済みのハイパーリンク" xfId="1161" builtinId="9" hidden="1"/>
    <cellStyle name="表示済みのハイパーリンク" xfId="1163" builtinId="9" hidden="1"/>
    <cellStyle name="表示済みのハイパーリンク" xfId="1165" builtinId="9" hidden="1"/>
    <cellStyle name="表示済みのハイパーリンク" xfId="1167" builtinId="9" hidden="1"/>
    <cellStyle name="表示済みのハイパーリンク" xfId="1169" builtinId="9" hidden="1"/>
    <cellStyle name="表示済みのハイパーリンク" xfId="1171" builtinId="9" hidden="1"/>
    <cellStyle name="表示済みのハイパーリンク" xfId="1173" builtinId="9" hidden="1"/>
    <cellStyle name="表示済みのハイパーリンク" xfId="1175" builtinId="9" hidden="1"/>
    <cellStyle name="表示済みのハイパーリンク" xfId="1177" builtinId="9" hidden="1"/>
    <cellStyle name="表示済みのハイパーリンク" xfId="1179" builtinId="9" hidden="1"/>
    <cellStyle name="表示済みのハイパーリンク" xfId="1181" builtinId="9" hidden="1"/>
    <cellStyle name="表示済みのハイパーリンク" xfId="1183" builtinId="9" hidden="1"/>
    <cellStyle name="表示済みのハイパーリンク" xfId="1185" builtinId="9" hidden="1"/>
    <cellStyle name="表示済みのハイパーリンク" xfId="1187" builtinId="9" hidden="1"/>
    <cellStyle name="表示済みのハイパーリンク" xfId="1189" builtinId="9" hidden="1"/>
    <cellStyle name="表示済みのハイパーリンク" xfId="1191" builtinId="9" hidden="1"/>
    <cellStyle name="表示済みのハイパーリンク" xfId="1193" builtinId="9" hidden="1"/>
    <cellStyle name="表示済みのハイパーリンク" xfId="1195" builtinId="9" hidden="1"/>
    <cellStyle name="表示済みのハイパーリンク" xfId="1197" builtinId="9" hidden="1"/>
    <cellStyle name="表示済みのハイパーリンク" xfId="1199" builtinId="9" hidden="1"/>
    <cellStyle name="表示済みのハイパーリンク" xfId="1201" builtinId="9" hidden="1"/>
    <cellStyle name="表示済みのハイパーリンク" xfId="1203" builtinId="9" hidden="1"/>
    <cellStyle name="表示済みのハイパーリンク" xfId="1205" builtinId="9" hidden="1"/>
    <cellStyle name="表示済みのハイパーリンク" xfId="1207" builtinId="9" hidden="1"/>
    <cellStyle name="表示済みのハイパーリンク" xfId="1209" builtinId="9" hidden="1"/>
    <cellStyle name="表示済みのハイパーリンク" xfId="1211" builtinId="9" hidden="1"/>
    <cellStyle name="表示済みのハイパーリンク" xfId="1213" builtinId="9" hidden="1"/>
    <cellStyle name="表示済みのハイパーリンク" xfId="1215" builtinId="9" hidden="1"/>
    <cellStyle name="表示済みのハイパーリンク" xfId="1217" builtinId="9" hidden="1"/>
    <cellStyle name="表示済みのハイパーリンク" xfId="1219" builtinId="9" hidden="1"/>
    <cellStyle name="表示済みのハイパーリンク" xfId="1221" builtinId="9" hidden="1"/>
    <cellStyle name="表示済みのハイパーリンク" xfId="1223" builtinId="9" hidden="1"/>
    <cellStyle name="表示済みのハイパーリンク" xfId="1225" builtinId="9" hidden="1"/>
    <cellStyle name="表示済みのハイパーリンク" xfId="1227" builtinId="9" hidden="1"/>
    <cellStyle name="表示済みのハイパーリンク" xfId="1229" builtinId="9" hidden="1"/>
    <cellStyle name="表示済みのハイパーリンク" xfId="1231" builtinId="9" hidden="1"/>
    <cellStyle name="表示済みのハイパーリンク" xfId="1233" builtinId="9" hidden="1"/>
    <cellStyle name="表示済みのハイパーリンク" xfId="1235" builtinId="9" hidden="1"/>
    <cellStyle name="表示済みのハイパーリンク" xfId="1237" builtinId="9" hidden="1"/>
    <cellStyle name="表示済みのハイパーリンク" xfId="1239" builtinId="9" hidden="1"/>
    <cellStyle name="表示済みのハイパーリンク" xfId="1241" builtinId="9" hidden="1"/>
    <cellStyle name="表示済みのハイパーリンク" xfId="1243" builtinId="9" hidden="1"/>
    <cellStyle name="表示済みのハイパーリンク" xfId="1245" builtinId="9" hidden="1"/>
    <cellStyle name="表示済みのハイパーリンク" xfId="1247" builtinId="9" hidden="1"/>
    <cellStyle name="表示済みのハイパーリンク" xfId="1249" builtinId="9" hidden="1"/>
    <cellStyle name="表示済みのハイパーリンク" xfId="1251" builtinId="9" hidden="1"/>
    <cellStyle name="表示済みのハイパーリンク" xfId="1253" builtinId="9" hidden="1"/>
    <cellStyle name="表示済みのハイパーリンク" xfId="1255" builtinId="9" hidden="1"/>
    <cellStyle name="表示済みのハイパーリンク" xfId="1257" builtinId="9" hidden="1"/>
    <cellStyle name="表示済みのハイパーリンク" xfId="1259" builtinId="9" hidden="1"/>
    <cellStyle name="表示済みのハイパーリンク" xfId="1261" builtinId="9" hidden="1"/>
    <cellStyle name="表示済みのハイパーリンク" xfId="1263" builtinId="9" hidden="1"/>
    <cellStyle name="表示済みのハイパーリンク" xfId="1265" builtinId="9" hidden="1"/>
    <cellStyle name="表示済みのハイパーリンク" xfId="1267" builtinId="9" hidden="1"/>
    <cellStyle name="表示済みのハイパーリンク" xfId="1269" builtinId="9" hidden="1"/>
    <cellStyle name="表示済みのハイパーリンク" xfId="1271" builtinId="9" hidden="1"/>
    <cellStyle name="表示済みのハイパーリンク" xfId="1273" builtinId="9" hidden="1"/>
    <cellStyle name="表示済みのハイパーリンク" xfId="1275" builtinId="9" hidden="1"/>
    <cellStyle name="表示済みのハイパーリンク" xfId="1277" builtinId="9" hidden="1"/>
    <cellStyle name="表示済みのハイパーリンク" xfId="1279" builtinId="9" hidden="1"/>
    <cellStyle name="表示済みのハイパーリンク" xfId="1281" builtinId="9" hidden="1"/>
    <cellStyle name="表示済みのハイパーリンク" xfId="1283" builtinId="9" hidden="1"/>
    <cellStyle name="表示済みのハイパーリンク" xfId="1285" builtinId="9" hidden="1"/>
    <cellStyle name="表示済みのハイパーリンク" xfId="1287" builtinId="9" hidden="1"/>
    <cellStyle name="表示済みのハイパーリンク" xfId="1289" builtinId="9" hidden="1"/>
    <cellStyle name="表示済みのハイパーリンク" xfId="1291" builtinId="9" hidden="1"/>
    <cellStyle name="表示済みのハイパーリンク" xfId="1293" builtinId="9" hidden="1"/>
    <cellStyle name="表示済みのハイパーリンク" xfId="1295" builtinId="9" hidden="1"/>
    <cellStyle name="表示済みのハイパーリンク" xfId="1297" builtinId="9" hidden="1"/>
    <cellStyle name="表示済みのハイパーリンク" xfId="1299" builtinId="9" hidden="1"/>
    <cellStyle name="表示済みのハイパーリンク" xfId="1301" builtinId="9" hidden="1"/>
    <cellStyle name="表示済みのハイパーリンク" xfId="1303" builtinId="9" hidden="1"/>
    <cellStyle name="表示済みのハイパーリンク" xfId="1305" builtinId="9" hidden="1"/>
    <cellStyle name="表示済みのハイパーリンク" xfId="1307" builtinId="9" hidden="1"/>
    <cellStyle name="表示済みのハイパーリンク" xfId="1309" builtinId="9" hidden="1"/>
    <cellStyle name="表示済みのハイパーリンク" xfId="1311" builtinId="9" hidden="1"/>
    <cellStyle name="表示済みのハイパーリンク" xfId="1313" builtinId="9" hidden="1"/>
    <cellStyle name="表示済みのハイパーリンク" xfId="1315" builtinId="9" hidden="1"/>
    <cellStyle name="表示済みのハイパーリンク" xfId="1317" builtinId="9" hidden="1"/>
    <cellStyle name="表示済みのハイパーリンク" xfId="1319" builtinId="9" hidden="1"/>
    <cellStyle name="表示済みのハイパーリンク" xfId="1321" builtinId="9" hidden="1"/>
    <cellStyle name="表示済みのハイパーリンク" xfId="1323" builtinId="9" hidden="1"/>
    <cellStyle name="表示済みのハイパーリンク" xfId="1325" builtinId="9" hidden="1"/>
    <cellStyle name="表示済みのハイパーリンク" xfId="1327" builtinId="9" hidden="1"/>
    <cellStyle name="表示済みのハイパーリンク" xfId="1329" builtinId="9" hidden="1"/>
    <cellStyle name="表示済みのハイパーリンク" xfId="1331" builtinId="9" hidden="1"/>
    <cellStyle name="表示済みのハイパーリンク" xfId="1333" builtinId="9" hidden="1"/>
    <cellStyle name="表示済みのハイパーリンク" xfId="1335" builtinId="9" hidden="1"/>
    <cellStyle name="表示済みのハイパーリンク" xfId="1337" builtinId="9" hidden="1"/>
    <cellStyle name="表示済みのハイパーリンク" xfId="1339" builtinId="9" hidden="1"/>
    <cellStyle name="表示済みのハイパーリンク" xfId="1341" builtinId="9" hidden="1"/>
    <cellStyle name="表示済みのハイパーリンク" xfId="1343" builtinId="9" hidden="1"/>
    <cellStyle name="表示済みのハイパーリンク" xfId="1345" builtinId="9" hidden="1"/>
    <cellStyle name="表示済みのハイパーリンク" xfId="1347" builtinId="9" hidden="1"/>
    <cellStyle name="表示済みのハイパーリンク" xfId="1349" builtinId="9" hidden="1"/>
    <cellStyle name="表示済みのハイパーリンク" xfId="1351" builtinId="9" hidden="1"/>
    <cellStyle name="表示済みのハイパーリンク" xfId="1353" builtinId="9" hidden="1"/>
    <cellStyle name="表示済みのハイパーリンク" xfId="1355" builtinId="9" hidden="1"/>
    <cellStyle name="表示済みのハイパーリンク" xfId="1357" builtinId="9" hidden="1"/>
    <cellStyle name="表示済みのハイパーリンク" xfId="1359" builtinId="9" hidden="1"/>
    <cellStyle name="表示済みのハイパーリンク" xfId="1361" builtinId="9" hidden="1"/>
    <cellStyle name="表示済みのハイパーリンク" xfId="1363" builtinId="9" hidden="1"/>
    <cellStyle name="表示済みのハイパーリンク" xfId="1365" builtinId="9" hidden="1"/>
    <cellStyle name="表示済みのハイパーリンク" xfId="1367" builtinId="9" hidden="1"/>
    <cellStyle name="表示済みのハイパーリンク" xfId="1369" builtinId="9" hidden="1"/>
    <cellStyle name="表示済みのハイパーリンク" xfId="1371" builtinId="9" hidden="1"/>
    <cellStyle name="表示済みのハイパーリンク" xfId="1373" builtinId="9" hidden="1"/>
    <cellStyle name="表示済みのハイパーリンク" xfId="1375" builtinId="9" hidden="1"/>
    <cellStyle name="表示済みのハイパーリンク" xfId="1377" builtinId="9" hidden="1"/>
    <cellStyle name="表示済みのハイパーリンク" xfId="1379" builtinId="9" hidden="1"/>
    <cellStyle name="表示済みのハイパーリンク" xfId="1381" builtinId="9" hidden="1"/>
    <cellStyle name="表示済みのハイパーリンク" xfId="1383" builtinId="9" hidden="1"/>
    <cellStyle name="表示済みのハイパーリンク" xfId="1385" builtinId="9" hidden="1"/>
    <cellStyle name="表示済みのハイパーリンク" xfId="1387" builtinId="9" hidden="1"/>
    <cellStyle name="表示済みのハイパーリンク" xfId="1389" builtinId="9" hidden="1"/>
    <cellStyle name="表示済みのハイパーリンク" xfId="1391" builtinId="9" hidden="1"/>
    <cellStyle name="表示済みのハイパーリンク" xfId="1393" builtinId="9" hidden="1"/>
    <cellStyle name="表示済みのハイパーリンク" xfId="1395" builtinId="9" hidden="1"/>
    <cellStyle name="表示済みのハイパーリンク" xfId="1397" builtinId="9" hidden="1"/>
    <cellStyle name="表示済みのハイパーリンク" xfId="1399" builtinId="9" hidden="1"/>
    <cellStyle name="表示済みのハイパーリンク" xfId="1401" builtinId="9" hidden="1"/>
    <cellStyle name="表示済みのハイパーリンク" xfId="1403" builtinId="9" hidden="1"/>
    <cellStyle name="表示済みのハイパーリンク" xfId="1405" builtinId="9" hidden="1"/>
    <cellStyle name="表示済みのハイパーリンク" xfId="1407" builtinId="9" hidden="1"/>
    <cellStyle name="表示済みのハイパーリンク" xfId="1409" builtinId="9" hidden="1"/>
    <cellStyle name="表示済みのハイパーリンク" xfId="1411" builtinId="9" hidden="1"/>
    <cellStyle name="表示済みのハイパーリンク" xfId="1413" builtinId="9" hidden="1"/>
    <cellStyle name="表示済みのハイパーリンク" xfId="1415" builtinId="9" hidden="1"/>
    <cellStyle name="表示済みのハイパーリンク" xfId="1417" builtinId="9" hidden="1"/>
    <cellStyle name="表示済みのハイパーリンク" xfId="1419" builtinId="9" hidden="1"/>
    <cellStyle name="表示済みのハイパーリンク" xfId="1421" builtinId="9" hidden="1"/>
    <cellStyle name="表示済みのハイパーリンク" xfId="1423" builtinId="9" hidden="1"/>
    <cellStyle name="表示済みのハイパーリンク" xfId="1425" builtinId="9" hidden="1"/>
    <cellStyle name="表示済みのハイパーリンク" xfId="1427" builtinId="9" hidden="1"/>
    <cellStyle name="表示済みのハイパーリンク" xfId="1429" builtinId="9" hidden="1"/>
    <cellStyle name="表示済みのハイパーリンク" xfId="1431" builtinId="9" hidden="1"/>
    <cellStyle name="表示済みのハイパーリンク" xfId="1433" builtinId="9" hidden="1"/>
    <cellStyle name="表示済みのハイパーリンク" xfId="1435" builtinId="9" hidden="1"/>
    <cellStyle name="表示済みのハイパーリンク" xfId="1437" builtinId="9" hidden="1"/>
    <cellStyle name="表示済みのハイパーリンク" xfId="1439" builtinId="9" hidden="1"/>
    <cellStyle name="表示済みのハイパーリンク" xfId="1441" builtinId="9" hidden="1"/>
    <cellStyle name="表示済みのハイパーリンク" xfId="1443" builtinId="9" hidden="1"/>
    <cellStyle name="表示済みのハイパーリンク" xfId="1445" builtinId="9" hidden="1"/>
    <cellStyle name="表示済みのハイパーリンク" xfId="1447" builtinId="9" hidden="1"/>
    <cellStyle name="表示済みのハイパーリンク" xfId="1449" builtinId="9" hidden="1"/>
    <cellStyle name="表示済みのハイパーリンク" xfId="1451" builtinId="9" hidden="1"/>
    <cellStyle name="表示済みのハイパーリンク" xfId="1453" builtinId="9" hidden="1"/>
    <cellStyle name="表示済みのハイパーリンク" xfId="1455" builtinId="9" hidden="1"/>
    <cellStyle name="表示済みのハイパーリンク" xfId="1457" builtinId="9" hidden="1"/>
    <cellStyle name="表示済みのハイパーリンク" xfId="1459" builtinId="9" hidden="1"/>
    <cellStyle name="表示済みのハイパーリンク" xfId="1461" builtinId="9" hidden="1"/>
    <cellStyle name="表示済みのハイパーリンク" xfId="1463" builtinId="9" hidden="1"/>
    <cellStyle name="表示済みのハイパーリンク" xfId="1465" builtinId="9" hidden="1"/>
    <cellStyle name="表示済みのハイパーリンク" xfId="1467" builtinId="9" hidden="1"/>
    <cellStyle name="表示済みのハイパーリンク" xfId="1469" builtinId="9" hidden="1"/>
    <cellStyle name="表示済みのハイパーリンク" xfId="1471" builtinId="9" hidden="1"/>
    <cellStyle name="表示済みのハイパーリンク" xfId="1473" builtinId="9" hidden="1"/>
    <cellStyle name="表示済みのハイパーリンク" xfId="1475" builtinId="9" hidden="1"/>
    <cellStyle name="表示済みのハイパーリンク" xfId="1477" builtinId="9" hidden="1"/>
    <cellStyle name="表示済みのハイパーリンク" xfId="1479" builtinId="9" hidden="1"/>
    <cellStyle name="表示済みのハイパーリンク" xfId="1481" builtinId="9" hidden="1"/>
    <cellStyle name="表示済みのハイパーリンク" xfId="1483" builtinId="9" hidden="1"/>
    <cellStyle name="表示済みのハイパーリンク" xfId="1485" builtinId="9" hidden="1"/>
    <cellStyle name="表示済みのハイパーリンク" xfId="1487" builtinId="9" hidden="1"/>
    <cellStyle name="表示済みのハイパーリンク" xfId="1489" builtinId="9" hidden="1"/>
    <cellStyle name="表示済みのハイパーリンク" xfId="1491" builtinId="9" hidden="1"/>
    <cellStyle name="表示済みのハイパーリンク" xfId="1493" builtinId="9" hidden="1"/>
    <cellStyle name="表示済みのハイパーリンク" xfId="1495" builtinId="9" hidden="1"/>
    <cellStyle name="表示済みのハイパーリンク" xfId="1497" builtinId="9" hidden="1"/>
    <cellStyle name="表示済みのハイパーリンク" xfId="1499" builtinId="9" hidden="1"/>
    <cellStyle name="表示済みのハイパーリンク" xfId="1501" builtinId="9" hidden="1"/>
    <cellStyle name="表示済みのハイパーリンク" xfId="1503" builtinId="9" hidden="1"/>
    <cellStyle name="表示済みのハイパーリンク" xfId="1505" builtinId="9" hidden="1"/>
    <cellStyle name="表示済みのハイパーリンク" xfId="1507" builtinId="9" hidden="1"/>
    <cellStyle name="表示済みのハイパーリンク" xfId="1509" builtinId="9" hidden="1"/>
    <cellStyle name="表示済みのハイパーリンク" xfId="1511" builtinId="9" hidden="1"/>
    <cellStyle name="表示済みのハイパーリンク" xfId="1513" builtinId="9" hidden="1"/>
    <cellStyle name="表示済みのハイパーリンク" xfId="1515" builtinId="9" hidden="1"/>
    <cellStyle name="表示済みのハイパーリンク" xfId="1517" builtinId="9" hidden="1"/>
    <cellStyle name="表示済みのハイパーリンク" xfId="1519" builtinId="9" hidden="1"/>
    <cellStyle name="表示済みのハイパーリンク" xfId="1521" builtinId="9" hidden="1"/>
    <cellStyle name="表示済みのハイパーリンク" xfId="1523" builtinId="9" hidden="1"/>
    <cellStyle name="表示済みのハイパーリンク" xfId="1525" builtinId="9" hidden="1"/>
    <cellStyle name="表示済みのハイパーリンク" xfId="1527" builtinId="9" hidden="1"/>
    <cellStyle name="表示済みのハイパーリンク" xfId="1529" builtinId="9" hidden="1"/>
    <cellStyle name="表示済みのハイパーリンク" xfId="1531" builtinId="9" hidden="1"/>
    <cellStyle name="表示済みのハイパーリンク" xfId="1533" builtinId="9" hidden="1"/>
    <cellStyle name="表示済みのハイパーリンク" xfId="1535" builtinId="9" hidden="1"/>
    <cellStyle name="表示済みのハイパーリンク" xfId="1537" builtinId="9" hidden="1"/>
    <cellStyle name="表示済みのハイパーリンク" xfId="1539" builtinId="9" hidden="1"/>
    <cellStyle name="表示済みのハイパーリンク" xfId="1541" builtinId="9" hidden="1"/>
    <cellStyle name="表示済みのハイパーリンク" xfId="1543" builtinId="9" hidden="1"/>
    <cellStyle name="表示済みのハイパーリンク" xfId="1545" builtinId="9" hidden="1"/>
    <cellStyle name="表示済みのハイパーリンク" xfId="1547" builtinId="9" hidden="1"/>
    <cellStyle name="表示済みのハイパーリンク" xfId="1549" builtinId="9" hidden="1"/>
    <cellStyle name="表示済みのハイパーリンク" xfId="1551" builtinId="9" hidden="1"/>
    <cellStyle name="表示済みのハイパーリンク" xfId="1553" builtinId="9" hidden="1"/>
    <cellStyle name="表示済みのハイパーリンク" xfId="1555" builtinId="9" hidden="1"/>
    <cellStyle name="表示済みのハイパーリンク" xfId="1557" builtinId="9" hidden="1"/>
    <cellStyle name="表示済みのハイパーリンク" xfId="1559" builtinId="9" hidden="1"/>
    <cellStyle name="表示済みのハイパーリンク" xfId="1561" builtinId="9" hidden="1"/>
    <cellStyle name="表示済みのハイパーリンク" xfId="1563" builtinId="9" hidden="1"/>
    <cellStyle name="表示済みのハイパーリンク" xfId="1565" builtinId="9" hidden="1"/>
    <cellStyle name="表示済みのハイパーリンク" xfId="1567" builtinId="9" hidden="1"/>
    <cellStyle name="表示済みのハイパーリンク" xfId="1569" builtinId="9" hidden="1"/>
    <cellStyle name="表示済みのハイパーリンク" xfId="1571" builtinId="9" hidden="1"/>
    <cellStyle name="表示済みのハイパーリンク" xfId="1573" builtinId="9" hidden="1"/>
    <cellStyle name="表示済みのハイパーリンク" xfId="1575" builtinId="9" hidden="1"/>
    <cellStyle name="表示済みのハイパーリンク" xfId="1577" builtinId="9" hidden="1"/>
    <cellStyle name="表示済みのハイパーリンク" xfId="1579" builtinId="9" hidden="1"/>
    <cellStyle name="表示済みのハイパーリンク" xfId="1581" builtinId="9" hidden="1"/>
    <cellStyle name="表示済みのハイパーリンク" xfId="1583" builtinId="9" hidden="1"/>
    <cellStyle name="表示済みのハイパーリンク" xfId="1585" builtinId="9" hidden="1"/>
    <cellStyle name="表示済みのハイパーリンク" xfId="1587" builtinId="9" hidden="1"/>
    <cellStyle name="表示済みのハイパーリンク" xfId="1589" builtinId="9" hidden="1"/>
    <cellStyle name="表示済みのハイパーリンク" xfId="1591" builtinId="9" hidden="1"/>
    <cellStyle name="表示済みのハイパーリンク" xfId="1593" builtinId="9" hidden="1"/>
    <cellStyle name="表示済みのハイパーリンク" xfId="1595" builtinId="9" hidden="1"/>
    <cellStyle name="表示済みのハイパーリンク" xfId="1597" builtinId="9" hidden="1"/>
    <cellStyle name="表示済みのハイパーリンク" xfId="1599" builtinId="9" hidden="1"/>
    <cellStyle name="表示済みのハイパーリンク" xfId="1601" builtinId="9" hidden="1"/>
    <cellStyle name="表示済みのハイパーリンク" xfId="1603" builtinId="9" hidden="1"/>
    <cellStyle name="表示済みのハイパーリンク" xfId="1605" builtinId="9" hidden="1"/>
    <cellStyle name="表示済みのハイパーリンク" xfId="1607" builtinId="9" hidden="1"/>
    <cellStyle name="表示済みのハイパーリンク" xfId="1609" builtinId="9" hidden="1"/>
    <cellStyle name="表示済みのハイパーリンク" xfId="1611" builtinId="9" hidden="1"/>
    <cellStyle name="表示済みのハイパーリンク" xfId="1613" builtinId="9" hidden="1"/>
    <cellStyle name="表示済みのハイパーリンク" xfId="1615" builtinId="9" hidden="1"/>
    <cellStyle name="表示済みのハイパーリンク" xfId="1617" builtinId="9" hidden="1"/>
    <cellStyle name="表示済みのハイパーリンク" xfId="1619" builtinId="9" hidden="1"/>
    <cellStyle name="表示済みのハイパーリンク" xfId="1621" builtinId="9" hidden="1"/>
    <cellStyle name="表示済みのハイパーリンク" xfId="1623" builtinId="9" hidden="1"/>
    <cellStyle name="表示済みのハイパーリンク" xfId="1625" builtinId="9" hidden="1"/>
    <cellStyle name="表示済みのハイパーリンク" xfId="1627" builtinId="9" hidden="1"/>
    <cellStyle name="表示済みのハイパーリンク" xfId="1629" builtinId="9" hidden="1"/>
    <cellStyle name="表示済みのハイパーリンク" xfId="1631" builtinId="9" hidden="1"/>
    <cellStyle name="表示済みのハイパーリンク" xfId="1633" builtinId="9" hidden="1"/>
    <cellStyle name="表示済みのハイパーリンク" xfId="1635" builtinId="9" hidden="1"/>
    <cellStyle name="表示済みのハイパーリンク" xfId="1637" builtinId="9" hidden="1"/>
    <cellStyle name="表示済みのハイパーリンク" xfId="1639" builtinId="9" hidden="1"/>
    <cellStyle name="表示済みのハイパーリンク" xfId="1641" builtinId="9" hidden="1"/>
    <cellStyle name="表示済みのハイパーリンク" xfId="1643" builtinId="9" hidden="1"/>
    <cellStyle name="表示済みのハイパーリンク" xfId="1645" builtinId="9" hidden="1"/>
    <cellStyle name="表示済みのハイパーリンク" xfId="1647" builtinId="9" hidden="1"/>
    <cellStyle name="表示済みのハイパーリンク" xfId="1649" builtinId="9" hidden="1"/>
    <cellStyle name="表示済みのハイパーリンク" xfId="1651" builtinId="9" hidden="1"/>
    <cellStyle name="表示済みのハイパーリンク" xfId="1653" builtinId="9" hidden="1"/>
    <cellStyle name="表示済みのハイパーリンク" xfId="1655" builtinId="9" hidden="1"/>
    <cellStyle name="表示済みのハイパーリンク" xfId="1657" builtinId="9" hidden="1"/>
    <cellStyle name="表示済みのハイパーリンク" xfId="1659" builtinId="9" hidden="1"/>
    <cellStyle name="表示済みのハイパーリンク" xfId="1661" builtinId="9" hidden="1"/>
    <cellStyle name="表示済みのハイパーリンク" xfId="1663" builtinId="9" hidden="1"/>
    <cellStyle name="表示済みのハイパーリンク" xfId="1665" builtinId="9" hidden="1"/>
    <cellStyle name="表示済みのハイパーリンク" xfId="1667" builtinId="9" hidden="1"/>
    <cellStyle name="表示済みのハイパーリンク" xfId="1669" builtinId="9" hidden="1"/>
    <cellStyle name="表示済みのハイパーリンク" xfId="1671" builtinId="9" hidden="1"/>
    <cellStyle name="表示済みのハイパーリンク" xfId="1673" builtinId="9" hidden="1"/>
    <cellStyle name="表示済みのハイパーリンク" xfId="1675" builtinId="9" hidden="1"/>
    <cellStyle name="表示済みのハイパーリンク" xfId="1677" builtinId="9" hidden="1"/>
    <cellStyle name="表示済みのハイパーリンク" xfId="1679" builtinId="9" hidden="1"/>
    <cellStyle name="表示済みのハイパーリンク" xfId="1681" builtinId="9" hidden="1"/>
    <cellStyle name="表示済みのハイパーリンク" xfId="1683" builtinId="9" hidden="1"/>
    <cellStyle name="表示済みのハイパーリンク" xfId="1685" builtinId="9" hidden="1"/>
    <cellStyle name="表示済みのハイパーリンク" xfId="1687" builtinId="9" hidden="1"/>
    <cellStyle name="表示済みのハイパーリンク" xfId="1689" builtinId="9" hidden="1"/>
    <cellStyle name="表示済みのハイパーリンク" xfId="1691" builtinId="9" hidden="1"/>
    <cellStyle name="表示済みのハイパーリンク" xfId="1693" builtinId="9" hidden="1"/>
    <cellStyle name="表示済みのハイパーリンク" xfId="1695" builtinId="9" hidden="1"/>
    <cellStyle name="表示済みのハイパーリンク" xfId="1697" builtinId="9" hidden="1"/>
    <cellStyle name="表示済みのハイパーリンク" xfId="1699" builtinId="9" hidden="1"/>
    <cellStyle name="表示済みのハイパーリンク" xfId="1701" builtinId="9" hidden="1"/>
    <cellStyle name="表示済みのハイパーリンク" xfId="1703" builtinId="9" hidden="1"/>
    <cellStyle name="表示済みのハイパーリンク" xfId="1705" builtinId="9" hidden="1"/>
    <cellStyle name="表示済みのハイパーリンク" xfId="1707" builtinId="9" hidden="1"/>
    <cellStyle name="表示済みのハイパーリンク" xfId="1709" builtinId="9" hidden="1"/>
    <cellStyle name="表示済みのハイパーリンク" xfId="1711" builtinId="9" hidden="1"/>
    <cellStyle name="表示済みのハイパーリンク" xfId="1713" builtinId="9" hidden="1"/>
    <cellStyle name="表示済みのハイパーリンク" xfId="1715" builtinId="9" hidden="1"/>
    <cellStyle name="表示済みのハイパーリンク" xfId="1717" builtinId="9" hidden="1"/>
    <cellStyle name="表示済みのハイパーリンク" xfId="1719" builtinId="9" hidden="1"/>
    <cellStyle name="表示済みのハイパーリンク" xfId="1721" builtinId="9" hidden="1"/>
    <cellStyle name="表示済みのハイパーリンク" xfId="1723" builtinId="9" hidden="1"/>
    <cellStyle name="表示済みのハイパーリンク" xfId="1725" builtinId="9" hidden="1"/>
    <cellStyle name="表示済みのハイパーリンク" xfId="1727" builtinId="9" hidden="1"/>
    <cellStyle name="表示済みのハイパーリンク" xfId="1729" builtinId="9" hidden="1"/>
    <cellStyle name="表示済みのハイパーリンク" xfId="1731" builtinId="9" hidden="1"/>
    <cellStyle name="表示済みのハイパーリンク" xfId="1733" builtinId="9" hidden="1"/>
    <cellStyle name="表示済みのハイパーリンク" xfId="1735" builtinId="9" hidden="1"/>
    <cellStyle name="表示済みのハイパーリンク" xfId="1737" builtinId="9" hidden="1"/>
    <cellStyle name="表示済みのハイパーリンク" xfId="1739" builtinId="9" hidden="1"/>
    <cellStyle name="表示済みのハイパーリンク" xfId="1741" builtinId="9" hidden="1"/>
    <cellStyle name="表示済みのハイパーリンク" xfId="1743" builtinId="9" hidden="1"/>
    <cellStyle name="表示済みのハイパーリンク" xfId="1745" builtinId="9" hidden="1"/>
    <cellStyle name="表示済みのハイパーリンク" xfId="1747" builtinId="9" hidden="1"/>
    <cellStyle name="表示済みのハイパーリンク" xfId="1749" builtinId="9" hidden="1"/>
    <cellStyle name="表示済みのハイパーリンク" xfId="1751" builtinId="9" hidden="1"/>
    <cellStyle name="表示済みのハイパーリンク" xfId="1753" builtinId="9" hidden="1"/>
    <cellStyle name="表示済みのハイパーリンク" xfId="1755" builtinId="9" hidden="1"/>
    <cellStyle name="表示済みのハイパーリンク" xfId="1757" builtinId="9" hidden="1"/>
    <cellStyle name="表示済みのハイパーリンク" xfId="1759" builtinId="9" hidden="1"/>
    <cellStyle name="表示済みのハイパーリンク" xfId="1761" builtinId="9" hidden="1"/>
    <cellStyle name="表示済みのハイパーリンク" xfId="1763" builtinId="9" hidden="1"/>
    <cellStyle name="表示済みのハイパーリンク" xfId="1765" builtinId="9" hidden="1"/>
    <cellStyle name="表示済みのハイパーリンク" xfId="1767" builtinId="9" hidden="1"/>
    <cellStyle name="表示済みのハイパーリンク" xfId="1769" builtinId="9" hidden="1"/>
    <cellStyle name="表示済みのハイパーリンク" xfId="1771" builtinId="9" hidden="1"/>
    <cellStyle name="表示済みのハイパーリンク" xfId="1773" builtinId="9" hidden="1"/>
    <cellStyle name="表示済みのハイパーリンク" xfId="1775" builtinId="9" hidden="1"/>
    <cellStyle name="表示済みのハイパーリンク" xfId="1777" builtinId="9" hidden="1"/>
    <cellStyle name="表示済みのハイパーリンク" xfId="1779" builtinId="9" hidden="1"/>
    <cellStyle name="表示済みのハイパーリンク" xfId="1781" builtinId="9" hidden="1"/>
    <cellStyle name="表示済みのハイパーリンク" xfId="1783" builtinId="9" hidden="1"/>
    <cellStyle name="表示済みのハイパーリンク" xfId="1785" builtinId="9" hidden="1"/>
    <cellStyle name="表示済みのハイパーリンク" xfId="1787" builtinId="9" hidden="1"/>
    <cellStyle name="表示済みのハイパーリンク" xfId="1789" builtinId="9" hidden="1"/>
    <cellStyle name="表示済みのハイパーリンク" xfId="1791" builtinId="9" hidden="1"/>
    <cellStyle name="表示済みのハイパーリンク" xfId="1793" builtinId="9" hidden="1"/>
    <cellStyle name="表示済みのハイパーリンク" xfId="1795" builtinId="9" hidden="1"/>
    <cellStyle name="表示済みのハイパーリンク" xfId="1797" builtinId="9" hidden="1"/>
    <cellStyle name="表示済みのハイパーリンク" xfId="1799" builtinId="9" hidden="1"/>
    <cellStyle name="表示済みのハイパーリンク" xfId="1801" builtinId="9" hidden="1"/>
    <cellStyle name="表示済みのハイパーリンク" xfId="1803" builtinId="9" hidden="1"/>
    <cellStyle name="表示済みのハイパーリンク" xfId="1805" builtinId="9" hidden="1"/>
    <cellStyle name="表示済みのハイパーリンク" xfId="1807" builtinId="9" hidden="1"/>
    <cellStyle name="表示済みのハイパーリンク" xfId="1809" builtinId="9" hidden="1"/>
    <cellStyle name="表示済みのハイパーリンク" xfId="1811" builtinId="9" hidden="1"/>
    <cellStyle name="表示済みのハイパーリンク" xfId="1813" builtinId="9" hidden="1"/>
    <cellStyle name="表示済みのハイパーリンク" xfId="1815" builtinId="9" hidden="1"/>
    <cellStyle name="表示済みのハイパーリンク" xfId="1817" builtinId="9" hidden="1"/>
    <cellStyle name="表示済みのハイパーリンク" xfId="1819" builtinId="9" hidden="1"/>
    <cellStyle name="表示済みのハイパーリンク" xfId="1821" builtinId="9" hidden="1"/>
    <cellStyle name="表示済みのハイパーリンク" xfId="1823" builtinId="9" hidden="1"/>
    <cellStyle name="表示済みのハイパーリンク" xfId="1825" builtinId="9" hidden="1"/>
    <cellStyle name="表示済みのハイパーリンク" xfId="1827" builtinId="9" hidden="1"/>
    <cellStyle name="表示済みのハイパーリンク" xfId="1829" builtinId="9" hidden="1"/>
    <cellStyle name="表示済みのハイパーリンク" xfId="1831" builtinId="9" hidden="1"/>
    <cellStyle name="表示済みのハイパーリンク" xfId="1833" builtinId="9" hidden="1"/>
    <cellStyle name="表示済みのハイパーリンク" xfId="1835" builtinId="9" hidden="1"/>
    <cellStyle name="表示済みのハイパーリンク" xfId="1837" builtinId="9" hidden="1"/>
    <cellStyle name="表示済みのハイパーリンク" xfId="1839" builtinId="9" hidden="1"/>
    <cellStyle name="表示済みのハイパーリンク" xfId="1841" builtinId="9" hidden="1"/>
    <cellStyle name="表示済みのハイパーリンク" xfId="1843" builtinId="9" hidden="1"/>
    <cellStyle name="表示済みのハイパーリンク" xfId="1845" builtinId="9" hidden="1"/>
    <cellStyle name="表示済みのハイパーリンク" xfId="1847" builtinId="9" hidden="1"/>
    <cellStyle name="表示済みのハイパーリンク" xfId="1849" builtinId="9" hidden="1"/>
    <cellStyle name="表示済みのハイパーリンク" xfId="1851" builtinId="9" hidden="1"/>
    <cellStyle name="表示済みのハイパーリンク" xfId="1853" builtinId="9" hidden="1"/>
    <cellStyle name="表示済みのハイパーリンク" xfId="1855" builtinId="9" hidden="1"/>
    <cellStyle name="表示済みのハイパーリンク" xfId="1857" builtinId="9" hidden="1"/>
    <cellStyle name="表示済みのハイパーリンク" xfId="1859" builtinId="9" hidden="1"/>
    <cellStyle name="表示済みのハイパーリンク" xfId="1861" builtinId="9" hidden="1"/>
    <cellStyle name="表示済みのハイパーリンク" xfId="1863" builtinId="9" hidden="1"/>
    <cellStyle name="表示済みのハイパーリンク" xfId="1865" builtinId="9" hidden="1"/>
    <cellStyle name="表示済みのハイパーリンク" xfId="1867" builtinId="9" hidden="1"/>
    <cellStyle name="表示済みのハイパーリンク" xfId="1869" builtinId="9" hidden="1"/>
    <cellStyle name="表示済みのハイパーリンク" xfId="1871" builtinId="9" hidden="1"/>
    <cellStyle name="表示済みのハイパーリンク" xfId="1873" builtinId="9" hidden="1"/>
    <cellStyle name="表示済みのハイパーリンク" xfId="1875" builtinId="9" hidden="1"/>
    <cellStyle name="表示済みのハイパーリンク" xfId="1877" builtinId="9" hidden="1"/>
    <cellStyle name="表示済みのハイパーリンク" xfId="1879" builtinId="9" hidden="1"/>
    <cellStyle name="表示済みのハイパーリンク" xfId="1881" builtinId="9" hidden="1"/>
    <cellStyle name="表示済みのハイパーリンク" xfId="1883" builtinId="9" hidden="1"/>
    <cellStyle name="表示済みのハイパーリンク" xfId="1885" builtinId="9" hidden="1"/>
    <cellStyle name="表示済みのハイパーリンク" xfId="1887" builtinId="9" hidden="1"/>
    <cellStyle name="表示済みのハイパーリンク" xfId="1889" builtinId="9" hidden="1"/>
    <cellStyle name="表示済みのハイパーリンク" xfId="1891" builtinId="9" hidden="1"/>
    <cellStyle name="表示済みのハイパーリンク" xfId="1893" builtinId="9" hidden="1"/>
    <cellStyle name="表示済みのハイパーリンク" xfId="1895" builtinId="9" hidden="1"/>
    <cellStyle name="表示済みのハイパーリンク" xfId="1897" builtinId="9" hidden="1"/>
    <cellStyle name="表示済みのハイパーリンク" xfId="1899" builtinId="9" hidden="1"/>
    <cellStyle name="表示済みのハイパーリンク" xfId="1901" builtinId="9" hidden="1"/>
    <cellStyle name="表示済みのハイパーリンク" xfId="1903" builtinId="9" hidden="1"/>
    <cellStyle name="表示済みのハイパーリンク" xfId="1905" builtinId="9" hidden="1"/>
    <cellStyle name="表示済みのハイパーリンク" xfId="1907" builtinId="9" hidden="1"/>
    <cellStyle name="表示済みのハイパーリンク" xfId="1909" builtinId="9" hidden="1"/>
    <cellStyle name="表示済みのハイパーリンク" xfId="1911" builtinId="9" hidden="1"/>
    <cellStyle name="表示済みのハイパーリンク" xfId="1913" builtinId="9" hidden="1"/>
    <cellStyle name="表示済みのハイパーリンク" xfId="1915" builtinId="9" hidden="1"/>
    <cellStyle name="表示済みのハイパーリンク" xfId="1917" builtinId="9" hidden="1"/>
    <cellStyle name="表示済みのハイパーリンク" xfId="1919" builtinId="9" hidden="1"/>
    <cellStyle name="表示済みのハイパーリンク" xfId="1921" builtinId="9" hidden="1"/>
    <cellStyle name="表示済みのハイパーリンク" xfId="1923" builtinId="9" hidden="1"/>
    <cellStyle name="表示済みのハイパーリンク" xfId="1925" builtinId="9" hidden="1"/>
    <cellStyle name="表示済みのハイパーリンク" xfId="1927" builtinId="9" hidden="1"/>
    <cellStyle name="表示済みのハイパーリンク" xfId="1929" builtinId="9" hidden="1"/>
    <cellStyle name="表示済みのハイパーリンク" xfId="1931" builtinId="9" hidden="1"/>
    <cellStyle name="表示済みのハイパーリンク" xfId="1933" builtinId="9" hidden="1"/>
    <cellStyle name="表示済みのハイパーリンク" xfId="1935" builtinId="9" hidden="1"/>
    <cellStyle name="表示済みのハイパーリンク" xfId="1937" builtinId="9" hidden="1"/>
    <cellStyle name="表示済みのハイパーリンク" xfId="1939" builtinId="9" hidden="1"/>
    <cellStyle name="表示済みのハイパーリンク" xfId="1941" builtinId="9" hidden="1"/>
    <cellStyle name="表示済みのハイパーリンク" xfId="1943" builtinId="9" hidden="1"/>
    <cellStyle name="表示済みのハイパーリンク" xfId="1945" builtinId="9" hidden="1"/>
    <cellStyle name="表示済みのハイパーリンク" xfId="1947" builtinId="9" hidden="1"/>
    <cellStyle name="表示済みのハイパーリンク" xfId="1949" builtinId="9" hidden="1"/>
    <cellStyle name="表示済みのハイパーリンク" xfId="1951" builtinId="9" hidden="1"/>
    <cellStyle name="表示済みのハイパーリンク" xfId="1953" builtinId="9" hidden="1"/>
    <cellStyle name="表示済みのハイパーリンク" xfId="1955" builtinId="9" hidden="1"/>
    <cellStyle name="表示済みのハイパーリンク" xfId="1957" builtinId="9" hidden="1"/>
    <cellStyle name="表示済みのハイパーリンク" xfId="1959" builtinId="9" hidden="1"/>
    <cellStyle name="表示済みのハイパーリンク" xfId="1961" builtinId="9" hidden="1"/>
    <cellStyle name="表示済みのハイパーリンク" xfId="1963" builtinId="9" hidden="1"/>
    <cellStyle name="表示済みのハイパーリンク" xfId="1965" builtinId="9" hidden="1"/>
    <cellStyle name="表示済みのハイパーリンク" xfId="1967" builtinId="9" hidden="1"/>
    <cellStyle name="表示済みのハイパーリンク" xfId="1969" builtinId="9" hidden="1"/>
    <cellStyle name="表示済みのハイパーリンク" xfId="1971" builtinId="9" hidden="1"/>
    <cellStyle name="表示済みのハイパーリンク" xfId="1973" builtinId="9" hidden="1"/>
    <cellStyle name="表示済みのハイパーリンク" xfId="1975" builtinId="9" hidden="1"/>
    <cellStyle name="表示済みのハイパーリンク" xfId="1977" builtinId="9" hidden="1"/>
    <cellStyle name="表示済みのハイパーリンク" xfId="1979" builtinId="9" hidden="1"/>
    <cellStyle name="表示済みのハイパーリンク" xfId="1981" builtinId="9" hidden="1"/>
    <cellStyle name="表示済みのハイパーリンク" xfId="1983" builtinId="9" hidden="1"/>
    <cellStyle name="表示済みのハイパーリンク" xfId="1985" builtinId="9" hidden="1"/>
    <cellStyle name="表示済みのハイパーリンク" xfId="1987" builtinId="9" hidden="1"/>
    <cellStyle name="表示済みのハイパーリンク" xfId="1989" builtinId="9" hidden="1"/>
    <cellStyle name="表示済みのハイパーリンク" xfId="1991" builtinId="9" hidden="1"/>
    <cellStyle name="表示済みのハイパーリンク" xfId="1993" builtinId="9" hidden="1"/>
    <cellStyle name="表示済みのハイパーリンク" xfId="1995" builtinId="9" hidden="1"/>
    <cellStyle name="表示済みのハイパーリンク" xfId="1997" builtinId="9" hidden="1"/>
    <cellStyle name="表示済みのハイパーリンク" xfId="1999" builtinId="9" hidden="1"/>
    <cellStyle name="表示済みのハイパーリンク" xfId="2001" builtinId="9" hidden="1"/>
    <cellStyle name="表示済みのハイパーリンク" xfId="2003" builtinId="9" hidden="1"/>
    <cellStyle name="表示済みのハイパーリンク" xfId="2005" builtinId="9" hidden="1"/>
    <cellStyle name="表示済みのハイパーリンク" xfId="2007" builtinId="9" hidden="1"/>
    <cellStyle name="表示済みのハイパーリンク" xfId="2009" builtinId="9" hidden="1"/>
    <cellStyle name="表示済みのハイパーリンク" xfId="2011" builtinId="9" hidden="1"/>
    <cellStyle name="表示済みのハイパーリンク" xfId="2013" builtinId="9" hidden="1"/>
    <cellStyle name="表示済みのハイパーリンク" xfId="2015" builtinId="9" hidden="1"/>
    <cellStyle name="表示済みのハイパーリンク" xfId="2017" builtinId="9" hidden="1"/>
    <cellStyle name="表示済みのハイパーリンク" xfId="2019" builtinId="9" hidden="1"/>
    <cellStyle name="表示済みのハイパーリンク" xfId="2021" builtinId="9" hidden="1"/>
    <cellStyle name="表示済みのハイパーリンク" xfId="2023" builtinId="9" hidden="1"/>
    <cellStyle name="表示済みのハイパーリンク" xfId="2025" builtinId="9" hidden="1"/>
    <cellStyle name="表示済みのハイパーリンク" xfId="2027" builtinId="9" hidden="1"/>
    <cellStyle name="表示済みのハイパーリンク" xfId="2029" builtinId="9" hidden="1"/>
    <cellStyle name="表示済みのハイパーリンク" xfId="2031" builtinId="9" hidden="1"/>
    <cellStyle name="表示済みのハイパーリンク" xfId="2033" builtinId="9" hidden="1"/>
    <cellStyle name="表示済みのハイパーリンク" xfId="2035" builtinId="9" hidden="1"/>
    <cellStyle name="表示済みのハイパーリンク" xfId="2037" builtinId="9" hidden="1"/>
    <cellStyle name="表示済みのハイパーリンク" xfId="2039" builtinId="9" hidden="1"/>
    <cellStyle name="表示済みのハイパーリンク" xfId="2041" builtinId="9" hidden="1"/>
    <cellStyle name="表示済みのハイパーリンク" xfId="2043" builtinId="9" hidden="1"/>
    <cellStyle name="表示済みのハイパーリンク" xfId="2045" builtinId="9" hidden="1"/>
    <cellStyle name="表示済みのハイパーリンク" xfId="2047" builtinId="9" hidden="1"/>
    <cellStyle name="表示済みのハイパーリンク" xfId="2049" builtinId="9" hidden="1"/>
    <cellStyle name="表示済みのハイパーリンク" xfId="2051" builtinId="9" hidden="1"/>
    <cellStyle name="表示済みのハイパーリンク" xfId="2053" builtinId="9" hidden="1"/>
    <cellStyle name="表示済みのハイパーリンク" xfId="2055" builtinId="9" hidden="1"/>
    <cellStyle name="表示済みのハイパーリンク" xfId="2057" builtinId="9" hidden="1"/>
    <cellStyle name="表示済みのハイパーリンク" xfId="2059" builtinId="9" hidden="1"/>
    <cellStyle name="表示済みのハイパーリンク" xfId="2061" builtinId="9" hidden="1"/>
    <cellStyle name="表示済みのハイパーリンク" xfId="2063" builtinId="9" hidden="1"/>
    <cellStyle name="表示済みのハイパーリンク" xfId="2065" builtinId="9" hidden="1"/>
    <cellStyle name="表示済みのハイパーリンク" xfId="2067" builtinId="9" hidden="1"/>
    <cellStyle name="表示済みのハイパーリンク" xfId="2069" builtinId="9" hidden="1"/>
    <cellStyle name="表示済みのハイパーリンク" xfId="2071" builtinId="9" hidden="1"/>
    <cellStyle name="表示済みのハイパーリンク" xfId="2073" builtinId="9" hidden="1"/>
    <cellStyle name="表示済みのハイパーリンク" xfId="2075" builtinId="9" hidden="1"/>
    <cellStyle name="表示済みのハイパーリンク" xfId="2077" builtinId="9" hidden="1"/>
    <cellStyle name="表示済みのハイパーリンク" xfId="2079" builtinId="9" hidden="1"/>
    <cellStyle name="表示済みのハイパーリンク" xfId="2081" builtinId="9" hidden="1"/>
    <cellStyle name="表示済みのハイパーリンク" xfId="2083" builtinId="9" hidden="1"/>
    <cellStyle name="表示済みのハイパーリンク" xfId="2085" builtinId="9" hidden="1"/>
    <cellStyle name="表示済みのハイパーリンク" xfId="2087" builtinId="9" hidden="1"/>
    <cellStyle name="表示済みのハイパーリンク" xfId="2089" builtinId="9" hidden="1"/>
    <cellStyle name="表示済みのハイパーリンク" xfId="2091" builtinId="9" hidden="1"/>
    <cellStyle name="表示済みのハイパーリンク" xfId="2093" builtinId="9" hidden="1"/>
    <cellStyle name="表示済みのハイパーリンク" xfId="2095" builtinId="9" hidden="1"/>
    <cellStyle name="表示済みのハイパーリンク" xfId="2097" builtinId="9" hidden="1"/>
    <cellStyle name="表示済みのハイパーリンク" xfId="2099" builtinId="9" hidden="1"/>
    <cellStyle name="表示済みのハイパーリンク" xfId="2101" builtinId="9" hidden="1"/>
    <cellStyle name="表示済みのハイパーリンク" xfId="2103" builtinId="9" hidden="1"/>
    <cellStyle name="表示済みのハイパーリンク" xfId="2105" builtinId="9" hidden="1"/>
    <cellStyle name="表示済みのハイパーリンク" xfId="2107" builtinId="9" hidden="1"/>
    <cellStyle name="表示済みのハイパーリンク" xfId="2109" builtinId="9" hidden="1"/>
    <cellStyle name="表示済みのハイパーリンク" xfId="2111" builtinId="9" hidden="1"/>
    <cellStyle name="表示済みのハイパーリンク" xfId="2113" builtinId="9" hidden="1"/>
    <cellStyle name="表示済みのハイパーリンク" xfId="2115" builtinId="9" hidden="1"/>
    <cellStyle name="表示済みのハイパーリンク" xfId="2117" builtinId="9" hidden="1"/>
    <cellStyle name="表示済みのハイパーリンク" xfId="2119" builtinId="9" hidden="1"/>
    <cellStyle name="表示済みのハイパーリンク" xfId="2121" builtinId="9" hidden="1"/>
    <cellStyle name="表示済みのハイパーリンク" xfId="2123" builtinId="9" hidden="1"/>
    <cellStyle name="表示済みのハイパーリンク" xfId="2125" builtinId="9" hidden="1"/>
    <cellStyle name="表示済みのハイパーリンク" xfId="2127" builtinId="9" hidden="1"/>
    <cellStyle name="表示済みのハイパーリンク" xfId="2129" builtinId="9" hidden="1"/>
    <cellStyle name="表示済みのハイパーリンク" xfId="2131" builtinId="9" hidden="1"/>
    <cellStyle name="表示済みのハイパーリンク" xfId="2133" builtinId="9" hidden="1"/>
    <cellStyle name="表示済みのハイパーリンク" xfId="2135" builtinId="9" hidden="1"/>
    <cellStyle name="表示済みのハイパーリンク" xfId="2137" builtinId="9" hidden="1"/>
    <cellStyle name="表示済みのハイパーリンク" xfId="2139" builtinId="9" hidden="1"/>
    <cellStyle name="表示済みのハイパーリンク" xfId="2141" builtinId="9" hidden="1"/>
    <cellStyle name="表示済みのハイパーリンク" xfId="2143" builtinId="9" hidden="1"/>
    <cellStyle name="表示済みのハイパーリンク" xfId="2145" builtinId="9" hidden="1"/>
    <cellStyle name="表示済みのハイパーリンク" xfId="2147" builtinId="9" hidden="1"/>
    <cellStyle name="表示済みのハイパーリンク" xfId="2149" builtinId="9" hidden="1"/>
    <cellStyle name="表示済みのハイパーリンク" xfId="2151" builtinId="9" hidden="1"/>
    <cellStyle name="表示済みのハイパーリンク" xfId="2153" builtinId="9" hidden="1"/>
    <cellStyle name="表示済みのハイパーリンク" xfId="2155" builtinId="9" hidden="1"/>
    <cellStyle name="表示済みのハイパーリンク" xfId="2157" builtinId="9" hidden="1"/>
    <cellStyle name="表示済みのハイパーリンク" xfId="2159" builtinId="9" hidden="1"/>
    <cellStyle name="表示済みのハイパーリンク" xfId="2161" builtinId="9" hidden="1"/>
    <cellStyle name="表示済みのハイパーリンク" xfId="2163" builtinId="9" hidden="1"/>
    <cellStyle name="表示済みのハイパーリンク" xfId="2165" builtinId="9" hidden="1"/>
    <cellStyle name="表示済みのハイパーリンク" xfId="2167" builtinId="9" hidden="1"/>
    <cellStyle name="表示済みのハイパーリンク" xfId="2169" builtinId="9" hidden="1"/>
    <cellStyle name="表示済みのハイパーリンク" xfId="2171" builtinId="9" hidden="1"/>
    <cellStyle name="表示済みのハイパーリンク" xfId="2173" builtinId="9" hidden="1"/>
    <cellStyle name="表示済みのハイパーリンク" xfId="2175" builtinId="9" hidden="1"/>
    <cellStyle name="表示済みのハイパーリンク" xfId="2177" builtinId="9" hidden="1"/>
    <cellStyle name="表示済みのハイパーリンク" xfId="2179" builtinId="9" hidden="1"/>
    <cellStyle name="表示済みのハイパーリンク" xfId="2181" builtinId="9" hidden="1"/>
    <cellStyle name="表示済みのハイパーリンク" xfId="2183" builtinId="9" hidden="1"/>
    <cellStyle name="表示済みのハイパーリンク" xfId="2185" builtinId="9" hidden="1"/>
    <cellStyle name="表示済みのハイパーリンク" xfId="2187" builtinId="9" hidden="1"/>
    <cellStyle name="表示済みのハイパーリンク" xfId="2189" builtinId="9" hidden="1"/>
    <cellStyle name="表示済みのハイパーリンク" xfId="2191" builtinId="9" hidden="1"/>
    <cellStyle name="表示済みのハイパーリンク" xfId="2193" builtinId="9" hidden="1"/>
    <cellStyle name="表示済みのハイパーリンク" xfId="2195" builtinId="9" hidden="1"/>
    <cellStyle name="表示済みのハイパーリンク" xfId="2197" builtinId="9" hidden="1"/>
    <cellStyle name="表示済みのハイパーリンク" xfId="2199" builtinId="9" hidden="1"/>
    <cellStyle name="表示済みのハイパーリンク" xfId="2201" builtinId="9" hidden="1"/>
    <cellStyle name="表示済みのハイパーリンク" xfId="2203" builtinId="9" hidden="1"/>
    <cellStyle name="表示済みのハイパーリンク" xfId="2205" builtinId="9" hidden="1"/>
    <cellStyle name="表示済みのハイパーリンク" xfId="2207" builtinId="9" hidden="1"/>
    <cellStyle name="表示済みのハイパーリンク" xfId="2209" builtinId="9" hidden="1"/>
    <cellStyle name="表示済みのハイパーリンク" xfId="2211" builtinId="9" hidden="1"/>
    <cellStyle name="表示済みのハイパーリンク" xfId="2213" builtinId="9" hidden="1"/>
    <cellStyle name="表示済みのハイパーリンク" xfId="2215" builtinId="9" hidden="1"/>
    <cellStyle name="表示済みのハイパーリンク" xfId="2217" builtinId="9" hidden="1"/>
    <cellStyle name="表示済みのハイパーリンク" xfId="2219" builtinId="9" hidden="1"/>
    <cellStyle name="表示済みのハイパーリンク" xfId="2221" builtinId="9" hidden="1"/>
    <cellStyle name="表示済みのハイパーリンク" xfId="2223" builtinId="9" hidden="1"/>
    <cellStyle name="表示済みのハイパーリンク" xfId="2225" builtinId="9" hidden="1"/>
    <cellStyle name="表示済みのハイパーリンク" xfId="2227" builtinId="9" hidden="1"/>
    <cellStyle name="表示済みのハイパーリンク" xfId="2229" builtinId="9" hidden="1"/>
    <cellStyle name="表示済みのハイパーリンク" xfId="2231" builtinId="9" hidden="1"/>
    <cellStyle name="表示済みのハイパーリンク" xfId="2233" builtinId="9" hidden="1"/>
    <cellStyle name="表示済みのハイパーリンク" xfId="2235" builtinId="9" hidden="1"/>
    <cellStyle name="表示済みのハイパーリンク" xfId="2237" builtinId="9" hidden="1"/>
    <cellStyle name="表示済みのハイパーリンク" xfId="2239" builtinId="9" hidden="1"/>
    <cellStyle name="表示済みのハイパーリンク" xfId="2241" builtinId="9" hidden="1"/>
    <cellStyle name="表示済みのハイパーリンク" xfId="2243" builtinId="9" hidden="1"/>
    <cellStyle name="表示済みのハイパーリンク" xfId="2245" builtinId="9" hidden="1"/>
    <cellStyle name="表示済みのハイパーリンク" xfId="2247" builtinId="9" hidden="1"/>
    <cellStyle name="表示済みのハイパーリンク" xfId="2249" builtinId="9" hidden="1"/>
    <cellStyle name="表示済みのハイパーリンク" xfId="2251" builtinId="9" hidden="1"/>
    <cellStyle name="表示済みのハイパーリンク" xfId="2253" builtinId="9" hidden="1"/>
    <cellStyle name="表示済みのハイパーリンク" xfId="2255" builtinId="9" hidden="1"/>
    <cellStyle name="表示済みのハイパーリンク" xfId="2257" builtinId="9" hidden="1"/>
    <cellStyle name="表示済みのハイパーリンク" xfId="2259" builtinId="9" hidden="1"/>
    <cellStyle name="表示済みのハイパーリンク" xfId="2261" builtinId="9" hidden="1"/>
    <cellStyle name="表示済みのハイパーリンク" xfId="2263" builtinId="9" hidden="1"/>
    <cellStyle name="表示済みのハイパーリンク" xfId="2265" builtinId="9" hidden="1"/>
    <cellStyle name="表示済みのハイパーリンク" xfId="2267" builtinId="9" hidden="1"/>
    <cellStyle name="表示済みのハイパーリンク" xfId="2269" builtinId="9" hidden="1"/>
    <cellStyle name="表示済みのハイパーリンク" xfId="2271" builtinId="9" hidden="1"/>
    <cellStyle name="表示済みのハイパーリンク" xfId="2273" builtinId="9" hidden="1"/>
    <cellStyle name="表示済みのハイパーリンク" xfId="2275" builtinId="9" hidden="1"/>
    <cellStyle name="表示済みのハイパーリンク" xfId="2277" builtinId="9" hidden="1"/>
    <cellStyle name="表示済みのハイパーリンク" xfId="2279" builtinId="9" hidden="1"/>
    <cellStyle name="表示済みのハイパーリンク" xfId="2281" builtinId="9" hidden="1"/>
    <cellStyle name="表示済みのハイパーリンク" xfId="2283" builtinId="9" hidden="1"/>
    <cellStyle name="表示済みのハイパーリンク" xfId="2285" builtinId="9" hidden="1"/>
    <cellStyle name="表示済みのハイパーリンク" xfId="2287" builtinId="9" hidden="1"/>
    <cellStyle name="表示済みのハイパーリンク" xfId="2289" builtinId="9" hidden="1"/>
    <cellStyle name="表示済みのハイパーリンク" xfId="2291" builtinId="9" hidden="1"/>
    <cellStyle name="表示済みのハイパーリンク" xfId="2293" builtinId="9" hidden="1"/>
    <cellStyle name="表示済みのハイパーリンク" xfId="2295" builtinId="9" hidden="1"/>
    <cellStyle name="表示済みのハイパーリンク" xfId="2297" builtinId="9" hidden="1"/>
    <cellStyle name="表示済みのハイパーリンク" xfId="2299" builtinId="9" hidden="1"/>
    <cellStyle name="表示済みのハイパーリンク" xfId="2301" builtinId="9" hidden="1"/>
    <cellStyle name="表示済みのハイパーリンク" xfId="2303" builtinId="9" hidden="1"/>
    <cellStyle name="表示済みのハイパーリンク" xfId="2305" builtinId="9" hidden="1"/>
    <cellStyle name="表示済みのハイパーリンク" xfId="2307" builtinId="9" hidden="1"/>
    <cellStyle name="表示済みのハイパーリンク" xfId="2309" builtinId="9" hidden="1"/>
    <cellStyle name="表示済みのハイパーリンク" xfId="2311" builtinId="9" hidden="1"/>
    <cellStyle name="表示済みのハイパーリンク" xfId="2313" builtinId="9" hidden="1"/>
    <cellStyle name="表示済みのハイパーリンク" xfId="2315" builtinId="9" hidden="1"/>
    <cellStyle name="表示済みのハイパーリンク" xfId="2317" builtinId="9" hidden="1"/>
    <cellStyle name="表示済みのハイパーリンク" xfId="2319" builtinId="9" hidden="1"/>
    <cellStyle name="表示済みのハイパーリンク" xfId="2321" builtinId="9" hidden="1"/>
    <cellStyle name="表示済みのハイパーリンク" xfId="2323" builtinId="9" hidden="1"/>
    <cellStyle name="表示済みのハイパーリンク" xfId="2325" builtinId="9" hidden="1"/>
    <cellStyle name="表示済みのハイパーリンク" xfId="2327" builtinId="9" hidden="1"/>
    <cellStyle name="表示済みのハイパーリンク" xfId="2329" builtinId="9" hidden="1"/>
    <cellStyle name="表示済みのハイパーリンク" xfId="2331" builtinId="9" hidden="1"/>
    <cellStyle name="表示済みのハイパーリンク" xfId="2333" builtinId="9" hidden="1"/>
    <cellStyle name="表示済みのハイパーリンク" xfId="2335" builtinId="9" hidden="1"/>
    <cellStyle name="表示済みのハイパーリンク" xfId="2337" builtinId="9" hidden="1"/>
    <cellStyle name="表示済みのハイパーリンク" xfId="2339" builtinId="9" hidden="1"/>
    <cellStyle name="表示済みのハイパーリンク" xfId="2341" builtinId="9" hidden="1"/>
    <cellStyle name="表示済みのハイパーリンク" xfId="2343" builtinId="9" hidden="1"/>
    <cellStyle name="表示済みのハイパーリンク" xfId="2345" builtinId="9" hidden="1"/>
    <cellStyle name="表示済みのハイパーリンク" xfId="2347" builtinId="9" hidden="1"/>
    <cellStyle name="表示済みのハイパーリンク" xfId="2349" builtinId="9" hidden="1"/>
    <cellStyle name="表示済みのハイパーリンク" xfId="2351" builtinId="9" hidden="1"/>
    <cellStyle name="表示済みのハイパーリンク" xfId="2353" builtinId="9" hidden="1"/>
    <cellStyle name="表示済みのハイパーリンク" xfId="2355" builtinId="9" hidden="1"/>
    <cellStyle name="表示済みのハイパーリンク" xfId="2357" builtinId="9" hidden="1"/>
    <cellStyle name="表示済みのハイパーリンク" xfId="2359" builtinId="9" hidden="1"/>
    <cellStyle name="表示済みのハイパーリンク" xfId="2361" builtinId="9" hidden="1"/>
    <cellStyle name="表示済みのハイパーリンク" xfId="2363" builtinId="9" hidden="1"/>
    <cellStyle name="表示済みのハイパーリンク" xfId="2365" builtinId="9" hidden="1"/>
    <cellStyle name="表示済みのハイパーリンク" xfId="2367" builtinId="9" hidden="1"/>
    <cellStyle name="表示済みのハイパーリンク" xfId="2369" builtinId="9" hidden="1"/>
    <cellStyle name="表示済みのハイパーリンク" xfId="2371" builtinId="9" hidden="1"/>
    <cellStyle name="表示済みのハイパーリンク" xfId="2373" builtinId="9" hidden="1"/>
    <cellStyle name="表示済みのハイパーリンク" xfId="2375" builtinId="9" hidden="1"/>
    <cellStyle name="表示済みのハイパーリンク" xfId="2377" builtinId="9" hidden="1"/>
    <cellStyle name="表示済みのハイパーリンク" xfId="2379" builtinId="9" hidden="1"/>
    <cellStyle name="表示済みのハイパーリンク" xfId="2381" builtinId="9" hidden="1"/>
    <cellStyle name="表示済みのハイパーリンク" xfId="2383" builtinId="9" hidden="1"/>
    <cellStyle name="表示済みのハイパーリンク" xfId="2385" builtinId="9" hidden="1"/>
    <cellStyle name="表示済みのハイパーリンク" xfId="2387" builtinId="9" hidden="1"/>
    <cellStyle name="表示済みのハイパーリンク" xfId="2389" builtinId="9" hidden="1"/>
    <cellStyle name="表示済みのハイパーリンク" xfId="2391" builtinId="9" hidden="1"/>
    <cellStyle name="表示済みのハイパーリンク" xfId="2393" builtinId="9" hidden="1"/>
    <cellStyle name="表示済みのハイパーリンク" xfId="2395" builtinId="9" hidden="1"/>
    <cellStyle name="表示済みのハイパーリンク" xfId="2397" builtinId="9" hidden="1"/>
    <cellStyle name="表示済みのハイパーリンク" xfId="2399" builtinId="9" hidden="1"/>
    <cellStyle name="表示済みのハイパーリンク" xfId="2401" builtinId="9" hidden="1"/>
    <cellStyle name="表示済みのハイパーリンク" xfId="2403" builtinId="9" hidden="1"/>
    <cellStyle name="表示済みのハイパーリンク" xfId="2405" builtinId="9" hidden="1"/>
    <cellStyle name="表示済みのハイパーリンク" xfId="2407" builtinId="9" hidden="1"/>
    <cellStyle name="表示済みのハイパーリンク" xfId="2409" builtinId="9" hidden="1"/>
    <cellStyle name="表示済みのハイパーリンク" xfId="2411" builtinId="9" hidden="1"/>
    <cellStyle name="表示済みのハイパーリンク" xfId="2413" builtinId="9" hidden="1"/>
    <cellStyle name="表示済みのハイパーリンク" xfId="2415" builtinId="9" hidden="1"/>
    <cellStyle name="表示済みのハイパーリンク" xfId="2417" builtinId="9" hidden="1"/>
    <cellStyle name="表示済みのハイパーリンク" xfId="2419" builtinId="9" hidden="1"/>
    <cellStyle name="表示済みのハイパーリンク" xfId="2421" builtinId="9" hidden="1"/>
    <cellStyle name="表示済みのハイパーリンク" xfId="2423" builtinId="9" hidden="1"/>
    <cellStyle name="表示済みのハイパーリンク" xfId="2425" builtinId="9" hidden="1"/>
    <cellStyle name="表示済みのハイパーリンク" xfId="2427" builtinId="9" hidden="1"/>
    <cellStyle name="表示済みのハイパーリンク" xfId="2429" builtinId="9" hidden="1"/>
    <cellStyle name="表示済みのハイパーリンク" xfId="2431" builtinId="9" hidden="1"/>
    <cellStyle name="表示済みのハイパーリンク" xfId="2433" builtinId="9" hidden="1"/>
    <cellStyle name="表示済みのハイパーリンク" xfId="2435" builtinId="9" hidden="1"/>
    <cellStyle name="表示済みのハイパーリンク" xfId="2437" builtinId="9" hidden="1"/>
    <cellStyle name="表示済みのハイパーリンク" xfId="2439" builtinId="9" hidden="1"/>
    <cellStyle name="表示済みのハイパーリンク" xfId="2441" builtinId="9" hidden="1"/>
    <cellStyle name="表示済みのハイパーリンク" xfId="2443" builtinId="9" hidden="1"/>
    <cellStyle name="表示済みのハイパーリンク" xfId="2445" builtinId="9" hidden="1"/>
    <cellStyle name="表示済みのハイパーリンク" xfId="2447" builtinId="9" hidden="1"/>
    <cellStyle name="表示済みのハイパーリンク" xfId="2449" builtinId="9" hidden="1"/>
    <cellStyle name="表示済みのハイパーリンク" xfId="2451" builtinId="9" hidden="1"/>
    <cellStyle name="表示済みのハイパーリンク" xfId="2453" builtinId="9" hidden="1"/>
    <cellStyle name="表示済みのハイパーリンク" xfId="2455" builtinId="9" hidden="1"/>
    <cellStyle name="表示済みのハイパーリンク" xfId="2457" builtinId="9" hidden="1"/>
    <cellStyle name="表示済みのハイパーリンク" xfId="2459" builtinId="9" hidden="1"/>
    <cellStyle name="表示済みのハイパーリンク" xfId="2461" builtinId="9" hidden="1"/>
    <cellStyle name="表示済みのハイパーリンク" xfId="2463" builtinId="9" hidden="1"/>
    <cellStyle name="表示済みのハイパーリンク" xfId="2465" builtinId="9" hidden="1"/>
    <cellStyle name="表示済みのハイパーリンク" xfId="2467" builtinId="9" hidden="1"/>
    <cellStyle name="表示済みのハイパーリンク" xfId="2469" builtinId="9" hidden="1"/>
    <cellStyle name="表示済みのハイパーリンク" xfId="2471" builtinId="9" hidden="1"/>
    <cellStyle name="表示済みのハイパーリンク" xfId="2473" builtinId="9" hidden="1"/>
    <cellStyle name="表示済みのハイパーリンク" xfId="2475" builtinId="9" hidden="1"/>
    <cellStyle name="表示済みのハイパーリンク" xfId="2477" builtinId="9" hidden="1"/>
    <cellStyle name="表示済みのハイパーリンク" xfId="2479" builtinId="9" hidden="1"/>
    <cellStyle name="表示済みのハイパーリンク" xfId="2481" builtinId="9" hidden="1"/>
    <cellStyle name="表示済みのハイパーリンク" xfId="2483" builtinId="9" hidden="1"/>
    <cellStyle name="表示済みのハイパーリンク" xfId="2485" builtinId="9" hidden="1"/>
    <cellStyle name="表示済みのハイパーリンク" xfId="2487" builtinId="9" hidden="1"/>
    <cellStyle name="表示済みのハイパーリンク" xfId="2489" builtinId="9" hidden="1"/>
    <cellStyle name="表示済みのハイパーリンク" xfId="2491" builtinId="9" hidden="1"/>
    <cellStyle name="表示済みのハイパーリンク" xfId="2493" builtinId="9" hidden="1"/>
    <cellStyle name="表示済みのハイパーリンク" xfId="2495" builtinId="9" hidden="1"/>
    <cellStyle name="表示済みのハイパーリンク" xfId="2497" builtinId="9" hidden="1"/>
    <cellStyle name="表示済みのハイパーリンク" xfId="2499" builtinId="9" hidden="1"/>
    <cellStyle name="表示済みのハイパーリンク" xfId="2501" builtinId="9" hidden="1"/>
    <cellStyle name="表示済みのハイパーリンク" xfId="2503" builtinId="9" hidden="1"/>
    <cellStyle name="表示済みのハイパーリンク" xfId="2505" builtinId="9" hidden="1"/>
    <cellStyle name="表示済みのハイパーリンク" xfId="2507" builtinId="9" hidden="1"/>
    <cellStyle name="表示済みのハイパーリンク" xfId="2509" builtinId="9" hidden="1"/>
    <cellStyle name="表示済みのハイパーリンク" xfId="2511" builtinId="9" hidden="1"/>
    <cellStyle name="表示済みのハイパーリンク" xfId="2513" builtinId="9" hidden="1"/>
    <cellStyle name="表示済みのハイパーリンク" xfId="2515" builtinId="9" hidden="1"/>
    <cellStyle name="表示済みのハイパーリンク" xfId="2517" builtinId="9" hidden="1"/>
    <cellStyle name="表示済みのハイパーリンク" xfId="2519" builtinId="9" hidden="1"/>
    <cellStyle name="表示済みのハイパーリンク" xfId="2521" builtinId="9" hidden="1"/>
    <cellStyle name="表示済みのハイパーリンク" xfId="2523" builtinId="9" hidden="1"/>
    <cellStyle name="表示済みのハイパーリンク" xfId="2525" builtinId="9" hidden="1"/>
    <cellStyle name="表示済みのハイパーリンク" xfId="2527" builtinId="9" hidden="1"/>
    <cellStyle name="表示済みのハイパーリンク" xfId="2529" builtinId="9" hidden="1"/>
    <cellStyle name="表示済みのハイパーリンク" xfId="2531" builtinId="9" hidden="1"/>
    <cellStyle name="表示済みのハイパーリンク" xfId="2533" builtinId="9" hidden="1"/>
    <cellStyle name="表示済みのハイパーリンク" xfId="2535" builtinId="9" hidden="1"/>
    <cellStyle name="表示済みのハイパーリンク" xfId="2537" builtinId="9" hidden="1"/>
    <cellStyle name="表示済みのハイパーリンク" xfId="2539" builtinId="9" hidden="1"/>
    <cellStyle name="表示済みのハイパーリンク" xfId="2541" builtinId="9" hidden="1"/>
    <cellStyle name="表示済みのハイパーリンク" xfId="2543" builtinId="9" hidden="1"/>
    <cellStyle name="表示済みのハイパーリンク" xfId="2545" builtinId="9" hidden="1"/>
    <cellStyle name="表示済みのハイパーリンク" xfId="2547" builtinId="9" hidden="1"/>
    <cellStyle name="表示済みのハイパーリンク" xfId="2549" builtinId="9" hidden="1"/>
    <cellStyle name="表示済みのハイパーリンク" xfId="2551" builtinId="9" hidden="1"/>
    <cellStyle name="表示済みのハイパーリンク" xfId="2553" builtinId="9" hidden="1"/>
    <cellStyle name="表示済みのハイパーリンク" xfId="2555" builtinId="9" hidden="1"/>
    <cellStyle name="表示済みのハイパーリンク" xfId="2557" builtinId="9" hidden="1"/>
    <cellStyle name="表示済みのハイパーリンク" xfId="2559" builtinId="9" hidden="1"/>
    <cellStyle name="表示済みのハイパーリンク" xfId="2561" builtinId="9" hidden="1"/>
    <cellStyle name="表示済みのハイパーリンク" xfId="2563" builtinId="9" hidden="1"/>
    <cellStyle name="表示済みのハイパーリンク" xfId="2565" builtinId="9" hidden="1"/>
    <cellStyle name="表示済みのハイパーリンク" xfId="2567" builtinId="9" hidden="1"/>
    <cellStyle name="表示済みのハイパーリンク" xfId="2569" builtinId="9" hidden="1"/>
    <cellStyle name="表示済みのハイパーリンク" xfId="2571" builtinId="9" hidden="1"/>
    <cellStyle name="表示済みのハイパーリンク" xfId="2573" builtinId="9" hidden="1"/>
    <cellStyle name="表示済みのハイパーリンク" xfId="2575" builtinId="9" hidden="1"/>
    <cellStyle name="表示済みのハイパーリンク" xfId="2577" builtinId="9" hidden="1"/>
    <cellStyle name="表示済みのハイパーリンク" xfId="2579" builtinId="9" hidden="1"/>
    <cellStyle name="表示済みのハイパーリンク" xfId="2581" builtinId="9" hidden="1"/>
    <cellStyle name="表示済みのハイパーリンク" xfId="2583" builtinId="9" hidden="1"/>
    <cellStyle name="表示済みのハイパーリンク" xfId="2585" builtinId="9" hidden="1"/>
    <cellStyle name="表示済みのハイパーリンク" xfId="2587" builtinId="9" hidden="1"/>
    <cellStyle name="表示済みのハイパーリンク" xfId="2589" builtinId="9" hidden="1"/>
    <cellStyle name="表示済みのハイパーリンク" xfId="2591" builtinId="9" hidden="1"/>
    <cellStyle name="表示済みのハイパーリンク" xfId="2593" builtinId="9" hidden="1"/>
    <cellStyle name="表示済みのハイパーリンク" xfId="2595" builtinId="9" hidden="1"/>
    <cellStyle name="表示済みのハイパーリンク" xfId="2597" builtinId="9" hidden="1"/>
    <cellStyle name="表示済みのハイパーリンク" xfId="2599" builtinId="9" hidden="1"/>
    <cellStyle name="表示済みのハイパーリンク" xfId="2601" builtinId="9" hidden="1"/>
    <cellStyle name="表示済みのハイパーリンク" xfId="2603" builtinId="9" hidden="1"/>
    <cellStyle name="表示済みのハイパーリンク" xfId="2605" builtinId="9" hidden="1"/>
    <cellStyle name="表示済みのハイパーリンク" xfId="2607" builtinId="9" hidden="1"/>
    <cellStyle name="表示済みのハイパーリンク" xfId="2609" builtinId="9" hidden="1"/>
    <cellStyle name="表示済みのハイパーリンク" xfId="2611" builtinId="9" hidden="1"/>
    <cellStyle name="表示済みのハイパーリンク" xfId="2613" builtinId="9" hidden="1"/>
    <cellStyle name="表示済みのハイパーリンク" xfId="2615" builtinId="9" hidden="1"/>
    <cellStyle name="表示済みのハイパーリンク" xfId="2617" builtinId="9" hidden="1"/>
    <cellStyle name="表示済みのハイパーリンク" xfId="2619" builtinId="9" hidden="1"/>
    <cellStyle name="表示済みのハイパーリンク" xfId="2621" builtinId="9" hidden="1"/>
    <cellStyle name="表示済みのハイパーリンク" xfId="2623" builtinId="9" hidden="1"/>
    <cellStyle name="表示済みのハイパーリンク" xfId="2625" builtinId="9" hidden="1"/>
    <cellStyle name="表示済みのハイパーリンク" xfId="2627" builtinId="9" hidden="1"/>
    <cellStyle name="表示済みのハイパーリンク" xfId="2629" builtinId="9" hidden="1"/>
    <cellStyle name="表示済みのハイパーリンク" xfId="2631" builtinId="9" hidden="1"/>
    <cellStyle name="表示済みのハイパーリンク" xfId="2633" builtinId="9" hidden="1"/>
    <cellStyle name="表示済みのハイパーリンク" xfId="2635" builtinId="9" hidden="1"/>
    <cellStyle name="表示済みのハイパーリンク" xfId="2637" builtinId="9" hidden="1"/>
    <cellStyle name="表示済みのハイパーリンク" xfId="2639" builtinId="9" hidden="1"/>
    <cellStyle name="表示済みのハイパーリンク" xfId="2641" builtinId="9" hidden="1"/>
    <cellStyle name="表示済みのハイパーリンク" xfId="2643" builtinId="9" hidden="1"/>
    <cellStyle name="表示済みのハイパーリンク" xfId="2645" builtinId="9" hidden="1"/>
    <cellStyle name="表示済みのハイパーリンク" xfId="2647" builtinId="9" hidden="1"/>
    <cellStyle name="表示済みのハイパーリンク" xfId="2649" builtinId="9" hidden="1"/>
    <cellStyle name="表示済みのハイパーリンク" xfId="2651" builtinId="9" hidden="1"/>
    <cellStyle name="表示済みのハイパーリンク" xfId="2653" builtinId="9" hidden="1"/>
    <cellStyle name="表示済みのハイパーリンク" xfId="2655" builtinId="9" hidden="1"/>
    <cellStyle name="表示済みのハイパーリンク" xfId="2657" builtinId="9" hidden="1"/>
    <cellStyle name="表示済みのハイパーリンク" xfId="2659" builtinId="9" hidden="1"/>
    <cellStyle name="表示済みのハイパーリンク" xfId="2661" builtinId="9" hidden="1"/>
    <cellStyle name="表示済みのハイパーリンク" xfId="2663" builtinId="9" hidden="1"/>
    <cellStyle name="表示済みのハイパーリンク" xfId="2665" builtinId="9" hidden="1"/>
    <cellStyle name="表示済みのハイパーリンク" xfId="2667" builtinId="9" hidden="1"/>
    <cellStyle name="表示済みのハイパーリンク" xfId="2669" builtinId="9" hidden="1"/>
    <cellStyle name="表示済みのハイパーリンク" xfId="2671" builtinId="9" hidden="1"/>
    <cellStyle name="表示済みのハイパーリンク" xfId="2673" builtinId="9" hidden="1"/>
    <cellStyle name="表示済みのハイパーリンク" xfId="2675" builtinId="9" hidden="1"/>
    <cellStyle name="表示済みのハイパーリンク" xfId="2677" builtinId="9" hidden="1"/>
    <cellStyle name="表示済みのハイパーリンク" xfId="2679" builtinId="9" hidden="1"/>
    <cellStyle name="表示済みのハイパーリンク" xfId="2681" builtinId="9" hidden="1"/>
    <cellStyle name="表示済みのハイパーリンク" xfId="2683" builtinId="9" hidden="1"/>
    <cellStyle name="表示済みのハイパーリンク" xfId="2685" builtinId="9" hidden="1"/>
    <cellStyle name="表示済みのハイパーリンク" xfId="2687" builtinId="9" hidden="1"/>
    <cellStyle name="表示済みのハイパーリンク" xfId="2689" builtinId="9" hidden="1"/>
    <cellStyle name="表示済みのハイパーリンク" xfId="2691" builtinId="9" hidden="1"/>
    <cellStyle name="表示済みのハイパーリンク" xfId="2693" builtinId="9" hidden="1"/>
    <cellStyle name="表示済みのハイパーリンク" xfId="2695" builtinId="9" hidden="1"/>
    <cellStyle name="表示済みのハイパーリンク" xfId="2697" builtinId="9" hidden="1"/>
    <cellStyle name="表示済みのハイパーリンク" xfId="2699" builtinId="9" hidden="1"/>
    <cellStyle name="表示済みのハイパーリンク" xfId="2701" builtinId="9" hidden="1"/>
    <cellStyle name="表示済みのハイパーリンク" xfId="2703" builtinId="9" hidden="1"/>
    <cellStyle name="表示済みのハイパーリンク" xfId="2705" builtinId="9" hidden="1"/>
    <cellStyle name="表示済みのハイパーリンク" xfId="2707" builtinId="9" hidden="1"/>
    <cellStyle name="表示済みのハイパーリンク" xfId="2709" builtinId="9" hidden="1"/>
    <cellStyle name="表示済みのハイパーリンク" xfId="2711" builtinId="9" hidden="1"/>
    <cellStyle name="表示済みのハイパーリンク" xfId="2713" builtinId="9" hidden="1"/>
    <cellStyle name="表示済みのハイパーリンク" xfId="2715" builtinId="9" hidden="1"/>
    <cellStyle name="表示済みのハイパーリンク" xfId="2717" builtinId="9" hidden="1"/>
    <cellStyle name="表示済みのハイパーリンク" xfId="2719" builtinId="9" hidden="1"/>
    <cellStyle name="表示済みのハイパーリンク" xfId="2721" builtinId="9" hidden="1"/>
    <cellStyle name="表示済みのハイパーリンク" xfId="2723" builtinId="9" hidden="1"/>
    <cellStyle name="表示済みのハイパーリンク" xfId="2725" builtinId="9" hidden="1"/>
    <cellStyle name="表示済みのハイパーリンク" xfId="2727" builtinId="9" hidden="1"/>
    <cellStyle name="表示済みのハイパーリンク" xfId="2729" builtinId="9" hidden="1"/>
    <cellStyle name="表示済みのハイパーリンク" xfId="2731" builtinId="9" hidden="1"/>
    <cellStyle name="表示済みのハイパーリンク" xfId="2733" builtinId="9" hidden="1"/>
    <cellStyle name="表示済みのハイパーリンク" xfId="2735" builtinId="9" hidden="1"/>
    <cellStyle name="表示済みのハイパーリンク" xfId="2737" builtinId="9" hidden="1"/>
    <cellStyle name="表示済みのハイパーリンク" xfId="2739" builtinId="9" hidden="1"/>
    <cellStyle name="表示済みのハイパーリンク" xfId="2741" builtinId="9" hidden="1"/>
    <cellStyle name="表示済みのハイパーリンク" xfId="2743" builtinId="9" hidden="1"/>
    <cellStyle name="表示済みのハイパーリンク" xfId="2745" builtinId="9" hidden="1"/>
    <cellStyle name="表示済みのハイパーリンク" xfId="2747" builtinId="9" hidden="1"/>
    <cellStyle name="表示済みのハイパーリンク" xfId="2749" builtinId="9" hidden="1"/>
    <cellStyle name="表示済みのハイパーリンク" xfId="2751" builtinId="9" hidden="1"/>
    <cellStyle name="表示済みのハイパーリンク" xfId="2753" builtinId="9" hidden="1"/>
    <cellStyle name="表示済みのハイパーリンク" xfId="2755" builtinId="9" hidden="1"/>
    <cellStyle name="表示済みのハイパーリンク" xfId="2757" builtinId="9" hidden="1"/>
    <cellStyle name="表示済みのハイパーリンク" xfId="2759" builtinId="9" hidden="1"/>
    <cellStyle name="表示済みのハイパーリンク" xfId="2761" builtinId="9" hidden="1"/>
    <cellStyle name="表示済みのハイパーリンク" xfId="2763" builtinId="9" hidden="1"/>
    <cellStyle name="表示済みのハイパーリンク" xfId="2765" builtinId="9" hidden="1"/>
    <cellStyle name="表示済みのハイパーリンク" xfId="2767" builtinId="9" hidden="1"/>
    <cellStyle name="表示済みのハイパーリンク" xfId="2769" builtinId="9" hidden="1"/>
    <cellStyle name="表示済みのハイパーリンク" xfId="2771" builtinId="9" hidden="1"/>
    <cellStyle name="表示済みのハイパーリンク" xfId="2773" builtinId="9" hidden="1"/>
    <cellStyle name="表示済みのハイパーリンク" xfId="2775" builtinId="9" hidden="1"/>
    <cellStyle name="表示済みのハイパーリンク" xfId="2777" builtinId="9" hidden="1"/>
    <cellStyle name="表示済みのハイパーリンク" xfId="2779" builtinId="9" hidden="1"/>
    <cellStyle name="表示済みのハイパーリンク" xfId="2781" builtinId="9" hidden="1"/>
    <cellStyle name="表示済みのハイパーリンク" xfId="2783" builtinId="9" hidden="1"/>
    <cellStyle name="表示済みのハイパーリンク" xfId="2785" builtinId="9" hidden="1"/>
    <cellStyle name="表示済みのハイパーリンク" xfId="2787" builtinId="9" hidden="1"/>
    <cellStyle name="表示済みのハイパーリンク" xfId="2789" builtinId="9" hidden="1"/>
    <cellStyle name="表示済みのハイパーリンク" xfId="2791" builtinId="9" hidden="1"/>
    <cellStyle name="表示済みのハイパーリンク" xfId="2793" builtinId="9" hidden="1"/>
    <cellStyle name="表示済みのハイパーリンク" xfId="2795" builtinId="9" hidden="1"/>
    <cellStyle name="表示済みのハイパーリンク" xfId="2797" builtinId="9" hidden="1"/>
    <cellStyle name="表示済みのハイパーリンク" xfId="2799" builtinId="9" hidden="1"/>
    <cellStyle name="表示済みのハイパーリンク" xfId="2801" builtinId="9" hidden="1"/>
    <cellStyle name="表示済みのハイパーリンク" xfId="2803" builtinId="9" hidden="1"/>
    <cellStyle name="表示済みのハイパーリンク" xfId="2805" builtinId="9" hidden="1"/>
    <cellStyle name="表示済みのハイパーリンク" xfId="2807" builtinId="9" hidden="1"/>
    <cellStyle name="表示済みのハイパーリンク" xfId="2809" builtinId="9" hidden="1"/>
    <cellStyle name="表示済みのハイパーリンク" xfId="2811" builtinId="9" hidden="1"/>
    <cellStyle name="表示済みのハイパーリンク" xfId="2813" builtinId="9" hidden="1"/>
    <cellStyle name="表示済みのハイパーリンク" xfId="2815" builtinId="9" hidden="1"/>
    <cellStyle name="表示済みのハイパーリンク" xfId="2817" builtinId="9" hidden="1"/>
    <cellStyle name="表示済みのハイパーリンク" xfId="2819" builtinId="9" hidden="1"/>
    <cellStyle name="表示済みのハイパーリンク" xfId="2821" builtinId="9" hidden="1"/>
    <cellStyle name="表示済みのハイパーリンク" xfId="2823" builtinId="9" hidden="1"/>
    <cellStyle name="表示済みのハイパーリンク" xfId="2825" builtinId="9" hidden="1"/>
    <cellStyle name="表示済みのハイパーリンク" xfId="2827" builtinId="9" hidden="1"/>
    <cellStyle name="表示済みのハイパーリンク" xfId="2829" builtinId="9" hidden="1"/>
    <cellStyle name="表示済みのハイパーリンク" xfId="2831" builtinId="9" hidden="1"/>
    <cellStyle name="表示済みのハイパーリンク" xfId="2833" builtinId="9" hidden="1"/>
    <cellStyle name="表示済みのハイパーリンク" xfId="2835" builtinId="9" hidden="1"/>
    <cellStyle name="表示済みのハイパーリンク" xfId="2837" builtinId="9" hidden="1"/>
    <cellStyle name="表示済みのハイパーリンク" xfId="2839" builtinId="9" hidden="1"/>
    <cellStyle name="表示済みのハイパーリンク" xfId="2841" builtinId="9" hidden="1"/>
    <cellStyle name="表示済みのハイパーリンク" xfId="2843" builtinId="9" hidden="1"/>
    <cellStyle name="表示済みのハイパーリンク" xfId="2845" builtinId="9" hidden="1"/>
    <cellStyle name="表示済みのハイパーリンク" xfId="2847" builtinId="9" hidden="1"/>
    <cellStyle name="表示済みのハイパーリンク" xfId="2849" builtinId="9" hidden="1"/>
    <cellStyle name="表示済みのハイパーリンク" xfId="2851" builtinId="9" hidden="1"/>
    <cellStyle name="表示済みのハイパーリンク" xfId="2853" builtinId="9" hidden="1"/>
    <cellStyle name="表示済みのハイパーリンク" xfId="2855" builtinId="9" hidden="1"/>
    <cellStyle name="表示済みのハイパーリンク" xfId="2857" builtinId="9" hidden="1"/>
    <cellStyle name="表示済みのハイパーリンク" xfId="2859" builtinId="9" hidden="1"/>
    <cellStyle name="表示済みのハイパーリンク" xfId="2861" builtinId="9" hidden="1"/>
    <cellStyle name="表示済みのハイパーリンク" xfId="2863" builtinId="9" hidden="1"/>
    <cellStyle name="表示済みのハイパーリンク" xfId="2865" builtinId="9" hidden="1"/>
    <cellStyle name="表示済みのハイパーリンク" xfId="2867" builtinId="9" hidden="1"/>
    <cellStyle name="表示済みのハイパーリンク" xfId="2869" builtinId="9" hidden="1"/>
    <cellStyle name="表示済みのハイパーリンク" xfId="2871" builtinId="9" hidden="1"/>
    <cellStyle name="表示済みのハイパーリンク" xfId="2873" builtinId="9" hidden="1"/>
    <cellStyle name="表示済みのハイパーリンク" xfId="2875" builtinId="9" hidden="1"/>
    <cellStyle name="表示済みのハイパーリンク" xfId="2877" builtinId="9" hidden="1"/>
    <cellStyle name="表示済みのハイパーリンク" xfId="2879" builtinId="9" hidden="1"/>
    <cellStyle name="表示済みのハイパーリンク" xfId="2881" builtinId="9" hidden="1"/>
    <cellStyle name="表示済みのハイパーリンク" xfId="2883" builtinId="9" hidden="1"/>
    <cellStyle name="表示済みのハイパーリンク" xfId="2885" builtinId="9" hidden="1"/>
    <cellStyle name="表示済みのハイパーリンク" xfId="2887" builtinId="9" hidden="1"/>
    <cellStyle name="表示済みのハイパーリンク" xfId="2889" builtinId="9" hidden="1"/>
    <cellStyle name="表示済みのハイパーリンク" xfId="2891" builtinId="9" hidden="1"/>
    <cellStyle name="表示済みのハイパーリンク" xfId="2893" builtinId="9" hidden="1"/>
    <cellStyle name="表示済みのハイパーリンク" xfId="2895" builtinId="9" hidden="1"/>
    <cellStyle name="表示済みのハイパーリンク" xfId="2897" builtinId="9" hidden="1"/>
    <cellStyle name="表示済みのハイパーリンク" xfId="2899" builtinId="9" hidden="1"/>
    <cellStyle name="表示済みのハイパーリンク" xfId="2901" builtinId="9" hidden="1"/>
    <cellStyle name="表示済みのハイパーリンク" xfId="2903" builtinId="9" hidden="1"/>
    <cellStyle name="表示済みのハイパーリンク" xfId="2905" builtinId="9" hidden="1"/>
    <cellStyle name="表示済みのハイパーリンク" xfId="2907" builtinId="9" hidden="1"/>
    <cellStyle name="表示済みのハイパーリンク" xfId="2909" builtinId="9" hidden="1"/>
    <cellStyle name="表示済みのハイパーリンク" xfId="2911" builtinId="9" hidden="1"/>
    <cellStyle name="表示済みのハイパーリンク" xfId="2913" builtinId="9" hidden="1"/>
    <cellStyle name="表示済みのハイパーリンク" xfId="2915" builtinId="9" hidden="1"/>
    <cellStyle name="表示済みのハイパーリンク" xfId="2917" builtinId="9" hidden="1"/>
    <cellStyle name="表示済みのハイパーリンク" xfId="2919" builtinId="9" hidden="1"/>
    <cellStyle name="表示済みのハイパーリンク" xfId="2921" builtinId="9" hidden="1"/>
    <cellStyle name="表示済みのハイパーリンク" xfId="2923" builtinId="9" hidden="1"/>
    <cellStyle name="表示済みのハイパーリンク" xfId="2925" builtinId="9" hidden="1"/>
    <cellStyle name="表示済みのハイパーリンク" xfId="2927" builtinId="9" hidden="1"/>
    <cellStyle name="表示済みのハイパーリンク" xfId="2929" builtinId="9" hidden="1"/>
    <cellStyle name="表示済みのハイパーリンク" xfId="2931" builtinId="9" hidden="1"/>
    <cellStyle name="表示済みのハイパーリンク" xfId="2933" builtinId="9" hidden="1"/>
    <cellStyle name="表示済みのハイパーリンク" xfId="2935" builtinId="9" hidden="1"/>
    <cellStyle name="表示済みのハイパーリンク" xfId="2937" builtinId="9" hidden="1"/>
    <cellStyle name="表示済みのハイパーリンク" xfId="2939" builtinId="9" hidden="1"/>
    <cellStyle name="表示済みのハイパーリンク" xfId="2941" builtinId="9" hidden="1"/>
    <cellStyle name="表示済みのハイパーリンク" xfId="2943" builtinId="9" hidden="1"/>
    <cellStyle name="表示済みのハイパーリンク" xfId="2945" builtinId="9" hidden="1"/>
    <cellStyle name="表示済みのハイパーリンク" xfId="2947" builtinId="9" hidden="1"/>
    <cellStyle name="表示済みのハイパーリンク" xfId="2949" builtinId="9" hidden="1"/>
    <cellStyle name="表示済みのハイパーリンク" xfId="2951" builtinId="9" hidden="1"/>
    <cellStyle name="表示済みのハイパーリンク" xfId="2953" builtinId="9" hidden="1"/>
    <cellStyle name="表示済みのハイパーリンク" xfId="2955" builtinId="9" hidden="1"/>
    <cellStyle name="表示済みのハイパーリンク" xfId="2957" builtinId="9" hidden="1"/>
    <cellStyle name="表示済みのハイパーリンク" xfId="2959" builtinId="9" hidden="1"/>
    <cellStyle name="表示済みのハイパーリンク" xfId="2961" builtinId="9" hidden="1"/>
    <cellStyle name="表示済みのハイパーリンク" xfId="2963" builtinId="9" hidden="1"/>
    <cellStyle name="表示済みのハイパーリンク" xfId="2965" builtinId="9" hidden="1"/>
    <cellStyle name="表示済みのハイパーリンク" xfId="2967" builtinId="9" hidden="1"/>
    <cellStyle name="表示済みのハイパーリンク" xfId="2969" builtinId="9" hidden="1"/>
    <cellStyle name="表示済みのハイパーリンク" xfId="2971" builtinId="9" hidden="1"/>
    <cellStyle name="表示済みのハイパーリンク" xfId="2973" builtinId="9" hidden="1"/>
    <cellStyle name="表示済みのハイパーリンク" xfId="2975" builtinId="9" hidden="1"/>
    <cellStyle name="表示済みのハイパーリンク" xfId="2977" builtinId="9" hidden="1"/>
    <cellStyle name="表示済みのハイパーリンク" xfId="2981" builtinId="9" hidden="1"/>
    <cellStyle name="表示済みのハイパーリンク" xfId="2983" builtinId="9" hidden="1"/>
    <cellStyle name="表示済みのハイパーリンク" xfId="2985" builtinId="9" hidden="1"/>
    <cellStyle name="表示済みのハイパーリンク" xfId="2987" builtinId="9" hidden="1"/>
    <cellStyle name="表示済みのハイパーリンク" xfId="2989" builtinId="9" hidden="1"/>
    <cellStyle name="表示済みのハイパーリンク" xfId="2991" builtinId="9" hidden="1"/>
    <cellStyle name="表示済みのハイパーリンク" xfId="2993" builtinId="9" hidden="1"/>
    <cellStyle name="表示済みのハイパーリンク" xfId="2995" builtinId="9" hidden="1"/>
    <cellStyle name="表示済みのハイパーリンク" xfId="2997" builtinId="9" hidden="1"/>
    <cellStyle name="表示済みのハイパーリンク" xfId="2999" builtinId="9" hidden="1"/>
    <cellStyle name="表示済みのハイパーリンク" xfId="3001" builtinId="9" hidden="1"/>
    <cellStyle name="表示済みのハイパーリンク" xfId="3003" builtinId="9" hidden="1"/>
    <cellStyle name="表示済みのハイパーリンク" xfId="3005" builtinId="9" hidden="1"/>
    <cellStyle name="表示済みのハイパーリンク" xfId="3007" builtinId="9" hidden="1"/>
    <cellStyle name="表示済みのハイパーリンク" xfId="3009" builtinId="9" hidden="1"/>
    <cellStyle name="表示済みのハイパーリンク" xfId="3011" builtinId="9" hidden="1"/>
    <cellStyle name="表示済みのハイパーリンク" xfId="3013" builtinId="9" hidden="1"/>
    <cellStyle name="表示済みのハイパーリンク" xfId="3015" builtinId="9" hidden="1"/>
    <cellStyle name="表示済みのハイパーリンク" xfId="3017" builtinId="9" hidden="1"/>
    <cellStyle name="表示済みのハイパーリンク" xfId="3019" builtinId="9" hidden="1"/>
    <cellStyle name="表示済みのハイパーリンク" xfId="3021" builtinId="9" hidden="1"/>
    <cellStyle name="表示済みのハイパーリンク" xfId="3023" builtinId="9" hidden="1"/>
    <cellStyle name="表示済みのハイパーリンク" xfId="3025" builtinId="9" hidden="1"/>
    <cellStyle name="表示済みのハイパーリンク" xfId="3027" builtinId="9" hidden="1"/>
    <cellStyle name="表示済みのハイパーリンク" xfId="3029" builtinId="9" hidden="1"/>
    <cellStyle name="表示済みのハイパーリンク" xfId="3031" builtinId="9" hidden="1"/>
    <cellStyle name="表示済みのハイパーリンク" xfId="3033" builtinId="9" hidden="1"/>
    <cellStyle name="表示済みのハイパーリンク" xfId="3035" builtinId="9" hidden="1"/>
    <cellStyle name="表示済みのハイパーリンク" xfId="3038" builtinId="9" hidden="1"/>
    <cellStyle name="表示済みのハイパーリンク" xfId="3040" builtinId="9" hidden="1"/>
    <cellStyle name="表示済みのハイパーリンク" xfId="3042" builtinId="9" hidden="1"/>
    <cellStyle name="表示済みのハイパーリンク" xfId="3044" builtinId="9" hidden="1"/>
    <cellStyle name="表示済みのハイパーリンク" xfId="3046" builtinId="9" hidden="1"/>
    <cellStyle name="表示済みのハイパーリンク" xfId="3048" builtinId="9" hidden="1"/>
    <cellStyle name="表示済みのハイパーリンク" xfId="3050" builtinId="9" hidden="1"/>
    <cellStyle name="表示済みのハイパーリンク" xfId="3052" builtinId="9" hidden="1"/>
    <cellStyle name="表示済みのハイパーリンク" xfId="3054" builtinId="9" hidden="1"/>
    <cellStyle name="表示済みのハイパーリンク" xfId="3056" builtinId="9" hidden="1"/>
    <cellStyle name="表示済みのハイパーリンク" xfId="3058" builtinId="9" hidden="1"/>
    <cellStyle name="表示済みのハイパーリンク" xfId="3060" builtinId="9" hidden="1"/>
    <cellStyle name="表示済みのハイパーリンク" xfId="3062" builtinId="9" hidden="1"/>
    <cellStyle name="表示済みのハイパーリンク" xfId="3064" builtinId="9" hidden="1"/>
    <cellStyle name="表示済みのハイパーリンク" xfId="3066" builtinId="9" hidden="1"/>
    <cellStyle name="表示済みのハイパーリンク" xfId="3068" builtinId="9" hidden="1"/>
    <cellStyle name="表示済みのハイパーリンク" xfId="3070" builtinId="9" hidden="1"/>
    <cellStyle name="表示済みのハイパーリンク" xfId="3072" builtinId="9" hidden="1"/>
    <cellStyle name="表示済みのハイパーリンク" xfId="3074" builtinId="9" hidden="1"/>
    <cellStyle name="表示済みのハイパーリンク" xfId="3076" builtinId="9" hidden="1"/>
    <cellStyle name="表示済みのハイパーリンク" xfId="3078" builtinId="9" hidden="1"/>
    <cellStyle name="表示済みのハイパーリンク" xfId="3080" builtinId="9" hidden="1"/>
    <cellStyle name="表示済みのハイパーリンク" xfId="3082" builtinId="9" hidden="1"/>
    <cellStyle name="表示済みのハイパーリンク" xfId="3084" builtinId="9" hidden="1"/>
    <cellStyle name="表示済みのハイパーリンク" xfId="3086" builtinId="9" hidden="1"/>
    <cellStyle name="表示済みのハイパーリンク" xfId="3088" builtinId="9" hidden="1"/>
    <cellStyle name="表示済みのハイパーリンク" xfId="3090" builtinId="9" hidden="1"/>
    <cellStyle name="表示済みのハイパーリンク" xfId="3092" builtinId="9" hidden="1"/>
    <cellStyle name="表示済みのハイパーリンク" xfId="3094" builtinId="9" hidden="1"/>
    <cellStyle name="表示済みのハイパーリンク" xfId="3096" builtinId="9" hidden="1"/>
    <cellStyle name="表示済みのハイパーリンク" xfId="3098" builtinId="9" hidden="1"/>
    <cellStyle name="表示済みのハイパーリンク" xfId="3100" builtinId="9" hidden="1"/>
    <cellStyle name="表示済みのハイパーリンク" xfId="3102" builtinId="9" hidden="1"/>
    <cellStyle name="表示済みのハイパーリンク" xfId="3104" builtinId="9" hidden="1"/>
    <cellStyle name="表示済みのハイパーリンク" xfId="3106" builtinId="9" hidden="1"/>
    <cellStyle name="表示済みのハイパーリンク" xfId="3108" builtinId="9" hidden="1"/>
    <cellStyle name="表示済みのハイパーリンク" xfId="3110" builtinId="9" hidden="1"/>
    <cellStyle name="表示済みのハイパーリンク" xfId="3112" builtinId="9" hidden="1"/>
    <cellStyle name="表示済みのハイパーリンク" xfId="3114" builtinId="9" hidden="1"/>
    <cellStyle name="表示済みのハイパーリンク" xfId="3116" builtinId="9" hidden="1"/>
    <cellStyle name="表示済みのハイパーリンク" xfId="3118" builtinId="9" hidden="1"/>
    <cellStyle name="表示済みのハイパーリンク" xfId="3120" builtinId="9" hidden="1"/>
    <cellStyle name="表示済みのハイパーリンク" xfId="3122" builtinId="9" hidden="1"/>
    <cellStyle name="表示済みのハイパーリンク" xfId="3124" builtinId="9" hidden="1"/>
    <cellStyle name="表示済みのハイパーリンク" xfId="3126" builtinId="9" hidden="1"/>
    <cellStyle name="表示済みのハイパーリンク" xfId="3128" builtinId="9" hidden="1"/>
    <cellStyle name="表示済みのハイパーリンク" xfId="3130" builtinId="9" hidden="1"/>
    <cellStyle name="表示済みのハイパーリンク" xfId="3132" builtinId="9" hidden="1"/>
    <cellStyle name="表示済みのハイパーリンク" xfId="3134" builtinId="9" hidden="1"/>
    <cellStyle name="表示済みのハイパーリンク" xfId="3136" builtinId="9" hidden="1"/>
    <cellStyle name="表示済みのハイパーリンク" xfId="3138" builtinId="9" hidden="1"/>
    <cellStyle name="表示済みのハイパーリンク" xfId="3140" builtinId="9" hidden="1"/>
    <cellStyle name="表示済みのハイパーリンク" xfId="3142" builtinId="9" hidden="1"/>
    <cellStyle name="表示済みのハイパーリンク" xfId="3144" builtinId="9" hidden="1"/>
    <cellStyle name="表示済みのハイパーリンク" xfId="3146" builtinId="9" hidden="1"/>
    <cellStyle name="表示済みのハイパーリンク" xfId="3148" builtinId="9" hidden="1"/>
    <cellStyle name="表示済みのハイパーリンク" xfId="3150" builtinId="9" hidden="1"/>
    <cellStyle name="表示済みのハイパーリンク" xfId="3152" builtinId="9" hidden="1"/>
    <cellStyle name="表示済みのハイパーリンク" xfId="3154" builtinId="9" hidden="1"/>
    <cellStyle name="表示済みのハイパーリンク" xfId="3156" builtinId="9" hidden="1"/>
    <cellStyle name="表示済みのハイパーリンク" xfId="3158" builtinId="9" hidden="1"/>
    <cellStyle name="表示済みのハイパーリンク" xfId="3160" builtinId="9" hidden="1"/>
    <cellStyle name="表示済みのハイパーリンク" xfId="3162" builtinId="9" hidden="1"/>
    <cellStyle name="表示済みのハイパーリンク" xfId="3164" builtinId="9" hidden="1"/>
    <cellStyle name="表示済みのハイパーリンク" xfId="3166" builtinId="9" hidden="1"/>
    <cellStyle name="表示済みのハイパーリンク" xfId="3168" builtinId="9" hidden="1"/>
    <cellStyle name="表示済みのハイパーリンク" xfId="3170" builtinId="9" hidden="1"/>
    <cellStyle name="表示済みのハイパーリンク" xfId="3172" builtinId="9" hidden="1"/>
    <cellStyle name="表示済みのハイパーリンク" xfId="3174" builtinId="9" hidden="1"/>
    <cellStyle name="表示済みのハイパーリンク" xfId="3176" builtinId="9" hidden="1"/>
    <cellStyle name="表示済みのハイパーリンク" xfId="3178" builtinId="9" hidden="1"/>
    <cellStyle name="表示済みのハイパーリンク" xfId="3180" builtinId="9" hidden="1"/>
    <cellStyle name="表示済みのハイパーリンク" xfId="3182" builtinId="9" hidden="1"/>
    <cellStyle name="表示済みのハイパーリンク" xfId="3184" builtinId="9" hidden="1"/>
    <cellStyle name="表示済みのハイパーリンク" xfId="3186" builtinId="9" hidden="1"/>
    <cellStyle name="表示済みのハイパーリンク" xfId="3188" builtinId="9" hidden="1"/>
    <cellStyle name="表示済みのハイパーリンク" xfId="3190" builtinId="9" hidden="1"/>
    <cellStyle name="表示済みのハイパーリンク" xfId="3192" builtinId="9" hidden="1"/>
    <cellStyle name="表示済みのハイパーリンク" xfId="3194" builtinId="9" hidden="1"/>
    <cellStyle name="表示済みのハイパーリンク" xfId="3196" builtinId="9" hidden="1"/>
    <cellStyle name="表示済みのハイパーリンク" xfId="3198" builtinId="9" hidden="1"/>
    <cellStyle name="表示済みのハイパーリンク" xfId="3200" builtinId="9" hidden="1"/>
    <cellStyle name="表示済みのハイパーリンク" xfId="3202" builtinId="9" hidden="1"/>
    <cellStyle name="表示済みのハイパーリンク" xfId="3204" builtinId="9" hidden="1"/>
    <cellStyle name="表示済みのハイパーリンク" xfId="3206" builtinId="9" hidden="1"/>
    <cellStyle name="表示済みのハイパーリンク" xfId="3208" builtinId="9" hidden="1"/>
    <cellStyle name="表示済みのハイパーリンク" xfId="3210" builtinId="9" hidden="1"/>
    <cellStyle name="表示済みのハイパーリンク" xfId="3212" builtinId="9" hidden="1"/>
    <cellStyle name="表示済みのハイパーリンク" xfId="3214" builtinId="9" hidden="1"/>
    <cellStyle name="表示済みのハイパーリンク" xfId="3216" builtinId="9" hidden="1"/>
    <cellStyle name="表示済みのハイパーリンク" xfId="3218" builtinId="9" hidden="1"/>
    <cellStyle name="表示済みのハイパーリンク" xfId="3220" builtinId="9" hidden="1"/>
    <cellStyle name="表示済みのハイパーリンク" xfId="3222" builtinId="9" hidden="1"/>
    <cellStyle name="表示済みのハイパーリンク" xfId="3224" builtinId="9" hidden="1"/>
    <cellStyle name="表示済みのハイパーリンク" xfId="3226" builtinId="9" hidden="1"/>
    <cellStyle name="表示済みのハイパーリンク" xfId="3228" builtinId="9" hidden="1"/>
    <cellStyle name="表示済みのハイパーリンク" xfId="3230" builtinId="9" hidden="1"/>
    <cellStyle name="表示済みのハイパーリンク" xfId="3232" builtinId="9" hidden="1"/>
    <cellStyle name="表示済みのハイパーリンク" xfId="3234" builtinId="9" hidden="1"/>
    <cellStyle name="表示済みのハイパーリンク" xfId="3236" builtinId="9" hidden="1"/>
    <cellStyle name="表示済みのハイパーリンク" xfId="3238" builtinId="9" hidden="1"/>
    <cellStyle name="表示済みのハイパーリンク" xfId="3240" builtinId="9" hidden="1"/>
    <cellStyle name="表示済みのハイパーリンク" xfId="3242" builtinId="9" hidden="1"/>
    <cellStyle name="表示済みのハイパーリンク" xfId="3244" builtinId="9" hidden="1"/>
    <cellStyle name="表示済みのハイパーリンク" xfId="3246" builtinId="9" hidden="1"/>
    <cellStyle name="表示済みのハイパーリンク" xfId="3248" builtinId="9" hidden="1"/>
    <cellStyle name="表示済みのハイパーリンク" xfId="3250" builtinId="9" hidden="1"/>
    <cellStyle name="表示済みのハイパーリンク" xfId="3252" builtinId="9" hidden="1"/>
    <cellStyle name="表示済みのハイパーリンク" xfId="3254" builtinId="9" hidden="1"/>
    <cellStyle name="表示済みのハイパーリンク" xfId="3256" builtinId="9" hidden="1"/>
    <cellStyle name="表示済みのハイパーリンク" xfId="3258" builtinId="9" hidden="1"/>
    <cellStyle name="表示済みのハイパーリンク" xfId="3260" builtinId="9" hidden="1"/>
    <cellStyle name="表示済みのハイパーリンク" xfId="3262" builtinId="9" hidden="1"/>
    <cellStyle name="表示済みのハイパーリンク" xfId="3264" builtinId="9" hidden="1"/>
    <cellStyle name="表示済みのハイパーリンク" xfId="3266" builtinId="9" hidden="1"/>
    <cellStyle name="表示済みのハイパーリンク" xfId="3268" builtinId="9" hidden="1"/>
    <cellStyle name="表示済みのハイパーリンク" xfId="3270" builtinId="9" hidden="1"/>
    <cellStyle name="表示済みのハイパーリンク" xfId="3272" builtinId="9" hidden="1"/>
    <cellStyle name="表示済みのハイパーリンク" xfId="3274" builtinId="9" hidden="1"/>
    <cellStyle name="表示済みのハイパーリンク" xfId="3276" builtinId="9" hidden="1"/>
    <cellStyle name="表示済みのハイパーリンク" xfId="3278" builtinId="9" hidden="1"/>
    <cellStyle name="表示済みのハイパーリンク" xfId="3280" builtinId="9" hidden="1"/>
    <cellStyle name="表示済みのハイパーリンク" xfId="3282" builtinId="9" hidden="1"/>
    <cellStyle name="表示済みのハイパーリンク" xfId="3284" builtinId="9" hidden="1"/>
    <cellStyle name="表示済みのハイパーリンク" xfId="3286" builtinId="9" hidden="1"/>
    <cellStyle name="表示済みのハイパーリンク" xfId="3288" builtinId="9" hidden="1"/>
    <cellStyle name="表示済みのハイパーリンク" xfId="3290" builtinId="9" hidden="1"/>
    <cellStyle name="表示済みのハイパーリンク" xfId="3292" builtinId="9" hidden="1"/>
    <cellStyle name="表示済みのハイパーリンク" xfId="3294" builtinId="9" hidden="1"/>
    <cellStyle name="表示済みのハイパーリンク" xfId="3296" builtinId="9" hidden="1"/>
    <cellStyle name="表示済みのハイパーリンク" xfId="3298" builtinId="9" hidden="1"/>
    <cellStyle name="表示済みのハイパーリンク" xfId="3300" builtinId="9" hidden="1"/>
    <cellStyle name="表示済みのハイパーリンク" xfId="3302" builtinId="9" hidden="1"/>
    <cellStyle name="表示済みのハイパーリンク" xfId="3304" builtinId="9" hidden="1"/>
    <cellStyle name="表示済みのハイパーリンク" xfId="3306" builtinId="9" hidden="1"/>
    <cellStyle name="表示済みのハイパーリンク" xfId="3308" builtinId="9" hidden="1"/>
    <cellStyle name="表示済みのハイパーリンク" xfId="3310" builtinId="9" hidden="1"/>
    <cellStyle name="表示済みのハイパーリンク" xfId="3312" builtinId="9" hidden="1"/>
    <cellStyle name="表示済みのハイパーリンク" xfId="3314" builtinId="9" hidden="1"/>
    <cellStyle name="表示済みのハイパーリンク" xfId="3316" builtinId="9" hidden="1"/>
    <cellStyle name="表示済みのハイパーリンク" xfId="3318" builtinId="9" hidden="1"/>
    <cellStyle name="表示済みのハイパーリンク" xfId="3320" builtinId="9" hidden="1"/>
    <cellStyle name="表示済みのハイパーリンク" xfId="3322" builtinId="9" hidden="1"/>
    <cellStyle name="表示済みのハイパーリンク" xfId="3324" builtinId="9" hidden="1"/>
    <cellStyle name="表示済みのハイパーリンク" xfId="3326" builtinId="9" hidden="1"/>
    <cellStyle name="表示済みのハイパーリンク" xfId="3328" builtinId="9" hidden="1"/>
    <cellStyle name="表示済みのハイパーリンク" xfId="3330" builtinId="9" hidden="1"/>
    <cellStyle name="表示済みのハイパーリンク" xfId="3332" builtinId="9" hidden="1"/>
    <cellStyle name="表示済みのハイパーリンク" xfId="3334" builtinId="9" hidden="1"/>
    <cellStyle name="表示済みのハイパーリンク" xfId="3336" builtinId="9" hidden="1"/>
    <cellStyle name="表示済みのハイパーリンク" xfId="3338" builtinId="9" hidden="1"/>
    <cellStyle name="表示済みのハイパーリンク" xfId="3340" builtinId="9" hidden="1"/>
    <cellStyle name="表示済みのハイパーリンク" xfId="3342" builtinId="9" hidden="1"/>
    <cellStyle name="表示済みのハイパーリンク" xfId="3344" builtinId="9" hidden="1"/>
    <cellStyle name="表示済みのハイパーリンク" xfId="3346" builtinId="9" hidden="1"/>
    <cellStyle name="表示済みのハイパーリンク" xfId="3348" builtinId="9" hidden="1"/>
    <cellStyle name="表示済みのハイパーリンク" xfId="3350" builtinId="9" hidden="1"/>
    <cellStyle name="表示済みのハイパーリンク" xfId="3352" builtinId="9" hidden="1"/>
    <cellStyle name="表示済みのハイパーリンク" xfId="3354" builtinId="9" hidden="1"/>
    <cellStyle name="表示済みのハイパーリンク" xfId="3356" builtinId="9" hidden="1"/>
    <cellStyle name="表示済みのハイパーリンク" xfId="3358" builtinId="9" hidden="1"/>
    <cellStyle name="表示済みのハイパーリンク" xfId="3360" builtinId="9" hidden="1"/>
    <cellStyle name="表示済みのハイパーリンク" xfId="3362" builtinId="9" hidden="1"/>
    <cellStyle name="表示済みのハイパーリンク" xfId="3364" builtinId="9" hidden="1"/>
    <cellStyle name="表示済みのハイパーリンク" xfId="3366" builtinId="9" hidden="1"/>
    <cellStyle name="表示済みのハイパーリンク" xfId="3368" builtinId="9" hidden="1"/>
    <cellStyle name="表示済みのハイパーリンク" xfId="3370" builtinId="9" hidden="1"/>
    <cellStyle name="表示済みのハイパーリンク" xfId="3372" builtinId="9" hidden="1"/>
    <cellStyle name="表示済みのハイパーリンク" xfId="3374" builtinId="9" hidden="1"/>
    <cellStyle name="表示済みのハイパーリンク" xfId="3376" builtinId="9" hidden="1"/>
    <cellStyle name="表示済みのハイパーリンク" xfId="3378" builtinId="9" hidden="1"/>
    <cellStyle name="表示済みのハイパーリンク" xfId="3380" builtinId="9" hidden="1"/>
    <cellStyle name="表示済みのハイパーリンク" xfId="3382" builtinId="9" hidden="1"/>
    <cellStyle name="表示済みのハイパーリンク" xfId="3384" builtinId="9" hidden="1"/>
    <cellStyle name="表示済みのハイパーリンク" xfId="3386" builtinId="9" hidden="1"/>
    <cellStyle name="表示済みのハイパーリンク" xfId="3388" builtinId="9" hidden="1"/>
    <cellStyle name="表示済みのハイパーリンク" xfId="3390" builtinId="9" hidden="1"/>
    <cellStyle name="表示済みのハイパーリンク" xfId="3392" builtinId="9" hidden="1"/>
    <cellStyle name="表示済みのハイパーリンク" xfId="3394" builtinId="9" hidden="1"/>
    <cellStyle name="表示済みのハイパーリンク" xfId="3396" builtinId="9" hidden="1"/>
    <cellStyle name="表示済みのハイパーリンク" xfId="3398" builtinId="9" hidden="1"/>
    <cellStyle name="表示済みのハイパーリンク" xfId="3400" builtinId="9" hidden="1"/>
    <cellStyle name="表示済みのハイパーリンク" xfId="3402" builtinId="9" hidden="1"/>
    <cellStyle name="表示済みのハイパーリンク" xfId="3404" builtinId="9" hidden="1"/>
    <cellStyle name="表示済みのハイパーリンク" xfId="3406" builtinId="9" hidden="1"/>
    <cellStyle name="表示済みのハイパーリンク" xfId="3408" builtinId="9" hidden="1"/>
    <cellStyle name="表示済みのハイパーリンク" xfId="3410" builtinId="9" hidden="1"/>
    <cellStyle name="表示済みのハイパーリンク" xfId="3412" builtinId="9" hidden="1"/>
    <cellStyle name="表示済みのハイパーリンク" xfId="3414" builtinId="9" hidden="1"/>
    <cellStyle name="表示済みのハイパーリンク" xfId="3416" builtinId="9" hidden="1"/>
    <cellStyle name="表示済みのハイパーリンク" xfId="3418" builtinId="9" hidden="1"/>
    <cellStyle name="表示済みのハイパーリンク" xfId="3420" builtinId="9" hidden="1"/>
    <cellStyle name="表示済みのハイパーリンク" xfId="3422" builtinId="9" hidden="1"/>
    <cellStyle name="表示済みのハイパーリンク" xfId="3424" builtinId="9" hidden="1"/>
    <cellStyle name="表示済みのハイパーリンク" xfId="3426" builtinId="9" hidden="1"/>
    <cellStyle name="表示済みのハイパーリンク" xfId="3428" builtinId="9" hidden="1"/>
    <cellStyle name="表示済みのハイパーリンク" xfId="3430" builtinId="9" hidden="1"/>
    <cellStyle name="表示済みのハイパーリンク" xfId="3432" builtinId="9" hidden="1"/>
    <cellStyle name="表示済みのハイパーリンク" xfId="3434" builtinId="9" hidden="1"/>
    <cellStyle name="表示済みのハイパーリンク" xfId="3436" builtinId="9" hidden="1"/>
    <cellStyle name="表示済みのハイパーリンク" xfId="3438" builtinId="9" hidden="1"/>
    <cellStyle name="表示済みのハイパーリンク" xfId="3440" builtinId="9" hidden="1"/>
    <cellStyle name="表示済みのハイパーリンク" xfId="3442" builtinId="9" hidden="1"/>
    <cellStyle name="表示済みのハイパーリンク" xfId="3444" builtinId="9" hidden="1"/>
    <cellStyle name="表示済みのハイパーリンク" xfId="3446" builtinId="9" hidden="1"/>
    <cellStyle name="表示済みのハイパーリンク" xfId="3448" builtinId="9" hidden="1"/>
    <cellStyle name="表示済みのハイパーリンク" xfId="3450" builtinId="9" hidden="1"/>
    <cellStyle name="表示済みのハイパーリンク" xfId="3452" builtinId="9" hidden="1"/>
    <cellStyle name="表示済みのハイパーリンク" xfId="3454" builtinId="9" hidden="1"/>
    <cellStyle name="表示済みのハイパーリンク" xfId="3456" builtinId="9" hidden="1"/>
    <cellStyle name="表示済みのハイパーリンク" xfId="3458" builtinId="9" hidden="1"/>
    <cellStyle name="表示済みのハイパーリンク" xfId="3460" builtinId="9" hidden="1"/>
    <cellStyle name="表示済みのハイパーリンク" xfId="3462" builtinId="9" hidden="1"/>
    <cellStyle name="表示済みのハイパーリンク" xfId="3464" builtinId="9" hidden="1"/>
    <cellStyle name="表示済みのハイパーリンク" xfId="3466" builtinId="9" hidden="1"/>
    <cellStyle name="表示済みのハイパーリンク" xfId="3468" builtinId="9" hidden="1"/>
    <cellStyle name="表示済みのハイパーリンク" xfId="3470" builtinId="9" hidden="1"/>
    <cellStyle name="表示済みのハイパーリンク" xfId="3472" builtinId="9" hidden="1"/>
    <cellStyle name="表示済みのハイパーリンク" xfId="3474" builtinId="9" hidden="1"/>
    <cellStyle name="表示済みのハイパーリンク" xfId="3476" builtinId="9" hidden="1"/>
    <cellStyle name="表示済みのハイパーリンク" xfId="3478" builtinId="9" hidden="1"/>
    <cellStyle name="表示済みのハイパーリンク" xfId="3480" builtinId="9" hidden="1"/>
    <cellStyle name="表示済みのハイパーリンク" xfId="3482" builtinId="9" hidden="1"/>
    <cellStyle name="表示済みのハイパーリンク" xfId="3484" builtinId="9" hidden="1"/>
    <cellStyle name="表示済みのハイパーリンク" xfId="3486" builtinId="9" hidden="1"/>
    <cellStyle name="表示済みのハイパーリンク" xfId="3488" builtinId="9" hidden="1"/>
    <cellStyle name="表示済みのハイパーリンク" xfId="3490" builtinId="9" hidden="1"/>
    <cellStyle name="表示済みのハイパーリンク" xfId="3492" builtinId="9" hidden="1"/>
    <cellStyle name="表示済みのハイパーリンク" xfId="3494" builtinId="9" hidden="1"/>
    <cellStyle name="表示済みのハイパーリンク" xfId="3496" builtinId="9" hidden="1"/>
    <cellStyle name="表示済みのハイパーリンク" xfId="3498" builtinId="9" hidden="1"/>
    <cellStyle name="表示済みのハイパーリンク" xfId="3500" builtinId="9" hidden="1"/>
    <cellStyle name="表示済みのハイパーリンク" xfId="3502" builtinId="9" hidden="1"/>
    <cellStyle name="表示済みのハイパーリンク" xfId="3504" builtinId="9" hidden="1"/>
    <cellStyle name="表示済みのハイパーリンク" xfId="3506" builtinId="9" hidden="1"/>
    <cellStyle name="表示済みのハイパーリンク" xfId="3508" builtinId="9" hidden="1"/>
    <cellStyle name="表示済みのハイパーリンク" xfId="3510" builtinId="9" hidden="1"/>
    <cellStyle name="表示済みのハイパーリンク" xfId="3512" builtinId="9" hidden="1"/>
    <cellStyle name="表示済みのハイパーリンク" xfId="3514" builtinId="9" hidden="1"/>
    <cellStyle name="表示済みのハイパーリンク" xfId="3516" builtinId="9" hidden="1"/>
    <cellStyle name="表示済みのハイパーリンク" xfId="3518" builtinId="9" hidden="1"/>
    <cellStyle name="表示済みのハイパーリンク" xfId="3520" builtinId="9" hidden="1"/>
    <cellStyle name="表示済みのハイパーリンク" xfId="3522" builtinId="9" hidden="1"/>
    <cellStyle name="表示済みのハイパーリンク" xfId="3524" builtinId="9" hidden="1"/>
    <cellStyle name="表示済みのハイパーリンク" xfId="3526" builtinId="9" hidden="1"/>
    <cellStyle name="表示済みのハイパーリンク" xfId="3528" builtinId="9" hidden="1"/>
    <cellStyle name="表示済みのハイパーリンク" xfId="3530" builtinId="9" hidden="1"/>
    <cellStyle name="表示済みのハイパーリンク" xfId="3532" builtinId="9" hidden="1"/>
    <cellStyle name="表示済みのハイパーリンク" xfId="3534" builtinId="9" hidden="1"/>
    <cellStyle name="表示済みのハイパーリンク" xfId="3536" builtinId="9" hidden="1"/>
    <cellStyle name="表示済みのハイパーリンク" xfId="3538" builtinId="9" hidden="1"/>
    <cellStyle name="表示済みのハイパーリンク" xfId="3540" builtinId="9" hidden="1"/>
    <cellStyle name="表示済みのハイパーリンク" xfId="3542" builtinId="9" hidden="1"/>
    <cellStyle name="表示済みのハイパーリンク" xfId="3544" builtinId="9" hidden="1"/>
    <cellStyle name="表示済みのハイパーリンク" xfId="3546" builtinId="9" hidden="1"/>
    <cellStyle name="表示済みのハイパーリンク" xfId="3548" builtinId="9" hidden="1"/>
    <cellStyle name="表示済みのハイパーリンク" xfId="3550" builtinId="9" hidden="1"/>
    <cellStyle name="表示済みのハイパーリンク" xfId="3552" builtinId="9" hidden="1"/>
    <cellStyle name="表示済みのハイパーリンク" xfId="3554" builtinId="9" hidden="1"/>
    <cellStyle name="表示済みのハイパーリンク" xfId="3556" builtinId="9" hidden="1"/>
    <cellStyle name="表示済みのハイパーリンク" xfId="3558" builtinId="9" hidden="1"/>
    <cellStyle name="表示済みのハイパーリンク" xfId="3560" builtinId="9" hidden="1"/>
    <cellStyle name="表示済みのハイパーリンク" xfId="3562" builtinId="9" hidden="1"/>
    <cellStyle name="表示済みのハイパーリンク" xfId="3564" builtinId="9" hidden="1"/>
    <cellStyle name="表示済みのハイパーリンク" xfId="3566" builtinId="9" hidden="1"/>
    <cellStyle name="表示済みのハイパーリンク" xfId="3568" builtinId="9" hidden="1"/>
    <cellStyle name="表示済みのハイパーリンク" xfId="3570" builtinId="9" hidden="1"/>
    <cellStyle name="表示済みのハイパーリンク" xfId="3572" builtinId="9" hidden="1"/>
    <cellStyle name="表示済みのハイパーリンク" xfId="3574" builtinId="9" hidden="1"/>
    <cellStyle name="表示済みのハイパーリンク" xfId="3577" builtinId="9" hidden="1"/>
    <cellStyle name="表示済みのハイパーリンク" xfId="3579" builtinId="9" hidden="1"/>
    <cellStyle name="表示済みのハイパーリンク" xfId="3581" builtinId="9" hidden="1"/>
    <cellStyle name="表示済みのハイパーリンク" xfId="3583" builtinId="9" hidden="1"/>
    <cellStyle name="表示済みのハイパーリンク" xfId="3585" builtinId="9" hidden="1"/>
    <cellStyle name="表示済みのハイパーリンク" xfId="3587" builtinId="9" hidden="1"/>
    <cellStyle name="表示済みのハイパーリンク" xfId="3589" builtinId="9" hidden="1"/>
    <cellStyle name="表示済みのハイパーリンク" xfId="3591" builtinId="9" hidden="1"/>
    <cellStyle name="表示済みのハイパーリンク" xfId="3593" builtinId="9" hidden="1"/>
    <cellStyle name="表示済みのハイパーリンク" xfId="3595" builtinId="9" hidden="1"/>
    <cellStyle name="表示済みのハイパーリンク" xfId="3597" builtinId="9" hidden="1"/>
    <cellStyle name="表示済みのハイパーリンク" xfId="3599" builtinId="9" hidden="1"/>
    <cellStyle name="表示済みのハイパーリンク" xfId="3601" builtinId="9" hidden="1"/>
    <cellStyle name="表示済みのハイパーリンク" xfId="3603" builtinId="9" hidden="1"/>
    <cellStyle name="表示済みのハイパーリンク" xfId="3605" builtinId="9" hidden="1"/>
    <cellStyle name="表示済みのハイパーリンク" xfId="3607" builtinId="9" hidden="1"/>
    <cellStyle name="表示済みのハイパーリンク" xfId="3609" builtinId="9" hidden="1"/>
    <cellStyle name="表示済みのハイパーリンク" xfId="3611" builtinId="9" hidden="1"/>
    <cellStyle name="表示済みのハイパーリンク" xfId="3613" builtinId="9" hidden="1"/>
    <cellStyle name="表示済みのハイパーリンク" xfId="3615" builtinId="9" hidden="1"/>
    <cellStyle name="表示済みのハイパーリンク" xfId="3617" builtinId="9" hidden="1"/>
    <cellStyle name="表示済みのハイパーリンク" xfId="3619" builtinId="9" hidden="1"/>
    <cellStyle name="表示済みのハイパーリンク" xfId="3621" builtinId="9" hidden="1"/>
    <cellStyle name="表示済みのハイパーリンク" xfId="3623" builtinId="9" hidden="1"/>
    <cellStyle name="表示済みのハイパーリンク" xfId="3625" builtinId="9" hidden="1"/>
    <cellStyle name="表示済みのハイパーリンク" xfId="3627" builtinId="9" hidden="1"/>
    <cellStyle name="表示済みのハイパーリンク" xfId="3629" builtinId="9" hidden="1"/>
    <cellStyle name="表示済みのハイパーリンク" xfId="3631" builtinId="9" hidden="1"/>
    <cellStyle name="表示済みのハイパーリンク" xfId="3633" builtinId="9" hidden="1"/>
    <cellStyle name="表示済みのハイパーリンク" xfId="3635" builtinId="9" hidden="1"/>
    <cellStyle name="表示済みのハイパーリンク" xfId="3637" builtinId="9" hidden="1"/>
    <cellStyle name="表示済みのハイパーリンク" xfId="3639" builtinId="9" hidden="1"/>
    <cellStyle name="表示済みのハイパーリンク" xfId="3641" builtinId="9" hidden="1"/>
    <cellStyle name="表示済みのハイパーリンク" xfId="3643" builtinId="9" hidden="1"/>
    <cellStyle name="表示済みのハイパーリンク" xfId="3645" builtinId="9" hidden="1"/>
    <cellStyle name="表示済みのハイパーリンク" xfId="3647" builtinId="9" hidden="1"/>
    <cellStyle name="表示済みのハイパーリンク" xfId="3649" builtinId="9" hidden="1"/>
    <cellStyle name="表示済みのハイパーリンク" xfId="3651" builtinId="9" hidden="1"/>
    <cellStyle name="表示済みのハイパーリンク" xfId="3653" builtinId="9" hidden="1"/>
    <cellStyle name="表示済みのハイパーリンク" xfId="3655" builtinId="9" hidden="1"/>
    <cellStyle name="表示済みのハイパーリンク" xfId="3657" builtinId="9" hidden="1"/>
    <cellStyle name="表示済みのハイパーリンク" xfId="3659" builtinId="9" hidden="1"/>
    <cellStyle name="表示済みのハイパーリンク" xfId="3661" builtinId="9" hidden="1"/>
    <cellStyle name="表示済みのハイパーリンク" xfId="3665" builtinId="9" hidden="1"/>
    <cellStyle name="表示済みのハイパーリンク" xfId="3667" builtinId="9" hidden="1"/>
    <cellStyle name="表示済みのハイパーリンク" xfId="3669" builtinId="9" hidden="1"/>
    <cellStyle name="赤字強調" xfId="69"/>
    <cellStyle name="青字強調" xfId="68"/>
  </cellStyles>
  <dxfs count="0"/>
  <tableStyles count="0" defaultTableStyle="TableStyleMedium9" defaultPivotStyle="PivotStyleMedium4"/>
  <colors>
    <indexedColors>
      <rgbColor rgb="00000000"/>
      <rgbColor rgb="00FFFFFF"/>
      <rgbColor rgb="00DD0806"/>
      <rgbColor rgb="001FB714"/>
      <rgbColor rgb="000000D4"/>
      <rgbColor rgb="00FCF305"/>
      <rgbColor rgb="00F20884"/>
      <rgbColor rgb="0000ABEA"/>
      <rgbColor rgb="00000000"/>
      <rgbColor rgb="00FFFFFF"/>
      <rgbColor rgb="00FF0000"/>
      <rgbColor rgb="0000FF00"/>
      <rgbColor rgb="000000D4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EB613D"/>
      <rgbColor rgb="00666699"/>
      <rgbColor rgb="00969696"/>
      <rgbColor rgb="00003366"/>
      <rgbColor rgb="00339966"/>
      <rgbColor rgb="00003300"/>
      <rgbColor rgb="004C19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11" Type="http://schemas.openxmlformats.org/officeDocument/2006/relationships/theme" Target="theme/theme1.xml"/><Relationship Id="rId12" Type="http://schemas.openxmlformats.org/officeDocument/2006/relationships/styles" Target="styles.xml"/><Relationship Id="rId13" Type="http://schemas.openxmlformats.org/officeDocument/2006/relationships/sharedStrings" Target="sharedStrings.xml"/><Relationship Id="rId14" Type="http://schemas.openxmlformats.org/officeDocument/2006/relationships/calcChain" Target="calcChain.xml"/><Relationship Id="rId15" Type="http://schemas.microsoft.com/office/2006/relationships/vbaProject" Target="vbaProject.bin"/><Relationship Id="rId1" Type="http://schemas.openxmlformats.org/officeDocument/2006/relationships/worksheet" Target="worksheets/sheet1.xml"/><Relationship Id="rId2" Type="http://schemas.openxmlformats.org/officeDocument/2006/relationships/worksheet" Target="worksheets/sheet2.xml"/><Relationship Id="rId3" Type="http://schemas.openxmlformats.org/officeDocument/2006/relationships/worksheet" Target="worksheets/sheet3.xml"/><Relationship Id="rId4" Type="http://schemas.openxmlformats.org/officeDocument/2006/relationships/worksheet" Target="worksheets/sheet4.xml"/><Relationship Id="rId5" Type="http://schemas.openxmlformats.org/officeDocument/2006/relationships/worksheet" Target="worksheets/sheet5.xml"/><Relationship Id="rId6" Type="http://schemas.openxmlformats.org/officeDocument/2006/relationships/worksheet" Target="worksheets/sheet6.xml"/><Relationship Id="rId7" Type="http://schemas.openxmlformats.org/officeDocument/2006/relationships/worksheet" Target="worksheets/sheet7.xml"/><Relationship Id="rId8" Type="http://schemas.openxmlformats.org/officeDocument/2006/relationships/worksheet" Target="worksheets/sheet8.xml"/><Relationship Id="rId9" Type="http://schemas.openxmlformats.org/officeDocument/2006/relationships/worksheet" Target="worksheets/sheet9.xml"/><Relationship Id="rId10" Type="http://schemas.openxmlformats.org/officeDocument/2006/relationships/externalLink" Target="externalLinks/externalLink1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CharacterMasterData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output"/>
      <sheetName val="ステータス"/>
      <sheetName val="属性"/>
      <sheetName val="characters"/>
      <sheetName val="character_type_i18n"/>
      <sheetName val="character_tribe_i18n"/>
      <sheetName val="unit_cautions"/>
    </sheetNames>
    <sheetDataSet>
      <sheetData sheetId="0"/>
      <sheetData sheetId="1"/>
      <sheetData sheetId="2"/>
      <sheetData sheetId="3">
        <row r="1">
          <cell r="A1" t="str">
            <v>character_id</v>
          </cell>
          <cell r="B1" t="str">
            <v>language</v>
          </cell>
          <cell r="C1" t="str">
            <v>name</v>
          </cell>
          <cell r="D1" t="str">
            <v>特徴</v>
          </cell>
          <cell r="E1" t="str">
            <v>勢力</v>
          </cell>
          <cell r="F1" t="str">
            <v>訴求軸</v>
          </cell>
          <cell r="G1" t="str">
            <v>性別</v>
          </cell>
          <cell r="H1" t="str">
            <v>color</v>
          </cell>
          <cell r="I1" t="str">
            <v>rare</v>
          </cell>
          <cell r="J1" t="str">
            <v>drop_label</v>
          </cell>
          <cell r="K1" t="str">
            <v>character_type_id</v>
          </cell>
          <cell r="L1" t="str">
            <v>name</v>
          </cell>
          <cell r="M1" t="str">
            <v>character_main_tribe_id</v>
          </cell>
        </row>
        <row r="2">
          <cell r="A2">
            <v>1</v>
          </cell>
          <cell r="B2" t="str">
            <v>ja</v>
          </cell>
          <cell r="C2" t="str">
            <v>ジェリー</v>
          </cell>
          <cell r="D2" t="str">
            <v>ノーマルクエスト</v>
          </cell>
          <cell r="E2" t="str">
            <v>QoH</v>
          </cell>
          <cell r="F2" t="str">
            <v>世界観</v>
          </cell>
          <cell r="G2" t="str">
            <v>不明</v>
          </cell>
          <cell r="H2" t="str">
            <v>red</v>
          </cell>
          <cell r="I2">
            <v>1</v>
          </cell>
          <cell r="J2" t="str">
            <v>Drop1T</v>
          </cell>
          <cell r="K2" t="str">
            <v>attack</v>
          </cell>
          <cell r="L2" t="str">
            <v>攻撃タイプ</v>
          </cell>
          <cell r="M2" t="str">
            <v>unknown</v>
          </cell>
        </row>
        <row r="3">
          <cell r="A3">
            <v>2</v>
          </cell>
          <cell r="B3" t="str">
            <v>ja</v>
          </cell>
          <cell r="C3" t="str">
            <v>イレギュラー・ジェリー</v>
          </cell>
          <cell r="D3" t="str">
            <v>ノーマルクエスト</v>
          </cell>
          <cell r="E3" t="str">
            <v>QoH</v>
          </cell>
          <cell r="F3" t="str">
            <v>世界観</v>
          </cell>
          <cell r="G3" t="str">
            <v>不明</v>
          </cell>
          <cell r="H3" t="str">
            <v>red</v>
          </cell>
          <cell r="I3">
            <v>2</v>
          </cell>
          <cell r="J3" t="str">
            <v>Drop1T</v>
          </cell>
          <cell r="K3" t="str">
            <v>attack</v>
          </cell>
          <cell r="L3" t="str">
            <v>攻撃タイプ</v>
          </cell>
          <cell r="M3" t="str">
            <v>unknown</v>
          </cell>
        </row>
        <row r="4">
          <cell r="A4">
            <v>3</v>
          </cell>
          <cell r="B4" t="str">
            <v>ja</v>
          </cell>
          <cell r="C4" t="str">
            <v>エージェント ジョー</v>
          </cell>
          <cell r="D4" t="str">
            <v>ノーマルクエスト</v>
          </cell>
          <cell r="E4" t="str">
            <v>QoH</v>
          </cell>
          <cell r="F4" t="str">
            <v>世界観</v>
          </cell>
          <cell r="G4" t="str">
            <v>不明</v>
          </cell>
          <cell r="H4" t="str">
            <v>green</v>
          </cell>
          <cell r="I4">
            <v>1</v>
          </cell>
          <cell r="J4" t="str">
            <v>Drop1T</v>
          </cell>
          <cell r="K4" t="str">
            <v>balance</v>
          </cell>
          <cell r="L4" t="str">
            <v>バランスタイプ</v>
          </cell>
          <cell r="M4" t="str">
            <v>unknown</v>
          </cell>
        </row>
        <row r="5">
          <cell r="A5">
            <v>4</v>
          </cell>
          <cell r="B5" t="str">
            <v>ja</v>
          </cell>
          <cell r="C5" t="str">
            <v>エースエージェント ジョー</v>
          </cell>
          <cell r="D5" t="str">
            <v>ノーマルクエスト</v>
          </cell>
          <cell r="E5" t="str">
            <v>QoH</v>
          </cell>
          <cell r="F5" t="str">
            <v>世界観</v>
          </cell>
          <cell r="G5" t="str">
            <v>不明</v>
          </cell>
          <cell r="H5" t="str">
            <v>green</v>
          </cell>
          <cell r="I5">
            <v>2</v>
          </cell>
          <cell r="J5" t="str">
            <v>Drop1T</v>
          </cell>
          <cell r="K5" t="str">
            <v>balance</v>
          </cell>
          <cell r="L5" t="str">
            <v>バランスタイプ</v>
          </cell>
          <cell r="M5" t="str">
            <v>unknown</v>
          </cell>
        </row>
        <row r="6">
          <cell r="A6">
            <v>5</v>
          </cell>
          <cell r="B6" t="str">
            <v>ja</v>
          </cell>
          <cell r="C6" t="str">
            <v>パトドッグ ポチ</v>
          </cell>
          <cell r="D6" t="str">
            <v>ノーマルクエスト</v>
          </cell>
          <cell r="E6" t="str">
            <v>QoH</v>
          </cell>
          <cell r="F6" t="str">
            <v>世界観</v>
          </cell>
          <cell r="G6" t="str">
            <v>不明</v>
          </cell>
          <cell r="H6" t="str">
            <v>blue</v>
          </cell>
          <cell r="I6">
            <v>1</v>
          </cell>
          <cell r="J6" t="str">
            <v>Drop1T</v>
          </cell>
          <cell r="K6" t="str">
            <v>heal</v>
          </cell>
          <cell r="L6" t="str">
            <v>回復タイプ</v>
          </cell>
          <cell r="M6" t="str">
            <v>unknown</v>
          </cell>
        </row>
        <row r="7">
          <cell r="A7">
            <v>6</v>
          </cell>
          <cell r="B7" t="str">
            <v>ja</v>
          </cell>
          <cell r="C7" t="str">
            <v>パトドッグリーダー ポチ</v>
          </cell>
          <cell r="D7" t="str">
            <v>ノーマルクエスト</v>
          </cell>
          <cell r="E7" t="str">
            <v>QoH</v>
          </cell>
          <cell r="F7" t="str">
            <v>世界観</v>
          </cell>
          <cell r="G7" t="str">
            <v>不明</v>
          </cell>
          <cell r="H7" t="str">
            <v>blue</v>
          </cell>
          <cell r="I7">
            <v>2</v>
          </cell>
          <cell r="J7" t="str">
            <v>Drop1T</v>
          </cell>
          <cell r="K7" t="str">
            <v>heal</v>
          </cell>
          <cell r="L7" t="str">
            <v>回復タイプ</v>
          </cell>
          <cell r="M7" t="str">
            <v>unknown</v>
          </cell>
        </row>
        <row r="8">
          <cell r="A8">
            <v>7</v>
          </cell>
          <cell r="B8" t="str">
            <v>ja</v>
          </cell>
          <cell r="C8" t="str">
            <v>エレキポット</v>
          </cell>
          <cell r="D8" t="str">
            <v>ノーマルクエスト</v>
          </cell>
          <cell r="E8" t="str">
            <v>QoH</v>
          </cell>
          <cell r="F8" t="str">
            <v>世界観</v>
          </cell>
          <cell r="G8" t="str">
            <v>不明</v>
          </cell>
          <cell r="H8" t="str">
            <v>yellow</v>
          </cell>
          <cell r="I8">
            <v>1</v>
          </cell>
          <cell r="J8" t="str">
            <v>Drop1T</v>
          </cell>
          <cell r="K8" t="str">
            <v>attack</v>
          </cell>
          <cell r="L8" t="str">
            <v>攻撃タイプ</v>
          </cell>
          <cell r="M8" t="str">
            <v>unknown</v>
          </cell>
        </row>
        <row r="9">
          <cell r="A9">
            <v>8</v>
          </cell>
          <cell r="B9" t="str">
            <v>ja</v>
          </cell>
          <cell r="C9" t="str">
            <v>ハイボルテージ エレキポット</v>
          </cell>
          <cell r="D9" t="str">
            <v>ノーマルクエスト</v>
          </cell>
          <cell r="E9" t="str">
            <v>QoH</v>
          </cell>
          <cell r="F9" t="str">
            <v>世界観</v>
          </cell>
          <cell r="G9" t="str">
            <v>不明</v>
          </cell>
          <cell r="H9" t="str">
            <v>yellow</v>
          </cell>
          <cell r="I9">
            <v>2</v>
          </cell>
          <cell r="J9" t="str">
            <v>Drop1T</v>
          </cell>
          <cell r="K9" t="str">
            <v>attack</v>
          </cell>
          <cell r="L9" t="str">
            <v>攻撃タイプ</v>
          </cell>
          <cell r="M9" t="str">
            <v>unknown</v>
          </cell>
        </row>
        <row r="10">
          <cell r="A10">
            <v>9</v>
          </cell>
          <cell r="B10" t="str">
            <v>ja</v>
          </cell>
          <cell r="C10" t="str">
            <v>ブレット</v>
          </cell>
          <cell r="D10" t="str">
            <v>ノーマルクエスト</v>
          </cell>
          <cell r="E10" t="str">
            <v>アバター</v>
          </cell>
          <cell r="F10" t="str">
            <v>世界観</v>
          </cell>
          <cell r="G10" t="str">
            <v>不明</v>
          </cell>
          <cell r="H10" t="str">
            <v>red</v>
          </cell>
          <cell r="I10">
            <v>1</v>
          </cell>
          <cell r="J10" t="str">
            <v>Drop1W</v>
          </cell>
          <cell r="K10" t="str">
            <v>attack</v>
          </cell>
          <cell r="L10" t="str">
            <v>攻撃タイプ</v>
          </cell>
          <cell r="M10" t="str">
            <v>animal</v>
          </cell>
        </row>
        <row r="11">
          <cell r="A11">
            <v>10</v>
          </cell>
          <cell r="B11" t="str">
            <v>ja</v>
          </cell>
          <cell r="C11" t="str">
            <v>燃える悪戯魂 ブレット</v>
          </cell>
          <cell r="D11" t="str">
            <v>ノーマルクエスト</v>
          </cell>
          <cell r="E11" t="str">
            <v>アバター</v>
          </cell>
          <cell r="F11" t="str">
            <v>世界観</v>
          </cell>
          <cell r="G11" t="str">
            <v>不明</v>
          </cell>
          <cell r="H11" t="str">
            <v>red</v>
          </cell>
          <cell r="I11">
            <v>2</v>
          </cell>
          <cell r="J11" t="str">
            <v>Drop1W</v>
          </cell>
          <cell r="K11" t="str">
            <v>attack</v>
          </cell>
          <cell r="L11" t="str">
            <v>攻撃タイプ</v>
          </cell>
          <cell r="M11" t="str">
            <v>animal</v>
          </cell>
        </row>
        <row r="12">
          <cell r="A12">
            <v>11</v>
          </cell>
          <cell r="B12" t="str">
            <v>ja</v>
          </cell>
          <cell r="C12" t="str">
            <v>マグリット</v>
          </cell>
          <cell r="D12" t="str">
            <v>ノーマルクエスト</v>
          </cell>
          <cell r="E12" t="str">
            <v>アバター</v>
          </cell>
          <cell r="F12" t="str">
            <v>世界観</v>
          </cell>
          <cell r="G12" t="str">
            <v>不明</v>
          </cell>
          <cell r="H12" t="str">
            <v>green</v>
          </cell>
          <cell r="I12">
            <v>1</v>
          </cell>
          <cell r="J12" t="str">
            <v>Drop1W</v>
          </cell>
          <cell r="K12" t="str">
            <v>heal</v>
          </cell>
          <cell r="L12" t="str">
            <v>回復タイプ</v>
          </cell>
          <cell r="M12" t="str">
            <v>animal</v>
          </cell>
        </row>
        <row r="13">
          <cell r="A13">
            <v>12</v>
          </cell>
          <cell r="B13" t="str">
            <v>ja</v>
          </cell>
          <cell r="C13" t="str">
            <v>癒しのグラフィティ マグリット</v>
          </cell>
          <cell r="D13" t="str">
            <v>ノーマルクエスト</v>
          </cell>
          <cell r="E13" t="str">
            <v>アバター</v>
          </cell>
          <cell r="F13" t="str">
            <v>世界観</v>
          </cell>
          <cell r="G13" t="str">
            <v>不明</v>
          </cell>
          <cell r="H13" t="str">
            <v>green</v>
          </cell>
          <cell r="I13">
            <v>2</v>
          </cell>
          <cell r="J13" t="str">
            <v>Drop1W</v>
          </cell>
          <cell r="K13" t="str">
            <v>heal</v>
          </cell>
          <cell r="L13" t="str">
            <v>回復タイプ</v>
          </cell>
          <cell r="M13" t="str">
            <v>animal</v>
          </cell>
        </row>
        <row r="14">
          <cell r="A14">
            <v>13</v>
          </cell>
          <cell r="B14" t="str">
            <v>ja</v>
          </cell>
          <cell r="C14" t="str">
            <v>ミミ</v>
          </cell>
          <cell r="D14" t="str">
            <v>ノーマルクエスト</v>
          </cell>
          <cell r="E14" t="str">
            <v>アバター</v>
          </cell>
          <cell r="F14" t="str">
            <v>世界観</v>
          </cell>
          <cell r="G14" t="str">
            <v>不明</v>
          </cell>
          <cell r="H14" t="str">
            <v>yellow</v>
          </cell>
          <cell r="I14">
            <v>1</v>
          </cell>
          <cell r="J14" t="str">
            <v>Drop1W</v>
          </cell>
          <cell r="K14" t="str">
            <v>attack</v>
          </cell>
          <cell r="L14" t="str">
            <v>攻撃タイプ</v>
          </cell>
          <cell r="M14" t="str">
            <v>animal</v>
          </cell>
        </row>
        <row r="15">
          <cell r="A15">
            <v>14</v>
          </cell>
          <cell r="B15" t="str">
            <v>ja</v>
          </cell>
          <cell r="C15" t="str">
            <v>ミミ・ザ・ガンマンキャット</v>
          </cell>
          <cell r="D15" t="str">
            <v>ノーマルクエスト</v>
          </cell>
          <cell r="E15" t="str">
            <v>アバター</v>
          </cell>
          <cell r="F15" t="str">
            <v>世界観</v>
          </cell>
          <cell r="G15" t="str">
            <v>不明</v>
          </cell>
          <cell r="H15" t="str">
            <v>yellow</v>
          </cell>
          <cell r="I15">
            <v>2</v>
          </cell>
          <cell r="J15" t="str">
            <v>Drop1W</v>
          </cell>
          <cell r="K15" t="str">
            <v>attack</v>
          </cell>
          <cell r="L15" t="str">
            <v>攻撃タイプ</v>
          </cell>
          <cell r="M15" t="str">
            <v>animal</v>
          </cell>
        </row>
        <row r="16">
          <cell r="A16">
            <v>15</v>
          </cell>
          <cell r="B16" t="str">
            <v>ja</v>
          </cell>
          <cell r="C16" t="str">
            <v>アカネ</v>
          </cell>
          <cell r="D16" t="str">
            <v>ノーマルクエスト</v>
          </cell>
          <cell r="E16" t="str">
            <v>アバター</v>
          </cell>
          <cell r="F16" t="str">
            <v>世界観</v>
          </cell>
          <cell r="G16" t="str">
            <v>女性</v>
          </cell>
          <cell r="H16" t="str">
            <v>red</v>
          </cell>
          <cell r="I16">
            <v>1</v>
          </cell>
          <cell r="J16" t="str">
            <v>Drop1W</v>
          </cell>
          <cell r="K16" t="str">
            <v>balance</v>
          </cell>
          <cell r="L16" t="str">
            <v>バランスタイプ</v>
          </cell>
          <cell r="M16" t="str">
            <v>human</v>
          </cell>
        </row>
        <row r="17">
          <cell r="A17">
            <v>16</v>
          </cell>
          <cell r="B17" t="str">
            <v>ja</v>
          </cell>
          <cell r="C17" t="str">
            <v>炎戦少女 アカネ</v>
          </cell>
          <cell r="D17" t="str">
            <v>ノーマルクエスト</v>
          </cell>
          <cell r="E17" t="str">
            <v>アバター</v>
          </cell>
          <cell r="F17" t="str">
            <v>世界観</v>
          </cell>
          <cell r="G17" t="str">
            <v>女性</v>
          </cell>
          <cell r="H17" t="str">
            <v>red</v>
          </cell>
          <cell r="I17">
            <v>2</v>
          </cell>
          <cell r="J17" t="str">
            <v>Drop1W</v>
          </cell>
          <cell r="K17" t="str">
            <v>balance</v>
          </cell>
          <cell r="L17" t="str">
            <v>バランスタイプ</v>
          </cell>
          <cell r="M17" t="str">
            <v>human</v>
          </cell>
        </row>
        <row r="18">
          <cell r="A18">
            <v>17</v>
          </cell>
          <cell r="B18" t="str">
            <v>ja</v>
          </cell>
          <cell r="C18" t="str">
            <v>リム</v>
          </cell>
          <cell r="D18" t="str">
            <v>ノーマルクエスト</v>
          </cell>
          <cell r="E18" t="str">
            <v>アバター</v>
          </cell>
          <cell r="F18" t="str">
            <v>世界観</v>
          </cell>
          <cell r="G18" t="str">
            <v>女性</v>
          </cell>
          <cell r="H18" t="str">
            <v>blue</v>
          </cell>
          <cell r="I18">
            <v>1</v>
          </cell>
          <cell r="J18" t="str">
            <v>Drop1W</v>
          </cell>
          <cell r="K18" t="str">
            <v>balance</v>
          </cell>
          <cell r="L18" t="str">
            <v>バランスタイプ</v>
          </cell>
          <cell r="M18" t="str">
            <v>human</v>
          </cell>
        </row>
        <row r="19">
          <cell r="A19">
            <v>18</v>
          </cell>
          <cell r="B19" t="str">
            <v>ja</v>
          </cell>
          <cell r="C19" t="str">
            <v>戦闘案内人 リム</v>
          </cell>
          <cell r="D19" t="str">
            <v>ノーマルクエスト</v>
          </cell>
          <cell r="E19" t="str">
            <v>アバター</v>
          </cell>
          <cell r="F19" t="str">
            <v>世界観</v>
          </cell>
          <cell r="G19" t="str">
            <v>女性</v>
          </cell>
          <cell r="H19" t="str">
            <v>blue</v>
          </cell>
          <cell r="I19">
            <v>2</v>
          </cell>
          <cell r="J19" t="str">
            <v>Drop1W</v>
          </cell>
          <cell r="K19" t="str">
            <v>balance</v>
          </cell>
          <cell r="L19" t="str">
            <v>バランスタイプ</v>
          </cell>
          <cell r="M19" t="str">
            <v>human</v>
          </cell>
        </row>
        <row r="20">
          <cell r="A20">
            <v>19</v>
          </cell>
          <cell r="B20" t="str">
            <v>ja</v>
          </cell>
          <cell r="C20" t="str">
            <v>ティンク</v>
          </cell>
          <cell r="D20" t="str">
            <v>ノーマルクエスト</v>
          </cell>
          <cell r="E20" t="str">
            <v>アバター</v>
          </cell>
          <cell r="F20" t="str">
            <v>世界観</v>
          </cell>
          <cell r="G20" t="str">
            <v>女性</v>
          </cell>
          <cell r="H20" t="str">
            <v>yellow</v>
          </cell>
          <cell r="I20">
            <v>1</v>
          </cell>
          <cell r="J20" t="str">
            <v>Drop1W</v>
          </cell>
          <cell r="K20" t="str">
            <v>balance</v>
          </cell>
          <cell r="L20" t="str">
            <v>バランスタイプ</v>
          </cell>
          <cell r="M20" t="str">
            <v>human</v>
          </cell>
        </row>
        <row r="21">
          <cell r="A21">
            <v>20</v>
          </cell>
          <cell r="B21" t="str">
            <v>ja</v>
          </cell>
          <cell r="C21" t="str">
            <v>電子妖精 ティンク</v>
          </cell>
          <cell r="D21" t="str">
            <v>ノーマルクエスト</v>
          </cell>
          <cell r="E21" t="str">
            <v>アバター</v>
          </cell>
          <cell r="F21" t="str">
            <v>世界観</v>
          </cell>
          <cell r="G21" t="str">
            <v>女性</v>
          </cell>
          <cell r="H21" t="str">
            <v>yellow</v>
          </cell>
          <cell r="I21">
            <v>2</v>
          </cell>
          <cell r="J21" t="str">
            <v>Drop1W</v>
          </cell>
          <cell r="K21" t="str">
            <v>balance</v>
          </cell>
          <cell r="L21" t="str">
            <v>バランスタイプ</v>
          </cell>
          <cell r="M21" t="str">
            <v>human</v>
          </cell>
        </row>
        <row r="22">
          <cell r="A22">
            <v>21</v>
          </cell>
          <cell r="B22" t="str">
            <v>ja</v>
          </cell>
          <cell r="C22" t="str">
            <v>ヴェロキー</v>
          </cell>
          <cell r="D22" t="str">
            <v>ノーマルクエスト</v>
          </cell>
          <cell r="E22" t="str">
            <v>アバター</v>
          </cell>
          <cell r="F22" t="str">
            <v>世界観</v>
          </cell>
          <cell r="G22" t="str">
            <v>不明</v>
          </cell>
          <cell r="H22" t="str">
            <v>red</v>
          </cell>
          <cell r="I22">
            <v>1</v>
          </cell>
          <cell r="J22" t="str">
            <v>Drop1N</v>
          </cell>
          <cell r="K22" t="str">
            <v>hp</v>
          </cell>
          <cell r="L22" t="str">
            <v>体力タイプ</v>
          </cell>
          <cell r="M22" t="str">
            <v>dragon</v>
          </cell>
        </row>
        <row r="23">
          <cell r="A23">
            <v>22</v>
          </cell>
          <cell r="B23" t="str">
            <v>ja</v>
          </cell>
          <cell r="C23" t="str">
            <v>突然変異ヴェロキー</v>
          </cell>
          <cell r="D23" t="str">
            <v>ノーマルクエスト</v>
          </cell>
          <cell r="E23" t="str">
            <v>アバター</v>
          </cell>
          <cell r="F23" t="str">
            <v>世界観</v>
          </cell>
          <cell r="G23" t="str">
            <v>不明</v>
          </cell>
          <cell r="H23" t="str">
            <v>red</v>
          </cell>
          <cell r="I23">
            <v>2</v>
          </cell>
          <cell r="J23" t="str">
            <v>Drop1N</v>
          </cell>
          <cell r="K23" t="str">
            <v>hp</v>
          </cell>
          <cell r="L23" t="str">
            <v>体力タイプ</v>
          </cell>
          <cell r="M23" t="str">
            <v>dragon</v>
          </cell>
        </row>
        <row r="24">
          <cell r="A24">
            <v>23</v>
          </cell>
          <cell r="B24" t="str">
            <v>ja</v>
          </cell>
          <cell r="C24" t="str">
            <v>ミール</v>
          </cell>
          <cell r="D24" t="str">
            <v>ノーマルクエスト</v>
          </cell>
          <cell r="E24" t="str">
            <v>アバター</v>
          </cell>
          <cell r="F24" t="str">
            <v>世界観</v>
          </cell>
          <cell r="G24" t="str">
            <v>不明</v>
          </cell>
          <cell r="H24" t="str">
            <v>green</v>
          </cell>
          <cell r="I24">
            <v>1</v>
          </cell>
          <cell r="J24" t="str">
            <v>Drop1N</v>
          </cell>
          <cell r="K24" t="str">
            <v>hp</v>
          </cell>
          <cell r="L24" t="str">
            <v>体力タイプ</v>
          </cell>
          <cell r="M24" t="str">
            <v>animal</v>
          </cell>
        </row>
        <row r="25">
          <cell r="A25">
            <v>24</v>
          </cell>
          <cell r="B25" t="str">
            <v>ja</v>
          </cell>
          <cell r="C25" t="str">
            <v>天翔のミール</v>
          </cell>
          <cell r="D25" t="str">
            <v>ノーマルクエスト</v>
          </cell>
          <cell r="E25" t="str">
            <v>アバター</v>
          </cell>
          <cell r="F25" t="str">
            <v>世界観</v>
          </cell>
          <cell r="G25" t="str">
            <v>不明</v>
          </cell>
          <cell r="H25" t="str">
            <v>green</v>
          </cell>
          <cell r="I25">
            <v>2</v>
          </cell>
          <cell r="J25" t="str">
            <v>Drop1N</v>
          </cell>
          <cell r="K25" t="str">
            <v>hp</v>
          </cell>
          <cell r="L25" t="str">
            <v>体力タイプ</v>
          </cell>
          <cell r="M25" t="str">
            <v>animal</v>
          </cell>
        </row>
        <row r="26">
          <cell r="A26">
            <v>25</v>
          </cell>
          <cell r="B26" t="str">
            <v>ja</v>
          </cell>
          <cell r="C26" t="str">
            <v>ハチ</v>
          </cell>
          <cell r="D26" t="str">
            <v>ノーマルクエスト</v>
          </cell>
          <cell r="E26" t="str">
            <v>アバター</v>
          </cell>
          <cell r="F26" t="str">
            <v>世界観</v>
          </cell>
          <cell r="G26" t="str">
            <v>不明</v>
          </cell>
          <cell r="H26" t="str">
            <v>blue</v>
          </cell>
          <cell r="I26">
            <v>1</v>
          </cell>
          <cell r="J26" t="str">
            <v>Drop1N</v>
          </cell>
          <cell r="K26" t="str">
            <v>hp</v>
          </cell>
          <cell r="L26" t="str">
            <v>体力タイプ</v>
          </cell>
          <cell r="M26" t="str">
            <v>animal</v>
          </cell>
        </row>
        <row r="27">
          <cell r="A27">
            <v>26</v>
          </cell>
          <cell r="B27" t="str">
            <v>ja</v>
          </cell>
          <cell r="C27" t="str">
            <v>勇犬 ハチ</v>
          </cell>
          <cell r="D27" t="str">
            <v>ノーマルクエスト</v>
          </cell>
          <cell r="E27" t="str">
            <v>アバター</v>
          </cell>
          <cell r="F27" t="str">
            <v>世界観</v>
          </cell>
          <cell r="G27" t="str">
            <v>不明</v>
          </cell>
          <cell r="H27" t="str">
            <v>blue</v>
          </cell>
          <cell r="I27">
            <v>2</v>
          </cell>
          <cell r="J27" t="str">
            <v>Drop1N</v>
          </cell>
          <cell r="K27" t="str">
            <v>hp</v>
          </cell>
          <cell r="L27" t="str">
            <v>体力タイプ</v>
          </cell>
          <cell r="M27" t="str">
            <v>animal</v>
          </cell>
        </row>
        <row r="28">
          <cell r="A28">
            <v>27</v>
          </cell>
          <cell r="B28" t="str">
            <v>ja</v>
          </cell>
          <cell r="C28" t="str">
            <v>パトライン</v>
          </cell>
          <cell r="D28" t="str">
            <v>ノーマルクエスト</v>
          </cell>
          <cell r="E28" t="str">
            <v>アバター</v>
          </cell>
          <cell r="F28" t="str">
            <v>世界観</v>
          </cell>
          <cell r="G28" t="str">
            <v>不明</v>
          </cell>
          <cell r="H28" t="str">
            <v>green</v>
          </cell>
          <cell r="I28">
            <v>1</v>
          </cell>
          <cell r="J28" t="str">
            <v>Drop1N</v>
          </cell>
          <cell r="K28" t="str">
            <v>heal</v>
          </cell>
          <cell r="L28" t="str">
            <v>回復タイプ</v>
          </cell>
          <cell r="M28" t="str">
            <v>machine</v>
          </cell>
        </row>
        <row r="29">
          <cell r="A29">
            <v>28</v>
          </cell>
          <cell r="B29" t="str">
            <v>ja</v>
          </cell>
          <cell r="C29" t="str">
            <v>現場急行 パトラインカスタム</v>
          </cell>
          <cell r="D29" t="str">
            <v>ノーマルクエスト</v>
          </cell>
          <cell r="E29" t="str">
            <v>アバター</v>
          </cell>
          <cell r="F29" t="str">
            <v>世界観</v>
          </cell>
          <cell r="G29" t="str">
            <v>不明</v>
          </cell>
          <cell r="H29" t="str">
            <v>green</v>
          </cell>
          <cell r="I29">
            <v>2</v>
          </cell>
          <cell r="J29" t="str">
            <v>Drop1N</v>
          </cell>
          <cell r="K29" t="str">
            <v>heal</v>
          </cell>
          <cell r="L29" t="str">
            <v>回復タイプ</v>
          </cell>
          <cell r="M29" t="str">
            <v>machine</v>
          </cell>
        </row>
        <row r="30">
          <cell r="A30">
            <v>29</v>
          </cell>
          <cell r="B30" t="str">
            <v>ja</v>
          </cell>
          <cell r="C30" t="str">
            <v>スケアクロウ</v>
          </cell>
          <cell r="D30" t="str">
            <v>ノーマルクエスト</v>
          </cell>
          <cell r="E30" t="str">
            <v>アバター</v>
          </cell>
          <cell r="F30" t="str">
            <v>世界観</v>
          </cell>
          <cell r="G30" t="str">
            <v>不明</v>
          </cell>
          <cell r="H30" t="str">
            <v>blue</v>
          </cell>
          <cell r="I30">
            <v>1</v>
          </cell>
          <cell r="J30" t="str">
            <v>Drop1N</v>
          </cell>
          <cell r="K30" t="str">
            <v>heal</v>
          </cell>
          <cell r="L30" t="str">
            <v>回復タイプ</v>
          </cell>
          <cell r="M30" t="str">
            <v>machine</v>
          </cell>
        </row>
        <row r="31">
          <cell r="A31">
            <v>30</v>
          </cell>
          <cell r="B31" t="str">
            <v>ja</v>
          </cell>
          <cell r="C31" t="str">
            <v>護衛機人 スケアクロウ</v>
          </cell>
          <cell r="D31" t="str">
            <v>ノーマルクエスト</v>
          </cell>
          <cell r="E31" t="str">
            <v>アバター</v>
          </cell>
          <cell r="F31" t="str">
            <v>世界観</v>
          </cell>
          <cell r="G31" t="str">
            <v>不明</v>
          </cell>
          <cell r="H31" t="str">
            <v>blue</v>
          </cell>
          <cell r="I31">
            <v>2</v>
          </cell>
          <cell r="J31" t="str">
            <v>Drop1N</v>
          </cell>
          <cell r="K31" t="str">
            <v>heal</v>
          </cell>
          <cell r="L31" t="str">
            <v>回復タイプ</v>
          </cell>
          <cell r="M31" t="str">
            <v>machine</v>
          </cell>
        </row>
        <row r="32">
          <cell r="A32">
            <v>31</v>
          </cell>
          <cell r="B32" t="str">
            <v>ja</v>
          </cell>
          <cell r="C32" t="str">
            <v>マービー</v>
          </cell>
          <cell r="D32" t="str">
            <v>ノーマルクエスト</v>
          </cell>
          <cell r="E32" t="str">
            <v>アバター</v>
          </cell>
          <cell r="F32" t="str">
            <v>世界観</v>
          </cell>
          <cell r="G32" t="str">
            <v>不明</v>
          </cell>
          <cell r="H32" t="str">
            <v>yellow</v>
          </cell>
          <cell r="I32">
            <v>1</v>
          </cell>
          <cell r="J32" t="str">
            <v>Drop1N</v>
          </cell>
          <cell r="K32" t="str">
            <v>technical</v>
          </cell>
          <cell r="L32" t="str">
            <v>テクニカルタイプ</v>
          </cell>
          <cell r="M32" t="str">
            <v>machine</v>
          </cell>
        </row>
        <row r="33">
          <cell r="A33">
            <v>32</v>
          </cell>
          <cell r="B33" t="str">
            <v>ja</v>
          </cell>
          <cell r="C33" t="str">
            <v>沈黙のジャミング マービー</v>
          </cell>
          <cell r="D33" t="str">
            <v>ノーマルクエスト</v>
          </cell>
          <cell r="E33" t="str">
            <v>アバター</v>
          </cell>
          <cell r="F33" t="str">
            <v>世界観</v>
          </cell>
          <cell r="G33" t="str">
            <v>不明</v>
          </cell>
          <cell r="H33" t="str">
            <v>yellow</v>
          </cell>
          <cell r="I33">
            <v>2</v>
          </cell>
          <cell r="J33" t="str">
            <v>Drop1N</v>
          </cell>
          <cell r="K33" t="str">
            <v>technical</v>
          </cell>
          <cell r="L33" t="str">
            <v>テクニカルタイプ</v>
          </cell>
          <cell r="M33" t="str">
            <v>machine</v>
          </cell>
        </row>
        <row r="34">
          <cell r="A34">
            <v>33</v>
          </cell>
          <cell r="B34" t="str">
            <v>ja</v>
          </cell>
          <cell r="C34" t="str">
            <v>ゴクウ</v>
          </cell>
          <cell r="D34" t="str">
            <v>ノーマルクエスト</v>
          </cell>
          <cell r="E34" t="str">
            <v>アバター</v>
          </cell>
          <cell r="F34" t="str">
            <v>世界観</v>
          </cell>
          <cell r="G34" t="str">
            <v>男性</v>
          </cell>
          <cell r="H34" t="str">
            <v>red</v>
          </cell>
          <cell r="I34">
            <v>2</v>
          </cell>
          <cell r="J34" t="str">
            <v>Drop1S</v>
          </cell>
          <cell r="K34" t="str">
            <v>attack</v>
          </cell>
          <cell r="L34" t="str">
            <v>攻撃タイプ</v>
          </cell>
          <cell r="M34" t="str">
            <v>animal</v>
          </cell>
        </row>
        <row r="35">
          <cell r="A35">
            <v>34</v>
          </cell>
          <cell r="B35" t="str">
            <v>ja</v>
          </cell>
          <cell r="C35" t="str">
            <v>斉天大聖 ゴクウ</v>
          </cell>
          <cell r="D35" t="str">
            <v>ノーマルクエスト</v>
          </cell>
          <cell r="E35" t="str">
            <v>アバター</v>
          </cell>
          <cell r="F35" t="str">
            <v>世界観</v>
          </cell>
          <cell r="G35" t="str">
            <v>男性</v>
          </cell>
          <cell r="H35" t="str">
            <v>red</v>
          </cell>
          <cell r="I35">
            <v>3</v>
          </cell>
          <cell r="J35" t="str">
            <v>Drop1S</v>
          </cell>
          <cell r="K35" t="str">
            <v>attack</v>
          </cell>
          <cell r="L35" t="str">
            <v>攻撃タイプ</v>
          </cell>
          <cell r="M35" t="str">
            <v>animal</v>
          </cell>
        </row>
        <row r="36">
          <cell r="A36">
            <v>35</v>
          </cell>
          <cell r="B36" t="str">
            <v>ja</v>
          </cell>
          <cell r="C36" t="str">
            <v>F2</v>
          </cell>
          <cell r="D36" t="str">
            <v>ノーマルクエスト</v>
          </cell>
          <cell r="E36" t="str">
            <v>アバター</v>
          </cell>
          <cell r="F36" t="str">
            <v>世界観</v>
          </cell>
          <cell r="G36" t="str">
            <v>不明</v>
          </cell>
          <cell r="H36" t="str">
            <v>green</v>
          </cell>
          <cell r="I36">
            <v>2</v>
          </cell>
          <cell r="J36" t="str">
            <v>Drop1S</v>
          </cell>
          <cell r="K36" t="str">
            <v>technical</v>
          </cell>
          <cell r="L36" t="str">
            <v>テクニカルタイプ</v>
          </cell>
          <cell r="M36" t="str">
            <v>machine</v>
          </cell>
        </row>
        <row r="37">
          <cell r="A37">
            <v>36</v>
          </cell>
          <cell r="B37" t="str">
            <v>ja</v>
          </cell>
          <cell r="C37" t="str">
            <v>オフィス追尾型移動地雷F3</v>
          </cell>
          <cell r="D37" t="str">
            <v>ノーマルクエスト</v>
          </cell>
          <cell r="E37" t="str">
            <v>アバター</v>
          </cell>
          <cell r="F37" t="str">
            <v>世界観</v>
          </cell>
          <cell r="G37" t="str">
            <v>不明</v>
          </cell>
          <cell r="H37" t="str">
            <v>green</v>
          </cell>
          <cell r="I37">
            <v>3</v>
          </cell>
          <cell r="J37" t="str">
            <v>Drop1S</v>
          </cell>
          <cell r="K37" t="str">
            <v>technical</v>
          </cell>
          <cell r="L37" t="str">
            <v>テクニカルタイプ</v>
          </cell>
          <cell r="M37" t="str">
            <v>machine</v>
          </cell>
        </row>
        <row r="38">
          <cell r="A38">
            <v>37</v>
          </cell>
          <cell r="B38" t="str">
            <v>ja</v>
          </cell>
          <cell r="C38" t="str">
            <v>ガイル</v>
          </cell>
          <cell r="D38" t="str">
            <v>ノーマルクエスト</v>
          </cell>
          <cell r="E38" t="str">
            <v>アバター</v>
          </cell>
          <cell r="F38" t="str">
            <v>世界観</v>
          </cell>
          <cell r="G38" t="str">
            <v>男性</v>
          </cell>
          <cell r="H38" t="str">
            <v>blue</v>
          </cell>
          <cell r="I38">
            <v>2</v>
          </cell>
          <cell r="J38" t="str">
            <v>Drop1S</v>
          </cell>
          <cell r="K38" t="str">
            <v>balance</v>
          </cell>
          <cell r="L38" t="str">
            <v>バランスタイプ</v>
          </cell>
          <cell r="M38" t="str">
            <v>animal</v>
          </cell>
        </row>
        <row r="39">
          <cell r="A39">
            <v>38</v>
          </cell>
          <cell r="B39" t="str">
            <v>ja</v>
          </cell>
          <cell r="C39" t="str">
            <v>通話対応型 ガイル</v>
          </cell>
          <cell r="D39" t="str">
            <v>ノーマルクエスト</v>
          </cell>
          <cell r="E39" t="str">
            <v>アバター</v>
          </cell>
          <cell r="F39" t="str">
            <v>世界観</v>
          </cell>
          <cell r="G39" t="str">
            <v>男性</v>
          </cell>
          <cell r="H39" t="str">
            <v>blue</v>
          </cell>
          <cell r="I39">
            <v>3</v>
          </cell>
          <cell r="J39" t="str">
            <v>Drop1S</v>
          </cell>
          <cell r="K39" t="str">
            <v>balance</v>
          </cell>
          <cell r="L39" t="str">
            <v>バランスタイプ</v>
          </cell>
          <cell r="M39" t="str">
            <v>animal</v>
          </cell>
        </row>
        <row r="40">
          <cell r="A40">
            <v>39</v>
          </cell>
          <cell r="B40" t="str">
            <v>ja</v>
          </cell>
          <cell r="C40" t="str">
            <v>マーロン</v>
          </cell>
          <cell r="D40" t="str">
            <v>ノーマルクエスト</v>
          </cell>
          <cell r="E40" t="str">
            <v>アバター</v>
          </cell>
          <cell r="F40" t="str">
            <v>世界観</v>
          </cell>
          <cell r="G40" t="str">
            <v>男性</v>
          </cell>
          <cell r="H40" t="str">
            <v>yellow</v>
          </cell>
          <cell r="I40">
            <v>2</v>
          </cell>
          <cell r="J40" t="str">
            <v>Drop1S</v>
          </cell>
          <cell r="K40" t="str">
            <v>balance</v>
          </cell>
          <cell r="L40" t="str">
            <v>バランスタイプ</v>
          </cell>
          <cell r="M40" t="str">
            <v>human</v>
          </cell>
        </row>
        <row r="41">
          <cell r="A41">
            <v>40</v>
          </cell>
          <cell r="B41" t="str">
            <v>ja</v>
          </cell>
          <cell r="C41" t="str">
            <v>デジタルマジシャン マーロン</v>
          </cell>
          <cell r="D41" t="str">
            <v>ノーマルクエスト</v>
          </cell>
          <cell r="E41" t="str">
            <v>アバター</v>
          </cell>
          <cell r="F41" t="str">
            <v>世界観</v>
          </cell>
          <cell r="G41" t="str">
            <v>男性</v>
          </cell>
          <cell r="H41" t="str">
            <v>yellow</v>
          </cell>
          <cell r="I41">
            <v>3</v>
          </cell>
          <cell r="J41" t="str">
            <v>Drop1S</v>
          </cell>
          <cell r="K41" t="str">
            <v>balance</v>
          </cell>
          <cell r="L41" t="str">
            <v>バランスタイプ</v>
          </cell>
          <cell r="M41" t="str">
            <v>human</v>
          </cell>
        </row>
        <row r="42">
          <cell r="A42">
            <v>41</v>
          </cell>
          <cell r="B42" t="str">
            <v>ja</v>
          </cell>
          <cell r="C42" t="str">
            <v>ヒュウガ</v>
          </cell>
          <cell r="D42" t="str">
            <v>ノーマルクエスト</v>
          </cell>
          <cell r="E42" t="str">
            <v>アバター</v>
          </cell>
          <cell r="F42" t="str">
            <v>世界観</v>
          </cell>
          <cell r="G42" t="str">
            <v>不明</v>
          </cell>
          <cell r="H42" t="str">
            <v>red</v>
          </cell>
          <cell r="I42">
            <v>2</v>
          </cell>
          <cell r="J42" t="str">
            <v>Drop1N</v>
          </cell>
          <cell r="K42" t="str">
            <v>attack</v>
          </cell>
          <cell r="L42" t="str">
            <v>攻撃タイプ</v>
          </cell>
          <cell r="M42" t="str">
            <v>dragon</v>
          </cell>
        </row>
        <row r="43">
          <cell r="A43">
            <v>42</v>
          </cell>
          <cell r="B43" t="str">
            <v>ja</v>
          </cell>
          <cell r="C43" t="str">
            <v>燃えゆる吐息 ヒュウガ</v>
          </cell>
          <cell r="D43" t="str">
            <v>ノーマルクエスト</v>
          </cell>
          <cell r="E43" t="str">
            <v>アバター</v>
          </cell>
          <cell r="F43" t="str">
            <v>世界観</v>
          </cell>
          <cell r="G43" t="str">
            <v>不明</v>
          </cell>
          <cell r="H43" t="str">
            <v>red</v>
          </cell>
          <cell r="I43">
            <v>3</v>
          </cell>
          <cell r="J43" t="str">
            <v>Drop1N</v>
          </cell>
          <cell r="K43" t="str">
            <v>attack</v>
          </cell>
          <cell r="L43" t="str">
            <v>攻撃タイプ</v>
          </cell>
          <cell r="M43" t="str">
            <v>dragon</v>
          </cell>
        </row>
        <row r="44">
          <cell r="A44">
            <v>43</v>
          </cell>
          <cell r="B44" t="str">
            <v>ja</v>
          </cell>
          <cell r="C44" t="str">
            <v>ムゥ</v>
          </cell>
          <cell r="D44" t="str">
            <v>ノーマルクエスト</v>
          </cell>
          <cell r="E44" t="str">
            <v>アバター</v>
          </cell>
          <cell r="F44" t="str">
            <v>世界観</v>
          </cell>
          <cell r="G44" t="str">
            <v>女性</v>
          </cell>
          <cell r="H44" t="str">
            <v>green</v>
          </cell>
          <cell r="I44">
            <v>2</v>
          </cell>
          <cell r="J44" t="str">
            <v>Drop1N</v>
          </cell>
          <cell r="K44" t="str">
            <v>technical</v>
          </cell>
          <cell r="L44" t="str">
            <v>テクニカルタイプ</v>
          </cell>
          <cell r="M44" t="str">
            <v>dragon</v>
          </cell>
        </row>
        <row r="45">
          <cell r="A45">
            <v>44</v>
          </cell>
          <cell r="B45" t="str">
            <v>ja</v>
          </cell>
          <cell r="C45" t="str">
            <v>遠い星からやってきたムゥ</v>
          </cell>
          <cell r="D45" t="str">
            <v>ノーマルクエスト</v>
          </cell>
          <cell r="E45" t="str">
            <v>アバター</v>
          </cell>
          <cell r="F45" t="str">
            <v>世界観</v>
          </cell>
          <cell r="G45" t="str">
            <v>女性</v>
          </cell>
          <cell r="H45" t="str">
            <v>green</v>
          </cell>
          <cell r="I45">
            <v>3</v>
          </cell>
          <cell r="J45" t="str">
            <v>Drop1N</v>
          </cell>
          <cell r="K45" t="str">
            <v>technical</v>
          </cell>
          <cell r="L45" t="str">
            <v>テクニカルタイプ</v>
          </cell>
          <cell r="M45" t="str">
            <v>dragon</v>
          </cell>
        </row>
        <row r="46">
          <cell r="A46">
            <v>45</v>
          </cell>
          <cell r="B46" t="str">
            <v>ja</v>
          </cell>
          <cell r="C46" t="str">
            <v>ショウイン</v>
          </cell>
          <cell r="D46" t="str">
            <v>ノーマルクエスト</v>
          </cell>
          <cell r="E46" t="str">
            <v>アバター</v>
          </cell>
          <cell r="F46" t="str">
            <v>世界観</v>
          </cell>
          <cell r="G46" t="str">
            <v>不明</v>
          </cell>
          <cell r="H46" t="str">
            <v>blue</v>
          </cell>
          <cell r="I46">
            <v>2</v>
          </cell>
          <cell r="J46" t="str">
            <v>Drop1N</v>
          </cell>
          <cell r="K46" t="str">
            <v>hp</v>
          </cell>
          <cell r="L46" t="str">
            <v>体力タイプ</v>
          </cell>
          <cell r="M46" t="str">
            <v>animal</v>
          </cell>
        </row>
        <row r="47">
          <cell r="A47">
            <v>46</v>
          </cell>
          <cell r="B47" t="str">
            <v>ja</v>
          </cell>
          <cell r="C47" t="str">
            <v>微笑みの筆跡 ショウイン</v>
          </cell>
          <cell r="D47" t="str">
            <v>ノーマルクエスト</v>
          </cell>
          <cell r="E47" t="str">
            <v>アバター</v>
          </cell>
          <cell r="F47" t="str">
            <v>世界観</v>
          </cell>
          <cell r="G47" t="str">
            <v>不明</v>
          </cell>
          <cell r="H47" t="str">
            <v>blue</v>
          </cell>
          <cell r="I47">
            <v>3</v>
          </cell>
          <cell r="J47" t="str">
            <v>Drop1N</v>
          </cell>
          <cell r="K47" t="str">
            <v>hp</v>
          </cell>
          <cell r="L47" t="str">
            <v>体力タイプ</v>
          </cell>
          <cell r="M47" t="str">
            <v>animal</v>
          </cell>
        </row>
        <row r="48">
          <cell r="A48">
            <v>47</v>
          </cell>
          <cell r="B48" t="str">
            <v>ja</v>
          </cell>
          <cell r="C48" t="str">
            <v>ヒロ</v>
          </cell>
          <cell r="D48" t="str">
            <v>ノーマルクエスト</v>
          </cell>
          <cell r="E48" t="str">
            <v>アバター</v>
          </cell>
          <cell r="F48" t="str">
            <v>世界観</v>
          </cell>
          <cell r="G48" t="str">
            <v>不明</v>
          </cell>
          <cell r="H48" t="str">
            <v>yellow</v>
          </cell>
          <cell r="I48">
            <v>2</v>
          </cell>
          <cell r="J48" t="str">
            <v>Drop1N</v>
          </cell>
          <cell r="K48" t="str">
            <v>attack</v>
          </cell>
          <cell r="L48" t="str">
            <v>攻撃タイプ</v>
          </cell>
          <cell r="M48" t="str">
            <v>animal</v>
          </cell>
        </row>
        <row r="49">
          <cell r="A49">
            <v>48</v>
          </cell>
          <cell r="B49" t="str">
            <v>ja</v>
          </cell>
          <cell r="C49" t="str">
            <v>サンダーステップのヒロ</v>
          </cell>
          <cell r="D49" t="str">
            <v>ノーマルクエスト</v>
          </cell>
          <cell r="E49" t="str">
            <v>アバター</v>
          </cell>
          <cell r="F49" t="str">
            <v>世界観</v>
          </cell>
          <cell r="G49" t="str">
            <v>不明</v>
          </cell>
          <cell r="H49" t="str">
            <v>yellow</v>
          </cell>
          <cell r="I49">
            <v>3</v>
          </cell>
          <cell r="J49" t="str">
            <v>Drop1N</v>
          </cell>
          <cell r="K49" t="str">
            <v>attack</v>
          </cell>
          <cell r="L49" t="str">
            <v>攻撃タイプ</v>
          </cell>
          <cell r="M49" t="str">
            <v>animal</v>
          </cell>
        </row>
        <row r="50">
          <cell r="A50">
            <v>49</v>
          </cell>
          <cell r="B50" t="str">
            <v>ja</v>
          </cell>
          <cell r="C50" t="str">
            <v>ヨシタカ</v>
          </cell>
          <cell r="D50" t="str">
            <v>ノーマルクエスト</v>
          </cell>
          <cell r="E50" t="str">
            <v>アバター</v>
          </cell>
          <cell r="F50" t="str">
            <v>世界観</v>
          </cell>
          <cell r="G50" t="str">
            <v>男性</v>
          </cell>
          <cell r="H50" t="str">
            <v>red</v>
          </cell>
          <cell r="I50">
            <v>2</v>
          </cell>
          <cell r="J50" t="str">
            <v>Drop1N</v>
          </cell>
          <cell r="K50" t="str">
            <v>hp</v>
          </cell>
          <cell r="L50" t="str">
            <v>体力タイプ</v>
          </cell>
          <cell r="M50" t="str">
            <v>human</v>
          </cell>
        </row>
        <row r="51">
          <cell r="A51">
            <v>50</v>
          </cell>
          <cell r="B51" t="str">
            <v>ja</v>
          </cell>
          <cell r="C51" t="str">
            <v>炎銃のレジスタンス ヨシタカ</v>
          </cell>
          <cell r="D51" t="str">
            <v>ノーマルクエスト</v>
          </cell>
          <cell r="E51" t="str">
            <v>アバター</v>
          </cell>
          <cell r="F51" t="str">
            <v>世界観</v>
          </cell>
          <cell r="G51" t="str">
            <v>男性</v>
          </cell>
          <cell r="H51" t="str">
            <v>red</v>
          </cell>
          <cell r="I51">
            <v>3</v>
          </cell>
          <cell r="J51" t="str">
            <v>Drop1N</v>
          </cell>
          <cell r="K51" t="str">
            <v>hp</v>
          </cell>
          <cell r="L51" t="str">
            <v>体力タイプ</v>
          </cell>
          <cell r="M51" t="str">
            <v>human</v>
          </cell>
        </row>
        <row r="52">
          <cell r="A52">
            <v>51</v>
          </cell>
          <cell r="B52" t="str">
            <v>ja</v>
          </cell>
          <cell r="C52" t="str">
            <v>マイ</v>
          </cell>
          <cell r="D52" t="str">
            <v>ノーマルクエスト</v>
          </cell>
          <cell r="E52" t="str">
            <v>アバター</v>
          </cell>
          <cell r="F52" t="str">
            <v>世界観</v>
          </cell>
          <cell r="G52" t="str">
            <v>女性</v>
          </cell>
          <cell r="H52" t="str">
            <v>green</v>
          </cell>
          <cell r="I52">
            <v>2</v>
          </cell>
          <cell r="J52" t="str">
            <v>Drop1N</v>
          </cell>
          <cell r="K52" t="str">
            <v>attack</v>
          </cell>
          <cell r="L52" t="str">
            <v>攻撃タイプ</v>
          </cell>
          <cell r="M52" t="str">
            <v>human</v>
          </cell>
        </row>
        <row r="53">
          <cell r="A53">
            <v>52</v>
          </cell>
          <cell r="B53" t="str">
            <v>ja</v>
          </cell>
          <cell r="C53" t="str">
            <v>翠槍のレジスタンス マイ</v>
          </cell>
          <cell r="D53" t="str">
            <v>ノーマルクエスト</v>
          </cell>
          <cell r="E53" t="str">
            <v>アバター</v>
          </cell>
          <cell r="F53" t="str">
            <v>世界観</v>
          </cell>
          <cell r="G53" t="str">
            <v>女性</v>
          </cell>
          <cell r="H53" t="str">
            <v>green</v>
          </cell>
          <cell r="I53">
            <v>3</v>
          </cell>
          <cell r="J53" t="str">
            <v>Drop1N</v>
          </cell>
          <cell r="K53" t="str">
            <v>attack</v>
          </cell>
          <cell r="L53" t="str">
            <v>攻撃タイプ</v>
          </cell>
          <cell r="M53" t="str">
            <v>human</v>
          </cell>
        </row>
        <row r="54">
          <cell r="A54">
            <v>53</v>
          </cell>
          <cell r="B54" t="str">
            <v>ja</v>
          </cell>
          <cell r="C54" t="str">
            <v>ケンジ</v>
          </cell>
          <cell r="D54" t="str">
            <v>ノーマルクエスト</v>
          </cell>
          <cell r="E54" t="str">
            <v>アバター</v>
          </cell>
          <cell r="F54" t="str">
            <v>世界観</v>
          </cell>
          <cell r="G54" t="str">
            <v>男性</v>
          </cell>
          <cell r="H54" t="str">
            <v>blue</v>
          </cell>
          <cell r="I54">
            <v>2</v>
          </cell>
          <cell r="J54" t="str">
            <v>Drop1N</v>
          </cell>
          <cell r="K54" t="str">
            <v>balance</v>
          </cell>
          <cell r="L54" t="str">
            <v>バランスタイプ</v>
          </cell>
          <cell r="M54" t="str">
            <v>human</v>
          </cell>
        </row>
        <row r="55">
          <cell r="A55">
            <v>54</v>
          </cell>
          <cell r="B55" t="str">
            <v>ja</v>
          </cell>
          <cell r="C55" t="str">
            <v>蒼斬のレジスタンス ケンジ</v>
          </cell>
          <cell r="D55" t="str">
            <v>ノーマルクエスト</v>
          </cell>
          <cell r="E55" t="str">
            <v>アバター</v>
          </cell>
          <cell r="F55" t="str">
            <v>世界観</v>
          </cell>
          <cell r="G55" t="str">
            <v>男性</v>
          </cell>
          <cell r="H55" t="str">
            <v>blue</v>
          </cell>
          <cell r="I55">
            <v>3</v>
          </cell>
          <cell r="J55" t="str">
            <v>Drop1N</v>
          </cell>
          <cell r="K55" t="str">
            <v>balance</v>
          </cell>
          <cell r="L55" t="str">
            <v>バランスタイプ</v>
          </cell>
          <cell r="M55" t="str">
            <v>human</v>
          </cell>
        </row>
        <row r="56">
          <cell r="A56">
            <v>55</v>
          </cell>
          <cell r="B56" t="str">
            <v>ja</v>
          </cell>
          <cell r="C56" t="str">
            <v>マミコ</v>
          </cell>
          <cell r="D56" t="str">
            <v>ノーマルクエスト</v>
          </cell>
          <cell r="E56" t="str">
            <v>アバター</v>
          </cell>
          <cell r="F56" t="str">
            <v>世界観</v>
          </cell>
          <cell r="G56" t="str">
            <v>女性</v>
          </cell>
          <cell r="H56" t="str">
            <v>yellow</v>
          </cell>
          <cell r="I56">
            <v>2</v>
          </cell>
          <cell r="J56" t="str">
            <v>Drop1N</v>
          </cell>
          <cell r="K56" t="str">
            <v>balance</v>
          </cell>
          <cell r="L56" t="str">
            <v>バランスタイプ</v>
          </cell>
          <cell r="M56" t="str">
            <v>human</v>
          </cell>
        </row>
        <row r="57">
          <cell r="A57">
            <v>56</v>
          </cell>
          <cell r="B57" t="str">
            <v>ja</v>
          </cell>
          <cell r="C57" t="str">
            <v>黄槌のレジスタンス マミコ</v>
          </cell>
          <cell r="D57" t="str">
            <v>ノーマルクエスト</v>
          </cell>
          <cell r="E57" t="str">
            <v>アバター</v>
          </cell>
          <cell r="F57" t="str">
            <v>世界観</v>
          </cell>
          <cell r="G57" t="str">
            <v>女性</v>
          </cell>
          <cell r="H57" t="str">
            <v>yellow</v>
          </cell>
          <cell r="I57">
            <v>3</v>
          </cell>
          <cell r="J57" t="str">
            <v>Drop1N</v>
          </cell>
          <cell r="K57" t="str">
            <v>balance</v>
          </cell>
          <cell r="L57" t="str">
            <v>バランスタイプ</v>
          </cell>
          <cell r="M57" t="str">
            <v>human</v>
          </cell>
        </row>
        <row r="58">
          <cell r="A58">
            <v>57</v>
          </cell>
          <cell r="B58" t="str">
            <v>ja</v>
          </cell>
          <cell r="C58" t="str">
            <v>チェン・リー</v>
          </cell>
          <cell r="D58" t="str">
            <v>ノーマルクエスト</v>
          </cell>
          <cell r="E58" t="str">
            <v>アバター</v>
          </cell>
          <cell r="F58" t="str">
            <v>世界観</v>
          </cell>
          <cell r="G58" t="str">
            <v>男性</v>
          </cell>
          <cell r="H58" t="str">
            <v>red</v>
          </cell>
          <cell r="I58">
            <v>2</v>
          </cell>
          <cell r="J58" t="str">
            <v>Drop1N</v>
          </cell>
          <cell r="K58" t="str">
            <v>balance</v>
          </cell>
          <cell r="L58" t="str">
            <v>バランスタイプ</v>
          </cell>
          <cell r="M58" t="str">
            <v>animal</v>
          </cell>
        </row>
        <row r="59">
          <cell r="A59">
            <v>58</v>
          </cell>
          <cell r="B59" t="str">
            <v>ja</v>
          </cell>
          <cell r="C59" t="str">
            <v>ドランクマスター チェン・リー</v>
          </cell>
          <cell r="D59" t="str">
            <v>ノーマルクエスト</v>
          </cell>
          <cell r="E59" t="str">
            <v>アバター</v>
          </cell>
          <cell r="F59" t="str">
            <v>世界観</v>
          </cell>
          <cell r="G59" t="str">
            <v>男性</v>
          </cell>
          <cell r="H59" t="str">
            <v>red</v>
          </cell>
          <cell r="I59">
            <v>3</v>
          </cell>
          <cell r="J59" t="str">
            <v>Drop1N</v>
          </cell>
          <cell r="K59" t="str">
            <v>balance</v>
          </cell>
          <cell r="L59" t="str">
            <v>バランスタイプ</v>
          </cell>
          <cell r="M59" t="str">
            <v>animal</v>
          </cell>
        </row>
        <row r="60">
          <cell r="A60">
            <v>59</v>
          </cell>
          <cell r="B60" t="str">
            <v>ja</v>
          </cell>
          <cell r="C60" t="str">
            <v>マーチ</v>
          </cell>
          <cell r="D60" t="str">
            <v>ノーマルクエスト</v>
          </cell>
          <cell r="E60" t="str">
            <v>アバター</v>
          </cell>
          <cell r="F60" t="str">
            <v>世界観</v>
          </cell>
          <cell r="G60" t="str">
            <v>男性</v>
          </cell>
          <cell r="H60" t="str">
            <v>green</v>
          </cell>
          <cell r="I60">
            <v>2</v>
          </cell>
          <cell r="J60" t="str">
            <v>Drop1N</v>
          </cell>
          <cell r="K60" t="str">
            <v>heal</v>
          </cell>
          <cell r="L60" t="str">
            <v>回復タイプ</v>
          </cell>
          <cell r="M60" t="str">
            <v>animal</v>
          </cell>
        </row>
        <row r="61">
          <cell r="A61">
            <v>60</v>
          </cell>
          <cell r="B61" t="str">
            <v>ja</v>
          </cell>
          <cell r="C61" t="str">
            <v>おでかけマーチ</v>
          </cell>
          <cell r="D61" t="str">
            <v>ノーマルクエスト</v>
          </cell>
          <cell r="E61" t="str">
            <v>アバター</v>
          </cell>
          <cell r="F61" t="str">
            <v>世界観</v>
          </cell>
          <cell r="G61" t="str">
            <v>男性</v>
          </cell>
          <cell r="H61" t="str">
            <v>green</v>
          </cell>
          <cell r="I61">
            <v>3</v>
          </cell>
          <cell r="J61" t="str">
            <v>Drop1N</v>
          </cell>
          <cell r="K61" t="str">
            <v>heal</v>
          </cell>
          <cell r="L61" t="str">
            <v>回復タイプ</v>
          </cell>
          <cell r="M61" t="str">
            <v>animal</v>
          </cell>
        </row>
        <row r="62">
          <cell r="A62">
            <v>61</v>
          </cell>
          <cell r="B62" t="str">
            <v>ja</v>
          </cell>
          <cell r="C62" t="str">
            <v>クロウ</v>
          </cell>
          <cell r="D62" t="str">
            <v>ノーマルクエスト</v>
          </cell>
          <cell r="E62" t="str">
            <v>アバター</v>
          </cell>
          <cell r="F62" t="str">
            <v>世界観</v>
          </cell>
          <cell r="G62" t="str">
            <v>男性</v>
          </cell>
          <cell r="H62" t="str">
            <v>blue</v>
          </cell>
          <cell r="I62">
            <v>2</v>
          </cell>
          <cell r="J62" t="str">
            <v>Drop1N</v>
          </cell>
          <cell r="K62" t="str">
            <v>heal</v>
          </cell>
          <cell r="L62" t="str">
            <v>回復タイプ</v>
          </cell>
          <cell r="M62" t="str">
            <v>animal</v>
          </cell>
        </row>
        <row r="63">
          <cell r="A63">
            <v>62</v>
          </cell>
          <cell r="B63" t="str">
            <v>ja</v>
          </cell>
          <cell r="C63" t="str">
            <v>脈動旋律のクロウ</v>
          </cell>
          <cell r="D63" t="str">
            <v>ノーマルクエスト</v>
          </cell>
          <cell r="E63" t="str">
            <v>アバター</v>
          </cell>
          <cell r="F63" t="str">
            <v>世界観</v>
          </cell>
          <cell r="G63" t="str">
            <v>男性</v>
          </cell>
          <cell r="H63" t="str">
            <v>blue</v>
          </cell>
          <cell r="I63">
            <v>3</v>
          </cell>
          <cell r="J63" t="str">
            <v>Drop1N</v>
          </cell>
          <cell r="K63" t="str">
            <v>heal</v>
          </cell>
          <cell r="L63" t="str">
            <v>回復タイプ</v>
          </cell>
          <cell r="M63" t="str">
            <v>animal</v>
          </cell>
        </row>
        <row r="64">
          <cell r="A64">
            <v>63</v>
          </cell>
          <cell r="B64" t="str">
            <v>ja</v>
          </cell>
          <cell r="C64" t="str">
            <v>トニー</v>
          </cell>
          <cell r="D64" t="str">
            <v>ノーマルクエスト</v>
          </cell>
          <cell r="E64" t="str">
            <v>アバター</v>
          </cell>
          <cell r="F64" t="str">
            <v>世界観</v>
          </cell>
          <cell r="G64" t="str">
            <v>男性</v>
          </cell>
          <cell r="H64" t="str">
            <v>yellow</v>
          </cell>
          <cell r="I64">
            <v>2</v>
          </cell>
          <cell r="J64" t="str">
            <v>Drop1N</v>
          </cell>
          <cell r="K64" t="str">
            <v>technical</v>
          </cell>
          <cell r="L64" t="str">
            <v>テクニカルタイプ</v>
          </cell>
          <cell r="M64" t="str">
            <v>animal</v>
          </cell>
        </row>
        <row r="65">
          <cell r="A65">
            <v>64</v>
          </cell>
          <cell r="B65" t="str">
            <v>ja</v>
          </cell>
          <cell r="C65" t="str">
            <v>フレイムエッジ トニー</v>
          </cell>
          <cell r="D65" t="str">
            <v>ノーマルクエスト</v>
          </cell>
          <cell r="E65" t="str">
            <v>アバター</v>
          </cell>
          <cell r="F65" t="str">
            <v>世界観</v>
          </cell>
          <cell r="G65" t="str">
            <v>男性</v>
          </cell>
          <cell r="H65" t="str">
            <v>yellow</v>
          </cell>
          <cell r="I65">
            <v>3</v>
          </cell>
          <cell r="J65" t="str">
            <v>Drop1N</v>
          </cell>
          <cell r="K65" t="str">
            <v>technical</v>
          </cell>
          <cell r="L65" t="str">
            <v>テクニカルタイプ</v>
          </cell>
          <cell r="M65" t="str">
            <v>animal</v>
          </cell>
        </row>
        <row r="66">
          <cell r="A66">
            <v>65</v>
          </cell>
          <cell r="B66" t="str">
            <v>ja</v>
          </cell>
          <cell r="C66" t="str">
            <v>ファイアフォックス</v>
          </cell>
          <cell r="D66" t="str">
            <v>ノーマルクエスト</v>
          </cell>
          <cell r="E66" t="str">
            <v>アバター</v>
          </cell>
          <cell r="F66" t="str">
            <v>世界観</v>
          </cell>
          <cell r="G66" t="str">
            <v>男性</v>
          </cell>
          <cell r="H66" t="str">
            <v>red</v>
          </cell>
          <cell r="I66">
            <v>2</v>
          </cell>
          <cell r="J66" t="str">
            <v>Drop1S</v>
          </cell>
          <cell r="K66" t="str">
            <v>attack</v>
          </cell>
          <cell r="L66" t="str">
            <v>攻撃タイプ</v>
          </cell>
          <cell r="M66" t="str">
            <v>animal</v>
          </cell>
        </row>
        <row r="67">
          <cell r="A67">
            <v>66</v>
          </cell>
          <cell r="B67" t="str">
            <v>ja</v>
          </cell>
          <cell r="C67" t="str">
            <v>探索者 ファイアフォックス</v>
          </cell>
          <cell r="D67" t="str">
            <v>ノーマルクエスト</v>
          </cell>
          <cell r="E67" t="str">
            <v>アバター</v>
          </cell>
          <cell r="F67" t="str">
            <v>世界観</v>
          </cell>
          <cell r="G67" t="str">
            <v>男性</v>
          </cell>
          <cell r="H67" t="str">
            <v>red</v>
          </cell>
          <cell r="I67">
            <v>3</v>
          </cell>
          <cell r="J67" t="str">
            <v>Drop1S</v>
          </cell>
          <cell r="K67" t="str">
            <v>attack</v>
          </cell>
          <cell r="L67" t="str">
            <v>攻撃タイプ</v>
          </cell>
          <cell r="M67" t="str">
            <v>animal</v>
          </cell>
        </row>
        <row r="68">
          <cell r="A68">
            <v>67</v>
          </cell>
          <cell r="B68" t="str">
            <v>ja</v>
          </cell>
          <cell r="C68" t="str">
            <v>双炎の探索者 ファイアフォックス</v>
          </cell>
          <cell r="D68" t="str">
            <v>ノーマルクエスト</v>
          </cell>
          <cell r="E68" t="str">
            <v>アバター</v>
          </cell>
          <cell r="F68" t="str">
            <v>世界観</v>
          </cell>
          <cell r="G68" t="str">
            <v>男性</v>
          </cell>
          <cell r="H68" t="str">
            <v>red</v>
          </cell>
          <cell r="I68">
            <v>4</v>
          </cell>
          <cell r="J68" t="str">
            <v>Drop1S</v>
          </cell>
          <cell r="K68" t="str">
            <v>attack</v>
          </cell>
          <cell r="L68" t="str">
            <v>攻撃タイプ</v>
          </cell>
          <cell r="M68" t="str">
            <v>animal</v>
          </cell>
        </row>
        <row r="69">
          <cell r="A69">
            <v>68</v>
          </cell>
          <cell r="B69" t="str">
            <v>ja</v>
          </cell>
          <cell r="C69" t="str">
            <v>ストール</v>
          </cell>
          <cell r="D69" t="str">
            <v>ノーマルクエスト</v>
          </cell>
          <cell r="E69" t="str">
            <v>アバター</v>
          </cell>
          <cell r="F69" t="str">
            <v>世界観</v>
          </cell>
          <cell r="G69" t="str">
            <v>男性</v>
          </cell>
          <cell r="H69" t="str">
            <v>green</v>
          </cell>
          <cell r="I69">
            <v>2</v>
          </cell>
          <cell r="J69" t="str">
            <v>Drop1S</v>
          </cell>
          <cell r="K69" t="str">
            <v>hp</v>
          </cell>
          <cell r="L69" t="str">
            <v>体力タイプ</v>
          </cell>
          <cell r="M69" t="str">
            <v>animal</v>
          </cell>
        </row>
        <row r="70">
          <cell r="A70">
            <v>69</v>
          </cell>
          <cell r="B70" t="str">
            <v>ja</v>
          </cell>
          <cell r="C70" t="str">
            <v>思想家 ストール</v>
          </cell>
          <cell r="D70" t="str">
            <v>ノーマルクエスト</v>
          </cell>
          <cell r="E70" t="str">
            <v>アバター</v>
          </cell>
          <cell r="F70" t="str">
            <v>世界観</v>
          </cell>
          <cell r="G70" t="str">
            <v>男性</v>
          </cell>
          <cell r="H70" t="str">
            <v>green</v>
          </cell>
          <cell r="I70">
            <v>3</v>
          </cell>
          <cell r="J70" t="str">
            <v>Drop1S</v>
          </cell>
          <cell r="K70" t="str">
            <v>hp</v>
          </cell>
          <cell r="L70" t="str">
            <v>体力タイプ</v>
          </cell>
          <cell r="M70" t="str">
            <v>animal</v>
          </cell>
        </row>
        <row r="71">
          <cell r="A71">
            <v>70</v>
          </cell>
          <cell r="B71" t="str">
            <v>ja</v>
          </cell>
          <cell r="C71" t="str">
            <v>自由の思想家 ストール</v>
          </cell>
          <cell r="D71" t="str">
            <v>ノーマルクエスト</v>
          </cell>
          <cell r="E71" t="str">
            <v>アバター</v>
          </cell>
          <cell r="F71" t="str">
            <v>世界観</v>
          </cell>
          <cell r="G71" t="str">
            <v>男性</v>
          </cell>
          <cell r="H71" t="str">
            <v>green</v>
          </cell>
          <cell r="I71">
            <v>4</v>
          </cell>
          <cell r="J71" t="str">
            <v>Drop1S</v>
          </cell>
          <cell r="K71" t="str">
            <v>hp</v>
          </cell>
          <cell r="L71" t="str">
            <v>体力タイプ</v>
          </cell>
          <cell r="M71" t="str">
            <v>animal</v>
          </cell>
        </row>
        <row r="72">
          <cell r="A72">
            <v>71</v>
          </cell>
          <cell r="B72" t="str">
            <v>ja</v>
          </cell>
          <cell r="C72" t="str">
            <v>ダックス</v>
          </cell>
          <cell r="D72" t="str">
            <v>ノーマルクエスト</v>
          </cell>
          <cell r="E72" t="str">
            <v>アバター</v>
          </cell>
          <cell r="F72" t="str">
            <v>世界観</v>
          </cell>
          <cell r="G72" t="str">
            <v>男性</v>
          </cell>
          <cell r="H72" t="str">
            <v>blue</v>
          </cell>
          <cell r="I72">
            <v>2</v>
          </cell>
          <cell r="J72" t="str">
            <v>Drop1S</v>
          </cell>
          <cell r="K72" t="str">
            <v>balance</v>
          </cell>
          <cell r="L72" t="str">
            <v>バランスタイプ</v>
          </cell>
          <cell r="M72" t="str">
            <v>animal</v>
          </cell>
        </row>
        <row r="73">
          <cell r="A73">
            <v>72</v>
          </cell>
          <cell r="B73" t="str">
            <v>ja</v>
          </cell>
          <cell r="C73" t="str">
            <v>探求者 ダックス</v>
          </cell>
          <cell r="D73" t="str">
            <v>ノーマルクエスト</v>
          </cell>
          <cell r="E73" t="str">
            <v>アバター</v>
          </cell>
          <cell r="F73" t="str">
            <v>世界観</v>
          </cell>
          <cell r="G73" t="str">
            <v>男性</v>
          </cell>
          <cell r="H73" t="str">
            <v>blue</v>
          </cell>
          <cell r="I73">
            <v>3</v>
          </cell>
          <cell r="J73" t="str">
            <v>Drop1S</v>
          </cell>
          <cell r="K73" t="str">
            <v>balance</v>
          </cell>
          <cell r="L73" t="str">
            <v>バランスタイプ</v>
          </cell>
          <cell r="M73" t="str">
            <v>animal</v>
          </cell>
        </row>
        <row r="74">
          <cell r="A74">
            <v>73</v>
          </cell>
          <cell r="B74" t="str">
            <v>ja</v>
          </cell>
          <cell r="C74" t="str">
            <v>自由の探求者 ダックス</v>
          </cell>
          <cell r="D74" t="str">
            <v>ノーマルクエスト</v>
          </cell>
          <cell r="E74" t="str">
            <v>アバター</v>
          </cell>
          <cell r="F74" t="str">
            <v>世界観</v>
          </cell>
          <cell r="G74" t="str">
            <v>男性</v>
          </cell>
          <cell r="H74" t="str">
            <v>blue</v>
          </cell>
          <cell r="I74">
            <v>4</v>
          </cell>
          <cell r="J74" t="str">
            <v>Drop1S</v>
          </cell>
          <cell r="K74" t="str">
            <v>balance</v>
          </cell>
          <cell r="L74" t="str">
            <v>バランスタイプ</v>
          </cell>
          <cell r="M74" t="str">
            <v>animal</v>
          </cell>
        </row>
        <row r="75">
          <cell r="A75">
            <v>74</v>
          </cell>
          <cell r="B75" t="str">
            <v>ja</v>
          </cell>
          <cell r="C75" t="str">
            <v>サンダーバード</v>
          </cell>
          <cell r="D75" t="str">
            <v>ノーマルクエスト</v>
          </cell>
          <cell r="E75" t="str">
            <v>アバター</v>
          </cell>
          <cell r="F75" t="str">
            <v>世界観</v>
          </cell>
          <cell r="G75" t="str">
            <v>男性</v>
          </cell>
          <cell r="H75" t="str">
            <v>yellow</v>
          </cell>
          <cell r="I75">
            <v>2</v>
          </cell>
          <cell r="J75" t="str">
            <v>Drop1S</v>
          </cell>
          <cell r="K75" t="str">
            <v>attack</v>
          </cell>
          <cell r="L75" t="str">
            <v>攻撃タイプ</v>
          </cell>
          <cell r="M75" t="str">
            <v>animal</v>
          </cell>
        </row>
        <row r="76">
          <cell r="A76">
            <v>75</v>
          </cell>
          <cell r="B76" t="str">
            <v>ja</v>
          </cell>
          <cell r="C76" t="str">
            <v>伝令者 サンダーバード</v>
          </cell>
          <cell r="D76" t="str">
            <v>ノーマルクエスト</v>
          </cell>
          <cell r="E76" t="str">
            <v>アバター</v>
          </cell>
          <cell r="F76" t="str">
            <v>世界観</v>
          </cell>
          <cell r="G76" t="str">
            <v>男性</v>
          </cell>
          <cell r="H76" t="str">
            <v>yellow</v>
          </cell>
          <cell r="I76">
            <v>3</v>
          </cell>
          <cell r="J76" t="str">
            <v>Drop1S</v>
          </cell>
          <cell r="K76" t="str">
            <v>attack</v>
          </cell>
          <cell r="L76" t="str">
            <v>攻撃タイプ</v>
          </cell>
          <cell r="M76" t="str">
            <v>animal</v>
          </cell>
        </row>
        <row r="77">
          <cell r="A77">
            <v>76</v>
          </cell>
          <cell r="B77" t="str">
            <v>ja</v>
          </cell>
          <cell r="C77" t="str">
            <v>閃速の伝令者 サンダーバード</v>
          </cell>
          <cell r="D77" t="str">
            <v>ノーマルクエスト</v>
          </cell>
          <cell r="E77" t="str">
            <v>アバター</v>
          </cell>
          <cell r="F77" t="str">
            <v>世界観</v>
          </cell>
          <cell r="G77" t="str">
            <v>男性</v>
          </cell>
          <cell r="H77" t="str">
            <v>yellow</v>
          </cell>
          <cell r="I77">
            <v>4</v>
          </cell>
          <cell r="J77" t="str">
            <v>Drop1S</v>
          </cell>
          <cell r="K77" t="str">
            <v>attack</v>
          </cell>
          <cell r="L77" t="str">
            <v>攻撃タイプ</v>
          </cell>
          <cell r="M77" t="str">
            <v>animal</v>
          </cell>
        </row>
        <row r="78">
          <cell r="A78">
            <v>77</v>
          </cell>
          <cell r="B78" t="str">
            <v>ja</v>
          </cell>
          <cell r="C78" t="str">
            <v>潜伏型メリッサ</v>
          </cell>
          <cell r="D78" t="str">
            <v>イベント:ウィルス01</v>
          </cell>
          <cell r="E78" t="str">
            <v>ウィルス</v>
          </cell>
          <cell r="F78" t="str">
            <v>世界観</v>
          </cell>
          <cell r="G78" t="str">
            <v>女性</v>
          </cell>
          <cell r="H78" t="str">
            <v>red</v>
          </cell>
          <cell r="I78">
            <v>3</v>
          </cell>
          <cell r="J78" t="str">
            <v>DropWizW</v>
          </cell>
          <cell r="K78" t="str">
            <v>technical</v>
          </cell>
          <cell r="L78" t="str">
            <v>テクニカルタイプ</v>
          </cell>
          <cell r="M78" t="str">
            <v>unknown</v>
          </cell>
        </row>
        <row r="79">
          <cell r="A79">
            <v>78</v>
          </cell>
          <cell r="B79" t="str">
            <v>ja</v>
          </cell>
          <cell r="C79" t="str">
            <v>擬態潜伏型メリッサ2.0</v>
          </cell>
          <cell r="D79" t="str">
            <v>イベント:ウィルス01</v>
          </cell>
          <cell r="E79" t="str">
            <v>ウィルス</v>
          </cell>
          <cell r="F79" t="str">
            <v>世界観</v>
          </cell>
          <cell r="G79" t="str">
            <v>女性</v>
          </cell>
          <cell r="H79" t="str">
            <v>red</v>
          </cell>
          <cell r="I79">
            <v>4</v>
          </cell>
          <cell r="J79" t="str">
            <v>DropWizW</v>
          </cell>
          <cell r="K79" t="str">
            <v>technical</v>
          </cell>
          <cell r="L79" t="str">
            <v>テクニカルタイプ</v>
          </cell>
          <cell r="M79" t="str">
            <v>unknown</v>
          </cell>
        </row>
        <row r="80">
          <cell r="A80">
            <v>79</v>
          </cell>
          <cell r="B80" t="str">
            <v>ja</v>
          </cell>
          <cell r="C80" t="str">
            <v>ハッピー100</v>
          </cell>
          <cell r="D80" t="str">
            <v>イベント:ウィルス01</v>
          </cell>
          <cell r="E80" t="str">
            <v>ウィルス</v>
          </cell>
          <cell r="F80" t="str">
            <v>世界観</v>
          </cell>
          <cell r="G80" t="str">
            <v>女性</v>
          </cell>
          <cell r="H80" t="str">
            <v>green</v>
          </cell>
          <cell r="I80">
            <v>3</v>
          </cell>
          <cell r="J80" t="str">
            <v>DropWizW</v>
          </cell>
          <cell r="K80" t="str">
            <v>heal</v>
          </cell>
          <cell r="L80" t="str">
            <v>回復タイプ</v>
          </cell>
          <cell r="M80" t="str">
            <v>unknown</v>
          </cell>
        </row>
        <row r="81">
          <cell r="A81">
            <v>80</v>
          </cell>
          <cell r="B81" t="str">
            <v>ja</v>
          </cell>
          <cell r="C81" t="str">
            <v>ハッピー101</v>
          </cell>
          <cell r="D81" t="str">
            <v>イベント:ウィルス01</v>
          </cell>
          <cell r="E81" t="str">
            <v>ウィルス</v>
          </cell>
          <cell r="F81" t="str">
            <v>世界観</v>
          </cell>
          <cell r="G81" t="str">
            <v>女性</v>
          </cell>
          <cell r="H81" t="str">
            <v>green</v>
          </cell>
          <cell r="I81">
            <v>4</v>
          </cell>
          <cell r="J81" t="str">
            <v>DropWizW</v>
          </cell>
          <cell r="K81" t="str">
            <v>heal</v>
          </cell>
          <cell r="L81" t="str">
            <v>回復タイプ</v>
          </cell>
          <cell r="M81" t="str">
            <v>unknown</v>
          </cell>
        </row>
        <row r="82">
          <cell r="A82">
            <v>81</v>
          </cell>
          <cell r="B82" t="str">
            <v>ja</v>
          </cell>
          <cell r="C82" t="str">
            <v>増幅型モリス</v>
          </cell>
          <cell r="D82" t="str">
            <v>イベント:ウィルス01</v>
          </cell>
          <cell r="E82" t="str">
            <v>ウィルス</v>
          </cell>
          <cell r="F82" t="str">
            <v>世界観</v>
          </cell>
          <cell r="G82" t="str">
            <v>男性</v>
          </cell>
          <cell r="H82" t="str">
            <v>blue</v>
          </cell>
          <cell r="I82">
            <v>3</v>
          </cell>
          <cell r="J82" t="str">
            <v>DropWizW</v>
          </cell>
          <cell r="K82" t="str">
            <v>balance</v>
          </cell>
          <cell r="L82" t="str">
            <v>バランスタイプ</v>
          </cell>
          <cell r="M82" t="str">
            <v>unknown</v>
          </cell>
        </row>
        <row r="83">
          <cell r="A83">
            <v>82</v>
          </cell>
          <cell r="B83" t="str">
            <v>ja</v>
          </cell>
          <cell r="C83" t="str">
            <v>偽装増幅型G・モリス</v>
          </cell>
          <cell r="D83" t="str">
            <v>イベント:ウィルス01</v>
          </cell>
          <cell r="E83" t="str">
            <v>ウィルス</v>
          </cell>
          <cell r="F83" t="str">
            <v>世界観</v>
          </cell>
          <cell r="G83" t="str">
            <v>男性</v>
          </cell>
          <cell r="H83" t="str">
            <v>blue</v>
          </cell>
          <cell r="I83">
            <v>4</v>
          </cell>
          <cell r="J83" t="str">
            <v>DropWizW</v>
          </cell>
          <cell r="K83" t="str">
            <v>balance</v>
          </cell>
          <cell r="L83" t="str">
            <v>バランスタイプ</v>
          </cell>
          <cell r="M83" t="str">
            <v>unknown</v>
          </cell>
        </row>
        <row r="84">
          <cell r="A84">
            <v>83</v>
          </cell>
          <cell r="B84" t="str">
            <v>ja</v>
          </cell>
          <cell r="C84" t="str">
            <v>拡散性ニムダ</v>
          </cell>
          <cell r="D84" t="str">
            <v>イベント:ウィルス01</v>
          </cell>
          <cell r="E84" t="str">
            <v>ウィルス</v>
          </cell>
          <cell r="F84" t="str">
            <v>世界観</v>
          </cell>
          <cell r="G84" t="str">
            <v>不明</v>
          </cell>
          <cell r="H84" t="str">
            <v>yellow</v>
          </cell>
          <cell r="I84">
            <v>3</v>
          </cell>
          <cell r="J84" t="str">
            <v>DropWizW</v>
          </cell>
          <cell r="K84" t="str">
            <v>heal</v>
          </cell>
          <cell r="L84" t="str">
            <v>回復タイプ</v>
          </cell>
          <cell r="M84" t="str">
            <v>unknown</v>
          </cell>
        </row>
        <row r="85">
          <cell r="A85">
            <v>84</v>
          </cell>
          <cell r="B85" t="str">
            <v>ja</v>
          </cell>
          <cell r="C85" t="str">
            <v>高速拡散性ニムダE</v>
          </cell>
          <cell r="D85" t="str">
            <v>イベント:ウィルス01</v>
          </cell>
          <cell r="E85" t="str">
            <v>ウィルス</v>
          </cell>
          <cell r="F85" t="str">
            <v>世界観</v>
          </cell>
          <cell r="G85" t="str">
            <v>不明</v>
          </cell>
          <cell r="H85" t="str">
            <v>yellow</v>
          </cell>
          <cell r="I85">
            <v>4</v>
          </cell>
          <cell r="J85" t="str">
            <v>DropWizW</v>
          </cell>
          <cell r="K85" t="str">
            <v>heal</v>
          </cell>
          <cell r="L85" t="str">
            <v>回復タイプ</v>
          </cell>
          <cell r="M85" t="str">
            <v>unknown</v>
          </cell>
        </row>
        <row r="86">
          <cell r="A86">
            <v>85</v>
          </cell>
          <cell r="B86" t="str">
            <v>ja</v>
          </cell>
          <cell r="C86" t="str">
            <v>朱雀</v>
          </cell>
          <cell r="D86" t="str">
            <v>リンクガチャ:4神</v>
          </cell>
          <cell r="E86" t="str">
            <v>守護神</v>
          </cell>
          <cell r="F86" t="str">
            <v>格好いい</v>
          </cell>
          <cell r="G86" t="str">
            <v>不明</v>
          </cell>
          <cell r="H86" t="str">
            <v>red</v>
          </cell>
          <cell r="I86">
            <v>3</v>
          </cell>
          <cell r="J86" t="str">
            <v>Drop2N</v>
          </cell>
          <cell r="K86" t="str">
            <v>balance</v>
          </cell>
          <cell r="L86" t="str">
            <v>バランスタイプ</v>
          </cell>
          <cell r="M86" t="str">
            <v>animal</v>
          </cell>
        </row>
        <row r="87">
          <cell r="A87">
            <v>86</v>
          </cell>
          <cell r="B87" t="str">
            <v>ja</v>
          </cell>
          <cell r="C87" t="str">
            <v>守護者 朱雀</v>
          </cell>
          <cell r="D87" t="str">
            <v>リンクガチャ:4神</v>
          </cell>
          <cell r="E87" t="str">
            <v>守護神</v>
          </cell>
          <cell r="F87" t="str">
            <v>格好いい</v>
          </cell>
          <cell r="G87" t="str">
            <v>不明</v>
          </cell>
          <cell r="H87" t="str">
            <v>red</v>
          </cell>
          <cell r="I87">
            <v>4</v>
          </cell>
          <cell r="J87" t="str">
            <v>Drop2N</v>
          </cell>
          <cell r="K87" t="str">
            <v>balance</v>
          </cell>
          <cell r="L87" t="str">
            <v>バランスタイプ</v>
          </cell>
          <cell r="M87" t="str">
            <v>animal</v>
          </cell>
        </row>
        <row r="88">
          <cell r="A88">
            <v>87</v>
          </cell>
          <cell r="B88" t="str">
            <v>ja</v>
          </cell>
          <cell r="C88" t="str">
            <v>朱南の守護神 朱雀</v>
          </cell>
          <cell r="D88" t="str">
            <v>リンクガチャ:4神</v>
          </cell>
          <cell r="E88" t="str">
            <v>守護神</v>
          </cell>
          <cell r="F88" t="str">
            <v>格好いい</v>
          </cell>
          <cell r="G88" t="str">
            <v>不明</v>
          </cell>
          <cell r="H88" t="str">
            <v>red</v>
          </cell>
          <cell r="I88">
            <v>5</v>
          </cell>
          <cell r="J88" t="str">
            <v>Drop2N</v>
          </cell>
          <cell r="K88" t="str">
            <v>balance</v>
          </cell>
          <cell r="L88" t="str">
            <v>バランスタイプ</v>
          </cell>
          <cell r="M88" t="str">
            <v>animal</v>
          </cell>
        </row>
        <row r="89">
          <cell r="A89">
            <v>88</v>
          </cell>
          <cell r="B89" t="str">
            <v>ja</v>
          </cell>
          <cell r="C89" t="str">
            <v>玄武</v>
          </cell>
          <cell r="D89" t="str">
            <v>リンクガチャ:4神</v>
          </cell>
          <cell r="E89" t="str">
            <v>守護神</v>
          </cell>
          <cell r="F89" t="str">
            <v>格好いい</v>
          </cell>
          <cell r="G89" t="str">
            <v>不明</v>
          </cell>
          <cell r="H89" t="str">
            <v>green</v>
          </cell>
          <cell r="I89">
            <v>3</v>
          </cell>
          <cell r="J89" t="str">
            <v>Drop2N</v>
          </cell>
          <cell r="K89" t="str">
            <v>technical</v>
          </cell>
          <cell r="L89" t="str">
            <v>テクニカルタイプ</v>
          </cell>
          <cell r="M89" t="str">
            <v>dragon</v>
          </cell>
        </row>
        <row r="90">
          <cell r="A90">
            <v>89</v>
          </cell>
          <cell r="B90" t="str">
            <v>ja</v>
          </cell>
          <cell r="C90" t="str">
            <v>守護者 玄武</v>
          </cell>
          <cell r="D90" t="str">
            <v>リンクガチャ:4神</v>
          </cell>
          <cell r="E90" t="str">
            <v>守護神</v>
          </cell>
          <cell r="F90" t="str">
            <v>格好いい</v>
          </cell>
          <cell r="G90" t="str">
            <v>不明</v>
          </cell>
          <cell r="H90" t="str">
            <v>green</v>
          </cell>
          <cell r="I90">
            <v>4</v>
          </cell>
          <cell r="J90" t="str">
            <v>Drop2N</v>
          </cell>
          <cell r="K90" t="str">
            <v>technical</v>
          </cell>
          <cell r="L90" t="str">
            <v>テクニカルタイプ</v>
          </cell>
          <cell r="M90" t="str">
            <v>dragon</v>
          </cell>
        </row>
        <row r="91">
          <cell r="A91">
            <v>90</v>
          </cell>
          <cell r="B91" t="str">
            <v>ja</v>
          </cell>
          <cell r="C91" t="str">
            <v>翠北の守護神 玄武</v>
          </cell>
          <cell r="D91" t="str">
            <v>リンクガチャ:4神</v>
          </cell>
          <cell r="E91" t="str">
            <v>守護神</v>
          </cell>
          <cell r="F91" t="str">
            <v>格好いい</v>
          </cell>
          <cell r="G91" t="str">
            <v>不明</v>
          </cell>
          <cell r="H91" t="str">
            <v>green</v>
          </cell>
          <cell r="I91">
            <v>5</v>
          </cell>
          <cell r="J91" t="str">
            <v>Drop2N</v>
          </cell>
          <cell r="K91" t="str">
            <v>technical</v>
          </cell>
          <cell r="L91" t="str">
            <v>テクニカルタイプ</v>
          </cell>
          <cell r="M91" t="str">
            <v>dragon</v>
          </cell>
        </row>
        <row r="92">
          <cell r="A92">
            <v>91</v>
          </cell>
          <cell r="B92" t="str">
            <v>ja</v>
          </cell>
          <cell r="C92" t="str">
            <v>青龍</v>
          </cell>
          <cell r="D92" t="str">
            <v>リンクガチャ:4神</v>
          </cell>
          <cell r="E92" t="str">
            <v>守護神</v>
          </cell>
          <cell r="F92" t="str">
            <v>格好いい</v>
          </cell>
          <cell r="G92" t="str">
            <v>不明</v>
          </cell>
          <cell r="H92" t="str">
            <v>blue</v>
          </cell>
          <cell r="I92">
            <v>3</v>
          </cell>
          <cell r="J92" t="str">
            <v>Drop2N</v>
          </cell>
          <cell r="K92" t="str">
            <v>balance</v>
          </cell>
          <cell r="L92" t="str">
            <v>バランスタイプ</v>
          </cell>
          <cell r="M92" t="str">
            <v>dragon</v>
          </cell>
        </row>
        <row r="93">
          <cell r="A93">
            <v>92</v>
          </cell>
          <cell r="B93" t="str">
            <v>ja</v>
          </cell>
          <cell r="C93" t="str">
            <v>守護者 青龍</v>
          </cell>
          <cell r="D93" t="str">
            <v>リンクガチャ:4神</v>
          </cell>
          <cell r="E93" t="str">
            <v>守護神</v>
          </cell>
          <cell r="F93" t="str">
            <v>格好いい</v>
          </cell>
          <cell r="G93" t="str">
            <v>不明</v>
          </cell>
          <cell r="H93" t="str">
            <v>blue</v>
          </cell>
          <cell r="I93">
            <v>4</v>
          </cell>
          <cell r="J93" t="str">
            <v>Drop2N</v>
          </cell>
          <cell r="K93" t="str">
            <v>balance</v>
          </cell>
          <cell r="L93" t="str">
            <v>バランスタイプ</v>
          </cell>
          <cell r="M93" t="str">
            <v>dragon</v>
          </cell>
        </row>
        <row r="94">
          <cell r="A94">
            <v>93</v>
          </cell>
          <cell r="B94" t="str">
            <v>ja</v>
          </cell>
          <cell r="C94" t="str">
            <v>碧東の守護神 青龍</v>
          </cell>
          <cell r="D94" t="str">
            <v>リンクガチャ:4神</v>
          </cell>
          <cell r="E94" t="str">
            <v>守護神</v>
          </cell>
          <cell r="F94" t="str">
            <v>格好いい</v>
          </cell>
          <cell r="G94" t="str">
            <v>不明</v>
          </cell>
          <cell r="H94" t="str">
            <v>blue</v>
          </cell>
          <cell r="I94">
            <v>5</v>
          </cell>
          <cell r="J94" t="str">
            <v>Drop2N</v>
          </cell>
          <cell r="K94" t="str">
            <v>balance</v>
          </cell>
          <cell r="L94" t="str">
            <v>バランスタイプ</v>
          </cell>
          <cell r="M94" t="str">
            <v>dragon</v>
          </cell>
        </row>
        <row r="95">
          <cell r="A95">
            <v>94</v>
          </cell>
          <cell r="B95" t="str">
            <v>ja</v>
          </cell>
          <cell r="C95" t="str">
            <v>白虎</v>
          </cell>
          <cell r="D95" t="str">
            <v>リンクガチャ:4神</v>
          </cell>
          <cell r="E95" t="str">
            <v>守護神</v>
          </cell>
          <cell r="F95" t="str">
            <v>格好いい</v>
          </cell>
          <cell r="G95" t="str">
            <v>不明</v>
          </cell>
          <cell r="H95" t="str">
            <v>yellow</v>
          </cell>
          <cell r="I95">
            <v>3</v>
          </cell>
          <cell r="J95" t="str">
            <v>Drop2N</v>
          </cell>
          <cell r="K95" t="str">
            <v>attack</v>
          </cell>
          <cell r="L95" t="str">
            <v>攻撃タイプ</v>
          </cell>
          <cell r="M95" t="str">
            <v>animal</v>
          </cell>
        </row>
        <row r="96">
          <cell r="A96">
            <v>95</v>
          </cell>
          <cell r="B96" t="str">
            <v>ja</v>
          </cell>
          <cell r="C96" t="str">
            <v>守護者 白虎</v>
          </cell>
          <cell r="D96" t="str">
            <v>リンクガチャ:4神</v>
          </cell>
          <cell r="E96" t="str">
            <v>守護神</v>
          </cell>
          <cell r="F96" t="str">
            <v>格好いい</v>
          </cell>
          <cell r="G96" t="str">
            <v>不明</v>
          </cell>
          <cell r="H96" t="str">
            <v>yellow</v>
          </cell>
          <cell r="I96">
            <v>4</v>
          </cell>
          <cell r="J96" t="str">
            <v>Drop2N</v>
          </cell>
          <cell r="K96" t="str">
            <v>attack</v>
          </cell>
          <cell r="L96" t="str">
            <v>攻撃タイプ</v>
          </cell>
          <cell r="M96" t="str">
            <v>animal</v>
          </cell>
        </row>
        <row r="97">
          <cell r="A97">
            <v>96</v>
          </cell>
          <cell r="B97" t="str">
            <v>ja</v>
          </cell>
          <cell r="C97" t="str">
            <v>金西の守護神 白虎</v>
          </cell>
          <cell r="D97" t="str">
            <v>リンクガチャ:4神</v>
          </cell>
          <cell r="E97" t="str">
            <v>守護神</v>
          </cell>
          <cell r="F97" t="str">
            <v>格好いい</v>
          </cell>
          <cell r="G97" t="str">
            <v>不明</v>
          </cell>
          <cell r="H97" t="str">
            <v>yellow</v>
          </cell>
          <cell r="I97">
            <v>5</v>
          </cell>
          <cell r="J97" t="str">
            <v>Drop2N</v>
          </cell>
          <cell r="K97" t="str">
            <v>attack</v>
          </cell>
          <cell r="L97" t="str">
            <v>攻撃タイプ</v>
          </cell>
          <cell r="M97" t="str">
            <v>animal</v>
          </cell>
        </row>
        <row r="98">
          <cell r="A98">
            <v>97</v>
          </cell>
          <cell r="B98" t="str">
            <v>ja</v>
          </cell>
          <cell r="C98" t="str">
            <v>炎のミリオンダック</v>
          </cell>
          <cell r="D98" t="str">
            <v>強化素材R6</v>
          </cell>
          <cell r="E98" t="str">
            <v>アリス</v>
          </cell>
          <cell r="F98" t="str">
            <v>世界観</v>
          </cell>
          <cell r="G98" t="str">
            <v>不明</v>
          </cell>
          <cell r="H98" t="str">
            <v>red</v>
          </cell>
          <cell r="I98">
            <v>6</v>
          </cell>
          <cell r="J98" t="str">
            <v>Material</v>
          </cell>
          <cell r="K98" t="str">
            <v>exp</v>
          </cell>
          <cell r="L98" t="str">
            <v>強化素材タイプ</v>
          </cell>
          <cell r="M98" t="str">
            <v>unknown</v>
          </cell>
        </row>
        <row r="99">
          <cell r="A99">
            <v>98</v>
          </cell>
          <cell r="B99" t="str">
            <v>ja</v>
          </cell>
          <cell r="C99" t="str">
            <v>森のミリオンダック</v>
          </cell>
          <cell r="D99" t="str">
            <v>強化素材R6</v>
          </cell>
          <cell r="E99" t="str">
            <v>アリス</v>
          </cell>
          <cell r="F99" t="str">
            <v>世界観</v>
          </cell>
          <cell r="G99" t="str">
            <v>不明</v>
          </cell>
          <cell r="H99" t="str">
            <v>green</v>
          </cell>
          <cell r="I99">
            <v>6</v>
          </cell>
          <cell r="J99" t="str">
            <v>Material</v>
          </cell>
          <cell r="K99" t="str">
            <v>exp</v>
          </cell>
          <cell r="L99" t="str">
            <v>強化素材タイプ</v>
          </cell>
          <cell r="M99" t="str">
            <v>unknown</v>
          </cell>
        </row>
        <row r="100">
          <cell r="A100">
            <v>99</v>
          </cell>
          <cell r="B100" t="str">
            <v>ja</v>
          </cell>
          <cell r="C100" t="str">
            <v>水のミリオンダック</v>
          </cell>
          <cell r="D100" t="str">
            <v>強化素材R6</v>
          </cell>
          <cell r="E100" t="str">
            <v>アリス</v>
          </cell>
          <cell r="F100" t="str">
            <v>世界観</v>
          </cell>
          <cell r="G100" t="str">
            <v>不明</v>
          </cell>
          <cell r="H100" t="str">
            <v>blue</v>
          </cell>
          <cell r="I100">
            <v>6</v>
          </cell>
          <cell r="J100" t="str">
            <v>Material</v>
          </cell>
          <cell r="K100" t="str">
            <v>exp</v>
          </cell>
          <cell r="L100" t="str">
            <v>強化素材タイプ</v>
          </cell>
          <cell r="M100" t="str">
            <v>unknown</v>
          </cell>
        </row>
        <row r="101">
          <cell r="A101">
            <v>100</v>
          </cell>
          <cell r="B101" t="str">
            <v>ja</v>
          </cell>
          <cell r="C101" t="str">
            <v>雷のミリオンダック</v>
          </cell>
          <cell r="D101" t="str">
            <v>強化素材R6</v>
          </cell>
          <cell r="E101" t="str">
            <v>アリス</v>
          </cell>
          <cell r="F101" t="str">
            <v>世界観</v>
          </cell>
          <cell r="G101" t="str">
            <v>不明</v>
          </cell>
          <cell r="H101" t="str">
            <v>yellow</v>
          </cell>
          <cell r="I101">
            <v>6</v>
          </cell>
          <cell r="J101" t="str">
            <v>Material</v>
          </cell>
          <cell r="K101" t="str">
            <v>exp</v>
          </cell>
          <cell r="L101" t="str">
            <v>強化素材タイプ</v>
          </cell>
          <cell r="M101" t="str">
            <v>unknown</v>
          </cell>
        </row>
        <row r="102">
          <cell r="A102">
            <v>101</v>
          </cell>
          <cell r="B102" t="str">
            <v>ja</v>
          </cell>
          <cell r="C102" t="str">
            <v>レッドチェシャ</v>
          </cell>
          <cell r="D102" t="str">
            <v>進化素材・赤・R2</v>
          </cell>
          <cell r="E102" t="str">
            <v>アリス</v>
          </cell>
          <cell r="F102" t="str">
            <v>世界観</v>
          </cell>
          <cell r="G102" t="str">
            <v>不明</v>
          </cell>
          <cell r="H102" t="str">
            <v>red</v>
          </cell>
          <cell r="I102">
            <v>2</v>
          </cell>
          <cell r="J102" t="str">
            <v>Material</v>
          </cell>
          <cell r="K102" t="str">
            <v>evolution</v>
          </cell>
          <cell r="L102" t="str">
            <v>覚醒素材タイプ</v>
          </cell>
          <cell r="M102" t="str">
            <v>unknown</v>
          </cell>
        </row>
        <row r="103">
          <cell r="A103">
            <v>102</v>
          </cell>
          <cell r="B103" t="str">
            <v>ja</v>
          </cell>
          <cell r="C103" t="str">
            <v>レッドラビット</v>
          </cell>
          <cell r="D103" t="str">
            <v>進化素材・赤・R3</v>
          </cell>
          <cell r="E103" t="str">
            <v>アリス</v>
          </cell>
          <cell r="F103" t="str">
            <v>世界観</v>
          </cell>
          <cell r="G103" t="str">
            <v>不明</v>
          </cell>
          <cell r="H103" t="str">
            <v>red</v>
          </cell>
          <cell r="I103">
            <v>3</v>
          </cell>
          <cell r="J103" t="str">
            <v>Material</v>
          </cell>
          <cell r="K103" t="str">
            <v>evolution</v>
          </cell>
          <cell r="L103" t="str">
            <v>覚醒素材タイプ</v>
          </cell>
          <cell r="M103" t="str">
            <v>unknown</v>
          </cell>
        </row>
        <row r="104">
          <cell r="A104">
            <v>103</v>
          </cell>
          <cell r="B104" t="str">
            <v>ja</v>
          </cell>
          <cell r="C104" t="str">
            <v>レッドキャタップ</v>
          </cell>
          <cell r="D104" t="str">
            <v>進化素材・赤・R4</v>
          </cell>
          <cell r="E104" t="str">
            <v>アリス</v>
          </cell>
          <cell r="F104" t="str">
            <v>世界観</v>
          </cell>
          <cell r="G104" t="str">
            <v>不明</v>
          </cell>
          <cell r="H104" t="str">
            <v>red</v>
          </cell>
          <cell r="I104">
            <v>4</v>
          </cell>
          <cell r="J104" t="str">
            <v>Material</v>
          </cell>
          <cell r="K104" t="str">
            <v>evolution</v>
          </cell>
          <cell r="L104" t="str">
            <v>覚醒素材タイプ</v>
          </cell>
          <cell r="M104" t="str">
            <v>unknown</v>
          </cell>
        </row>
        <row r="105">
          <cell r="A105">
            <v>104</v>
          </cell>
          <cell r="B105" t="str">
            <v>ja</v>
          </cell>
          <cell r="C105" t="str">
            <v>炎のマッドハッター</v>
          </cell>
          <cell r="D105" t="str">
            <v>進化素材・赤・R5</v>
          </cell>
          <cell r="E105" t="str">
            <v>アリス</v>
          </cell>
          <cell r="F105" t="str">
            <v>世界観</v>
          </cell>
          <cell r="G105" t="str">
            <v>不明</v>
          </cell>
          <cell r="H105" t="str">
            <v>red</v>
          </cell>
          <cell r="I105">
            <v>5</v>
          </cell>
          <cell r="J105" t="str">
            <v>Material</v>
          </cell>
          <cell r="K105" t="str">
            <v>evolution</v>
          </cell>
          <cell r="L105" t="str">
            <v>覚醒素材タイプ</v>
          </cell>
          <cell r="M105" t="str">
            <v>unknown</v>
          </cell>
        </row>
        <row r="106">
          <cell r="A106">
            <v>105</v>
          </cell>
          <cell r="B106" t="str">
            <v>ja</v>
          </cell>
          <cell r="C106" t="str">
            <v>グリーンチェシャ</v>
          </cell>
          <cell r="D106" t="str">
            <v>進化素材・緑・R2</v>
          </cell>
          <cell r="E106" t="str">
            <v>アリス</v>
          </cell>
          <cell r="F106" t="str">
            <v>世界観</v>
          </cell>
          <cell r="G106" t="str">
            <v>不明</v>
          </cell>
          <cell r="H106" t="str">
            <v>green</v>
          </cell>
          <cell r="I106">
            <v>2</v>
          </cell>
          <cell r="J106" t="str">
            <v>Material</v>
          </cell>
          <cell r="K106" t="str">
            <v>evolution</v>
          </cell>
          <cell r="L106" t="str">
            <v>覚醒素材タイプ</v>
          </cell>
          <cell r="M106" t="str">
            <v>unknown</v>
          </cell>
        </row>
        <row r="107">
          <cell r="A107">
            <v>106</v>
          </cell>
          <cell r="B107" t="str">
            <v>ja</v>
          </cell>
          <cell r="C107" t="str">
            <v>グリーンラビット</v>
          </cell>
          <cell r="D107" t="str">
            <v>進化素材・緑・R3</v>
          </cell>
          <cell r="E107" t="str">
            <v>アリス</v>
          </cell>
          <cell r="F107" t="str">
            <v>世界観</v>
          </cell>
          <cell r="G107" t="str">
            <v>不明</v>
          </cell>
          <cell r="H107" t="str">
            <v>green</v>
          </cell>
          <cell r="I107">
            <v>3</v>
          </cell>
          <cell r="J107" t="str">
            <v>Material</v>
          </cell>
          <cell r="K107" t="str">
            <v>evolution</v>
          </cell>
          <cell r="L107" t="str">
            <v>覚醒素材タイプ</v>
          </cell>
          <cell r="M107" t="str">
            <v>unknown</v>
          </cell>
        </row>
        <row r="108">
          <cell r="A108">
            <v>107</v>
          </cell>
          <cell r="B108" t="str">
            <v>ja</v>
          </cell>
          <cell r="C108" t="str">
            <v>グリーンキャタップ</v>
          </cell>
          <cell r="D108" t="str">
            <v>進化素材・緑・R4</v>
          </cell>
          <cell r="E108" t="str">
            <v>アリス</v>
          </cell>
          <cell r="F108" t="str">
            <v>世界観</v>
          </cell>
          <cell r="G108" t="str">
            <v>不明</v>
          </cell>
          <cell r="H108" t="str">
            <v>green</v>
          </cell>
          <cell r="I108">
            <v>4</v>
          </cell>
          <cell r="J108" t="str">
            <v>Material</v>
          </cell>
          <cell r="K108" t="str">
            <v>evolution</v>
          </cell>
          <cell r="L108" t="str">
            <v>覚醒素材タイプ</v>
          </cell>
          <cell r="M108" t="str">
            <v>unknown</v>
          </cell>
        </row>
        <row r="109">
          <cell r="A109">
            <v>108</v>
          </cell>
          <cell r="B109" t="str">
            <v>ja</v>
          </cell>
          <cell r="C109" t="str">
            <v>森のマッドハッター</v>
          </cell>
          <cell r="D109" t="str">
            <v>進化素材・緑・R5</v>
          </cell>
          <cell r="E109" t="str">
            <v>アリス</v>
          </cell>
          <cell r="F109" t="str">
            <v>世界観</v>
          </cell>
          <cell r="G109" t="str">
            <v>不明</v>
          </cell>
          <cell r="H109" t="str">
            <v>green</v>
          </cell>
          <cell r="I109">
            <v>5</v>
          </cell>
          <cell r="J109" t="str">
            <v>Material</v>
          </cell>
          <cell r="K109" t="str">
            <v>evolution</v>
          </cell>
          <cell r="L109" t="str">
            <v>覚醒素材タイプ</v>
          </cell>
          <cell r="M109" t="str">
            <v>unknown</v>
          </cell>
        </row>
        <row r="110">
          <cell r="A110">
            <v>109</v>
          </cell>
          <cell r="B110" t="str">
            <v>ja</v>
          </cell>
          <cell r="C110" t="str">
            <v>ブルーチェシャ</v>
          </cell>
          <cell r="D110" t="str">
            <v>進化素材・青・R2</v>
          </cell>
          <cell r="E110" t="str">
            <v>アリス</v>
          </cell>
          <cell r="F110" t="str">
            <v>世界観</v>
          </cell>
          <cell r="G110" t="str">
            <v>不明</v>
          </cell>
          <cell r="H110" t="str">
            <v>blue</v>
          </cell>
          <cell r="I110">
            <v>2</v>
          </cell>
          <cell r="J110" t="str">
            <v>Material</v>
          </cell>
          <cell r="K110" t="str">
            <v>evolution</v>
          </cell>
          <cell r="L110" t="str">
            <v>覚醒素材タイプ</v>
          </cell>
          <cell r="M110" t="str">
            <v>unknown</v>
          </cell>
        </row>
        <row r="111">
          <cell r="A111">
            <v>110</v>
          </cell>
          <cell r="B111" t="str">
            <v>ja</v>
          </cell>
          <cell r="C111" t="str">
            <v>ブルーラビット</v>
          </cell>
          <cell r="D111" t="str">
            <v>進化素材・青・R3</v>
          </cell>
          <cell r="E111" t="str">
            <v>アリス</v>
          </cell>
          <cell r="F111" t="str">
            <v>世界観</v>
          </cell>
          <cell r="G111" t="str">
            <v>不明</v>
          </cell>
          <cell r="H111" t="str">
            <v>blue</v>
          </cell>
          <cell r="I111">
            <v>3</v>
          </cell>
          <cell r="J111" t="str">
            <v>Material</v>
          </cell>
          <cell r="K111" t="str">
            <v>evolution</v>
          </cell>
          <cell r="L111" t="str">
            <v>覚醒素材タイプ</v>
          </cell>
          <cell r="M111" t="str">
            <v>unknown</v>
          </cell>
        </row>
        <row r="112">
          <cell r="A112">
            <v>111</v>
          </cell>
          <cell r="B112" t="str">
            <v>ja</v>
          </cell>
          <cell r="C112" t="str">
            <v>ブルーキャタップ</v>
          </cell>
          <cell r="D112" t="str">
            <v>進化素材・青・R4</v>
          </cell>
          <cell r="E112" t="str">
            <v>アリス</v>
          </cell>
          <cell r="F112" t="str">
            <v>世界観</v>
          </cell>
          <cell r="G112" t="str">
            <v>不明</v>
          </cell>
          <cell r="H112" t="str">
            <v>blue</v>
          </cell>
          <cell r="I112">
            <v>4</v>
          </cell>
          <cell r="J112" t="str">
            <v>Material</v>
          </cell>
          <cell r="K112" t="str">
            <v>evolution</v>
          </cell>
          <cell r="L112" t="str">
            <v>覚醒素材タイプ</v>
          </cell>
          <cell r="M112" t="str">
            <v>unknown</v>
          </cell>
        </row>
        <row r="113">
          <cell r="A113">
            <v>112</v>
          </cell>
          <cell r="B113" t="str">
            <v>ja</v>
          </cell>
          <cell r="C113" t="str">
            <v>水のマッドハッター</v>
          </cell>
          <cell r="D113" t="str">
            <v>進化素材・青・R5</v>
          </cell>
          <cell r="E113" t="str">
            <v>アリス</v>
          </cell>
          <cell r="F113" t="str">
            <v>世界観</v>
          </cell>
          <cell r="G113" t="str">
            <v>不明</v>
          </cell>
          <cell r="H113" t="str">
            <v>blue</v>
          </cell>
          <cell r="I113">
            <v>5</v>
          </cell>
          <cell r="J113" t="str">
            <v>Material</v>
          </cell>
          <cell r="K113" t="str">
            <v>evolution</v>
          </cell>
          <cell r="L113" t="str">
            <v>覚醒素材タイプ</v>
          </cell>
          <cell r="M113" t="str">
            <v>unknown</v>
          </cell>
        </row>
        <row r="114">
          <cell r="A114">
            <v>113</v>
          </cell>
          <cell r="B114" t="str">
            <v>ja</v>
          </cell>
          <cell r="C114" t="str">
            <v>イエローチェシャ</v>
          </cell>
          <cell r="D114" t="str">
            <v>進化素材・黄・R2</v>
          </cell>
          <cell r="E114" t="str">
            <v>アリス</v>
          </cell>
          <cell r="F114" t="str">
            <v>世界観</v>
          </cell>
          <cell r="G114" t="str">
            <v>不明</v>
          </cell>
          <cell r="H114" t="str">
            <v>yellow</v>
          </cell>
          <cell r="I114">
            <v>2</v>
          </cell>
          <cell r="J114" t="str">
            <v>Material</v>
          </cell>
          <cell r="K114" t="str">
            <v>evolution</v>
          </cell>
          <cell r="L114" t="str">
            <v>覚醒素材タイプ</v>
          </cell>
          <cell r="M114" t="str">
            <v>unknown</v>
          </cell>
        </row>
        <row r="115">
          <cell r="A115">
            <v>114</v>
          </cell>
          <cell r="B115" t="str">
            <v>ja</v>
          </cell>
          <cell r="C115" t="str">
            <v>イエローラビット</v>
          </cell>
          <cell r="D115" t="str">
            <v>進化素材・黄・R3</v>
          </cell>
          <cell r="E115" t="str">
            <v>アリス</v>
          </cell>
          <cell r="F115" t="str">
            <v>世界観</v>
          </cell>
          <cell r="G115" t="str">
            <v>不明</v>
          </cell>
          <cell r="H115" t="str">
            <v>yellow</v>
          </cell>
          <cell r="I115">
            <v>3</v>
          </cell>
          <cell r="J115" t="str">
            <v>Material</v>
          </cell>
          <cell r="K115" t="str">
            <v>evolution</v>
          </cell>
          <cell r="L115" t="str">
            <v>覚醒素材タイプ</v>
          </cell>
          <cell r="M115" t="str">
            <v>unknown</v>
          </cell>
        </row>
        <row r="116">
          <cell r="A116">
            <v>115</v>
          </cell>
          <cell r="B116" t="str">
            <v>ja</v>
          </cell>
          <cell r="C116" t="str">
            <v>イエローキャタップ</v>
          </cell>
          <cell r="D116" t="str">
            <v>進化素材・黄・R4</v>
          </cell>
          <cell r="E116" t="str">
            <v>アリス</v>
          </cell>
          <cell r="F116" t="str">
            <v>世界観</v>
          </cell>
          <cell r="G116" t="str">
            <v>不明</v>
          </cell>
          <cell r="H116" t="str">
            <v>yellow</v>
          </cell>
          <cell r="I116">
            <v>4</v>
          </cell>
          <cell r="J116" t="str">
            <v>Material</v>
          </cell>
          <cell r="K116" t="str">
            <v>evolution</v>
          </cell>
          <cell r="L116" t="str">
            <v>覚醒素材タイプ</v>
          </cell>
          <cell r="M116" t="str">
            <v>unknown</v>
          </cell>
        </row>
        <row r="117">
          <cell r="A117">
            <v>116</v>
          </cell>
          <cell r="B117" t="str">
            <v>ja</v>
          </cell>
          <cell r="C117" t="str">
            <v>雷のマッドハッター</v>
          </cell>
          <cell r="D117" t="str">
            <v>進化素材・黄・R5</v>
          </cell>
          <cell r="E117" t="str">
            <v>アリス</v>
          </cell>
          <cell r="F117" t="str">
            <v>世界観</v>
          </cell>
          <cell r="G117" t="str">
            <v>不明</v>
          </cell>
          <cell r="H117" t="str">
            <v>yellow</v>
          </cell>
          <cell r="I117">
            <v>5</v>
          </cell>
          <cell r="J117" t="str">
            <v>Material</v>
          </cell>
          <cell r="K117" t="str">
            <v>evolution</v>
          </cell>
          <cell r="L117" t="str">
            <v>覚醒素材タイプ</v>
          </cell>
          <cell r="M117" t="str">
            <v>unknown</v>
          </cell>
        </row>
        <row r="118">
          <cell r="A118">
            <v>117</v>
          </cell>
          <cell r="B118" t="str">
            <v>ja</v>
          </cell>
          <cell r="C118" t="str">
            <v>ゴールドピヨピヨ</v>
          </cell>
          <cell r="D118" t="str">
            <v>売却素材R3</v>
          </cell>
          <cell r="E118" t="str">
            <v>アリス</v>
          </cell>
          <cell r="F118" t="str">
            <v>世界観</v>
          </cell>
          <cell r="G118" t="str">
            <v>不明</v>
          </cell>
          <cell r="H118" t="str">
            <v>yellow</v>
          </cell>
          <cell r="I118">
            <v>3</v>
          </cell>
          <cell r="J118" t="str">
            <v>Material</v>
          </cell>
          <cell r="K118" t="str">
            <v>coin</v>
          </cell>
          <cell r="L118" t="str">
            <v>コインタイプ</v>
          </cell>
          <cell r="M118" t="str">
            <v>unknown</v>
          </cell>
        </row>
        <row r="119">
          <cell r="A119">
            <v>118</v>
          </cell>
          <cell r="B119" t="str">
            <v>ja</v>
          </cell>
          <cell r="C119" t="str">
            <v>ゴールドチック</v>
          </cell>
          <cell r="D119" t="str">
            <v>売却素材R4</v>
          </cell>
          <cell r="E119" t="str">
            <v>アリス</v>
          </cell>
          <cell r="F119" t="str">
            <v>世界観</v>
          </cell>
          <cell r="G119" t="str">
            <v>不明</v>
          </cell>
          <cell r="H119" t="str">
            <v>yellow</v>
          </cell>
          <cell r="I119">
            <v>4</v>
          </cell>
          <cell r="J119" t="str">
            <v>Material</v>
          </cell>
          <cell r="K119" t="str">
            <v>coin</v>
          </cell>
          <cell r="L119" t="str">
            <v>コインタイプ</v>
          </cell>
          <cell r="M119" t="str">
            <v>unknown</v>
          </cell>
        </row>
        <row r="120">
          <cell r="A120">
            <v>119</v>
          </cell>
          <cell r="B120" t="str">
            <v>ja</v>
          </cell>
          <cell r="C120" t="str">
            <v>ゴールドダック</v>
          </cell>
          <cell r="D120" t="str">
            <v>売却素材R5</v>
          </cell>
          <cell r="E120" t="str">
            <v>アリス</v>
          </cell>
          <cell r="F120" t="str">
            <v>世界観</v>
          </cell>
          <cell r="G120" t="str">
            <v>不明</v>
          </cell>
          <cell r="H120" t="str">
            <v>yellow</v>
          </cell>
          <cell r="I120">
            <v>5</v>
          </cell>
          <cell r="J120" t="str">
            <v>Material</v>
          </cell>
          <cell r="K120" t="str">
            <v>coin</v>
          </cell>
          <cell r="L120" t="str">
            <v>コインタイプ</v>
          </cell>
          <cell r="M120" t="str">
            <v>unknown</v>
          </cell>
        </row>
        <row r="121">
          <cell r="A121">
            <v>120</v>
          </cell>
          <cell r="B121" t="str">
            <v>ja</v>
          </cell>
          <cell r="C121" t="str">
            <v>ゴールドキング</v>
          </cell>
          <cell r="D121" t="str">
            <v>売却素材R6</v>
          </cell>
          <cell r="E121" t="str">
            <v>アリス</v>
          </cell>
          <cell r="F121" t="str">
            <v>世界観</v>
          </cell>
          <cell r="G121" t="str">
            <v>不明</v>
          </cell>
          <cell r="H121" t="str">
            <v>yellow</v>
          </cell>
          <cell r="I121">
            <v>6</v>
          </cell>
          <cell r="J121" t="str">
            <v>Material</v>
          </cell>
          <cell r="K121" t="str">
            <v>coin</v>
          </cell>
          <cell r="L121" t="str">
            <v>コインタイプ</v>
          </cell>
          <cell r="M121" t="str">
            <v>unknown</v>
          </cell>
        </row>
        <row r="122">
          <cell r="A122">
            <v>121</v>
          </cell>
          <cell r="B122" t="str">
            <v>ja</v>
          </cell>
          <cell r="C122" t="str">
            <v>攻めの果実</v>
          </cell>
          <cell r="D122" t="str">
            <v>限界突破素材・攻撃・赤</v>
          </cell>
          <cell r="E122" t="str">
            <v>アリス</v>
          </cell>
          <cell r="F122" t="str">
            <v>世界観</v>
          </cell>
          <cell r="G122" t="str">
            <v>不明</v>
          </cell>
          <cell r="H122" t="str">
            <v>red</v>
          </cell>
          <cell r="I122">
            <v>3</v>
          </cell>
          <cell r="J122" t="str">
            <v>Material</v>
          </cell>
          <cell r="K122" t="str">
            <v>limitbreak</v>
          </cell>
          <cell r="L122" t="str">
            <v>限界突破素材</v>
          </cell>
          <cell r="M122" t="str">
            <v>unknown</v>
          </cell>
        </row>
        <row r="123">
          <cell r="A123">
            <v>122</v>
          </cell>
          <cell r="B123" t="str">
            <v>ja</v>
          </cell>
          <cell r="C123" t="str">
            <v>生命の果実</v>
          </cell>
          <cell r="D123" t="str">
            <v>限界突破素材・体力・緑</v>
          </cell>
          <cell r="E123" t="str">
            <v>アリス</v>
          </cell>
          <cell r="F123" t="str">
            <v>世界観</v>
          </cell>
          <cell r="G123" t="str">
            <v>不明</v>
          </cell>
          <cell r="H123" t="str">
            <v>green</v>
          </cell>
          <cell r="I123">
            <v>3</v>
          </cell>
          <cell r="J123" t="str">
            <v>Material</v>
          </cell>
          <cell r="K123" t="str">
            <v>limitbreak</v>
          </cell>
          <cell r="L123" t="str">
            <v>限界突破素材</v>
          </cell>
          <cell r="M123" t="str">
            <v>unknown</v>
          </cell>
        </row>
        <row r="124">
          <cell r="A124">
            <v>123</v>
          </cell>
          <cell r="B124" t="str">
            <v>ja</v>
          </cell>
          <cell r="C124" t="str">
            <v>癒しの果実</v>
          </cell>
          <cell r="D124" t="str">
            <v>限界突破素材・回復・青</v>
          </cell>
          <cell r="E124" t="str">
            <v>アリス</v>
          </cell>
          <cell r="F124" t="str">
            <v>世界観</v>
          </cell>
          <cell r="G124" t="str">
            <v>不明</v>
          </cell>
          <cell r="H124" t="str">
            <v>blue</v>
          </cell>
          <cell r="I124">
            <v>3</v>
          </cell>
          <cell r="J124" t="str">
            <v>Material</v>
          </cell>
          <cell r="K124" t="str">
            <v>limitbreak</v>
          </cell>
          <cell r="L124" t="str">
            <v>限界突破素材</v>
          </cell>
          <cell r="M124" t="str">
            <v>unknown</v>
          </cell>
        </row>
        <row r="125">
          <cell r="A125">
            <v>124</v>
          </cell>
          <cell r="B125" t="str">
            <v>ja</v>
          </cell>
          <cell r="C125" t="str">
            <v>黄金の果実</v>
          </cell>
          <cell r="D125" t="str">
            <v>限界突破素材・防御・黄</v>
          </cell>
          <cell r="E125" t="str">
            <v>アリス</v>
          </cell>
          <cell r="F125" t="str">
            <v>世界観</v>
          </cell>
          <cell r="G125" t="str">
            <v>不明</v>
          </cell>
          <cell r="H125" t="str">
            <v>yellow</v>
          </cell>
          <cell r="I125">
            <v>3</v>
          </cell>
          <cell r="J125" t="str">
            <v>Material</v>
          </cell>
          <cell r="K125" t="str">
            <v>coin</v>
          </cell>
          <cell r="L125" t="str">
            <v>コインタイプ</v>
          </cell>
          <cell r="M125" t="str">
            <v>unknown</v>
          </cell>
        </row>
        <row r="126">
          <cell r="A126">
            <v>125</v>
          </cell>
          <cell r="B126" t="str">
            <v>ja</v>
          </cell>
          <cell r="C126" t="str">
            <v>秘術の果実</v>
          </cell>
          <cell r="D126" t="str">
            <v>スキル進化素材</v>
          </cell>
          <cell r="E126" t="str">
            <v>アリス</v>
          </cell>
          <cell r="F126" t="str">
            <v>世界観</v>
          </cell>
          <cell r="G126" t="str">
            <v>不明</v>
          </cell>
          <cell r="H126" t="str">
            <v>blue</v>
          </cell>
          <cell r="I126">
            <v>3</v>
          </cell>
          <cell r="J126" t="str">
            <v>Material</v>
          </cell>
          <cell r="K126" t="str">
            <v>skilllevel</v>
          </cell>
          <cell r="L126" t="str">
            <v>スキルレベル素材</v>
          </cell>
          <cell r="M126" t="str">
            <v>unknown</v>
          </cell>
        </row>
        <row r="127">
          <cell r="A127">
            <v>126</v>
          </cell>
          <cell r="B127" t="str">
            <v>ja</v>
          </cell>
          <cell r="C127" t="str">
            <v>骨器使い ユノ</v>
          </cell>
          <cell r="D127" t="str">
            <v>初期ガチャ</v>
          </cell>
          <cell r="E127" t="str">
            <v>アバター</v>
          </cell>
          <cell r="F127" t="str">
            <v>美しい</v>
          </cell>
          <cell r="G127" t="str">
            <v>女性</v>
          </cell>
          <cell r="H127" t="str">
            <v>red</v>
          </cell>
          <cell r="I127">
            <v>3</v>
          </cell>
          <cell r="J127" t="str">
            <v>PremiumW</v>
          </cell>
          <cell r="K127" t="str">
            <v>attack</v>
          </cell>
          <cell r="L127" t="str">
            <v>攻撃タイプ</v>
          </cell>
          <cell r="M127" t="str">
            <v>human</v>
          </cell>
        </row>
        <row r="128">
          <cell r="A128">
            <v>127</v>
          </cell>
          <cell r="B128" t="str">
            <v>ja</v>
          </cell>
          <cell r="C128" t="str">
            <v>狂喜の賢者 ユノ</v>
          </cell>
          <cell r="D128" t="str">
            <v>初期ガチャ</v>
          </cell>
          <cell r="E128" t="str">
            <v>アバター</v>
          </cell>
          <cell r="F128" t="str">
            <v>美しい</v>
          </cell>
          <cell r="G128" t="str">
            <v>女性</v>
          </cell>
          <cell r="H128" t="str">
            <v>red</v>
          </cell>
          <cell r="I128">
            <v>4</v>
          </cell>
          <cell r="J128" t="str">
            <v>PremiumW</v>
          </cell>
          <cell r="K128" t="str">
            <v>attack</v>
          </cell>
          <cell r="L128" t="str">
            <v>攻撃タイプ</v>
          </cell>
          <cell r="M128" t="str">
            <v>human</v>
          </cell>
        </row>
        <row r="129">
          <cell r="A129">
            <v>128</v>
          </cell>
          <cell r="B129" t="str">
            <v>ja</v>
          </cell>
          <cell r="C129" t="str">
            <v>野生児 アマラ</v>
          </cell>
          <cell r="D129" t="str">
            <v>初期ガチャ</v>
          </cell>
          <cell r="E129" t="str">
            <v>アバター</v>
          </cell>
          <cell r="F129" t="str">
            <v>格好いい</v>
          </cell>
          <cell r="G129" t="str">
            <v>女性</v>
          </cell>
          <cell r="H129" t="str">
            <v>green</v>
          </cell>
          <cell r="I129">
            <v>3</v>
          </cell>
          <cell r="J129" t="str">
            <v>PremiumW</v>
          </cell>
          <cell r="K129" t="str">
            <v>attack</v>
          </cell>
          <cell r="L129" t="str">
            <v>攻撃タイプ</v>
          </cell>
          <cell r="M129" t="str">
            <v>human</v>
          </cell>
        </row>
        <row r="130">
          <cell r="A130">
            <v>129</v>
          </cell>
          <cell r="B130" t="str">
            <v>ja</v>
          </cell>
          <cell r="C130" t="str">
            <v>孤高の狼憑き アマラ</v>
          </cell>
          <cell r="D130" t="str">
            <v>初期ガチャ</v>
          </cell>
          <cell r="E130" t="str">
            <v>アバター</v>
          </cell>
          <cell r="F130" t="str">
            <v>格好いい</v>
          </cell>
          <cell r="G130" t="str">
            <v>女性</v>
          </cell>
          <cell r="H130" t="str">
            <v>green</v>
          </cell>
          <cell r="I130">
            <v>4</v>
          </cell>
          <cell r="J130" t="str">
            <v>PremiumW</v>
          </cell>
          <cell r="K130" t="str">
            <v>attack</v>
          </cell>
          <cell r="L130" t="str">
            <v>攻撃タイプ</v>
          </cell>
          <cell r="M130" t="str">
            <v>human</v>
          </cell>
        </row>
        <row r="131">
          <cell r="A131">
            <v>130</v>
          </cell>
          <cell r="B131" t="str">
            <v>ja</v>
          </cell>
          <cell r="C131" t="str">
            <v>狼男 ローレンス</v>
          </cell>
          <cell r="D131" t="str">
            <v>初期ガチャ</v>
          </cell>
          <cell r="E131" t="str">
            <v>アバター</v>
          </cell>
          <cell r="F131" t="str">
            <v>格好いい</v>
          </cell>
          <cell r="G131" t="str">
            <v>不明</v>
          </cell>
          <cell r="H131" t="str">
            <v>blue</v>
          </cell>
          <cell r="I131">
            <v>3</v>
          </cell>
          <cell r="J131" t="str">
            <v>PremiumW</v>
          </cell>
          <cell r="K131" t="str">
            <v>attack</v>
          </cell>
          <cell r="L131" t="str">
            <v>攻撃タイプ</v>
          </cell>
          <cell r="M131" t="str">
            <v>animal</v>
          </cell>
        </row>
        <row r="132">
          <cell r="A132">
            <v>131</v>
          </cell>
          <cell r="B132" t="str">
            <v>ja</v>
          </cell>
          <cell r="C132" t="str">
            <v>月下の人狼 ローレンス</v>
          </cell>
          <cell r="D132" t="str">
            <v>初期ガチャ</v>
          </cell>
          <cell r="E132" t="str">
            <v>アバター</v>
          </cell>
          <cell r="F132" t="str">
            <v>格好いい</v>
          </cell>
          <cell r="G132" t="str">
            <v>不明</v>
          </cell>
          <cell r="H132" t="str">
            <v>blue</v>
          </cell>
          <cell r="I132">
            <v>4</v>
          </cell>
          <cell r="J132" t="str">
            <v>PremiumW</v>
          </cell>
          <cell r="K132" t="str">
            <v>attack</v>
          </cell>
          <cell r="L132" t="str">
            <v>攻撃タイプ</v>
          </cell>
          <cell r="M132" t="str">
            <v>animal</v>
          </cell>
        </row>
        <row r="133">
          <cell r="A133">
            <v>132</v>
          </cell>
          <cell r="B133" t="str">
            <v>ja</v>
          </cell>
          <cell r="C133" t="str">
            <v>鳥人ハヤト</v>
          </cell>
          <cell r="D133" t="str">
            <v>初期ガチャ</v>
          </cell>
          <cell r="E133" t="str">
            <v>アバター</v>
          </cell>
          <cell r="F133" t="str">
            <v>格好いい</v>
          </cell>
          <cell r="G133" t="str">
            <v>男性</v>
          </cell>
          <cell r="H133" t="str">
            <v>yellow</v>
          </cell>
          <cell r="I133">
            <v>3</v>
          </cell>
          <cell r="J133" t="str">
            <v>PremiumW</v>
          </cell>
          <cell r="K133" t="str">
            <v>attack</v>
          </cell>
          <cell r="L133" t="str">
            <v>攻撃タイプ</v>
          </cell>
          <cell r="M133" t="str">
            <v>human</v>
          </cell>
        </row>
        <row r="134">
          <cell r="A134">
            <v>133</v>
          </cell>
          <cell r="B134" t="str">
            <v>ja</v>
          </cell>
          <cell r="C134" t="str">
            <v>迅雷の刀剣 ハヤト</v>
          </cell>
          <cell r="D134" t="str">
            <v>初期ガチャ</v>
          </cell>
          <cell r="E134" t="str">
            <v>アバター</v>
          </cell>
          <cell r="F134" t="str">
            <v>格好いい</v>
          </cell>
          <cell r="G134" t="str">
            <v>男性</v>
          </cell>
          <cell r="H134" t="str">
            <v>yellow</v>
          </cell>
          <cell r="I134">
            <v>4</v>
          </cell>
          <cell r="J134" t="str">
            <v>PremiumW</v>
          </cell>
          <cell r="K134" t="str">
            <v>attack</v>
          </cell>
          <cell r="L134" t="str">
            <v>攻撃タイプ</v>
          </cell>
          <cell r="M134" t="str">
            <v>human</v>
          </cell>
        </row>
        <row r="135">
          <cell r="A135">
            <v>134</v>
          </cell>
          <cell r="B135" t="str">
            <v>ja</v>
          </cell>
          <cell r="C135" t="str">
            <v>妖炎の夕霧</v>
          </cell>
          <cell r="D135" t="str">
            <v>初期ガチャ</v>
          </cell>
          <cell r="E135" t="str">
            <v>アバター</v>
          </cell>
          <cell r="F135" t="str">
            <v>美しい</v>
          </cell>
          <cell r="G135" t="str">
            <v>女性</v>
          </cell>
          <cell r="H135" t="str">
            <v>red</v>
          </cell>
          <cell r="I135">
            <v>3</v>
          </cell>
          <cell r="J135" t="str">
            <v>PremiumW</v>
          </cell>
          <cell r="K135" t="str">
            <v>balance</v>
          </cell>
          <cell r="L135" t="str">
            <v>バランスタイプ</v>
          </cell>
          <cell r="M135" t="str">
            <v>human</v>
          </cell>
        </row>
        <row r="136">
          <cell r="A136">
            <v>135</v>
          </cell>
          <cell r="B136" t="str">
            <v>ja</v>
          </cell>
          <cell r="C136" t="str">
            <v>京の炎華夕霧</v>
          </cell>
          <cell r="D136" t="str">
            <v>初期ガチャ</v>
          </cell>
          <cell r="E136" t="str">
            <v>アバター</v>
          </cell>
          <cell r="F136" t="str">
            <v>美しい</v>
          </cell>
          <cell r="G136" t="str">
            <v>女性</v>
          </cell>
          <cell r="H136" t="str">
            <v>red</v>
          </cell>
          <cell r="I136">
            <v>4</v>
          </cell>
          <cell r="J136" t="str">
            <v>PremiumW</v>
          </cell>
          <cell r="K136" t="str">
            <v>balance</v>
          </cell>
          <cell r="L136" t="str">
            <v>バランスタイプ</v>
          </cell>
          <cell r="M136" t="str">
            <v>human</v>
          </cell>
        </row>
        <row r="137">
          <cell r="A137">
            <v>136</v>
          </cell>
          <cell r="B137" t="str">
            <v>ja</v>
          </cell>
          <cell r="C137" t="str">
            <v>お針子チハヤ</v>
          </cell>
          <cell r="D137" t="str">
            <v>初期ガチャ</v>
          </cell>
          <cell r="E137" t="str">
            <v>アバター</v>
          </cell>
          <cell r="F137" t="str">
            <v>可愛い</v>
          </cell>
          <cell r="G137" t="str">
            <v>女性</v>
          </cell>
          <cell r="H137" t="str">
            <v>green</v>
          </cell>
          <cell r="I137">
            <v>3</v>
          </cell>
          <cell r="J137" t="str">
            <v>PremiumW</v>
          </cell>
          <cell r="K137" t="str">
            <v>balance</v>
          </cell>
          <cell r="L137" t="str">
            <v>バランスタイプ</v>
          </cell>
          <cell r="M137" t="str">
            <v>human</v>
          </cell>
        </row>
        <row r="138">
          <cell r="A138">
            <v>137</v>
          </cell>
          <cell r="B138" t="str">
            <v>ja</v>
          </cell>
          <cell r="C138" t="str">
            <v>清福の仕立屋 チハヤ</v>
          </cell>
          <cell r="D138" t="str">
            <v>初期ガチャ</v>
          </cell>
          <cell r="E138" t="str">
            <v>アバター</v>
          </cell>
          <cell r="F138" t="str">
            <v>可愛い</v>
          </cell>
          <cell r="G138" t="str">
            <v>女性</v>
          </cell>
          <cell r="H138" t="str">
            <v>green</v>
          </cell>
          <cell r="I138">
            <v>4</v>
          </cell>
          <cell r="J138" t="str">
            <v>PremiumW</v>
          </cell>
          <cell r="K138" t="str">
            <v>balance</v>
          </cell>
          <cell r="L138" t="str">
            <v>バランスタイプ</v>
          </cell>
          <cell r="M138" t="str">
            <v>human</v>
          </cell>
        </row>
        <row r="139">
          <cell r="A139">
            <v>138</v>
          </cell>
          <cell r="B139" t="str">
            <v>ja</v>
          </cell>
          <cell r="C139" t="str">
            <v>蒼薙のトモエ</v>
          </cell>
          <cell r="D139" t="str">
            <v>初期ガチャ</v>
          </cell>
          <cell r="E139" t="str">
            <v>アバター</v>
          </cell>
          <cell r="F139" t="str">
            <v>美しい</v>
          </cell>
          <cell r="G139" t="str">
            <v>女性</v>
          </cell>
          <cell r="H139" t="str">
            <v>blue</v>
          </cell>
          <cell r="I139">
            <v>3</v>
          </cell>
          <cell r="J139" t="str">
            <v>PremiumW</v>
          </cell>
          <cell r="K139" t="str">
            <v>balance</v>
          </cell>
          <cell r="L139" t="str">
            <v>バランスタイプ</v>
          </cell>
          <cell r="M139" t="str">
            <v>human</v>
          </cell>
        </row>
        <row r="140">
          <cell r="A140">
            <v>139</v>
          </cell>
          <cell r="B140" t="str">
            <v>ja</v>
          </cell>
          <cell r="C140" t="str">
            <v>蒼昇刃姫 トモエ</v>
          </cell>
          <cell r="D140" t="str">
            <v>初期ガチャ</v>
          </cell>
          <cell r="E140" t="str">
            <v>アバター</v>
          </cell>
          <cell r="F140" t="str">
            <v>美しい</v>
          </cell>
          <cell r="G140" t="str">
            <v>女性</v>
          </cell>
          <cell r="H140" t="str">
            <v>blue</v>
          </cell>
          <cell r="I140">
            <v>4</v>
          </cell>
          <cell r="J140" t="str">
            <v>PremiumW</v>
          </cell>
          <cell r="K140" t="str">
            <v>balance</v>
          </cell>
          <cell r="L140" t="str">
            <v>バランスタイプ</v>
          </cell>
          <cell r="M140" t="str">
            <v>human</v>
          </cell>
        </row>
        <row r="141">
          <cell r="A141">
            <v>140</v>
          </cell>
          <cell r="B141" t="str">
            <v>ja</v>
          </cell>
          <cell r="C141" t="str">
            <v>秋祭のタマモ</v>
          </cell>
          <cell r="D141" t="str">
            <v>初期ガチャ</v>
          </cell>
          <cell r="E141" t="str">
            <v>アバター</v>
          </cell>
          <cell r="F141" t="str">
            <v>可愛い</v>
          </cell>
          <cell r="G141" t="str">
            <v>女性</v>
          </cell>
          <cell r="H141" t="str">
            <v>yellow</v>
          </cell>
          <cell r="I141">
            <v>3</v>
          </cell>
          <cell r="J141" t="str">
            <v>PremiumW</v>
          </cell>
          <cell r="K141" t="str">
            <v>balance</v>
          </cell>
          <cell r="L141" t="str">
            <v>バランスタイプ</v>
          </cell>
          <cell r="M141" t="str">
            <v>animal</v>
          </cell>
        </row>
        <row r="142">
          <cell r="A142">
            <v>141</v>
          </cell>
          <cell r="B142" t="str">
            <v>ja</v>
          </cell>
          <cell r="C142" t="str">
            <v>妖狐演舞 タマモ</v>
          </cell>
          <cell r="D142" t="str">
            <v>初期ガチャ</v>
          </cell>
          <cell r="E142" t="str">
            <v>アバター</v>
          </cell>
          <cell r="F142" t="str">
            <v>可愛い</v>
          </cell>
          <cell r="G142" t="str">
            <v>女性</v>
          </cell>
          <cell r="H142" t="str">
            <v>yellow</v>
          </cell>
          <cell r="I142">
            <v>4</v>
          </cell>
          <cell r="J142" t="str">
            <v>PremiumW</v>
          </cell>
          <cell r="K142" t="str">
            <v>balance</v>
          </cell>
          <cell r="L142" t="str">
            <v>バランスタイプ</v>
          </cell>
          <cell r="M142" t="str">
            <v>animal</v>
          </cell>
        </row>
        <row r="143">
          <cell r="A143">
            <v>142</v>
          </cell>
          <cell r="B143" t="str">
            <v>ja</v>
          </cell>
          <cell r="C143" t="str">
            <v>赤ずきん</v>
          </cell>
          <cell r="D143" t="str">
            <v>初期ガチャ</v>
          </cell>
          <cell r="E143" t="str">
            <v>アバター</v>
          </cell>
          <cell r="F143" t="str">
            <v>可愛い</v>
          </cell>
          <cell r="G143" t="str">
            <v>女性</v>
          </cell>
          <cell r="H143" t="str">
            <v>red</v>
          </cell>
          <cell r="I143">
            <v>3</v>
          </cell>
          <cell r="J143" t="str">
            <v>PremiumW</v>
          </cell>
          <cell r="K143" t="str">
            <v>balance</v>
          </cell>
          <cell r="L143" t="str">
            <v>バランスタイプ</v>
          </cell>
          <cell r="M143" t="str">
            <v>human</v>
          </cell>
        </row>
        <row r="144">
          <cell r="A144">
            <v>143</v>
          </cell>
          <cell r="B144" t="str">
            <v>ja</v>
          </cell>
          <cell r="C144" t="str">
            <v>深紅の死神 赤ずきん</v>
          </cell>
          <cell r="D144" t="str">
            <v>初期ガチャ</v>
          </cell>
          <cell r="E144" t="str">
            <v>アバター</v>
          </cell>
          <cell r="F144" t="str">
            <v>可愛い</v>
          </cell>
          <cell r="G144" t="str">
            <v>女性</v>
          </cell>
          <cell r="H144" t="str">
            <v>red</v>
          </cell>
          <cell r="I144">
            <v>4</v>
          </cell>
          <cell r="J144" t="str">
            <v>PremiumW</v>
          </cell>
          <cell r="K144" t="str">
            <v>balance</v>
          </cell>
          <cell r="L144" t="str">
            <v>バランスタイプ</v>
          </cell>
          <cell r="M144" t="str">
            <v>human</v>
          </cell>
        </row>
        <row r="145">
          <cell r="A145">
            <v>144</v>
          </cell>
          <cell r="B145" t="str">
            <v>ja</v>
          </cell>
          <cell r="C145" t="str">
            <v>かぐや</v>
          </cell>
          <cell r="D145" t="str">
            <v>初期ガチャ</v>
          </cell>
          <cell r="E145" t="str">
            <v>アバター</v>
          </cell>
          <cell r="F145" t="str">
            <v>美しい</v>
          </cell>
          <cell r="G145" t="str">
            <v>女性</v>
          </cell>
          <cell r="H145" t="str">
            <v>green</v>
          </cell>
          <cell r="I145">
            <v>3</v>
          </cell>
          <cell r="J145" t="str">
            <v>PremiumW</v>
          </cell>
          <cell r="K145" t="str">
            <v>hp</v>
          </cell>
          <cell r="L145" t="str">
            <v>体力タイプ</v>
          </cell>
          <cell r="M145" t="str">
            <v>human</v>
          </cell>
        </row>
        <row r="146">
          <cell r="A146">
            <v>145</v>
          </cell>
          <cell r="B146" t="str">
            <v>ja</v>
          </cell>
          <cell r="C146" t="str">
            <v>魔性妖艶 かぐや</v>
          </cell>
          <cell r="D146" t="str">
            <v>初期ガチャ</v>
          </cell>
          <cell r="E146" t="str">
            <v>アバター</v>
          </cell>
          <cell r="F146" t="str">
            <v>美しい</v>
          </cell>
          <cell r="G146" t="str">
            <v>女性</v>
          </cell>
          <cell r="H146" t="str">
            <v>green</v>
          </cell>
          <cell r="I146">
            <v>4</v>
          </cell>
          <cell r="J146" t="str">
            <v>PremiumW</v>
          </cell>
          <cell r="K146" t="str">
            <v>hp</v>
          </cell>
          <cell r="L146" t="str">
            <v>体力タイプ</v>
          </cell>
          <cell r="M146" t="str">
            <v>human</v>
          </cell>
        </row>
        <row r="147">
          <cell r="A147">
            <v>146</v>
          </cell>
          <cell r="B147" t="str">
            <v>ja</v>
          </cell>
          <cell r="C147" t="str">
            <v>マーメイド</v>
          </cell>
          <cell r="D147" t="str">
            <v>初期ガチャ</v>
          </cell>
          <cell r="E147" t="str">
            <v>アバター</v>
          </cell>
          <cell r="F147" t="str">
            <v>可愛い</v>
          </cell>
          <cell r="G147" t="str">
            <v>女性</v>
          </cell>
          <cell r="H147" t="str">
            <v>blue</v>
          </cell>
          <cell r="I147">
            <v>3</v>
          </cell>
          <cell r="J147" t="str">
            <v>PremiumW</v>
          </cell>
          <cell r="K147" t="str">
            <v>hp</v>
          </cell>
          <cell r="L147" t="str">
            <v>体力タイプ</v>
          </cell>
          <cell r="M147" t="str">
            <v>human</v>
          </cell>
        </row>
        <row r="148">
          <cell r="A148">
            <v>147</v>
          </cell>
          <cell r="B148" t="str">
            <v>ja</v>
          </cell>
          <cell r="C148" t="str">
            <v>蒼き閃光 元マーメイド</v>
          </cell>
          <cell r="D148" t="str">
            <v>初期ガチャ</v>
          </cell>
          <cell r="E148" t="str">
            <v>アバター</v>
          </cell>
          <cell r="F148" t="str">
            <v>可愛い</v>
          </cell>
          <cell r="G148" t="str">
            <v>女性</v>
          </cell>
          <cell r="H148" t="str">
            <v>blue</v>
          </cell>
          <cell r="I148">
            <v>4</v>
          </cell>
          <cell r="J148" t="str">
            <v>PremiumW</v>
          </cell>
          <cell r="K148" t="str">
            <v>hp</v>
          </cell>
          <cell r="L148" t="str">
            <v>体力タイプ</v>
          </cell>
          <cell r="M148" t="str">
            <v>human</v>
          </cell>
        </row>
        <row r="149">
          <cell r="A149">
            <v>148</v>
          </cell>
          <cell r="B149" t="str">
            <v>ja</v>
          </cell>
          <cell r="C149" t="str">
            <v>シンデレラ</v>
          </cell>
          <cell r="D149" t="str">
            <v>初期ガチャ</v>
          </cell>
          <cell r="E149" t="str">
            <v>アバター</v>
          </cell>
          <cell r="F149" t="str">
            <v>美しい</v>
          </cell>
          <cell r="G149" t="str">
            <v>女性</v>
          </cell>
          <cell r="H149" t="str">
            <v>yellow</v>
          </cell>
          <cell r="I149">
            <v>3</v>
          </cell>
          <cell r="J149" t="str">
            <v>PremiumW</v>
          </cell>
          <cell r="K149" t="str">
            <v>balance</v>
          </cell>
          <cell r="L149" t="str">
            <v>バランスタイプ</v>
          </cell>
          <cell r="M149" t="str">
            <v>human</v>
          </cell>
        </row>
        <row r="150">
          <cell r="A150">
            <v>149</v>
          </cell>
          <cell r="B150" t="str">
            <v>ja</v>
          </cell>
          <cell r="C150" t="str">
            <v>雷撃蹴技を極めし者 シンデレラ</v>
          </cell>
          <cell r="D150" t="str">
            <v>初期ガチャ</v>
          </cell>
          <cell r="E150" t="str">
            <v>アバター</v>
          </cell>
          <cell r="F150" t="str">
            <v>美しい</v>
          </cell>
          <cell r="G150" t="str">
            <v>女性</v>
          </cell>
          <cell r="H150" t="str">
            <v>yellow</v>
          </cell>
          <cell r="I150">
            <v>4</v>
          </cell>
          <cell r="J150" t="str">
            <v>PremiumW</v>
          </cell>
          <cell r="K150" t="str">
            <v>balance</v>
          </cell>
          <cell r="L150" t="str">
            <v>バランスタイプ</v>
          </cell>
          <cell r="M150" t="str">
            <v>human</v>
          </cell>
        </row>
        <row r="151">
          <cell r="A151">
            <v>150</v>
          </cell>
          <cell r="B151" t="str">
            <v>ja</v>
          </cell>
          <cell r="C151" t="str">
            <v>ポイズンマスターサキ</v>
          </cell>
          <cell r="D151" t="str">
            <v>初期ガチャ</v>
          </cell>
          <cell r="E151" t="str">
            <v>アバター</v>
          </cell>
          <cell r="F151" t="str">
            <v>格好いい</v>
          </cell>
          <cell r="G151" t="str">
            <v>女性</v>
          </cell>
          <cell r="H151" t="str">
            <v>red</v>
          </cell>
          <cell r="I151">
            <v>3</v>
          </cell>
          <cell r="J151" t="str">
            <v>PremiumW</v>
          </cell>
          <cell r="K151" t="str">
            <v>technical</v>
          </cell>
          <cell r="L151" t="str">
            <v>テクニカルタイプ</v>
          </cell>
          <cell r="M151" t="str">
            <v>human</v>
          </cell>
        </row>
        <row r="152">
          <cell r="A152">
            <v>151</v>
          </cell>
          <cell r="B152" t="str">
            <v>ja</v>
          </cell>
          <cell r="C152" t="str">
            <v>毒煙の処刑人サキ</v>
          </cell>
          <cell r="D152" t="str">
            <v>初期ガチャ</v>
          </cell>
          <cell r="E152" t="str">
            <v>アバター</v>
          </cell>
          <cell r="F152" t="str">
            <v>格好いい</v>
          </cell>
          <cell r="G152" t="str">
            <v>女性</v>
          </cell>
          <cell r="H152" t="str">
            <v>red</v>
          </cell>
          <cell r="I152">
            <v>4</v>
          </cell>
          <cell r="J152" t="str">
            <v>PremiumW</v>
          </cell>
          <cell r="K152" t="str">
            <v>technical</v>
          </cell>
          <cell r="L152" t="str">
            <v>テクニカルタイプ</v>
          </cell>
          <cell r="M152" t="str">
            <v>human</v>
          </cell>
        </row>
        <row r="153">
          <cell r="A153">
            <v>152</v>
          </cell>
          <cell r="B153" t="str">
            <v>ja</v>
          </cell>
          <cell r="C153" t="str">
            <v>功夫少女ランラン</v>
          </cell>
          <cell r="D153" t="str">
            <v>初期ガチャ</v>
          </cell>
          <cell r="E153" t="str">
            <v>アバター</v>
          </cell>
          <cell r="F153" t="str">
            <v>可愛い</v>
          </cell>
          <cell r="G153" t="str">
            <v>女性</v>
          </cell>
          <cell r="H153" t="str">
            <v>green</v>
          </cell>
          <cell r="I153">
            <v>3</v>
          </cell>
          <cell r="J153" t="str">
            <v>PremiumW</v>
          </cell>
          <cell r="K153" t="str">
            <v>heal</v>
          </cell>
          <cell r="L153" t="str">
            <v>回復タイプ</v>
          </cell>
          <cell r="M153" t="str">
            <v>human</v>
          </cell>
        </row>
        <row r="154">
          <cell r="A154">
            <v>153</v>
          </cell>
          <cell r="B154" t="str">
            <v>ja</v>
          </cell>
          <cell r="C154" t="str">
            <v>拳聖ランラン</v>
          </cell>
          <cell r="D154" t="str">
            <v>初期ガチャ</v>
          </cell>
          <cell r="E154" t="str">
            <v>アバター</v>
          </cell>
          <cell r="F154" t="str">
            <v>可愛い</v>
          </cell>
          <cell r="G154" t="str">
            <v>女性</v>
          </cell>
          <cell r="H154" t="str">
            <v>green</v>
          </cell>
          <cell r="I154">
            <v>4</v>
          </cell>
          <cell r="J154" t="str">
            <v>PremiumW</v>
          </cell>
          <cell r="K154" t="str">
            <v>heal</v>
          </cell>
          <cell r="L154" t="str">
            <v>回復タイプ</v>
          </cell>
          <cell r="M154" t="str">
            <v>human</v>
          </cell>
        </row>
        <row r="155">
          <cell r="A155">
            <v>154</v>
          </cell>
          <cell r="B155" t="str">
            <v>ja</v>
          </cell>
          <cell r="C155" t="str">
            <v>始末屋 ハンナ</v>
          </cell>
          <cell r="D155" t="str">
            <v>初期ガチャ</v>
          </cell>
          <cell r="E155" t="str">
            <v>アバター</v>
          </cell>
          <cell r="F155" t="str">
            <v>美しい</v>
          </cell>
          <cell r="G155" t="str">
            <v>女性</v>
          </cell>
          <cell r="H155" t="str">
            <v>blue</v>
          </cell>
          <cell r="I155">
            <v>3</v>
          </cell>
          <cell r="J155" t="str">
            <v>PremiumW</v>
          </cell>
          <cell r="K155" t="str">
            <v>heal</v>
          </cell>
          <cell r="L155" t="str">
            <v>回復タイプ</v>
          </cell>
          <cell r="M155" t="str">
            <v>human</v>
          </cell>
        </row>
        <row r="156">
          <cell r="A156">
            <v>155</v>
          </cell>
          <cell r="B156" t="str">
            <v>ja</v>
          </cell>
          <cell r="C156" t="str">
            <v>隻眼の掃除屋 ハンナ</v>
          </cell>
          <cell r="D156" t="str">
            <v>初期ガチャ</v>
          </cell>
          <cell r="E156" t="str">
            <v>アバター</v>
          </cell>
          <cell r="F156" t="str">
            <v>美しい</v>
          </cell>
          <cell r="G156" t="str">
            <v>女性</v>
          </cell>
          <cell r="H156" t="str">
            <v>blue</v>
          </cell>
          <cell r="I156">
            <v>4</v>
          </cell>
          <cell r="J156" t="str">
            <v>PremiumW</v>
          </cell>
          <cell r="K156" t="str">
            <v>heal</v>
          </cell>
          <cell r="L156" t="str">
            <v>回復タイプ</v>
          </cell>
          <cell r="M156" t="str">
            <v>human</v>
          </cell>
        </row>
        <row r="157">
          <cell r="A157">
            <v>156</v>
          </cell>
          <cell r="B157" t="str">
            <v>ja</v>
          </cell>
          <cell r="C157" t="str">
            <v>踊り子 エレナ</v>
          </cell>
          <cell r="D157" t="str">
            <v>初期ガチャ</v>
          </cell>
          <cell r="E157" t="str">
            <v>アバター</v>
          </cell>
          <cell r="F157" t="str">
            <v>可愛い</v>
          </cell>
          <cell r="G157" t="str">
            <v>女性</v>
          </cell>
          <cell r="H157" t="str">
            <v>yellow</v>
          </cell>
          <cell r="I157">
            <v>3</v>
          </cell>
          <cell r="J157" t="str">
            <v>PremiumW</v>
          </cell>
          <cell r="K157" t="str">
            <v>heal</v>
          </cell>
          <cell r="L157" t="str">
            <v>回復タイプ</v>
          </cell>
          <cell r="M157" t="str">
            <v>human</v>
          </cell>
        </row>
        <row r="158">
          <cell r="A158">
            <v>157</v>
          </cell>
          <cell r="B158" t="str">
            <v>ja</v>
          </cell>
          <cell r="C158" t="str">
            <v>雷光舞姫 エレナ</v>
          </cell>
          <cell r="D158" t="str">
            <v>初期ガチャ</v>
          </cell>
          <cell r="E158" t="str">
            <v>アバター</v>
          </cell>
          <cell r="F158" t="str">
            <v>可愛い</v>
          </cell>
          <cell r="G158" t="str">
            <v>女性</v>
          </cell>
          <cell r="H158" t="str">
            <v>yellow</v>
          </cell>
          <cell r="I158">
            <v>4</v>
          </cell>
          <cell r="J158" t="str">
            <v>PremiumW</v>
          </cell>
          <cell r="K158" t="str">
            <v>heal</v>
          </cell>
          <cell r="L158" t="str">
            <v>回復タイプ</v>
          </cell>
          <cell r="M158" t="str">
            <v>human</v>
          </cell>
        </row>
        <row r="159">
          <cell r="A159">
            <v>158</v>
          </cell>
          <cell r="B159" t="str">
            <v>ja</v>
          </cell>
          <cell r="C159" t="str">
            <v>シスター シャルロッテ</v>
          </cell>
          <cell r="D159" t="str">
            <v>初期ガチャ</v>
          </cell>
          <cell r="E159" t="str">
            <v>アバター</v>
          </cell>
          <cell r="F159" t="str">
            <v>美しい</v>
          </cell>
          <cell r="G159" t="str">
            <v>女性</v>
          </cell>
          <cell r="H159" t="str">
            <v>red</v>
          </cell>
          <cell r="I159">
            <v>3</v>
          </cell>
          <cell r="J159" t="str">
            <v>PremiumW</v>
          </cell>
          <cell r="K159" t="str">
            <v>heal</v>
          </cell>
          <cell r="L159" t="str">
            <v>回復タイプ</v>
          </cell>
          <cell r="M159" t="str">
            <v>human</v>
          </cell>
        </row>
        <row r="160">
          <cell r="A160">
            <v>159</v>
          </cell>
          <cell r="B160" t="str">
            <v>ja</v>
          </cell>
          <cell r="C160" t="str">
            <v>邪を狩りし者 シャルロッテ</v>
          </cell>
          <cell r="D160" t="str">
            <v>初期ガチャ</v>
          </cell>
          <cell r="E160" t="str">
            <v>アバター</v>
          </cell>
          <cell r="F160" t="str">
            <v>美しい</v>
          </cell>
          <cell r="G160" t="str">
            <v>女性</v>
          </cell>
          <cell r="H160" t="str">
            <v>red</v>
          </cell>
          <cell r="I160">
            <v>4</v>
          </cell>
          <cell r="J160" t="str">
            <v>PremiumW</v>
          </cell>
          <cell r="K160" t="str">
            <v>heal</v>
          </cell>
          <cell r="L160" t="str">
            <v>回復タイプ</v>
          </cell>
          <cell r="M160" t="str">
            <v>human</v>
          </cell>
        </row>
        <row r="161">
          <cell r="A161">
            <v>160</v>
          </cell>
          <cell r="B161" t="str">
            <v>ja</v>
          </cell>
          <cell r="C161" t="str">
            <v>反逆者 クリエ</v>
          </cell>
          <cell r="D161" t="str">
            <v>初期ガチャ</v>
          </cell>
          <cell r="E161" t="str">
            <v>アバター</v>
          </cell>
          <cell r="F161" t="str">
            <v>格好いい</v>
          </cell>
          <cell r="G161" t="str">
            <v>女性</v>
          </cell>
          <cell r="H161" t="str">
            <v>green</v>
          </cell>
          <cell r="I161">
            <v>3</v>
          </cell>
          <cell r="J161" t="str">
            <v>PremiumW</v>
          </cell>
          <cell r="K161" t="str">
            <v>balance</v>
          </cell>
          <cell r="L161" t="str">
            <v>バランスタイプ</v>
          </cell>
          <cell r="M161" t="str">
            <v>human</v>
          </cell>
        </row>
        <row r="162">
          <cell r="A162">
            <v>161</v>
          </cell>
          <cell r="B162" t="str">
            <v>ja</v>
          </cell>
          <cell r="C162" t="str">
            <v>咆哮の先導者 クリエ</v>
          </cell>
          <cell r="D162" t="str">
            <v>初期ガチャ</v>
          </cell>
          <cell r="E162" t="str">
            <v>アバター</v>
          </cell>
          <cell r="F162" t="str">
            <v>格好いい</v>
          </cell>
          <cell r="G162" t="str">
            <v>女性</v>
          </cell>
          <cell r="H162" t="str">
            <v>green</v>
          </cell>
          <cell r="I162">
            <v>4</v>
          </cell>
          <cell r="J162" t="str">
            <v>PremiumW</v>
          </cell>
          <cell r="K162" t="str">
            <v>balance</v>
          </cell>
          <cell r="L162" t="str">
            <v>バランスタイプ</v>
          </cell>
          <cell r="M162" t="str">
            <v>human</v>
          </cell>
        </row>
        <row r="163">
          <cell r="A163">
            <v>162</v>
          </cell>
          <cell r="B163" t="str">
            <v>ja</v>
          </cell>
          <cell r="C163" t="str">
            <v>狂女 クララ</v>
          </cell>
          <cell r="D163" t="str">
            <v>初期ガチャ</v>
          </cell>
          <cell r="E163" t="str">
            <v>アバター</v>
          </cell>
          <cell r="F163" t="str">
            <v>美しい</v>
          </cell>
          <cell r="G163" t="str">
            <v>女性</v>
          </cell>
          <cell r="H163" t="str">
            <v>blue</v>
          </cell>
          <cell r="I163">
            <v>3</v>
          </cell>
          <cell r="J163" t="str">
            <v>PremiumW</v>
          </cell>
          <cell r="K163" t="str">
            <v>attack</v>
          </cell>
          <cell r="L163" t="str">
            <v>攻撃タイプ</v>
          </cell>
          <cell r="M163" t="str">
            <v>human</v>
          </cell>
        </row>
        <row r="164">
          <cell r="A164">
            <v>163</v>
          </cell>
          <cell r="B164" t="str">
            <v>ja</v>
          </cell>
          <cell r="C164" t="str">
            <v>冷酷な狂嬢 クララ</v>
          </cell>
          <cell r="D164" t="str">
            <v>初期ガチャ</v>
          </cell>
          <cell r="E164" t="str">
            <v>アバター</v>
          </cell>
          <cell r="F164" t="str">
            <v>美しい</v>
          </cell>
          <cell r="G164" t="str">
            <v>女性</v>
          </cell>
          <cell r="H164" t="str">
            <v>blue</v>
          </cell>
          <cell r="I164">
            <v>4</v>
          </cell>
          <cell r="J164" t="str">
            <v>PremiumW</v>
          </cell>
          <cell r="K164" t="str">
            <v>attack</v>
          </cell>
          <cell r="L164" t="str">
            <v>攻撃タイプ</v>
          </cell>
          <cell r="M164" t="str">
            <v>human</v>
          </cell>
        </row>
        <row r="165">
          <cell r="A165">
            <v>164</v>
          </cell>
          <cell r="B165" t="str">
            <v>ja</v>
          </cell>
          <cell r="C165" t="str">
            <v>イブとトモダチ</v>
          </cell>
          <cell r="D165" t="str">
            <v>初期ガチャ</v>
          </cell>
          <cell r="E165" t="str">
            <v>アバター</v>
          </cell>
          <cell r="F165" t="str">
            <v>可愛い</v>
          </cell>
          <cell r="G165" t="str">
            <v>女性</v>
          </cell>
          <cell r="H165" t="str">
            <v>yellow</v>
          </cell>
          <cell r="I165">
            <v>3</v>
          </cell>
          <cell r="J165" t="str">
            <v>PremiumW</v>
          </cell>
          <cell r="K165" t="str">
            <v>technical</v>
          </cell>
          <cell r="L165" t="str">
            <v>テクニカルタイプ</v>
          </cell>
          <cell r="M165" t="str">
            <v>human</v>
          </cell>
        </row>
        <row r="166">
          <cell r="A166">
            <v>165</v>
          </cell>
          <cell r="B166" t="str">
            <v>ja</v>
          </cell>
          <cell r="C166" t="str">
            <v>イブとたったひとりのトモダチ</v>
          </cell>
          <cell r="D166" t="str">
            <v>初期ガチャ</v>
          </cell>
          <cell r="E166" t="str">
            <v>アバター</v>
          </cell>
          <cell r="F166" t="str">
            <v>可愛い</v>
          </cell>
          <cell r="G166" t="str">
            <v>女性</v>
          </cell>
          <cell r="H166" t="str">
            <v>yellow</v>
          </cell>
          <cell r="I166">
            <v>4</v>
          </cell>
          <cell r="J166" t="str">
            <v>PremiumW</v>
          </cell>
          <cell r="K166" t="str">
            <v>technical</v>
          </cell>
          <cell r="L166" t="str">
            <v>テクニカルタイプ</v>
          </cell>
          <cell r="M166" t="str">
            <v>human</v>
          </cell>
        </row>
        <row r="167">
          <cell r="A167">
            <v>166</v>
          </cell>
          <cell r="B167" t="str">
            <v>ja</v>
          </cell>
          <cell r="C167" t="str">
            <v>ベリアル</v>
          </cell>
          <cell r="D167" t="str">
            <v>初期ガチャ</v>
          </cell>
          <cell r="E167" t="str">
            <v>執行者</v>
          </cell>
          <cell r="F167" t="str">
            <v>格好いい</v>
          </cell>
          <cell r="G167" t="str">
            <v>男性</v>
          </cell>
          <cell r="H167" t="str">
            <v>red</v>
          </cell>
          <cell r="I167">
            <v>3</v>
          </cell>
          <cell r="J167" t="str">
            <v>PremiumN</v>
          </cell>
          <cell r="K167" t="str">
            <v>attack</v>
          </cell>
          <cell r="L167" t="str">
            <v>攻撃タイプ</v>
          </cell>
          <cell r="M167" t="str">
            <v>god</v>
          </cell>
        </row>
        <row r="168">
          <cell r="A168">
            <v>167</v>
          </cell>
          <cell r="B168" t="str">
            <v>ja</v>
          </cell>
          <cell r="C168" t="str">
            <v>逆徒 ベリアル</v>
          </cell>
          <cell r="D168" t="str">
            <v>初期ガチャ</v>
          </cell>
          <cell r="E168" t="str">
            <v>執行者</v>
          </cell>
          <cell r="F168" t="str">
            <v>格好いい</v>
          </cell>
          <cell r="G168" t="str">
            <v>男性</v>
          </cell>
          <cell r="H168" t="str">
            <v>red</v>
          </cell>
          <cell r="I168">
            <v>4</v>
          </cell>
          <cell r="J168" t="str">
            <v>PremiumN</v>
          </cell>
          <cell r="K168" t="str">
            <v>attack</v>
          </cell>
          <cell r="L168" t="str">
            <v>攻撃タイプ</v>
          </cell>
          <cell r="M168" t="str">
            <v>god</v>
          </cell>
        </row>
        <row r="169">
          <cell r="A169">
            <v>168</v>
          </cell>
          <cell r="B169" t="str">
            <v>ja</v>
          </cell>
          <cell r="C169" t="str">
            <v>猛進の大逆者 ベリアル</v>
          </cell>
          <cell r="D169" t="str">
            <v>初期ガチャ</v>
          </cell>
          <cell r="E169" t="str">
            <v>執行者</v>
          </cell>
          <cell r="F169" t="str">
            <v>格好いい</v>
          </cell>
          <cell r="G169" t="str">
            <v>男性</v>
          </cell>
          <cell r="H169" t="str">
            <v>red</v>
          </cell>
          <cell r="I169">
            <v>5</v>
          </cell>
          <cell r="J169" t="str">
            <v>PremiumN</v>
          </cell>
          <cell r="K169" t="str">
            <v>attack</v>
          </cell>
          <cell r="L169" t="str">
            <v>攻撃タイプ</v>
          </cell>
          <cell r="M169" t="str">
            <v>god</v>
          </cell>
        </row>
        <row r="170">
          <cell r="A170">
            <v>169</v>
          </cell>
          <cell r="B170" t="str">
            <v>ja</v>
          </cell>
          <cell r="C170" t="str">
            <v>オセ</v>
          </cell>
          <cell r="D170" t="str">
            <v>初期ガチャ</v>
          </cell>
          <cell r="E170" t="str">
            <v>執行者</v>
          </cell>
          <cell r="F170" t="str">
            <v>美しい</v>
          </cell>
          <cell r="G170" t="str">
            <v>女性</v>
          </cell>
          <cell r="H170" t="str">
            <v>green</v>
          </cell>
          <cell r="I170">
            <v>3</v>
          </cell>
          <cell r="J170" t="str">
            <v>PremiumN</v>
          </cell>
          <cell r="K170" t="str">
            <v>attack</v>
          </cell>
          <cell r="L170" t="str">
            <v>攻撃タイプ</v>
          </cell>
          <cell r="M170" t="str">
            <v>god</v>
          </cell>
        </row>
        <row r="171">
          <cell r="A171">
            <v>170</v>
          </cell>
          <cell r="B171" t="str">
            <v>ja</v>
          </cell>
          <cell r="C171" t="str">
            <v>識徒 オセ</v>
          </cell>
          <cell r="D171" t="str">
            <v>初期ガチャ</v>
          </cell>
          <cell r="E171" t="str">
            <v>執行者</v>
          </cell>
          <cell r="F171" t="str">
            <v>美しい</v>
          </cell>
          <cell r="G171" t="str">
            <v>女性</v>
          </cell>
          <cell r="H171" t="str">
            <v>green</v>
          </cell>
          <cell r="I171">
            <v>4</v>
          </cell>
          <cell r="J171" t="str">
            <v>PremiumN</v>
          </cell>
          <cell r="K171" t="str">
            <v>attack</v>
          </cell>
          <cell r="L171" t="str">
            <v>攻撃タイプ</v>
          </cell>
          <cell r="M171" t="str">
            <v>god</v>
          </cell>
        </row>
        <row r="172">
          <cell r="A172">
            <v>171</v>
          </cell>
          <cell r="B172" t="str">
            <v>ja</v>
          </cell>
          <cell r="C172" t="str">
            <v>精解の預知者 オセ</v>
          </cell>
          <cell r="D172" t="str">
            <v>初期ガチャ</v>
          </cell>
          <cell r="E172" t="str">
            <v>執行者</v>
          </cell>
          <cell r="F172" t="str">
            <v>美しい</v>
          </cell>
          <cell r="G172" t="str">
            <v>女性</v>
          </cell>
          <cell r="H172" t="str">
            <v>green</v>
          </cell>
          <cell r="I172">
            <v>5</v>
          </cell>
          <cell r="J172" t="str">
            <v>PremiumN</v>
          </cell>
          <cell r="K172" t="str">
            <v>attack</v>
          </cell>
          <cell r="L172" t="str">
            <v>攻撃タイプ</v>
          </cell>
          <cell r="M172" t="str">
            <v>god</v>
          </cell>
        </row>
        <row r="173">
          <cell r="A173">
            <v>172</v>
          </cell>
          <cell r="B173" t="str">
            <v>ja</v>
          </cell>
          <cell r="C173" t="str">
            <v>フォルネウス</v>
          </cell>
          <cell r="D173" t="str">
            <v>初期ガチャ</v>
          </cell>
          <cell r="E173" t="str">
            <v>執行者</v>
          </cell>
          <cell r="F173" t="str">
            <v>可愛い</v>
          </cell>
          <cell r="G173" t="str">
            <v>女性</v>
          </cell>
          <cell r="H173" t="str">
            <v>blue</v>
          </cell>
          <cell r="I173">
            <v>3</v>
          </cell>
          <cell r="J173" t="str">
            <v>PremiumN</v>
          </cell>
          <cell r="K173" t="str">
            <v>attack</v>
          </cell>
          <cell r="L173" t="str">
            <v>攻撃タイプ</v>
          </cell>
          <cell r="M173" t="str">
            <v>god</v>
          </cell>
        </row>
        <row r="174">
          <cell r="A174">
            <v>173</v>
          </cell>
          <cell r="B174" t="str">
            <v>ja</v>
          </cell>
          <cell r="C174" t="str">
            <v>公爵 フォルネウス</v>
          </cell>
          <cell r="D174" t="str">
            <v>初期ガチャ</v>
          </cell>
          <cell r="E174" t="str">
            <v>執行者</v>
          </cell>
          <cell r="F174" t="str">
            <v>可愛い</v>
          </cell>
          <cell r="G174" t="str">
            <v>女性</v>
          </cell>
          <cell r="H174" t="str">
            <v>blue</v>
          </cell>
          <cell r="I174">
            <v>4</v>
          </cell>
          <cell r="J174" t="str">
            <v>PremiumN</v>
          </cell>
          <cell r="K174" t="str">
            <v>attack</v>
          </cell>
          <cell r="L174" t="str">
            <v>攻撃タイプ</v>
          </cell>
          <cell r="M174" t="str">
            <v>god</v>
          </cell>
        </row>
        <row r="175">
          <cell r="A175">
            <v>174</v>
          </cell>
          <cell r="B175" t="str">
            <v>ja</v>
          </cell>
          <cell r="C175" t="str">
            <v>偽愛の大公爵 フォルネウス</v>
          </cell>
          <cell r="D175" t="str">
            <v>初期ガチャ</v>
          </cell>
          <cell r="E175" t="str">
            <v>執行者</v>
          </cell>
          <cell r="F175" t="str">
            <v>可愛い</v>
          </cell>
          <cell r="G175" t="str">
            <v>女性</v>
          </cell>
          <cell r="H175" t="str">
            <v>blue</v>
          </cell>
          <cell r="I175">
            <v>5</v>
          </cell>
          <cell r="J175" t="str">
            <v>PremiumN</v>
          </cell>
          <cell r="K175" t="str">
            <v>attack</v>
          </cell>
          <cell r="L175" t="str">
            <v>攻撃タイプ</v>
          </cell>
          <cell r="M175" t="str">
            <v>god</v>
          </cell>
        </row>
        <row r="176">
          <cell r="A176">
            <v>175</v>
          </cell>
          <cell r="B176" t="str">
            <v>ja</v>
          </cell>
          <cell r="C176" t="str">
            <v>バフォメット</v>
          </cell>
          <cell r="D176" t="str">
            <v>初期ガチャ</v>
          </cell>
          <cell r="E176" t="str">
            <v>執行者</v>
          </cell>
          <cell r="F176" t="str">
            <v>美しい</v>
          </cell>
          <cell r="G176" t="str">
            <v>女性</v>
          </cell>
          <cell r="H176" t="str">
            <v>yellow</v>
          </cell>
          <cell r="I176">
            <v>3</v>
          </cell>
          <cell r="J176" t="str">
            <v>PremiumN</v>
          </cell>
          <cell r="K176" t="str">
            <v>attack</v>
          </cell>
          <cell r="L176" t="str">
            <v>攻撃タイプ</v>
          </cell>
          <cell r="M176" t="str">
            <v>god</v>
          </cell>
        </row>
        <row r="177">
          <cell r="A177">
            <v>176</v>
          </cell>
          <cell r="B177" t="str">
            <v>ja</v>
          </cell>
          <cell r="C177" t="str">
            <v>異教徒 バフォメット</v>
          </cell>
          <cell r="D177" t="str">
            <v>初期ガチャ</v>
          </cell>
          <cell r="E177" t="str">
            <v>執行者</v>
          </cell>
          <cell r="F177" t="str">
            <v>美しい</v>
          </cell>
          <cell r="G177" t="str">
            <v>女性</v>
          </cell>
          <cell r="H177" t="str">
            <v>yellow</v>
          </cell>
          <cell r="I177">
            <v>4</v>
          </cell>
          <cell r="J177" t="str">
            <v>PremiumN</v>
          </cell>
          <cell r="K177" t="str">
            <v>attack</v>
          </cell>
          <cell r="L177" t="str">
            <v>攻撃タイプ</v>
          </cell>
          <cell r="M177" t="str">
            <v>god</v>
          </cell>
        </row>
        <row r="178">
          <cell r="A178">
            <v>177</v>
          </cell>
          <cell r="B178" t="str">
            <v>ja</v>
          </cell>
          <cell r="C178" t="str">
            <v>黒魔の異端師 バフォメット</v>
          </cell>
          <cell r="D178" t="str">
            <v>初期ガチャ</v>
          </cell>
          <cell r="E178" t="str">
            <v>執行者</v>
          </cell>
          <cell r="F178" t="str">
            <v>美しい</v>
          </cell>
          <cell r="G178" t="str">
            <v>女性</v>
          </cell>
          <cell r="H178" t="str">
            <v>yellow</v>
          </cell>
          <cell r="I178">
            <v>5</v>
          </cell>
          <cell r="J178" t="str">
            <v>PremiumN</v>
          </cell>
          <cell r="K178" t="str">
            <v>attack</v>
          </cell>
          <cell r="L178" t="str">
            <v>攻撃タイプ</v>
          </cell>
          <cell r="M178" t="str">
            <v>god</v>
          </cell>
        </row>
        <row r="179">
          <cell r="A179">
            <v>178</v>
          </cell>
          <cell r="B179" t="str">
            <v>ja</v>
          </cell>
          <cell r="C179" t="str">
            <v>ケルベロス</v>
          </cell>
          <cell r="D179" t="str">
            <v>初期ガチャ</v>
          </cell>
          <cell r="E179" t="str">
            <v>破界者</v>
          </cell>
          <cell r="F179" t="str">
            <v>可愛い</v>
          </cell>
          <cell r="G179" t="str">
            <v>女性</v>
          </cell>
          <cell r="H179" t="str">
            <v>red</v>
          </cell>
          <cell r="I179">
            <v>3</v>
          </cell>
          <cell r="J179" t="str">
            <v>PremiumN</v>
          </cell>
          <cell r="K179" t="str">
            <v>balance</v>
          </cell>
          <cell r="L179" t="str">
            <v>バランスタイプ</v>
          </cell>
          <cell r="M179" t="str">
            <v>animal</v>
          </cell>
        </row>
        <row r="180">
          <cell r="A180">
            <v>179</v>
          </cell>
          <cell r="B180" t="str">
            <v>ja</v>
          </cell>
          <cell r="C180" t="str">
            <v>番犬 ケルベロス</v>
          </cell>
          <cell r="D180" t="str">
            <v>初期ガチャ</v>
          </cell>
          <cell r="E180" t="str">
            <v>破界者</v>
          </cell>
          <cell r="F180" t="str">
            <v>可愛い</v>
          </cell>
          <cell r="G180" t="str">
            <v>女性</v>
          </cell>
          <cell r="H180" t="str">
            <v>red</v>
          </cell>
          <cell r="I180">
            <v>4</v>
          </cell>
          <cell r="J180" t="str">
            <v>PremiumN</v>
          </cell>
          <cell r="K180" t="str">
            <v>balance</v>
          </cell>
          <cell r="L180" t="str">
            <v>バランスタイプ</v>
          </cell>
          <cell r="M180" t="str">
            <v>animal</v>
          </cell>
        </row>
        <row r="181">
          <cell r="A181">
            <v>180</v>
          </cell>
          <cell r="B181" t="str">
            <v>ja</v>
          </cell>
          <cell r="C181" t="str">
            <v>地獄の大門番 ケルベロス</v>
          </cell>
          <cell r="D181" t="str">
            <v>初期ガチャ</v>
          </cell>
          <cell r="E181" t="str">
            <v>破界者</v>
          </cell>
          <cell r="F181" t="str">
            <v>可愛い</v>
          </cell>
          <cell r="G181" t="str">
            <v>女性</v>
          </cell>
          <cell r="H181" t="str">
            <v>red</v>
          </cell>
          <cell r="I181">
            <v>5</v>
          </cell>
          <cell r="J181" t="str">
            <v>PremiumN</v>
          </cell>
          <cell r="K181" t="str">
            <v>balance</v>
          </cell>
          <cell r="L181" t="str">
            <v>バランスタイプ</v>
          </cell>
          <cell r="M181" t="str">
            <v>animal</v>
          </cell>
        </row>
        <row r="182">
          <cell r="A182">
            <v>181</v>
          </cell>
          <cell r="B182" t="str">
            <v>ja</v>
          </cell>
          <cell r="C182" t="str">
            <v>ベヒモス</v>
          </cell>
          <cell r="D182" t="str">
            <v>初期ガチャ</v>
          </cell>
          <cell r="E182" t="str">
            <v>破界者</v>
          </cell>
          <cell r="F182" t="str">
            <v>可愛い</v>
          </cell>
          <cell r="G182" t="str">
            <v>女性</v>
          </cell>
          <cell r="H182" t="str">
            <v>green</v>
          </cell>
          <cell r="I182">
            <v>3</v>
          </cell>
          <cell r="J182" t="str">
            <v>PremiumN</v>
          </cell>
          <cell r="K182" t="str">
            <v>hp</v>
          </cell>
          <cell r="L182" t="str">
            <v>体力タイプ</v>
          </cell>
          <cell r="M182" t="str">
            <v>animal</v>
          </cell>
        </row>
        <row r="183">
          <cell r="A183">
            <v>182</v>
          </cell>
          <cell r="B183" t="str">
            <v>ja</v>
          </cell>
          <cell r="C183" t="str">
            <v>放蕩者 ベヒモス</v>
          </cell>
          <cell r="D183" t="str">
            <v>初期ガチャ</v>
          </cell>
          <cell r="E183" t="str">
            <v>破界者</v>
          </cell>
          <cell r="F183" t="str">
            <v>可愛い</v>
          </cell>
          <cell r="G183" t="str">
            <v>女性</v>
          </cell>
          <cell r="H183" t="str">
            <v>green</v>
          </cell>
          <cell r="I183">
            <v>4</v>
          </cell>
          <cell r="J183" t="str">
            <v>PremiumN</v>
          </cell>
          <cell r="K183" t="str">
            <v>hp</v>
          </cell>
          <cell r="L183" t="str">
            <v>体力タイプ</v>
          </cell>
          <cell r="M183" t="str">
            <v>animal</v>
          </cell>
        </row>
        <row r="184">
          <cell r="A184">
            <v>183</v>
          </cell>
          <cell r="B184" t="str">
            <v>ja</v>
          </cell>
          <cell r="C184" t="str">
            <v>鈍重な彷徨者 ベヒモス</v>
          </cell>
          <cell r="D184" t="str">
            <v>初期ガチャ</v>
          </cell>
          <cell r="E184" t="str">
            <v>破界者</v>
          </cell>
          <cell r="F184" t="str">
            <v>可愛い</v>
          </cell>
          <cell r="G184" t="str">
            <v>女性</v>
          </cell>
          <cell r="H184" t="str">
            <v>green</v>
          </cell>
          <cell r="I184">
            <v>5</v>
          </cell>
          <cell r="J184" t="str">
            <v>PremiumN</v>
          </cell>
          <cell r="K184" t="str">
            <v>hp</v>
          </cell>
          <cell r="L184" t="str">
            <v>体力タイプ</v>
          </cell>
          <cell r="M184" t="str">
            <v>animal</v>
          </cell>
        </row>
        <row r="185">
          <cell r="A185">
            <v>184</v>
          </cell>
          <cell r="B185" t="str">
            <v>ja</v>
          </cell>
          <cell r="C185" t="str">
            <v>クラーケン</v>
          </cell>
          <cell r="D185" t="str">
            <v>初期ガチャ</v>
          </cell>
          <cell r="E185" t="str">
            <v>破界者</v>
          </cell>
          <cell r="F185" t="str">
            <v>美しい</v>
          </cell>
          <cell r="G185" t="str">
            <v>女性</v>
          </cell>
          <cell r="H185" t="str">
            <v>blue</v>
          </cell>
          <cell r="I185">
            <v>3</v>
          </cell>
          <cell r="J185" t="str">
            <v>PremiumN</v>
          </cell>
          <cell r="K185" t="str">
            <v>heal</v>
          </cell>
          <cell r="L185" t="str">
            <v>回復タイプ</v>
          </cell>
          <cell r="M185" t="str">
            <v>animal</v>
          </cell>
        </row>
        <row r="186">
          <cell r="A186">
            <v>185</v>
          </cell>
          <cell r="B186" t="str">
            <v>ja</v>
          </cell>
          <cell r="C186" t="str">
            <v>海姫 クラーケン</v>
          </cell>
          <cell r="D186" t="str">
            <v>初期ガチャ</v>
          </cell>
          <cell r="E186" t="str">
            <v>破界者</v>
          </cell>
          <cell r="F186" t="str">
            <v>美しい</v>
          </cell>
          <cell r="G186" t="str">
            <v>女性</v>
          </cell>
          <cell r="H186" t="str">
            <v>blue</v>
          </cell>
          <cell r="I186">
            <v>4</v>
          </cell>
          <cell r="J186" t="str">
            <v>PremiumN</v>
          </cell>
          <cell r="K186" t="str">
            <v>heal</v>
          </cell>
          <cell r="L186" t="str">
            <v>回復タイプ</v>
          </cell>
          <cell r="M186" t="str">
            <v>animal</v>
          </cell>
        </row>
        <row r="187">
          <cell r="A187">
            <v>186</v>
          </cell>
          <cell r="B187" t="str">
            <v>ja</v>
          </cell>
          <cell r="C187" t="str">
            <v>誇り高き多触姫・クラーケン</v>
          </cell>
          <cell r="D187" t="str">
            <v>初期ガチャ</v>
          </cell>
          <cell r="E187" t="str">
            <v>破界者</v>
          </cell>
          <cell r="F187" t="str">
            <v>美しい</v>
          </cell>
          <cell r="G187" t="str">
            <v>女性</v>
          </cell>
          <cell r="H187" t="str">
            <v>blue</v>
          </cell>
          <cell r="I187">
            <v>5</v>
          </cell>
          <cell r="J187" t="str">
            <v>PremiumN</v>
          </cell>
          <cell r="K187" t="str">
            <v>heal</v>
          </cell>
          <cell r="L187" t="str">
            <v>回復タイプ</v>
          </cell>
          <cell r="M187" t="str">
            <v>animal</v>
          </cell>
        </row>
        <row r="188">
          <cell r="A188">
            <v>187</v>
          </cell>
          <cell r="B188" t="str">
            <v>ja</v>
          </cell>
          <cell r="C188" t="str">
            <v>ホルス</v>
          </cell>
          <cell r="D188" t="str">
            <v>初期ガチャ</v>
          </cell>
          <cell r="E188" t="str">
            <v>破界者</v>
          </cell>
          <cell r="F188" t="str">
            <v>美しい</v>
          </cell>
          <cell r="G188" t="str">
            <v>女性</v>
          </cell>
          <cell r="H188" t="str">
            <v>yellow</v>
          </cell>
          <cell r="I188">
            <v>3</v>
          </cell>
          <cell r="J188" t="str">
            <v>PremiumN</v>
          </cell>
          <cell r="K188" t="str">
            <v>attack</v>
          </cell>
          <cell r="L188" t="str">
            <v>攻撃タイプ</v>
          </cell>
          <cell r="M188" t="str">
            <v>animal</v>
          </cell>
        </row>
        <row r="189">
          <cell r="A189">
            <v>188</v>
          </cell>
          <cell r="B189" t="str">
            <v>ja</v>
          </cell>
          <cell r="C189" t="str">
            <v>猛禽 ホルス</v>
          </cell>
          <cell r="D189" t="str">
            <v>初期ガチャ</v>
          </cell>
          <cell r="E189" t="str">
            <v>破界者</v>
          </cell>
          <cell r="F189" t="str">
            <v>美しい</v>
          </cell>
          <cell r="G189" t="str">
            <v>女性</v>
          </cell>
          <cell r="H189" t="str">
            <v>yellow</v>
          </cell>
          <cell r="I189">
            <v>4</v>
          </cell>
          <cell r="J189" t="str">
            <v>PremiumN</v>
          </cell>
          <cell r="K189" t="str">
            <v>attack</v>
          </cell>
          <cell r="L189" t="str">
            <v>攻撃タイプ</v>
          </cell>
          <cell r="M189" t="str">
            <v>animal</v>
          </cell>
        </row>
        <row r="190">
          <cell r="A190">
            <v>189</v>
          </cell>
          <cell r="B190" t="str">
            <v>ja</v>
          </cell>
          <cell r="C190" t="str">
            <v>迅雷の王禽 ホルス</v>
          </cell>
          <cell r="D190" t="str">
            <v>初期ガチャ</v>
          </cell>
          <cell r="E190" t="str">
            <v>破界者</v>
          </cell>
          <cell r="F190" t="str">
            <v>美しい</v>
          </cell>
          <cell r="G190" t="str">
            <v>女性</v>
          </cell>
          <cell r="H190" t="str">
            <v>yellow</v>
          </cell>
          <cell r="I190">
            <v>5</v>
          </cell>
          <cell r="J190" t="str">
            <v>PremiumN</v>
          </cell>
          <cell r="K190" t="str">
            <v>attack</v>
          </cell>
          <cell r="L190" t="str">
            <v>攻撃タイプ</v>
          </cell>
          <cell r="M190" t="str">
            <v>animal</v>
          </cell>
        </row>
        <row r="191">
          <cell r="A191">
            <v>190</v>
          </cell>
          <cell r="B191" t="str">
            <v>ja</v>
          </cell>
          <cell r="C191" t="str">
            <v>卑弥呼</v>
          </cell>
          <cell r="D191" t="str">
            <v>初期ガチャ</v>
          </cell>
          <cell r="E191" t="str">
            <v>守護者</v>
          </cell>
          <cell r="F191" t="str">
            <v>美しい</v>
          </cell>
          <cell r="G191" t="str">
            <v>女性</v>
          </cell>
          <cell r="H191" t="str">
            <v>red</v>
          </cell>
          <cell r="I191">
            <v>3</v>
          </cell>
          <cell r="J191" t="str">
            <v>PremiumN</v>
          </cell>
          <cell r="K191" t="str">
            <v>balance</v>
          </cell>
          <cell r="L191" t="str">
            <v>バランスタイプ</v>
          </cell>
          <cell r="M191" t="str">
            <v>human</v>
          </cell>
        </row>
        <row r="192">
          <cell r="A192">
            <v>191</v>
          </cell>
          <cell r="B192" t="str">
            <v>ja</v>
          </cell>
          <cell r="C192" t="str">
            <v>始祖 卑弥呼</v>
          </cell>
          <cell r="D192" t="str">
            <v>初期ガチャ</v>
          </cell>
          <cell r="E192" t="str">
            <v>守護者</v>
          </cell>
          <cell r="F192" t="str">
            <v>美しい</v>
          </cell>
          <cell r="G192" t="str">
            <v>女性</v>
          </cell>
          <cell r="H192" t="str">
            <v>red</v>
          </cell>
          <cell r="I192">
            <v>4</v>
          </cell>
          <cell r="J192" t="str">
            <v>PremiumN</v>
          </cell>
          <cell r="K192" t="str">
            <v>balance</v>
          </cell>
          <cell r="L192" t="str">
            <v>バランスタイプ</v>
          </cell>
          <cell r="M192" t="str">
            <v>human</v>
          </cell>
        </row>
        <row r="193">
          <cell r="A193">
            <v>192</v>
          </cell>
          <cell r="B193" t="str">
            <v>ja</v>
          </cell>
          <cell r="C193" t="str">
            <v>荘厳なる始祖帝 卑弥呼</v>
          </cell>
          <cell r="D193" t="str">
            <v>初期ガチャ</v>
          </cell>
          <cell r="E193" t="str">
            <v>守護者</v>
          </cell>
          <cell r="F193" t="str">
            <v>美しい</v>
          </cell>
          <cell r="G193" t="str">
            <v>女性</v>
          </cell>
          <cell r="H193" t="str">
            <v>red</v>
          </cell>
          <cell r="I193">
            <v>5</v>
          </cell>
          <cell r="J193" t="str">
            <v>PremiumN</v>
          </cell>
          <cell r="K193" t="str">
            <v>balance</v>
          </cell>
          <cell r="L193" t="str">
            <v>バランスタイプ</v>
          </cell>
          <cell r="M193" t="str">
            <v>human</v>
          </cell>
        </row>
        <row r="194">
          <cell r="A194">
            <v>193</v>
          </cell>
          <cell r="B194" t="str">
            <v>ja</v>
          </cell>
          <cell r="C194" t="str">
            <v>ロビンフッド</v>
          </cell>
          <cell r="D194" t="str">
            <v>初期ガチャ</v>
          </cell>
          <cell r="E194" t="str">
            <v>守護者</v>
          </cell>
          <cell r="F194" t="str">
            <v>可愛い</v>
          </cell>
          <cell r="G194" t="str">
            <v>女性</v>
          </cell>
          <cell r="H194" t="str">
            <v>green</v>
          </cell>
          <cell r="I194">
            <v>3</v>
          </cell>
          <cell r="J194" t="str">
            <v>PremiumN</v>
          </cell>
          <cell r="K194" t="str">
            <v>balance</v>
          </cell>
          <cell r="L194" t="str">
            <v>バランスタイプ</v>
          </cell>
          <cell r="M194" t="str">
            <v>human</v>
          </cell>
        </row>
        <row r="195">
          <cell r="A195">
            <v>194</v>
          </cell>
          <cell r="B195" t="str">
            <v>ja</v>
          </cell>
          <cell r="C195" t="str">
            <v>スナイパー ロビンフッド</v>
          </cell>
          <cell r="D195" t="str">
            <v>初期ガチャ</v>
          </cell>
          <cell r="E195" t="str">
            <v>守護者</v>
          </cell>
          <cell r="F195" t="str">
            <v>可愛い</v>
          </cell>
          <cell r="G195" t="str">
            <v>女性</v>
          </cell>
          <cell r="H195" t="str">
            <v>green</v>
          </cell>
          <cell r="I195">
            <v>4</v>
          </cell>
          <cell r="J195" t="str">
            <v>PremiumN</v>
          </cell>
          <cell r="K195" t="str">
            <v>balance</v>
          </cell>
          <cell r="L195" t="str">
            <v>バランスタイプ</v>
          </cell>
          <cell r="M195" t="str">
            <v>human</v>
          </cell>
        </row>
        <row r="196">
          <cell r="A196">
            <v>195</v>
          </cell>
          <cell r="B196" t="str">
            <v>ja</v>
          </cell>
          <cell r="C196" t="str">
            <v>グランドハンター ロビンフッド</v>
          </cell>
          <cell r="D196" t="str">
            <v>初期ガチャ</v>
          </cell>
          <cell r="E196" t="str">
            <v>守護者</v>
          </cell>
          <cell r="F196" t="str">
            <v>可愛い</v>
          </cell>
          <cell r="G196" t="str">
            <v>女性</v>
          </cell>
          <cell r="H196" t="str">
            <v>green</v>
          </cell>
          <cell r="I196">
            <v>5</v>
          </cell>
          <cell r="J196" t="str">
            <v>PremiumN</v>
          </cell>
          <cell r="K196" t="str">
            <v>balance</v>
          </cell>
          <cell r="L196" t="str">
            <v>バランスタイプ</v>
          </cell>
          <cell r="M196" t="str">
            <v>human</v>
          </cell>
        </row>
        <row r="197">
          <cell r="A197">
            <v>196</v>
          </cell>
          <cell r="B197" t="str">
            <v>ja</v>
          </cell>
          <cell r="C197" t="str">
            <v>アキレス</v>
          </cell>
          <cell r="D197" t="str">
            <v>初期ガチャ</v>
          </cell>
          <cell r="E197" t="str">
            <v>守護者</v>
          </cell>
          <cell r="F197" t="str">
            <v>美しい</v>
          </cell>
          <cell r="G197" t="str">
            <v>女性</v>
          </cell>
          <cell r="H197" t="str">
            <v>yellow</v>
          </cell>
          <cell r="I197">
            <v>3</v>
          </cell>
          <cell r="J197" t="str">
            <v>PremiumN</v>
          </cell>
          <cell r="K197" t="str">
            <v>balance</v>
          </cell>
          <cell r="L197" t="str">
            <v>バランスタイプ</v>
          </cell>
          <cell r="M197" t="str">
            <v>human</v>
          </cell>
        </row>
        <row r="198">
          <cell r="A198">
            <v>197</v>
          </cell>
          <cell r="B198" t="str">
            <v>ja</v>
          </cell>
          <cell r="C198" t="str">
            <v>鉄腕 アキレス</v>
          </cell>
          <cell r="D198" t="str">
            <v>初期ガチャ</v>
          </cell>
          <cell r="E198" t="str">
            <v>守護者</v>
          </cell>
          <cell r="F198" t="str">
            <v>美しい</v>
          </cell>
          <cell r="G198" t="str">
            <v>女性</v>
          </cell>
          <cell r="H198" t="str">
            <v>yellow</v>
          </cell>
          <cell r="I198">
            <v>4</v>
          </cell>
          <cell r="J198" t="str">
            <v>PremiumN</v>
          </cell>
          <cell r="K198" t="str">
            <v>balance</v>
          </cell>
          <cell r="L198" t="str">
            <v>バランスタイプ</v>
          </cell>
          <cell r="M198" t="str">
            <v>human</v>
          </cell>
        </row>
        <row r="199">
          <cell r="A199">
            <v>198</v>
          </cell>
          <cell r="B199" t="str">
            <v>ja</v>
          </cell>
          <cell r="C199" t="str">
            <v>砕骨の剛腕 アキレス</v>
          </cell>
          <cell r="D199" t="str">
            <v>初期ガチャ</v>
          </cell>
          <cell r="E199" t="str">
            <v>守護者</v>
          </cell>
          <cell r="F199" t="str">
            <v>美しい</v>
          </cell>
          <cell r="G199" t="str">
            <v>女性</v>
          </cell>
          <cell r="H199" t="str">
            <v>yellow</v>
          </cell>
          <cell r="I199">
            <v>5</v>
          </cell>
          <cell r="J199" t="str">
            <v>PremiumN</v>
          </cell>
          <cell r="K199" t="str">
            <v>balance</v>
          </cell>
          <cell r="L199" t="str">
            <v>バランスタイプ</v>
          </cell>
          <cell r="M199" t="str">
            <v>human</v>
          </cell>
        </row>
        <row r="200">
          <cell r="A200">
            <v>199</v>
          </cell>
          <cell r="B200" t="str">
            <v>ja</v>
          </cell>
          <cell r="C200" t="str">
            <v>ジークフリート</v>
          </cell>
          <cell r="D200" t="str">
            <v>初期ガチャ</v>
          </cell>
          <cell r="E200" t="str">
            <v>守護者</v>
          </cell>
          <cell r="F200" t="str">
            <v>格好いい</v>
          </cell>
          <cell r="G200" t="str">
            <v>男性</v>
          </cell>
          <cell r="H200" t="str">
            <v>blue</v>
          </cell>
          <cell r="I200">
            <v>3</v>
          </cell>
          <cell r="J200" t="str">
            <v>PremiumN</v>
          </cell>
          <cell r="K200" t="str">
            <v>balance</v>
          </cell>
          <cell r="L200" t="str">
            <v>バランスタイプ</v>
          </cell>
          <cell r="M200" t="str">
            <v>human</v>
          </cell>
        </row>
        <row r="201">
          <cell r="A201">
            <v>200</v>
          </cell>
          <cell r="B201" t="str">
            <v>ja</v>
          </cell>
          <cell r="C201" t="str">
            <v>大剣士 ジークフリート</v>
          </cell>
          <cell r="D201" t="str">
            <v>初期ガチャ</v>
          </cell>
          <cell r="E201" t="str">
            <v>守護者</v>
          </cell>
          <cell r="F201" t="str">
            <v>格好いい</v>
          </cell>
          <cell r="G201" t="str">
            <v>男性</v>
          </cell>
          <cell r="H201" t="str">
            <v>blue</v>
          </cell>
          <cell r="I201">
            <v>4</v>
          </cell>
          <cell r="J201" t="str">
            <v>PremiumN</v>
          </cell>
          <cell r="K201" t="str">
            <v>balance</v>
          </cell>
          <cell r="L201" t="str">
            <v>バランスタイプ</v>
          </cell>
          <cell r="M201" t="str">
            <v>human</v>
          </cell>
        </row>
        <row r="202">
          <cell r="A202">
            <v>201</v>
          </cell>
          <cell r="B202" t="str">
            <v>ja</v>
          </cell>
          <cell r="C202" t="str">
            <v>斬空の大破剣 ジークフリート</v>
          </cell>
          <cell r="D202" t="str">
            <v>初期ガチャ</v>
          </cell>
          <cell r="E202" t="str">
            <v>守護者</v>
          </cell>
          <cell r="F202" t="str">
            <v>格好いい</v>
          </cell>
          <cell r="G202" t="str">
            <v>男性</v>
          </cell>
          <cell r="H202" t="str">
            <v>blue</v>
          </cell>
          <cell r="I202">
            <v>5</v>
          </cell>
          <cell r="J202" t="str">
            <v>PremiumN</v>
          </cell>
          <cell r="K202" t="str">
            <v>balance</v>
          </cell>
          <cell r="L202" t="str">
            <v>バランスタイプ</v>
          </cell>
          <cell r="M202" t="str">
            <v>human</v>
          </cell>
        </row>
        <row r="203">
          <cell r="A203">
            <v>202</v>
          </cell>
          <cell r="B203" t="str">
            <v>ja</v>
          </cell>
          <cell r="C203" t="str">
            <v>プロメテウス</v>
          </cell>
          <cell r="D203" t="str">
            <v>初期ガチャ</v>
          </cell>
          <cell r="E203" t="str">
            <v>管理者</v>
          </cell>
          <cell r="F203" t="str">
            <v>格好いい</v>
          </cell>
          <cell r="G203" t="str">
            <v>男性</v>
          </cell>
          <cell r="H203" t="str">
            <v>red</v>
          </cell>
          <cell r="I203">
            <v>3</v>
          </cell>
          <cell r="J203" t="str">
            <v>PremiumN</v>
          </cell>
          <cell r="K203" t="str">
            <v>hp</v>
          </cell>
          <cell r="L203" t="str">
            <v>体力タイプ</v>
          </cell>
          <cell r="M203" t="str">
            <v>god</v>
          </cell>
        </row>
        <row r="204">
          <cell r="A204">
            <v>203</v>
          </cell>
          <cell r="B204" t="str">
            <v>ja</v>
          </cell>
          <cell r="C204" t="str">
            <v>焔神 プロメテウス</v>
          </cell>
          <cell r="D204" t="str">
            <v>初期ガチャ</v>
          </cell>
          <cell r="E204" t="str">
            <v>管理者</v>
          </cell>
          <cell r="F204" t="str">
            <v>格好いい</v>
          </cell>
          <cell r="G204" t="str">
            <v>男性</v>
          </cell>
          <cell r="H204" t="str">
            <v>red</v>
          </cell>
          <cell r="I204">
            <v>4</v>
          </cell>
          <cell r="J204" t="str">
            <v>PremiumN</v>
          </cell>
          <cell r="K204" t="str">
            <v>hp</v>
          </cell>
          <cell r="L204" t="str">
            <v>体力タイプ</v>
          </cell>
          <cell r="M204" t="str">
            <v>god</v>
          </cell>
        </row>
        <row r="205">
          <cell r="A205">
            <v>204</v>
          </cell>
          <cell r="B205" t="str">
            <v>ja</v>
          </cell>
          <cell r="C205" t="str">
            <v>慟哭の巨焔 プロメテウス</v>
          </cell>
          <cell r="D205" t="str">
            <v>初期ガチャ</v>
          </cell>
          <cell r="E205" t="str">
            <v>管理者</v>
          </cell>
          <cell r="F205" t="str">
            <v>格好いい</v>
          </cell>
          <cell r="G205" t="str">
            <v>男性</v>
          </cell>
          <cell r="H205" t="str">
            <v>red</v>
          </cell>
          <cell r="I205">
            <v>5</v>
          </cell>
          <cell r="J205" t="str">
            <v>PremiumN</v>
          </cell>
          <cell r="K205" t="str">
            <v>hp</v>
          </cell>
          <cell r="L205" t="str">
            <v>体力タイプ</v>
          </cell>
          <cell r="M205" t="str">
            <v>god</v>
          </cell>
        </row>
        <row r="206">
          <cell r="A206">
            <v>205</v>
          </cell>
          <cell r="B206" t="str">
            <v>ja</v>
          </cell>
          <cell r="C206" t="str">
            <v>アフロディーテ</v>
          </cell>
          <cell r="D206" t="str">
            <v>初期ガチャ</v>
          </cell>
          <cell r="E206" t="str">
            <v>管理者</v>
          </cell>
          <cell r="F206" t="str">
            <v>可愛い</v>
          </cell>
          <cell r="G206" t="str">
            <v>女性</v>
          </cell>
          <cell r="H206" t="str">
            <v>green</v>
          </cell>
          <cell r="I206">
            <v>3</v>
          </cell>
          <cell r="J206" t="str">
            <v>PremiumN</v>
          </cell>
          <cell r="K206" t="str">
            <v>hp</v>
          </cell>
          <cell r="L206" t="str">
            <v>体力タイプ</v>
          </cell>
          <cell r="M206" t="str">
            <v>god</v>
          </cell>
        </row>
        <row r="207">
          <cell r="A207">
            <v>206</v>
          </cell>
          <cell r="B207" t="str">
            <v>ja</v>
          </cell>
          <cell r="C207" t="str">
            <v>美神 アフロディーテ</v>
          </cell>
          <cell r="D207" t="str">
            <v>初期ガチャ</v>
          </cell>
          <cell r="E207" t="str">
            <v>管理者</v>
          </cell>
          <cell r="F207" t="str">
            <v>可愛い</v>
          </cell>
          <cell r="G207" t="str">
            <v>女性</v>
          </cell>
          <cell r="H207" t="str">
            <v>green</v>
          </cell>
          <cell r="I207">
            <v>4</v>
          </cell>
          <cell r="J207" t="str">
            <v>PremiumN</v>
          </cell>
          <cell r="K207" t="str">
            <v>hp</v>
          </cell>
          <cell r="L207" t="str">
            <v>体力タイプ</v>
          </cell>
          <cell r="M207" t="str">
            <v>god</v>
          </cell>
        </row>
        <row r="208">
          <cell r="A208">
            <v>207</v>
          </cell>
          <cell r="B208" t="str">
            <v>ja</v>
          </cell>
          <cell r="C208" t="str">
            <v>豊穣の麗神・アフロディーテ</v>
          </cell>
          <cell r="D208" t="str">
            <v>初期ガチャ</v>
          </cell>
          <cell r="E208" t="str">
            <v>管理者</v>
          </cell>
          <cell r="F208" t="str">
            <v>可愛い</v>
          </cell>
          <cell r="G208" t="str">
            <v>女性</v>
          </cell>
          <cell r="H208" t="str">
            <v>green</v>
          </cell>
          <cell r="I208">
            <v>5</v>
          </cell>
          <cell r="J208" t="str">
            <v>PremiumN</v>
          </cell>
          <cell r="K208" t="str">
            <v>hp</v>
          </cell>
          <cell r="L208" t="str">
            <v>体力タイプ</v>
          </cell>
          <cell r="M208" t="str">
            <v>god</v>
          </cell>
        </row>
        <row r="209">
          <cell r="A209">
            <v>208</v>
          </cell>
          <cell r="B209" t="str">
            <v>ja</v>
          </cell>
          <cell r="C209" t="str">
            <v>テティス</v>
          </cell>
          <cell r="D209" t="str">
            <v>初期ガチャ</v>
          </cell>
          <cell r="E209" t="str">
            <v>管理者</v>
          </cell>
          <cell r="F209" t="str">
            <v>美しい</v>
          </cell>
          <cell r="G209" t="str">
            <v>女性</v>
          </cell>
          <cell r="H209" t="str">
            <v>blue</v>
          </cell>
          <cell r="I209">
            <v>3</v>
          </cell>
          <cell r="J209" t="str">
            <v>PremiumN</v>
          </cell>
          <cell r="K209" t="str">
            <v>hp</v>
          </cell>
          <cell r="L209" t="str">
            <v>体力タイプ</v>
          </cell>
          <cell r="M209" t="str">
            <v>god</v>
          </cell>
        </row>
        <row r="210">
          <cell r="A210">
            <v>209</v>
          </cell>
          <cell r="B210" t="str">
            <v>ja</v>
          </cell>
          <cell r="C210" t="str">
            <v>孤神 テティス</v>
          </cell>
          <cell r="D210" t="str">
            <v>初期ガチャ</v>
          </cell>
          <cell r="E210" t="str">
            <v>管理者</v>
          </cell>
          <cell r="F210" t="str">
            <v>美しい</v>
          </cell>
          <cell r="G210" t="str">
            <v>女性</v>
          </cell>
          <cell r="H210" t="str">
            <v>blue</v>
          </cell>
          <cell r="I210">
            <v>4</v>
          </cell>
          <cell r="J210" t="str">
            <v>PremiumN</v>
          </cell>
          <cell r="K210" t="str">
            <v>hp</v>
          </cell>
          <cell r="L210" t="str">
            <v>体力タイプ</v>
          </cell>
          <cell r="M210" t="str">
            <v>god</v>
          </cell>
        </row>
        <row r="211">
          <cell r="A211">
            <v>210</v>
          </cell>
          <cell r="B211" t="str">
            <v>ja</v>
          </cell>
          <cell r="C211" t="str">
            <v>海底の孤高神 テティス</v>
          </cell>
          <cell r="D211" t="str">
            <v>初期ガチャ</v>
          </cell>
          <cell r="E211" t="str">
            <v>管理者</v>
          </cell>
          <cell r="F211" t="str">
            <v>美しい</v>
          </cell>
          <cell r="G211" t="str">
            <v>女性</v>
          </cell>
          <cell r="H211" t="str">
            <v>blue</v>
          </cell>
          <cell r="I211">
            <v>5</v>
          </cell>
          <cell r="J211" t="str">
            <v>PremiumN</v>
          </cell>
          <cell r="K211" t="str">
            <v>hp</v>
          </cell>
          <cell r="L211" t="str">
            <v>体力タイプ</v>
          </cell>
          <cell r="M211" t="str">
            <v>god</v>
          </cell>
        </row>
        <row r="212">
          <cell r="A212">
            <v>211</v>
          </cell>
          <cell r="B212" t="str">
            <v>ja</v>
          </cell>
          <cell r="C212" t="str">
            <v>アストライアー</v>
          </cell>
          <cell r="D212" t="str">
            <v>初期ガチャ</v>
          </cell>
          <cell r="E212" t="str">
            <v>管理者</v>
          </cell>
          <cell r="F212" t="str">
            <v>美しい</v>
          </cell>
          <cell r="G212" t="str">
            <v>女性</v>
          </cell>
          <cell r="H212" t="str">
            <v>yellow</v>
          </cell>
          <cell r="I212">
            <v>3</v>
          </cell>
          <cell r="J212" t="str">
            <v>PremiumN</v>
          </cell>
          <cell r="K212" t="str">
            <v>balance</v>
          </cell>
          <cell r="L212" t="str">
            <v>バランスタイプ</v>
          </cell>
          <cell r="M212" t="str">
            <v>god</v>
          </cell>
        </row>
        <row r="213">
          <cell r="A213">
            <v>212</v>
          </cell>
          <cell r="B213" t="str">
            <v>ja</v>
          </cell>
          <cell r="C213" t="str">
            <v>星神 アストライアー</v>
          </cell>
          <cell r="D213" t="str">
            <v>初期ガチャ</v>
          </cell>
          <cell r="E213" t="str">
            <v>管理者</v>
          </cell>
          <cell r="F213" t="str">
            <v>美しい</v>
          </cell>
          <cell r="G213" t="str">
            <v>女性</v>
          </cell>
          <cell r="H213" t="str">
            <v>yellow</v>
          </cell>
          <cell r="I213">
            <v>4</v>
          </cell>
          <cell r="J213" t="str">
            <v>PremiumN</v>
          </cell>
          <cell r="K213" t="str">
            <v>balance</v>
          </cell>
          <cell r="L213" t="str">
            <v>バランスタイプ</v>
          </cell>
          <cell r="M213" t="str">
            <v>god</v>
          </cell>
        </row>
        <row r="214">
          <cell r="A214">
            <v>213</v>
          </cell>
          <cell r="B214" t="str">
            <v>ja</v>
          </cell>
          <cell r="C214" t="str">
            <v>満天の星降神 アストライアー</v>
          </cell>
          <cell r="D214" t="str">
            <v>初期ガチャ</v>
          </cell>
          <cell r="E214" t="str">
            <v>管理者</v>
          </cell>
          <cell r="F214" t="str">
            <v>美しい</v>
          </cell>
          <cell r="G214" t="str">
            <v>女性</v>
          </cell>
          <cell r="H214" t="str">
            <v>yellow</v>
          </cell>
          <cell r="I214">
            <v>5</v>
          </cell>
          <cell r="J214" t="str">
            <v>PremiumN</v>
          </cell>
          <cell r="K214" t="str">
            <v>balance</v>
          </cell>
          <cell r="L214" t="str">
            <v>バランスタイプ</v>
          </cell>
          <cell r="M214" t="str">
            <v>god</v>
          </cell>
        </row>
        <row r="215">
          <cell r="A215">
            <v>214</v>
          </cell>
          <cell r="B215" t="str">
            <v>ja</v>
          </cell>
          <cell r="C215" t="str">
            <v>アズラエル</v>
          </cell>
          <cell r="D215" t="str">
            <v>初期ガチャ</v>
          </cell>
          <cell r="E215" t="str">
            <v>管理者</v>
          </cell>
          <cell r="F215" t="str">
            <v>可愛い</v>
          </cell>
          <cell r="G215" t="str">
            <v>女性</v>
          </cell>
          <cell r="H215" t="str">
            <v>red</v>
          </cell>
          <cell r="I215">
            <v>3</v>
          </cell>
          <cell r="J215" t="str">
            <v>PremiumN</v>
          </cell>
          <cell r="K215" t="str">
            <v>balance</v>
          </cell>
          <cell r="L215" t="str">
            <v>バランスタイプ</v>
          </cell>
          <cell r="M215" t="str">
            <v>god</v>
          </cell>
        </row>
        <row r="216">
          <cell r="A216">
            <v>215</v>
          </cell>
          <cell r="B216" t="str">
            <v>ja</v>
          </cell>
          <cell r="C216" t="str">
            <v>死導者 アズラエル</v>
          </cell>
          <cell r="D216" t="str">
            <v>初期ガチャ</v>
          </cell>
          <cell r="E216" t="str">
            <v>管理者</v>
          </cell>
          <cell r="F216" t="str">
            <v>可愛い</v>
          </cell>
          <cell r="G216" t="str">
            <v>女性</v>
          </cell>
          <cell r="H216" t="str">
            <v>red</v>
          </cell>
          <cell r="I216">
            <v>4</v>
          </cell>
          <cell r="J216" t="str">
            <v>PremiumN</v>
          </cell>
          <cell r="K216" t="str">
            <v>balance</v>
          </cell>
          <cell r="L216" t="str">
            <v>バランスタイプ</v>
          </cell>
          <cell r="M216" t="str">
            <v>god</v>
          </cell>
        </row>
        <row r="217">
          <cell r="A217">
            <v>216</v>
          </cell>
          <cell r="B217" t="str">
            <v>ja</v>
          </cell>
          <cell r="C217" t="str">
            <v>百読の死導司書 アズラエル</v>
          </cell>
          <cell r="D217" t="str">
            <v>初期ガチャ</v>
          </cell>
          <cell r="E217" t="str">
            <v>管理者</v>
          </cell>
          <cell r="F217" t="str">
            <v>可愛い</v>
          </cell>
          <cell r="G217" t="str">
            <v>女性</v>
          </cell>
          <cell r="H217" t="str">
            <v>red</v>
          </cell>
          <cell r="I217">
            <v>5</v>
          </cell>
          <cell r="J217" t="str">
            <v>PremiumN</v>
          </cell>
          <cell r="K217" t="str">
            <v>balance</v>
          </cell>
          <cell r="L217" t="str">
            <v>バランスタイプ</v>
          </cell>
          <cell r="M217" t="str">
            <v>god</v>
          </cell>
        </row>
        <row r="218">
          <cell r="A218">
            <v>217</v>
          </cell>
          <cell r="B218" t="str">
            <v>ja</v>
          </cell>
          <cell r="C218" t="str">
            <v>ケツァクアトル</v>
          </cell>
          <cell r="D218" t="str">
            <v>初期ガチャ</v>
          </cell>
          <cell r="E218" t="str">
            <v>破界者</v>
          </cell>
          <cell r="F218" t="str">
            <v>美しい</v>
          </cell>
          <cell r="G218" t="str">
            <v>女性</v>
          </cell>
          <cell r="H218" t="str">
            <v>green</v>
          </cell>
          <cell r="I218">
            <v>3</v>
          </cell>
          <cell r="J218" t="str">
            <v>PremiumN</v>
          </cell>
          <cell r="K218" t="str">
            <v>hp</v>
          </cell>
          <cell r="L218" t="str">
            <v>体力タイプ</v>
          </cell>
          <cell r="M218" t="str">
            <v>dragon</v>
          </cell>
        </row>
        <row r="219">
          <cell r="A219">
            <v>218</v>
          </cell>
          <cell r="B219" t="str">
            <v>ja</v>
          </cell>
          <cell r="C219" t="str">
            <v>聖蛇 ケツァクアトル</v>
          </cell>
          <cell r="D219" t="str">
            <v>初期ガチャ</v>
          </cell>
          <cell r="E219" t="str">
            <v>破界者</v>
          </cell>
          <cell r="F219" t="str">
            <v>美しい</v>
          </cell>
          <cell r="G219" t="str">
            <v>女性</v>
          </cell>
          <cell r="H219" t="str">
            <v>green</v>
          </cell>
          <cell r="I219">
            <v>4</v>
          </cell>
          <cell r="J219" t="str">
            <v>PremiumN</v>
          </cell>
          <cell r="K219" t="str">
            <v>hp</v>
          </cell>
          <cell r="L219" t="str">
            <v>体力タイプ</v>
          </cell>
          <cell r="M219" t="str">
            <v>dragon</v>
          </cell>
        </row>
        <row r="220">
          <cell r="A220">
            <v>219</v>
          </cell>
          <cell r="B220" t="str">
            <v>ja</v>
          </cell>
          <cell r="C220" t="str">
            <v>覇翼の聖蛇竜 ケツァクアトル</v>
          </cell>
          <cell r="D220" t="str">
            <v>初期ガチャ</v>
          </cell>
          <cell r="E220" t="str">
            <v>破界者</v>
          </cell>
          <cell r="F220" t="str">
            <v>美しい</v>
          </cell>
          <cell r="G220" t="str">
            <v>女性</v>
          </cell>
          <cell r="H220" t="str">
            <v>green</v>
          </cell>
          <cell r="I220">
            <v>5</v>
          </cell>
          <cell r="J220" t="str">
            <v>PremiumN</v>
          </cell>
          <cell r="K220" t="str">
            <v>hp</v>
          </cell>
          <cell r="L220" t="str">
            <v>体力タイプ</v>
          </cell>
          <cell r="M220" t="str">
            <v>dragon</v>
          </cell>
        </row>
        <row r="221">
          <cell r="A221">
            <v>220</v>
          </cell>
          <cell r="B221" t="str">
            <v>ja</v>
          </cell>
          <cell r="C221" t="str">
            <v>ルキフグス</v>
          </cell>
          <cell r="D221" t="str">
            <v>初期ガチャ</v>
          </cell>
          <cell r="E221" t="str">
            <v>執行者</v>
          </cell>
          <cell r="F221" t="str">
            <v>美しい</v>
          </cell>
          <cell r="G221" t="str">
            <v>女性</v>
          </cell>
          <cell r="H221" t="str">
            <v>blue</v>
          </cell>
          <cell r="I221">
            <v>3</v>
          </cell>
          <cell r="J221" t="str">
            <v>PremiumN</v>
          </cell>
          <cell r="K221" t="str">
            <v>balance</v>
          </cell>
          <cell r="L221" t="str">
            <v>バランスタイプ</v>
          </cell>
          <cell r="M221" t="str">
            <v>god</v>
          </cell>
        </row>
        <row r="222">
          <cell r="A222">
            <v>221</v>
          </cell>
          <cell r="B222" t="str">
            <v>ja</v>
          </cell>
          <cell r="C222" t="str">
            <v>宰相 ルキフグス</v>
          </cell>
          <cell r="D222" t="str">
            <v>初期ガチャ</v>
          </cell>
          <cell r="E222" t="str">
            <v>執行者</v>
          </cell>
          <cell r="F222" t="str">
            <v>美しい</v>
          </cell>
          <cell r="G222" t="str">
            <v>女性</v>
          </cell>
          <cell r="H222" t="str">
            <v>blue</v>
          </cell>
          <cell r="I222">
            <v>4</v>
          </cell>
          <cell r="J222" t="str">
            <v>PremiumN</v>
          </cell>
          <cell r="K222" t="str">
            <v>balance</v>
          </cell>
          <cell r="L222" t="str">
            <v>バランスタイプ</v>
          </cell>
          <cell r="M222" t="str">
            <v>god</v>
          </cell>
        </row>
        <row r="223">
          <cell r="A223">
            <v>222</v>
          </cell>
          <cell r="B223" t="str">
            <v>ja</v>
          </cell>
          <cell r="C223" t="str">
            <v>避光の鉄鎖宰相 ルキフグス</v>
          </cell>
          <cell r="D223" t="str">
            <v>初期ガチャ</v>
          </cell>
          <cell r="E223" t="str">
            <v>執行者</v>
          </cell>
          <cell r="F223" t="str">
            <v>美しい</v>
          </cell>
          <cell r="G223" t="str">
            <v>女性</v>
          </cell>
          <cell r="H223" t="str">
            <v>blue</v>
          </cell>
          <cell r="I223">
            <v>5</v>
          </cell>
          <cell r="J223" t="str">
            <v>PremiumN</v>
          </cell>
          <cell r="K223" t="str">
            <v>balance</v>
          </cell>
          <cell r="L223" t="str">
            <v>バランスタイプ</v>
          </cell>
          <cell r="M223" t="str">
            <v>god</v>
          </cell>
        </row>
        <row r="224">
          <cell r="A224">
            <v>223</v>
          </cell>
          <cell r="B224" t="str">
            <v>ja</v>
          </cell>
          <cell r="C224" t="str">
            <v>ヘラクレス</v>
          </cell>
          <cell r="D224" t="str">
            <v>初期ガチャ</v>
          </cell>
          <cell r="E224" t="str">
            <v>守護者</v>
          </cell>
          <cell r="F224" t="str">
            <v>格好いい</v>
          </cell>
          <cell r="G224" t="str">
            <v>男性</v>
          </cell>
          <cell r="H224" t="str">
            <v>yellow</v>
          </cell>
          <cell r="I224">
            <v>3</v>
          </cell>
          <cell r="J224" t="str">
            <v>PremiumN</v>
          </cell>
          <cell r="K224" t="str">
            <v>balance</v>
          </cell>
          <cell r="L224" t="str">
            <v>バランスタイプ</v>
          </cell>
          <cell r="M224" t="str">
            <v>human</v>
          </cell>
        </row>
        <row r="225">
          <cell r="A225">
            <v>224</v>
          </cell>
          <cell r="B225" t="str">
            <v>ja</v>
          </cell>
          <cell r="C225" t="str">
            <v>巨腕 ヘラクレス</v>
          </cell>
          <cell r="D225" t="str">
            <v>初期ガチャ</v>
          </cell>
          <cell r="E225" t="str">
            <v>守護者</v>
          </cell>
          <cell r="F225" t="str">
            <v>格好いい</v>
          </cell>
          <cell r="G225" t="str">
            <v>男性</v>
          </cell>
          <cell r="H225" t="str">
            <v>yellow</v>
          </cell>
          <cell r="I225">
            <v>4</v>
          </cell>
          <cell r="J225" t="str">
            <v>PremiumN</v>
          </cell>
          <cell r="K225" t="str">
            <v>balance</v>
          </cell>
          <cell r="L225" t="str">
            <v>バランスタイプ</v>
          </cell>
          <cell r="M225" t="str">
            <v>human</v>
          </cell>
        </row>
        <row r="226">
          <cell r="A226">
            <v>225</v>
          </cell>
          <cell r="B226" t="str">
            <v>ja</v>
          </cell>
          <cell r="C226" t="str">
            <v>咆哮の巨獅腕 ヘラクレス</v>
          </cell>
          <cell r="D226" t="str">
            <v>初期ガチャ</v>
          </cell>
          <cell r="E226" t="str">
            <v>守護者</v>
          </cell>
          <cell r="F226" t="str">
            <v>格好いい</v>
          </cell>
          <cell r="G226" t="str">
            <v>男性</v>
          </cell>
          <cell r="H226" t="str">
            <v>yellow</v>
          </cell>
          <cell r="I226">
            <v>5</v>
          </cell>
          <cell r="J226" t="str">
            <v>PremiumN</v>
          </cell>
          <cell r="K226" t="str">
            <v>balance</v>
          </cell>
          <cell r="L226" t="str">
            <v>バランスタイプ</v>
          </cell>
          <cell r="M226" t="str">
            <v>human</v>
          </cell>
        </row>
        <row r="227">
          <cell r="A227">
            <v>226</v>
          </cell>
          <cell r="B227" t="str">
            <v>ja</v>
          </cell>
          <cell r="C227" t="str">
            <v>アレス</v>
          </cell>
          <cell r="D227" t="str">
            <v>初期ガチャ</v>
          </cell>
          <cell r="E227" t="str">
            <v>管理者</v>
          </cell>
          <cell r="F227" t="str">
            <v>格好いい</v>
          </cell>
          <cell r="G227" t="str">
            <v>男性</v>
          </cell>
          <cell r="H227" t="str">
            <v>red</v>
          </cell>
          <cell r="I227">
            <v>3</v>
          </cell>
          <cell r="J227" t="str">
            <v>PremiumS</v>
          </cell>
          <cell r="K227" t="str">
            <v>attack</v>
          </cell>
          <cell r="L227" t="str">
            <v>攻撃タイプ</v>
          </cell>
          <cell r="M227" t="str">
            <v>god</v>
          </cell>
        </row>
        <row r="228">
          <cell r="A228">
            <v>227</v>
          </cell>
          <cell r="B228" t="str">
            <v>ja</v>
          </cell>
          <cell r="C228" t="str">
            <v>滅弾 アレス</v>
          </cell>
          <cell r="D228" t="str">
            <v>初期ガチャ</v>
          </cell>
          <cell r="E228" t="str">
            <v>管理者</v>
          </cell>
          <cell r="F228" t="str">
            <v>格好いい</v>
          </cell>
          <cell r="G228" t="str">
            <v>男性</v>
          </cell>
          <cell r="H228" t="str">
            <v>red</v>
          </cell>
          <cell r="I228">
            <v>4</v>
          </cell>
          <cell r="J228" t="str">
            <v>PremiumS</v>
          </cell>
          <cell r="K228" t="str">
            <v>attack</v>
          </cell>
          <cell r="L228" t="str">
            <v>攻撃タイプ</v>
          </cell>
          <cell r="M228" t="str">
            <v>god</v>
          </cell>
        </row>
        <row r="229">
          <cell r="A229">
            <v>228</v>
          </cell>
          <cell r="B229" t="str">
            <v>ja</v>
          </cell>
          <cell r="C229" t="str">
            <v>殲滅の掃射砲 アレス</v>
          </cell>
          <cell r="D229" t="str">
            <v>初期ガチャ</v>
          </cell>
          <cell r="E229" t="str">
            <v>管理者</v>
          </cell>
          <cell r="F229" t="str">
            <v>格好いい</v>
          </cell>
          <cell r="G229" t="str">
            <v>男性</v>
          </cell>
          <cell r="H229" t="str">
            <v>red</v>
          </cell>
          <cell r="I229">
            <v>5</v>
          </cell>
          <cell r="J229" t="str">
            <v>PremiumS</v>
          </cell>
          <cell r="K229" t="str">
            <v>attack</v>
          </cell>
          <cell r="L229" t="str">
            <v>攻撃タイプ</v>
          </cell>
          <cell r="M229" t="str">
            <v>god</v>
          </cell>
        </row>
        <row r="230">
          <cell r="A230">
            <v>229</v>
          </cell>
          <cell r="B230" t="str">
            <v>ja</v>
          </cell>
          <cell r="C230" t="str">
            <v>ヨルムンガンド</v>
          </cell>
          <cell r="D230" t="str">
            <v>初期ガチャ</v>
          </cell>
          <cell r="E230" t="str">
            <v>破界者</v>
          </cell>
          <cell r="F230" t="str">
            <v>可愛い</v>
          </cell>
          <cell r="G230" t="str">
            <v>女性</v>
          </cell>
          <cell r="H230" t="str">
            <v>green</v>
          </cell>
          <cell r="I230">
            <v>3</v>
          </cell>
          <cell r="J230" t="str">
            <v>PremiumS</v>
          </cell>
          <cell r="K230" t="str">
            <v>technical</v>
          </cell>
          <cell r="L230" t="str">
            <v>テクニカルタイプ</v>
          </cell>
          <cell r="M230" t="str">
            <v>dragon</v>
          </cell>
        </row>
        <row r="231">
          <cell r="A231">
            <v>230</v>
          </cell>
          <cell r="B231" t="str">
            <v>ja</v>
          </cell>
          <cell r="C231" t="str">
            <v>毒銃 ヨルムンガンド</v>
          </cell>
          <cell r="D231" t="str">
            <v>初期ガチャ</v>
          </cell>
          <cell r="E231" t="str">
            <v>破界者</v>
          </cell>
          <cell r="F231" t="str">
            <v>可愛い</v>
          </cell>
          <cell r="G231" t="str">
            <v>女性</v>
          </cell>
          <cell r="H231" t="str">
            <v>green</v>
          </cell>
          <cell r="I231">
            <v>4</v>
          </cell>
          <cell r="J231" t="str">
            <v>PremiumS</v>
          </cell>
          <cell r="K231" t="str">
            <v>technical</v>
          </cell>
          <cell r="L231" t="str">
            <v>テクニカルタイプ</v>
          </cell>
          <cell r="M231" t="str">
            <v>dragon</v>
          </cell>
        </row>
        <row r="232">
          <cell r="A232">
            <v>231</v>
          </cell>
          <cell r="B232" t="str">
            <v>ja</v>
          </cell>
          <cell r="C232" t="str">
            <v>必中の咬銃 ヨルムンガンド</v>
          </cell>
          <cell r="D232" t="str">
            <v>初期ガチャ</v>
          </cell>
          <cell r="E232" t="str">
            <v>破界者</v>
          </cell>
          <cell r="F232" t="str">
            <v>可愛い</v>
          </cell>
          <cell r="G232" t="str">
            <v>女性</v>
          </cell>
          <cell r="H232" t="str">
            <v>green</v>
          </cell>
          <cell r="I232">
            <v>5</v>
          </cell>
          <cell r="J232" t="str">
            <v>PremiumS</v>
          </cell>
          <cell r="K232" t="str">
            <v>technical</v>
          </cell>
          <cell r="L232" t="str">
            <v>テクニカルタイプ</v>
          </cell>
          <cell r="M232" t="str">
            <v>dragon</v>
          </cell>
        </row>
        <row r="233">
          <cell r="A233">
            <v>232</v>
          </cell>
          <cell r="B233" t="str">
            <v>ja</v>
          </cell>
          <cell r="C233" t="str">
            <v>パーシヴァル</v>
          </cell>
          <cell r="D233" t="str">
            <v>初期ガチャ</v>
          </cell>
          <cell r="E233" t="str">
            <v>守護者</v>
          </cell>
          <cell r="F233" t="str">
            <v>美しい</v>
          </cell>
          <cell r="G233" t="str">
            <v>女性</v>
          </cell>
          <cell r="H233" t="str">
            <v>blue</v>
          </cell>
          <cell r="I233">
            <v>3</v>
          </cell>
          <cell r="J233" t="str">
            <v>PremiumS</v>
          </cell>
          <cell r="K233" t="str">
            <v>technical</v>
          </cell>
          <cell r="L233" t="str">
            <v>テクニカルタイプ</v>
          </cell>
          <cell r="M233" t="str">
            <v>human</v>
          </cell>
        </row>
        <row r="234">
          <cell r="A234">
            <v>233</v>
          </cell>
          <cell r="B234" t="str">
            <v>ja</v>
          </cell>
          <cell r="C234" t="str">
            <v>遂行 パーシヴァル</v>
          </cell>
          <cell r="D234" t="str">
            <v>初期ガチャ</v>
          </cell>
          <cell r="E234" t="str">
            <v>守護者</v>
          </cell>
          <cell r="F234" t="str">
            <v>美しい</v>
          </cell>
          <cell r="G234" t="str">
            <v>女性</v>
          </cell>
          <cell r="H234" t="str">
            <v>blue</v>
          </cell>
          <cell r="I234">
            <v>4</v>
          </cell>
          <cell r="J234" t="str">
            <v>PremiumS</v>
          </cell>
          <cell r="K234" t="str">
            <v>technical</v>
          </cell>
          <cell r="L234" t="str">
            <v>テクニカルタイプ</v>
          </cell>
          <cell r="M234" t="str">
            <v>human</v>
          </cell>
        </row>
        <row r="235">
          <cell r="A235">
            <v>234</v>
          </cell>
          <cell r="B235" t="str">
            <v>ja</v>
          </cell>
          <cell r="C235" t="str">
            <v>精密なる照準 パーシヴァル</v>
          </cell>
          <cell r="D235" t="str">
            <v>初期ガチャ</v>
          </cell>
          <cell r="E235" t="str">
            <v>守護者</v>
          </cell>
          <cell r="F235" t="str">
            <v>美しい</v>
          </cell>
          <cell r="G235" t="str">
            <v>女性</v>
          </cell>
          <cell r="H235" t="str">
            <v>blue</v>
          </cell>
          <cell r="I235">
            <v>5</v>
          </cell>
          <cell r="J235" t="str">
            <v>PremiumS</v>
          </cell>
          <cell r="K235" t="str">
            <v>technical</v>
          </cell>
          <cell r="L235" t="str">
            <v>テクニカルタイプ</v>
          </cell>
          <cell r="M235" t="str">
            <v>human</v>
          </cell>
        </row>
        <row r="236">
          <cell r="A236">
            <v>235</v>
          </cell>
          <cell r="B236" t="str">
            <v>ja</v>
          </cell>
          <cell r="C236" t="str">
            <v>イザナミ</v>
          </cell>
          <cell r="D236" t="str">
            <v>初期ガチャ</v>
          </cell>
          <cell r="E236" t="str">
            <v>執行者</v>
          </cell>
          <cell r="F236" t="str">
            <v>美しい</v>
          </cell>
          <cell r="G236" t="str">
            <v>女性</v>
          </cell>
          <cell r="H236" t="str">
            <v>yellow</v>
          </cell>
          <cell r="I236">
            <v>3</v>
          </cell>
          <cell r="J236" t="str">
            <v>PremiumS</v>
          </cell>
          <cell r="K236" t="str">
            <v>attack</v>
          </cell>
          <cell r="L236" t="str">
            <v>攻撃タイプ</v>
          </cell>
          <cell r="M236" t="str">
            <v>god</v>
          </cell>
        </row>
        <row r="237">
          <cell r="A237">
            <v>236</v>
          </cell>
          <cell r="B237" t="str">
            <v>ja</v>
          </cell>
          <cell r="C237" t="str">
            <v>神産 イザナミ</v>
          </cell>
          <cell r="D237" t="str">
            <v>初期ガチャ</v>
          </cell>
          <cell r="E237" t="str">
            <v>執行者</v>
          </cell>
          <cell r="F237" t="str">
            <v>美しい</v>
          </cell>
          <cell r="G237" t="str">
            <v>女性</v>
          </cell>
          <cell r="H237" t="str">
            <v>yellow</v>
          </cell>
          <cell r="I237">
            <v>4</v>
          </cell>
          <cell r="J237" t="str">
            <v>PremiumS</v>
          </cell>
          <cell r="K237" t="str">
            <v>attack</v>
          </cell>
          <cell r="L237" t="str">
            <v>攻撃タイプ</v>
          </cell>
          <cell r="M237" t="str">
            <v>god</v>
          </cell>
        </row>
        <row r="238">
          <cell r="A238">
            <v>237</v>
          </cell>
          <cell r="B238" t="str">
            <v>ja</v>
          </cell>
          <cell r="C238" t="str">
            <v>森羅万象の神母 イザナミ</v>
          </cell>
          <cell r="D238" t="str">
            <v>初期ガチャ</v>
          </cell>
          <cell r="E238" t="str">
            <v>執行者</v>
          </cell>
          <cell r="F238" t="str">
            <v>美しい</v>
          </cell>
          <cell r="G238" t="str">
            <v>女性</v>
          </cell>
          <cell r="H238" t="str">
            <v>yellow</v>
          </cell>
          <cell r="I238">
            <v>5</v>
          </cell>
          <cell r="J238" t="str">
            <v>PremiumS</v>
          </cell>
          <cell r="K238" t="str">
            <v>attack</v>
          </cell>
          <cell r="L238" t="str">
            <v>攻撃タイプ</v>
          </cell>
          <cell r="M238" t="str">
            <v>god</v>
          </cell>
        </row>
        <row r="239">
          <cell r="A239">
            <v>238</v>
          </cell>
          <cell r="B239" t="str">
            <v>ja</v>
          </cell>
          <cell r="C239" t="str">
            <v>ウリエル</v>
          </cell>
          <cell r="D239" t="str">
            <v>ガチャ:天使01</v>
          </cell>
          <cell r="E239" t="str">
            <v>管理者</v>
          </cell>
          <cell r="F239" t="str">
            <v>美しい</v>
          </cell>
          <cell r="G239" t="str">
            <v>女性</v>
          </cell>
          <cell r="H239" t="str">
            <v>red</v>
          </cell>
          <cell r="I239">
            <v>3</v>
          </cell>
          <cell r="J239" t="str">
            <v>PremiumS</v>
          </cell>
          <cell r="K239" t="str">
            <v>hp</v>
          </cell>
          <cell r="L239" t="str">
            <v>体力タイプ</v>
          </cell>
          <cell r="M239" t="str">
            <v>machine</v>
          </cell>
        </row>
        <row r="240">
          <cell r="A240">
            <v>239</v>
          </cell>
          <cell r="B240" t="str">
            <v>ja</v>
          </cell>
          <cell r="C240" t="str">
            <v>豪炎の天使 ウリエル</v>
          </cell>
          <cell r="D240" t="str">
            <v>ガチャ:天使01</v>
          </cell>
          <cell r="E240" t="str">
            <v>管理者</v>
          </cell>
          <cell r="F240" t="str">
            <v>美しい</v>
          </cell>
          <cell r="G240" t="str">
            <v>女性</v>
          </cell>
          <cell r="H240" t="str">
            <v>red</v>
          </cell>
          <cell r="I240">
            <v>4</v>
          </cell>
          <cell r="J240" t="str">
            <v>PremiumS</v>
          </cell>
          <cell r="K240" t="str">
            <v>hp</v>
          </cell>
          <cell r="L240" t="str">
            <v>体力タイプ</v>
          </cell>
          <cell r="M240" t="str">
            <v>machine</v>
          </cell>
        </row>
        <row r="241">
          <cell r="A241">
            <v>240</v>
          </cell>
          <cell r="B241" t="str">
            <v>ja</v>
          </cell>
          <cell r="C241" t="str">
            <v>轟炎の天使 ウリエル・スレイヤー</v>
          </cell>
          <cell r="D241" t="str">
            <v>ガチャ:天使01</v>
          </cell>
          <cell r="E241" t="str">
            <v>管理者</v>
          </cell>
          <cell r="F241" t="str">
            <v>美しい</v>
          </cell>
          <cell r="G241" t="str">
            <v>女性</v>
          </cell>
          <cell r="H241" t="str">
            <v>red</v>
          </cell>
          <cell r="I241">
            <v>5</v>
          </cell>
          <cell r="J241" t="str">
            <v>PremiumS</v>
          </cell>
          <cell r="K241" t="str">
            <v>hp</v>
          </cell>
          <cell r="L241" t="str">
            <v>体力タイプ</v>
          </cell>
          <cell r="M241" t="str">
            <v>machine</v>
          </cell>
        </row>
        <row r="242">
          <cell r="A242">
            <v>241</v>
          </cell>
          <cell r="B242" t="str">
            <v>ja</v>
          </cell>
          <cell r="C242" t="str">
            <v>ガブリエル</v>
          </cell>
          <cell r="D242" t="str">
            <v>ガチャ:天使01</v>
          </cell>
          <cell r="E242" t="str">
            <v>管理者</v>
          </cell>
          <cell r="F242" t="str">
            <v>美しい</v>
          </cell>
          <cell r="G242" t="str">
            <v>女性</v>
          </cell>
          <cell r="H242" t="str">
            <v>green</v>
          </cell>
          <cell r="I242">
            <v>3</v>
          </cell>
          <cell r="J242" t="str">
            <v>PremiumS</v>
          </cell>
          <cell r="K242" t="str">
            <v>balance</v>
          </cell>
          <cell r="L242" t="str">
            <v>バランスタイプ</v>
          </cell>
          <cell r="M242" t="str">
            <v>machine</v>
          </cell>
        </row>
        <row r="243">
          <cell r="A243">
            <v>242</v>
          </cell>
          <cell r="B243" t="str">
            <v>ja</v>
          </cell>
          <cell r="C243" t="str">
            <v>百花の天使 ガブリエル</v>
          </cell>
          <cell r="D243" t="str">
            <v>ガチャ:天使01</v>
          </cell>
          <cell r="E243" t="str">
            <v>管理者</v>
          </cell>
          <cell r="F243" t="str">
            <v>美しい</v>
          </cell>
          <cell r="G243" t="str">
            <v>女性</v>
          </cell>
          <cell r="H243" t="str">
            <v>green</v>
          </cell>
          <cell r="I243">
            <v>4</v>
          </cell>
          <cell r="J243" t="str">
            <v>PremiumS</v>
          </cell>
          <cell r="K243" t="str">
            <v>balance</v>
          </cell>
          <cell r="L243" t="str">
            <v>バランスタイプ</v>
          </cell>
          <cell r="M243" t="str">
            <v>machine</v>
          </cell>
        </row>
        <row r="244">
          <cell r="A244">
            <v>243</v>
          </cell>
          <cell r="B244" t="str">
            <v>ja</v>
          </cell>
          <cell r="C244" t="str">
            <v>万花の天使 ガブリエル・ブルーム</v>
          </cell>
          <cell r="D244" t="str">
            <v>ガチャ:天使01</v>
          </cell>
          <cell r="E244" t="str">
            <v>管理者</v>
          </cell>
          <cell r="F244" t="str">
            <v>美しい</v>
          </cell>
          <cell r="G244" t="str">
            <v>女性</v>
          </cell>
          <cell r="H244" t="str">
            <v>green</v>
          </cell>
          <cell r="I244">
            <v>5</v>
          </cell>
          <cell r="J244" t="str">
            <v>PremiumS</v>
          </cell>
          <cell r="K244" t="str">
            <v>balance</v>
          </cell>
          <cell r="L244" t="str">
            <v>バランスタイプ</v>
          </cell>
          <cell r="M244" t="str">
            <v>machine</v>
          </cell>
        </row>
        <row r="245">
          <cell r="A245">
            <v>244</v>
          </cell>
          <cell r="B245" t="str">
            <v>ja</v>
          </cell>
          <cell r="C245" t="str">
            <v>ラファエル</v>
          </cell>
          <cell r="D245" t="str">
            <v>ガチャ:天使01</v>
          </cell>
          <cell r="E245" t="str">
            <v>管理者</v>
          </cell>
          <cell r="F245" t="str">
            <v>美しい</v>
          </cell>
          <cell r="G245" t="str">
            <v>女性</v>
          </cell>
          <cell r="H245" t="str">
            <v>blue</v>
          </cell>
          <cell r="I245">
            <v>3</v>
          </cell>
          <cell r="J245" t="str">
            <v>PremiumS</v>
          </cell>
          <cell r="K245" t="str">
            <v>balance</v>
          </cell>
          <cell r="L245" t="str">
            <v>バランスタイプ</v>
          </cell>
          <cell r="M245" t="str">
            <v>machine</v>
          </cell>
        </row>
        <row r="246">
          <cell r="A246">
            <v>245</v>
          </cell>
          <cell r="B246" t="str">
            <v>ja</v>
          </cell>
          <cell r="C246" t="str">
            <v>鎮癒の天使 ラファエル</v>
          </cell>
          <cell r="D246" t="str">
            <v>ガチャ:天使01</v>
          </cell>
          <cell r="E246" t="str">
            <v>管理者</v>
          </cell>
          <cell r="F246" t="str">
            <v>美しい</v>
          </cell>
          <cell r="G246" t="str">
            <v>女性</v>
          </cell>
          <cell r="H246" t="str">
            <v>blue</v>
          </cell>
          <cell r="I246">
            <v>4</v>
          </cell>
          <cell r="J246" t="str">
            <v>PremiumS</v>
          </cell>
          <cell r="K246" t="str">
            <v>balance</v>
          </cell>
          <cell r="L246" t="str">
            <v>バランスタイプ</v>
          </cell>
          <cell r="M246" t="str">
            <v>machine</v>
          </cell>
        </row>
        <row r="247">
          <cell r="A247">
            <v>246</v>
          </cell>
          <cell r="B247" t="str">
            <v>ja</v>
          </cell>
          <cell r="C247" t="str">
            <v>真癒の天使 ラファエル・メディカ</v>
          </cell>
          <cell r="D247" t="str">
            <v>ガチャ:天使01</v>
          </cell>
          <cell r="E247" t="str">
            <v>管理者</v>
          </cell>
          <cell r="F247" t="str">
            <v>美しい</v>
          </cell>
          <cell r="G247" t="str">
            <v>女性</v>
          </cell>
          <cell r="H247" t="str">
            <v>blue</v>
          </cell>
          <cell r="I247">
            <v>5</v>
          </cell>
          <cell r="J247" t="str">
            <v>PremiumS</v>
          </cell>
          <cell r="K247" t="str">
            <v>balance</v>
          </cell>
          <cell r="L247" t="str">
            <v>バランスタイプ</v>
          </cell>
          <cell r="M247" t="str">
            <v>machine</v>
          </cell>
        </row>
        <row r="248">
          <cell r="A248">
            <v>247</v>
          </cell>
          <cell r="B248" t="str">
            <v>ja</v>
          </cell>
          <cell r="C248" t="str">
            <v>ミカエル</v>
          </cell>
          <cell r="D248" t="str">
            <v>ガチャ:天使01</v>
          </cell>
          <cell r="E248" t="str">
            <v>管理者</v>
          </cell>
          <cell r="F248" t="str">
            <v>可愛い</v>
          </cell>
          <cell r="G248" t="str">
            <v>女性</v>
          </cell>
          <cell r="H248" t="str">
            <v>yellow</v>
          </cell>
          <cell r="I248">
            <v>3</v>
          </cell>
          <cell r="J248" t="str">
            <v>PremiumS</v>
          </cell>
          <cell r="K248" t="str">
            <v>attack</v>
          </cell>
          <cell r="L248" t="str">
            <v>攻撃タイプ</v>
          </cell>
          <cell r="M248" t="str">
            <v>machine</v>
          </cell>
        </row>
        <row r="249">
          <cell r="A249">
            <v>248</v>
          </cell>
          <cell r="B249" t="str">
            <v>ja</v>
          </cell>
          <cell r="C249" t="str">
            <v>彩電の天使 ミカエル</v>
          </cell>
          <cell r="D249" t="str">
            <v>ガチャ:天使01</v>
          </cell>
          <cell r="E249" t="str">
            <v>管理者</v>
          </cell>
          <cell r="F249" t="str">
            <v>可愛い</v>
          </cell>
          <cell r="G249" t="str">
            <v>女性</v>
          </cell>
          <cell r="H249" t="str">
            <v>yellow</v>
          </cell>
          <cell r="I249">
            <v>4</v>
          </cell>
          <cell r="J249" t="str">
            <v>PremiumS</v>
          </cell>
          <cell r="K249" t="str">
            <v>attack</v>
          </cell>
          <cell r="L249" t="str">
            <v>攻撃タイプ</v>
          </cell>
          <cell r="M249" t="str">
            <v>machine</v>
          </cell>
        </row>
        <row r="250">
          <cell r="A250">
            <v>249</v>
          </cell>
          <cell r="B250" t="str">
            <v>ja</v>
          </cell>
          <cell r="C250" t="str">
            <v>雷電の天使 ミカエル・ゲイナー</v>
          </cell>
          <cell r="D250" t="str">
            <v>ガチャ:天使01</v>
          </cell>
          <cell r="E250" t="str">
            <v>管理者</v>
          </cell>
          <cell r="F250" t="str">
            <v>可愛い</v>
          </cell>
          <cell r="G250" t="str">
            <v>女性</v>
          </cell>
          <cell r="H250" t="str">
            <v>yellow</v>
          </cell>
          <cell r="I250">
            <v>5</v>
          </cell>
          <cell r="J250" t="str">
            <v>PremiumS</v>
          </cell>
          <cell r="K250" t="str">
            <v>attack</v>
          </cell>
          <cell r="L250" t="str">
            <v>攻撃タイプ</v>
          </cell>
          <cell r="M250" t="str">
            <v>machine</v>
          </cell>
        </row>
        <row r="251">
          <cell r="A251">
            <v>250</v>
          </cell>
          <cell r="B251" t="str">
            <v>ja</v>
          </cell>
          <cell r="C251" t="str">
            <v>マンモン</v>
          </cell>
          <cell r="D251" t="str">
            <v>ガチャ:7つの大罪01</v>
          </cell>
          <cell r="E251" t="str">
            <v>執行者</v>
          </cell>
          <cell r="F251" t="str">
            <v>美しい</v>
          </cell>
          <cell r="G251" t="str">
            <v>女性</v>
          </cell>
          <cell r="H251" t="str">
            <v>red</v>
          </cell>
          <cell r="I251">
            <v>3</v>
          </cell>
          <cell r="J251" t="str">
            <v>PremiumS</v>
          </cell>
          <cell r="K251" t="str">
            <v>balance</v>
          </cell>
          <cell r="L251" t="str">
            <v>バランスタイプ</v>
          </cell>
          <cell r="M251" t="str">
            <v>god</v>
          </cell>
        </row>
        <row r="252">
          <cell r="A252">
            <v>251</v>
          </cell>
          <cell r="B252" t="str">
            <v>ja</v>
          </cell>
          <cell r="C252" t="str">
            <v>強欲 マンモン</v>
          </cell>
          <cell r="D252" t="str">
            <v>ガチャ:7つの大罪01</v>
          </cell>
          <cell r="E252" t="str">
            <v>執行者</v>
          </cell>
          <cell r="F252" t="str">
            <v>美しい</v>
          </cell>
          <cell r="G252" t="str">
            <v>女性</v>
          </cell>
          <cell r="H252" t="str">
            <v>red</v>
          </cell>
          <cell r="I252">
            <v>4</v>
          </cell>
          <cell r="J252" t="str">
            <v>PremiumS</v>
          </cell>
          <cell r="K252" t="str">
            <v>balance</v>
          </cell>
          <cell r="L252" t="str">
            <v>バランスタイプ</v>
          </cell>
          <cell r="M252" t="str">
            <v>god</v>
          </cell>
        </row>
        <row r="253">
          <cell r="A253">
            <v>252</v>
          </cell>
          <cell r="B253" t="str">
            <v>ja</v>
          </cell>
          <cell r="C253" t="str">
            <v>強欲の沸騰 マンモン</v>
          </cell>
          <cell r="D253" t="str">
            <v>ガチャ:7つの大罪01</v>
          </cell>
          <cell r="E253" t="str">
            <v>執行者</v>
          </cell>
          <cell r="F253" t="str">
            <v>美しい</v>
          </cell>
          <cell r="G253" t="str">
            <v>女性</v>
          </cell>
          <cell r="H253" t="str">
            <v>red</v>
          </cell>
          <cell r="I253">
            <v>5</v>
          </cell>
          <cell r="J253" t="str">
            <v>PremiumS</v>
          </cell>
          <cell r="K253" t="str">
            <v>balance</v>
          </cell>
          <cell r="L253" t="str">
            <v>バランスタイプ</v>
          </cell>
          <cell r="M253" t="str">
            <v>god</v>
          </cell>
        </row>
        <row r="254">
          <cell r="A254">
            <v>253</v>
          </cell>
          <cell r="B254" t="str">
            <v>ja</v>
          </cell>
          <cell r="C254" t="str">
            <v>ベルフェゴール</v>
          </cell>
          <cell r="D254" t="str">
            <v>ガチャ:7つの大罪01</v>
          </cell>
          <cell r="E254" t="str">
            <v>執行者</v>
          </cell>
          <cell r="F254" t="str">
            <v>可愛い</v>
          </cell>
          <cell r="G254" t="str">
            <v>女性</v>
          </cell>
          <cell r="H254" t="str">
            <v>green</v>
          </cell>
          <cell r="I254">
            <v>3</v>
          </cell>
          <cell r="J254" t="str">
            <v>PremiumS</v>
          </cell>
          <cell r="K254" t="str">
            <v>technical</v>
          </cell>
          <cell r="L254" t="str">
            <v>テクニカルタイプ</v>
          </cell>
          <cell r="M254" t="str">
            <v>god</v>
          </cell>
        </row>
        <row r="255">
          <cell r="A255">
            <v>254</v>
          </cell>
          <cell r="B255" t="str">
            <v>ja</v>
          </cell>
          <cell r="C255" t="str">
            <v>怠惰 ベルフェゴール</v>
          </cell>
          <cell r="D255" t="str">
            <v>ガチャ:7つの大罪01</v>
          </cell>
          <cell r="E255" t="str">
            <v>執行者</v>
          </cell>
          <cell r="F255" t="str">
            <v>可愛い</v>
          </cell>
          <cell r="G255" t="str">
            <v>女性</v>
          </cell>
          <cell r="H255" t="str">
            <v>green</v>
          </cell>
          <cell r="I255">
            <v>4</v>
          </cell>
          <cell r="J255" t="str">
            <v>PremiumS</v>
          </cell>
          <cell r="K255" t="str">
            <v>technical</v>
          </cell>
          <cell r="L255" t="str">
            <v>テクニカルタイプ</v>
          </cell>
          <cell r="M255" t="str">
            <v>god</v>
          </cell>
        </row>
        <row r="256">
          <cell r="A256">
            <v>255</v>
          </cell>
          <cell r="B256" t="str">
            <v>ja</v>
          </cell>
          <cell r="C256" t="str">
            <v>怠惰の頂点 ベルフェゴール</v>
          </cell>
          <cell r="D256" t="str">
            <v>ガチャ:7つの大罪01</v>
          </cell>
          <cell r="E256" t="str">
            <v>執行者</v>
          </cell>
          <cell r="F256" t="str">
            <v>可愛い</v>
          </cell>
          <cell r="G256" t="str">
            <v>女性</v>
          </cell>
          <cell r="H256" t="str">
            <v>green</v>
          </cell>
          <cell r="I256">
            <v>5</v>
          </cell>
          <cell r="J256" t="str">
            <v>PremiumS</v>
          </cell>
          <cell r="K256" t="str">
            <v>technical</v>
          </cell>
          <cell r="L256" t="str">
            <v>テクニカルタイプ</v>
          </cell>
          <cell r="M256" t="str">
            <v>god</v>
          </cell>
        </row>
        <row r="257">
          <cell r="A257">
            <v>256</v>
          </cell>
          <cell r="B257" t="str">
            <v>ja</v>
          </cell>
          <cell r="C257" t="str">
            <v>アスモデウス</v>
          </cell>
          <cell r="D257" t="str">
            <v>ガチャ:7つの大罪01</v>
          </cell>
          <cell r="E257" t="str">
            <v>執行者</v>
          </cell>
          <cell r="F257" t="str">
            <v>美しい</v>
          </cell>
          <cell r="G257" t="str">
            <v>女性</v>
          </cell>
          <cell r="H257" t="str">
            <v>blue</v>
          </cell>
          <cell r="I257">
            <v>3</v>
          </cell>
          <cell r="J257" t="str">
            <v>PremiumS</v>
          </cell>
          <cell r="K257" t="str">
            <v>attack</v>
          </cell>
          <cell r="L257" t="str">
            <v>攻撃タイプ</v>
          </cell>
          <cell r="M257" t="str">
            <v>god</v>
          </cell>
        </row>
        <row r="258">
          <cell r="A258">
            <v>257</v>
          </cell>
          <cell r="B258" t="str">
            <v>ja</v>
          </cell>
          <cell r="C258" t="str">
            <v>色欲 アスモデウス</v>
          </cell>
          <cell r="D258" t="str">
            <v>ガチャ:7つの大罪01</v>
          </cell>
          <cell r="E258" t="str">
            <v>執行者</v>
          </cell>
          <cell r="F258" t="str">
            <v>美しい</v>
          </cell>
          <cell r="G258" t="str">
            <v>女性</v>
          </cell>
          <cell r="H258" t="str">
            <v>blue</v>
          </cell>
          <cell r="I258">
            <v>4</v>
          </cell>
          <cell r="J258" t="str">
            <v>PremiumS</v>
          </cell>
          <cell r="K258" t="str">
            <v>attack</v>
          </cell>
          <cell r="L258" t="str">
            <v>攻撃タイプ</v>
          </cell>
          <cell r="M258" t="str">
            <v>god</v>
          </cell>
        </row>
        <row r="259">
          <cell r="A259">
            <v>258</v>
          </cell>
          <cell r="B259" t="str">
            <v>ja</v>
          </cell>
          <cell r="C259" t="str">
            <v>色欲の源流 アスモデウス</v>
          </cell>
          <cell r="D259" t="str">
            <v>ガチャ:7つの大罪01</v>
          </cell>
          <cell r="E259" t="str">
            <v>執行者</v>
          </cell>
          <cell r="F259" t="str">
            <v>美しい</v>
          </cell>
          <cell r="G259" t="str">
            <v>女性</v>
          </cell>
          <cell r="H259" t="str">
            <v>blue</v>
          </cell>
          <cell r="I259">
            <v>5</v>
          </cell>
          <cell r="J259" t="str">
            <v>PremiumS</v>
          </cell>
          <cell r="K259" t="str">
            <v>attack</v>
          </cell>
          <cell r="L259" t="str">
            <v>攻撃タイプ</v>
          </cell>
          <cell r="M259" t="str">
            <v>god</v>
          </cell>
        </row>
        <row r="260">
          <cell r="A260">
            <v>259</v>
          </cell>
          <cell r="B260" t="str">
            <v>ja</v>
          </cell>
          <cell r="C260" t="str">
            <v>ウロボロス</v>
          </cell>
          <cell r="D260" t="str">
            <v>ガチャ:7つの大罪01</v>
          </cell>
          <cell r="E260" t="str">
            <v>執行者</v>
          </cell>
          <cell r="F260" t="str">
            <v>格好いい</v>
          </cell>
          <cell r="G260" t="str">
            <v>女性</v>
          </cell>
          <cell r="H260" t="str">
            <v>yellow</v>
          </cell>
          <cell r="I260">
            <v>3</v>
          </cell>
          <cell r="J260" t="str">
            <v>PremiumS</v>
          </cell>
          <cell r="K260" t="str">
            <v>balance</v>
          </cell>
          <cell r="L260" t="str">
            <v>バランスタイプ</v>
          </cell>
          <cell r="M260" t="str">
            <v>dragon</v>
          </cell>
        </row>
        <row r="261">
          <cell r="A261">
            <v>260</v>
          </cell>
          <cell r="B261" t="str">
            <v>ja</v>
          </cell>
          <cell r="C261" t="str">
            <v>輪廻 ウロボロス</v>
          </cell>
          <cell r="D261" t="str">
            <v>ガチャ:7つの大罪01</v>
          </cell>
          <cell r="E261" t="str">
            <v>執行者</v>
          </cell>
          <cell r="F261" t="str">
            <v>格好いい</v>
          </cell>
          <cell r="G261" t="str">
            <v>女性</v>
          </cell>
          <cell r="H261" t="str">
            <v>yellow</v>
          </cell>
          <cell r="I261">
            <v>4</v>
          </cell>
          <cell r="J261" t="str">
            <v>PremiumS</v>
          </cell>
          <cell r="K261" t="str">
            <v>balance</v>
          </cell>
          <cell r="L261" t="str">
            <v>バランスタイプ</v>
          </cell>
          <cell r="M261" t="str">
            <v>dragon</v>
          </cell>
        </row>
        <row r="262">
          <cell r="A262">
            <v>261</v>
          </cell>
          <cell r="B262" t="str">
            <v>ja</v>
          </cell>
          <cell r="C262" t="str">
            <v>輪廻の蛇龍 ウロボロス</v>
          </cell>
          <cell r="D262" t="str">
            <v>ガチャ:7つの大罪01</v>
          </cell>
          <cell r="E262" t="str">
            <v>執行者</v>
          </cell>
          <cell r="F262" t="str">
            <v>格好いい</v>
          </cell>
          <cell r="G262" t="str">
            <v>女性</v>
          </cell>
          <cell r="H262" t="str">
            <v>yellow</v>
          </cell>
          <cell r="I262">
            <v>5</v>
          </cell>
          <cell r="J262" t="str">
            <v>PremiumS</v>
          </cell>
          <cell r="K262" t="str">
            <v>balance</v>
          </cell>
          <cell r="L262" t="str">
            <v>バランスタイプ</v>
          </cell>
          <cell r="M262" t="str">
            <v>dragon</v>
          </cell>
        </row>
        <row r="263">
          <cell r="A263">
            <v>262</v>
          </cell>
          <cell r="B263" t="str">
            <v>ja</v>
          </cell>
          <cell r="C263" t="str">
            <v>アシュリー</v>
          </cell>
          <cell r="D263" t="str">
            <v>イベント:魔獣01</v>
          </cell>
          <cell r="E263" t="str">
            <v>QoH</v>
          </cell>
          <cell r="F263" t="str">
            <v>格好いい</v>
          </cell>
          <cell r="G263" t="str">
            <v>女性</v>
          </cell>
          <cell r="H263" t="str">
            <v>red</v>
          </cell>
          <cell r="I263">
            <v>3</v>
          </cell>
          <cell r="J263" t="str">
            <v>Drop2W</v>
          </cell>
          <cell r="K263" t="str">
            <v>attack</v>
          </cell>
          <cell r="L263" t="str">
            <v>攻撃タイプ</v>
          </cell>
          <cell r="M263" t="str">
            <v>animal</v>
          </cell>
        </row>
        <row r="264">
          <cell r="A264">
            <v>263</v>
          </cell>
          <cell r="B264" t="str">
            <v>ja</v>
          </cell>
          <cell r="C264" t="str">
            <v>鉤爪姫 アシュリー</v>
          </cell>
          <cell r="D264" t="str">
            <v>イベント:魔獣01</v>
          </cell>
          <cell r="E264" t="str">
            <v>QoH</v>
          </cell>
          <cell r="F264" t="str">
            <v>格好いい</v>
          </cell>
          <cell r="G264" t="str">
            <v>女性</v>
          </cell>
          <cell r="H264" t="str">
            <v>red</v>
          </cell>
          <cell r="I264">
            <v>4</v>
          </cell>
          <cell r="J264" t="str">
            <v>Drop2W</v>
          </cell>
          <cell r="K264" t="str">
            <v>attack</v>
          </cell>
          <cell r="L264" t="str">
            <v>攻撃タイプ</v>
          </cell>
          <cell r="M264" t="str">
            <v>animal</v>
          </cell>
        </row>
        <row r="265">
          <cell r="A265">
            <v>264</v>
          </cell>
          <cell r="B265" t="str">
            <v>ja</v>
          </cell>
          <cell r="C265" t="str">
            <v>ユニコーン</v>
          </cell>
          <cell r="D265" t="str">
            <v>イベント:魔獣01</v>
          </cell>
          <cell r="E265" t="str">
            <v>QoH</v>
          </cell>
          <cell r="F265" t="str">
            <v>格好いい</v>
          </cell>
          <cell r="G265" t="str">
            <v>不明</v>
          </cell>
          <cell r="H265" t="str">
            <v>green</v>
          </cell>
          <cell r="I265">
            <v>3</v>
          </cell>
          <cell r="J265" t="str">
            <v>Drop2W</v>
          </cell>
          <cell r="K265" t="str">
            <v>hp</v>
          </cell>
          <cell r="L265" t="str">
            <v>体力タイプ</v>
          </cell>
          <cell r="M265" t="str">
            <v>animal</v>
          </cell>
        </row>
        <row r="266">
          <cell r="A266">
            <v>265</v>
          </cell>
          <cell r="B266" t="str">
            <v>ja</v>
          </cell>
          <cell r="C266" t="str">
            <v>翠角馬 ユニコーン</v>
          </cell>
          <cell r="D266" t="str">
            <v>イベント:魔獣01</v>
          </cell>
          <cell r="E266" t="str">
            <v>QoH</v>
          </cell>
          <cell r="F266" t="str">
            <v>格好いい</v>
          </cell>
          <cell r="G266" t="str">
            <v>不明</v>
          </cell>
          <cell r="H266" t="str">
            <v>green</v>
          </cell>
          <cell r="I266">
            <v>4</v>
          </cell>
          <cell r="J266" t="str">
            <v>Drop2W</v>
          </cell>
          <cell r="K266" t="str">
            <v>hp</v>
          </cell>
          <cell r="L266" t="str">
            <v>体力タイプ</v>
          </cell>
          <cell r="M266" t="str">
            <v>animal</v>
          </cell>
        </row>
        <row r="267">
          <cell r="A267">
            <v>266</v>
          </cell>
          <cell r="B267" t="str">
            <v>ja</v>
          </cell>
          <cell r="C267" t="str">
            <v>リリアンブルー</v>
          </cell>
          <cell r="D267" t="str">
            <v>イベント:魔獣01</v>
          </cell>
          <cell r="E267" t="str">
            <v>QoH</v>
          </cell>
          <cell r="F267" t="str">
            <v>怪しい</v>
          </cell>
          <cell r="G267" t="str">
            <v>女性</v>
          </cell>
          <cell r="H267" t="str">
            <v>blue</v>
          </cell>
          <cell r="I267">
            <v>3</v>
          </cell>
          <cell r="J267" t="str">
            <v>Drop2W</v>
          </cell>
          <cell r="K267" t="str">
            <v>balance</v>
          </cell>
          <cell r="L267" t="str">
            <v>バランスタイプ</v>
          </cell>
          <cell r="M267" t="str">
            <v>animal</v>
          </cell>
        </row>
        <row r="268">
          <cell r="A268">
            <v>267</v>
          </cell>
          <cell r="B268" t="str">
            <v>ja</v>
          </cell>
          <cell r="C268" t="str">
            <v>奇術猫 リリアンブルー</v>
          </cell>
          <cell r="D268" t="str">
            <v>イベント:魔獣01</v>
          </cell>
          <cell r="E268" t="str">
            <v>QoH</v>
          </cell>
          <cell r="F268" t="str">
            <v>怪しい</v>
          </cell>
          <cell r="G268" t="str">
            <v>女性</v>
          </cell>
          <cell r="H268" t="str">
            <v>blue</v>
          </cell>
          <cell r="I268">
            <v>4</v>
          </cell>
          <cell r="J268" t="str">
            <v>Drop2W</v>
          </cell>
          <cell r="K268" t="str">
            <v>balance</v>
          </cell>
          <cell r="L268" t="str">
            <v>バランスタイプ</v>
          </cell>
          <cell r="M268" t="str">
            <v>animal</v>
          </cell>
        </row>
        <row r="269">
          <cell r="A269">
            <v>268</v>
          </cell>
          <cell r="B269" t="str">
            <v>ja</v>
          </cell>
          <cell r="C269" t="str">
            <v>鵺</v>
          </cell>
          <cell r="D269" t="str">
            <v>イベント:魔獣01</v>
          </cell>
          <cell r="E269" t="str">
            <v>QoH</v>
          </cell>
          <cell r="F269" t="str">
            <v>格好いい</v>
          </cell>
          <cell r="G269" t="str">
            <v>男性</v>
          </cell>
          <cell r="H269" t="str">
            <v>yellow</v>
          </cell>
          <cell r="I269">
            <v>3</v>
          </cell>
          <cell r="J269" t="str">
            <v>Drop2W</v>
          </cell>
          <cell r="K269" t="str">
            <v>technical</v>
          </cell>
          <cell r="L269" t="str">
            <v>テクニカルタイプ</v>
          </cell>
          <cell r="M269" t="str">
            <v>animal</v>
          </cell>
        </row>
        <row r="270">
          <cell r="A270">
            <v>269</v>
          </cell>
          <cell r="B270" t="str">
            <v>ja</v>
          </cell>
          <cell r="C270" t="str">
            <v>合雷獣 鵺</v>
          </cell>
          <cell r="D270" t="str">
            <v>イベント:魔獣01</v>
          </cell>
          <cell r="E270" t="str">
            <v>QoH</v>
          </cell>
          <cell r="F270" t="str">
            <v>格好いい</v>
          </cell>
          <cell r="G270" t="str">
            <v>男性</v>
          </cell>
          <cell r="H270" t="str">
            <v>yellow</v>
          </cell>
          <cell r="I270">
            <v>4</v>
          </cell>
          <cell r="J270" t="str">
            <v>Drop2W</v>
          </cell>
          <cell r="K270" t="str">
            <v>technical</v>
          </cell>
          <cell r="L270" t="str">
            <v>テクニカルタイプ</v>
          </cell>
          <cell r="M270" t="str">
            <v>animal</v>
          </cell>
        </row>
        <row r="271">
          <cell r="A271">
            <v>270</v>
          </cell>
          <cell r="B271" t="str">
            <v>ja</v>
          </cell>
          <cell r="C271" t="str">
            <v>風爪のミリー</v>
          </cell>
          <cell r="D271" t="str">
            <v>イベント:暴走するアバター01</v>
          </cell>
          <cell r="E271" t="str">
            <v>探索者</v>
          </cell>
          <cell r="F271" t="str">
            <v>美しい</v>
          </cell>
          <cell r="G271" t="str">
            <v>女性</v>
          </cell>
          <cell r="H271" t="str">
            <v>green</v>
          </cell>
          <cell r="I271">
            <v>4</v>
          </cell>
          <cell r="J271" t="str">
            <v>Drop2N</v>
          </cell>
          <cell r="K271" t="str">
            <v>attack</v>
          </cell>
          <cell r="L271" t="str">
            <v>攻撃タイプ</v>
          </cell>
          <cell r="M271" t="str">
            <v>human</v>
          </cell>
        </row>
        <row r="272">
          <cell r="A272">
            <v>271</v>
          </cell>
          <cell r="B272" t="str">
            <v>ja</v>
          </cell>
          <cell r="C272" t="str">
            <v>疾風五花 ミリー</v>
          </cell>
          <cell r="D272" t="str">
            <v>イベント:暴走するアバター01</v>
          </cell>
          <cell r="E272" t="str">
            <v>探索者</v>
          </cell>
          <cell r="F272" t="str">
            <v>美しい</v>
          </cell>
          <cell r="G272" t="str">
            <v>女性</v>
          </cell>
          <cell r="H272" t="str">
            <v>green</v>
          </cell>
          <cell r="I272">
            <v>5</v>
          </cell>
          <cell r="J272" t="str">
            <v>Drop2N</v>
          </cell>
          <cell r="K272" t="str">
            <v>attack</v>
          </cell>
          <cell r="L272" t="str">
            <v>攻撃タイプ</v>
          </cell>
          <cell r="M272" t="str">
            <v>human</v>
          </cell>
        </row>
        <row r="273">
          <cell r="A273">
            <v>272</v>
          </cell>
          <cell r="B273" t="str">
            <v>ja</v>
          </cell>
          <cell r="C273" t="str">
            <v>魔札のシルベール</v>
          </cell>
          <cell r="D273" t="str">
            <v>イベント:暴走するアバター01</v>
          </cell>
          <cell r="E273" t="str">
            <v>探索者</v>
          </cell>
          <cell r="F273" t="str">
            <v>格好いい</v>
          </cell>
          <cell r="G273" t="str">
            <v>男性</v>
          </cell>
          <cell r="H273" t="str">
            <v>blue</v>
          </cell>
          <cell r="I273">
            <v>4</v>
          </cell>
          <cell r="J273" t="str">
            <v>Drop2N</v>
          </cell>
          <cell r="K273" t="str">
            <v>technical</v>
          </cell>
          <cell r="L273" t="str">
            <v>テクニカルタイプ</v>
          </cell>
          <cell r="M273" t="str">
            <v>human</v>
          </cell>
        </row>
        <row r="274">
          <cell r="A274">
            <v>273</v>
          </cell>
          <cell r="B274" t="str">
            <v>ja</v>
          </cell>
          <cell r="C274" t="str">
            <v>円環魔道 シルベール</v>
          </cell>
          <cell r="D274" t="str">
            <v>イベント:暴走するアバター01</v>
          </cell>
          <cell r="E274" t="str">
            <v>探索者</v>
          </cell>
          <cell r="F274" t="str">
            <v>格好いい</v>
          </cell>
          <cell r="G274" t="str">
            <v>男性</v>
          </cell>
          <cell r="H274" t="str">
            <v>blue</v>
          </cell>
          <cell r="I274">
            <v>5</v>
          </cell>
          <cell r="J274" t="str">
            <v>Drop2N</v>
          </cell>
          <cell r="K274" t="str">
            <v>technical</v>
          </cell>
          <cell r="L274" t="str">
            <v>テクニカルタイプ</v>
          </cell>
          <cell r="M274" t="str">
            <v>human</v>
          </cell>
        </row>
        <row r="275">
          <cell r="A275">
            <v>274</v>
          </cell>
          <cell r="B275" t="str">
            <v>ja</v>
          </cell>
          <cell r="C275" t="str">
            <v>砕棒のガエル</v>
          </cell>
          <cell r="D275" t="str">
            <v>イベント:暴走するアバター01</v>
          </cell>
          <cell r="E275" t="str">
            <v>探索者</v>
          </cell>
          <cell r="F275" t="str">
            <v>格好いい</v>
          </cell>
          <cell r="G275" t="str">
            <v>男性</v>
          </cell>
          <cell r="H275" t="str">
            <v>yellow</v>
          </cell>
          <cell r="I275">
            <v>4</v>
          </cell>
          <cell r="J275" t="str">
            <v>Drop2N</v>
          </cell>
          <cell r="K275" t="str">
            <v>attack</v>
          </cell>
          <cell r="L275" t="str">
            <v>攻撃タイプ</v>
          </cell>
          <cell r="M275" t="str">
            <v>human</v>
          </cell>
        </row>
        <row r="276">
          <cell r="A276">
            <v>275</v>
          </cell>
          <cell r="B276" t="str">
            <v>ja</v>
          </cell>
          <cell r="C276" t="str">
            <v>轟雷砕棒 ガエル</v>
          </cell>
          <cell r="D276" t="str">
            <v>イベント:暴走するアバター01</v>
          </cell>
          <cell r="E276" t="str">
            <v>探索者</v>
          </cell>
          <cell r="F276" t="str">
            <v>格好いい</v>
          </cell>
          <cell r="G276" t="str">
            <v>男性</v>
          </cell>
          <cell r="H276" t="str">
            <v>yellow</v>
          </cell>
          <cell r="I276">
            <v>5</v>
          </cell>
          <cell r="J276" t="str">
            <v>Drop2N</v>
          </cell>
          <cell r="K276" t="str">
            <v>attack</v>
          </cell>
          <cell r="L276" t="str">
            <v>攻撃タイプ</v>
          </cell>
          <cell r="M276" t="str">
            <v>human</v>
          </cell>
        </row>
        <row r="277">
          <cell r="A277">
            <v>276</v>
          </cell>
          <cell r="B277" t="str">
            <v>ja</v>
          </cell>
          <cell r="C277" t="str">
            <v>機拳のイリア</v>
          </cell>
          <cell r="D277" t="str">
            <v>イベント:暴走するアバター01</v>
          </cell>
          <cell r="E277" t="str">
            <v>探索者</v>
          </cell>
          <cell r="F277" t="str">
            <v>可愛い</v>
          </cell>
          <cell r="G277" t="str">
            <v>女性</v>
          </cell>
          <cell r="H277" t="str">
            <v>red</v>
          </cell>
          <cell r="I277">
            <v>4</v>
          </cell>
          <cell r="J277" t="str">
            <v>Drop2N</v>
          </cell>
          <cell r="K277" t="str">
            <v>balance</v>
          </cell>
          <cell r="L277" t="str">
            <v>バランスタイプ</v>
          </cell>
          <cell r="M277" t="str">
            <v>human</v>
          </cell>
        </row>
        <row r="278">
          <cell r="A278">
            <v>277</v>
          </cell>
          <cell r="B278" t="str">
            <v>ja</v>
          </cell>
          <cell r="C278" t="str">
            <v>機拳恐慌 イリア</v>
          </cell>
          <cell r="D278" t="str">
            <v>イベント:暴走するアバター01</v>
          </cell>
          <cell r="E278" t="str">
            <v>探索者</v>
          </cell>
          <cell r="F278" t="str">
            <v>可愛い</v>
          </cell>
          <cell r="G278" t="str">
            <v>女性</v>
          </cell>
          <cell r="H278" t="str">
            <v>red</v>
          </cell>
          <cell r="I278">
            <v>5</v>
          </cell>
          <cell r="J278" t="str">
            <v>Drop2N</v>
          </cell>
          <cell r="K278" t="str">
            <v>balance</v>
          </cell>
          <cell r="L278" t="str">
            <v>バランスタイプ</v>
          </cell>
          <cell r="M278" t="str">
            <v>human</v>
          </cell>
        </row>
        <row r="279">
          <cell r="A279">
            <v>278</v>
          </cell>
          <cell r="B279" t="str">
            <v>ja</v>
          </cell>
          <cell r="C279" t="str">
            <v>アマテラス</v>
          </cell>
          <cell r="D279" t="str">
            <v>イベント:ウィザード</v>
          </cell>
          <cell r="E279" t="str">
            <v>管理者</v>
          </cell>
          <cell r="F279" t="str">
            <v>美しい</v>
          </cell>
          <cell r="G279" t="str">
            <v>女性</v>
          </cell>
          <cell r="H279" t="str">
            <v>red</v>
          </cell>
          <cell r="I279">
            <v>4</v>
          </cell>
          <cell r="J279" t="str">
            <v>DropWizS</v>
          </cell>
          <cell r="K279" t="str">
            <v>attack</v>
          </cell>
          <cell r="L279" t="str">
            <v>攻撃タイプ</v>
          </cell>
          <cell r="M279" t="str">
            <v>god</v>
          </cell>
        </row>
        <row r="280">
          <cell r="A280">
            <v>279</v>
          </cell>
          <cell r="B280" t="str">
            <v>ja</v>
          </cell>
          <cell r="C280" t="str">
            <v>統空大神 アマテラス</v>
          </cell>
          <cell r="D280" t="str">
            <v>イベント:ウィザード</v>
          </cell>
          <cell r="E280" t="str">
            <v>管理者</v>
          </cell>
          <cell r="F280" t="str">
            <v>美しい</v>
          </cell>
          <cell r="G280" t="str">
            <v>女性</v>
          </cell>
          <cell r="H280" t="str">
            <v>red</v>
          </cell>
          <cell r="I280">
            <v>5</v>
          </cell>
          <cell r="J280" t="str">
            <v>DropWizS</v>
          </cell>
          <cell r="K280" t="str">
            <v>attack</v>
          </cell>
          <cell r="L280" t="str">
            <v>攻撃タイプ</v>
          </cell>
          <cell r="M280" t="str">
            <v>god</v>
          </cell>
        </row>
        <row r="281">
          <cell r="A281">
            <v>280</v>
          </cell>
          <cell r="B281" t="str">
            <v>ja</v>
          </cell>
          <cell r="C281" t="str">
            <v>リンドブルム</v>
          </cell>
          <cell r="D281" t="str">
            <v>イベント:機械龍01</v>
          </cell>
          <cell r="E281" t="str">
            <v>QoH</v>
          </cell>
          <cell r="F281" t="str">
            <v>格好いい</v>
          </cell>
          <cell r="G281" t="str">
            <v>不明</v>
          </cell>
          <cell r="H281" t="str">
            <v>green</v>
          </cell>
          <cell r="I281">
            <v>3</v>
          </cell>
          <cell r="J281" t="str">
            <v>Drop2W</v>
          </cell>
          <cell r="K281" t="str">
            <v>attack</v>
          </cell>
          <cell r="L281" t="str">
            <v>攻撃タイプ</v>
          </cell>
          <cell r="M281" t="str">
            <v>dragon</v>
          </cell>
        </row>
        <row r="282">
          <cell r="A282">
            <v>281</v>
          </cell>
          <cell r="B282" t="str">
            <v>ja</v>
          </cell>
          <cell r="C282" t="str">
            <v>リンドブルム・コンデンス</v>
          </cell>
          <cell r="D282" t="str">
            <v>イベント:機械龍01</v>
          </cell>
          <cell r="E282" t="str">
            <v>QoH</v>
          </cell>
          <cell r="F282" t="str">
            <v>格好いい</v>
          </cell>
          <cell r="G282" t="str">
            <v>不明</v>
          </cell>
          <cell r="H282" t="str">
            <v>green</v>
          </cell>
          <cell r="I282">
            <v>4</v>
          </cell>
          <cell r="J282" t="str">
            <v>DropWizW</v>
          </cell>
          <cell r="K282" t="str">
            <v>attack</v>
          </cell>
          <cell r="L282" t="str">
            <v>攻撃タイプ</v>
          </cell>
          <cell r="M282" t="str">
            <v>dragon</v>
          </cell>
        </row>
        <row r="283">
          <cell r="A283">
            <v>282</v>
          </cell>
          <cell r="B283" t="str">
            <v>ja</v>
          </cell>
          <cell r="C283" t="str">
            <v>ラーフ</v>
          </cell>
          <cell r="D283" t="str">
            <v>イベント:機械龍01</v>
          </cell>
          <cell r="E283" t="str">
            <v>QoH</v>
          </cell>
          <cell r="F283" t="str">
            <v>格好いい</v>
          </cell>
          <cell r="G283" t="str">
            <v>不明</v>
          </cell>
          <cell r="H283" t="str">
            <v>blue</v>
          </cell>
          <cell r="I283">
            <v>3</v>
          </cell>
          <cell r="J283" t="str">
            <v>Drop2W</v>
          </cell>
          <cell r="K283" t="str">
            <v>balance</v>
          </cell>
          <cell r="L283" t="str">
            <v>バランスタイプ</v>
          </cell>
          <cell r="M283" t="str">
            <v>dragon</v>
          </cell>
        </row>
        <row r="284">
          <cell r="A284">
            <v>283</v>
          </cell>
          <cell r="B284" t="str">
            <v>ja</v>
          </cell>
          <cell r="C284" t="str">
            <v>ラーフ・メテオ</v>
          </cell>
          <cell r="D284" t="str">
            <v>イベント:機械龍01</v>
          </cell>
          <cell r="E284" t="str">
            <v>QoH</v>
          </cell>
          <cell r="F284" t="str">
            <v>格好いい</v>
          </cell>
          <cell r="G284" t="str">
            <v>不明</v>
          </cell>
          <cell r="H284" t="str">
            <v>blue</v>
          </cell>
          <cell r="I284">
            <v>4</v>
          </cell>
          <cell r="J284" t="str">
            <v>DropWizW</v>
          </cell>
          <cell r="K284" t="str">
            <v>balance</v>
          </cell>
          <cell r="L284" t="str">
            <v>バランスタイプ</v>
          </cell>
          <cell r="M284" t="str">
            <v>dragon</v>
          </cell>
        </row>
        <row r="285">
          <cell r="A285">
            <v>284</v>
          </cell>
          <cell r="B285" t="str">
            <v>ja</v>
          </cell>
          <cell r="C285" t="str">
            <v>フェルニゲシュ</v>
          </cell>
          <cell r="D285" t="str">
            <v>イベント:機械龍01</v>
          </cell>
          <cell r="E285" t="str">
            <v>QoH</v>
          </cell>
          <cell r="F285" t="str">
            <v>格好いい</v>
          </cell>
          <cell r="G285" t="str">
            <v>不明</v>
          </cell>
          <cell r="H285" t="str">
            <v>yellow</v>
          </cell>
          <cell r="I285">
            <v>3</v>
          </cell>
          <cell r="J285" t="str">
            <v>Drop2W</v>
          </cell>
          <cell r="K285" t="str">
            <v>technical</v>
          </cell>
          <cell r="L285" t="str">
            <v>テクニカルタイプ</v>
          </cell>
          <cell r="M285" t="str">
            <v>dragon</v>
          </cell>
        </row>
        <row r="286">
          <cell r="A286">
            <v>285</v>
          </cell>
          <cell r="B286" t="str">
            <v>ja</v>
          </cell>
          <cell r="C286" t="str">
            <v>フェルニゲシュ・オーバードライヴ</v>
          </cell>
          <cell r="D286" t="str">
            <v>イベント:機械龍01</v>
          </cell>
          <cell r="E286" t="str">
            <v>QoH</v>
          </cell>
          <cell r="F286" t="str">
            <v>格好いい</v>
          </cell>
          <cell r="G286" t="str">
            <v>不明</v>
          </cell>
          <cell r="H286" t="str">
            <v>yellow</v>
          </cell>
          <cell r="I286">
            <v>4</v>
          </cell>
          <cell r="J286" t="str">
            <v>DropWizW</v>
          </cell>
          <cell r="K286" t="str">
            <v>technical</v>
          </cell>
          <cell r="L286" t="str">
            <v>テクニカルタイプ</v>
          </cell>
          <cell r="M286" t="str">
            <v>dragon</v>
          </cell>
        </row>
        <row r="287">
          <cell r="A287">
            <v>286</v>
          </cell>
          <cell r="B287" t="str">
            <v>ja</v>
          </cell>
          <cell r="C287" t="str">
            <v>ヒュドラ</v>
          </cell>
          <cell r="D287" t="str">
            <v>イベント:機械龍01</v>
          </cell>
          <cell r="E287" t="str">
            <v>QoH</v>
          </cell>
          <cell r="F287" t="str">
            <v>格好いい</v>
          </cell>
          <cell r="G287" t="str">
            <v>不明</v>
          </cell>
          <cell r="H287" t="str">
            <v>red</v>
          </cell>
          <cell r="I287">
            <v>3</v>
          </cell>
          <cell r="J287" t="str">
            <v>Drop2W</v>
          </cell>
          <cell r="K287" t="str">
            <v>attack</v>
          </cell>
          <cell r="L287" t="str">
            <v>攻撃タイプ</v>
          </cell>
          <cell r="M287" t="str">
            <v>dragon</v>
          </cell>
        </row>
        <row r="288">
          <cell r="A288">
            <v>287</v>
          </cell>
          <cell r="B288" t="str">
            <v>ja</v>
          </cell>
          <cell r="C288" t="str">
            <v>ヒュドラ・フルオープン</v>
          </cell>
          <cell r="D288" t="str">
            <v>イベント:機械龍01</v>
          </cell>
          <cell r="E288" t="str">
            <v>QoH</v>
          </cell>
          <cell r="F288" t="str">
            <v>格好いい</v>
          </cell>
          <cell r="G288" t="str">
            <v>不明</v>
          </cell>
          <cell r="H288" t="str">
            <v>red</v>
          </cell>
          <cell r="I288">
            <v>4</v>
          </cell>
          <cell r="J288" t="str">
            <v>DropWizW</v>
          </cell>
          <cell r="K288" t="str">
            <v>attack</v>
          </cell>
          <cell r="L288" t="str">
            <v>攻撃タイプ</v>
          </cell>
          <cell r="M288" t="str">
            <v>dragon</v>
          </cell>
        </row>
        <row r="289">
          <cell r="A289">
            <v>288</v>
          </cell>
          <cell r="B289" t="str">
            <v>ja</v>
          </cell>
          <cell r="C289" t="str">
            <v>ミカド</v>
          </cell>
          <cell r="D289" t="str">
            <v>イベント:アリスの絵本01</v>
          </cell>
          <cell r="E289" t="str">
            <v>アバター</v>
          </cell>
          <cell r="F289" t="str">
            <v>格好いい</v>
          </cell>
          <cell r="G289" t="str">
            <v>男性</v>
          </cell>
          <cell r="H289" t="str">
            <v>yellow</v>
          </cell>
          <cell r="I289">
            <v>4</v>
          </cell>
          <cell r="J289" t="str">
            <v>Drop2N</v>
          </cell>
          <cell r="K289" t="str">
            <v>balance</v>
          </cell>
          <cell r="L289" t="str">
            <v>バランスタイプ</v>
          </cell>
          <cell r="M289" t="str">
            <v>human</v>
          </cell>
        </row>
        <row r="290">
          <cell r="A290">
            <v>289</v>
          </cell>
          <cell r="B290" t="str">
            <v>ja</v>
          </cell>
          <cell r="C290" t="str">
            <v>高圧なるミカド</v>
          </cell>
          <cell r="D290" t="str">
            <v>イベント:アリスの絵本01</v>
          </cell>
          <cell r="E290" t="str">
            <v>アバター</v>
          </cell>
          <cell r="F290" t="str">
            <v>格好いい</v>
          </cell>
          <cell r="G290" t="str">
            <v>男性</v>
          </cell>
          <cell r="H290" t="str">
            <v>yellow</v>
          </cell>
          <cell r="I290">
            <v>5</v>
          </cell>
          <cell r="J290" t="str">
            <v>Drop2N</v>
          </cell>
          <cell r="K290" t="str">
            <v>balance</v>
          </cell>
          <cell r="L290" t="str">
            <v>バランスタイプ</v>
          </cell>
          <cell r="M290" t="str">
            <v>human</v>
          </cell>
        </row>
        <row r="291">
          <cell r="A291">
            <v>290</v>
          </cell>
          <cell r="B291" t="str">
            <v>ja</v>
          </cell>
          <cell r="C291" t="str">
            <v>ウィッチ・オクトパス</v>
          </cell>
          <cell r="D291" t="str">
            <v>イベント:アリスの絵本01</v>
          </cell>
          <cell r="E291" t="str">
            <v>アバター</v>
          </cell>
          <cell r="F291" t="str">
            <v>可愛い</v>
          </cell>
          <cell r="G291" t="str">
            <v>女性</v>
          </cell>
          <cell r="H291" t="str">
            <v>red</v>
          </cell>
          <cell r="I291">
            <v>4</v>
          </cell>
          <cell r="J291" t="str">
            <v>Drop2N</v>
          </cell>
          <cell r="K291" t="str">
            <v>technical</v>
          </cell>
          <cell r="L291" t="str">
            <v>テクニカルタイプ</v>
          </cell>
          <cell r="M291" t="str">
            <v>human</v>
          </cell>
        </row>
        <row r="292">
          <cell r="A292">
            <v>291</v>
          </cell>
          <cell r="B292" t="str">
            <v>ja</v>
          </cell>
          <cell r="C292" t="str">
            <v>魔改造のウィッチ・オクトパス</v>
          </cell>
          <cell r="D292" t="str">
            <v>イベント:アリスの絵本01</v>
          </cell>
          <cell r="E292" t="str">
            <v>アバター</v>
          </cell>
          <cell r="F292" t="str">
            <v>可愛い</v>
          </cell>
          <cell r="G292" t="str">
            <v>女性</v>
          </cell>
          <cell r="H292" t="str">
            <v>red</v>
          </cell>
          <cell r="I292">
            <v>5</v>
          </cell>
          <cell r="J292" t="str">
            <v>Drop2N</v>
          </cell>
          <cell r="K292" t="str">
            <v>technical</v>
          </cell>
          <cell r="L292" t="str">
            <v>テクニカルタイプ</v>
          </cell>
          <cell r="M292" t="str">
            <v>human</v>
          </cell>
        </row>
        <row r="293">
          <cell r="A293">
            <v>292</v>
          </cell>
          <cell r="B293" t="str">
            <v>ja</v>
          </cell>
          <cell r="C293" t="str">
            <v>アナスタシア</v>
          </cell>
          <cell r="D293" t="str">
            <v>イベント:アリスの絵本01</v>
          </cell>
          <cell r="E293" t="str">
            <v>アバター</v>
          </cell>
          <cell r="F293" t="str">
            <v>美しい</v>
          </cell>
          <cell r="G293" t="str">
            <v>女性</v>
          </cell>
          <cell r="H293" t="str">
            <v>blue</v>
          </cell>
          <cell r="I293">
            <v>4</v>
          </cell>
          <cell r="J293" t="str">
            <v>Drop2N</v>
          </cell>
          <cell r="K293" t="str">
            <v>balance</v>
          </cell>
          <cell r="L293" t="str">
            <v>バランスタイプ</v>
          </cell>
          <cell r="M293" t="str">
            <v>human</v>
          </cell>
        </row>
        <row r="294">
          <cell r="A294">
            <v>293</v>
          </cell>
          <cell r="B294" t="str">
            <v>ja</v>
          </cell>
          <cell r="C294" t="str">
            <v>激流拳技を極めし者 アナスタシア</v>
          </cell>
          <cell r="D294" t="str">
            <v>イベント:アリスの絵本01</v>
          </cell>
          <cell r="E294" t="str">
            <v>アバター</v>
          </cell>
          <cell r="F294" t="str">
            <v>美しい</v>
          </cell>
          <cell r="G294" t="str">
            <v>女性</v>
          </cell>
          <cell r="H294" t="str">
            <v>blue</v>
          </cell>
          <cell r="I294">
            <v>5</v>
          </cell>
          <cell r="J294" t="str">
            <v>Drop2N</v>
          </cell>
          <cell r="K294" t="str">
            <v>balance</v>
          </cell>
          <cell r="L294" t="str">
            <v>バランスタイプ</v>
          </cell>
          <cell r="M294" t="str">
            <v>human</v>
          </cell>
        </row>
        <row r="295">
          <cell r="A295">
            <v>294</v>
          </cell>
          <cell r="B295" t="str">
            <v>ja</v>
          </cell>
          <cell r="C295" t="str">
            <v>ウルフ・ザ・レッドイーター</v>
          </cell>
          <cell r="D295" t="str">
            <v>イベント:アリスの絵本01</v>
          </cell>
          <cell r="E295" t="str">
            <v>アバター</v>
          </cell>
          <cell r="F295" t="str">
            <v>格好いい</v>
          </cell>
          <cell r="G295" t="str">
            <v>男性</v>
          </cell>
          <cell r="H295" t="str">
            <v>green</v>
          </cell>
          <cell r="I295">
            <v>4</v>
          </cell>
          <cell r="J295" t="str">
            <v>Drop2N</v>
          </cell>
          <cell r="K295" t="str">
            <v>attack</v>
          </cell>
          <cell r="L295" t="str">
            <v>攻撃タイプ</v>
          </cell>
          <cell r="M295" t="str">
            <v>animal</v>
          </cell>
        </row>
        <row r="296">
          <cell r="A296">
            <v>295</v>
          </cell>
          <cell r="B296" t="str">
            <v>ja</v>
          </cell>
          <cell r="C296" t="str">
            <v>ウルフ・ザ・レッドクラッシャー</v>
          </cell>
          <cell r="D296" t="str">
            <v>イベント:アリスの絵本01</v>
          </cell>
          <cell r="E296" t="str">
            <v>アバター</v>
          </cell>
          <cell r="F296" t="str">
            <v>格好いい</v>
          </cell>
          <cell r="G296" t="str">
            <v>男性</v>
          </cell>
          <cell r="H296" t="str">
            <v>green</v>
          </cell>
          <cell r="I296">
            <v>5</v>
          </cell>
          <cell r="J296" t="str">
            <v>Drop2N</v>
          </cell>
          <cell r="K296" t="str">
            <v>attack</v>
          </cell>
          <cell r="L296" t="str">
            <v>攻撃タイプ</v>
          </cell>
          <cell r="M296" t="str">
            <v>animal</v>
          </cell>
        </row>
        <row r="297">
          <cell r="A297">
            <v>296</v>
          </cell>
          <cell r="B297" t="str">
            <v>ja</v>
          </cell>
          <cell r="C297" t="str">
            <v>アザゼル</v>
          </cell>
          <cell r="D297" t="str">
            <v>イベント:ウィザード</v>
          </cell>
          <cell r="E297" t="str">
            <v>執行者</v>
          </cell>
          <cell r="F297" t="str">
            <v>格好いい</v>
          </cell>
          <cell r="G297" t="str">
            <v>男性</v>
          </cell>
          <cell r="H297" t="str">
            <v>green</v>
          </cell>
          <cell r="I297">
            <v>4</v>
          </cell>
          <cell r="J297" t="str">
            <v>DropWizS</v>
          </cell>
          <cell r="K297" t="str">
            <v>technical</v>
          </cell>
          <cell r="L297" t="str">
            <v>テクニカルタイプ</v>
          </cell>
          <cell r="M297" t="str">
            <v>god</v>
          </cell>
        </row>
        <row r="298">
          <cell r="A298">
            <v>297</v>
          </cell>
          <cell r="B298" t="str">
            <v>ja</v>
          </cell>
          <cell r="C298" t="str">
            <v>狂靭なる双撃 アザゼル</v>
          </cell>
          <cell r="D298" t="str">
            <v>イベント:ウィザード</v>
          </cell>
          <cell r="E298" t="str">
            <v>執行者</v>
          </cell>
          <cell r="F298" t="str">
            <v>格好いい</v>
          </cell>
          <cell r="G298" t="str">
            <v>男性</v>
          </cell>
          <cell r="H298" t="str">
            <v>green</v>
          </cell>
          <cell r="I298">
            <v>5</v>
          </cell>
          <cell r="J298" t="str">
            <v>DropWizS</v>
          </cell>
          <cell r="K298" t="str">
            <v>technical</v>
          </cell>
          <cell r="L298" t="str">
            <v>テクニカルタイプ</v>
          </cell>
          <cell r="M298" t="str">
            <v>god</v>
          </cell>
        </row>
        <row r="299">
          <cell r="A299">
            <v>298</v>
          </cell>
          <cell r="B299" t="str">
            <v>ja</v>
          </cell>
          <cell r="C299" t="str">
            <v>炎殺のミサコ</v>
          </cell>
          <cell r="D299" t="str">
            <v>イベント:囚人01</v>
          </cell>
          <cell r="E299" t="str">
            <v>QoH</v>
          </cell>
          <cell r="F299" t="str">
            <v>美しい</v>
          </cell>
          <cell r="G299" t="str">
            <v>女性</v>
          </cell>
          <cell r="H299" t="str">
            <v>red</v>
          </cell>
          <cell r="I299">
            <v>3</v>
          </cell>
          <cell r="J299" t="str">
            <v>Drop2W</v>
          </cell>
          <cell r="K299" t="str">
            <v>hp</v>
          </cell>
          <cell r="L299" t="str">
            <v>体力タイプ</v>
          </cell>
          <cell r="M299" t="str">
            <v>human</v>
          </cell>
        </row>
        <row r="300">
          <cell r="A300">
            <v>299</v>
          </cell>
          <cell r="B300" t="str">
            <v>ja</v>
          </cell>
          <cell r="C300" t="str">
            <v>狂気の炎風 ミサコ</v>
          </cell>
          <cell r="D300" t="str">
            <v>イベント:囚人01</v>
          </cell>
          <cell r="E300" t="str">
            <v>QoH</v>
          </cell>
          <cell r="F300" t="str">
            <v>美しい</v>
          </cell>
          <cell r="G300" t="str">
            <v>女性</v>
          </cell>
          <cell r="H300" t="str">
            <v>red</v>
          </cell>
          <cell r="I300">
            <v>4</v>
          </cell>
          <cell r="J300" t="str">
            <v>Drop2W</v>
          </cell>
          <cell r="K300" t="str">
            <v>hp</v>
          </cell>
          <cell r="L300" t="str">
            <v>体力タイプ</v>
          </cell>
          <cell r="M300" t="str">
            <v>human</v>
          </cell>
        </row>
        <row r="301">
          <cell r="A301">
            <v>300</v>
          </cell>
          <cell r="B301" t="str">
            <v>ja</v>
          </cell>
          <cell r="C301" t="str">
            <v>毒殺のチカ</v>
          </cell>
          <cell r="D301" t="str">
            <v>イベント:囚人01</v>
          </cell>
          <cell r="E301" t="str">
            <v>QoH</v>
          </cell>
          <cell r="F301" t="str">
            <v>可愛い</v>
          </cell>
          <cell r="G301" t="str">
            <v>女性</v>
          </cell>
          <cell r="H301" t="str">
            <v>green</v>
          </cell>
          <cell r="I301">
            <v>3</v>
          </cell>
          <cell r="J301" t="str">
            <v>Drop2W</v>
          </cell>
          <cell r="K301" t="str">
            <v>balance</v>
          </cell>
          <cell r="L301" t="str">
            <v>バランスタイプ</v>
          </cell>
          <cell r="M301" t="str">
            <v>human</v>
          </cell>
        </row>
        <row r="302">
          <cell r="A302">
            <v>301</v>
          </cell>
          <cell r="B302" t="str">
            <v>ja</v>
          </cell>
          <cell r="C302" t="str">
            <v>宿痾の葬送 チカ</v>
          </cell>
          <cell r="D302" t="str">
            <v>イベント:囚人01</v>
          </cell>
          <cell r="E302" t="str">
            <v>QoH</v>
          </cell>
          <cell r="F302" t="str">
            <v>可愛い</v>
          </cell>
          <cell r="G302" t="str">
            <v>女性</v>
          </cell>
          <cell r="H302" t="str">
            <v>green</v>
          </cell>
          <cell r="I302">
            <v>4</v>
          </cell>
          <cell r="J302" t="str">
            <v>Drop2W</v>
          </cell>
          <cell r="K302" t="str">
            <v>balance</v>
          </cell>
          <cell r="L302" t="str">
            <v>バランスタイプ</v>
          </cell>
          <cell r="M302" t="str">
            <v>human</v>
          </cell>
        </row>
        <row r="303">
          <cell r="A303">
            <v>302</v>
          </cell>
          <cell r="B303" t="str">
            <v>ja</v>
          </cell>
          <cell r="C303" t="str">
            <v>絞殺のリサ</v>
          </cell>
          <cell r="D303" t="str">
            <v>イベント:囚人01</v>
          </cell>
          <cell r="E303" t="str">
            <v>QoH</v>
          </cell>
          <cell r="F303" t="str">
            <v>美しい</v>
          </cell>
          <cell r="G303" t="str">
            <v>女性</v>
          </cell>
          <cell r="H303" t="str">
            <v>blue</v>
          </cell>
          <cell r="I303">
            <v>3</v>
          </cell>
          <cell r="J303" t="str">
            <v>Drop2W</v>
          </cell>
          <cell r="K303" t="str">
            <v>heal</v>
          </cell>
          <cell r="L303" t="str">
            <v>回復タイプ</v>
          </cell>
          <cell r="M303" t="str">
            <v>human</v>
          </cell>
        </row>
        <row r="304">
          <cell r="A304">
            <v>303</v>
          </cell>
          <cell r="B304" t="str">
            <v>ja</v>
          </cell>
          <cell r="C304" t="str">
            <v>哄笑の禁縛 リサ</v>
          </cell>
          <cell r="D304" t="str">
            <v>イベント:囚人01</v>
          </cell>
          <cell r="E304" t="str">
            <v>QoH</v>
          </cell>
          <cell r="F304" t="str">
            <v>美しい</v>
          </cell>
          <cell r="G304" t="str">
            <v>女性</v>
          </cell>
          <cell r="H304" t="str">
            <v>blue</v>
          </cell>
          <cell r="I304">
            <v>4</v>
          </cell>
          <cell r="J304" t="str">
            <v>Drop2W</v>
          </cell>
          <cell r="K304" t="str">
            <v>heal</v>
          </cell>
          <cell r="L304" t="str">
            <v>回復タイプ</v>
          </cell>
          <cell r="M304" t="str">
            <v>human</v>
          </cell>
        </row>
        <row r="305">
          <cell r="A305">
            <v>304</v>
          </cell>
          <cell r="B305" t="str">
            <v>ja</v>
          </cell>
          <cell r="C305" t="str">
            <v>電殺のチエミ</v>
          </cell>
          <cell r="D305" t="str">
            <v>イベント:囚人01</v>
          </cell>
          <cell r="E305" t="str">
            <v>QoH</v>
          </cell>
          <cell r="F305" t="str">
            <v>美しい</v>
          </cell>
          <cell r="G305" t="str">
            <v>女性</v>
          </cell>
          <cell r="H305" t="str">
            <v>yellow</v>
          </cell>
          <cell r="I305">
            <v>3</v>
          </cell>
          <cell r="J305" t="str">
            <v>Drop2W</v>
          </cell>
          <cell r="K305" t="str">
            <v>attack</v>
          </cell>
          <cell r="L305" t="str">
            <v>攻撃タイプ</v>
          </cell>
          <cell r="M305" t="str">
            <v>human</v>
          </cell>
        </row>
        <row r="306">
          <cell r="A306">
            <v>305</v>
          </cell>
          <cell r="B306" t="str">
            <v>ja</v>
          </cell>
          <cell r="C306" t="str">
            <v>螺旋の雷電 チエミ</v>
          </cell>
          <cell r="D306" t="str">
            <v>イベント:囚人01</v>
          </cell>
          <cell r="E306" t="str">
            <v>QoH</v>
          </cell>
          <cell r="F306" t="str">
            <v>美しい</v>
          </cell>
          <cell r="G306" t="str">
            <v>女性</v>
          </cell>
          <cell r="H306" t="str">
            <v>yellow</v>
          </cell>
          <cell r="I306">
            <v>4</v>
          </cell>
          <cell r="J306" t="str">
            <v>Drop2W</v>
          </cell>
          <cell r="K306" t="str">
            <v>attack</v>
          </cell>
          <cell r="L306" t="str">
            <v>攻撃タイプ</v>
          </cell>
          <cell r="M306" t="str">
            <v>human</v>
          </cell>
        </row>
        <row r="307">
          <cell r="A307">
            <v>306</v>
          </cell>
          <cell r="B307" t="str">
            <v>ja</v>
          </cell>
          <cell r="C307" t="str">
            <v>メガロドン</v>
          </cell>
          <cell r="D307" t="str">
            <v>イベント:深海生物01</v>
          </cell>
          <cell r="E307" t="str">
            <v>アバター</v>
          </cell>
          <cell r="F307" t="str">
            <v>格好いい</v>
          </cell>
          <cell r="G307" t="str">
            <v>女性</v>
          </cell>
          <cell r="H307" t="str">
            <v>red</v>
          </cell>
          <cell r="I307">
            <v>4</v>
          </cell>
          <cell r="J307" t="str">
            <v>Drop2N</v>
          </cell>
          <cell r="K307" t="str">
            <v>attack</v>
          </cell>
          <cell r="L307" t="str">
            <v>攻撃タイプ</v>
          </cell>
          <cell r="M307" t="str">
            <v>animal</v>
          </cell>
        </row>
        <row r="308">
          <cell r="A308">
            <v>307</v>
          </cell>
          <cell r="B308" t="str">
            <v>ja</v>
          </cell>
          <cell r="C308" t="str">
            <v>古の鋼拳 メガロドン</v>
          </cell>
          <cell r="D308" t="str">
            <v>イベント:深海生物01</v>
          </cell>
          <cell r="E308" t="str">
            <v>アバター</v>
          </cell>
          <cell r="F308" t="str">
            <v>格好いい</v>
          </cell>
          <cell r="G308" t="str">
            <v>女性</v>
          </cell>
          <cell r="H308" t="str">
            <v>red</v>
          </cell>
          <cell r="I308">
            <v>5</v>
          </cell>
          <cell r="J308" t="str">
            <v>Drop2N</v>
          </cell>
          <cell r="K308" t="str">
            <v>attack</v>
          </cell>
          <cell r="L308" t="str">
            <v>攻撃タイプ</v>
          </cell>
          <cell r="M308" t="str">
            <v>animal</v>
          </cell>
        </row>
        <row r="309">
          <cell r="A309">
            <v>308</v>
          </cell>
          <cell r="B309" t="str">
            <v>ja</v>
          </cell>
          <cell r="C309" t="str">
            <v>アーケロン</v>
          </cell>
          <cell r="D309" t="str">
            <v>イベント:深海生物01</v>
          </cell>
          <cell r="E309" t="str">
            <v>アバター</v>
          </cell>
          <cell r="F309" t="str">
            <v>可愛い</v>
          </cell>
          <cell r="G309" t="str">
            <v>女性</v>
          </cell>
          <cell r="H309" t="str">
            <v>green</v>
          </cell>
          <cell r="I309">
            <v>4</v>
          </cell>
          <cell r="J309" t="str">
            <v>Drop2N</v>
          </cell>
          <cell r="K309" t="str">
            <v>hp</v>
          </cell>
          <cell r="L309" t="str">
            <v>体力タイプ</v>
          </cell>
          <cell r="M309" t="str">
            <v>animal</v>
          </cell>
        </row>
        <row r="310">
          <cell r="A310">
            <v>309</v>
          </cell>
          <cell r="B310" t="str">
            <v>ja</v>
          </cell>
          <cell r="C310" t="str">
            <v>古の博学 アーケロン</v>
          </cell>
          <cell r="D310" t="str">
            <v>イベント:深海生物01</v>
          </cell>
          <cell r="E310" t="str">
            <v>アバター</v>
          </cell>
          <cell r="F310" t="str">
            <v>可愛い</v>
          </cell>
          <cell r="G310" t="str">
            <v>女性</v>
          </cell>
          <cell r="H310" t="str">
            <v>green</v>
          </cell>
          <cell r="I310">
            <v>5</v>
          </cell>
          <cell r="J310" t="str">
            <v>Drop2N</v>
          </cell>
          <cell r="K310" t="str">
            <v>hp</v>
          </cell>
          <cell r="L310" t="str">
            <v>体力タイプ</v>
          </cell>
          <cell r="M310" t="str">
            <v>animal</v>
          </cell>
        </row>
        <row r="311">
          <cell r="A311">
            <v>310</v>
          </cell>
          <cell r="B311" t="str">
            <v>ja</v>
          </cell>
          <cell r="C311" t="str">
            <v>リードシクティス</v>
          </cell>
          <cell r="D311" t="str">
            <v>イベント:深海生物01</v>
          </cell>
          <cell r="E311" t="str">
            <v>アバター</v>
          </cell>
          <cell r="F311" t="str">
            <v>美しい</v>
          </cell>
          <cell r="G311" t="str">
            <v>女性</v>
          </cell>
          <cell r="H311" t="str">
            <v>blue</v>
          </cell>
          <cell r="I311">
            <v>4</v>
          </cell>
          <cell r="J311" t="str">
            <v>Drop2N</v>
          </cell>
          <cell r="K311" t="str">
            <v>heal</v>
          </cell>
          <cell r="L311" t="str">
            <v>回復タイプ</v>
          </cell>
          <cell r="M311" t="str">
            <v>animal</v>
          </cell>
        </row>
        <row r="312">
          <cell r="A312">
            <v>311</v>
          </cell>
          <cell r="B312" t="str">
            <v>ja</v>
          </cell>
          <cell r="C312" t="str">
            <v>古の暴食 リードシクティス</v>
          </cell>
          <cell r="D312" t="str">
            <v>イベント:深海生物01</v>
          </cell>
          <cell r="E312" t="str">
            <v>アバター</v>
          </cell>
          <cell r="F312" t="str">
            <v>美しい</v>
          </cell>
          <cell r="G312" t="str">
            <v>女性</v>
          </cell>
          <cell r="H312" t="str">
            <v>blue</v>
          </cell>
          <cell r="I312">
            <v>5</v>
          </cell>
          <cell r="J312" t="str">
            <v>Drop2N</v>
          </cell>
          <cell r="K312" t="str">
            <v>heal</v>
          </cell>
          <cell r="L312" t="str">
            <v>回復タイプ</v>
          </cell>
          <cell r="M312" t="str">
            <v>animal</v>
          </cell>
        </row>
        <row r="313">
          <cell r="A313">
            <v>312</v>
          </cell>
          <cell r="B313" t="str">
            <v>ja</v>
          </cell>
          <cell r="C313" t="str">
            <v>アノマロカリス</v>
          </cell>
          <cell r="D313" t="str">
            <v>イベント:深海生物01</v>
          </cell>
          <cell r="E313" t="str">
            <v>アバター</v>
          </cell>
          <cell r="F313" t="str">
            <v>可愛い</v>
          </cell>
          <cell r="G313" t="str">
            <v>女性</v>
          </cell>
          <cell r="H313" t="str">
            <v>yellow</v>
          </cell>
          <cell r="I313">
            <v>4</v>
          </cell>
          <cell r="J313" t="str">
            <v>Drop2N</v>
          </cell>
          <cell r="K313" t="str">
            <v>balance</v>
          </cell>
          <cell r="L313" t="str">
            <v>バランスタイプ</v>
          </cell>
          <cell r="M313" t="str">
            <v>animal</v>
          </cell>
        </row>
        <row r="314">
          <cell r="A314">
            <v>313</v>
          </cell>
          <cell r="B314" t="str">
            <v>ja</v>
          </cell>
          <cell r="C314" t="str">
            <v>古の先鋭 アノマロカリス</v>
          </cell>
          <cell r="D314" t="str">
            <v>イベント:深海生物01</v>
          </cell>
          <cell r="E314" t="str">
            <v>アバター</v>
          </cell>
          <cell r="F314" t="str">
            <v>可愛い</v>
          </cell>
          <cell r="G314" t="str">
            <v>女性</v>
          </cell>
          <cell r="H314" t="str">
            <v>yellow</v>
          </cell>
          <cell r="I314">
            <v>5</v>
          </cell>
          <cell r="J314" t="str">
            <v>Drop2N</v>
          </cell>
          <cell r="K314" t="str">
            <v>balance</v>
          </cell>
          <cell r="L314" t="str">
            <v>バランスタイプ</v>
          </cell>
          <cell r="M314" t="str">
            <v>animal</v>
          </cell>
        </row>
        <row r="315">
          <cell r="A315">
            <v>314</v>
          </cell>
          <cell r="B315" t="str">
            <v>ja</v>
          </cell>
          <cell r="C315" t="str">
            <v>ジャンヌ</v>
          </cell>
          <cell r="D315" t="str">
            <v>イベント:ウィザード</v>
          </cell>
          <cell r="E315" t="str">
            <v>守護者</v>
          </cell>
          <cell r="F315" t="str">
            <v>美しい</v>
          </cell>
          <cell r="G315" t="str">
            <v>女性</v>
          </cell>
          <cell r="H315" t="str">
            <v>blue</v>
          </cell>
          <cell r="I315">
            <v>4</v>
          </cell>
          <cell r="J315" t="str">
            <v>DropWizS</v>
          </cell>
          <cell r="K315" t="str">
            <v>heal</v>
          </cell>
          <cell r="L315" t="str">
            <v>回復タイプ</v>
          </cell>
          <cell r="M315" t="str">
            <v>human</v>
          </cell>
        </row>
        <row r="316">
          <cell r="A316">
            <v>315</v>
          </cell>
          <cell r="B316" t="str">
            <v>ja</v>
          </cell>
          <cell r="C316" t="str">
            <v>鉄馬駆る聖女 ジャンヌ</v>
          </cell>
          <cell r="D316" t="str">
            <v>イベント:ウィザード</v>
          </cell>
          <cell r="E316" t="str">
            <v>守護者</v>
          </cell>
          <cell r="F316" t="str">
            <v>美しい</v>
          </cell>
          <cell r="G316" t="str">
            <v>女性</v>
          </cell>
          <cell r="H316" t="str">
            <v>blue</v>
          </cell>
          <cell r="I316">
            <v>5</v>
          </cell>
          <cell r="J316" t="str">
            <v>DropWizS</v>
          </cell>
          <cell r="K316" t="str">
            <v>heal</v>
          </cell>
          <cell r="L316" t="str">
            <v>回復タイプ</v>
          </cell>
          <cell r="M316" t="str">
            <v>human</v>
          </cell>
        </row>
        <row r="317">
          <cell r="A317">
            <v>316</v>
          </cell>
          <cell r="B317" t="str">
            <v>ja</v>
          </cell>
          <cell r="C317" t="str">
            <v>テスラ</v>
          </cell>
          <cell r="D317" t="str">
            <v>チャレンジタワー</v>
          </cell>
          <cell r="E317" t="str">
            <v>守護者</v>
          </cell>
          <cell r="F317" t="str">
            <v>可愛い</v>
          </cell>
          <cell r="G317" t="str">
            <v>女性</v>
          </cell>
          <cell r="H317" t="str">
            <v>yellow</v>
          </cell>
          <cell r="I317">
            <v>4</v>
          </cell>
          <cell r="J317" t="str">
            <v>DropWizN</v>
          </cell>
          <cell r="K317" t="str">
            <v>balance</v>
          </cell>
          <cell r="L317" t="str">
            <v>バランスタイプ</v>
          </cell>
          <cell r="M317" t="str">
            <v>human</v>
          </cell>
        </row>
        <row r="318">
          <cell r="A318">
            <v>317</v>
          </cell>
          <cell r="B318" t="str">
            <v>ja</v>
          </cell>
          <cell r="C318" t="str">
            <v>異能の電気師 テスラ</v>
          </cell>
          <cell r="D318" t="str">
            <v>チャレンジタワー</v>
          </cell>
          <cell r="E318" t="str">
            <v>守護者</v>
          </cell>
          <cell r="F318" t="str">
            <v>可愛い</v>
          </cell>
          <cell r="G318" t="str">
            <v>女性</v>
          </cell>
          <cell r="H318" t="str">
            <v>yellow</v>
          </cell>
          <cell r="I318">
            <v>5</v>
          </cell>
          <cell r="J318" t="str">
            <v>DropWizN</v>
          </cell>
          <cell r="K318" t="str">
            <v>balance</v>
          </cell>
          <cell r="L318" t="str">
            <v>バランスタイプ</v>
          </cell>
          <cell r="M318" t="str">
            <v>human</v>
          </cell>
        </row>
        <row r="319">
          <cell r="A319">
            <v>318</v>
          </cell>
          <cell r="B319" t="str">
            <v>ja</v>
          </cell>
          <cell r="C319" t="str">
            <v>シャルル</v>
          </cell>
          <cell r="D319" t="str">
            <v>チャレンジタワー</v>
          </cell>
          <cell r="E319" t="str">
            <v>守護者</v>
          </cell>
          <cell r="F319" t="str">
            <v>美しい</v>
          </cell>
          <cell r="G319" t="str">
            <v>女性</v>
          </cell>
          <cell r="H319" t="str">
            <v>blue</v>
          </cell>
          <cell r="I319">
            <v>4</v>
          </cell>
          <cell r="J319" t="str">
            <v>DropWizN</v>
          </cell>
          <cell r="K319" t="str">
            <v>heal</v>
          </cell>
          <cell r="L319" t="str">
            <v>回復タイプ</v>
          </cell>
          <cell r="M319" t="str">
            <v>human</v>
          </cell>
        </row>
        <row r="320">
          <cell r="A320">
            <v>319</v>
          </cell>
          <cell r="B320" t="str">
            <v>ja</v>
          </cell>
          <cell r="C320" t="str">
            <v>夢想の学士 シャルル</v>
          </cell>
          <cell r="D320" t="str">
            <v>チャレンジタワー</v>
          </cell>
          <cell r="E320" t="str">
            <v>守護者</v>
          </cell>
          <cell r="F320" t="str">
            <v>美しい</v>
          </cell>
          <cell r="G320" t="str">
            <v>女性</v>
          </cell>
          <cell r="H320" t="str">
            <v>blue</v>
          </cell>
          <cell r="I320">
            <v>5</v>
          </cell>
          <cell r="J320" t="str">
            <v>DropWizN</v>
          </cell>
          <cell r="K320" t="str">
            <v>heal</v>
          </cell>
          <cell r="L320" t="str">
            <v>回復タイプ</v>
          </cell>
          <cell r="M320" t="str">
            <v>human</v>
          </cell>
        </row>
        <row r="321">
          <cell r="A321">
            <v>320</v>
          </cell>
          <cell r="B321" t="str">
            <v>ja</v>
          </cell>
          <cell r="C321" t="str">
            <v>烈志士 近藤勇</v>
          </cell>
          <cell r="D321" t="str">
            <v>ガチャ:幕末01</v>
          </cell>
          <cell r="E321" t="str">
            <v>破界者</v>
          </cell>
          <cell r="F321" t="str">
            <v>格好いい</v>
          </cell>
          <cell r="G321" t="str">
            <v>男性</v>
          </cell>
          <cell r="H321" t="str">
            <v>red</v>
          </cell>
          <cell r="I321">
            <v>4</v>
          </cell>
          <cell r="J321" t="str">
            <v>PremiumSS</v>
          </cell>
          <cell r="K321" t="str">
            <v>hp</v>
          </cell>
          <cell r="L321" t="str">
            <v>体力タイプ</v>
          </cell>
          <cell r="M321" t="str">
            <v>human</v>
          </cell>
        </row>
        <row r="322">
          <cell r="A322">
            <v>321</v>
          </cell>
          <cell r="B322" t="str">
            <v>ja</v>
          </cell>
          <cell r="C322" t="str">
            <v>巌鉄の烈志士 近藤勇</v>
          </cell>
          <cell r="D322" t="str">
            <v>ガチャ:幕末01</v>
          </cell>
          <cell r="E322" t="str">
            <v>破界者</v>
          </cell>
          <cell r="F322" t="str">
            <v>格好いい</v>
          </cell>
          <cell r="G322" t="str">
            <v>男性</v>
          </cell>
          <cell r="H322" t="str">
            <v>red</v>
          </cell>
          <cell r="I322">
            <v>5</v>
          </cell>
          <cell r="J322" t="str">
            <v>PremiumSS</v>
          </cell>
          <cell r="K322" t="str">
            <v>hp</v>
          </cell>
          <cell r="L322" t="str">
            <v>体力タイプ</v>
          </cell>
          <cell r="M322" t="str">
            <v>human</v>
          </cell>
        </row>
        <row r="323">
          <cell r="A323">
            <v>322</v>
          </cell>
          <cell r="B323" t="str">
            <v>ja</v>
          </cell>
          <cell r="C323" t="str">
            <v>愛志士 土方歳三</v>
          </cell>
          <cell r="D323" t="str">
            <v>ガチャ:幕末01</v>
          </cell>
          <cell r="E323" t="str">
            <v>破界者</v>
          </cell>
          <cell r="F323" t="str">
            <v>美しい</v>
          </cell>
          <cell r="G323" t="str">
            <v>女性</v>
          </cell>
          <cell r="H323" t="str">
            <v>green</v>
          </cell>
          <cell r="I323">
            <v>4</v>
          </cell>
          <cell r="J323" t="str">
            <v>PremiumSS</v>
          </cell>
          <cell r="K323" t="str">
            <v>attack</v>
          </cell>
          <cell r="L323" t="str">
            <v>攻撃タイプ</v>
          </cell>
          <cell r="M323" t="str">
            <v>human</v>
          </cell>
        </row>
        <row r="324">
          <cell r="A324">
            <v>323</v>
          </cell>
          <cell r="B324" t="str">
            <v>ja</v>
          </cell>
          <cell r="C324" t="str">
            <v>流麗の愛志士 土方歳三</v>
          </cell>
          <cell r="D324" t="str">
            <v>ガチャ:幕末01</v>
          </cell>
          <cell r="E324" t="str">
            <v>破界者</v>
          </cell>
          <cell r="F324" t="str">
            <v>美しい</v>
          </cell>
          <cell r="G324" t="str">
            <v>女性</v>
          </cell>
          <cell r="H324" t="str">
            <v>green</v>
          </cell>
          <cell r="I324">
            <v>5</v>
          </cell>
          <cell r="J324" t="str">
            <v>PremiumSS</v>
          </cell>
          <cell r="K324" t="str">
            <v>attack</v>
          </cell>
          <cell r="L324" t="str">
            <v>攻撃タイプ</v>
          </cell>
          <cell r="M324" t="str">
            <v>human</v>
          </cell>
        </row>
        <row r="325">
          <cell r="A325">
            <v>324</v>
          </cell>
          <cell r="B325" t="str">
            <v>ja</v>
          </cell>
          <cell r="C325" t="str">
            <v>凛志士 沖田総司</v>
          </cell>
          <cell r="D325" t="str">
            <v>ガチャ:幕末01</v>
          </cell>
          <cell r="E325" t="str">
            <v>破界者</v>
          </cell>
          <cell r="F325" t="str">
            <v>可愛い</v>
          </cell>
          <cell r="G325" t="str">
            <v>女性</v>
          </cell>
          <cell r="H325" t="str">
            <v>blue</v>
          </cell>
          <cell r="I325">
            <v>4</v>
          </cell>
          <cell r="J325" t="str">
            <v>PremiumSS</v>
          </cell>
          <cell r="K325" t="str">
            <v>balance</v>
          </cell>
          <cell r="L325" t="str">
            <v>バランスタイプ</v>
          </cell>
          <cell r="M325" t="str">
            <v>human</v>
          </cell>
        </row>
        <row r="326">
          <cell r="A326">
            <v>325</v>
          </cell>
          <cell r="B326" t="str">
            <v>ja</v>
          </cell>
          <cell r="C326" t="str">
            <v>天賦の凛志士 沖田総司</v>
          </cell>
          <cell r="D326" t="str">
            <v>ガチャ:幕末01</v>
          </cell>
          <cell r="E326" t="str">
            <v>破界者</v>
          </cell>
          <cell r="F326" t="str">
            <v>可愛い</v>
          </cell>
          <cell r="G326" t="str">
            <v>女性</v>
          </cell>
          <cell r="H326" t="str">
            <v>blue</v>
          </cell>
          <cell r="I326">
            <v>5</v>
          </cell>
          <cell r="J326" t="str">
            <v>PremiumSS</v>
          </cell>
          <cell r="K326" t="str">
            <v>balance</v>
          </cell>
          <cell r="L326" t="str">
            <v>バランスタイプ</v>
          </cell>
          <cell r="M326" t="str">
            <v>human</v>
          </cell>
        </row>
        <row r="327">
          <cell r="A327">
            <v>326</v>
          </cell>
          <cell r="B327" t="str">
            <v>ja</v>
          </cell>
          <cell r="C327" t="str">
            <v>妖志士 斎藤一</v>
          </cell>
          <cell r="D327" t="str">
            <v>ガチャ:幕末01</v>
          </cell>
          <cell r="E327" t="str">
            <v>破界者</v>
          </cell>
          <cell r="F327" t="str">
            <v>美しい</v>
          </cell>
          <cell r="G327" t="str">
            <v>女性</v>
          </cell>
          <cell r="H327" t="str">
            <v>yellow</v>
          </cell>
          <cell r="I327">
            <v>4</v>
          </cell>
          <cell r="J327" t="str">
            <v>PremiumSS</v>
          </cell>
          <cell r="K327" t="str">
            <v>technical</v>
          </cell>
          <cell r="L327" t="str">
            <v>テクニカルタイプ</v>
          </cell>
          <cell r="M327" t="str">
            <v>human</v>
          </cell>
        </row>
        <row r="328">
          <cell r="A328">
            <v>327</v>
          </cell>
          <cell r="B328" t="str">
            <v>ja</v>
          </cell>
          <cell r="C328" t="str">
            <v>千殺の妖志士 斎藤一</v>
          </cell>
          <cell r="D328" t="str">
            <v>ガチャ:幕末01</v>
          </cell>
          <cell r="E328" t="str">
            <v>破界者</v>
          </cell>
          <cell r="F328" t="str">
            <v>美しい</v>
          </cell>
          <cell r="G328" t="str">
            <v>女性</v>
          </cell>
          <cell r="H328" t="str">
            <v>yellow</v>
          </cell>
          <cell r="I328">
            <v>5</v>
          </cell>
          <cell r="J328" t="str">
            <v>PremiumSS</v>
          </cell>
          <cell r="K328" t="str">
            <v>technical</v>
          </cell>
          <cell r="L328" t="str">
            <v>テクニカルタイプ</v>
          </cell>
          <cell r="M328" t="str">
            <v>human</v>
          </cell>
        </row>
        <row r="329">
          <cell r="A329">
            <v>328</v>
          </cell>
          <cell r="B329" t="str">
            <v>ja</v>
          </cell>
          <cell r="C329" t="str">
            <v>麒麟クエストアイコンシルエット</v>
          </cell>
          <cell r="D329" t="str">
            <v>未定</v>
          </cell>
          <cell r="H329" t="str">
            <v>yellow</v>
          </cell>
          <cell r="I329">
            <v>4</v>
          </cell>
          <cell r="J329" t="str">
            <v>PremiumS</v>
          </cell>
          <cell r="K329" t="str">
            <v>none</v>
          </cell>
          <cell r="L329" t="str">
            <v>タイプなし</v>
          </cell>
          <cell r="M329" t="str">
            <v>human</v>
          </cell>
        </row>
        <row r="330">
          <cell r="A330">
            <v>329</v>
          </cell>
          <cell r="B330" t="str">
            <v>ja</v>
          </cell>
          <cell r="C330" t="str">
            <v>麒麟クエストアイコンシルエット</v>
          </cell>
          <cell r="D330" t="str">
            <v>未定</v>
          </cell>
          <cell r="H330" t="str">
            <v>yellow</v>
          </cell>
          <cell r="I330">
            <v>5</v>
          </cell>
          <cell r="J330" t="str">
            <v>PremiumS</v>
          </cell>
          <cell r="K330" t="str">
            <v>none</v>
          </cell>
          <cell r="L330" t="str">
            <v>タイプなし</v>
          </cell>
          <cell r="M330" t="str">
            <v>human</v>
          </cell>
        </row>
        <row r="331">
          <cell r="A331">
            <v>330</v>
          </cell>
          <cell r="B331" t="str">
            <v>ja</v>
          </cell>
          <cell r="C331" t="str">
            <v>Usagi-chan</v>
          </cell>
          <cell r="D331" t="str">
            <v>未定</v>
          </cell>
          <cell r="H331" t="str">
            <v>blue</v>
          </cell>
          <cell r="I331">
            <v>4</v>
          </cell>
          <cell r="J331" t="str">
            <v>DropWizSSS</v>
          </cell>
          <cell r="K331" t="str">
            <v>balance</v>
          </cell>
          <cell r="L331" t="str">
            <v>バランスタイプ</v>
          </cell>
          <cell r="M331" t="str">
            <v>machine</v>
          </cell>
        </row>
        <row r="332">
          <cell r="A332">
            <v>331</v>
          </cell>
          <cell r="B332" t="str">
            <v>ja</v>
          </cell>
          <cell r="C332" t="str">
            <v>オーディンクエストアイコンシルエット</v>
          </cell>
          <cell r="D332" t="str">
            <v>未定</v>
          </cell>
          <cell r="H332" t="str">
            <v>blue</v>
          </cell>
          <cell r="I332">
            <v>5</v>
          </cell>
          <cell r="J332" t="str">
            <v>DropWizSSS</v>
          </cell>
          <cell r="K332" t="str">
            <v>none</v>
          </cell>
          <cell r="L332" t="str">
            <v>タイプなし</v>
          </cell>
          <cell r="M332" t="str">
            <v>unknown</v>
          </cell>
        </row>
        <row r="333">
          <cell r="A333">
            <v>332</v>
          </cell>
          <cell r="B333" t="str">
            <v>ja</v>
          </cell>
          <cell r="C333" t="str">
            <v>炎のメタルピヨピヨ</v>
          </cell>
          <cell r="D333" t="str">
            <v>強化素材R3　赤</v>
          </cell>
          <cell r="E333" t="str">
            <v>アリス</v>
          </cell>
          <cell r="F333" t="str">
            <v>世界観</v>
          </cell>
          <cell r="G333" t="str">
            <v>不明</v>
          </cell>
          <cell r="H333" t="str">
            <v>red</v>
          </cell>
          <cell r="I333">
            <v>3</v>
          </cell>
          <cell r="J333" t="str">
            <v>Material</v>
          </cell>
          <cell r="K333" t="str">
            <v>exp</v>
          </cell>
          <cell r="L333" t="str">
            <v>強化素材タイプ</v>
          </cell>
          <cell r="M333" t="str">
            <v>unknown</v>
          </cell>
        </row>
        <row r="334">
          <cell r="A334">
            <v>333</v>
          </cell>
          <cell r="B334" t="str">
            <v>ja</v>
          </cell>
          <cell r="C334" t="str">
            <v>炎のメタルチック</v>
          </cell>
          <cell r="D334" t="str">
            <v>強化素材R4　赤</v>
          </cell>
          <cell r="E334" t="str">
            <v>アリス</v>
          </cell>
          <cell r="F334" t="str">
            <v>世界観</v>
          </cell>
          <cell r="G334" t="str">
            <v>不明</v>
          </cell>
          <cell r="H334" t="str">
            <v>red</v>
          </cell>
          <cell r="I334">
            <v>4</v>
          </cell>
          <cell r="J334" t="str">
            <v>Material</v>
          </cell>
          <cell r="K334" t="str">
            <v>exp</v>
          </cell>
          <cell r="L334" t="str">
            <v>強化素材タイプ</v>
          </cell>
          <cell r="M334" t="str">
            <v>unknown</v>
          </cell>
        </row>
        <row r="335">
          <cell r="A335">
            <v>334</v>
          </cell>
          <cell r="B335" t="str">
            <v>ja</v>
          </cell>
          <cell r="C335" t="str">
            <v>炎のメタルダック</v>
          </cell>
          <cell r="D335" t="str">
            <v>強化素材R5　赤</v>
          </cell>
          <cell r="E335" t="str">
            <v>アリス</v>
          </cell>
          <cell r="F335" t="str">
            <v>世界観</v>
          </cell>
          <cell r="G335" t="str">
            <v>不明</v>
          </cell>
          <cell r="H335" t="str">
            <v>red</v>
          </cell>
          <cell r="I335">
            <v>5</v>
          </cell>
          <cell r="J335" t="str">
            <v>Material</v>
          </cell>
          <cell r="K335" t="str">
            <v>exp</v>
          </cell>
          <cell r="L335" t="str">
            <v>強化素材タイプ</v>
          </cell>
          <cell r="M335" t="str">
            <v>unknown</v>
          </cell>
        </row>
        <row r="336">
          <cell r="A336">
            <v>335</v>
          </cell>
          <cell r="B336" t="str">
            <v>ja</v>
          </cell>
          <cell r="C336" t="str">
            <v>炎のメタルジェントル</v>
          </cell>
          <cell r="D336" t="str">
            <v>強化素材R6　赤</v>
          </cell>
          <cell r="E336" t="str">
            <v>アリス</v>
          </cell>
          <cell r="F336" t="str">
            <v>世界観</v>
          </cell>
          <cell r="G336" t="str">
            <v>不明</v>
          </cell>
          <cell r="H336" t="str">
            <v>red</v>
          </cell>
          <cell r="I336">
            <v>6</v>
          </cell>
          <cell r="J336" t="str">
            <v>Material</v>
          </cell>
          <cell r="K336" t="str">
            <v>exp</v>
          </cell>
          <cell r="L336" t="str">
            <v>強化素材タイプ</v>
          </cell>
          <cell r="M336" t="str">
            <v>unknown</v>
          </cell>
        </row>
        <row r="337">
          <cell r="A337">
            <v>336</v>
          </cell>
          <cell r="B337" t="str">
            <v>ja</v>
          </cell>
          <cell r="C337" t="str">
            <v>森のメタルピヨピヨ</v>
          </cell>
          <cell r="D337" t="str">
            <v>強化素材R3　緑</v>
          </cell>
          <cell r="E337" t="str">
            <v>アリス</v>
          </cell>
          <cell r="F337" t="str">
            <v>世界観</v>
          </cell>
          <cell r="G337" t="str">
            <v>不明</v>
          </cell>
          <cell r="H337" t="str">
            <v>green</v>
          </cell>
          <cell r="I337">
            <v>3</v>
          </cell>
          <cell r="J337" t="str">
            <v>Material</v>
          </cell>
          <cell r="K337" t="str">
            <v>exp</v>
          </cell>
          <cell r="L337" t="str">
            <v>強化素材タイプ</v>
          </cell>
          <cell r="M337" t="str">
            <v>unknown</v>
          </cell>
        </row>
        <row r="338">
          <cell r="A338">
            <v>337</v>
          </cell>
          <cell r="B338" t="str">
            <v>ja</v>
          </cell>
          <cell r="C338" t="str">
            <v>森のメタルチック</v>
          </cell>
          <cell r="D338" t="str">
            <v>強化素材R4　緑</v>
          </cell>
          <cell r="E338" t="str">
            <v>アリス</v>
          </cell>
          <cell r="F338" t="str">
            <v>世界観</v>
          </cell>
          <cell r="G338" t="str">
            <v>不明</v>
          </cell>
          <cell r="H338" t="str">
            <v>green</v>
          </cell>
          <cell r="I338">
            <v>4</v>
          </cell>
          <cell r="J338" t="str">
            <v>Material</v>
          </cell>
          <cell r="K338" t="str">
            <v>exp</v>
          </cell>
          <cell r="L338" t="str">
            <v>強化素材タイプ</v>
          </cell>
          <cell r="M338" t="str">
            <v>unknown</v>
          </cell>
        </row>
        <row r="339">
          <cell r="A339">
            <v>338</v>
          </cell>
          <cell r="B339" t="str">
            <v>ja</v>
          </cell>
          <cell r="C339" t="str">
            <v>森のメタルダック</v>
          </cell>
          <cell r="D339" t="str">
            <v>強化素材R5　緑</v>
          </cell>
          <cell r="E339" t="str">
            <v>アリス</v>
          </cell>
          <cell r="F339" t="str">
            <v>世界観</v>
          </cell>
          <cell r="G339" t="str">
            <v>不明</v>
          </cell>
          <cell r="H339" t="str">
            <v>green</v>
          </cell>
          <cell r="I339">
            <v>5</v>
          </cell>
          <cell r="J339" t="str">
            <v>Material</v>
          </cell>
          <cell r="K339" t="str">
            <v>exp</v>
          </cell>
          <cell r="L339" t="str">
            <v>強化素材タイプ</v>
          </cell>
          <cell r="M339" t="str">
            <v>unknown</v>
          </cell>
        </row>
        <row r="340">
          <cell r="A340">
            <v>339</v>
          </cell>
          <cell r="B340" t="str">
            <v>ja</v>
          </cell>
          <cell r="C340" t="str">
            <v>森のメタルジェントル</v>
          </cell>
          <cell r="D340" t="str">
            <v>強化素材R6　緑</v>
          </cell>
          <cell r="E340" t="str">
            <v>アリス</v>
          </cell>
          <cell r="F340" t="str">
            <v>世界観</v>
          </cell>
          <cell r="G340" t="str">
            <v>不明</v>
          </cell>
          <cell r="H340" t="str">
            <v>green</v>
          </cell>
          <cell r="I340">
            <v>6</v>
          </cell>
          <cell r="J340" t="str">
            <v>Material</v>
          </cell>
          <cell r="K340" t="str">
            <v>exp</v>
          </cell>
          <cell r="L340" t="str">
            <v>強化素材タイプ</v>
          </cell>
          <cell r="M340" t="str">
            <v>unknown</v>
          </cell>
        </row>
        <row r="341">
          <cell r="A341">
            <v>340</v>
          </cell>
          <cell r="B341" t="str">
            <v>ja</v>
          </cell>
          <cell r="C341" t="str">
            <v>水のメタルピヨピヨ</v>
          </cell>
          <cell r="D341" t="str">
            <v>強化素材R3　青</v>
          </cell>
          <cell r="E341" t="str">
            <v>アリス</v>
          </cell>
          <cell r="F341" t="str">
            <v>世界観</v>
          </cell>
          <cell r="G341" t="str">
            <v>不明</v>
          </cell>
          <cell r="H341" t="str">
            <v>blue</v>
          </cell>
          <cell r="I341">
            <v>3</v>
          </cell>
          <cell r="J341" t="str">
            <v>Material</v>
          </cell>
          <cell r="K341" t="str">
            <v>exp</v>
          </cell>
          <cell r="L341" t="str">
            <v>強化素材タイプ</v>
          </cell>
          <cell r="M341" t="str">
            <v>unknown</v>
          </cell>
        </row>
        <row r="342">
          <cell r="A342">
            <v>341</v>
          </cell>
          <cell r="B342" t="str">
            <v>ja</v>
          </cell>
          <cell r="C342" t="str">
            <v>水のメタルチック</v>
          </cell>
          <cell r="D342" t="str">
            <v>強化素材R4　青</v>
          </cell>
          <cell r="E342" t="str">
            <v>アリス</v>
          </cell>
          <cell r="F342" t="str">
            <v>世界観</v>
          </cell>
          <cell r="G342" t="str">
            <v>不明</v>
          </cell>
          <cell r="H342" t="str">
            <v>blue</v>
          </cell>
          <cell r="I342">
            <v>4</v>
          </cell>
          <cell r="J342" t="str">
            <v>Material</v>
          </cell>
          <cell r="K342" t="str">
            <v>exp</v>
          </cell>
          <cell r="L342" t="str">
            <v>強化素材タイプ</v>
          </cell>
          <cell r="M342" t="str">
            <v>unknown</v>
          </cell>
        </row>
        <row r="343">
          <cell r="A343">
            <v>342</v>
          </cell>
          <cell r="B343" t="str">
            <v>ja</v>
          </cell>
          <cell r="C343" t="str">
            <v>水のメタルダック</v>
          </cell>
          <cell r="D343" t="str">
            <v>強化素材R5　青</v>
          </cell>
          <cell r="E343" t="str">
            <v>アリス</v>
          </cell>
          <cell r="F343" t="str">
            <v>世界観</v>
          </cell>
          <cell r="G343" t="str">
            <v>不明</v>
          </cell>
          <cell r="H343" t="str">
            <v>blue</v>
          </cell>
          <cell r="I343">
            <v>5</v>
          </cell>
          <cell r="J343" t="str">
            <v>Material</v>
          </cell>
          <cell r="K343" t="str">
            <v>exp</v>
          </cell>
          <cell r="L343" t="str">
            <v>強化素材タイプ</v>
          </cell>
          <cell r="M343" t="str">
            <v>unknown</v>
          </cell>
        </row>
        <row r="344">
          <cell r="A344">
            <v>343</v>
          </cell>
          <cell r="B344" t="str">
            <v>ja</v>
          </cell>
          <cell r="C344" t="str">
            <v>水のメタルジェントル</v>
          </cell>
          <cell r="D344" t="str">
            <v>強化素材R6　青</v>
          </cell>
          <cell r="E344" t="str">
            <v>アリス</v>
          </cell>
          <cell r="F344" t="str">
            <v>世界観</v>
          </cell>
          <cell r="G344" t="str">
            <v>不明</v>
          </cell>
          <cell r="H344" t="str">
            <v>blue</v>
          </cell>
          <cell r="I344">
            <v>6</v>
          </cell>
          <cell r="J344" t="str">
            <v>Material</v>
          </cell>
          <cell r="K344" t="str">
            <v>exp</v>
          </cell>
          <cell r="L344" t="str">
            <v>強化素材タイプ</v>
          </cell>
          <cell r="M344" t="str">
            <v>unknown</v>
          </cell>
        </row>
        <row r="345">
          <cell r="A345">
            <v>344</v>
          </cell>
          <cell r="B345" t="str">
            <v>ja</v>
          </cell>
          <cell r="C345" t="str">
            <v>雷のメタルピヨピヨ</v>
          </cell>
          <cell r="D345" t="str">
            <v>強化素材R3　黄</v>
          </cell>
          <cell r="E345" t="str">
            <v>アリス</v>
          </cell>
          <cell r="F345" t="str">
            <v>世界観</v>
          </cell>
          <cell r="G345" t="str">
            <v>不明</v>
          </cell>
          <cell r="H345" t="str">
            <v>yellow</v>
          </cell>
          <cell r="I345">
            <v>3</v>
          </cell>
          <cell r="J345" t="str">
            <v>Material</v>
          </cell>
          <cell r="K345" t="str">
            <v>exp</v>
          </cell>
          <cell r="L345" t="str">
            <v>強化素材タイプ</v>
          </cell>
          <cell r="M345" t="str">
            <v>unknown</v>
          </cell>
        </row>
        <row r="346">
          <cell r="A346">
            <v>345</v>
          </cell>
          <cell r="B346" t="str">
            <v>ja</v>
          </cell>
          <cell r="C346" t="str">
            <v>雷のメタルチック</v>
          </cell>
          <cell r="D346" t="str">
            <v>強化素材R4　黄</v>
          </cell>
          <cell r="E346" t="str">
            <v>アリス</v>
          </cell>
          <cell r="F346" t="str">
            <v>世界観</v>
          </cell>
          <cell r="G346" t="str">
            <v>不明</v>
          </cell>
          <cell r="H346" t="str">
            <v>yellow</v>
          </cell>
          <cell r="I346">
            <v>4</v>
          </cell>
          <cell r="J346" t="str">
            <v>Material</v>
          </cell>
          <cell r="K346" t="str">
            <v>exp</v>
          </cell>
          <cell r="L346" t="str">
            <v>強化素材タイプ</v>
          </cell>
          <cell r="M346" t="str">
            <v>unknown</v>
          </cell>
        </row>
        <row r="347">
          <cell r="A347">
            <v>346</v>
          </cell>
          <cell r="B347" t="str">
            <v>ja</v>
          </cell>
          <cell r="C347" t="str">
            <v>雷のメタルダック</v>
          </cell>
          <cell r="D347" t="str">
            <v>強化素材R5　黄</v>
          </cell>
          <cell r="E347" t="str">
            <v>アリス</v>
          </cell>
          <cell r="F347" t="str">
            <v>世界観</v>
          </cell>
          <cell r="G347" t="str">
            <v>不明</v>
          </cell>
          <cell r="H347" t="str">
            <v>yellow</v>
          </cell>
          <cell r="I347">
            <v>5</v>
          </cell>
          <cell r="J347" t="str">
            <v>Material</v>
          </cell>
          <cell r="K347" t="str">
            <v>exp</v>
          </cell>
          <cell r="L347" t="str">
            <v>強化素材タイプ</v>
          </cell>
          <cell r="M347" t="str">
            <v>unknown</v>
          </cell>
        </row>
        <row r="348">
          <cell r="A348">
            <v>347</v>
          </cell>
          <cell r="B348" t="str">
            <v>ja</v>
          </cell>
          <cell r="C348" t="str">
            <v>雷のメタルジェントル</v>
          </cell>
          <cell r="D348" t="str">
            <v>強化素材R6　黄</v>
          </cell>
          <cell r="E348" t="str">
            <v>アリス</v>
          </cell>
          <cell r="F348" t="str">
            <v>世界観</v>
          </cell>
          <cell r="G348" t="str">
            <v>不明</v>
          </cell>
          <cell r="H348" t="str">
            <v>yellow</v>
          </cell>
          <cell r="I348">
            <v>6</v>
          </cell>
          <cell r="J348" t="str">
            <v>Material</v>
          </cell>
          <cell r="K348" t="str">
            <v>exp</v>
          </cell>
          <cell r="L348" t="str">
            <v>強化素材タイプ</v>
          </cell>
          <cell r="M348" t="str">
            <v>unknown</v>
          </cell>
        </row>
        <row r="349">
          <cell r="A349">
            <v>348</v>
          </cell>
          <cell r="B349" t="str">
            <v>ja</v>
          </cell>
          <cell r="C349" t="str">
            <v>炎のケロケロ</v>
          </cell>
          <cell r="D349" t="str">
            <v>強化素材R2　赤</v>
          </cell>
          <cell r="E349" t="str">
            <v>アリス</v>
          </cell>
          <cell r="F349" t="str">
            <v>世界観</v>
          </cell>
          <cell r="G349" t="str">
            <v>不明</v>
          </cell>
          <cell r="H349" t="str">
            <v>red</v>
          </cell>
          <cell r="I349">
            <v>5</v>
          </cell>
          <cell r="J349" t="str">
            <v>Material</v>
          </cell>
          <cell r="K349" t="str">
            <v>exp</v>
          </cell>
          <cell r="L349" t="str">
            <v>強化素材タイプ</v>
          </cell>
          <cell r="M349" t="str">
            <v>unknown</v>
          </cell>
        </row>
        <row r="350">
          <cell r="A350">
            <v>349</v>
          </cell>
          <cell r="B350" t="str">
            <v>ja</v>
          </cell>
          <cell r="C350" t="str">
            <v>炎のメタルフロッグ</v>
          </cell>
          <cell r="D350" t="str">
            <v>強化素材R4　赤</v>
          </cell>
          <cell r="E350" t="str">
            <v>アリス</v>
          </cell>
          <cell r="F350" t="str">
            <v>世界観</v>
          </cell>
          <cell r="G350" t="str">
            <v>不明</v>
          </cell>
          <cell r="H350" t="str">
            <v>red</v>
          </cell>
          <cell r="I350">
            <v>6</v>
          </cell>
          <cell r="J350" t="str">
            <v>Material</v>
          </cell>
          <cell r="K350" t="str">
            <v>exp</v>
          </cell>
          <cell r="L350" t="str">
            <v>強化素材タイプ</v>
          </cell>
          <cell r="M350" t="str">
            <v>unknown</v>
          </cell>
        </row>
        <row r="351">
          <cell r="A351">
            <v>350</v>
          </cell>
          <cell r="B351" t="str">
            <v>ja</v>
          </cell>
          <cell r="C351" t="str">
            <v>森のケロケロ</v>
          </cell>
          <cell r="D351" t="str">
            <v>強化素材R2　緑</v>
          </cell>
          <cell r="E351" t="str">
            <v>アリス</v>
          </cell>
          <cell r="F351" t="str">
            <v>世界観</v>
          </cell>
          <cell r="G351" t="str">
            <v>不明</v>
          </cell>
          <cell r="H351" t="str">
            <v>green</v>
          </cell>
          <cell r="I351">
            <v>5</v>
          </cell>
          <cell r="J351" t="str">
            <v>Material</v>
          </cell>
          <cell r="K351" t="str">
            <v>exp</v>
          </cell>
          <cell r="L351" t="str">
            <v>強化素材タイプ</v>
          </cell>
          <cell r="M351" t="str">
            <v>unknown</v>
          </cell>
        </row>
        <row r="352">
          <cell r="A352">
            <v>351</v>
          </cell>
          <cell r="B352" t="str">
            <v>ja</v>
          </cell>
          <cell r="C352" t="str">
            <v>森のメタルフロッグ</v>
          </cell>
          <cell r="D352" t="str">
            <v>強化素材R4　緑</v>
          </cell>
          <cell r="E352" t="str">
            <v>アリス</v>
          </cell>
          <cell r="F352" t="str">
            <v>世界観</v>
          </cell>
          <cell r="G352" t="str">
            <v>不明</v>
          </cell>
          <cell r="H352" t="str">
            <v>green</v>
          </cell>
          <cell r="I352">
            <v>6</v>
          </cell>
          <cell r="J352" t="str">
            <v>Material</v>
          </cell>
          <cell r="K352" t="str">
            <v>exp</v>
          </cell>
          <cell r="L352" t="str">
            <v>強化素材タイプ</v>
          </cell>
          <cell r="M352" t="str">
            <v>unknown</v>
          </cell>
        </row>
        <row r="353">
          <cell r="A353">
            <v>352</v>
          </cell>
          <cell r="B353" t="str">
            <v>ja</v>
          </cell>
          <cell r="C353" t="str">
            <v>水のケロケロ</v>
          </cell>
          <cell r="D353" t="str">
            <v>強化素材R2　青</v>
          </cell>
          <cell r="E353" t="str">
            <v>アリス</v>
          </cell>
          <cell r="F353" t="str">
            <v>世界観</v>
          </cell>
          <cell r="G353" t="str">
            <v>不明</v>
          </cell>
          <cell r="H353" t="str">
            <v>blue</v>
          </cell>
          <cell r="I353">
            <v>5</v>
          </cell>
          <cell r="J353" t="str">
            <v>Material</v>
          </cell>
          <cell r="K353" t="str">
            <v>exp</v>
          </cell>
          <cell r="L353" t="str">
            <v>強化素材タイプ</v>
          </cell>
          <cell r="M353" t="str">
            <v>unknown</v>
          </cell>
        </row>
        <row r="354">
          <cell r="A354">
            <v>353</v>
          </cell>
          <cell r="B354" t="str">
            <v>ja</v>
          </cell>
          <cell r="C354" t="str">
            <v>水のメタルフロッグ</v>
          </cell>
          <cell r="D354" t="str">
            <v>強化素材R4　青</v>
          </cell>
          <cell r="E354" t="str">
            <v>アリス</v>
          </cell>
          <cell r="F354" t="str">
            <v>世界観</v>
          </cell>
          <cell r="G354" t="str">
            <v>不明</v>
          </cell>
          <cell r="H354" t="str">
            <v>blue</v>
          </cell>
          <cell r="I354">
            <v>6</v>
          </cell>
          <cell r="J354" t="str">
            <v>Material</v>
          </cell>
          <cell r="K354" t="str">
            <v>exp</v>
          </cell>
          <cell r="L354" t="str">
            <v>強化素材タイプ</v>
          </cell>
          <cell r="M354" t="str">
            <v>unknown</v>
          </cell>
        </row>
        <row r="355">
          <cell r="A355">
            <v>354</v>
          </cell>
          <cell r="B355" t="str">
            <v>ja</v>
          </cell>
          <cell r="C355" t="str">
            <v>雷のケロケロ</v>
          </cell>
          <cell r="D355" t="str">
            <v>強化素材R2　黄</v>
          </cell>
          <cell r="E355" t="str">
            <v>アリス</v>
          </cell>
          <cell r="F355" t="str">
            <v>世界観</v>
          </cell>
          <cell r="G355" t="str">
            <v>不明</v>
          </cell>
          <cell r="H355" t="str">
            <v>yellow</v>
          </cell>
          <cell r="I355">
            <v>5</v>
          </cell>
          <cell r="J355" t="str">
            <v>Material</v>
          </cell>
          <cell r="K355" t="str">
            <v>exp</v>
          </cell>
          <cell r="L355" t="str">
            <v>強化素材タイプ</v>
          </cell>
          <cell r="M355" t="str">
            <v>unknown</v>
          </cell>
        </row>
        <row r="356">
          <cell r="A356">
            <v>355</v>
          </cell>
          <cell r="B356" t="str">
            <v>ja</v>
          </cell>
          <cell r="C356" t="str">
            <v>雷のメタルフロッグ</v>
          </cell>
          <cell r="D356" t="str">
            <v>強化素材R4　黄</v>
          </cell>
          <cell r="E356" t="str">
            <v>アリス</v>
          </cell>
          <cell r="F356" t="str">
            <v>世界観</v>
          </cell>
          <cell r="G356" t="str">
            <v>不明</v>
          </cell>
          <cell r="H356" t="str">
            <v>yellow</v>
          </cell>
          <cell r="I356">
            <v>6</v>
          </cell>
          <cell r="J356" t="str">
            <v>Material</v>
          </cell>
          <cell r="K356" t="str">
            <v>exp</v>
          </cell>
          <cell r="L356" t="str">
            <v>強化素材タイプ</v>
          </cell>
          <cell r="M356" t="str">
            <v>unknown</v>
          </cell>
        </row>
        <row r="357">
          <cell r="A357">
            <v>356</v>
          </cell>
          <cell r="B357" t="str">
            <v>ja</v>
          </cell>
          <cell r="C357" t="str">
            <v>炎上のドードー</v>
          </cell>
          <cell r="D357" t="str">
            <v>強化素材R5 赤</v>
          </cell>
          <cell r="F357" t="str">
            <v>世界観</v>
          </cell>
          <cell r="G357" t="str">
            <v>不明</v>
          </cell>
          <cell r="H357" t="str">
            <v>red</v>
          </cell>
          <cell r="I357">
            <v>5</v>
          </cell>
          <cell r="J357" t="str">
            <v>Material</v>
          </cell>
          <cell r="K357" t="str">
            <v>evolution</v>
          </cell>
          <cell r="L357" t="str">
            <v>覚醒素材タイプ</v>
          </cell>
          <cell r="M357" t="str">
            <v>unknown</v>
          </cell>
        </row>
        <row r="358">
          <cell r="A358">
            <v>357</v>
          </cell>
          <cell r="B358" t="str">
            <v>ja</v>
          </cell>
          <cell r="C358" t="str">
            <v>千風のグリフォン</v>
          </cell>
          <cell r="D358" t="str">
            <v>強化素材R5 緑</v>
          </cell>
          <cell r="F358" t="str">
            <v>世界観</v>
          </cell>
          <cell r="G358" t="str">
            <v>不明</v>
          </cell>
          <cell r="H358" t="str">
            <v>green</v>
          </cell>
          <cell r="I358">
            <v>5</v>
          </cell>
          <cell r="J358" t="str">
            <v>Material</v>
          </cell>
          <cell r="K358" t="str">
            <v>evolution</v>
          </cell>
          <cell r="L358" t="str">
            <v>覚醒素材タイプ</v>
          </cell>
          <cell r="M358" t="str">
            <v>unknown</v>
          </cell>
        </row>
        <row r="359">
          <cell r="A359">
            <v>358</v>
          </cell>
          <cell r="B359" t="str">
            <v>ja</v>
          </cell>
          <cell r="C359" t="str">
            <v>深淵の代用ウミガメ</v>
          </cell>
          <cell r="D359" t="str">
            <v>強化素材R5 青</v>
          </cell>
          <cell r="F359" t="str">
            <v>世界観</v>
          </cell>
          <cell r="G359" t="str">
            <v>不明</v>
          </cell>
          <cell r="H359" t="str">
            <v>blue</v>
          </cell>
          <cell r="I359">
            <v>5</v>
          </cell>
          <cell r="J359" t="str">
            <v>Material</v>
          </cell>
          <cell r="K359" t="str">
            <v>evolution</v>
          </cell>
          <cell r="L359" t="str">
            <v>覚醒素材タイプ</v>
          </cell>
          <cell r="M359" t="str">
            <v>unknown</v>
          </cell>
        </row>
        <row r="360">
          <cell r="A360">
            <v>359</v>
          </cell>
          <cell r="B360" t="str">
            <v>ja</v>
          </cell>
          <cell r="C360" t="str">
            <v>醒電の眠りネズミ</v>
          </cell>
          <cell r="D360" t="str">
            <v>強化素材R5 黄</v>
          </cell>
          <cell r="F360" t="str">
            <v>世界観</v>
          </cell>
          <cell r="G360" t="str">
            <v>不明</v>
          </cell>
          <cell r="H360" t="str">
            <v>yellow</v>
          </cell>
          <cell r="I360">
            <v>5</v>
          </cell>
          <cell r="J360" t="str">
            <v>Material</v>
          </cell>
          <cell r="K360" t="str">
            <v>evolution</v>
          </cell>
          <cell r="L360" t="str">
            <v>覚醒素材タイプ</v>
          </cell>
          <cell r="M360" t="str">
            <v>unknown</v>
          </cell>
        </row>
        <row r="361">
          <cell r="A361">
            <v>360</v>
          </cell>
          <cell r="B361" t="str">
            <v>ja</v>
          </cell>
          <cell r="C361" t="str">
            <v>ガンテツ</v>
          </cell>
          <cell r="D361" t="str">
            <v>ノーマルクエスト</v>
          </cell>
          <cell r="E361" t="str">
            <v>アバター</v>
          </cell>
          <cell r="F361" t="str">
            <v>世界観</v>
          </cell>
          <cell r="G361" t="str">
            <v>不明</v>
          </cell>
          <cell r="H361" t="str">
            <v>red</v>
          </cell>
          <cell r="I361">
            <v>2</v>
          </cell>
          <cell r="J361" t="str">
            <v>Drop1S</v>
          </cell>
          <cell r="K361" t="str">
            <v>hp</v>
          </cell>
          <cell r="L361" t="str">
            <v>体力タイプ</v>
          </cell>
          <cell r="M361" t="str">
            <v>animal</v>
          </cell>
        </row>
        <row r="362">
          <cell r="A362">
            <v>361</v>
          </cell>
          <cell r="B362" t="str">
            <v>ja</v>
          </cell>
          <cell r="C362" t="str">
            <v>灼熱の鉄板 ガンテツ</v>
          </cell>
          <cell r="D362" t="str">
            <v>ノーマルクエスト</v>
          </cell>
          <cell r="E362" t="str">
            <v>アバター</v>
          </cell>
          <cell r="F362" t="str">
            <v>世界観</v>
          </cell>
          <cell r="G362" t="str">
            <v>不明</v>
          </cell>
          <cell r="H362" t="str">
            <v>red</v>
          </cell>
          <cell r="I362">
            <v>3</v>
          </cell>
          <cell r="J362" t="str">
            <v>Drop1S</v>
          </cell>
          <cell r="K362" t="str">
            <v>hp</v>
          </cell>
          <cell r="L362" t="str">
            <v>体力タイプ</v>
          </cell>
          <cell r="M362" t="str">
            <v>animal</v>
          </cell>
        </row>
        <row r="363">
          <cell r="A363">
            <v>362</v>
          </cell>
          <cell r="B363" t="str">
            <v>ja</v>
          </cell>
          <cell r="C363" t="str">
            <v>ゆらら</v>
          </cell>
          <cell r="D363" t="str">
            <v>ノーマルクエスト</v>
          </cell>
          <cell r="E363" t="str">
            <v>アバター</v>
          </cell>
          <cell r="F363" t="str">
            <v>世界観</v>
          </cell>
          <cell r="G363" t="str">
            <v>不明</v>
          </cell>
          <cell r="H363" t="str">
            <v>green</v>
          </cell>
          <cell r="I363">
            <v>2</v>
          </cell>
          <cell r="J363" t="str">
            <v>Drop1S</v>
          </cell>
          <cell r="K363" t="str">
            <v>technical</v>
          </cell>
          <cell r="L363" t="str">
            <v>テクニカルタイプ</v>
          </cell>
          <cell r="M363" t="str">
            <v>animal</v>
          </cell>
        </row>
        <row r="364">
          <cell r="A364">
            <v>363</v>
          </cell>
          <cell r="B364" t="str">
            <v>ja</v>
          </cell>
          <cell r="C364" t="str">
            <v>花咲く幼精 ゆらら</v>
          </cell>
          <cell r="D364" t="str">
            <v>ノーマルクエスト</v>
          </cell>
          <cell r="E364" t="str">
            <v>アバター</v>
          </cell>
          <cell r="F364" t="str">
            <v>世界観</v>
          </cell>
          <cell r="G364" t="str">
            <v>不明</v>
          </cell>
          <cell r="H364" t="str">
            <v>green</v>
          </cell>
          <cell r="I364">
            <v>3</v>
          </cell>
          <cell r="J364" t="str">
            <v>Drop1S</v>
          </cell>
          <cell r="K364" t="str">
            <v>technical</v>
          </cell>
          <cell r="L364" t="str">
            <v>テクニカルタイプ</v>
          </cell>
          <cell r="M364" t="str">
            <v>animal</v>
          </cell>
        </row>
        <row r="365">
          <cell r="A365">
            <v>364</v>
          </cell>
          <cell r="B365" t="str">
            <v>ja</v>
          </cell>
          <cell r="C365" t="str">
            <v>ノエル</v>
          </cell>
          <cell r="D365" t="str">
            <v>ノーマルクエスト</v>
          </cell>
          <cell r="E365" t="str">
            <v>アバター</v>
          </cell>
          <cell r="F365" t="str">
            <v>世界観</v>
          </cell>
          <cell r="G365" t="str">
            <v>不明</v>
          </cell>
          <cell r="H365" t="str">
            <v>blue</v>
          </cell>
          <cell r="I365">
            <v>2</v>
          </cell>
          <cell r="J365" t="str">
            <v>Drop1S</v>
          </cell>
          <cell r="K365" t="str">
            <v>attack</v>
          </cell>
          <cell r="L365" t="str">
            <v>攻撃タイプ</v>
          </cell>
          <cell r="M365" t="str">
            <v>animal</v>
          </cell>
        </row>
        <row r="366">
          <cell r="A366">
            <v>365</v>
          </cell>
          <cell r="B366" t="str">
            <v>ja</v>
          </cell>
          <cell r="C366" t="str">
            <v>惨劇の人形 ノエル</v>
          </cell>
          <cell r="D366" t="str">
            <v>ノーマルクエスト</v>
          </cell>
          <cell r="E366" t="str">
            <v>アバター</v>
          </cell>
          <cell r="F366" t="str">
            <v>世界観</v>
          </cell>
          <cell r="G366" t="str">
            <v>不明</v>
          </cell>
          <cell r="H366" t="str">
            <v>blue</v>
          </cell>
          <cell r="I366">
            <v>3</v>
          </cell>
          <cell r="J366" t="str">
            <v>Drop1S</v>
          </cell>
          <cell r="K366" t="str">
            <v>attack</v>
          </cell>
          <cell r="L366" t="str">
            <v>攻撃タイプ</v>
          </cell>
          <cell r="M366" t="str">
            <v>animal</v>
          </cell>
        </row>
        <row r="367">
          <cell r="A367">
            <v>366</v>
          </cell>
          <cell r="B367" t="str">
            <v>ja</v>
          </cell>
          <cell r="C367" t="str">
            <v>トト</v>
          </cell>
          <cell r="D367" t="str">
            <v>ノーマルクエスト</v>
          </cell>
          <cell r="E367" t="str">
            <v>アバター</v>
          </cell>
          <cell r="F367" t="str">
            <v>世界観</v>
          </cell>
          <cell r="G367" t="str">
            <v>不明</v>
          </cell>
          <cell r="H367" t="str">
            <v>yellow</v>
          </cell>
          <cell r="I367">
            <v>2</v>
          </cell>
          <cell r="J367" t="str">
            <v>Drop1S</v>
          </cell>
          <cell r="K367" t="str">
            <v>balance</v>
          </cell>
          <cell r="L367" t="str">
            <v>バランスタイプ</v>
          </cell>
          <cell r="M367" t="str">
            <v>animal</v>
          </cell>
        </row>
        <row r="368">
          <cell r="A368">
            <v>367</v>
          </cell>
          <cell r="B368" t="str">
            <v>ja</v>
          </cell>
          <cell r="C368" t="str">
            <v>爆進の小兵 トト</v>
          </cell>
          <cell r="D368" t="str">
            <v>ノーマルクエスト</v>
          </cell>
          <cell r="E368" t="str">
            <v>アバター</v>
          </cell>
          <cell r="F368" t="str">
            <v>世界観</v>
          </cell>
          <cell r="G368" t="str">
            <v>不明</v>
          </cell>
          <cell r="H368" t="str">
            <v>yellow</v>
          </cell>
          <cell r="I368">
            <v>3</v>
          </cell>
          <cell r="J368" t="str">
            <v>Drop1S</v>
          </cell>
          <cell r="K368" t="str">
            <v>balance</v>
          </cell>
          <cell r="L368" t="str">
            <v>バランスタイプ</v>
          </cell>
          <cell r="M368" t="str">
            <v>animal</v>
          </cell>
        </row>
        <row r="369">
          <cell r="A369">
            <v>368</v>
          </cell>
          <cell r="B369" t="str">
            <v>ja</v>
          </cell>
          <cell r="C369" t="str">
            <v>ボイル</v>
          </cell>
          <cell r="D369" t="str">
            <v>チャレンジタワー</v>
          </cell>
          <cell r="E369" t="str">
            <v>守護者</v>
          </cell>
          <cell r="F369" t="str">
            <v>美しい</v>
          </cell>
          <cell r="G369" t="str">
            <v>女性</v>
          </cell>
          <cell r="H369" t="str">
            <v>red</v>
          </cell>
          <cell r="I369">
            <v>4</v>
          </cell>
          <cell r="J369" t="str">
            <v>DropWizN</v>
          </cell>
          <cell r="K369" t="str">
            <v>technical</v>
          </cell>
          <cell r="L369" t="str">
            <v>テクニカルタイプ</v>
          </cell>
          <cell r="M369" t="str">
            <v>human</v>
          </cell>
        </row>
        <row r="370">
          <cell r="A370">
            <v>369</v>
          </cell>
          <cell r="B370" t="str">
            <v>ja</v>
          </cell>
          <cell r="C370" t="str">
            <v>赫熱の重腕 ボイル</v>
          </cell>
          <cell r="D370" t="str">
            <v>チャレンジタワー</v>
          </cell>
          <cell r="E370" t="str">
            <v>守護者</v>
          </cell>
          <cell r="F370" t="str">
            <v>美しい</v>
          </cell>
          <cell r="G370" t="str">
            <v>女性</v>
          </cell>
          <cell r="H370" t="str">
            <v>red</v>
          </cell>
          <cell r="I370">
            <v>5</v>
          </cell>
          <cell r="J370" t="str">
            <v>DropWizN</v>
          </cell>
          <cell r="K370" t="str">
            <v>technical</v>
          </cell>
          <cell r="L370" t="str">
            <v>テクニカルタイプ</v>
          </cell>
          <cell r="M370" t="str">
            <v>human</v>
          </cell>
        </row>
        <row r="371">
          <cell r="A371">
            <v>370</v>
          </cell>
          <cell r="B371" t="str">
            <v>ja</v>
          </cell>
          <cell r="C371" t="str">
            <v>タイチ</v>
          </cell>
          <cell r="D371" t="str">
            <v>ノーマルクエスト</v>
          </cell>
          <cell r="E371" t="str">
            <v>守護者</v>
          </cell>
          <cell r="F371" t="str">
            <v>美しい</v>
          </cell>
          <cell r="G371" t="str">
            <v>不明</v>
          </cell>
          <cell r="H371" t="str">
            <v>red</v>
          </cell>
          <cell r="I371">
            <v>2</v>
          </cell>
          <cell r="J371" t="str">
            <v>Drop1S</v>
          </cell>
          <cell r="K371" t="str">
            <v>attack</v>
          </cell>
          <cell r="L371" t="str">
            <v>攻撃タイプ</v>
          </cell>
          <cell r="M371" t="str">
            <v>unknown</v>
          </cell>
        </row>
        <row r="372">
          <cell r="A372">
            <v>371</v>
          </cell>
          <cell r="B372" t="str">
            <v>ja</v>
          </cell>
          <cell r="C372" t="str">
            <v>行灯達磨 タイチ</v>
          </cell>
          <cell r="D372" t="str">
            <v>ノーマルクエスト</v>
          </cell>
          <cell r="E372" t="str">
            <v>守護者</v>
          </cell>
          <cell r="F372" t="str">
            <v>美しい</v>
          </cell>
          <cell r="G372" t="str">
            <v>不明</v>
          </cell>
          <cell r="H372" t="str">
            <v>red</v>
          </cell>
          <cell r="I372">
            <v>3</v>
          </cell>
          <cell r="J372" t="str">
            <v>Drop1S</v>
          </cell>
          <cell r="K372" t="str">
            <v>attack</v>
          </cell>
          <cell r="L372" t="str">
            <v>攻撃タイプ</v>
          </cell>
          <cell r="M372" t="str">
            <v>unknown</v>
          </cell>
        </row>
        <row r="373">
          <cell r="A373">
            <v>372</v>
          </cell>
          <cell r="B373" t="str">
            <v>ja</v>
          </cell>
          <cell r="C373" t="str">
            <v>バショー</v>
          </cell>
          <cell r="D373" t="str">
            <v>ノーマルクエスト</v>
          </cell>
          <cell r="E373" t="str">
            <v>守護者</v>
          </cell>
          <cell r="F373" t="str">
            <v>美しい</v>
          </cell>
          <cell r="G373" t="str">
            <v>不明</v>
          </cell>
          <cell r="H373" t="str">
            <v>green</v>
          </cell>
          <cell r="I373">
            <v>2</v>
          </cell>
          <cell r="J373" t="str">
            <v>Drop1S</v>
          </cell>
          <cell r="K373" t="str">
            <v>balance</v>
          </cell>
          <cell r="L373" t="str">
            <v>バランスタイプ</v>
          </cell>
          <cell r="M373" t="str">
            <v>unknown</v>
          </cell>
        </row>
        <row r="374">
          <cell r="A374">
            <v>373</v>
          </cell>
          <cell r="B374" t="str">
            <v>ja</v>
          </cell>
          <cell r="C374" t="str">
            <v>夢幻俳聖 バショー</v>
          </cell>
          <cell r="D374" t="str">
            <v>ノーマルクエスト</v>
          </cell>
          <cell r="E374" t="str">
            <v>守護者</v>
          </cell>
          <cell r="F374" t="str">
            <v>美しい</v>
          </cell>
          <cell r="G374" t="str">
            <v>不明</v>
          </cell>
          <cell r="H374" t="str">
            <v>green</v>
          </cell>
          <cell r="I374">
            <v>3</v>
          </cell>
          <cell r="J374" t="str">
            <v>Drop1S</v>
          </cell>
          <cell r="K374" t="str">
            <v>balance</v>
          </cell>
          <cell r="L374" t="str">
            <v>バランスタイプ</v>
          </cell>
          <cell r="M374" t="str">
            <v>unknown</v>
          </cell>
        </row>
        <row r="375">
          <cell r="A375">
            <v>374</v>
          </cell>
          <cell r="B375" t="str">
            <v>ja</v>
          </cell>
          <cell r="C375" t="str">
            <v>影丸</v>
          </cell>
          <cell r="D375" t="str">
            <v>ノーマルクエスト</v>
          </cell>
          <cell r="E375" t="str">
            <v>守護者</v>
          </cell>
          <cell r="F375" t="str">
            <v>美しい</v>
          </cell>
          <cell r="G375" t="str">
            <v>不明</v>
          </cell>
          <cell r="H375" t="str">
            <v>blue</v>
          </cell>
          <cell r="I375">
            <v>2</v>
          </cell>
          <cell r="J375" t="str">
            <v>Drop1S</v>
          </cell>
          <cell r="K375" t="str">
            <v>technical</v>
          </cell>
          <cell r="L375" t="str">
            <v>テクニカルタイプ</v>
          </cell>
          <cell r="M375" t="str">
            <v>animal</v>
          </cell>
        </row>
        <row r="376">
          <cell r="A376">
            <v>375</v>
          </cell>
          <cell r="B376" t="str">
            <v>ja</v>
          </cell>
          <cell r="C376" t="str">
            <v>蒼術兎忍 影丸</v>
          </cell>
          <cell r="D376" t="str">
            <v>ノーマルクエスト</v>
          </cell>
          <cell r="E376" t="str">
            <v>守護者</v>
          </cell>
          <cell r="F376" t="str">
            <v>美しい</v>
          </cell>
          <cell r="G376" t="str">
            <v>不明</v>
          </cell>
          <cell r="H376" t="str">
            <v>blue</v>
          </cell>
          <cell r="I376">
            <v>3</v>
          </cell>
          <cell r="J376" t="str">
            <v>Drop1S</v>
          </cell>
          <cell r="K376" t="str">
            <v>technical</v>
          </cell>
          <cell r="L376" t="str">
            <v>テクニカルタイプ</v>
          </cell>
          <cell r="M376" t="str">
            <v>animal</v>
          </cell>
        </row>
        <row r="377">
          <cell r="A377">
            <v>376</v>
          </cell>
          <cell r="B377" t="str">
            <v>ja</v>
          </cell>
          <cell r="C377" t="str">
            <v>勘兵衛</v>
          </cell>
          <cell r="D377" t="str">
            <v>イベント:お正月2016</v>
          </cell>
          <cell r="E377" t="str">
            <v>守護者</v>
          </cell>
          <cell r="F377" t="str">
            <v>美しい</v>
          </cell>
          <cell r="G377" t="str">
            <v>不明</v>
          </cell>
          <cell r="H377" t="str">
            <v>yellow</v>
          </cell>
          <cell r="I377">
            <v>3</v>
          </cell>
          <cell r="J377" t="str">
            <v>Drop1S</v>
          </cell>
          <cell r="K377" t="str">
            <v>technical</v>
          </cell>
          <cell r="L377" t="str">
            <v>テクニカルタイプ</v>
          </cell>
          <cell r="M377" t="str">
            <v>animal</v>
          </cell>
        </row>
        <row r="378">
          <cell r="A378">
            <v>377</v>
          </cell>
          <cell r="B378" t="str">
            <v>ja</v>
          </cell>
          <cell r="C378" t="str">
            <v>光明鹿剣 勘兵衛</v>
          </cell>
          <cell r="D378" t="str">
            <v>イベント:お正月2016</v>
          </cell>
          <cell r="E378" t="str">
            <v>守護者</v>
          </cell>
          <cell r="F378" t="str">
            <v>美しい</v>
          </cell>
          <cell r="G378" t="str">
            <v>不明</v>
          </cell>
          <cell r="H378" t="str">
            <v>yellow</v>
          </cell>
          <cell r="I378">
            <v>4</v>
          </cell>
          <cell r="J378" t="str">
            <v>Drop1S</v>
          </cell>
          <cell r="K378" t="str">
            <v>technical</v>
          </cell>
          <cell r="L378" t="str">
            <v>テクニカルタイプ</v>
          </cell>
          <cell r="M378" t="str">
            <v>animal</v>
          </cell>
        </row>
        <row r="379">
          <cell r="A379">
            <v>378</v>
          </cell>
          <cell r="B379" t="str">
            <v>ja</v>
          </cell>
          <cell r="C379" t="str">
            <v>オイラー</v>
          </cell>
          <cell r="D379" t="str">
            <v>ガチャ:フィーバーフェス01</v>
          </cell>
          <cell r="E379" t="str">
            <v>守護者</v>
          </cell>
          <cell r="F379" t="str">
            <v>美しい</v>
          </cell>
          <cell r="G379" t="str">
            <v>女性</v>
          </cell>
          <cell r="H379" t="str">
            <v>green</v>
          </cell>
          <cell r="I379">
            <v>4</v>
          </cell>
          <cell r="J379" t="str">
            <v>PremiumSSS</v>
          </cell>
          <cell r="K379" t="str">
            <v>balance</v>
          </cell>
          <cell r="L379" t="str">
            <v>バランスタイプ</v>
          </cell>
          <cell r="M379" t="str">
            <v>human</v>
          </cell>
        </row>
        <row r="380">
          <cell r="A380">
            <v>379</v>
          </cell>
          <cell r="B380" t="str">
            <v>ja</v>
          </cell>
          <cell r="C380" t="str">
            <v>幾何の機刃 オイラー</v>
          </cell>
          <cell r="D380" t="str">
            <v>ガチャ:フィーバーフェス01</v>
          </cell>
          <cell r="E380" t="str">
            <v>守護者</v>
          </cell>
          <cell r="F380" t="str">
            <v>美しい</v>
          </cell>
          <cell r="G380" t="str">
            <v>女性</v>
          </cell>
          <cell r="H380" t="str">
            <v>green</v>
          </cell>
          <cell r="I380">
            <v>5</v>
          </cell>
          <cell r="J380" t="str">
            <v>PremiumSSS</v>
          </cell>
          <cell r="K380" t="str">
            <v>balance</v>
          </cell>
          <cell r="L380" t="str">
            <v>バランスタイプ</v>
          </cell>
          <cell r="M380" t="str">
            <v>human</v>
          </cell>
        </row>
        <row r="381">
          <cell r="A381">
            <v>380</v>
          </cell>
          <cell r="B381" t="str">
            <v>ja</v>
          </cell>
          <cell r="C381" t="str">
            <v>バハムート</v>
          </cell>
          <cell r="D381" t="str">
            <v>ガチャ:魔獣シリーズ01</v>
          </cell>
          <cell r="G381" t="str">
            <v>女性</v>
          </cell>
          <cell r="H381" t="str">
            <v>red</v>
          </cell>
          <cell r="I381">
            <v>3</v>
          </cell>
          <cell r="J381" t="str">
            <v>PremiumS</v>
          </cell>
          <cell r="K381" t="str">
            <v>technical</v>
          </cell>
          <cell r="L381" t="str">
            <v>テクニカルタイプ</v>
          </cell>
          <cell r="M381" t="str">
            <v>dragon</v>
          </cell>
        </row>
        <row r="382">
          <cell r="A382">
            <v>381</v>
          </cell>
          <cell r="B382" t="str">
            <v>ja</v>
          </cell>
          <cell r="C382" t="str">
            <v>肉食の恋火 バハムート</v>
          </cell>
          <cell r="D382" t="str">
            <v>ガチャ:魔獣シリーズ01</v>
          </cell>
          <cell r="E382" t="str">
            <v>守護者</v>
          </cell>
          <cell r="F382" t="str">
            <v>美しい</v>
          </cell>
          <cell r="G382" t="str">
            <v>女性</v>
          </cell>
          <cell r="H382" t="str">
            <v>red</v>
          </cell>
          <cell r="I382">
            <v>4</v>
          </cell>
          <cell r="J382" t="str">
            <v>PremiumS</v>
          </cell>
          <cell r="K382" t="str">
            <v>technical</v>
          </cell>
          <cell r="L382" t="str">
            <v>テクニカルタイプ</v>
          </cell>
          <cell r="M382" t="str">
            <v>dragon</v>
          </cell>
        </row>
        <row r="383">
          <cell r="A383">
            <v>382</v>
          </cell>
          <cell r="B383" t="str">
            <v>ja</v>
          </cell>
          <cell r="C383" t="str">
            <v>激情の愛炎 バハムート</v>
          </cell>
          <cell r="D383" t="str">
            <v>ガチャ:魔獣シリーズ01</v>
          </cell>
          <cell r="E383" t="str">
            <v>守護者</v>
          </cell>
          <cell r="F383" t="str">
            <v>美しい</v>
          </cell>
          <cell r="G383" t="str">
            <v>女性</v>
          </cell>
          <cell r="H383" t="str">
            <v>red</v>
          </cell>
          <cell r="I383">
            <v>5</v>
          </cell>
          <cell r="J383" t="str">
            <v>PremiumS</v>
          </cell>
          <cell r="K383" t="str">
            <v>technical</v>
          </cell>
          <cell r="L383" t="str">
            <v>テクニカルタイプ</v>
          </cell>
          <cell r="M383" t="str">
            <v>dragon</v>
          </cell>
        </row>
        <row r="384">
          <cell r="A384">
            <v>383</v>
          </cell>
          <cell r="B384" t="str">
            <v>ja</v>
          </cell>
          <cell r="C384" t="str">
            <v>酒宴の蟒蛇 ヤマタノオロチ</v>
          </cell>
          <cell r="D384" t="str">
            <v>ガチャ:魔獣シリーズ01</v>
          </cell>
          <cell r="E384" t="str">
            <v>守護者</v>
          </cell>
          <cell r="F384" t="str">
            <v>美しい</v>
          </cell>
          <cell r="G384" t="str">
            <v>女性</v>
          </cell>
          <cell r="H384" t="str">
            <v>green</v>
          </cell>
          <cell r="I384">
            <v>4</v>
          </cell>
          <cell r="J384" t="str">
            <v>PremiumSS</v>
          </cell>
          <cell r="K384" t="str">
            <v>hp</v>
          </cell>
          <cell r="L384" t="str">
            <v>体力タイプ</v>
          </cell>
          <cell r="M384" t="str">
            <v>dragon</v>
          </cell>
        </row>
        <row r="385">
          <cell r="A385">
            <v>384</v>
          </cell>
          <cell r="B385" t="str">
            <v>ja</v>
          </cell>
          <cell r="C385" t="str">
            <v>破国の呑龍 ヤマタノオロチ</v>
          </cell>
          <cell r="D385" t="str">
            <v>ガチャ:魔獣シリーズ01</v>
          </cell>
          <cell r="E385" t="str">
            <v>守護者</v>
          </cell>
          <cell r="F385" t="str">
            <v>美しい</v>
          </cell>
          <cell r="G385" t="str">
            <v>女性</v>
          </cell>
          <cell r="H385" t="str">
            <v>green</v>
          </cell>
          <cell r="I385">
            <v>5</v>
          </cell>
          <cell r="J385" t="str">
            <v>PremiumSS</v>
          </cell>
          <cell r="K385" t="str">
            <v>hp</v>
          </cell>
          <cell r="L385" t="str">
            <v>体力タイプ</v>
          </cell>
          <cell r="M385" t="str">
            <v>dragon</v>
          </cell>
        </row>
        <row r="386">
          <cell r="A386">
            <v>385</v>
          </cell>
          <cell r="B386" t="str">
            <v>ja</v>
          </cell>
          <cell r="C386" t="str">
            <v>波烈の出奔 リヴァイアサン</v>
          </cell>
          <cell r="D386" t="str">
            <v>ガチャ:魔獣シリーズ01</v>
          </cell>
          <cell r="E386" t="str">
            <v>守護者</v>
          </cell>
          <cell r="F386" t="str">
            <v>美しい</v>
          </cell>
          <cell r="G386" t="str">
            <v>女性</v>
          </cell>
          <cell r="H386" t="str">
            <v>blue</v>
          </cell>
          <cell r="I386">
            <v>4</v>
          </cell>
          <cell r="J386" t="str">
            <v>PremiumSS</v>
          </cell>
          <cell r="K386" t="str">
            <v>balance</v>
          </cell>
          <cell r="L386" t="str">
            <v>バランスタイプ</v>
          </cell>
          <cell r="M386" t="str">
            <v>dragon</v>
          </cell>
        </row>
        <row r="387">
          <cell r="A387">
            <v>386</v>
          </cell>
          <cell r="B387" t="str">
            <v>ja</v>
          </cell>
          <cell r="C387" t="str">
            <v>氾乱の海龍 リヴァイアサン</v>
          </cell>
          <cell r="D387" t="str">
            <v>ガチャ:魔獣シリーズ01</v>
          </cell>
          <cell r="E387" t="str">
            <v>守護者</v>
          </cell>
          <cell r="F387" t="str">
            <v>美しい</v>
          </cell>
          <cell r="G387" t="str">
            <v>女性</v>
          </cell>
          <cell r="H387" t="str">
            <v>blue</v>
          </cell>
          <cell r="I387">
            <v>5</v>
          </cell>
          <cell r="J387" t="str">
            <v>PremiumSS</v>
          </cell>
          <cell r="K387" t="str">
            <v>balance</v>
          </cell>
          <cell r="L387" t="str">
            <v>バランスタイプ</v>
          </cell>
          <cell r="M387" t="str">
            <v>dragon</v>
          </cell>
        </row>
        <row r="388">
          <cell r="A388">
            <v>387</v>
          </cell>
          <cell r="B388" t="str">
            <v>ja</v>
          </cell>
          <cell r="C388" t="str">
            <v>スフィンクス</v>
          </cell>
          <cell r="D388" t="str">
            <v>ガチャ:魔獣シリーズ01</v>
          </cell>
          <cell r="G388" t="str">
            <v>女性</v>
          </cell>
          <cell r="H388" t="str">
            <v>yellow</v>
          </cell>
          <cell r="I388">
            <v>3</v>
          </cell>
          <cell r="J388" t="str">
            <v>PremiumS</v>
          </cell>
          <cell r="K388" t="str">
            <v>heal</v>
          </cell>
          <cell r="L388" t="str">
            <v>回復タイプ</v>
          </cell>
          <cell r="M388" t="str">
            <v>animal</v>
          </cell>
        </row>
        <row r="389">
          <cell r="A389">
            <v>388</v>
          </cell>
          <cell r="B389" t="str">
            <v>ja</v>
          </cell>
          <cell r="C389" t="str">
            <v>神円の恋姫 スフィンクス</v>
          </cell>
          <cell r="D389" t="str">
            <v>ガチャ:魔獣シリーズ01</v>
          </cell>
          <cell r="E389" t="str">
            <v>執行者</v>
          </cell>
          <cell r="F389" t="str">
            <v>格好いい</v>
          </cell>
          <cell r="G389" t="str">
            <v>女性</v>
          </cell>
          <cell r="H389" t="str">
            <v>yellow</v>
          </cell>
          <cell r="I389">
            <v>4</v>
          </cell>
          <cell r="J389" t="str">
            <v>PremiumS</v>
          </cell>
          <cell r="K389" t="str">
            <v>heal</v>
          </cell>
          <cell r="L389" t="str">
            <v>回復タイプ</v>
          </cell>
          <cell r="M389" t="str">
            <v>animal</v>
          </cell>
        </row>
        <row r="390">
          <cell r="A390">
            <v>389</v>
          </cell>
          <cell r="B390" t="str">
            <v>ja</v>
          </cell>
          <cell r="C390" t="str">
            <v>操神の愛姫 スフィンクス</v>
          </cell>
          <cell r="D390" t="str">
            <v>ガチャ:魔獣シリーズ01</v>
          </cell>
          <cell r="E390" t="str">
            <v>執行者</v>
          </cell>
          <cell r="F390" t="str">
            <v>格好いい</v>
          </cell>
          <cell r="G390" t="str">
            <v>女性</v>
          </cell>
          <cell r="H390" t="str">
            <v>yellow</v>
          </cell>
          <cell r="I390">
            <v>5</v>
          </cell>
          <cell r="J390" t="str">
            <v>PremiumS</v>
          </cell>
          <cell r="K390" t="str">
            <v>heal</v>
          </cell>
          <cell r="L390" t="str">
            <v>回復タイプ</v>
          </cell>
          <cell r="M390" t="str">
            <v>animal</v>
          </cell>
        </row>
        <row r="391">
          <cell r="A391">
            <v>390</v>
          </cell>
          <cell r="B391" t="str">
            <v>ja</v>
          </cell>
          <cell r="C391" t="str">
            <v>華環の旅客 親指姫</v>
          </cell>
          <cell r="D391" t="str">
            <v>ガチャ:アリスの絵本01</v>
          </cell>
          <cell r="E391" t="str">
            <v>執行者</v>
          </cell>
          <cell r="F391" t="str">
            <v>格好いい</v>
          </cell>
          <cell r="G391" t="str">
            <v>女性</v>
          </cell>
          <cell r="H391" t="str">
            <v>red</v>
          </cell>
          <cell r="I391">
            <v>4</v>
          </cell>
          <cell r="J391" t="str">
            <v>PremiumSS</v>
          </cell>
          <cell r="K391" t="str">
            <v>heal</v>
          </cell>
          <cell r="L391" t="str">
            <v>回復タイプ</v>
          </cell>
          <cell r="M391" t="str">
            <v>human</v>
          </cell>
        </row>
        <row r="392">
          <cell r="A392">
            <v>391</v>
          </cell>
          <cell r="B392" t="str">
            <v>ja</v>
          </cell>
          <cell r="C392" t="str">
            <v>燕翼の旅人 親指姫</v>
          </cell>
          <cell r="D392" t="str">
            <v>ガチャ:アリスの絵本01</v>
          </cell>
          <cell r="E392" t="str">
            <v>執行者</v>
          </cell>
          <cell r="F392" t="str">
            <v>格好いい</v>
          </cell>
          <cell r="G392" t="str">
            <v>女性</v>
          </cell>
          <cell r="H392" t="str">
            <v>red</v>
          </cell>
          <cell r="I392">
            <v>5</v>
          </cell>
          <cell r="J392" t="str">
            <v>PremiumSS</v>
          </cell>
          <cell r="K392" t="str">
            <v>heal</v>
          </cell>
          <cell r="L392" t="str">
            <v>回復タイプ</v>
          </cell>
          <cell r="M392" t="str">
            <v>human</v>
          </cell>
        </row>
        <row r="393">
          <cell r="A393">
            <v>392</v>
          </cell>
          <cell r="B393" t="str">
            <v>ja</v>
          </cell>
          <cell r="C393" t="str">
            <v>ピーターパン</v>
          </cell>
          <cell r="D393" t="str">
            <v>ガチャ:アリスの絵本01</v>
          </cell>
          <cell r="E393" t="str">
            <v>執行者</v>
          </cell>
          <cell r="F393" t="str">
            <v>格好いい</v>
          </cell>
          <cell r="G393" t="str">
            <v>男性</v>
          </cell>
          <cell r="H393" t="str">
            <v>green</v>
          </cell>
          <cell r="I393">
            <v>3</v>
          </cell>
          <cell r="J393" t="str">
            <v>PremiumS</v>
          </cell>
          <cell r="K393" t="str">
            <v>attack</v>
          </cell>
          <cell r="L393" t="str">
            <v>攻撃タイプ</v>
          </cell>
          <cell r="M393" t="str">
            <v>human</v>
          </cell>
        </row>
        <row r="394">
          <cell r="A394">
            <v>393</v>
          </cell>
          <cell r="B394" t="str">
            <v>ja</v>
          </cell>
          <cell r="C394" t="str">
            <v>影縫い ピーターパン</v>
          </cell>
          <cell r="D394" t="str">
            <v>ガチャ:アリスの絵本01</v>
          </cell>
          <cell r="E394" t="str">
            <v>執行者</v>
          </cell>
          <cell r="F394" t="str">
            <v>格好いい</v>
          </cell>
          <cell r="G394" t="str">
            <v>男性</v>
          </cell>
          <cell r="H394" t="str">
            <v>green</v>
          </cell>
          <cell r="I394">
            <v>4</v>
          </cell>
          <cell r="J394" t="str">
            <v>PremiumS</v>
          </cell>
          <cell r="K394" t="str">
            <v>attack</v>
          </cell>
          <cell r="L394" t="str">
            <v>攻撃タイプ</v>
          </cell>
          <cell r="M394" t="str">
            <v>human</v>
          </cell>
        </row>
        <row r="395">
          <cell r="A395">
            <v>394</v>
          </cell>
          <cell r="B395" t="str">
            <v>ja</v>
          </cell>
          <cell r="C395" t="str">
            <v>影求の悪童 ピーターパン</v>
          </cell>
          <cell r="D395" t="str">
            <v>ガチャ:アリスの絵本01</v>
          </cell>
          <cell r="E395" t="str">
            <v>執行者</v>
          </cell>
          <cell r="F395" t="str">
            <v>格好いい</v>
          </cell>
          <cell r="G395" t="str">
            <v>男性</v>
          </cell>
          <cell r="H395" t="str">
            <v>green</v>
          </cell>
          <cell r="I395">
            <v>5</v>
          </cell>
          <cell r="J395" t="str">
            <v>PremiumS</v>
          </cell>
          <cell r="K395" t="str">
            <v>attack</v>
          </cell>
          <cell r="L395" t="str">
            <v>攻撃タイプ</v>
          </cell>
          <cell r="M395" t="str">
            <v>human</v>
          </cell>
        </row>
        <row r="396">
          <cell r="A396">
            <v>395</v>
          </cell>
          <cell r="B396" t="str">
            <v>ja</v>
          </cell>
          <cell r="C396" t="str">
            <v>乙姫</v>
          </cell>
          <cell r="D396" t="str">
            <v>ガチャ:アリスの絵本01</v>
          </cell>
          <cell r="E396" t="str">
            <v>執行者</v>
          </cell>
          <cell r="F396" t="str">
            <v>格好いい</v>
          </cell>
          <cell r="G396" t="str">
            <v>女性</v>
          </cell>
          <cell r="H396" t="str">
            <v>blue</v>
          </cell>
          <cell r="I396">
            <v>3</v>
          </cell>
          <cell r="J396" t="str">
            <v>PremiumS</v>
          </cell>
          <cell r="K396" t="str">
            <v>hp</v>
          </cell>
          <cell r="L396" t="str">
            <v>体力タイプ</v>
          </cell>
          <cell r="M396" t="str">
            <v>human</v>
          </cell>
        </row>
        <row r="397">
          <cell r="A397">
            <v>396</v>
          </cell>
          <cell r="B397" t="str">
            <v>ja</v>
          </cell>
          <cell r="C397" t="str">
            <v>竜宮の水雷 乙姫</v>
          </cell>
          <cell r="D397" t="str">
            <v>ガチャ:アリスの絵本01</v>
          </cell>
          <cell r="E397" t="str">
            <v>執行者</v>
          </cell>
          <cell r="F397" t="str">
            <v>格好いい</v>
          </cell>
          <cell r="G397" t="str">
            <v>女性</v>
          </cell>
          <cell r="H397" t="str">
            <v>blue</v>
          </cell>
          <cell r="I397">
            <v>4</v>
          </cell>
          <cell r="J397" t="str">
            <v>PremiumS</v>
          </cell>
          <cell r="K397" t="str">
            <v>hp</v>
          </cell>
          <cell r="L397" t="str">
            <v>体力タイプ</v>
          </cell>
          <cell r="M397" t="str">
            <v>human</v>
          </cell>
        </row>
        <row r="398">
          <cell r="A398">
            <v>397</v>
          </cell>
          <cell r="B398" t="str">
            <v>ja</v>
          </cell>
          <cell r="C398" t="str">
            <v>禁断の追箱 乙姫</v>
          </cell>
          <cell r="D398" t="str">
            <v>ガチャ:アリスの絵本01</v>
          </cell>
          <cell r="E398" t="str">
            <v>執行者</v>
          </cell>
          <cell r="F398" t="str">
            <v>格好いい</v>
          </cell>
          <cell r="G398" t="str">
            <v>女性</v>
          </cell>
          <cell r="H398" t="str">
            <v>blue</v>
          </cell>
          <cell r="I398">
            <v>5</v>
          </cell>
          <cell r="J398" t="str">
            <v>PremiumS</v>
          </cell>
          <cell r="K398" t="str">
            <v>hp</v>
          </cell>
          <cell r="L398" t="str">
            <v>体力タイプ</v>
          </cell>
          <cell r="M398" t="str">
            <v>human</v>
          </cell>
        </row>
        <row r="399">
          <cell r="A399">
            <v>398</v>
          </cell>
          <cell r="B399" t="str">
            <v>ja</v>
          </cell>
          <cell r="C399" t="str">
            <v>ヘンゼル＆グレーテル</v>
          </cell>
          <cell r="D399" t="str">
            <v>ガチャ:アリスの絵本01</v>
          </cell>
          <cell r="E399" t="str">
            <v>執行者</v>
          </cell>
          <cell r="F399" t="str">
            <v>格好いい</v>
          </cell>
          <cell r="G399" t="str">
            <v>女性</v>
          </cell>
          <cell r="H399" t="str">
            <v>yellow</v>
          </cell>
          <cell r="I399">
            <v>4</v>
          </cell>
          <cell r="J399" t="str">
            <v>PremiumSS</v>
          </cell>
          <cell r="K399" t="str">
            <v>balance</v>
          </cell>
          <cell r="L399" t="str">
            <v>バランスタイプ</v>
          </cell>
          <cell r="M399" t="str">
            <v>human</v>
          </cell>
        </row>
        <row r="400">
          <cell r="A400">
            <v>399</v>
          </cell>
          <cell r="B400" t="str">
            <v>ja</v>
          </cell>
          <cell r="C400" t="str">
            <v>信愛の兄妹 ヘンゼル＆グレーテル</v>
          </cell>
          <cell r="D400" t="str">
            <v>ガチャ:アリスの絵本01</v>
          </cell>
          <cell r="E400" t="str">
            <v>執行者</v>
          </cell>
          <cell r="F400" t="str">
            <v>格好いい</v>
          </cell>
          <cell r="G400" t="str">
            <v>女性</v>
          </cell>
          <cell r="H400" t="str">
            <v>yellow</v>
          </cell>
          <cell r="I400">
            <v>5</v>
          </cell>
          <cell r="J400" t="str">
            <v>PremiumSS</v>
          </cell>
          <cell r="K400" t="str">
            <v>balance</v>
          </cell>
          <cell r="L400" t="str">
            <v>バランスタイプ</v>
          </cell>
          <cell r="M400" t="str">
            <v>human</v>
          </cell>
        </row>
        <row r="401">
          <cell r="A401">
            <v>400</v>
          </cell>
          <cell r="B401" t="str">
            <v>ja</v>
          </cell>
          <cell r="C401" t="str">
            <v>フェンリル</v>
          </cell>
          <cell r="D401" t="str">
            <v>ガチャ:魔獣シリーズ02</v>
          </cell>
          <cell r="E401" t="str">
            <v>執行者</v>
          </cell>
          <cell r="F401" t="str">
            <v>格好いい</v>
          </cell>
          <cell r="G401" t="str">
            <v>女性</v>
          </cell>
          <cell r="H401" t="str">
            <v>red</v>
          </cell>
          <cell r="I401">
            <v>3</v>
          </cell>
          <cell r="J401" t="str">
            <v>PremiumS</v>
          </cell>
          <cell r="K401" t="str">
            <v>attack</v>
          </cell>
          <cell r="L401" t="str">
            <v>攻撃タイプ</v>
          </cell>
          <cell r="M401" t="str">
            <v>animal</v>
          </cell>
        </row>
        <row r="402">
          <cell r="A402">
            <v>401</v>
          </cell>
          <cell r="B402" t="str">
            <v>ja</v>
          </cell>
          <cell r="C402" t="str">
            <v>紅銀の孤狼 フェンリル</v>
          </cell>
          <cell r="D402" t="str">
            <v>ガチャ:魔獣シリーズ02</v>
          </cell>
          <cell r="E402" t="str">
            <v>執行者</v>
          </cell>
          <cell r="F402" t="str">
            <v>格好いい</v>
          </cell>
          <cell r="G402" t="str">
            <v>女性</v>
          </cell>
          <cell r="H402" t="str">
            <v>red</v>
          </cell>
          <cell r="I402">
            <v>4</v>
          </cell>
          <cell r="J402" t="str">
            <v>PremiumS</v>
          </cell>
          <cell r="K402" t="str">
            <v>attack</v>
          </cell>
          <cell r="L402" t="str">
            <v>攻撃タイプ</v>
          </cell>
          <cell r="M402" t="str">
            <v>animal</v>
          </cell>
        </row>
        <row r="403">
          <cell r="A403">
            <v>402</v>
          </cell>
          <cell r="B403" t="str">
            <v>ja</v>
          </cell>
          <cell r="C403" t="str">
            <v>天災の神狼 フェンリル</v>
          </cell>
          <cell r="D403" t="str">
            <v>ガチャ:魔獣シリーズ02</v>
          </cell>
          <cell r="E403" t="str">
            <v>執行者</v>
          </cell>
          <cell r="F403" t="str">
            <v>格好いい</v>
          </cell>
          <cell r="G403" t="str">
            <v>女性</v>
          </cell>
          <cell r="H403" t="str">
            <v>red</v>
          </cell>
          <cell r="I403">
            <v>5</v>
          </cell>
          <cell r="J403" t="str">
            <v>PremiumS</v>
          </cell>
          <cell r="K403" t="str">
            <v>attack</v>
          </cell>
          <cell r="L403" t="str">
            <v>攻撃タイプ</v>
          </cell>
          <cell r="M403" t="str">
            <v>animal</v>
          </cell>
        </row>
        <row r="404">
          <cell r="A404">
            <v>403</v>
          </cell>
          <cell r="B404" t="str">
            <v>ja</v>
          </cell>
          <cell r="C404" t="str">
            <v>静撃の翠眼 八咫烏</v>
          </cell>
          <cell r="D404" t="str">
            <v>ガチャ:魔獣シリーズ02</v>
          </cell>
          <cell r="E404" t="str">
            <v>執行者</v>
          </cell>
          <cell r="F404" t="str">
            <v>格好いい</v>
          </cell>
          <cell r="G404" t="str">
            <v>女性</v>
          </cell>
          <cell r="H404" t="str">
            <v>green</v>
          </cell>
          <cell r="I404">
            <v>4</v>
          </cell>
          <cell r="J404" t="str">
            <v>PremiumSS</v>
          </cell>
          <cell r="K404" t="str">
            <v>balance</v>
          </cell>
          <cell r="L404" t="str">
            <v>バランスタイプ</v>
          </cell>
          <cell r="M404" t="str">
            <v>animal</v>
          </cell>
        </row>
        <row r="405">
          <cell r="A405">
            <v>404</v>
          </cell>
          <cell r="B405" t="str">
            <v>ja</v>
          </cell>
          <cell r="C405" t="str">
            <v>空襲の神眼 八咫烏</v>
          </cell>
          <cell r="D405" t="str">
            <v>ガチャ:魔獣シリーズ02</v>
          </cell>
          <cell r="E405" t="str">
            <v>執行者</v>
          </cell>
          <cell r="F405" t="str">
            <v>格好いい</v>
          </cell>
          <cell r="G405" t="str">
            <v>女性</v>
          </cell>
          <cell r="H405" t="str">
            <v>green</v>
          </cell>
          <cell r="I405">
            <v>5</v>
          </cell>
          <cell r="J405" t="str">
            <v>PremiumSS</v>
          </cell>
          <cell r="K405" t="str">
            <v>balance</v>
          </cell>
          <cell r="L405" t="str">
            <v>バランスタイプ</v>
          </cell>
          <cell r="M405" t="str">
            <v>animal</v>
          </cell>
        </row>
        <row r="406">
          <cell r="A406">
            <v>405</v>
          </cell>
          <cell r="B406" t="str">
            <v>ja</v>
          </cell>
          <cell r="C406" t="str">
            <v>エキドナ</v>
          </cell>
          <cell r="D406" t="str">
            <v>ガチャ:魔獣シリーズ02</v>
          </cell>
          <cell r="E406" t="str">
            <v>執行者</v>
          </cell>
          <cell r="F406" t="str">
            <v>格好いい</v>
          </cell>
          <cell r="G406" t="str">
            <v>女性</v>
          </cell>
          <cell r="H406" t="str">
            <v>blue</v>
          </cell>
          <cell r="I406">
            <v>3</v>
          </cell>
          <cell r="J406" t="str">
            <v>PremiumS</v>
          </cell>
          <cell r="K406" t="str">
            <v>technical</v>
          </cell>
          <cell r="L406" t="str">
            <v>テクニカルタイプ</v>
          </cell>
          <cell r="M406" t="str">
            <v>animal</v>
          </cell>
        </row>
        <row r="407">
          <cell r="A407">
            <v>406</v>
          </cell>
          <cell r="B407" t="str">
            <v>ja</v>
          </cell>
          <cell r="C407" t="str">
            <v>美笑の蒼蛇 エキドナ</v>
          </cell>
          <cell r="D407" t="str">
            <v>ガチャ:魔獣シリーズ02</v>
          </cell>
          <cell r="E407" t="str">
            <v>執行者</v>
          </cell>
          <cell r="F407" t="str">
            <v>格好いい</v>
          </cell>
          <cell r="G407" t="str">
            <v>女性</v>
          </cell>
          <cell r="H407" t="str">
            <v>blue</v>
          </cell>
          <cell r="I407">
            <v>4</v>
          </cell>
          <cell r="J407" t="str">
            <v>PremiumS</v>
          </cell>
          <cell r="K407" t="str">
            <v>technical</v>
          </cell>
          <cell r="L407" t="str">
            <v>テクニカルタイプ</v>
          </cell>
          <cell r="M407" t="str">
            <v>animal</v>
          </cell>
        </row>
        <row r="408">
          <cell r="A408">
            <v>407</v>
          </cell>
          <cell r="B408" t="str">
            <v>ja</v>
          </cell>
          <cell r="C408" t="str">
            <v>蠱惑の飛刀 エキドナ</v>
          </cell>
          <cell r="D408" t="str">
            <v>ガチャ:魔獣シリーズ02</v>
          </cell>
          <cell r="E408" t="str">
            <v>執行者</v>
          </cell>
          <cell r="F408" t="str">
            <v>格好いい</v>
          </cell>
          <cell r="G408" t="str">
            <v>女性</v>
          </cell>
          <cell r="H408" t="str">
            <v>blue</v>
          </cell>
          <cell r="I408">
            <v>5</v>
          </cell>
          <cell r="J408" t="str">
            <v>PremiumS</v>
          </cell>
          <cell r="K408" t="str">
            <v>technical</v>
          </cell>
          <cell r="L408" t="str">
            <v>テクニカルタイプ</v>
          </cell>
          <cell r="M408" t="str">
            <v>animal</v>
          </cell>
        </row>
        <row r="409">
          <cell r="A409">
            <v>408</v>
          </cell>
          <cell r="B409" t="str">
            <v>ja</v>
          </cell>
          <cell r="C409" t="str">
            <v>皇魔 アスタロト</v>
          </cell>
          <cell r="D409" t="str">
            <v>ガチャ:魔獣シリーズ02</v>
          </cell>
          <cell r="E409" t="str">
            <v>執行者</v>
          </cell>
          <cell r="F409" t="str">
            <v>格好いい</v>
          </cell>
          <cell r="G409" t="str">
            <v>男性</v>
          </cell>
          <cell r="H409" t="str">
            <v>yellow</v>
          </cell>
          <cell r="I409">
            <v>4</v>
          </cell>
          <cell r="J409" t="str">
            <v>PremiumSS</v>
          </cell>
          <cell r="K409" t="str">
            <v>attack</v>
          </cell>
          <cell r="L409" t="str">
            <v>攻撃タイプ</v>
          </cell>
          <cell r="M409" t="str">
            <v>god</v>
          </cell>
        </row>
        <row r="410">
          <cell r="A410">
            <v>409</v>
          </cell>
          <cell r="B410" t="str">
            <v>ja</v>
          </cell>
          <cell r="C410" t="str">
            <v>天眼の皇貴魔 アスタロト</v>
          </cell>
          <cell r="D410" t="str">
            <v>ガチャ:魔獣シリーズ02</v>
          </cell>
          <cell r="E410" t="str">
            <v>執行者</v>
          </cell>
          <cell r="F410" t="str">
            <v>格好いい</v>
          </cell>
          <cell r="G410" t="str">
            <v>男性</v>
          </cell>
          <cell r="H410" t="str">
            <v>yellow</v>
          </cell>
          <cell r="I410">
            <v>5</v>
          </cell>
          <cell r="J410" t="str">
            <v>PremiumSS</v>
          </cell>
          <cell r="K410" t="str">
            <v>attack</v>
          </cell>
          <cell r="L410" t="str">
            <v>攻撃タイプ</v>
          </cell>
          <cell r="M410" t="str">
            <v>god</v>
          </cell>
        </row>
        <row r="411">
          <cell r="A411">
            <v>410</v>
          </cell>
          <cell r="B411" t="str">
            <v>ja</v>
          </cell>
          <cell r="C411" t="str">
            <v>ファラデー</v>
          </cell>
          <cell r="D411" t="str">
            <v>ガチャ:フィーバーフェス03</v>
          </cell>
          <cell r="E411" t="str">
            <v>執行者</v>
          </cell>
          <cell r="F411" t="str">
            <v>格好いい</v>
          </cell>
          <cell r="G411" t="str">
            <v>女性</v>
          </cell>
          <cell r="H411" t="str">
            <v>yellow</v>
          </cell>
          <cell r="I411">
            <v>4</v>
          </cell>
          <cell r="J411" t="str">
            <v>PremiumSSS</v>
          </cell>
          <cell r="K411" t="str">
            <v>balance</v>
          </cell>
          <cell r="L411" t="str">
            <v>バランスタイプ</v>
          </cell>
          <cell r="M411" t="str">
            <v>human</v>
          </cell>
        </row>
        <row r="412">
          <cell r="A412">
            <v>411</v>
          </cell>
          <cell r="B412" t="str">
            <v>ja</v>
          </cell>
          <cell r="C412" t="str">
            <v>電隷の始祖 ファラデー</v>
          </cell>
          <cell r="D412" t="str">
            <v>ガチャ:フィーバーフェス03</v>
          </cell>
          <cell r="E412" t="str">
            <v>執行者</v>
          </cell>
          <cell r="F412" t="str">
            <v>格好いい</v>
          </cell>
          <cell r="G412" t="str">
            <v>女性</v>
          </cell>
          <cell r="H412" t="str">
            <v>yellow</v>
          </cell>
          <cell r="I412">
            <v>5</v>
          </cell>
          <cell r="J412" t="str">
            <v>PremiumSSS</v>
          </cell>
          <cell r="K412" t="str">
            <v>balance</v>
          </cell>
          <cell r="L412" t="str">
            <v>バランスタイプ</v>
          </cell>
          <cell r="M412" t="str">
            <v>human</v>
          </cell>
        </row>
        <row r="413">
          <cell r="A413">
            <v>412</v>
          </cell>
          <cell r="B413" t="str">
            <v>ja</v>
          </cell>
          <cell r="C413" t="str">
            <v>コウネン</v>
          </cell>
          <cell r="D413" t="str">
            <v>ノーマルクエスト</v>
          </cell>
          <cell r="E413" t="str">
            <v>執行者</v>
          </cell>
          <cell r="F413" t="str">
            <v>格好いい</v>
          </cell>
          <cell r="G413" t="str">
            <v>不明</v>
          </cell>
          <cell r="H413" t="str">
            <v>yellow</v>
          </cell>
          <cell r="I413">
            <v>2</v>
          </cell>
          <cell r="J413" t="str">
            <v>Drop1S</v>
          </cell>
          <cell r="K413" t="str">
            <v>heal</v>
          </cell>
          <cell r="L413" t="str">
            <v>回復タイプ</v>
          </cell>
          <cell r="M413" t="str">
            <v>unknown</v>
          </cell>
        </row>
        <row r="414">
          <cell r="A414">
            <v>413</v>
          </cell>
          <cell r="B414" t="str">
            <v>ja</v>
          </cell>
          <cell r="C414" t="str">
            <v>狂騒地蔵 コウネン</v>
          </cell>
          <cell r="D414" t="str">
            <v>ノーマルクエスト</v>
          </cell>
          <cell r="E414" t="str">
            <v>執行者</v>
          </cell>
          <cell r="F414" t="str">
            <v>格好いい</v>
          </cell>
          <cell r="G414" t="str">
            <v>不明</v>
          </cell>
          <cell r="H414" t="str">
            <v>yellow</v>
          </cell>
          <cell r="I414">
            <v>3</v>
          </cell>
          <cell r="J414" t="str">
            <v>Drop1S</v>
          </cell>
          <cell r="K414" t="str">
            <v>heal</v>
          </cell>
          <cell r="L414" t="str">
            <v>回復タイプ</v>
          </cell>
          <cell r="M414" t="str">
            <v>unknown</v>
          </cell>
        </row>
        <row r="415">
          <cell r="A415">
            <v>414</v>
          </cell>
          <cell r="B415" t="str">
            <v>ja</v>
          </cell>
          <cell r="C415" t="str">
            <v>炎のミリオンダック 2</v>
          </cell>
          <cell r="D415" t="str">
            <v>強化素材R6</v>
          </cell>
          <cell r="E415" t="str">
            <v>アリス</v>
          </cell>
          <cell r="F415" t="str">
            <v>世界観</v>
          </cell>
          <cell r="G415" t="str">
            <v>不明</v>
          </cell>
          <cell r="H415" t="str">
            <v>red</v>
          </cell>
          <cell r="I415">
            <v>6</v>
          </cell>
          <cell r="J415" t="str">
            <v>Material</v>
          </cell>
          <cell r="K415" t="str">
            <v>exp</v>
          </cell>
          <cell r="L415" t="str">
            <v>強化素材タイプ</v>
          </cell>
          <cell r="M415" t="str">
            <v>unknown</v>
          </cell>
        </row>
        <row r="416">
          <cell r="A416">
            <v>415</v>
          </cell>
          <cell r="B416" t="str">
            <v>ja</v>
          </cell>
          <cell r="C416" t="str">
            <v>森のミリオンダック 2</v>
          </cell>
          <cell r="D416" t="str">
            <v>強化素材R6</v>
          </cell>
          <cell r="E416" t="str">
            <v>アリス</v>
          </cell>
          <cell r="F416" t="str">
            <v>世界観</v>
          </cell>
          <cell r="G416" t="str">
            <v>不明</v>
          </cell>
          <cell r="H416" t="str">
            <v>green</v>
          </cell>
          <cell r="I416">
            <v>6</v>
          </cell>
          <cell r="J416" t="str">
            <v>Material</v>
          </cell>
          <cell r="K416" t="str">
            <v>exp</v>
          </cell>
          <cell r="L416" t="str">
            <v>強化素材タイプ</v>
          </cell>
          <cell r="M416" t="str">
            <v>unknown</v>
          </cell>
        </row>
        <row r="417">
          <cell r="A417">
            <v>416</v>
          </cell>
          <cell r="B417" t="str">
            <v>ja</v>
          </cell>
          <cell r="C417" t="str">
            <v>水のミリオンダック 2</v>
          </cell>
          <cell r="D417" t="str">
            <v>強化素材R6</v>
          </cell>
          <cell r="E417" t="str">
            <v>アリス</v>
          </cell>
          <cell r="F417" t="str">
            <v>世界観</v>
          </cell>
          <cell r="G417" t="str">
            <v>不明</v>
          </cell>
          <cell r="H417" t="str">
            <v>blue</v>
          </cell>
          <cell r="I417">
            <v>6</v>
          </cell>
          <cell r="J417" t="str">
            <v>Material</v>
          </cell>
          <cell r="K417" t="str">
            <v>exp</v>
          </cell>
          <cell r="L417" t="str">
            <v>強化素材タイプ</v>
          </cell>
          <cell r="M417" t="str">
            <v>unknown</v>
          </cell>
        </row>
        <row r="418">
          <cell r="A418">
            <v>417</v>
          </cell>
          <cell r="B418" t="str">
            <v>ja</v>
          </cell>
          <cell r="C418" t="str">
            <v>雷のミリオンダック 2</v>
          </cell>
          <cell r="D418" t="str">
            <v>強化素材R6</v>
          </cell>
          <cell r="E418" t="str">
            <v>アリス</v>
          </cell>
          <cell r="F418" t="str">
            <v>世界観</v>
          </cell>
          <cell r="G418" t="str">
            <v>不明</v>
          </cell>
          <cell r="H418" t="str">
            <v>yellow</v>
          </cell>
          <cell r="I418">
            <v>6</v>
          </cell>
          <cell r="J418" t="str">
            <v>Material</v>
          </cell>
          <cell r="K418" t="str">
            <v>exp</v>
          </cell>
          <cell r="L418" t="str">
            <v>強化素材タイプ</v>
          </cell>
          <cell r="M418" t="str">
            <v>unknown</v>
          </cell>
        </row>
        <row r="419">
          <cell r="A419">
            <v>418</v>
          </cell>
          <cell r="B419" t="str">
            <v>ja</v>
          </cell>
          <cell r="C419" t="str">
            <v>ウラシマ</v>
          </cell>
          <cell r="D419" t="str">
            <v>イベント:アリスの絵本02</v>
          </cell>
          <cell r="E419" t="str">
            <v>執行者</v>
          </cell>
          <cell r="F419" t="str">
            <v>格好いい</v>
          </cell>
          <cell r="G419" t="str">
            <v>男性</v>
          </cell>
          <cell r="H419" t="str">
            <v>red</v>
          </cell>
          <cell r="I419">
            <v>4</v>
          </cell>
          <cell r="J419" t="str">
            <v>Drop2N</v>
          </cell>
          <cell r="K419" t="str">
            <v>hp</v>
          </cell>
          <cell r="L419" t="str">
            <v>体力タイプ</v>
          </cell>
          <cell r="M419" t="str">
            <v>human</v>
          </cell>
        </row>
        <row r="420">
          <cell r="A420">
            <v>419</v>
          </cell>
          <cell r="B420" t="str">
            <v>ja</v>
          </cell>
          <cell r="C420" t="str">
            <v>宣戦の解城 ウラシマ</v>
          </cell>
          <cell r="D420" t="str">
            <v>イベント:アリスの絵本02</v>
          </cell>
          <cell r="E420" t="str">
            <v>執行者</v>
          </cell>
          <cell r="F420" t="str">
            <v>格好いい</v>
          </cell>
          <cell r="G420" t="str">
            <v>男性</v>
          </cell>
          <cell r="H420" t="str">
            <v>red</v>
          </cell>
          <cell r="I420">
            <v>5</v>
          </cell>
          <cell r="J420" t="str">
            <v>Drop2N</v>
          </cell>
          <cell r="K420" t="str">
            <v>hp</v>
          </cell>
          <cell r="L420" t="str">
            <v>体力タイプ</v>
          </cell>
          <cell r="M420" t="str">
            <v>human</v>
          </cell>
        </row>
        <row r="421">
          <cell r="A421">
            <v>420</v>
          </cell>
          <cell r="B421" t="str">
            <v>ja</v>
          </cell>
          <cell r="C421" t="str">
            <v>カエデ</v>
          </cell>
          <cell r="D421" t="str">
            <v>イベント:アリスの絵本02</v>
          </cell>
          <cell r="E421" t="str">
            <v>執行者</v>
          </cell>
          <cell r="F421" t="str">
            <v>格好いい</v>
          </cell>
          <cell r="G421" t="str">
            <v>男性</v>
          </cell>
          <cell r="H421" t="str">
            <v>green</v>
          </cell>
          <cell r="I421">
            <v>4</v>
          </cell>
          <cell r="J421" t="str">
            <v>Drop2N</v>
          </cell>
          <cell r="K421" t="str">
            <v>heal</v>
          </cell>
          <cell r="L421" t="str">
            <v>回復タイプ</v>
          </cell>
          <cell r="M421" t="str">
            <v>human</v>
          </cell>
        </row>
        <row r="422">
          <cell r="A422">
            <v>421</v>
          </cell>
          <cell r="B422" t="str">
            <v>ja</v>
          </cell>
          <cell r="C422" t="str">
            <v>反親の彩壁 カエデ</v>
          </cell>
          <cell r="D422" t="str">
            <v>イベント:アリスの絵本02</v>
          </cell>
          <cell r="E422" t="str">
            <v>執行者</v>
          </cell>
          <cell r="F422" t="str">
            <v>格好いい</v>
          </cell>
          <cell r="G422" t="str">
            <v>男性</v>
          </cell>
          <cell r="H422" t="str">
            <v>green</v>
          </cell>
          <cell r="I422">
            <v>5</v>
          </cell>
          <cell r="J422" t="str">
            <v>Drop2N</v>
          </cell>
          <cell r="K422" t="str">
            <v>heal</v>
          </cell>
          <cell r="L422" t="str">
            <v>回復タイプ</v>
          </cell>
          <cell r="M422" t="str">
            <v>human</v>
          </cell>
        </row>
        <row r="423">
          <cell r="A423">
            <v>422</v>
          </cell>
          <cell r="B423" t="str">
            <v>ja</v>
          </cell>
          <cell r="C423" t="str">
            <v>シュガフル</v>
          </cell>
          <cell r="D423" t="str">
            <v>イベント:アリスの絵本02</v>
          </cell>
          <cell r="E423" t="str">
            <v>執行者</v>
          </cell>
          <cell r="F423" t="str">
            <v>格好いい</v>
          </cell>
          <cell r="G423" t="str">
            <v>女性</v>
          </cell>
          <cell r="H423" t="str">
            <v>blue</v>
          </cell>
          <cell r="I423">
            <v>4</v>
          </cell>
          <cell r="J423" t="str">
            <v>Drop2N</v>
          </cell>
          <cell r="K423" t="str">
            <v>balance</v>
          </cell>
          <cell r="L423" t="str">
            <v>バランスタイプ</v>
          </cell>
          <cell r="M423" t="str">
            <v>human</v>
          </cell>
        </row>
        <row r="424">
          <cell r="A424">
            <v>423</v>
          </cell>
          <cell r="B424" t="str">
            <v>ja</v>
          </cell>
          <cell r="C424" t="str">
            <v>甘罠の魔女 シュガフル</v>
          </cell>
          <cell r="D424" t="str">
            <v>イベント:アリスの絵本02</v>
          </cell>
          <cell r="E424" t="str">
            <v>執行者</v>
          </cell>
          <cell r="F424" t="str">
            <v>格好いい</v>
          </cell>
          <cell r="G424" t="str">
            <v>女性</v>
          </cell>
          <cell r="H424" t="str">
            <v>blue</v>
          </cell>
          <cell r="I424">
            <v>5</v>
          </cell>
          <cell r="J424" t="str">
            <v>Drop2N</v>
          </cell>
          <cell r="K424" t="str">
            <v>balance</v>
          </cell>
          <cell r="L424" t="str">
            <v>バランスタイプ</v>
          </cell>
          <cell r="M424" t="str">
            <v>human</v>
          </cell>
        </row>
        <row r="425">
          <cell r="A425">
            <v>424</v>
          </cell>
          <cell r="B425" t="str">
            <v>ja</v>
          </cell>
          <cell r="C425" t="str">
            <v>フック</v>
          </cell>
          <cell r="D425" t="str">
            <v>イベント:アリスの絵本02</v>
          </cell>
          <cell r="E425" t="str">
            <v>執行者</v>
          </cell>
          <cell r="F425" t="str">
            <v>格好いい</v>
          </cell>
          <cell r="G425" t="str">
            <v>女性</v>
          </cell>
          <cell r="H425" t="str">
            <v>yellow</v>
          </cell>
          <cell r="I425">
            <v>4</v>
          </cell>
          <cell r="J425" t="str">
            <v>Drop2N</v>
          </cell>
          <cell r="K425" t="str">
            <v>attack</v>
          </cell>
          <cell r="L425" t="str">
            <v>攻撃タイプ</v>
          </cell>
          <cell r="M425" t="str">
            <v>human</v>
          </cell>
        </row>
        <row r="426">
          <cell r="A426">
            <v>425</v>
          </cell>
          <cell r="B426" t="str">
            <v>ja</v>
          </cell>
          <cell r="C426" t="str">
            <v>怒髪の海賊 フック</v>
          </cell>
          <cell r="D426" t="str">
            <v>イベント:アリスの絵本02</v>
          </cell>
          <cell r="E426" t="str">
            <v>執行者</v>
          </cell>
          <cell r="F426" t="str">
            <v>格好いい</v>
          </cell>
          <cell r="G426" t="str">
            <v>女性</v>
          </cell>
          <cell r="H426" t="str">
            <v>yellow</v>
          </cell>
          <cell r="I426">
            <v>5</v>
          </cell>
          <cell r="J426" t="str">
            <v>Drop2N</v>
          </cell>
          <cell r="K426" t="str">
            <v>attack</v>
          </cell>
          <cell r="L426" t="str">
            <v>攻撃タイプ</v>
          </cell>
          <cell r="M426" t="str">
            <v>human</v>
          </cell>
        </row>
        <row r="427">
          <cell r="A427">
            <v>426</v>
          </cell>
          <cell r="B427" t="str">
            <v>ja</v>
          </cell>
          <cell r="C427" t="str">
            <v>宮本武蔵</v>
          </cell>
          <cell r="D427" t="str">
            <v>イベント:ウィザード</v>
          </cell>
          <cell r="E427" t="str">
            <v>執行者</v>
          </cell>
          <cell r="F427" t="str">
            <v>格好いい</v>
          </cell>
          <cell r="G427" t="str">
            <v>男性</v>
          </cell>
          <cell r="H427" t="str">
            <v>yellow</v>
          </cell>
          <cell r="I427">
            <v>4</v>
          </cell>
          <cell r="J427" t="str">
            <v>DropWizS</v>
          </cell>
          <cell r="K427" t="str">
            <v>attack</v>
          </cell>
          <cell r="L427" t="str">
            <v>攻撃タイプ</v>
          </cell>
          <cell r="M427" t="str">
            <v>human</v>
          </cell>
        </row>
        <row r="428">
          <cell r="A428">
            <v>427</v>
          </cell>
          <cell r="B428" t="str">
            <v>ja</v>
          </cell>
          <cell r="C428" t="str">
            <v>極・剣豪 宮本武蔵</v>
          </cell>
          <cell r="D428" t="str">
            <v>イベント:ウィザード</v>
          </cell>
          <cell r="E428" t="str">
            <v>執行者</v>
          </cell>
          <cell r="F428" t="str">
            <v>格好いい</v>
          </cell>
          <cell r="G428" t="str">
            <v>男性</v>
          </cell>
          <cell r="H428" t="str">
            <v>yellow</v>
          </cell>
          <cell r="I428">
            <v>5</v>
          </cell>
          <cell r="J428" t="str">
            <v>DropWizS</v>
          </cell>
          <cell r="K428" t="str">
            <v>attack</v>
          </cell>
          <cell r="L428" t="str">
            <v>攻撃タイプ</v>
          </cell>
          <cell r="M428" t="str">
            <v>human</v>
          </cell>
        </row>
        <row r="429">
          <cell r="A429">
            <v>428</v>
          </cell>
          <cell r="B429" t="str">
            <v>ja</v>
          </cell>
          <cell r="C429" t="str">
            <v>レッドダムディ</v>
          </cell>
          <cell r="D429" t="str">
            <v>未定</v>
          </cell>
          <cell r="E429" t="str">
            <v>執行者</v>
          </cell>
          <cell r="F429" t="str">
            <v>格好いい</v>
          </cell>
          <cell r="G429" t="str">
            <v>不明</v>
          </cell>
          <cell r="H429" t="str">
            <v>red</v>
          </cell>
          <cell r="I429">
            <v>5</v>
          </cell>
          <cell r="J429" t="str">
            <v>Material</v>
          </cell>
          <cell r="K429" t="str">
            <v>evolution</v>
          </cell>
          <cell r="L429" t="str">
            <v>覚醒素材タイプ</v>
          </cell>
          <cell r="M429" t="str">
            <v>unknown</v>
          </cell>
        </row>
        <row r="430">
          <cell r="A430">
            <v>429</v>
          </cell>
          <cell r="B430" t="str">
            <v>ja</v>
          </cell>
          <cell r="C430" t="str">
            <v>ブルーダムディ</v>
          </cell>
          <cell r="D430" t="str">
            <v>未定</v>
          </cell>
          <cell r="E430" t="str">
            <v>執行者</v>
          </cell>
          <cell r="F430" t="str">
            <v>格好いい</v>
          </cell>
          <cell r="G430" t="str">
            <v>不明</v>
          </cell>
          <cell r="H430" t="str">
            <v>blue</v>
          </cell>
          <cell r="I430">
            <v>5</v>
          </cell>
          <cell r="J430" t="str">
            <v>Material</v>
          </cell>
          <cell r="K430" t="str">
            <v>evolution</v>
          </cell>
          <cell r="L430" t="str">
            <v>覚醒素材タイプ</v>
          </cell>
          <cell r="M430" t="str">
            <v>unknown</v>
          </cell>
        </row>
        <row r="431">
          <cell r="A431">
            <v>430</v>
          </cell>
          <cell r="B431" t="str">
            <v>ja</v>
          </cell>
          <cell r="C431" t="str">
            <v>グリーンダムディ</v>
          </cell>
          <cell r="D431" t="str">
            <v>未定</v>
          </cell>
          <cell r="E431" t="str">
            <v>執行者</v>
          </cell>
          <cell r="F431" t="str">
            <v>格好いい</v>
          </cell>
          <cell r="G431" t="str">
            <v>不明</v>
          </cell>
          <cell r="H431" t="str">
            <v>green</v>
          </cell>
          <cell r="I431">
            <v>5</v>
          </cell>
          <cell r="J431" t="str">
            <v>Material</v>
          </cell>
          <cell r="K431" t="str">
            <v>evolution</v>
          </cell>
          <cell r="L431" t="str">
            <v>覚醒素材タイプ</v>
          </cell>
          <cell r="M431" t="str">
            <v>unknown</v>
          </cell>
        </row>
        <row r="432">
          <cell r="A432">
            <v>431</v>
          </cell>
          <cell r="B432" t="str">
            <v>ja</v>
          </cell>
          <cell r="C432" t="str">
            <v>イエローダムディ</v>
          </cell>
          <cell r="D432" t="str">
            <v>未定</v>
          </cell>
          <cell r="E432" t="str">
            <v>執行者</v>
          </cell>
          <cell r="F432" t="str">
            <v>格好いい</v>
          </cell>
          <cell r="G432" t="str">
            <v>不明</v>
          </cell>
          <cell r="H432" t="str">
            <v>yellow</v>
          </cell>
          <cell r="I432">
            <v>5</v>
          </cell>
          <cell r="J432" t="str">
            <v>Material</v>
          </cell>
          <cell r="K432" t="str">
            <v>evolution</v>
          </cell>
          <cell r="L432" t="str">
            <v>覚醒素材タイプ</v>
          </cell>
          <cell r="M432" t="str">
            <v>unknown</v>
          </cell>
        </row>
        <row r="433">
          <cell r="A433">
            <v>432</v>
          </cell>
          <cell r="B433" t="str">
            <v>ja</v>
          </cell>
          <cell r="C433" t="str">
            <v>麒麟</v>
          </cell>
          <cell r="D433" t="str">
            <v>イベント:超ウィザード</v>
          </cell>
          <cell r="E433" t="str">
            <v>執行者</v>
          </cell>
          <cell r="F433" t="str">
            <v>格好いい</v>
          </cell>
          <cell r="G433" t="str">
            <v>女性</v>
          </cell>
          <cell r="H433" t="str">
            <v>yellow</v>
          </cell>
          <cell r="I433">
            <v>4</v>
          </cell>
          <cell r="J433" t="str">
            <v>DropWizSS</v>
          </cell>
          <cell r="K433" t="str">
            <v>balance</v>
          </cell>
          <cell r="L433" t="str">
            <v>バランスタイプ</v>
          </cell>
          <cell r="M433" t="str">
            <v>god</v>
          </cell>
        </row>
        <row r="434">
          <cell r="A434">
            <v>433</v>
          </cell>
          <cell r="B434" t="str">
            <v>ja</v>
          </cell>
          <cell r="C434" t="str">
            <v>世稀の現獣 麒麟</v>
          </cell>
          <cell r="D434" t="str">
            <v>イベント:超ウィザード</v>
          </cell>
          <cell r="E434" t="str">
            <v>執行者</v>
          </cell>
          <cell r="F434" t="str">
            <v>格好いい</v>
          </cell>
          <cell r="G434" t="str">
            <v>女性</v>
          </cell>
          <cell r="H434" t="str">
            <v>yellow</v>
          </cell>
          <cell r="I434">
            <v>5</v>
          </cell>
          <cell r="J434" t="str">
            <v>DropWizSS</v>
          </cell>
          <cell r="K434" t="str">
            <v>balance</v>
          </cell>
          <cell r="L434" t="str">
            <v>バランスタイプ</v>
          </cell>
          <cell r="M434" t="str">
            <v>god</v>
          </cell>
        </row>
        <row r="435">
          <cell r="A435">
            <v>434</v>
          </cell>
          <cell r="B435" t="str">
            <v>ja</v>
          </cell>
          <cell r="C435" t="str">
            <v>D.R.T.H.</v>
          </cell>
          <cell r="D435" t="str">
            <v>ガチャ:オズ01</v>
          </cell>
          <cell r="E435" t="str">
            <v>執行者</v>
          </cell>
          <cell r="F435" t="str">
            <v>格好いい</v>
          </cell>
          <cell r="G435" t="str">
            <v>女性</v>
          </cell>
          <cell r="H435" t="str">
            <v>red</v>
          </cell>
          <cell r="I435">
            <v>4</v>
          </cell>
          <cell r="J435" t="str">
            <v>PremiumSS</v>
          </cell>
          <cell r="K435" t="str">
            <v>balance</v>
          </cell>
          <cell r="L435" t="str">
            <v>バランスタイプ</v>
          </cell>
          <cell r="M435" t="str">
            <v>human</v>
          </cell>
        </row>
        <row r="436">
          <cell r="A436">
            <v>435</v>
          </cell>
          <cell r="B436" t="str">
            <v>ja</v>
          </cell>
          <cell r="C436" t="str">
            <v>曝弾の密偵 D.R.T.H.</v>
          </cell>
          <cell r="D436" t="str">
            <v>ガチャ:オズ01</v>
          </cell>
          <cell r="E436" t="str">
            <v>執行者</v>
          </cell>
          <cell r="F436" t="str">
            <v>格好いい</v>
          </cell>
          <cell r="G436" t="str">
            <v>女性</v>
          </cell>
          <cell r="H436" t="str">
            <v>red</v>
          </cell>
          <cell r="I436">
            <v>5</v>
          </cell>
          <cell r="J436" t="str">
            <v>PremiumSS</v>
          </cell>
          <cell r="K436" t="str">
            <v>balance</v>
          </cell>
          <cell r="L436" t="str">
            <v>バランスタイプ</v>
          </cell>
          <cell r="M436" t="str">
            <v>human</v>
          </cell>
        </row>
        <row r="437">
          <cell r="A437">
            <v>436</v>
          </cell>
          <cell r="B437" t="str">
            <v>ja</v>
          </cell>
          <cell r="C437" t="str">
            <v>カカシ</v>
          </cell>
          <cell r="D437" t="str">
            <v>ガチャ:オズ01</v>
          </cell>
          <cell r="E437" t="str">
            <v>執行者</v>
          </cell>
          <cell r="F437" t="str">
            <v>格好いい</v>
          </cell>
          <cell r="G437" t="str">
            <v>男性</v>
          </cell>
          <cell r="H437" t="str">
            <v>green</v>
          </cell>
          <cell r="I437">
            <v>3</v>
          </cell>
          <cell r="J437" t="str">
            <v>PremiumS</v>
          </cell>
          <cell r="K437" t="str">
            <v>technical</v>
          </cell>
          <cell r="L437" t="str">
            <v>テクニカルタイプ</v>
          </cell>
          <cell r="M437" t="str">
            <v>human</v>
          </cell>
        </row>
        <row r="438">
          <cell r="A438">
            <v>437</v>
          </cell>
          <cell r="B438" t="str">
            <v>ja</v>
          </cell>
          <cell r="C438" t="str">
            <v>忘却者 カカシ</v>
          </cell>
          <cell r="D438" t="str">
            <v>ガチャ:オズ01</v>
          </cell>
          <cell r="E438" t="str">
            <v>執行者</v>
          </cell>
          <cell r="F438" t="str">
            <v>格好いい</v>
          </cell>
          <cell r="G438" t="str">
            <v>男性</v>
          </cell>
          <cell r="H438" t="str">
            <v>green</v>
          </cell>
          <cell r="I438">
            <v>4</v>
          </cell>
          <cell r="J438" t="str">
            <v>PremiumS</v>
          </cell>
          <cell r="K438" t="str">
            <v>technical</v>
          </cell>
          <cell r="L438" t="str">
            <v>テクニカルタイプ</v>
          </cell>
          <cell r="M438" t="str">
            <v>human</v>
          </cell>
        </row>
        <row r="439">
          <cell r="A439">
            <v>438</v>
          </cell>
          <cell r="B439" t="str">
            <v>ja</v>
          </cell>
          <cell r="C439" t="str">
            <v>記憶の奪還 カカシ</v>
          </cell>
          <cell r="D439" t="str">
            <v>ガチャ:オズ01</v>
          </cell>
          <cell r="E439" t="str">
            <v>執行者</v>
          </cell>
          <cell r="F439" t="str">
            <v>格好いい</v>
          </cell>
          <cell r="G439" t="str">
            <v>男性</v>
          </cell>
          <cell r="H439" t="str">
            <v>green</v>
          </cell>
          <cell r="I439">
            <v>5</v>
          </cell>
          <cell r="J439" t="str">
            <v>PremiumS</v>
          </cell>
          <cell r="K439" t="str">
            <v>technical</v>
          </cell>
          <cell r="L439" t="str">
            <v>テクニカルタイプ</v>
          </cell>
          <cell r="M439" t="str">
            <v>human</v>
          </cell>
        </row>
        <row r="440">
          <cell r="A440">
            <v>439</v>
          </cell>
          <cell r="B440" t="str">
            <v>ja</v>
          </cell>
          <cell r="C440" t="str">
            <v>ブリキロガー</v>
          </cell>
          <cell r="D440" t="str">
            <v>ガチャ:オズ01</v>
          </cell>
          <cell r="E440" t="str">
            <v>執行者</v>
          </cell>
          <cell r="F440" t="str">
            <v>格好いい</v>
          </cell>
          <cell r="G440" t="str">
            <v>不明</v>
          </cell>
          <cell r="H440" t="str">
            <v>blue</v>
          </cell>
          <cell r="I440">
            <v>3</v>
          </cell>
          <cell r="J440" t="str">
            <v>PremiumS</v>
          </cell>
          <cell r="K440" t="str">
            <v>attack</v>
          </cell>
          <cell r="L440" t="str">
            <v>攻撃タイプ</v>
          </cell>
          <cell r="M440" t="str">
            <v>machine</v>
          </cell>
        </row>
        <row r="441">
          <cell r="A441">
            <v>440</v>
          </cell>
          <cell r="B441" t="str">
            <v>ja</v>
          </cell>
          <cell r="C441" t="str">
            <v>改良型 ブリキロガー</v>
          </cell>
          <cell r="D441" t="str">
            <v>ガチャ:オズ01</v>
          </cell>
          <cell r="E441" t="str">
            <v>執行者</v>
          </cell>
          <cell r="F441" t="str">
            <v>格好いい</v>
          </cell>
          <cell r="G441" t="str">
            <v>不明</v>
          </cell>
          <cell r="H441" t="str">
            <v>blue</v>
          </cell>
          <cell r="I441">
            <v>4</v>
          </cell>
          <cell r="J441" t="str">
            <v>PremiumS</v>
          </cell>
          <cell r="K441" t="str">
            <v>attack</v>
          </cell>
          <cell r="L441" t="str">
            <v>攻撃タイプ</v>
          </cell>
          <cell r="M441" t="str">
            <v>machine</v>
          </cell>
        </row>
        <row r="442">
          <cell r="A442">
            <v>441</v>
          </cell>
          <cell r="B442" t="str">
            <v>ja</v>
          </cell>
          <cell r="C442" t="str">
            <v>求心の錻装 ブリキロガー</v>
          </cell>
          <cell r="D442" t="str">
            <v>ガチャ:オズ01</v>
          </cell>
          <cell r="E442" t="str">
            <v>執行者</v>
          </cell>
          <cell r="F442" t="str">
            <v>格好いい</v>
          </cell>
          <cell r="G442" t="str">
            <v>不明</v>
          </cell>
          <cell r="H442" t="str">
            <v>blue</v>
          </cell>
          <cell r="I442">
            <v>5</v>
          </cell>
          <cell r="J442" t="str">
            <v>PremiumS</v>
          </cell>
          <cell r="K442" t="str">
            <v>attack</v>
          </cell>
          <cell r="L442" t="str">
            <v>攻撃タイプ</v>
          </cell>
          <cell r="M442" t="str">
            <v>machine</v>
          </cell>
        </row>
        <row r="443">
          <cell r="A443">
            <v>442</v>
          </cell>
          <cell r="B443" t="str">
            <v>ja</v>
          </cell>
          <cell r="C443" t="str">
            <v>ブレイブリー・ライオン</v>
          </cell>
          <cell r="D443" t="str">
            <v>ガチャ:オズ01</v>
          </cell>
          <cell r="E443" t="str">
            <v>執行者</v>
          </cell>
          <cell r="F443" t="str">
            <v>格好いい</v>
          </cell>
          <cell r="G443" t="str">
            <v>不明</v>
          </cell>
          <cell r="H443" t="str">
            <v>yellow</v>
          </cell>
          <cell r="I443">
            <v>4</v>
          </cell>
          <cell r="J443" t="str">
            <v>PremiumSS</v>
          </cell>
          <cell r="K443" t="str">
            <v>hp</v>
          </cell>
          <cell r="L443" t="str">
            <v>体力タイプ</v>
          </cell>
          <cell r="M443" t="str">
            <v>animal</v>
          </cell>
        </row>
        <row r="444">
          <cell r="A444">
            <v>443</v>
          </cell>
          <cell r="B444" t="str">
            <v>ja</v>
          </cell>
          <cell r="C444" t="str">
            <v>勇機結集 ブレイブリー・ライオン</v>
          </cell>
          <cell r="D444" t="str">
            <v>ガチャ:オズ01</v>
          </cell>
          <cell r="E444" t="str">
            <v>執行者</v>
          </cell>
          <cell r="F444" t="str">
            <v>格好いい</v>
          </cell>
          <cell r="G444" t="str">
            <v>不明</v>
          </cell>
          <cell r="H444" t="str">
            <v>yellow</v>
          </cell>
          <cell r="I444">
            <v>5</v>
          </cell>
          <cell r="J444" t="str">
            <v>PremiumSS</v>
          </cell>
          <cell r="K444" t="str">
            <v>hp</v>
          </cell>
          <cell r="L444" t="str">
            <v>体力タイプ</v>
          </cell>
          <cell r="M444" t="str">
            <v>animal</v>
          </cell>
        </row>
        <row r="445">
          <cell r="A445">
            <v>444</v>
          </cell>
          <cell r="B445" t="str">
            <v>ja</v>
          </cell>
          <cell r="C445" t="str">
            <v>炎のミリオンダック 4</v>
          </cell>
          <cell r="D445" t="str">
            <v>未定</v>
          </cell>
          <cell r="E445" t="str">
            <v>執行者</v>
          </cell>
          <cell r="F445" t="str">
            <v>格好いい</v>
          </cell>
          <cell r="G445" t="str">
            <v>不明</v>
          </cell>
          <cell r="H445" t="str">
            <v>red</v>
          </cell>
          <cell r="I445">
            <v>6</v>
          </cell>
          <cell r="J445" t="str">
            <v>Material</v>
          </cell>
          <cell r="K445" t="str">
            <v>exp</v>
          </cell>
          <cell r="L445" t="str">
            <v>強化素材タイプ</v>
          </cell>
          <cell r="M445" t="str">
            <v>unknown</v>
          </cell>
        </row>
        <row r="446">
          <cell r="A446">
            <v>445</v>
          </cell>
          <cell r="B446" t="str">
            <v>ja</v>
          </cell>
          <cell r="C446" t="str">
            <v>森のミリオンダック 4</v>
          </cell>
          <cell r="D446" t="str">
            <v>未定</v>
          </cell>
          <cell r="E446" t="str">
            <v>執行者</v>
          </cell>
          <cell r="F446" t="str">
            <v>格好いい</v>
          </cell>
          <cell r="G446" t="str">
            <v>不明</v>
          </cell>
          <cell r="H446" t="str">
            <v>green</v>
          </cell>
          <cell r="I446">
            <v>6</v>
          </cell>
          <cell r="J446" t="str">
            <v>Material</v>
          </cell>
          <cell r="K446" t="str">
            <v>exp</v>
          </cell>
          <cell r="L446" t="str">
            <v>強化素材タイプ</v>
          </cell>
          <cell r="M446" t="str">
            <v>unknown</v>
          </cell>
        </row>
        <row r="447">
          <cell r="A447">
            <v>446</v>
          </cell>
          <cell r="B447" t="str">
            <v>ja</v>
          </cell>
          <cell r="C447" t="str">
            <v>水のミリオンダック 4</v>
          </cell>
          <cell r="D447" t="str">
            <v>未定</v>
          </cell>
          <cell r="E447" t="str">
            <v>執行者</v>
          </cell>
          <cell r="F447" t="str">
            <v>格好いい</v>
          </cell>
          <cell r="G447" t="str">
            <v>不明</v>
          </cell>
          <cell r="H447" t="str">
            <v>blue</v>
          </cell>
          <cell r="I447">
            <v>6</v>
          </cell>
          <cell r="J447" t="str">
            <v>Material</v>
          </cell>
          <cell r="K447" t="str">
            <v>exp</v>
          </cell>
          <cell r="L447" t="str">
            <v>強化素材タイプ</v>
          </cell>
          <cell r="M447" t="str">
            <v>unknown</v>
          </cell>
        </row>
        <row r="448">
          <cell r="A448">
            <v>447</v>
          </cell>
          <cell r="B448" t="str">
            <v>ja</v>
          </cell>
          <cell r="C448" t="str">
            <v>雷のミリオンダック 4</v>
          </cell>
          <cell r="D448" t="str">
            <v>未定</v>
          </cell>
          <cell r="E448" t="str">
            <v>執行者</v>
          </cell>
          <cell r="F448" t="str">
            <v>格好いい</v>
          </cell>
          <cell r="G448" t="str">
            <v>不明</v>
          </cell>
          <cell r="H448" t="str">
            <v>yellow</v>
          </cell>
          <cell r="I448">
            <v>6</v>
          </cell>
          <cell r="J448" t="str">
            <v>Material</v>
          </cell>
          <cell r="K448" t="str">
            <v>exp</v>
          </cell>
          <cell r="L448" t="str">
            <v>強化素材タイプ</v>
          </cell>
          <cell r="M448" t="str">
            <v>unknown</v>
          </cell>
        </row>
        <row r="449">
          <cell r="A449">
            <v>448</v>
          </cell>
          <cell r="B449" t="str">
            <v>ja</v>
          </cell>
          <cell r="C449" t="str">
            <v>浮上する夢想学士 シャルル</v>
          </cell>
          <cell r="D449" t="str">
            <v>未定</v>
          </cell>
          <cell r="E449" t="str">
            <v>執行者</v>
          </cell>
          <cell r="F449" t="str">
            <v>格好いい</v>
          </cell>
          <cell r="G449" t="str">
            <v>不明</v>
          </cell>
          <cell r="H449" t="str">
            <v>blue</v>
          </cell>
          <cell r="I449">
            <v>6</v>
          </cell>
          <cell r="J449" t="str">
            <v>DropWizS</v>
          </cell>
          <cell r="K449" t="str">
            <v>heal</v>
          </cell>
          <cell r="L449" t="str">
            <v>回復タイプ</v>
          </cell>
          <cell r="M449" t="str">
            <v>human</v>
          </cell>
        </row>
        <row r="450">
          <cell r="A450">
            <v>449</v>
          </cell>
          <cell r="B450" t="str">
            <v>ja</v>
          </cell>
          <cell r="C450" t="str">
            <v>未定</v>
          </cell>
          <cell r="D450" t="str">
            <v>未定</v>
          </cell>
          <cell r="E450" t="str">
            <v>執行者</v>
          </cell>
          <cell r="F450" t="str">
            <v>格好いい</v>
          </cell>
          <cell r="G450" t="str">
            <v>不明</v>
          </cell>
          <cell r="H450" t="str">
            <v>blue</v>
          </cell>
          <cell r="I450">
            <v>5</v>
          </cell>
          <cell r="J450" t="str">
            <v>PremiumN</v>
          </cell>
          <cell r="K450" t="str">
            <v>balance</v>
          </cell>
          <cell r="L450" t="str">
            <v>バランスタイプ</v>
          </cell>
          <cell r="M450" t="str">
            <v>human</v>
          </cell>
        </row>
        <row r="451">
          <cell r="A451">
            <v>450</v>
          </cell>
          <cell r="B451" t="str">
            <v>ja</v>
          </cell>
          <cell r="C451" t="str">
            <v>イゾルデ</v>
          </cell>
          <cell r="D451" t="str">
            <v>未定</v>
          </cell>
          <cell r="E451" t="str">
            <v>執行者</v>
          </cell>
          <cell r="F451" t="str">
            <v>格好いい</v>
          </cell>
          <cell r="G451" t="str">
            <v>不明</v>
          </cell>
          <cell r="H451" t="str">
            <v>yellow</v>
          </cell>
          <cell r="I451">
            <v>4</v>
          </cell>
          <cell r="J451" t="str">
            <v>PremiumN</v>
          </cell>
          <cell r="K451" t="str">
            <v>balance</v>
          </cell>
          <cell r="L451" t="str">
            <v>バランスタイプ</v>
          </cell>
          <cell r="M451" t="str">
            <v>human</v>
          </cell>
        </row>
        <row r="452">
          <cell r="A452">
            <v>451</v>
          </cell>
          <cell r="B452" t="str">
            <v>ja</v>
          </cell>
          <cell r="C452" t="str">
            <v>シルエットオーディン2</v>
          </cell>
          <cell r="D452" t="str">
            <v>未定</v>
          </cell>
          <cell r="E452" t="str">
            <v>執行者</v>
          </cell>
          <cell r="F452" t="str">
            <v>格好いい</v>
          </cell>
          <cell r="G452" t="str">
            <v>不明</v>
          </cell>
          <cell r="H452" t="str">
            <v>blue</v>
          </cell>
          <cell r="I452">
            <v>5</v>
          </cell>
          <cell r="J452" t="str">
            <v>DropWizN</v>
          </cell>
          <cell r="K452" t="str">
            <v>balance</v>
          </cell>
          <cell r="L452" t="str">
            <v>バランスタイプ</v>
          </cell>
          <cell r="M452" t="str">
            <v>human</v>
          </cell>
        </row>
        <row r="453">
          <cell r="A453">
            <v>452</v>
          </cell>
          <cell r="B453" t="str">
            <v>ja</v>
          </cell>
          <cell r="C453" t="str">
            <v>猛狐 エゾ</v>
          </cell>
          <cell r="D453" t="str">
            <v>イベント:オリジナル01</v>
          </cell>
          <cell r="E453" t="str">
            <v>執行者</v>
          </cell>
          <cell r="F453" t="str">
            <v>格好いい</v>
          </cell>
          <cell r="G453" t="str">
            <v>男性</v>
          </cell>
          <cell r="H453" t="str">
            <v>red</v>
          </cell>
          <cell r="I453">
            <v>4</v>
          </cell>
          <cell r="J453" t="str">
            <v>Drop2N</v>
          </cell>
          <cell r="K453" t="str">
            <v>balance</v>
          </cell>
          <cell r="L453" t="str">
            <v>バランスタイプ</v>
          </cell>
          <cell r="M453" t="str">
            <v>animal</v>
          </cell>
        </row>
        <row r="454">
          <cell r="A454">
            <v>453</v>
          </cell>
          <cell r="B454" t="str">
            <v>ja</v>
          </cell>
          <cell r="C454" t="str">
            <v>急尾の猛狐 エゾ</v>
          </cell>
          <cell r="D454" t="str">
            <v>イベント:オリジナル01</v>
          </cell>
          <cell r="E454" t="str">
            <v>執行者</v>
          </cell>
          <cell r="F454" t="str">
            <v>格好いい</v>
          </cell>
          <cell r="G454" t="str">
            <v>男性</v>
          </cell>
          <cell r="H454" t="str">
            <v>red</v>
          </cell>
          <cell r="I454">
            <v>5</v>
          </cell>
          <cell r="J454" t="str">
            <v>Drop2N</v>
          </cell>
          <cell r="K454" t="str">
            <v>balance</v>
          </cell>
          <cell r="L454" t="str">
            <v>バランスタイプ</v>
          </cell>
          <cell r="M454" t="str">
            <v>animal</v>
          </cell>
        </row>
        <row r="455">
          <cell r="A455">
            <v>454</v>
          </cell>
          <cell r="B455" t="str">
            <v>ja</v>
          </cell>
          <cell r="C455" t="str">
            <v>二闘 レッサとギガン</v>
          </cell>
          <cell r="D455" t="str">
            <v>イベント:オリジナル01</v>
          </cell>
          <cell r="E455" t="str">
            <v>執行者</v>
          </cell>
          <cell r="F455" t="str">
            <v>格好いい</v>
          </cell>
          <cell r="G455" t="str">
            <v>男性</v>
          </cell>
          <cell r="H455" t="str">
            <v>green</v>
          </cell>
          <cell r="I455">
            <v>4</v>
          </cell>
          <cell r="J455" t="str">
            <v>Drop2N</v>
          </cell>
          <cell r="K455" t="str">
            <v>hp</v>
          </cell>
          <cell r="L455" t="str">
            <v>体力タイプ</v>
          </cell>
          <cell r="M455" t="str">
            <v>human</v>
          </cell>
        </row>
        <row r="456">
          <cell r="A456">
            <v>455</v>
          </cell>
          <cell r="B456" t="str">
            <v>ja</v>
          </cell>
          <cell r="C456" t="str">
            <v>廃街の二闘 レッサとギガン</v>
          </cell>
          <cell r="D456" t="str">
            <v>イベント:オリジナル01</v>
          </cell>
          <cell r="E456" t="str">
            <v>執行者</v>
          </cell>
          <cell r="F456" t="str">
            <v>格好いい</v>
          </cell>
          <cell r="G456" t="str">
            <v>男性</v>
          </cell>
          <cell r="H456" t="str">
            <v>green</v>
          </cell>
          <cell r="I456">
            <v>5</v>
          </cell>
          <cell r="J456" t="str">
            <v>Drop2N</v>
          </cell>
          <cell r="K456" t="str">
            <v>hp</v>
          </cell>
          <cell r="L456" t="str">
            <v>体力タイプ</v>
          </cell>
          <cell r="M456" t="str">
            <v>human</v>
          </cell>
        </row>
        <row r="457">
          <cell r="A457">
            <v>456</v>
          </cell>
          <cell r="B457" t="str">
            <v>ja</v>
          </cell>
          <cell r="C457" t="str">
            <v>射絶 ユヅル</v>
          </cell>
          <cell r="D457" t="str">
            <v>イベント:オリジナル01</v>
          </cell>
          <cell r="E457" t="str">
            <v>執行者</v>
          </cell>
          <cell r="F457" t="str">
            <v>格好いい</v>
          </cell>
          <cell r="G457" t="str">
            <v>女性</v>
          </cell>
          <cell r="H457" t="str">
            <v>blue</v>
          </cell>
          <cell r="I457">
            <v>4</v>
          </cell>
          <cell r="J457" t="str">
            <v>Drop2N</v>
          </cell>
          <cell r="K457" t="str">
            <v>technical</v>
          </cell>
          <cell r="L457" t="str">
            <v>テクニカルタイプ</v>
          </cell>
          <cell r="M457" t="str">
            <v>human</v>
          </cell>
        </row>
        <row r="458">
          <cell r="A458">
            <v>457</v>
          </cell>
          <cell r="B458" t="str">
            <v>ja</v>
          </cell>
          <cell r="C458" t="str">
            <v>京速射絶 ユヅル</v>
          </cell>
          <cell r="D458" t="str">
            <v>イベント:オリジナル01</v>
          </cell>
          <cell r="E458" t="str">
            <v>執行者</v>
          </cell>
          <cell r="F458" t="str">
            <v>格好いい</v>
          </cell>
          <cell r="G458" t="str">
            <v>女性</v>
          </cell>
          <cell r="H458" t="str">
            <v>blue</v>
          </cell>
          <cell r="I458">
            <v>5</v>
          </cell>
          <cell r="J458" t="str">
            <v>Drop2N</v>
          </cell>
          <cell r="K458" t="str">
            <v>technical</v>
          </cell>
          <cell r="L458" t="str">
            <v>テクニカルタイプ</v>
          </cell>
          <cell r="M458" t="str">
            <v>human</v>
          </cell>
        </row>
        <row r="459">
          <cell r="A459">
            <v>458</v>
          </cell>
          <cell r="B459" t="str">
            <v>ja</v>
          </cell>
          <cell r="C459" t="str">
            <v>嵐龍 スガル</v>
          </cell>
          <cell r="D459" t="str">
            <v>イベント:オリジナル01</v>
          </cell>
          <cell r="E459" t="str">
            <v>執行者</v>
          </cell>
          <cell r="F459" t="str">
            <v>格好いい</v>
          </cell>
          <cell r="G459" t="str">
            <v>男性</v>
          </cell>
          <cell r="H459" t="str">
            <v>yellow</v>
          </cell>
          <cell r="I459">
            <v>4</v>
          </cell>
          <cell r="J459" t="str">
            <v>Drop2N</v>
          </cell>
          <cell r="K459" t="str">
            <v>hp</v>
          </cell>
          <cell r="L459" t="str">
            <v>体力タイプ</v>
          </cell>
          <cell r="M459" t="str">
            <v>dragon</v>
          </cell>
        </row>
        <row r="460">
          <cell r="A460">
            <v>459</v>
          </cell>
          <cell r="B460" t="str">
            <v>ja</v>
          </cell>
          <cell r="C460" t="str">
            <v>威喝の嵐龍 スガル</v>
          </cell>
          <cell r="D460" t="str">
            <v>イベント:オリジナル01</v>
          </cell>
          <cell r="E460" t="str">
            <v>執行者</v>
          </cell>
          <cell r="F460" t="str">
            <v>格好いい</v>
          </cell>
          <cell r="G460" t="str">
            <v>男性</v>
          </cell>
          <cell r="H460" t="str">
            <v>yellow</v>
          </cell>
          <cell r="I460">
            <v>5</v>
          </cell>
          <cell r="J460" t="str">
            <v>Drop2N</v>
          </cell>
          <cell r="K460" t="str">
            <v>hp</v>
          </cell>
          <cell r="L460" t="str">
            <v>体力タイプ</v>
          </cell>
          <cell r="M460" t="str">
            <v>dragon</v>
          </cell>
        </row>
        <row r="461">
          <cell r="A461">
            <v>460</v>
          </cell>
          <cell r="B461" t="str">
            <v>ja</v>
          </cell>
          <cell r="C461" t="str">
            <v>オズ</v>
          </cell>
          <cell r="D461" t="str">
            <v>イベント:ウィザード</v>
          </cell>
          <cell r="E461" t="str">
            <v>執行者</v>
          </cell>
          <cell r="F461" t="str">
            <v>格好いい</v>
          </cell>
          <cell r="G461" t="str">
            <v>男性</v>
          </cell>
          <cell r="H461" t="str">
            <v>green</v>
          </cell>
          <cell r="I461">
            <v>4</v>
          </cell>
          <cell r="J461" t="str">
            <v>DropWizS</v>
          </cell>
          <cell r="K461" t="str">
            <v>technical</v>
          </cell>
          <cell r="L461" t="str">
            <v>テクニカルタイプ</v>
          </cell>
          <cell r="M461" t="str">
            <v>human</v>
          </cell>
        </row>
        <row r="462">
          <cell r="A462">
            <v>461</v>
          </cell>
          <cell r="B462" t="str">
            <v>ja</v>
          </cell>
          <cell r="C462" t="str">
            <v>大いなる虚像 オズ</v>
          </cell>
          <cell r="D462" t="str">
            <v>イベント:ウィザード</v>
          </cell>
          <cell r="E462" t="str">
            <v>執行者</v>
          </cell>
          <cell r="F462" t="str">
            <v>格好いい</v>
          </cell>
          <cell r="G462" t="str">
            <v>男性</v>
          </cell>
          <cell r="H462" t="str">
            <v>green</v>
          </cell>
          <cell r="I462">
            <v>5</v>
          </cell>
          <cell r="J462" t="str">
            <v>DropWizS</v>
          </cell>
          <cell r="K462" t="str">
            <v>technical</v>
          </cell>
          <cell r="L462" t="str">
            <v>テクニカルタイプ</v>
          </cell>
          <cell r="M462" t="str">
            <v>human</v>
          </cell>
        </row>
        <row r="463">
          <cell r="A463">
            <v>462</v>
          </cell>
          <cell r="B463" t="str">
            <v>ja</v>
          </cell>
          <cell r="C463" t="str">
            <v>ガウェイン</v>
          </cell>
          <cell r="D463" t="str">
            <v>ガチャ:円卓01</v>
          </cell>
          <cell r="E463" t="str">
            <v>執行者</v>
          </cell>
          <cell r="F463" t="str">
            <v>格好いい</v>
          </cell>
          <cell r="G463" t="str">
            <v>男性</v>
          </cell>
          <cell r="H463" t="str">
            <v>red</v>
          </cell>
          <cell r="I463">
            <v>3</v>
          </cell>
          <cell r="J463" t="str">
            <v>PremiumS</v>
          </cell>
          <cell r="K463" t="str">
            <v>hp</v>
          </cell>
          <cell r="L463" t="str">
            <v>体力タイプ</v>
          </cell>
          <cell r="M463" t="str">
            <v>human</v>
          </cell>
        </row>
        <row r="464">
          <cell r="A464">
            <v>463</v>
          </cell>
          <cell r="B464" t="str">
            <v>ja</v>
          </cell>
          <cell r="C464" t="str">
            <v>燻銀 ガウェイン</v>
          </cell>
          <cell r="D464" t="str">
            <v>ガチャ:円卓01</v>
          </cell>
          <cell r="E464" t="str">
            <v>執行者</v>
          </cell>
          <cell r="F464" t="str">
            <v>格好いい</v>
          </cell>
          <cell r="G464" t="str">
            <v>男性</v>
          </cell>
          <cell r="H464" t="str">
            <v>red</v>
          </cell>
          <cell r="I464">
            <v>4</v>
          </cell>
          <cell r="J464" t="str">
            <v>PremiumS</v>
          </cell>
          <cell r="K464" t="str">
            <v>hp</v>
          </cell>
          <cell r="L464" t="str">
            <v>体力タイプ</v>
          </cell>
          <cell r="M464" t="str">
            <v>human</v>
          </cell>
        </row>
        <row r="465">
          <cell r="A465">
            <v>464</v>
          </cell>
          <cell r="B465" t="str">
            <v>ja</v>
          </cell>
          <cell r="C465" t="str">
            <v>円熟の弾導 ガウェイン</v>
          </cell>
          <cell r="D465" t="str">
            <v>ガチャ:円卓01</v>
          </cell>
          <cell r="E465" t="str">
            <v>執行者</v>
          </cell>
          <cell r="F465" t="str">
            <v>格好いい</v>
          </cell>
          <cell r="G465" t="str">
            <v>男性</v>
          </cell>
          <cell r="H465" t="str">
            <v>red</v>
          </cell>
          <cell r="I465">
            <v>5</v>
          </cell>
          <cell r="J465" t="str">
            <v>PremiumS</v>
          </cell>
          <cell r="K465" t="str">
            <v>hp</v>
          </cell>
          <cell r="L465" t="str">
            <v>体力タイプ</v>
          </cell>
          <cell r="M465" t="str">
            <v>human</v>
          </cell>
        </row>
        <row r="466">
          <cell r="A466">
            <v>465</v>
          </cell>
          <cell r="B466" t="str">
            <v>ja</v>
          </cell>
          <cell r="C466" t="str">
            <v>真撃 ランスロット</v>
          </cell>
          <cell r="D466" t="str">
            <v>ガチャ:円卓01</v>
          </cell>
          <cell r="E466" t="str">
            <v>執行者</v>
          </cell>
          <cell r="F466" t="str">
            <v>格好いい</v>
          </cell>
          <cell r="G466" t="str">
            <v>男性</v>
          </cell>
          <cell r="H466" t="str">
            <v>green</v>
          </cell>
          <cell r="I466">
            <v>4</v>
          </cell>
          <cell r="J466" t="str">
            <v>PremiumSS</v>
          </cell>
          <cell r="K466" t="str">
            <v>balance</v>
          </cell>
          <cell r="L466" t="str">
            <v>バランスタイプ</v>
          </cell>
          <cell r="M466" t="str">
            <v>human</v>
          </cell>
        </row>
        <row r="467">
          <cell r="A467">
            <v>466</v>
          </cell>
          <cell r="B467" t="str">
            <v>ja</v>
          </cell>
          <cell r="C467" t="str">
            <v>真断の勇覇 ランスロット</v>
          </cell>
          <cell r="D467" t="str">
            <v>ガチャ:円卓01</v>
          </cell>
          <cell r="E467" t="str">
            <v>執行者</v>
          </cell>
          <cell r="F467" t="str">
            <v>格好いい</v>
          </cell>
          <cell r="G467" t="str">
            <v>男性</v>
          </cell>
          <cell r="H467" t="str">
            <v>green</v>
          </cell>
          <cell r="I467">
            <v>5</v>
          </cell>
          <cell r="J467" t="str">
            <v>PremiumSS</v>
          </cell>
          <cell r="K467" t="str">
            <v>balance</v>
          </cell>
          <cell r="L467" t="str">
            <v>バランスタイプ</v>
          </cell>
          <cell r="M467" t="str">
            <v>human</v>
          </cell>
        </row>
        <row r="468">
          <cell r="A468">
            <v>467</v>
          </cell>
          <cell r="B468" t="str">
            <v>ja</v>
          </cell>
          <cell r="C468" t="str">
            <v>報復 モルドレッド</v>
          </cell>
          <cell r="D468" t="str">
            <v>ガチャ:円卓01</v>
          </cell>
          <cell r="E468" t="str">
            <v>執行者</v>
          </cell>
          <cell r="F468" t="str">
            <v>格好いい</v>
          </cell>
          <cell r="G468" t="str">
            <v>女性</v>
          </cell>
          <cell r="H468" t="str">
            <v>blue</v>
          </cell>
          <cell r="I468">
            <v>4</v>
          </cell>
          <cell r="J468" t="str">
            <v>PremiumSS</v>
          </cell>
          <cell r="K468" t="str">
            <v>technical</v>
          </cell>
          <cell r="L468" t="str">
            <v>テクニカルタイプ</v>
          </cell>
          <cell r="M468" t="str">
            <v>human</v>
          </cell>
        </row>
        <row r="469">
          <cell r="A469">
            <v>468</v>
          </cell>
          <cell r="B469" t="str">
            <v>ja</v>
          </cell>
          <cell r="C469" t="str">
            <v>憎愛の尖鋒 モルドレッド</v>
          </cell>
          <cell r="D469" t="str">
            <v>ガチャ:円卓01</v>
          </cell>
          <cell r="E469" t="str">
            <v>執行者</v>
          </cell>
          <cell r="F469" t="str">
            <v>格好いい</v>
          </cell>
          <cell r="G469" t="str">
            <v>女性</v>
          </cell>
          <cell r="H469" t="str">
            <v>blue</v>
          </cell>
          <cell r="I469">
            <v>5</v>
          </cell>
          <cell r="J469" t="str">
            <v>PremiumSS</v>
          </cell>
          <cell r="K469" t="str">
            <v>technical</v>
          </cell>
          <cell r="L469" t="str">
            <v>テクニカルタイプ</v>
          </cell>
          <cell r="M469" t="str">
            <v>human</v>
          </cell>
        </row>
        <row r="470">
          <cell r="A470">
            <v>469</v>
          </cell>
          <cell r="B470" t="str">
            <v>ja</v>
          </cell>
          <cell r="C470" t="str">
            <v>トリスタン</v>
          </cell>
          <cell r="D470" t="str">
            <v>ガチャ:円卓01</v>
          </cell>
          <cell r="E470" t="str">
            <v>執行者</v>
          </cell>
          <cell r="F470" t="str">
            <v>格好いい</v>
          </cell>
          <cell r="G470" t="str">
            <v>男性</v>
          </cell>
          <cell r="H470" t="str">
            <v>yellow</v>
          </cell>
          <cell r="I470">
            <v>3</v>
          </cell>
          <cell r="J470" t="str">
            <v>PremiumS</v>
          </cell>
          <cell r="K470" t="str">
            <v>attack</v>
          </cell>
          <cell r="L470" t="str">
            <v>攻撃タイプ</v>
          </cell>
          <cell r="M470" t="str">
            <v>human</v>
          </cell>
        </row>
        <row r="471">
          <cell r="A471">
            <v>470</v>
          </cell>
          <cell r="B471" t="str">
            <v>ja</v>
          </cell>
          <cell r="C471" t="str">
            <v>純心 トリスタン</v>
          </cell>
          <cell r="D471" t="str">
            <v>ガチャ:円卓01</v>
          </cell>
          <cell r="E471" t="str">
            <v>執行者</v>
          </cell>
          <cell r="F471" t="str">
            <v>格好いい</v>
          </cell>
          <cell r="G471" t="str">
            <v>男性</v>
          </cell>
          <cell r="H471" t="str">
            <v>yellow</v>
          </cell>
          <cell r="I471">
            <v>4</v>
          </cell>
          <cell r="J471" t="str">
            <v>PremiumS</v>
          </cell>
          <cell r="K471" t="str">
            <v>attack</v>
          </cell>
          <cell r="L471" t="str">
            <v>攻撃タイプ</v>
          </cell>
          <cell r="M471" t="str">
            <v>human</v>
          </cell>
        </row>
        <row r="472">
          <cell r="A472">
            <v>471</v>
          </cell>
          <cell r="B472" t="str">
            <v>ja</v>
          </cell>
          <cell r="C472" t="str">
            <v>不可避の爆激 トリスタン</v>
          </cell>
          <cell r="D472" t="str">
            <v>ガチャ:円卓01</v>
          </cell>
          <cell r="E472" t="str">
            <v>執行者</v>
          </cell>
          <cell r="F472" t="str">
            <v>格好いい</v>
          </cell>
          <cell r="G472" t="str">
            <v>男性</v>
          </cell>
          <cell r="H472" t="str">
            <v>yellow</v>
          </cell>
          <cell r="I472">
            <v>5</v>
          </cell>
          <cell r="J472" t="str">
            <v>PremiumS</v>
          </cell>
          <cell r="K472" t="str">
            <v>attack</v>
          </cell>
          <cell r="L472" t="str">
            <v>攻撃タイプ</v>
          </cell>
          <cell r="M472" t="str">
            <v>human</v>
          </cell>
        </row>
        <row r="473">
          <cell r="A473">
            <v>472</v>
          </cell>
          <cell r="B473" t="str">
            <v>ja</v>
          </cell>
          <cell r="C473" t="str">
            <v>アーサー</v>
          </cell>
          <cell r="D473" t="str">
            <v>イベント:ウィザード</v>
          </cell>
          <cell r="E473" t="str">
            <v>執行者</v>
          </cell>
          <cell r="F473" t="str">
            <v>格好いい</v>
          </cell>
          <cell r="G473" t="str">
            <v>男性</v>
          </cell>
          <cell r="H473" t="str">
            <v>red</v>
          </cell>
          <cell r="I473">
            <v>4</v>
          </cell>
          <cell r="J473" t="str">
            <v>DropWizS</v>
          </cell>
          <cell r="K473" t="str">
            <v>balance</v>
          </cell>
          <cell r="L473" t="str">
            <v>バランスタイプ</v>
          </cell>
          <cell r="M473" t="str">
            <v>human</v>
          </cell>
        </row>
        <row r="474">
          <cell r="A474">
            <v>473</v>
          </cell>
          <cell r="B474" t="str">
            <v>ja</v>
          </cell>
          <cell r="C474" t="str">
            <v>凶堅なる正義 アーサー</v>
          </cell>
          <cell r="D474" t="str">
            <v>イベント:ウィザード</v>
          </cell>
          <cell r="E474" t="str">
            <v>執行者</v>
          </cell>
          <cell r="F474" t="str">
            <v>格好いい</v>
          </cell>
          <cell r="G474" t="str">
            <v>男性</v>
          </cell>
          <cell r="H474" t="str">
            <v>red</v>
          </cell>
          <cell r="I474">
            <v>5</v>
          </cell>
          <cell r="J474" t="str">
            <v>DropWizS</v>
          </cell>
          <cell r="K474" t="str">
            <v>balance</v>
          </cell>
          <cell r="L474" t="str">
            <v>バランスタイプ</v>
          </cell>
          <cell r="M474" t="str">
            <v>human</v>
          </cell>
        </row>
        <row r="475">
          <cell r="A475">
            <v>474</v>
          </cell>
          <cell r="B475" t="str">
            <v>ja</v>
          </cell>
          <cell r="C475" t="str">
            <v>キング・ドライグ</v>
          </cell>
          <cell r="D475" t="str">
            <v>ガチャ:デッドマンズ</v>
          </cell>
          <cell r="E475" t="str">
            <v>執行者</v>
          </cell>
          <cell r="F475" t="str">
            <v>格好いい</v>
          </cell>
          <cell r="G475" t="str">
            <v>不明</v>
          </cell>
          <cell r="H475" t="str">
            <v>red</v>
          </cell>
          <cell r="I475">
            <v>4</v>
          </cell>
          <cell r="J475" t="str">
            <v>PremiumSS</v>
          </cell>
          <cell r="K475" t="str">
            <v>attack</v>
          </cell>
          <cell r="L475" t="str">
            <v>攻撃タイプ</v>
          </cell>
          <cell r="M475" t="str">
            <v>dragon</v>
          </cell>
        </row>
        <row r="476">
          <cell r="A476">
            <v>475</v>
          </cell>
          <cell r="B476" t="str">
            <v>ja</v>
          </cell>
          <cell r="C476" t="str">
            <v>緋王 キング・ドライグ</v>
          </cell>
          <cell r="D476" t="str">
            <v>ガチャ:デッドマンズ</v>
          </cell>
          <cell r="E476" t="str">
            <v>執行者</v>
          </cell>
          <cell r="F476" t="str">
            <v>格好いい</v>
          </cell>
          <cell r="G476" t="str">
            <v>不明</v>
          </cell>
          <cell r="H476" t="str">
            <v>red</v>
          </cell>
          <cell r="I476">
            <v>5</v>
          </cell>
          <cell r="J476" t="str">
            <v>PremiumSS</v>
          </cell>
          <cell r="K476" t="str">
            <v>attack</v>
          </cell>
          <cell r="L476" t="str">
            <v>攻撃タイプ</v>
          </cell>
          <cell r="M476" t="str">
            <v>dragon</v>
          </cell>
        </row>
        <row r="477">
          <cell r="A477">
            <v>476</v>
          </cell>
          <cell r="B477" t="str">
            <v>ja</v>
          </cell>
          <cell r="C477" t="str">
            <v>ファータ</v>
          </cell>
          <cell r="D477" t="str">
            <v>ガチャ:デッドマンズ</v>
          </cell>
          <cell r="E477" t="str">
            <v>執行者</v>
          </cell>
          <cell r="F477" t="str">
            <v>格好いい</v>
          </cell>
          <cell r="G477" t="str">
            <v>女性</v>
          </cell>
          <cell r="H477" t="str">
            <v>green</v>
          </cell>
          <cell r="I477">
            <v>3</v>
          </cell>
          <cell r="J477" t="str">
            <v>PremiumS</v>
          </cell>
          <cell r="K477" t="str">
            <v>heal</v>
          </cell>
          <cell r="L477" t="str">
            <v>回復タイプ</v>
          </cell>
          <cell r="M477" t="str">
            <v>unknown</v>
          </cell>
        </row>
        <row r="478">
          <cell r="A478">
            <v>477</v>
          </cell>
          <cell r="B478" t="str">
            <v>ja</v>
          </cell>
          <cell r="C478" t="str">
            <v>愛羽妖精 ファータ</v>
          </cell>
          <cell r="D478" t="str">
            <v>ガチャ:デッドマンズ</v>
          </cell>
          <cell r="E478" t="str">
            <v>執行者</v>
          </cell>
          <cell r="F478" t="str">
            <v>格好いい</v>
          </cell>
          <cell r="G478" t="str">
            <v>女性</v>
          </cell>
          <cell r="H478" t="str">
            <v>green</v>
          </cell>
          <cell r="I478">
            <v>4</v>
          </cell>
          <cell r="J478" t="str">
            <v>PremiumS</v>
          </cell>
          <cell r="K478" t="str">
            <v>heal</v>
          </cell>
          <cell r="L478" t="str">
            <v>回復タイプ</v>
          </cell>
          <cell r="M478" t="str">
            <v>unknown</v>
          </cell>
        </row>
        <row r="479">
          <cell r="A479">
            <v>478</v>
          </cell>
          <cell r="B479" t="str">
            <v>ja</v>
          </cell>
          <cell r="C479" t="str">
            <v>時計仕掛けの愛羽妖精 ファータ</v>
          </cell>
          <cell r="D479" t="str">
            <v>ガチャ:デッドマンズ</v>
          </cell>
          <cell r="E479" t="str">
            <v>執行者</v>
          </cell>
          <cell r="F479" t="str">
            <v>格好いい</v>
          </cell>
          <cell r="G479" t="str">
            <v>女性</v>
          </cell>
          <cell r="H479" t="str">
            <v>green</v>
          </cell>
          <cell r="I479">
            <v>5</v>
          </cell>
          <cell r="J479" t="str">
            <v>PremiumS</v>
          </cell>
          <cell r="K479" t="str">
            <v>heal</v>
          </cell>
          <cell r="L479" t="str">
            <v>回復タイプ</v>
          </cell>
          <cell r="M479" t="str">
            <v>unknown</v>
          </cell>
        </row>
        <row r="480">
          <cell r="A480">
            <v>479</v>
          </cell>
          <cell r="B480" t="str">
            <v>ja</v>
          </cell>
          <cell r="C480" t="str">
            <v>フール</v>
          </cell>
          <cell r="D480" t="str">
            <v>ガチャ:デッドマンズ</v>
          </cell>
          <cell r="E480" t="str">
            <v>執行者</v>
          </cell>
          <cell r="F480" t="str">
            <v>格好いい</v>
          </cell>
          <cell r="G480" t="str">
            <v>男性</v>
          </cell>
          <cell r="H480" t="str">
            <v>blue</v>
          </cell>
          <cell r="I480">
            <v>4</v>
          </cell>
          <cell r="J480" t="str">
            <v>PremiumSS</v>
          </cell>
          <cell r="K480" t="str">
            <v>technical</v>
          </cell>
          <cell r="L480" t="str">
            <v>テクニカルタイプ</v>
          </cell>
          <cell r="M480" t="str">
            <v>god</v>
          </cell>
        </row>
        <row r="481">
          <cell r="A481">
            <v>480</v>
          </cell>
          <cell r="B481" t="str">
            <v>ja</v>
          </cell>
          <cell r="C481" t="str">
            <v>夢幻の愚者フール</v>
          </cell>
          <cell r="D481" t="str">
            <v>ガチャ:デッドマンズ</v>
          </cell>
          <cell r="E481" t="str">
            <v>執行者</v>
          </cell>
          <cell r="F481" t="str">
            <v>格好いい</v>
          </cell>
          <cell r="G481" t="str">
            <v>男性</v>
          </cell>
          <cell r="H481" t="str">
            <v>blue</v>
          </cell>
          <cell r="I481">
            <v>5</v>
          </cell>
          <cell r="J481" t="str">
            <v>PremiumSS</v>
          </cell>
          <cell r="K481" t="str">
            <v>technical</v>
          </cell>
          <cell r="L481" t="str">
            <v>テクニカルタイプ</v>
          </cell>
          <cell r="M481" t="str">
            <v>god</v>
          </cell>
        </row>
        <row r="482">
          <cell r="A482">
            <v>481</v>
          </cell>
          <cell r="B482" t="str">
            <v>ja</v>
          </cell>
          <cell r="C482" t="str">
            <v>沢庵宗彭</v>
          </cell>
          <cell r="D482" t="str">
            <v>ガチャ:デッドマンズ</v>
          </cell>
          <cell r="E482" t="str">
            <v>執行者</v>
          </cell>
          <cell r="F482" t="str">
            <v>格好いい</v>
          </cell>
          <cell r="G482" t="str">
            <v>男性</v>
          </cell>
          <cell r="H482" t="str">
            <v>yellow</v>
          </cell>
          <cell r="I482">
            <v>3</v>
          </cell>
          <cell r="J482" t="str">
            <v>PremiumS</v>
          </cell>
          <cell r="K482" t="str">
            <v>hp</v>
          </cell>
          <cell r="L482" t="str">
            <v>体力タイプ</v>
          </cell>
          <cell r="M482" t="str">
            <v>human</v>
          </cell>
        </row>
        <row r="483">
          <cell r="A483">
            <v>482</v>
          </cell>
          <cell r="B483" t="str">
            <v>ja</v>
          </cell>
          <cell r="C483" t="str">
            <v>魁僧 沢庵宗彭</v>
          </cell>
          <cell r="D483" t="str">
            <v>ガチャ:デッドマンズ</v>
          </cell>
          <cell r="E483" t="str">
            <v>執行者</v>
          </cell>
          <cell r="F483" t="str">
            <v>格好いい</v>
          </cell>
          <cell r="G483" t="str">
            <v>男性</v>
          </cell>
          <cell r="H483" t="str">
            <v>yellow</v>
          </cell>
          <cell r="I483">
            <v>4</v>
          </cell>
          <cell r="J483" t="str">
            <v>PremiumS</v>
          </cell>
          <cell r="K483" t="str">
            <v>hp</v>
          </cell>
          <cell r="L483" t="str">
            <v>体力タイプ</v>
          </cell>
          <cell r="M483" t="str">
            <v>human</v>
          </cell>
        </row>
        <row r="484">
          <cell r="A484">
            <v>483</v>
          </cell>
          <cell r="B484" t="str">
            <v>ja</v>
          </cell>
          <cell r="C484" t="str">
            <v xml:space="preserve">命経死遂 沢庵宗彭 </v>
          </cell>
          <cell r="D484" t="str">
            <v>ガチャ:デッドマンズ</v>
          </cell>
          <cell r="E484" t="str">
            <v>執行者</v>
          </cell>
          <cell r="F484" t="str">
            <v>格好いい</v>
          </cell>
          <cell r="G484" t="str">
            <v>男性</v>
          </cell>
          <cell r="H484" t="str">
            <v>yellow</v>
          </cell>
          <cell r="I484">
            <v>5</v>
          </cell>
          <cell r="J484" t="str">
            <v>PremiumS</v>
          </cell>
          <cell r="K484" t="str">
            <v>hp</v>
          </cell>
          <cell r="L484" t="str">
            <v>体力タイプ</v>
          </cell>
          <cell r="M484" t="str">
            <v>human</v>
          </cell>
        </row>
        <row r="485">
          <cell r="A485">
            <v>484</v>
          </cell>
          <cell r="B485" t="str">
            <v>ja</v>
          </cell>
          <cell r="C485" t="str">
            <v>ラグランジュ</v>
          </cell>
          <cell r="D485" t="str">
            <v>ガチャ:フィーバーフェス02</v>
          </cell>
          <cell r="E485" t="str">
            <v>執行者</v>
          </cell>
          <cell r="F485" t="str">
            <v>格好いい</v>
          </cell>
          <cell r="G485" t="str">
            <v>女性</v>
          </cell>
          <cell r="H485" t="str">
            <v>red</v>
          </cell>
          <cell r="I485">
            <v>4</v>
          </cell>
          <cell r="J485" t="str">
            <v>PremiumSSS</v>
          </cell>
          <cell r="K485" t="str">
            <v>technical</v>
          </cell>
          <cell r="L485" t="str">
            <v>テクニカルタイプ</v>
          </cell>
          <cell r="M485" t="str">
            <v>human</v>
          </cell>
        </row>
        <row r="486">
          <cell r="A486">
            <v>485</v>
          </cell>
          <cell r="B486" t="str">
            <v>ja</v>
          </cell>
          <cell r="C486" t="str">
            <v>超越自我 ラグランジュ</v>
          </cell>
          <cell r="D486" t="str">
            <v>ガチャ:フィーバーフェス02</v>
          </cell>
          <cell r="E486" t="str">
            <v>執行者</v>
          </cell>
          <cell r="F486" t="str">
            <v>格好いい</v>
          </cell>
          <cell r="G486" t="str">
            <v>女性</v>
          </cell>
          <cell r="H486" t="str">
            <v>red</v>
          </cell>
          <cell r="I486">
            <v>5</v>
          </cell>
          <cell r="J486" t="str">
            <v>PremiumSSS</v>
          </cell>
          <cell r="K486" t="str">
            <v>technical</v>
          </cell>
          <cell r="L486" t="str">
            <v>テクニカルタイプ</v>
          </cell>
          <cell r="M486" t="str">
            <v>human</v>
          </cell>
        </row>
        <row r="487">
          <cell r="A487">
            <v>486</v>
          </cell>
          <cell r="B487" t="str">
            <v>ja</v>
          </cell>
          <cell r="C487" t="str">
            <v>重なる世解 シュレディンガー</v>
          </cell>
          <cell r="D487" t="str">
            <v>ガチャ:赤フェス01</v>
          </cell>
          <cell r="E487" t="str">
            <v>執行者</v>
          </cell>
          <cell r="F487" t="str">
            <v>格好いい</v>
          </cell>
          <cell r="G487" t="str">
            <v>男性</v>
          </cell>
          <cell r="H487" t="str">
            <v>red</v>
          </cell>
          <cell r="I487">
            <v>5</v>
          </cell>
          <cell r="J487" t="str">
            <v>PremiumSSS</v>
          </cell>
          <cell r="K487" t="str">
            <v>balance</v>
          </cell>
          <cell r="L487" t="str">
            <v>バランスタイプ</v>
          </cell>
          <cell r="M487" t="str">
            <v>animal</v>
          </cell>
        </row>
        <row r="488">
          <cell r="A488">
            <v>487</v>
          </cell>
          <cell r="B488" t="str">
            <v>ja</v>
          </cell>
          <cell r="C488" t="str">
            <v>暴創の造物 チューリング</v>
          </cell>
          <cell r="D488" t="str">
            <v>ガチャ:緑フェス01</v>
          </cell>
          <cell r="E488" t="str">
            <v>執行者</v>
          </cell>
          <cell r="F488" t="str">
            <v>格好いい</v>
          </cell>
          <cell r="G488" t="str">
            <v>女性</v>
          </cell>
          <cell r="H488" t="str">
            <v>green</v>
          </cell>
          <cell r="I488">
            <v>5</v>
          </cell>
          <cell r="J488" t="str">
            <v>PremiumSSS</v>
          </cell>
          <cell r="K488" t="str">
            <v>hp</v>
          </cell>
          <cell r="L488" t="str">
            <v>体力タイプ</v>
          </cell>
          <cell r="M488" t="str">
            <v>human</v>
          </cell>
        </row>
        <row r="489">
          <cell r="A489">
            <v>488</v>
          </cell>
          <cell r="B489" t="str">
            <v>ja</v>
          </cell>
          <cell r="C489" t="str">
            <v>直観の異論 ヘンペル</v>
          </cell>
          <cell r="D489" t="str">
            <v>ガチャ:青フェス01</v>
          </cell>
          <cell r="E489" t="str">
            <v>執行者</v>
          </cell>
          <cell r="F489" t="str">
            <v>格好いい</v>
          </cell>
          <cell r="G489" t="str">
            <v>男性</v>
          </cell>
          <cell r="H489" t="str">
            <v>blue</v>
          </cell>
          <cell r="I489">
            <v>5</v>
          </cell>
          <cell r="J489" t="str">
            <v>PremiumSSS</v>
          </cell>
          <cell r="K489" t="str">
            <v>technical</v>
          </cell>
          <cell r="L489" t="str">
            <v>テクニカルタイプ</v>
          </cell>
          <cell r="M489" t="str">
            <v>human</v>
          </cell>
        </row>
        <row r="490">
          <cell r="A490">
            <v>489</v>
          </cell>
          <cell r="B490" t="str">
            <v>ja</v>
          </cell>
          <cell r="C490" t="str">
            <v>宇宙の拡超 ハップル</v>
          </cell>
          <cell r="D490" t="str">
            <v>ガチャ:黄フェス01</v>
          </cell>
          <cell r="E490" t="str">
            <v>執行者</v>
          </cell>
          <cell r="F490" t="str">
            <v>格好いい</v>
          </cell>
          <cell r="G490" t="str">
            <v>女性</v>
          </cell>
          <cell r="H490" t="str">
            <v>yellow</v>
          </cell>
          <cell r="I490">
            <v>5</v>
          </cell>
          <cell r="J490" t="str">
            <v>PremiumSSS</v>
          </cell>
          <cell r="K490" t="str">
            <v>technical</v>
          </cell>
          <cell r="L490" t="str">
            <v>テクニカルタイプ</v>
          </cell>
          <cell r="M490" t="str">
            <v>human</v>
          </cell>
        </row>
        <row r="491">
          <cell r="A491">
            <v>490</v>
          </cell>
          <cell r="B491" t="str">
            <v>ja</v>
          </cell>
          <cell r="C491" t="str">
            <v>グリム</v>
          </cell>
          <cell r="D491" t="str">
            <v>イベント:ウィザード</v>
          </cell>
          <cell r="E491" t="str">
            <v>執行者</v>
          </cell>
          <cell r="F491" t="str">
            <v>格好いい</v>
          </cell>
          <cell r="G491" t="str">
            <v>男性</v>
          </cell>
          <cell r="H491" t="str">
            <v>green</v>
          </cell>
          <cell r="I491">
            <v>4</v>
          </cell>
          <cell r="J491" t="str">
            <v>DropWizS</v>
          </cell>
          <cell r="K491" t="str">
            <v>balance</v>
          </cell>
          <cell r="L491" t="str">
            <v>バランスタイプ</v>
          </cell>
          <cell r="M491" t="str">
            <v>human</v>
          </cell>
        </row>
        <row r="492">
          <cell r="A492">
            <v>491</v>
          </cell>
          <cell r="B492" t="str">
            <v>ja</v>
          </cell>
          <cell r="C492" t="str">
            <v>収魂の群影 グリム</v>
          </cell>
          <cell r="D492" t="str">
            <v>イベント:ウィザード</v>
          </cell>
          <cell r="E492" t="str">
            <v>執行者</v>
          </cell>
          <cell r="F492" t="str">
            <v>格好いい</v>
          </cell>
          <cell r="G492" t="str">
            <v>男性</v>
          </cell>
          <cell r="H492" t="str">
            <v>green</v>
          </cell>
          <cell r="I492">
            <v>5</v>
          </cell>
          <cell r="J492" t="str">
            <v>DropWizS</v>
          </cell>
          <cell r="K492" t="str">
            <v>balance</v>
          </cell>
          <cell r="L492" t="str">
            <v>バランスタイプ</v>
          </cell>
          <cell r="M492" t="str">
            <v>human</v>
          </cell>
        </row>
        <row r="493">
          <cell r="A493">
            <v>492</v>
          </cell>
          <cell r="B493" t="str">
            <v>ja</v>
          </cell>
          <cell r="C493" t="str">
            <v>ブートレグ・ペロー</v>
          </cell>
          <cell r="D493" t="str">
            <v>ガチャ:アリスの絵本02</v>
          </cell>
          <cell r="E493" t="str">
            <v>執行者</v>
          </cell>
          <cell r="F493" t="str">
            <v>格好いい</v>
          </cell>
          <cell r="G493" t="str">
            <v>不明</v>
          </cell>
          <cell r="H493" t="str">
            <v>red</v>
          </cell>
          <cell r="I493">
            <v>4</v>
          </cell>
          <cell r="J493" t="str">
            <v>PremiumSS</v>
          </cell>
          <cell r="K493" t="str">
            <v>hp</v>
          </cell>
          <cell r="L493" t="str">
            <v>体力タイプ</v>
          </cell>
          <cell r="M493" t="str">
            <v>animal</v>
          </cell>
        </row>
        <row r="494">
          <cell r="A494">
            <v>493</v>
          </cell>
          <cell r="B494" t="str">
            <v>ja</v>
          </cell>
          <cell r="C494" t="str">
            <v>跋扈の機脚 ブートレグ・ペロー</v>
          </cell>
          <cell r="D494" t="str">
            <v>ガチャ:アリスの絵本02</v>
          </cell>
          <cell r="E494" t="str">
            <v>執行者</v>
          </cell>
          <cell r="F494" t="str">
            <v>格好いい</v>
          </cell>
          <cell r="G494" t="str">
            <v>不明</v>
          </cell>
          <cell r="H494" t="str">
            <v>red</v>
          </cell>
          <cell r="I494">
            <v>5</v>
          </cell>
          <cell r="J494" t="str">
            <v>PremiumSS</v>
          </cell>
          <cell r="K494" t="str">
            <v>hp</v>
          </cell>
          <cell r="L494" t="str">
            <v>体力タイプ</v>
          </cell>
          <cell r="M494" t="str">
            <v>animal</v>
          </cell>
        </row>
        <row r="495">
          <cell r="A495">
            <v>494</v>
          </cell>
          <cell r="B495" t="str">
            <v>ja</v>
          </cell>
          <cell r="C495" t="str">
            <v>ハーメルン</v>
          </cell>
          <cell r="D495" t="str">
            <v>ガチャ:アリスの絵本02</v>
          </cell>
          <cell r="E495" t="str">
            <v>執行者</v>
          </cell>
          <cell r="F495" t="str">
            <v>格好いい</v>
          </cell>
          <cell r="G495" t="str">
            <v>男性</v>
          </cell>
          <cell r="H495" t="str">
            <v>green</v>
          </cell>
          <cell r="I495">
            <v>4</v>
          </cell>
          <cell r="J495" t="str">
            <v>PremiumSS</v>
          </cell>
          <cell r="K495" t="str">
            <v>technical</v>
          </cell>
          <cell r="L495" t="str">
            <v>テクニカルタイプ</v>
          </cell>
          <cell r="M495" t="str">
            <v>human</v>
          </cell>
        </row>
        <row r="496">
          <cell r="A496">
            <v>495</v>
          </cell>
          <cell r="B496" t="str">
            <v>ja</v>
          </cell>
          <cell r="C496" t="str">
            <v>鼠災呼ぶ笛音 ハーメルン</v>
          </cell>
          <cell r="D496" t="str">
            <v>ガチャ:アリスの絵本02</v>
          </cell>
          <cell r="E496" t="str">
            <v>執行者</v>
          </cell>
          <cell r="F496" t="str">
            <v>格好いい</v>
          </cell>
          <cell r="G496" t="str">
            <v>男性</v>
          </cell>
          <cell r="H496" t="str">
            <v>green</v>
          </cell>
          <cell r="I496">
            <v>5</v>
          </cell>
          <cell r="J496" t="str">
            <v>PremiumSS</v>
          </cell>
          <cell r="K496" t="str">
            <v>technical</v>
          </cell>
          <cell r="L496" t="str">
            <v>テクニカルタイプ</v>
          </cell>
          <cell r="M496" t="str">
            <v>human</v>
          </cell>
        </row>
        <row r="497">
          <cell r="A497">
            <v>496</v>
          </cell>
          <cell r="B497" t="str">
            <v>ja</v>
          </cell>
          <cell r="C497" t="str">
            <v>エスタブ</v>
          </cell>
          <cell r="D497" t="str">
            <v>ガチャ:アリスの絵本02</v>
          </cell>
          <cell r="E497" t="str">
            <v>執行者</v>
          </cell>
          <cell r="F497" t="str">
            <v>格好いい</v>
          </cell>
          <cell r="G497" t="str">
            <v>男性</v>
          </cell>
          <cell r="H497" t="str">
            <v>blue</v>
          </cell>
          <cell r="I497">
            <v>3</v>
          </cell>
          <cell r="J497" t="str">
            <v>PremiumS</v>
          </cell>
          <cell r="K497" t="str">
            <v>attack</v>
          </cell>
          <cell r="L497" t="str">
            <v>攻撃タイプ</v>
          </cell>
          <cell r="M497" t="str">
            <v>human</v>
          </cell>
        </row>
        <row r="498">
          <cell r="A498">
            <v>497</v>
          </cell>
          <cell r="B498" t="str">
            <v>ja</v>
          </cell>
          <cell r="C498" t="str">
            <v>偏愛の野獣 エスタブ</v>
          </cell>
          <cell r="D498" t="str">
            <v>ガチャ:アリスの絵本02</v>
          </cell>
          <cell r="E498" t="str">
            <v>執行者</v>
          </cell>
          <cell r="F498" t="str">
            <v>格好いい</v>
          </cell>
          <cell r="G498" t="str">
            <v>男性</v>
          </cell>
          <cell r="H498" t="str">
            <v>blue</v>
          </cell>
          <cell r="I498">
            <v>4</v>
          </cell>
          <cell r="J498" t="str">
            <v>PremiumS</v>
          </cell>
          <cell r="K498" t="str">
            <v>attack</v>
          </cell>
          <cell r="L498" t="str">
            <v>攻撃タイプ</v>
          </cell>
          <cell r="M498" t="str">
            <v>human</v>
          </cell>
        </row>
        <row r="499">
          <cell r="A499">
            <v>498</v>
          </cell>
          <cell r="B499" t="str">
            <v>ja</v>
          </cell>
          <cell r="C499" t="str">
            <v>自愛の高魔 エスタブ</v>
          </cell>
          <cell r="D499" t="str">
            <v>ガチャ:アリスの絵本02</v>
          </cell>
          <cell r="E499" t="str">
            <v>執行者</v>
          </cell>
          <cell r="F499" t="str">
            <v>格好いい</v>
          </cell>
          <cell r="G499" t="str">
            <v>男性</v>
          </cell>
          <cell r="H499" t="str">
            <v>blue</v>
          </cell>
          <cell r="I499">
            <v>5</v>
          </cell>
          <cell r="J499" t="str">
            <v>PremiumS</v>
          </cell>
          <cell r="K499" t="str">
            <v>attack</v>
          </cell>
          <cell r="L499" t="str">
            <v>攻撃タイプ</v>
          </cell>
          <cell r="M499" t="str">
            <v>human</v>
          </cell>
        </row>
        <row r="500">
          <cell r="A500">
            <v>499</v>
          </cell>
          <cell r="B500" t="str">
            <v>ja</v>
          </cell>
          <cell r="C500" t="str">
            <v>ラプンツェル</v>
          </cell>
          <cell r="D500" t="str">
            <v>ガチャ:アリスの絵本02</v>
          </cell>
          <cell r="E500" t="str">
            <v>執行者</v>
          </cell>
          <cell r="F500" t="str">
            <v>格好いい</v>
          </cell>
          <cell r="G500" t="str">
            <v>女性</v>
          </cell>
          <cell r="H500" t="str">
            <v>yellow</v>
          </cell>
          <cell r="I500">
            <v>4</v>
          </cell>
          <cell r="J500" t="str">
            <v>PremiumSS</v>
          </cell>
          <cell r="K500" t="str">
            <v>balance</v>
          </cell>
          <cell r="L500" t="str">
            <v>バランスタイプ</v>
          </cell>
          <cell r="M500" t="str">
            <v>human</v>
          </cell>
        </row>
        <row r="501">
          <cell r="A501">
            <v>500</v>
          </cell>
          <cell r="B501" t="str">
            <v>ja</v>
          </cell>
          <cell r="C501" t="str">
            <v>脈動の禁髪 ラプンツェル</v>
          </cell>
          <cell r="D501" t="str">
            <v>ガチャ:アリスの絵本02</v>
          </cell>
          <cell r="E501" t="str">
            <v>執行者</v>
          </cell>
          <cell r="F501" t="str">
            <v>格好いい</v>
          </cell>
          <cell r="G501" t="str">
            <v>女性</v>
          </cell>
          <cell r="H501" t="str">
            <v>yellow</v>
          </cell>
          <cell r="I501">
            <v>5</v>
          </cell>
          <cell r="J501" t="str">
            <v>PremiumSS</v>
          </cell>
          <cell r="K501" t="str">
            <v>balance</v>
          </cell>
          <cell r="L501" t="str">
            <v>バランスタイプ</v>
          </cell>
          <cell r="M501" t="str">
            <v>human</v>
          </cell>
        </row>
        <row r="502">
          <cell r="A502">
            <v>501</v>
          </cell>
          <cell r="B502" t="str">
            <v>ja</v>
          </cell>
          <cell r="C502" t="str">
            <v>ラプンツェルじゃなくなった</v>
          </cell>
          <cell r="D502" t="str">
            <v>未定</v>
          </cell>
          <cell r="E502" t="str">
            <v>執行者</v>
          </cell>
          <cell r="F502" t="str">
            <v>格好いい</v>
          </cell>
          <cell r="G502" t="str">
            <v>未定</v>
          </cell>
          <cell r="H502" t="str">
            <v>yellow</v>
          </cell>
          <cell r="I502">
            <v>5</v>
          </cell>
          <cell r="J502" t="str">
            <v>PremiumSS</v>
          </cell>
          <cell r="K502" t="str">
            <v>balance</v>
          </cell>
          <cell r="L502" t="str">
            <v>バランスタイプ</v>
          </cell>
          <cell r="M502" t="str">
            <v>human</v>
          </cell>
        </row>
        <row r="503">
          <cell r="A503">
            <v>502</v>
          </cell>
          <cell r="B503" t="str">
            <v>ja</v>
          </cell>
          <cell r="C503" t="str">
            <v>テラベル</v>
          </cell>
          <cell r="D503" t="str">
            <v>イベント:アリスの絵本03</v>
          </cell>
          <cell r="E503" t="str">
            <v>執行者</v>
          </cell>
          <cell r="F503" t="str">
            <v>格好いい</v>
          </cell>
          <cell r="G503" t="str">
            <v>女性</v>
          </cell>
          <cell r="H503" t="str">
            <v>red</v>
          </cell>
          <cell r="I503">
            <v>4</v>
          </cell>
          <cell r="J503" t="str">
            <v>Drop2N</v>
          </cell>
          <cell r="K503" t="str">
            <v>attack</v>
          </cell>
          <cell r="L503" t="str">
            <v>攻撃タイプ</v>
          </cell>
          <cell r="M503" t="str">
            <v>human</v>
          </cell>
        </row>
        <row r="504">
          <cell r="A504">
            <v>503</v>
          </cell>
          <cell r="B504" t="str">
            <v>ja</v>
          </cell>
          <cell r="C504" t="str">
            <v>破獣の爆姫 テラベル</v>
          </cell>
          <cell r="D504" t="str">
            <v>イベント:アリスの絵本03</v>
          </cell>
          <cell r="E504" t="str">
            <v>執行者</v>
          </cell>
          <cell r="F504" t="str">
            <v>格好いい</v>
          </cell>
          <cell r="G504" t="str">
            <v>女性</v>
          </cell>
          <cell r="H504" t="str">
            <v>red</v>
          </cell>
          <cell r="I504">
            <v>5</v>
          </cell>
          <cell r="J504" t="str">
            <v>Drop2N</v>
          </cell>
          <cell r="K504" t="str">
            <v>attack</v>
          </cell>
          <cell r="L504" t="str">
            <v>攻撃タイプ</v>
          </cell>
          <cell r="M504" t="str">
            <v>human</v>
          </cell>
        </row>
        <row r="505">
          <cell r="A505">
            <v>504</v>
          </cell>
          <cell r="B505" t="str">
            <v>ja</v>
          </cell>
          <cell r="C505" t="str">
            <v>ハイディン・オーガ</v>
          </cell>
          <cell r="D505" t="str">
            <v>イベント:アリスの絵本03</v>
          </cell>
          <cell r="E505" t="str">
            <v>執行者</v>
          </cell>
          <cell r="F505" t="str">
            <v>格好いい</v>
          </cell>
          <cell r="G505" t="str">
            <v>不明</v>
          </cell>
          <cell r="H505" t="str">
            <v>green</v>
          </cell>
          <cell r="I505">
            <v>4</v>
          </cell>
          <cell r="J505" t="str">
            <v>Drop2N</v>
          </cell>
          <cell r="K505" t="str">
            <v>attack</v>
          </cell>
          <cell r="L505" t="str">
            <v>攻撃タイプ</v>
          </cell>
          <cell r="M505" t="str">
            <v>animal</v>
          </cell>
        </row>
        <row r="506">
          <cell r="A506">
            <v>505</v>
          </cell>
          <cell r="B506" t="str">
            <v>ja</v>
          </cell>
          <cell r="C506" t="str">
            <v>暴虐の漏洩 ハイディン・オーガ</v>
          </cell>
          <cell r="D506" t="str">
            <v>イベント:アリスの絵本03</v>
          </cell>
          <cell r="E506" t="str">
            <v>執行者</v>
          </cell>
          <cell r="F506" t="str">
            <v>格好いい</v>
          </cell>
          <cell r="G506" t="str">
            <v>不明</v>
          </cell>
          <cell r="H506" t="str">
            <v>green</v>
          </cell>
          <cell r="I506">
            <v>5</v>
          </cell>
          <cell r="J506" t="str">
            <v>Drop2N</v>
          </cell>
          <cell r="K506" t="str">
            <v>attack</v>
          </cell>
          <cell r="L506" t="str">
            <v>攻撃タイプ</v>
          </cell>
          <cell r="M506" t="str">
            <v>animal</v>
          </cell>
        </row>
        <row r="507">
          <cell r="A507">
            <v>506</v>
          </cell>
          <cell r="B507" t="str">
            <v>ja</v>
          </cell>
          <cell r="C507" t="str">
            <v>ゴーテル</v>
          </cell>
          <cell r="D507" t="str">
            <v>イベント:アリスの絵本03</v>
          </cell>
          <cell r="E507" t="str">
            <v>執行者</v>
          </cell>
          <cell r="F507" t="str">
            <v>格好いい</v>
          </cell>
          <cell r="G507" t="str">
            <v>女性</v>
          </cell>
          <cell r="H507" t="str">
            <v>blue</v>
          </cell>
          <cell r="I507">
            <v>4</v>
          </cell>
          <cell r="J507" t="str">
            <v>Drop2N</v>
          </cell>
          <cell r="K507" t="str">
            <v>technical</v>
          </cell>
          <cell r="L507" t="str">
            <v>テクニカルタイプ</v>
          </cell>
          <cell r="M507" t="str">
            <v>human</v>
          </cell>
        </row>
        <row r="508">
          <cell r="A508">
            <v>507</v>
          </cell>
          <cell r="B508" t="str">
            <v>ja</v>
          </cell>
          <cell r="C508" t="str">
            <v>過保護な幽閉者 ゴーテル</v>
          </cell>
          <cell r="D508" t="str">
            <v>イベント:アリスの絵本03</v>
          </cell>
          <cell r="E508" t="str">
            <v>執行者</v>
          </cell>
          <cell r="F508" t="str">
            <v>格好いい</v>
          </cell>
          <cell r="G508" t="str">
            <v>女性</v>
          </cell>
          <cell r="H508" t="str">
            <v>blue</v>
          </cell>
          <cell r="I508">
            <v>5</v>
          </cell>
          <cell r="J508" t="str">
            <v>Drop2N</v>
          </cell>
          <cell r="K508" t="str">
            <v>technical</v>
          </cell>
          <cell r="L508" t="str">
            <v>テクニカルタイプ</v>
          </cell>
          <cell r="M508" t="str">
            <v>human</v>
          </cell>
        </row>
        <row r="509">
          <cell r="A509">
            <v>508</v>
          </cell>
          <cell r="B509" t="str">
            <v>ja</v>
          </cell>
          <cell r="C509" t="str">
            <v>Gスター・チルドレン</v>
          </cell>
          <cell r="D509" t="str">
            <v>イベント:アリスの絵本03</v>
          </cell>
          <cell r="E509" t="str">
            <v>執行者</v>
          </cell>
          <cell r="F509" t="str">
            <v>格好いい</v>
          </cell>
          <cell r="G509" t="str">
            <v>不明</v>
          </cell>
          <cell r="H509" t="str">
            <v>yellow</v>
          </cell>
          <cell r="I509">
            <v>4</v>
          </cell>
          <cell r="J509" t="str">
            <v>Drop2N</v>
          </cell>
          <cell r="K509" t="str">
            <v>hp</v>
          </cell>
          <cell r="L509" t="str">
            <v>体力タイプ</v>
          </cell>
          <cell r="M509" t="str">
            <v>unknown</v>
          </cell>
        </row>
        <row r="510">
          <cell r="A510">
            <v>509</v>
          </cell>
          <cell r="B510" t="str">
            <v>ja</v>
          </cell>
          <cell r="C510" t="str">
            <v>純粋悪意 Gスター・チルドレン</v>
          </cell>
          <cell r="D510" t="str">
            <v>イベント:アリスの絵本03</v>
          </cell>
          <cell r="E510" t="str">
            <v>執行者</v>
          </cell>
          <cell r="F510" t="str">
            <v>格好いい</v>
          </cell>
          <cell r="G510" t="str">
            <v>不明</v>
          </cell>
          <cell r="H510" t="str">
            <v>yellow</v>
          </cell>
          <cell r="I510">
            <v>5</v>
          </cell>
          <cell r="J510" t="str">
            <v>Drop2N</v>
          </cell>
          <cell r="K510" t="str">
            <v>hp</v>
          </cell>
          <cell r="L510" t="str">
            <v>体力タイプ</v>
          </cell>
          <cell r="M510" t="str">
            <v>unknown</v>
          </cell>
        </row>
        <row r="511">
          <cell r="A511">
            <v>510</v>
          </cell>
          <cell r="B511" t="str">
            <v>ja</v>
          </cell>
          <cell r="C511" t="str">
            <v>燃えさかる豪息 ヒュウガ</v>
          </cell>
          <cell r="D511" t="str">
            <v>ノーマルクエスト</v>
          </cell>
          <cell r="E511" t="str">
            <v>執行者</v>
          </cell>
          <cell r="F511" t="str">
            <v>格好いい</v>
          </cell>
          <cell r="G511" t="str">
            <v>不明</v>
          </cell>
          <cell r="H511" t="str">
            <v>red</v>
          </cell>
          <cell r="I511">
            <v>4</v>
          </cell>
          <cell r="J511" t="str">
            <v>Drop2N</v>
          </cell>
          <cell r="K511" t="str">
            <v>attack</v>
          </cell>
          <cell r="L511" t="str">
            <v>攻撃タイプ</v>
          </cell>
          <cell r="M511" t="str">
            <v>dragon</v>
          </cell>
        </row>
        <row r="512">
          <cell r="A512">
            <v>511</v>
          </cell>
          <cell r="B512" t="str">
            <v>ja</v>
          </cell>
          <cell r="C512" t="str">
            <v>灼き尽くす紅息 ヒュウガ・レアル</v>
          </cell>
          <cell r="D512" t="str">
            <v>ノーマルクエスト</v>
          </cell>
          <cell r="E512" t="str">
            <v>執行者</v>
          </cell>
          <cell r="F512" t="str">
            <v>格好いい</v>
          </cell>
          <cell r="G512" t="str">
            <v>男性</v>
          </cell>
          <cell r="H512" t="str">
            <v>red</v>
          </cell>
          <cell r="I512">
            <v>5</v>
          </cell>
          <cell r="J512" t="str">
            <v>Drop2N</v>
          </cell>
          <cell r="K512" t="str">
            <v>attack</v>
          </cell>
          <cell r="L512" t="str">
            <v>攻撃タイプ</v>
          </cell>
          <cell r="M512" t="str">
            <v>dragon</v>
          </cell>
        </row>
        <row r="513">
          <cell r="A513">
            <v>512</v>
          </cell>
          <cell r="B513" t="str">
            <v>ja</v>
          </cell>
          <cell r="C513" t="str">
            <v>聖火の逆徒 クリスマス・ベリアル</v>
          </cell>
          <cell r="D513" t="str">
            <v>ガチャ:クリスマス2015</v>
          </cell>
          <cell r="E513" t="str">
            <v>執行者</v>
          </cell>
          <cell r="F513" t="str">
            <v>格好いい</v>
          </cell>
          <cell r="G513" t="str">
            <v>男性</v>
          </cell>
          <cell r="H513" t="str">
            <v>red</v>
          </cell>
          <cell r="I513">
            <v>4</v>
          </cell>
          <cell r="J513" t="str">
            <v>PremiumS</v>
          </cell>
          <cell r="K513" t="str">
            <v>attack</v>
          </cell>
          <cell r="L513" t="str">
            <v>攻撃タイプ</v>
          </cell>
          <cell r="M513" t="str">
            <v>god</v>
          </cell>
        </row>
        <row r="514">
          <cell r="A514">
            <v>513</v>
          </cell>
          <cell r="B514" t="str">
            <v>ja</v>
          </cell>
          <cell r="C514" t="str">
            <v>爆進の荷炎 クリスマス・ベリアル</v>
          </cell>
          <cell r="D514" t="str">
            <v>ガチャ:クリスマス2015</v>
          </cell>
          <cell r="E514" t="str">
            <v>執行者</v>
          </cell>
          <cell r="F514" t="str">
            <v>格好いい</v>
          </cell>
          <cell r="G514" t="str">
            <v>男性</v>
          </cell>
          <cell r="H514" t="str">
            <v>red</v>
          </cell>
          <cell r="I514">
            <v>5</v>
          </cell>
          <cell r="J514" t="str">
            <v>PremiumS</v>
          </cell>
          <cell r="K514" t="str">
            <v>attack</v>
          </cell>
          <cell r="L514" t="str">
            <v>攻撃タイプ</v>
          </cell>
          <cell r="M514" t="str">
            <v>god</v>
          </cell>
        </row>
        <row r="515">
          <cell r="A515">
            <v>514</v>
          </cell>
          <cell r="B515" t="str">
            <v>ja</v>
          </cell>
          <cell r="C515" t="str">
            <v>祝宴の識徒 サンタクロース・オセ</v>
          </cell>
          <cell r="D515" t="str">
            <v>ガチャ:クリスマス2015</v>
          </cell>
          <cell r="E515" t="str">
            <v>執行者</v>
          </cell>
          <cell r="F515" t="str">
            <v>格好いい</v>
          </cell>
          <cell r="G515" t="str">
            <v>女性</v>
          </cell>
          <cell r="H515" t="str">
            <v>green</v>
          </cell>
          <cell r="I515">
            <v>4</v>
          </cell>
          <cell r="J515" t="str">
            <v>PremiumS</v>
          </cell>
          <cell r="K515" t="str">
            <v>attack</v>
          </cell>
          <cell r="L515" t="str">
            <v>攻撃タイプ</v>
          </cell>
          <cell r="M515" t="str">
            <v>god</v>
          </cell>
        </row>
        <row r="516">
          <cell r="A516">
            <v>515</v>
          </cell>
          <cell r="B516" t="str">
            <v>ja</v>
          </cell>
          <cell r="C516" t="str">
            <v>聖夜の贈主 サンタクロース・オセ</v>
          </cell>
          <cell r="D516" t="str">
            <v>ガチャ:クリスマス2015</v>
          </cell>
          <cell r="E516" t="str">
            <v>執行者</v>
          </cell>
          <cell r="F516" t="str">
            <v>格好いい</v>
          </cell>
          <cell r="G516" t="str">
            <v>女性</v>
          </cell>
          <cell r="H516" t="str">
            <v>green</v>
          </cell>
          <cell r="I516">
            <v>5</v>
          </cell>
          <cell r="J516" t="str">
            <v>PremiumS</v>
          </cell>
          <cell r="K516" t="str">
            <v>attack</v>
          </cell>
          <cell r="L516" t="str">
            <v>攻撃タイプ</v>
          </cell>
          <cell r="M516" t="str">
            <v>god</v>
          </cell>
        </row>
        <row r="517">
          <cell r="A517">
            <v>516</v>
          </cell>
          <cell r="B517" t="str">
            <v>ja</v>
          </cell>
          <cell r="C517" t="str">
            <v>聖母 マリア</v>
          </cell>
          <cell r="D517" t="str">
            <v>ガチャ:クリスマス2015</v>
          </cell>
          <cell r="E517" t="str">
            <v>執行者</v>
          </cell>
          <cell r="F517" t="str">
            <v>格好いい</v>
          </cell>
          <cell r="G517" t="str">
            <v>女性</v>
          </cell>
          <cell r="H517" t="str">
            <v>blue</v>
          </cell>
          <cell r="I517">
            <v>4</v>
          </cell>
          <cell r="J517" t="str">
            <v>PremiumSS</v>
          </cell>
          <cell r="K517" t="str">
            <v>heal</v>
          </cell>
          <cell r="L517" t="str">
            <v>回復タイプ</v>
          </cell>
          <cell r="M517" t="str">
            <v>human</v>
          </cell>
        </row>
        <row r="518">
          <cell r="A518">
            <v>517</v>
          </cell>
          <cell r="B518" t="str">
            <v>ja</v>
          </cell>
          <cell r="C518" t="str">
            <v>真冬の誕生祭 マリア</v>
          </cell>
          <cell r="D518" t="str">
            <v>ガチャ:クリスマス2015</v>
          </cell>
          <cell r="E518" t="str">
            <v>執行者</v>
          </cell>
          <cell r="F518" t="str">
            <v>格好いい</v>
          </cell>
          <cell r="G518" t="str">
            <v>女性</v>
          </cell>
          <cell r="H518" t="str">
            <v>blue</v>
          </cell>
          <cell r="I518">
            <v>5</v>
          </cell>
          <cell r="J518" t="str">
            <v>PremiumSS</v>
          </cell>
          <cell r="K518" t="str">
            <v>heal</v>
          </cell>
          <cell r="L518" t="str">
            <v>回復タイプ</v>
          </cell>
          <cell r="M518" t="str">
            <v>human</v>
          </cell>
        </row>
        <row r="519">
          <cell r="A519">
            <v>518</v>
          </cell>
          <cell r="B519" t="str">
            <v>ja</v>
          </cell>
          <cell r="C519" t="str">
            <v>秘来の聖天使 ミカエル</v>
          </cell>
          <cell r="D519" t="str">
            <v>ガチャ:クリスマス2015</v>
          </cell>
          <cell r="E519" t="str">
            <v>執行者</v>
          </cell>
          <cell r="F519" t="str">
            <v>格好いい</v>
          </cell>
          <cell r="G519" t="str">
            <v>女性</v>
          </cell>
          <cell r="H519" t="str">
            <v>yellow</v>
          </cell>
          <cell r="I519">
            <v>4</v>
          </cell>
          <cell r="J519" t="str">
            <v>PremiumS</v>
          </cell>
          <cell r="K519" t="str">
            <v>attack</v>
          </cell>
          <cell r="L519" t="str">
            <v>攻撃タイプ</v>
          </cell>
          <cell r="M519" t="str">
            <v>god</v>
          </cell>
        </row>
        <row r="520">
          <cell r="A520">
            <v>519</v>
          </cell>
          <cell r="B520" t="str">
            <v>ja</v>
          </cell>
          <cell r="C520" t="str">
            <v>夜天の聖天使 ミカエル・ハレルヤ</v>
          </cell>
          <cell r="D520" t="str">
            <v>ガチャ:クリスマス2015</v>
          </cell>
          <cell r="E520" t="str">
            <v>執行者</v>
          </cell>
          <cell r="F520" t="str">
            <v>格好いい</v>
          </cell>
          <cell r="G520" t="str">
            <v>女性</v>
          </cell>
          <cell r="H520" t="str">
            <v>yellow</v>
          </cell>
          <cell r="I520">
            <v>5</v>
          </cell>
          <cell r="J520" t="str">
            <v>PremiumS</v>
          </cell>
          <cell r="K520" t="str">
            <v>attack</v>
          </cell>
          <cell r="L520" t="str">
            <v>攻撃タイプ</v>
          </cell>
          <cell r="M520" t="str">
            <v>god</v>
          </cell>
        </row>
        <row r="521">
          <cell r="A521">
            <v>520</v>
          </cell>
          <cell r="B521" t="str">
            <v>ja</v>
          </cell>
          <cell r="C521" t="str">
            <v>炎のサンタダック</v>
          </cell>
          <cell r="D521" t="str">
            <v>イベント:クリスマス2015</v>
          </cell>
          <cell r="E521" t="str">
            <v>執行者</v>
          </cell>
          <cell r="F521" t="str">
            <v>格好いい</v>
          </cell>
          <cell r="G521" t="str">
            <v>不明</v>
          </cell>
          <cell r="H521" t="str">
            <v>red</v>
          </cell>
          <cell r="I521">
            <v>5</v>
          </cell>
          <cell r="J521" t="str">
            <v>Material</v>
          </cell>
          <cell r="K521" t="str">
            <v>exp</v>
          </cell>
          <cell r="L521" t="str">
            <v>強化素材タイプ</v>
          </cell>
          <cell r="M521" t="str">
            <v>unknown</v>
          </cell>
        </row>
        <row r="522">
          <cell r="A522">
            <v>521</v>
          </cell>
          <cell r="B522" t="str">
            <v>ja</v>
          </cell>
          <cell r="C522" t="str">
            <v>森のサンタダック</v>
          </cell>
          <cell r="D522" t="str">
            <v>イベント:クリスマス2015</v>
          </cell>
          <cell r="E522" t="str">
            <v>執行者</v>
          </cell>
          <cell r="F522" t="str">
            <v>格好いい</v>
          </cell>
          <cell r="G522" t="str">
            <v>不明</v>
          </cell>
          <cell r="H522" t="str">
            <v>green</v>
          </cell>
          <cell r="I522">
            <v>5</v>
          </cell>
          <cell r="J522" t="str">
            <v>Material</v>
          </cell>
          <cell r="K522" t="str">
            <v>exp</v>
          </cell>
          <cell r="L522" t="str">
            <v>強化素材タイプ</v>
          </cell>
          <cell r="M522" t="str">
            <v>unknown</v>
          </cell>
        </row>
        <row r="523">
          <cell r="A523">
            <v>522</v>
          </cell>
          <cell r="B523" t="str">
            <v>ja</v>
          </cell>
          <cell r="C523" t="str">
            <v>水のサンタダック</v>
          </cell>
          <cell r="D523" t="str">
            <v>イベント:クリスマス2015</v>
          </cell>
          <cell r="E523" t="str">
            <v>執行者</v>
          </cell>
          <cell r="F523" t="str">
            <v>格好いい</v>
          </cell>
          <cell r="G523" t="str">
            <v>不明</v>
          </cell>
          <cell r="H523" t="str">
            <v>blue</v>
          </cell>
          <cell r="I523">
            <v>5</v>
          </cell>
          <cell r="J523" t="str">
            <v>Material</v>
          </cell>
          <cell r="K523" t="str">
            <v>exp</v>
          </cell>
          <cell r="L523" t="str">
            <v>強化素材タイプ</v>
          </cell>
          <cell r="M523" t="str">
            <v>unknown</v>
          </cell>
        </row>
        <row r="524">
          <cell r="A524">
            <v>523</v>
          </cell>
          <cell r="B524" t="str">
            <v>ja</v>
          </cell>
          <cell r="C524" t="str">
            <v>雷のサンタダック</v>
          </cell>
          <cell r="D524" t="str">
            <v>イベント:クリスマス2015</v>
          </cell>
          <cell r="E524" t="str">
            <v>執行者</v>
          </cell>
          <cell r="F524" t="str">
            <v>格好いい</v>
          </cell>
          <cell r="G524" t="str">
            <v>不明</v>
          </cell>
          <cell r="H524" t="str">
            <v>yellow</v>
          </cell>
          <cell r="I524">
            <v>5</v>
          </cell>
          <cell r="J524" t="str">
            <v>Material</v>
          </cell>
          <cell r="K524" t="str">
            <v>exp</v>
          </cell>
          <cell r="L524" t="str">
            <v>強化素材タイプ</v>
          </cell>
          <cell r="M524" t="str">
            <v>unknown</v>
          </cell>
        </row>
        <row r="525">
          <cell r="A525">
            <v>524</v>
          </cell>
          <cell r="B525" t="str">
            <v>ja</v>
          </cell>
          <cell r="C525" t="str">
            <v>あけおめダック</v>
          </cell>
          <cell r="D525" t="str">
            <v>イベント:お正月2016</v>
          </cell>
          <cell r="E525" t="str">
            <v>執行者</v>
          </cell>
          <cell r="F525" t="str">
            <v>格好いい</v>
          </cell>
          <cell r="G525" t="str">
            <v>不明</v>
          </cell>
          <cell r="H525" t="str">
            <v>yellow</v>
          </cell>
          <cell r="I525">
            <v>6</v>
          </cell>
          <cell r="J525" t="str">
            <v>Material</v>
          </cell>
          <cell r="K525" t="str">
            <v>coin</v>
          </cell>
          <cell r="L525" t="str">
            <v>コインタイプ</v>
          </cell>
          <cell r="M525" t="str">
            <v>unknown</v>
          </cell>
        </row>
        <row r="526">
          <cell r="A526">
            <v>525</v>
          </cell>
          <cell r="B526" t="str">
            <v>ja</v>
          </cell>
          <cell r="C526" t="str">
            <v>ウィンタースポーツ 雪ミク</v>
          </cell>
          <cell r="D526" t="str">
            <v>イベント:ミクコラボ01</v>
          </cell>
          <cell r="E526" t="str">
            <v>執行者</v>
          </cell>
          <cell r="F526" t="str">
            <v>格好いい</v>
          </cell>
          <cell r="G526" t="str">
            <v>女性</v>
          </cell>
          <cell r="H526" t="str">
            <v>blue</v>
          </cell>
          <cell r="I526">
            <v>4</v>
          </cell>
          <cell r="J526" t="str">
            <v>Drop2N</v>
          </cell>
          <cell r="K526" t="str">
            <v>heal</v>
          </cell>
          <cell r="L526" t="str">
            <v>回復タイプ</v>
          </cell>
          <cell r="M526" t="str">
            <v>unknown</v>
          </cell>
        </row>
        <row r="527">
          <cell r="A527">
            <v>526</v>
          </cell>
          <cell r="B527" t="str">
            <v>ja</v>
          </cell>
          <cell r="C527" t="str">
            <v>大滑走 雪ミク&amp;ラビットユキネ</v>
          </cell>
          <cell r="D527" t="str">
            <v>イベント:ミクコラボ01</v>
          </cell>
          <cell r="E527" t="str">
            <v>執行者</v>
          </cell>
          <cell r="F527" t="str">
            <v>格好いい</v>
          </cell>
          <cell r="G527" t="str">
            <v>女性</v>
          </cell>
          <cell r="H527" t="str">
            <v>blue</v>
          </cell>
          <cell r="I527">
            <v>5</v>
          </cell>
          <cell r="J527" t="str">
            <v>Drop2N</v>
          </cell>
          <cell r="K527" t="str">
            <v>heal</v>
          </cell>
          <cell r="L527" t="str">
            <v>回復タイプ</v>
          </cell>
          <cell r="M527" t="str">
            <v>unknown</v>
          </cell>
        </row>
        <row r="528">
          <cell r="A528">
            <v>527</v>
          </cell>
          <cell r="B528" t="str">
            <v>ja</v>
          </cell>
          <cell r="C528" t="str">
            <v>初音ミクV3</v>
          </cell>
          <cell r="D528" t="str">
            <v>イベント:ミクコラボ01</v>
          </cell>
          <cell r="E528" t="str">
            <v>執行者</v>
          </cell>
          <cell r="F528" t="str">
            <v>格好いい</v>
          </cell>
          <cell r="G528" t="str">
            <v>女性</v>
          </cell>
          <cell r="H528" t="str">
            <v>yellow</v>
          </cell>
          <cell r="I528">
            <v>4</v>
          </cell>
          <cell r="J528" t="str">
            <v>DropWizS</v>
          </cell>
          <cell r="K528" t="str">
            <v>balance</v>
          </cell>
          <cell r="L528" t="str">
            <v>バランスタイプ</v>
          </cell>
          <cell r="M528" t="str">
            <v>unknown</v>
          </cell>
        </row>
        <row r="529">
          <cell r="A529">
            <v>528</v>
          </cell>
          <cell r="B529" t="str">
            <v>ja</v>
          </cell>
          <cell r="C529" t="str">
            <v>新世の歌姫 初音ミクV3</v>
          </cell>
          <cell r="D529" t="str">
            <v>イベント:ミクコラボ01</v>
          </cell>
          <cell r="E529" t="str">
            <v>執行者</v>
          </cell>
          <cell r="F529" t="str">
            <v>格好いい</v>
          </cell>
          <cell r="G529" t="str">
            <v>女性</v>
          </cell>
          <cell r="H529" t="str">
            <v>yellow</v>
          </cell>
          <cell r="I529">
            <v>5</v>
          </cell>
          <cell r="J529" t="str">
            <v>DropWizS</v>
          </cell>
          <cell r="K529" t="str">
            <v>balance</v>
          </cell>
          <cell r="L529" t="str">
            <v>バランスタイプ</v>
          </cell>
          <cell r="M529" t="str">
            <v>unknown</v>
          </cell>
        </row>
        <row r="530">
          <cell r="A530">
            <v>529</v>
          </cell>
          <cell r="B530" t="str">
            <v>ja</v>
          </cell>
          <cell r="C530" t="str">
            <v>冬服ジェリー</v>
          </cell>
          <cell r="D530" t="str">
            <v>イベント:ミクコラボ01</v>
          </cell>
          <cell r="E530" t="str">
            <v>執行者</v>
          </cell>
          <cell r="F530" t="str">
            <v>格好いい</v>
          </cell>
          <cell r="G530" t="str">
            <v>不明</v>
          </cell>
          <cell r="H530" t="str">
            <v>red</v>
          </cell>
          <cell r="I530">
            <v>1</v>
          </cell>
          <cell r="J530" t="str">
            <v>Drop1T</v>
          </cell>
          <cell r="K530" t="str">
            <v>attack</v>
          </cell>
          <cell r="L530" t="str">
            <v>攻撃タイプ</v>
          </cell>
          <cell r="M530" t="str">
            <v>unknown</v>
          </cell>
        </row>
        <row r="531">
          <cell r="A531">
            <v>530</v>
          </cell>
          <cell r="B531" t="str">
            <v>ja</v>
          </cell>
          <cell r="C531" t="str">
            <v>冬服ジョー</v>
          </cell>
          <cell r="D531" t="str">
            <v>イベント:ミクコラボ01</v>
          </cell>
          <cell r="E531" t="str">
            <v>執行者</v>
          </cell>
          <cell r="F531" t="str">
            <v>格好いい</v>
          </cell>
          <cell r="G531" t="str">
            <v>不明</v>
          </cell>
          <cell r="H531" t="str">
            <v>green</v>
          </cell>
          <cell r="I531">
            <v>1</v>
          </cell>
          <cell r="J531" t="str">
            <v>Drop1T</v>
          </cell>
          <cell r="K531" t="str">
            <v>balance</v>
          </cell>
          <cell r="L531" t="str">
            <v>バランスタイプ</v>
          </cell>
          <cell r="M531" t="str">
            <v>unknown</v>
          </cell>
        </row>
        <row r="532">
          <cell r="A532">
            <v>531</v>
          </cell>
          <cell r="B532" t="str">
            <v>ja</v>
          </cell>
          <cell r="C532" t="str">
            <v>冬服ポチ</v>
          </cell>
          <cell r="D532" t="str">
            <v>イベント:ミクコラボ01</v>
          </cell>
          <cell r="E532" t="str">
            <v>執行者</v>
          </cell>
          <cell r="F532" t="str">
            <v>格好いい</v>
          </cell>
          <cell r="G532" t="str">
            <v>不明</v>
          </cell>
          <cell r="H532" t="str">
            <v>blue</v>
          </cell>
          <cell r="I532">
            <v>1</v>
          </cell>
          <cell r="J532" t="str">
            <v>Drop1T</v>
          </cell>
          <cell r="K532" t="str">
            <v>heal</v>
          </cell>
          <cell r="L532" t="str">
            <v>回復タイプ</v>
          </cell>
          <cell r="M532" t="str">
            <v>unknown</v>
          </cell>
        </row>
        <row r="533">
          <cell r="A533">
            <v>532</v>
          </cell>
          <cell r="B533" t="str">
            <v>ja</v>
          </cell>
          <cell r="C533" t="str">
            <v>冬服エレキポット</v>
          </cell>
          <cell r="D533" t="str">
            <v>イベント:ミクコラボ01</v>
          </cell>
          <cell r="E533" t="str">
            <v>執行者</v>
          </cell>
          <cell r="F533" t="str">
            <v>格好いい</v>
          </cell>
          <cell r="G533" t="str">
            <v>不明</v>
          </cell>
          <cell r="H533" t="str">
            <v>yellow</v>
          </cell>
          <cell r="I533">
            <v>1</v>
          </cell>
          <cell r="J533" t="str">
            <v>Drop1T</v>
          </cell>
          <cell r="K533" t="str">
            <v>attack</v>
          </cell>
          <cell r="L533" t="str">
            <v>攻撃タイプ</v>
          </cell>
          <cell r="M533" t="str">
            <v>unknown</v>
          </cell>
        </row>
        <row r="534">
          <cell r="A534">
            <v>533</v>
          </cell>
          <cell r="B534" t="str">
            <v>ja</v>
          </cell>
          <cell r="C534" t="str">
            <v>冬服アカネ</v>
          </cell>
          <cell r="D534" t="str">
            <v>イベント:ミクコラボ01</v>
          </cell>
          <cell r="E534" t="str">
            <v>執行者</v>
          </cell>
          <cell r="F534" t="str">
            <v>格好いい</v>
          </cell>
          <cell r="G534" t="str">
            <v>不明</v>
          </cell>
          <cell r="H534" t="str">
            <v>red</v>
          </cell>
          <cell r="I534">
            <v>1</v>
          </cell>
          <cell r="J534" t="str">
            <v>Drop1W</v>
          </cell>
          <cell r="K534" t="str">
            <v>balance</v>
          </cell>
          <cell r="L534" t="str">
            <v>バランスタイプ</v>
          </cell>
          <cell r="M534" t="str">
            <v>human</v>
          </cell>
        </row>
        <row r="535">
          <cell r="A535">
            <v>534</v>
          </cell>
          <cell r="B535" t="str">
            <v>ja</v>
          </cell>
          <cell r="C535" t="str">
            <v>冬服パトライン</v>
          </cell>
          <cell r="D535" t="str">
            <v>イベント:ミクコラボ01</v>
          </cell>
          <cell r="E535" t="str">
            <v>執行者</v>
          </cell>
          <cell r="F535" t="str">
            <v>格好いい</v>
          </cell>
          <cell r="G535" t="str">
            <v>不明</v>
          </cell>
          <cell r="H535" t="str">
            <v>green</v>
          </cell>
          <cell r="I535">
            <v>1</v>
          </cell>
          <cell r="J535" t="str">
            <v>Drop1W</v>
          </cell>
          <cell r="K535" t="str">
            <v>heal</v>
          </cell>
          <cell r="L535" t="str">
            <v>回復タイプ</v>
          </cell>
          <cell r="M535" t="str">
            <v>machine</v>
          </cell>
        </row>
        <row r="536">
          <cell r="A536">
            <v>535</v>
          </cell>
          <cell r="B536" t="str">
            <v>ja</v>
          </cell>
          <cell r="C536" t="str">
            <v>冬服リム</v>
          </cell>
          <cell r="D536" t="str">
            <v>イベント:ミクコラボ01</v>
          </cell>
          <cell r="E536" t="str">
            <v>執行者</v>
          </cell>
          <cell r="F536" t="str">
            <v>格好いい</v>
          </cell>
          <cell r="G536" t="str">
            <v>不明</v>
          </cell>
          <cell r="H536" t="str">
            <v>blue</v>
          </cell>
          <cell r="I536">
            <v>1</v>
          </cell>
          <cell r="J536" t="str">
            <v>Drop1W</v>
          </cell>
          <cell r="K536" t="str">
            <v>balance</v>
          </cell>
          <cell r="L536" t="str">
            <v>バランスタイプ</v>
          </cell>
          <cell r="M536" t="str">
            <v>human</v>
          </cell>
        </row>
        <row r="537">
          <cell r="A537">
            <v>536</v>
          </cell>
          <cell r="B537" t="str">
            <v>ja</v>
          </cell>
          <cell r="C537" t="str">
            <v>冬服ミミ</v>
          </cell>
          <cell r="D537" t="str">
            <v>イベント:ミクコラボ01</v>
          </cell>
          <cell r="E537" t="str">
            <v>執行者</v>
          </cell>
          <cell r="F537" t="str">
            <v>格好いい</v>
          </cell>
          <cell r="G537" t="str">
            <v>不明</v>
          </cell>
          <cell r="H537" t="str">
            <v>yellow</v>
          </cell>
          <cell r="I537">
            <v>1</v>
          </cell>
          <cell r="J537" t="str">
            <v>Drop1W</v>
          </cell>
          <cell r="K537" t="str">
            <v>attack</v>
          </cell>
          <cell r="L537" t="str">
            <v>攻撃タイプ</v>
          </cell>
          <cell r="M537" t="str">
            <v>animal</v>
          </cell>
        </row>
        <row r="538">
          <cell r="A538">
            <v>537</v>
          </cell>
          <cell r="B538" t="str">
            <v>ja</v>
          </cell>
          <cell r="C538" t="str">
            <v>冬服ハッピー100</v>
          </cell>
          <cell r="D538" t="str">
            <v>イベント:ミクコラボ01</v>
          </cell>
          <cell r="E538" t="str">
            <v>執行者</v>
          </cell>
          <cell r="F538" t="str">
            <v>格好いい</v>
          </cell>
          <cell r="G538" t="str">
            <v>女性</v>
          </cell>
          <cell r="H538" t="str">
            <v>green</v>
          </cell>
          <cell r="I538">
            <v>3</v>
          </cell>
          <cell r="J538" t="str">
            <v>DropWizW</v>
          </cell>
          <cell r="K538" t="str">
            <v>heal</v>
          </cell>
          <cell r="L538" t="str">
            <v>回復タイプ</v>
          </cell>
          <cell r="M538" t="str">
            <v>unknown</v>
          </cell>
        </row>
        <row r="539">
          <cell r="A539">
            <v>538</v>
          </cell>
          <cell r="B539" t="str">
            <v>ja</v>
          </cell>
          <cell r="C539" t="str">
            <v>冬服ニムダ</v>
          </cell>
          <cell r="D539" t="str">
            <v>イベント:ミクコラボ01</v>
          </cell>
          <cell r="E539" t="str">
            <v>執行者</v>
          </cell>
          <cell r="F539" t="str">
            <v>格好いい</v>
          </cell>
          <cell r="G539" t="str">
            <v>女性</v>
          </cell>
          <cell r="H539" t="str">
            <v>yellow</v>
          </cell>
          <cell r="I539">
            <v>3</v>
          </cell>
          <cell r="J539" t="str">
            <v>DropWizW</v>
          </cell>
          <cell r="K539" t="str">
            <v>heal</v>
          </cell>
          <cell r="L539" t="str">
            <v>回復タイプ</v>
          </cell>
          <cell r="M539" t="str">
            <v>unknown</v>
          </cell>
        </row>
        <row r="540">
          <cell r="A540">
            <v>539</v>
          </cell>
          <cell r="B540" t="str">
            <v>ja</v>
          </cell>
          <cell r="C540" t="str">
            <v>初音ミク・アペンド</v>
          </cell>
          <cell r="D540" t="str">
            <v>ガチャ:ミクコラボ01</v>
          </cell>
          <cell r="E540" t="str">
            <v>執行者</v>
          </cell>
          <cell r="F540" t="str">
            <v>格好いい</v>
          </cell>
          <cell r="G540" t="str">
            <v>女性</v>
          </cell>
          <cell r="H540" t="str">
            <v>green</v>
          </cell>
          <cell r="I540">
            <v>4</v>
          </cell>
          <cell r="J540" t="str">
            <v>PremiumSSS</v>
          </cell>
          <cell r="K540" t="str">
            <v>technical</v>
          </cell>
          <cell r="L540" t="str">
            <v>テクニカルタイプ</v>
          </cell>
          <cell r="M540" t="str">
            <v>unknown</v>
          </cell>
        </row>
        <row r="541">
          <cell r="A541">
            <v>540</v>
          </cell>
          <cell r="B541" t="str">
            <v>ja</v>
          </cell>
          <cell r="C541" t="str">
            <v>来訪の歌姫 初音ミク・アペンド</v>
          </cell>
          <cell r="D541" t="str">
            <v>ガチャ:ミクコラボ01</v>
          </cell>
          <cell r="E541" t="str">
            <v>執行者</v>
          </cell>
          <cell r="F541" t="str">
            <v>格好いい</v>
          </cell>
          <cell r="G541" t="str">
            <v>女性</v>
          </cell>
          <cell r="H541" t="str">
            <v>green</v>
          </cell>
          <cell r="I541">
            <v>5</v>
          </cell>
          <cell r="J541" t="str">
            <v>PremiumSSS</v>
          </cell>
          <cell r="K541" t="str">
            <v>technical</v>
          </cell>
          <cell r="L541" t="str">
            <v>テクニカルタイプ</v>
          </cell>
          <cell r="M541" t="str">
            <v>unknown</v>
          </cell>
        </row>
        <row r="542">
          <cell r="A542">
            <v>541</v>
          </cell>
          <cell r="B542" t="str">
            <v>ja</v>
          </cell>
          <cell r="C542" t="str">
            <v>初音ミク</v>
          </cell>
          <cell r="D542" t="str">
            <v>ガチャ:ミクコラボ01</v>
          </cell>
          <cell r="E542" t="str">
            <v>執行者</v>
          </cell>
          <cell r="F542" t="str">
            <v>格好いい</v>
          </cell>
          <cell r="G542" t="str">
            <v>女性</v>
          </cell>
          <cell r="H542" t="str">
            <v>green</v>
          </cell>
          <cell r="I542">
            <v>4</v>
          </cell>
          <cell r="J542" t="str">
            <v>PremiumSSS</v>
          </cell>
          <cell r="K542" t="str">
            <v>balance</v>
          </cell>
          <cell r="L542" t="str">
            <v>バランスタイプ</v>
          </cell>
          <cell r="M542" t="str">
            <v>unknown</v>
          </cell>
        </row>
        <row r="543">
          <cell r="A543">
            <v>542</v>
          </cell>
          <cell r="B543" t="str">
            <v>ja</v>
          </cell>
          <cell r="C543" t="str">
            <v>革命の音撃 初音ミク</v>
          </cell>
          <cell r="D543" t="str">
            <v>ガチャ:ミクコラボ01</v>
          </cell>
          <cell r="E543" t="str">
            <v>執行者</v>
          </cell>
          <cell r="F543" t="str">
            <v>格好いい</v>
          </cell>
          <cell r="G543" t="str">
            <v>女性</v>
          </cell>
          <cell r="H543" t="str">
            <v>green</v>
          </cell>
          <cell r="I543">
            <v>5</v>
          </cell>
          <cell r="J543" t="str">
            <v>PremiumSSS</v>
          </cell>
          <cell r="K543" t="str">
            <v>balance</v>
          </cell>
          <cell r="L543" t="str">
            <v>バランスタイプ</v>
          </cell>
          <cell r="M543" t="str">
            <v>unknown</v>
          </cell>
        </row>
        <row r="544">
          <cell r="A544">
            <v>543</v>
          </cell>
          <cell r="B544" t="str">
            <v>ja</v>
          </cell>
          <cell r="C544" t="str">
            <v>鏡音リン</v>
          </cell>
          <cell r="D544" t="str">
            <v>ガチャ:ミクコラボ01</v>
          </cell>
          <cell r="E544" t="str">
            <v>執行者</v>
          </cell>
          <cell r="F544" t="str">
            <v>格好いい</v>
          </cell>
          <cell r="G544" t="str">
            <v>女性</v>
          </cell>
          <cell r="H544" t="str">
            <v>yellow</v>
          </cell>
          <cell r="I544">
            <v>4</v>
          </cell>
          <cell r="J544" t="str">
            <v>PremiumSS</v>
          </cell>
          <cell r="K544" t="str">
            <v>balance</v>
          </cell>
          <cell r="L544" t="str">
            <v>バランスタイプ</v>
          </cell>
          <cell r="M544" t="str">
            <v>unknown</v>
          </cell>
        </row>
        <row r="545">
          <cell r="A545">
            <v>544</v>
          </cell>
          <cell r="B545" t="str">
            <v>ja</v>
          </cell>
          <cell r="C545" t="str">
            <v>反響の凛音 鏡音リン</v>
          </cell>
          <cell r="D545" t="str">
            <v>ガチャ:ミクコラボ01</v>
          </cell>
          <cell r="E545" t="str">
            <v>執行者</v>
          </cell>
          <cell r="F545" t="str">
            <v>格好いい</v>
          </cell>
          <cell r="G545" t="str">
            <v>女性</v>
          </cell>
          <cell r="H545" t="str">
            <v>yellow</v>
          </cell>
          <cell r="I545">
            <v>5</v>
          </cell>
          <cell r="J545" t="str">
            <v>PremiumSS</v>
          </cell>
          <cell r="K545" t="str">
            <v>balance</v>
          </cell>
          <cell r="L545" t="str">
            <v>バランスタイプ</v>
          </cell>
          <cell r="M545" t="str">
            <v>unknown</v>
          </cell>
        </row>
        <row r="546">
          <cell r="A546">
            <v>545</v>
          </cell>
          <cell r="B546" t="str">
            <v>ja</v>
          </cell>
          <cell r="C546" t="str">
            <v>鏡音レン</v>
          </cell>
          <cell r="D546" t="str">
            <v>ガチャ:ミクコラボ01</v>
          </cell>
          <cell r="E546" t="str">
            <v>執行者</v>
          </cell>
          <cell r="F546" t="str">
            <v>格好いい</v>
          </cell>
          <cell r="G546" t="str">
            <v>男性</v>
          </cell>
          <cell r="H546" t="str">
            <v>yellow</v>
          </cell>
          <cell r="I546">
            <v>4</v>
          </cell>
          <cell r="J546" t="str">
            <v>PremiumSS</v>
          </cell>
          <cell r="K546" t="str">
            <v>heal</v>
          </cell>
          <cell r="L546" t="str">
            <v>回復タイプ</v>
          </cell>
          <cell r="M546" t="str">
            <v>unknown</v>
          </cell>
        </row>
        <row r="547">
          <cell r="A547">
            <v>546</v>
          </cell>
          <cell r="B547" t="str">
            <v>ja</v>
          </cell>
          <cell r="C547" t="str">
            <v>残響の連符 鏡音レン</v>
          </cell>
          <cell r="D547" t="str">
            <v>ガチャ:ミクコラボ01</v>
          </cell>
          <cell r="E547" t="str">
            <v>執行者</v>
          </cell>
          <cell r="F547" t="str">
            <v>格好いい</v>
          </cell>
          <cell r="G547" t="str">
            <v>男性</v>
          </cell>
          <cell r="H547" t="str">
            <v>yellow</v>
          </cell>
          <cell r="I547">
            <v>5</v>
          </cell>
          <cell r="J547" t="str">
            <v>PremiumSS</v>
          </cell>
          <cell r="K547" t="str">
            <v>heal</v>
          </cell>
          <cell r="L547" t="str">
            <v>回復タイプ</v>
          </cell>
          <cell r="M547" t="str">
            <v>unknown</v>
          </cell>
        </row>
        <row r="548">
          <cell r="A548">
            <v>547</v>
          </cell>
          <cell r="B548" t="str">
            <v>ja</v>
          </cell>
          <cell r="C548" t="str">
            <v>巡音ルカ</v>
          </cell>
          <cell r="D548" t="str">
            <v>ガチャ:ミクコラボ01</v>
          </cell>
          <cell r="E548" t="str">
            <v>執行者</v>
          </cell>
          <cell r="F548" t="str">
            <v>格好いい</v>
          </cell>
          <cell r="G548" t="str">
            <v>女性</v>
          </cell>
          <cell r="H548" t="str">
            <v>red</v>
          </cell>
          <cell r="I548">
            <v>3</v>
          </cell>
          <cell r="J548" t="str">
            <v>PremiumS</v>
          </cell>
          <cell r="K548" t="str">
            <v>attack</v>
          </cell>
          <cell r="L548" t="str">
            <v>攻撃タイプ</v>
          </cell>
          <cell r="M548" t="str">
            <v>unknown</v>
          </cell>
        </row>
        <row r="549">
          <cell r="A549">
            <v>548</v>
          </cell>
          <cell r="B549" t="str">
            <v>ja</v>
          </cell>
          <cell r="C549" t="str">
            <v>乱舞の音環 巡音ルカ</v>
          </cell>
          <cell r="D549" t="str">
            <v>ガチャ:ミクコラボ01</v>
          </cell>
          <cell r="E549" t="str">
            <v>執行者</v>
          </cell>
          <cell r="F549" t="str">
            <v>格好いい</v>
          </cell>
          <cell r="G549" t="str">
            <v>女性</v>
          </cell>
          <cell r="H549" t="str">
            <v>red</v>
          </cell>
          <cell r="I549">
            <v>4</v>
          </cell>
          <cell r="J549" t="str">
            <v>PremiumS</v>
          </cell>
          <cell r="K549" t="str">
            <v>attack</v>
          </cell>
          <cell r="L549" t="str">
            <v>攻撃タイプ</v>
          </cell>
          <cell r="M549" t="str">
            <v>unknown</v>
          </cell>
        </row>
        <row r="550">
          <cell r="A550">
            <v>549</v>
          </cell>
          <cell r="B550" t="str">
            <v>ja</v>
          </cell>
          <cell r="C550" t="str">
            <v>MEIKO</v>
          </cell>
          <cell r="D550" t="str">
            <v>ガチャ:ミクコラボ01</v>
          </cell>
          <cell r="E550" t="str">
            <v>執行者</v>
          </cell>
          <cell r="F550" t="str">
            <v>格好いい</v>
          </cell>
          <cell r="G550" t="str">
            <v>女性</v>
          </cell>
          <cell r="H550" t="str">
            <v>red</v>
          </cell>
          <cell r="I550">
            <v>3</v>
          </cell>
          <cell r="J550" t="str">
            <v>PremiumS</v>
          </cell>
          <cell r="K550" t="str">
            <v>hp</v>
          </cell>
          <cell r="L550" t="str">
            <v>体力タイプ</v>
          </cell>
          <cell r="M550" t="str">
            <v>unknown</v>
          </cell>
        </row>
        <row r="551">
          <cell r="A551">
            <v>550</v>
          </cell>
          <cell r="B551" t="str">
            <v>ja</v>
          </cell>
          <cell r="C551" t="str">
            <v>解放の絶唱 MEIKO</v>
          </cell>
          <cell r="D551" t="str">
            <v>ガチャ:ミクコラボ01</v>
          </cell>
          <cell r="E551" t="str">
            <v>執行者</v>
          </cell>
          <cell r="F551" t="str">
            <v>格好いい</v>
          </cell>
          <cell r="G551" t="str">
            <v>女性</v>
          </cell>
          <cell r="H551" t="str">
            <v>red</v>
          </cell>
          <cell r="I551">
            <v>4</v>
          </cell>
          <cell r="J551" t="str">
            <v>PremiumS</v>
          </cell>
          <cell r="K551" t="str">
            <v>hp</v>
          </cell>
          <cell r="L551" t="str">
            <v>体力タイプ</v>
          </cell>
          <cell r="M551" t="str">
            <v>unknown</v>
          </cell>
        </row>
        <row r="552">
          <cell r="A552">
            <v>551</v>
          </cell>
          <cell r="B552" t="str">
            <v>ja</v>
          </cell>
          <cell r="C552" t="str">
            <v>KAITO</v>
          </cell>
          <cell r="D552" t="str">
            <v>ガチャ:ミクコラボ01</v>
          </cell>
          <cell r="E552" t="str">
            <v>執行者</v>
          </cell>
          <cell r="F552" t="str">
            <v>格好いい</v>
          </cell>
          <cell r="G552" t="str">
            <v>男性</v>
          </cell>
          <cell r="H552" t="str">
            <v>blue</v>
          </cell>
          <cell r="I552">
            <v>3</v>
          </cell>
          <cell r="J552" t="str">
            <v>PremiumS</v>
          </cell>
          <cell r="K552" t="str">
            <v>technical</v>
          </cell>
          <cell r="L552" t="str">
            <v>テクニカルタイプ</v>
          </cell>
          <cell r="M552" t="str">
            <v>unknown</v>
          </cell>
        </row>
        <row r="553">
          <cell r="A553">
            <v>552</v>
          </cell>
          <cell r="B553" t="str">
            <v>ja</v>
          </cell>
          <cell r="C553" t="str">
            <v>愉悦の愛唱 KAITO</v>
          </cell>
          <cell r="D553" t="str">
            <v>ガチャ:ミクコラボ01</v>
          </cell>
          <cell r="E553" t="str">
            <v>執行者</v>
          </cell>
          <cell r="F553" t="str">
            <v>格好いい</v>
          </cell>
          <cell r="G553" t="str">
            <v>男性</v>
          </cell>
          <cell r="H553" t="str">
            <v>blue</v>
          </cell>
          <cell r="I553">
            <v>4</v>
          </cell>
          <cell r="J553" t="str">
            <v>PremiumS</v>
          </cell>
          <cell r="K553" t="str">
            <v>technical</v>
          </cell>
          <cell r="L553" t="str">
            <v>テクニカルタイプ</v>
          </cell>
          <cell r="M553" t="str">
            <v>unknown</v>
          </cell>
        </row>
        <row r="554">
          <cell r="A554">
            <v>553</v>
          </cell>
          <cell r="B554" t="str">
            <v>ja</v>
          </cell>
          <cell r="C554" t="str">
            <v>雪ミク2016</v>
          </cell>
          <cell r="D554" t="str">
            <v>イベント:ミクコラボ01</v>
          </cell>
          <cell r="E554" t="str">
            <v>執行者</v>
          </cell>
          <cell r="F554" t="str">
            <v>格好いい</v>
          </cell>
          <cell r="G554" t="str">
            <v>女性</v>
          </cell>
          <cell r="H554" t="str">
            <v>blue</v>
          </cell>
          <cell r="I554">
            <v>4</v>
          </cell>
          <cell r="J554" t="str">
            <v>Drop2N</v>
          </cell>
          <cell r="K554" t="str">
            <v>attack</v>
          </cell>
          <cell r="L554" t="str">
            <v>攻撃タイプ</v>
          </cell>
          <cell r="M554" t="str">
            <v>unknown</v>
          </cell>
        </row>
        <row r="555">
          <cell r="A555">
            <v>554</v>
          </cell>
          <cell r="B555" t="str">
            <v>ja</v>
          </cell>
          <cell r="C555" t="str">
            <v>雪ミク&amp;ラビット・ユキネ2016</v>
          </cell>
          <cell r="D555" t="str">
            <v>イベント:ミクコラボ01</v>
          </cell>
          <cell r="E555" t="str">
            <v>執行者</v>
          </cell>
          <cell r="F555" t="str">
            <v>格好いい</v>
          </cell>
          <cell r="G555" t="str">
            <v>女性</v>
          </cell>
          <cell r="H555" t="str">
            <v>blue</v>
          </cell>
          <cell r="I555">
            <v>5</v>
          </cell>
          <cell r="J555" t="str">
            <v>Drop2N</v>
          </cell>
          <cell r="K555" t="str">
            <v>attack</v>
          </cell>
          <cell r="L555" t="str">
            <v>攻撃タイプ</v>
          </cell>
          <cell r="M555" t="str">
            <v>unknown</v>
          </cell>
        </row>
        <row r="556">
          <cell r="A556">
            <v>555</v>
          </cell>
          <cell r="B556" t="str">
            <v>ja</v>
          </cell>
          <cell r="C556" t="str">
            <v>雪ミク2014</v>
          </cell>
          <cell r="D556" t="str">
            <v>イベント:ミクコラボ01</v>
          </cell>
          <cell r="E556" t="str">
            <v>執行者</v>
          </cell>
          <cell r="F556" t="str">
            <v>格好いい</v>
          </cell>
          <cell r="G556" t="str">
            <v>女性</v>
          </cell>
          <cell r="H556" t="str">
            <v>blue</v>
          </cell>
          <cell r="I556">
            <v>4</v>
          </cell>
          <cell r="J556" t="str">
            <v>Drop2N</v>
          </cell>
          <cell r="K556" t="str">
            <v>heal</v>
          </cell>
          <cell r="L556" t="str">
            <v>回復タイプ</v>
          </cell>
          <cell r="M556" t="str">
            <v>unknown</v>
          </cell>
        </row>
        <row r="557">
          <cell r="A557">
            <v>556</v>
          </cell>
          <cell r="B557" t="str">
            <v>ja</v>
          </cell>
          <cell r="C557" t="str">
            <v>雪ミク&amp;ラビットユキネ2014</v>
          </cell>
          <cell r="D557" t="str">
            <v>イベント:ミクコラボ01</v>
          </cell>
          <cell r="E557" t="str">
            <v>執行者</v>
          </cell>
          <cell r="F557" t="str">
            <v>格好いい</v>
          </cell>
          <cell r="G557" t="str">
            <v>女性</v>
          </cell>
          <cell r="H557" t="str">
            <v>blue</v>
          </cell>
          <cell r="I557">
            <v>5</v>
          </cell>
          <cell r="J557" t="str">
            <v>Drop2N</v>
          </cell>
          <cell r="K557" t="str">
            <v>heal</v>
          </cell>
          <cell r="L557" t="str">
            <v>回復タイプ</v>
          </cell>
          <cell r="M557" t="str">
            <v>unknown</v>
          </cell>
        </row>
        <row r="558">
          <cell r="A558">
            <v>557</v>
          </cell>
          <cell r="B558" t="str">
            <v>ja</v>
          </cell>
          <cell r="C558" t="str">
            <v>ラビット・ユキネ</v>
          </cell>
          <cell r="D558" t="str">
            <v>イベント:ミクコラボ01</v>
          </cell>
          <cell r="E558" t="str">
            <v>執行者</v>
          </cell>
          <cell r="F558" t="str">
            <v>格好いい</v>
          </cell>
          <cell r="G558" t="str">
            <v>不明</v>
          </cell>
          <cell r="H558" t="str">
            <v>blue</v>
          </cell>
          <cell r="I558">
            <v>3</v>
          </cell>
          <cell r="J558" t="str">
            <v>Drop2N</v>
          </cell>
          <cell r="K558" t="str">
            <v>balance</v>
          </cell>
          <cell r="L558" t="str">
            <v>バランスタイプ</v>
          </cell>
          <cell r="M558" t="str">
            <v>unknown</v>
          </cell>
        </row>
        <row r="559">
          <cell r="A559">
            <v>558</v>
          </cell>
          <cell r="B559" t="str">
            <v>ja</v>
          </cell>
          <cell r="C559" t="str">
            <v>雪原の超躍 ラビット・ユキネ</v>
          </cell>
          <cell r="D559" t="str">
            <v>イベント:ミクコラボ01</v>
          </cell>
          <cell r="E559" t="str">
            <v>執行者</v>
          </cell>
          <cell r="F559" t="str">
            <v>格好いい</v>
          </cell>
          <cell r="G559" t="str">
            <v>不明</v>
          </cell>
          <cell r="H559" t="str">
            <v>blue</v>
          </cell>
          <cell r="I559">
            <v>4</v>
          </cell>
          <cell r="J559" t="str">
            <v>Drop2N</v>
          </cell>
          <cell r="K559" t="str">
            <v>balance</v>
          </cell>
          <cell r="L559" t="str">
            <v>バランスタイプ</v>
          </cell>
          <cell r="M559" t="str">
            <v>unknown</v>
          </cell>
        </row>
        <row r="560">
          <cell r="A560">
            <v>559</v>
          </cell>
          <cell r="B560" t="str">
            <v>ja</v>
          </cell>
          <cell r="C560" t="str">
            <v>白銀の滑光 ラビット・ユキネ</v>
          </cell>
          <cell r="D560" t="str">
            <v>イベント:ミクコラボ01</v>
          </cell>
          <cell r="E560" t="str">
            <v>執行者</v>
          </cell>
          <cell r="F560" t="str">
            <v>格好いい</v>
          </cell>
          <cell r="G560" t="str">
            <v>不明</v>
          </cell>
          <cell r="H560" t="str">
            <v>blue</v>
          </cell>
          <cell r="I560">
            <v>5</v>
          </cell>
          <cell r="J560" t="str">
            <v>Drop2N</v>
          </cell>
          <cell r="K560" t="str">
            <v>balance</v>
          </cell>
          <cell r="L560" t="str">
            <v>バランスタイプ</v>
          </cell>
          <cell r="M560" t="str">
            <v>unknown</v>
          </cell>
        </row>
        <row r="561">
          <cell r="A561">
            <v>560</v>
          </cell>
          <cell r="B561" t="str">
            <v>ja</v>
          </cell>
          <cell r="C561" t="str">
            <v>暴骨炎舞の狂賢者 ユノ</v>
          </cell>
          <cell r="D561" t="str">
            <v>R５覚醒</v>
          </cell>
          <cell r="E561" t="str">
            <v>アバター</v>
          </cell>
          <cell r="F561" t="str">
            <v>美しい</v>
          </cell>
          <cell r="G561" t="str">
            <v>女性</v>
          </cell>
          <cell r="H561" t="str">
            <v>red</v>
          </cell>
          <cell r="I561">
            <v>5</v>
          </cell>
          <cell r="J561" t="str">
            <v>PremiumW</v>
          </cell>
          <cell r="K561" t="str">
            <v>attack</v>
          </cell>
          <cell r="L561" t="str">
            <v>攻撃タイプ</v>
          </cell>
          <cell r="M561" t="str">
            <v>human</v>
          </cell>
        </row>
        <row r="562">
          <cell r="A562">
            <v>561</v>
          </cell>
          <cell r="B562" t="str">
            <v>ja</v>
          </cell>
          <cell r="C562" t="str">
            <v>森翠統べる獣姫 アマラ</v>
          </cell>
          <cell r="D562" t="str">
            <v>R５覚醒</v>
          </cell>
          <cell r="E562" t="str">
            <v>アバター</v>
          </cell>
          <cell r="F562" t="str">
            <v>格好いい</v>
          </cell>
          <cell r="G562" t="str">
            <v>女性</v>
          </cell>
          <cell r="H562" t="str">
            <v>green</v>
          </cell>
          <cell r="I562">
            <v>5</v>
          </cell>
          <cell r="J562" t="str">
            <v>PremiumW</v>
          </cell>
          <cell r="K562" t="str">
            <v>attack</v>
          </cell>
          <cell r="L562" t="str">
            <v>攻撃タイプ</v>
          </cell>
          <cell r="M562" t="str">
            <v>human</v>
          </cell>
        </row>
        <row r="563">
          <cell r="A563">
            <v>562</v>
          </cell>
          <cell r="B563" t="str">
            <v>ja</v>
          </cell>
          <cell r="C563" t="str">
            <v>月夜砕く蒼狂狼 ローレンス</v>
          </cell>
          <cell r="D563" t="str">
            <v>R５覚醒</v>
          </cell>
          <cell r="E563" t="str">
            <v>アバター</v>
          </cell>
          <cell r="F563" t="str">
            <v>格好いい</v>
          </cell>
          <cell r="G563" t="str">
            <v>不明</v>
          </cell>
          <cell r="H563" t="str">
            <v>blue</v>
          </cell>
          <cell r="I563">
            <v>5</v>
          </cell>
          <cell r="J563" t="str">
            <v>PremiumW</v>
          </cell>
          <cell r="K563" t="str">
            <v>attack</v>
          </cell>
          <cell r="L563" t="str">
            <v>攻撃タイプ</v>
          </cell>
          <cell r="M563" t="str">
            <v>animal</v>
          </cell>
        </row>
        <row r="564">
          <cell r="A564">
            <v>563</v>
          </cell>
          <cell r="B564" t="str">
            <v>ja</v>
          </cell>
          <cell r="C564" t="str">
            <v>電翔紫閃の雷刃 ハヤト</v>
          </cell>
          <cell r="D564" t="str">
            <v>R５覚醒</v>
          </cell>
          <cell r="E564" t="str">
            <v>アバター</v>
          </cell>
          <cell r="F564" t="str">
            <v>格好いい</v>
          </cell>
          <cell r="G564" t="str">
            <v>男性</v>
          </cell>
          <cell r="H564" t="str">
            <v>yellow</v>
          </cell>
          <cell r="I564">
            <v>5</v>
          </cell>
          <cell r="J564" t="str">
            <v>PremiumW</v>
          </cell>
          <cell r="K564" t="str">
            <v>attack</v>
          </cell>
          <cell r="L564" t="str">
            <v>攻撃タイプ</v>
          </cell>
          <cell r="M564" t="str">
            <v>human</v>
          </cell>
        </row>
        <row r="565">
          <cell r="A565">
            <v>564</v>
          </cell>
          <cell r="B565" t="str">
            <v>ja</v>
          </cell>
          <cell r="C565" t="str">
            <v>赤ずきん</v>
          </cell>
          <cell r="D565" t="str">
            <v>未定</v>
          </cell>
          <cell r="E565" t="str">
            <v>執行者</v>
          </cell>
          <cell r="F565" t="str">
            <v>格好いい</v>
          </cell>
          <cell r="G565" t="str">
            <v>不明</v>
          </cell>
          <cell r="H565" t="str">
            <v>red</v>
          </cell>
          <cell r="I565">
            <v>5</v>
          </cell>
          <cell r="J565" t="str">
            <v>PremiumW</v>
          </cell>
          <cell r="K565" t="str">
            <v>balance</v>
          </cell>
          <cell r="L565" t="str">
            <v>バランスタイプ</v>
          </cell>
          <cell r="M565" t="str">
            <v>human</v>
          </cell>
        </row>
        <row r="566">
          <cell r="A566">
            <v>565</v>
          </cell>
          <cell r="B566" t="str">
            <v>ja</v>
          </cell>
          <cell r="C566" t="str">
            <v>かぐや</v>
          </cell>
          <cell r="D566" t="str">
            <v>未定</v>
          </cell>
          <cell r="E566" t="str">
            <v>執行者</v>
          </cell>
          <cell r="F566" t="str">
            <v>格好いい</v>
          </cell>
          <cell r="G566" t="str">
            <v>不明</v>
          </cell>
          <cell r="H566" t="str">
            <v>green</v>
          </cell>
          <cell r="I566">
            <v>5</v>
          </cell>
          <cell r="J566" t="str">
            <v>PremiumW</v>
          </cell>
          <cell r="K566" t="str">
            <v>hp</v>
          </cell>
          <cell r="L566" t="str">
            <v>体力タイプ</v>
          </cell>
          <cell r="M566" t="str">
            <v>human</v>
          </cell>
        </row>
        <row r="567">
          <cell r="A567">
            <v>566</v>
          </cell>
          <cell r="B567" t="str">
            <v>ja</v>
          </cell>
          <cell r="C567" t="str">
            <v>遊歩遊泳プリンセス マーメイド</v>
          </cell>
          <cell r="D567" t="str">
            <v>未定</v>
          </cell>
          <cell r="E567" t="str">
            <v>執行者</v>
          </cell>
          <cell r="F567" t="str">
            <v>格好いい</v>
          </cell>
          <cell r="G567" t="str">
            <v>不明</v>
          </cell>
          <cell r="H567" t="str">
            <v>blue</v>
          </cell>
          <cell r="I567">
            <v>5</v>
          </cell>
          <cell r="J567" t="str">
            <v>PremiumW</v>
          </cell>
          <cell r="K567" t="str">
            <v>hp</v>
          </cell>
          <cell r="L567" t="str">
            <v>体力タイプ</v>
          </cell>
          <cell r="M567" t="str">
            <v>human</v>
          </cell>
        </row>
        <row r="568">
          <cell r="A568">
            <v>567</v>
          </cell>
          <cell r="B568" t="str">
            <v>ja</v>
          </cell>
          <cell r="C568" t="str">
            <v>紅揚の祭狐宴舞 タマモ</v>
          </cell>
          <cell r="D568" t="str">
            <v>未定</v>
          </cell>
          <cell r="E568" t="str">
            <v>執行者</v>
          </cell>
          <cell r="F568" t="str">
            <v>格好いい</v>
          </cell>
          <cell r="G568" t="str">
            <v>不明</v>
          </cell>
          <cell r="H568" t="str">
            <v>yellow</v>
          </cell>
          <cell r="I568">
            <v>5</v>
          </cell>
          <cell r="J568" t="str">
            <v>PremiumW</v>
          </cell>
          <cell r="K568" t="str">
            <v>balance</v>
          </cell>
          <cell r="L568" t="str">
            <v>バランスタイプ</v>
          </cell>
          <cell r="M568" t="str">
            <v>animal</v>
          </cell>
        </row>
        <row r="569">
          <cell r="A569">
            <v>568</v>
          </cell>
          <cell r="B569" t="str">
            <v>ja</v>
          </cell>
          <cell r="C569" t="str">
            <v>空駆ける電能師 テスラ</v>
          </cell>
          <cell r="D569" t="str">
            <v>未定</v>
          </cell>
          <cell r="E569" t="str">
            <v>執行者</v>
          </cell>
          <cell r="F569" t="str">
            <v>格好いい</v>
          </cell>
          <cell r="G569" t="str">
            <v>不明</v>
          </cell>
          <cell r="H569" t="str">
            <v>yellow</v>
          </cell>
          <cell r="I569">
            <v>6</v>
          </cell>
          <cell r="J569" t="str">
            <v>DropWizS</v>
          </cell>
          <cell r="K569" t="str">
            <v>balance</v>
          </cell>
          <cell r="L569" t="str">
            <v>バランスタイプ</v>
          </cell>
          <cell r="M569" t="str">
            <v>human</v>
          </cell>
        </row>
        <row r="570">
          <cell r="A570">
            <v>569</v>
          </cell>
          <cell r="B570" t="str">
            <v>ja</v>
          </cell>
          <cell r="C570" t="str">
            <v>ハッピー102</v>
          </cell>
          <cell r="D570" t="str">
            <v>イベント:ウィルス01</v>
          </cell>
          <cell r="E570" t="str">
            <v>ウィルス</v>
          </cell>
          <cell r="F570" t="str">
            <v>世界観</v>
          </cell>
          <cell r="G570" t="str">
            <v>女性</v>
          </cell>
          <cell r="H570" t="str">
            <v>green</v>
          </cell>
          <cell r="I570">
            <v>5</v>
          </cell>
          <cell r="J570" t="str">
            <v>DropWizS</v>
          </cell>
          <cell r="K570" t="str">
            <v>heal</v>
          </cell>
          <cell r="L570" t="str">
            <v>回復タイプ</v>
          </cell>
          <cell r="M570" t="str">
            <v>unknown</v>
          </cell>
        </row>
        <row r="571">
          <cell r="A571">
            <v>570</v>
          </cell>
          <cell r="B571" t="str">
            <v>ja</v>
          </cell>
          <cell r="C571" t="str">
            <v>幸響の電心 ハッピー</v>
          </cell>
          <cell r="D571" t="str">
            <v>イベント:ウィルス01</v>
          </cell>
          <cell r="E571" t="str">
            <v>ウィルス</v>
          </cell>
          <cell r="F571" t="str">
            <v>世界観</v>
          </cell>
          <cell r="G571" t="str">
            <v>女性</v>
          </cell>
          <cell r="H571" t="str">
            <v>green</v>
          </cell>
          <cell r="I571">
            <v>6</v>
          </cell>
          <cell r="J571" t="str">
            <v>DropWizS</v>
          </cell>
          <cell r="K571" t="str">
            <v>heal</v>
          </cell>
          <cell r="L571" t="str">
            <v>回復タイプ</v>
          </cell>
          <cell r="M571" t="str">
            <v>unknown</v>
          </cell>
        </row>
        <row r="572">
          <cell r="A572">
            <v>571</v>
          </cell>
          <cell r="B572" t="str">
            <v>ja</v>
          </cell>
          <cell r="C572" t="str">
            <v>ハッピー バレンタイン</v>
          </cell>
          <cell r="D572" t="str">
            <v>イベント:バレンタイン</v>
          </cell>
          <cell r="E572" t="str">
            <v>ウィルス</v>
          </cell>
          <cell r="F572" t="str">
            <v>かわいい</v>
          </cell>
          <cell r="G572" t="str">
            <v>女性</v>
          </cell>
          <cell r="H572" t="str">
            <v>green</v>
          </cell>
          <cell r="I572">
            <v>3</v>
          </cell>
          <cell r="J572" t="str">
            <v>DropWizW</v>
          </cell>
          <cell r="K572" t="str">
            <v>heal</v>
          </cell>
          <cell r="L572" t="str">
            <v>回復タイプ</v>
          </cell>
          <cell r="M572" t="str">
            <v>unknown</v>
          </cell>
        </row>
        <row r="573">
          <cell r="A573">
            <v>572</v>
          </cell>
          <cell r="B573" t="str">
            <v>ja</v>
          </cell>
          <cell r="C573" t="str">
            <v>恋する果実</v>
          </cell>
          <cell r="D573" t="str">
            <v>イベント:バレンタイン</v>
          </cell>
          <cell r="E573" t="str">
            <v>アリス</v>
          </cell>
          <cell r="F573" t="str">
            <v>世界観</v>
          </cell>
          <cell r="G573" t="str">
            <v>不明</v>
          </cell>
          <cell r="H573" t="str">
            <v>blue</v>
          </cell>
          <cell r="I573">
            <v>3</v>
          </cell>
          <cell r="J573" t="str">
            <v>Material</v>
          </cell>
          <cell r="K573" t="str">
            <v>skilllevel</v>
          </cell>
          <cell r="L573" t="str">
            <v>スキルレベル素材</v>
          </cell>
          <cell r="M573" t="str">
            <v>unknown</v>
          </cell>
        </row>
        <row r="574">
          <cell r="A574">
            <v>573</v>
          </cell>
          <cell r="B574" t="str">
            <v>ja</v>
          </cell>
          <cell r="C574" t="str">
            <v>オーディン</v>
          </cell>
          <cell r="D574" t="str">
            <v>イベント:超ウィザード</v>
          </cell>
          <cell r="E574" t="str">
            <v>執行者</v>
          </cell>
          <cell r="F574" t="str">
            <v>格好いい</v>
          </cell>
          <cell r="G574" t="str">
            <v>男性</v>
          </cell>
          <cell r="H574" t="str">
            <v>blue</v>
          </cell>
          <cell r="I574">
            <v>4</v>
          </cell>
          <cell r="J574" t="str">
            <v>DropWizSS</v>
          </cell>
          <cell r="K574" t="str">
            <v>hp</v>
          </cell>
          <cell r="L574" t="str">
            <v>体力タイプ</v>
          </cell>
          <cell r="M574" t="str">
            <v>machine</v>
          </cell>
        </row>
        <row r="575">
          <cell r="A575">
            <v>574</v>
          </cell>
          <cell r="B575" t="str">
            <v>ja</v>
          </cell>
          <cell r="C575" t="str">
            <v>世慧の守神 オーディン</v>
          </cell>
          <cell r="D575" t="str">
            <v>イベント:超ウィザード</v>
          </cell>
          <cell r="E575" t="str">
            <v>執行者</v>
          </cell>
          <cell r="F575" t="str">
            <v>格好いい</v>
          </cell>
          <cell r="G575" t="str">
            <v>男性</v>
          </cell>
          <cell r="H575" t="str">
            <v>blue</v>
          </cell>
          <cell r="I575">
            <v>5</v>
          </cell>
          <cell r="J575" t="str">
            <v>DropWizSS</v>
          </cell>
          <cell r="K575" t="str">
            <v>hp</v>
          </cell>
          <cell r="L575" t="str">
            <v>体力タイプ</v>
          </cell>
          <cell r="M575" t="str">
            <v>machine</v>
          </cell>
        </row>
        <row r="576">
          <cell r="A576">
            <v>575</v>
          </cell>
          <cell r="B576" t="str">
            <v>ja</v>
          </cell>
          <cell r="C576" t="str">
            <v>フレイ</v>
          </cell>
          <cell r="D576" t="str">
            <v>イベント:ウィザード</v>
          </cell>
          <cell r="E576" t="str">
            <v>執行者</v>
          </cell>
          <cell r="F576" t="str">
            <v>格好いい</v>
          </cell>
          <cell r="G576" t="str">
            <v>男性</v>
          </cell>
          <cell r="H576" t="str">
            <v>red</v>
          </cell>
          <cell r="I576">
            <v>4</v>
          </cell>
          <cell r="J576" t="str">
            <v>DropWizS</v>
          </cell>
          <cell r="K576" t="str">
            <v>attack</v>
          </cell>
          <cell r="L576" t="str">
            <v>攻撃タイプ</v>
          </cell>
          <cell r="M576" t="str">
            <v>animal</v>
          </cell>
        </row>
        <row r="577">
          <cell r="A577">
            <v>576</v>
          </cell>
          <cell r="B577" t="str">
            <v>ja</v>
          </cell>
          <cell r="C577" t="str">
            <v>統勝の豊穣王神 フレイ</v>
          </cell>
          <cell r="D577" t="str">
            <v>イベント:ウィザード</v>
          </cell>
          <cell r="E577" t="str">
            <v>執行者</v>
          </cell>
          <cell r="F577" t="str">
            <v>格好いい</v>
          </cell>
          <cell r="G577" t="str">
            <v>男性</v>
          </cell>
          <cell r="H577" t="str">
            <v>red</v>
          </cell>
          <cell r="I577">
            <v>5</v>
          </cell>
          <cell r="J577" t="str">
            <v>DropWizS</v>
          </cell>
          <cell r="K577" t="str">
            <v>attack</v>
          </cell>
          <cell r="L577" t="str">
            <v>攻撃タイプ</v>
          </cell>
          <cell r="M577" t="str">
            <v>animal</v>
          </cell>
        </row>
        <row r="578">
          <cell r="A578">
            <v>577</v>
          </cell>
          <cell r="B578" t="str">
            <v>ja</v>
          </cell>
          <cell r="C578" t="str">
            <v>ビュグヴィルとベイラ</v>
          </cell>
          <cell r="D578" t="str">
            <v>イベント:北欧01</v>
          </cell>
          <cell r="E578" t="str">
            <v>執行者</v>
          </cell>
          <cell r="F578" t="str">
            <v>格好いい</v>
          </cell>
          <cell r="G578" t="str">
            <v>女性</v>
          </cell>
          <cell r="H578" t="str">
            <v>red</v>
          </cell>
          <cell r="I578">
            <v>4</v>
          </cell>
          <cell r="J578" t="str">
            <v>Drop2N</v>
          </cell>
          <cell r="K578" t="str">
            <v>heal</v>
          </cell>
          <cell r="L578" t="str">
            <v>回復タイプ</v>
          </cell>
          <cell r="M578" t="str">
            <v>unknown</v>
          </cell>
        </row>
        <row r="579">
          <cell r="A579">
            <v>578</v>
          </cell>
          <cell r="B579" t="str">
            <v>ja</v>
          </cell>
          <cell r="C579" t="str">
            <v>穣神従事 ビュグヴィルとベイラ</v>
          </cell>
          <cell r="D579" t="str">
            <v>イベント:北欧01</v>
          </cell>
          <cell r="E579" t="str">
            <v>執行者</v>
          </cell>
          <cell r="F579" t="str">
            <v>格好いい</v>
          </cell>
          <cell r="G579" t="str">
            <v>女性</v>
          </cell>
          <cell r="H579" t="str">
            <v>red</v>
          </cell>
          <cell r="I579">
            <v>5</v>
          </cell>
          <cell r="J579" t="str">
            <v>Drop2N</v>
          </cell>
          <cell r="K579" t="str">
            <v>heal</v>
          </cell>
          <cell r="L579" t="str">
            <v>回復タイプ</v>
          </cell>
          <cell r="M579" t="str">
            <v>unknown</v>
          </cell>
        </row>
        <row r="580">
          <cell r="A580">
            <v>579</v>
          </cell>
          <cell r="B580" t="str">
            <v>ja</v>
          </cell>
          <cell r="C580" t="str">
            <v>オーズ</v>
          </cell>
          <cell r="D580" t="str">
            <v>イベント:北欧01</v>
          </cell>
          <cell r="E580" t="str">
            <v>執行者</v>
          </cell>
          <cell r="F580" t="str">
            <v>格好いい</v>
          </cell>
          <cell r="G580" t="str">
            <v>男性</v>
          </cell>
          <cell r="H580" t="str">
            <v>green</v>
          </cell>
          <cell r="I580">
            <v>4</v>
          </cell>
          <cell r="J580" t="str">
            <v>Drop2N</v>
          </cell>
          <cell r="K580" t="str">
            <v>technical</v>
          </cell>
          <cell r="L580" t="str">
            <v>テクニカルタイプ</v>
          </cell>
          <cell r="M580" t="str">
            <v>god</v>
          </cell>
        </row>
        <row r="581">
          <cell r="A581">
            <v>580</v>
          </cell>
          <cell r="B581" t="str">
            <v>ja</v>
          </cell>
          <cell r="C581" t="str">
            <v>愛憐の旅神 オーズ</v>
          </cell>
          <cell r="D581" t="str">
            <v>イベント:北欧01</v>
          </cell>
          <cell r="E581" t="str">
            <v>執行者</v>
          </cell>
          <cell r="F581" t="str">
            <v>格好いい</v>
          </cell>
          <cell r="G581" t="str">
            <v>男性</v>
          </cell>
          <cell r="H581" t="str">
            <v>green</v>
          </cell>
          <cell r="I581">
            <v>5</v>
          </cell>
          <cell r="J581" t="str">
            <v>Drop2N</v>
          </cell>
          <cell r="K581" t="str">
            <v>technical</v>
          </cell>
          <cell r="L581" t="str">
            <v>テクニカルタイプ</v>
          </cell>
          <cell r="M581" t="str">
            <v>god</v>
          </cell>
        </row>
        <row r="582">
          <cell r="A582">
            <v>581</v>
          </cell>
          <cell r="B582" t="str">
            <v>ja</v>
          </cell>
          <cell r="C582" t="str">
            <v>フギンとムニン</v>
          </cell>
          <cell r="D582" t="str">
            <v>イベント:ウィザード</v>
          </cell>
          <cell r="E582" t="str">
            <v>執行者</v>
          </cell>
          <cell r="F582" t="str">
            <v>格好いい</v>
          </cell>
          <cell r="G582" t="str">
            <v>不明</v>
          </cell>
          <cell r="H582" t="str">
            <v>blue</v>
          </cell>
          <cell r="I582">
            <v>4</v>
          </cell>
          <cell r="J582" t="str">
            <v>DropWizS</v>
          </cell>
          <cell r="K582" t="str">
            <v>technical</v>
          </cell>
          <cell r="L582" t="str">
            <v>テクニカルタイプ</v>
          </cell>
          <cell r="M582" t="str">
            <v>machine</v>
          </cell>
        </row>
        <row r="583">
          <cell r="A583">
            <v>582</v>
          </cell>
          <cell r="B583" t="str">
            <v>ja</v>
          </cell>
          <cell r="C583" t="str">
            <v>空を駆る双鴉 フギンとムニン</v>
          </cell>
          <cell r="D583" t="str">
            <v>イベント:ウィザード</v>
          </cell>
          <cell r="E583" t="str">
            <v>執行者</v>
          </cell>
          <cell r="F583" t="str">
            <v>格好いい</v>
          </cell>
          <cell r="G583" t="str">
            <v>不明</v>
          </cell>
          <cell r="H583" t="str">
            <v>blue</v>
          </cell>
          <cell r="I583">
            <v>5</v>
          </cell>
          <cell r="J583" t="str">
            <v>DropWizS</v>
          </cell>
          <cell r="K583" t="str">
            <v>technical</v>
          </cell>
          <cell r="L583" t="str">
            <v>テクニカルタイプ</v>
          </cell>
          <cell r="M583" t="str">
            <v>machine</v>
          </cell>
        </row>
        <row r="584">
          <cell r="A584">
            <v>583</v>
          </cell>
          <cell r="B584" t="str">
            <v>ja</v>
          </cell>
          <cell r="C584" t="str">
            <v>ミョルニル</v>
          </cell>
          <cell r="D584" t="str">
            <v>イベント:北欧01</v>
          </cell>
          <cell r="E584" t="str">
            <v>執行者</v>
          </cell>
          <cell r="F584" t="str">
            <v>格好いい</v>
          </cell>
          <cell r="G584" t="str">
            <v>不明</v>
          </cell>
          <cell r="H584" t="str">
            <v>yellow</v>
          </cell>
          <cell r="I584">
            <v>4</v>
          </cell>
          <cell r="J584" t="str">
            <v>Drop2N</v>
          </cell>
          <cell r="K584" t="str">
            <v>attack</v>
          </cell>
          <cell r="L584" t="str">
            <v>攻撃タイプ</v>
          </cell>
          <cell r="M584" t="str">
            <v>machine</v>
          </cell>
        </row>
        <row r="585">
          <cell r="A585">
            <v>584</v>
          </cell>
          <cell r="B585" t="str">
            <v>ja</v>
          </cell>
          <cell r="C585" t="str">
            <v>自律する召雷鎚 ミョルニル</v>
          </cell>
          <cell r="D585" t="str">
            <v>イベント:北欧01</v>
          </cell>
          <cell r="E585" t="str">
            <v>執行者</v>
          </cell>
          <cell r="F585" t="str">
            <v>格好いい</v>
          </cell>
          <cell r="G585" t="str">
            <v>不明</v>
          </cell>
          <cell r="H585" t="str">
            <v>yellow</v>
          </cell>
          <cell r="I585">
            <v>5</v>
          </cell>
          <cell r="J585" t="str">
            <v>Drop2N</v>
          </cell>
          <cell r="K585" t="str">
            <v>attack</v>
          </cell>
          <cell r="L585" t="str">
            <v>攻撃タイプ</v>
          </cell>
          <cell r="M585" t="str">
            <v>machine</v>
          </cell>
        </row>
        <row r="586">
          <cell r="A586">
            <v>585</v>
          </cell>
          <cell r="B586" t="str">
            <v>ja</v>
          </cell>
          <cell r="C586" t="str">
            <v>未定</v>
          </cell>
          <cell r="D586" t="str">
            <v>未定</v>
          </cell>
          <cell r="E586" t="str">
            <v>執行者</v>
          </cell>
          <cell r="F586" t="str">
            <v>格好いい</v>
          </cell>
          <cell r="G586" t="str">
            <v>男性</v>
          </cell>
          <cell r="H586" t="str">
            <v>red</v>
          </cell>
          <cell r="I586">
            <v>3</v>
          </cell>
          <cell r="J586" t="str">
            <v>PremiumS</v>
          </cell>
          <cell r="K586" t="str">
            <v>hp</v>
          </cell>
          <cell r="L586" t="str">
            <v>体力タイプ</v>
          </cell>
          <cell r="M586" t="str">
            <v>machine</v>
          </cell>
        </row>
        <row r="587">
          <cell r="A587">
            <v>586</v>
          </cell>
          <cell r="B587" t="str">
            <v>ja</v>
          </cell>
          <cell r="C587" t="str">
            <v>ユミル</v>
          </cell>
          <cell r="D587" t="str">
            <v>ガチャ:北欧01</v>
          </cell>
          <cell r="E587" t="str">
            <v>執行者</v>
          </cell>
          <cell r="F587" t="str">
            <v>格好いい</v>
          </cell>
          <cell r="G587" t="str">
            <v>不明</v>
          </cell>
          <cell r="H587" t="str">
            <v>red</v>
          </cell>
          <cell r="I587">
            <v>4</v>
          </cell>
          <cell r="J587" t="str">
            <v>PremiumSS</v>
          </cell>
          <cell r="K587" t="str">
            <v>hp</v>
          </cell>
          <cell r="L587" t="str">
            <v>体力タイプ</v>
          </cell>
          <cell r="M587" t="str">
            <v>machine</v>
          </cell>
        </row>
        <row r="588">
          <cell r="A588">
            <v>587</v>
          </cell>
          <cell r="B588" t="str">
            <v>ja</v>
          </cell>
          <cell r="C588" t="str">
            <v>原初の煉鋼巨刃 ユミル</v>
          </cell>
          <cell r="D588" t="str">
            <v>ガチャ:北欧01</v>
          </cell>
          <cell r="E588" t="str">
            <v>執行者</v>
          </cell>
          <cell r="F588" t="str">
            <v>格好いい</v>
          </cell>
          <cell r="G588" t="str">
            <v>不明</v>
          </cell>
          <cell r="H588" t="str">
            <v>red</v>
          </cell>
          <cell r="I588">
            <v>5</v>
          </cell>
          <cell r="J588" t="str">
            <v>PremiumSS</v>
          </cell>
          <cell r="K588" t="str">
            <v>hp</v>
          </cell>
          <cell r="L588" t="str">
            <v>体力タイプ</v>
          </cell>
          <cell r="M588" t="str">
            <v>machine</v>
          </cell>
        </row>
        <row r="589">
          <cell r="A589">
            <v>588</v>
          </cell>
          <cell r="B589" t="str">
            <v>ja</v>
          </cell>
          <cell r="C589" t="str">
            <v>ニーベルゲン</v>
          </cell>
          <cell r="D589" t="str">
            <v>ガチャ:北欧01</v>
          </cell>
          <cell r="E589" t="str">
            <v>執行者</v>
          </cell>
          <cell r="F589" t="str">
            <v>格好いい</v>
          </cell>
          <cell r="G589" t="str">
            <v>女性</v>
          </cell>
          <cell r="H589" t="str">
            <v>green</v>
          </cell>
          <cell r="I589">
            <v>3</v>
          </cell>
          <cell r="J589" t="str">
            <v>PremiumS</v>
          </cell>
          <cell r="K589" t="str">
            <v>balance</v>
          </cell>
          <cell r="L589" t="str">
            <v>バランスタイプ</v>
          </cell>
          <cell r="M589" t="str">
            <v>unknown</v>
          </cell>
        </row>
        <row r="590">
          <cell r="A590">
            <v>589</v>
          </cell>
          <cell r="B590" t="str">
            <v>ja</v>
          </cell>
          <cell r="C590" t="str">
            <v>不幸の円環 ニーベルゲン</v>
          </cell>
          <cell r="D590" t="str">
            <v>ガチャ:北欧01</v>
          </cell>
          <cell r="E590" t="str">
            <v>執行者</v>
          </cell>
          <cell r="F590" t="str">
            <v>格好いい</v>
          </cell>
          <cell r="G590" t="str">
            <v>女性</v>
          </cell>
          <cell r="H590" t="str">
            <v>green</v>
          </cell>
          <cell r="I590">
            <v>4</v>
          </cell>
          <cell r="J590" t="str">
            <v>PremiumS</v>
          </cell>
          <cell r="K590" t="str">
            <v>balance</v>
          </cell>
          <cell r="L590" t="str">
            <v>バランスタイプ</v>
          </cell>
          <cell r="M590" t="str">
            <v>unknown</v>
          </cell>
        </row>
        <row r="591">
          <cell r="A591">
            <v>590</v>
          </cell>
          <cell r="B591" t="str">
            <v>ja</v>
          </cell>
          <cell r="C591" t="str">
            <v>永遠を廻る呪い ニーベルゲン</v>
          </cell>
          <cell r="D591" t="str">
            <v>ガチャ:北欧01</v>
          </cell>
          <cell r="E591" t="str">
            <v>執行者</v>
          </cell>
          <cell r="F591" t="str">
            <v>格好いい</v>
          </cell>
          <cell r="G591" t="str">
            <v>女性</v>
          </cell>
          <cell r="H591" t="str">
            <v>green</v>
          </cell>
          <cell r="I591">
            <v>5</v>
          </cell>
          <cell r="J591" t="str">
            <v>PremiumS</v>
          </cell>
          <cell r="K591" t="str">
            <v>balance</v>
          </cell>
          <cell r="L591" t="str">
            <v>バランスタイプ</v>
          </cell>
          <cell r="M591" t="str">
            <v>unknown</v>
          </cell>
        </row>
        <row r="592">
          <cell r="A592">
            <v>591</v>
          </cell>
          <cell r="B592" t="str">
            <v>ja</v>
          </cell>
          <cell r="C592" t="str">
            <v>ファフニール</v>
          </cell>
          <cell r="D592" t="str">
            <v>ガチャ:北欧01</v>
          </cell>
          <cell r="E592" t="str">
            <v>執行者</v>
          </cell>
          <cell r="F592" t="str">
            <v>格好いい</v>
          </cell>
          <cell r="G592" t="str">
            <v>不明</v>
          </cell>
          <cell r="H592" t="str">
            <v>blue</v>
          </cell>
          <cell r="I592">
            <v>3</v>
          </cell>
          <cell r="J592" t="str">
            <v>PremiumS</v>
          </cell>
          <cell r="K592" t="str">
            <v>technical</v>
          </cell>
          <cell r="L592" t="str">
            <v>テクニカルタイプ</v>
          </cell>
          <cell r="M592" t="str">
            <v>dragon</v>
          </cell>
        </row>
        <row r="593">
          <cell r="A593">
            <v>592</v>
          </cell>
          <cell r="B593" t="str">
            <v>ja</v>
          </cell>
          <cell r="C593" t="str">
            <v>財宝への執着 ファフニール</v>
          </cell>
          <cell r="D593" t="str">
            <v>ガチャ:北欧01</v>
          </cell>
          <cell r="E593" t="str">
            <v>執行者</v>
          </cell>
          <cell r="F593" t="str">
            <v>格好いい</v>
          </cell>
          <cell r="G593" t="str">
            <v>不明</v>
          </cell>
          <cell r="H593" t="str">
            <v>blue</v>
          </cell>
          <cell r="I593">
            <v>4</v>
          </cell>
          <cell r="J593" t="str">
            <v>PremiumS</v>
          </cell>
          <cell r="K593" t="str">
            <v>technical</v>
          </cell>
          <cell r="L593" t="str">
            <v>テクニカルタイプ</v>
          </cell>
          <cell r="M593" t="str">
            <v>dragon</v>
          </cell>
        </row>
        <row r="594">
          <cell r="A594">
            <v>593</v>
          </cell>
          <cell r="B594" t="str">
            <v>ja</v>
          </cell>
          <cell r="C594" t="str">
            <v>妄執する邪毒龍 ファフニール</v>
          </cell>
          <cell r="D594" t="str">
            <v>ガチャ:北欧01</v>
          </cell>
          <cell r="E594" t="str">
            <v>執行者</v>
          </cell>
          <cell r="F594" t="str">
            <v>格好いい</v>
          </cell>
          <cell r="G594" t="str">
            <v>不明</v>
          </cell>
          <cell r="H594" t="str">
            <v>blue</v>
          </cell>
          <cell r="I594">
            <v>5</v>
          </cell>
          <cell r="J594" t="str">
            <v>PremiumS</v>
          </cell>
          <cell r="K594" t="str">
            <v>technical</v>
          </cell>
          <cell r="L594" t="str">
            <v>テクニカルタイプ</v>
          </cell>
          <cell r="M594" t="str">
            <v>dragon</v>
          </cell>
        </row>
        <row r="595">
          <cell r="A595">
            <v>594</v>
          </cell>
          <cell r="B595" t="str">
            <v>ja</v>
          </cell>
          <cell r="C595" t="str">
            <v>アルフヘイム</v>
          </cell>
          <cell r="D595" t="str">
            <v>ガチャ:北欧01</v>
          </cell>
          <cell r="E595" t="str">
            <v>執行者</v>
          </cell>
          <cell r="F595" t="str">
            <v>格好いい</v>
          </cell>
          <cell r="G595" t="str">
            <v>不明</v>
          </cell>
          <cell r="H595" t="str">
            <v>yellow</v>
          </cell>
          <cell r="I595">
            <v>4</v>
          </cell>
          <cell r="J595" t="str">
            <v>PremiumSS</v>
          </cell>
          <cell r="K595" t="str">
            <v>attack</v>
          </cell>
          <cell r="L595" t="str">
            <v>攻撃タイプ</v>
          </cell>
          <cell r="M595" t="str">
            <v>dragon</v>
          </cell>
        </row>
        <row r="596">
          <cell r="A596">
            <v>595</v>
          </cell>
          <cell r="B596" t="str">
            <v>ja</v>
          </cell>
          <cell r="C596" t="str">
            <v>光華なる神域 アルフヘイム</v>
          </cell>
          <cell r="D596" t="str">
            <v>ガチャ:北欧01</v>
          </cell>
          <cell r="E596" t="str">
            <v>執行者</v>
          </cell>
          <cell r="F596" t="str">
            <v>格好いい</v>
          </cell>
          <cell r="G596" t="str">
            <v>不明</v>
          </cell>
          <cell r="H596" t="str">
            <v>yellow</v>
          </cell>
          <cell r="I596">
            <v>5</v>
          </cell>
          <cell r="J596" t="str">
            <v>PremiumSS</v>
          </cell>
          <cell r="K596" t="str">
            <v>attack</v>
          </cell>
          <cell r="L596" t="str">
            <v>攻撃タイプ</v>
          </cell>
          <cell r="M596" t="str">
            <v>dragon</v>
          </cell>
        </row>
        <row r="597">
          <cell r="A597">
            <v>596</v>
          </cell>
          <cell r="B597" t="str">
            <v>ja</v>
          </cell>
          <cell r="C597" t="str">
            <v>ムスペルヘイム</v>
          </cell>
          <cell r="D597" t="str">
            <v>ガチャ:北欧02</v>
          </cell>
          <cell r="E597" t="str">
            <v>執行者</v>
          </cell>
          <cell r="F597" t="str">
            <v>格好いい</v>
          </cell>
          <cell r="G597" t="str">
            <v>男性</v>
          </cell>
          <cell r="H597" t="str">
            <v>red</v>
          </cell>
          <cell r="I597">
            <v>3</v>
          </cell>
          <cell r="J597" t="str">
            <v>PremiumS</v>
          </cell>
          <cell r="K597" t="str">
            <v>balance</v>
          </cell>
          <cell r="L597" t="str">
            <v>バランスタイプ</v>
          </cell>
          <cell r="M597" t="str">
            <v>human</v>
          </cell>
        </row>
        <row r="598">
          <cell r="A598">
            <v>597</v>
          </cell>
          <cell r="B598" t="str">
            <v>ja</v>
          </cell>
          <cell r="C598" t="str">
            <v>灼熱の魂 ムスペルヘイム</v>
          </cell>
          <cell r="D598" t="str">
            <v>ガチャ:北欧02</v>
          </cell>
          <cell r="E598" t="str">
            <v>執行者</v>
          </cell>
          <cell r="F598" t="str">
            <v>格好いい</v>
          </cell>
          <cell r="G598" t="str">
            <v>男性</v>
          </cell>
          <cell r="H598" t="str">
            <v>red</v>
          </cell>
          <cell r="I598">
            <v>4</v>
          </cell>
          <cell r="J598" t="str">
            <v>PremiumS</v>
          </cell>
          <cell r="K598" t="str">
            <v>balance</v>
          </cell>
          <cell r="L598" t="str">
            <v>バランスタイプ</v>
          </cell>
          <cell r="M598" t="str">
            <v>human</v>
          </cell>
        </row>
        <row r="599">
          <cell r="A599">
            <v>598</v>
          </cell>
          <cell r="B599" t="str">
            <v>ja</v>
          </cell>
          <cell r="C599" t="str">
            <v>焼燃の情熱 ムスペルヘイム</v>
          </cell>
          <cell r="D599" t="str">
            <v>ガチャ:北欧02</v>
          </cell>
          <cell r="E599" t="str">
            <v>執行者</v>
          </cell>
          <cell r="F599" t="str">
            <v>格好いい</v>
          </cell>
          <cell r="G599" t="str">
            <v>男性</v>
          </cell>
          <cell r="H599" t="str">
            <v>red</v>
          </cell>
          <cell r="I599">
            <v>5</v>
          </cell>
          <cell r="J599" t="str">
            <v>PremiumS</v>
          </cell>
          <cell r="K599" t="str">
            <v>balance</v>
          </cell>
          <cell r="L599" t="str">
            <v>バランスタイプ</v>
          </cell>
          <cell r="M599" t="str">
            <v>human</v>
          </cell>
        </row>
        <row r="600">
          <cell r="A600">
            <v>599</v>
          </cell>
          <cell r="B600" t="str">
            <v>ja</v>
          </cell>
          <cell r="C600" t="str">
            <v>ニーズヘッグ</v>
          </cell>
          <cell r="D600" t="str">
            <v>ガチャ:北欧02</v>
          </cell>
          <cell r="E600" t="str">
            <v>執行者</v>
          </cell>
          <cell r="F600" t="str">
            <v>格好いい</v>
          </cell>
          <cell r="G600" t="str">
            <v>不明</v>
          </cell>
          <cell r="H600" t="str">
            <v>green</v>
          </cell>
          <cell r="I600">
            <v>3</v>
          </cell>
          <cell r="J600" t="str">
            <v>PremiumS</v>
          </cell>
          <cell r="K600" t="str">
            <v>attack</v>
          </cell>
          <cell r="L600" t="str">
            <v>攻撃タイプ</v>
          </cell>
          <cell r="M600" t="str">
            <v>dragon</v>
          </cell>
        </row>
        <row r="601">
          <cell r="A601">
            <v>600</v>
          </cell>
          <cell r="B601" t="str">
            <v>ja</v>
          </cell>
          <cell r="C601" t="str">
            <v>界下に潜む蛇 ニーズヘッグ</v>
          </cell>
          <cell r="D601" t="str">
            <v>ガチャ:北欧02</v>
          </cell>
          <cell r="E601" t="str">
            <v>執行者</v>
          </cell>
          <cell r="F601" t="str">
            <v>格好いい</v>
          </cell>
          <cell r="G601" t="str">
            <v>不明</v>
          </cell>
          <cell r="H601" t="str">
            <v>green</v>
          </cell>
          <cell r="I601">
            <v>4</v>
          </cell>
          <cell r="J601" t="str">
            <v>PremiumS</v>
          </cell>
          <cell r="K601" t="str">
            <v>attack</v>
          </cell>
          <cell r="L601" t="str">
            <v>攻撃タイプ</v>
          </cell>
          <cell r="M601" t="str">
            <v>dragon</v>
          </cell>
        </row>
        <row r="602">
          <cell r="A602">
            <v>601</v>
          </cell>
          <cell r="B602" t="str">
            <v>ja</v>
          </cell>
          <cell r="C602" t="str">
            <v>界根蝕む悪食 ニーズヘッグ</v>
          </cell>
          <cell r="D602" t="str">
            <v>ガチャ:北欧02</v>
          </cell>
          <cell r="E602" t="str">
            <v>執行者</v>
          </cell>
          <cell r="F602" t="str">
            <v>格好いい</v>
          </cell>
          <cell r="G602" t="str">
            <v>不明</v>
          </cell>
          <cell r="H602" t="str">
            <v>green</v>
          </cell>
          <cell r="I602">
            <v>5</v>
          </cell>
          <cell r="J602" t="str">
            <v>PremiumS</v>
          </cell>
          <cell r="K602" t="str">
            <v>attack</v>
          </cell>
          <cell r="L602" t="str">
            <v>攻撃タイプ</v>
          </cell>
          <cell r="M602" t="str">
            <v>dragon</v>
          </cell>
        </row>
        <row r="603">
          <cell r="A603">
            <v>602</v>
          </cell>
          <cell r="B603" t="str">
            <v>ja</v>
          </cell>
          <cell r="C603" t="str">
            <v>フレイヤ</v>
          </cell>
          <cell r="D603" t="str">
            <v>ガチャ:北欧02</v>
          </cell>
          <cell r="E603" t="str">
            <v>執行者</v>
          </cell>
          <cell r="F603" t="str">
            <v>格好いい</v>
          </cell>
          <cell r="G603" t="str">
            <v>女性</v>
          </cell>
          <cell r="H603" t="str">
            <v>blue</v>
          </cell>
          <cell r="I603">
            <v>4</v>
          </cell>
          <cell r="J603" t="str">
            <v>PremiumSS</v>
          </cell>
          <cell r="K603" t="str">
            <v>heal</v>
          </cell>
          <cell r="L603" t="str">
            <v>回復タイプ</v>
          </cell>
          <cell r="M603" t="str">
            <v>animal</v>
          </cell>
        </row>
        <row r="604">
          <cell r="A604">
            <v>603</v>
          </cell>
          <cell r="B604" t="str">
            <v>ja</v>
          </cell>
          <cell r="C604" t="str">
            <v>掌愛の豊穣女神 フレイヤ</v>
          </cell>
          <cell r="D604" t="str">
            <v>ガチャ:北欧02</v>
          </cell>
          <cell r="E604" t="str">
            <v>執行者</v>
          </cell>
          <cell r="F604" t="str">
            <v>格好いい</v>
          </cell>
          <cell r="G604" t="str">
            <v>女性</v>
          </cell>
          <cell r="H604" t="str">
            <v>blue</v>
          </cell>
          <cell r="I604">
            <v>5</v>
          </cell>
          <cell r="J604" t="str">
            <v>PremiumSS</v>
          </cell>
          <cell r="K604" t="str">
            <v>heal</v>
          </cell>
          <cell r="L604" t="str">
            <v>回復タイプ</v>
          </cell>
          <cell r="M604" t="str">
            <v>animal</v>
          </cell>
        </row>
        <row r="605">
          <cell r="A605">
            <v>604</v>
          </cell>
          <cell r="B605" t="str">
            <v>ja</v>
          </cell>
          <cell r="C605" t="str">
            <v>バルドル</v>
          </cell>
          <cell r="D605" t="str">
            <v>ガチャ:北欧02</v>
          </cell>
          <cell r="E605" t="str">
            <v>執行者</v>
          </cell>
          <cell r="F605" t="str">
            <v>格好いい</v>
          </cell>
          <cell r="G605" t="str">
            <v>男性</v>
          </cell>
          <cell r="H605" t="str">
            <v>yellow</v>
          </cell>
          <cell r="I605">
            <v>3</v>
          </cell>
          <cell r="J605" t="str">
            <v>PremiumS</v>
          </cell>
          <cell r="K605" t="str">
            <v>heal</v>
          </cell>
          <cell r="L605" t="str">
            <v>回復タイプ</v>
          </cell>
          <cell r="M605" t="str">
            <v>god</v>
          </cell>
        </row>
        <row r="606">
          <cell r="A606">
            <v>605</v>
          </cell>
          <cell r="B606" t="str">
            <v>ja</v>
          </cell>
          <cell r="C606" t="str">
            <v>祝福される光耀 バルドル</v>
          </cell>
          <cell r="D606" t="str">
            <v>ガチャ:北欧02</v>
          </cell>
          <cell r="E606" t="str">
            <v>執行者</v>
          </cell>
          <cell r="F606" t="str">
            <v>格好いい</v>
          </cell>
          <cell r="G606" t="str">
            <v>男性</v>
          </cell>
          <cell r="H606" t="str">
            <v>yellow</v>
          </cell>
          <cell r="I606">
            <v>4</v>
          </cell>
          <cell r="J606" t="str">
            <v>PremiumS</v>
          </cell>
          <cell r="K606" t="str">
            <v>heal</v>
          </cell>
          <cell r="L606" t="str">
            <v>回復タイプ</v>
          </cell>
          <cell r="M606" t="str">
            <v>god</v>
          </cell>
        </row>
        <row r="607">
          <cell r="A607">
            <v>606</v>
          </cell>
          <cell r="B607" t="str">
            <v>ja</v>
          </cell>
          <cell r="C607" t="str">
            <v>冀望の光芒 バルドル</v>
          </cell>
          <cell r="D607" t="str">
            <v>ガチャ:北欧02</v>
          </cell>
          <cell r="E607" t="str">
            <v>執行者</v>
          </cell>
          <cell r="F607" t="str">
            <v>格好いい</v>
          </cell>
          <cell r="G607" t="str">
            <v>男性</v>
          </cell>
          <cell r="H607" t="str">
            <v>yellow</v>
          </cell>
          <cell r="I607">
            <v>5</v>
          </cell>
          <cell r="J607" t="str">
            <v>PremiumS</v>
          </cell>
          <cell r="K607" t="str">
            <v>heal</v>
          </cell>
          <cell r="L607" t="str">
            <v>回復タイプ</v>
          </cell>
          <cell r="M607" t="str">
            <v>god</v>
          </cell>
        </row>
        <row r="608">
          <cell r="A608">
            <v>607</v>
          </cell>
          <cell r="B608" t="str">
            <v>ja</v>
          </cell>
          <cell r="C608" t="str">
            <v>メガ攻めの果実</v>
          </cell>
          <cell r="D608" t="str">
            <v>限界突破素材・攻撃・赤</v>
          </cell>
          <cell r="E608" t="str">
            <v>アリス</v>
          </cell>
          <cell r="F608" t="str">
            <v>世界観</v>
          </cell>
          <cell r="G608" t="str">
            <v>不明</v>
          </cell>
          <cell r="H608" t="str">
            <v>red</v>
          </cell>
          <cell r="I608">
            <v>4</v>
          </cell>
          <cell r="J608" t="str">
            <v>Material</v>
          </cell>
          <cell r="K608" t="str">
            <v>limitbreak</v>
          </cell>
          <cell r="L608" t="str">
            <v>限界突破素材</v>
          </cell>
          <cell r="M608" t="str">
            <v>unknown</v>
          </cell>
        </row>
        <row r="609">
          <cell r="A609">
            <v>608</v>
          </cell>
          <cell r="B609" t="str">
            <v>ja</v>
          </cell>
          <cell r="C609" t="str">
            <v>メガ生命の果実</v>
          </cell>
          <cell r="D609" t="str">
            <v>限界突破素材・体力・緑</v>
          </cell>
          <cell r="E609" t="str">
            <v>アリス</v>
          </cell>
          <cell r="F609" t="str">
            <v>世界観</v>
          </cell>
          <cell r="G609" t="str">
            <v>不明</v>
          </cell>
          <cell r="H609" t="str">
            <v>green</v>
          </cell>
          <cell r="I609">
            <v>4</v>
          </cell>
          <cell r="J609" t="str">
            <v>Material</v>
          </cell>
          <cell r="K609" t="str">
            <v>limitbreak</v>
          </cell>
          <cell r="L609" t="str">
            <v>限界突破素材</v>
          </cell>
          <cell r="M609" t="str">
            <v>unknown</v>
          </cell>
        </row>
        <row r="610">
          <cell r="A610">
            <v>609</v>
          </cell>
          <cell r="B610" t="str">
            <v>ja</v>
          </cell>
          <cell r="C610" t="str">
            <v>メガ癒しの果実</v>
          </cell>
          <cell r="D610" t="str">
            <v>限界突破素材・回復・青</v>
          </cell>
          <cell r="E610" t="str">
            <v>アリス</v>
          </cell>
          <cell r="F610" t="str">
            <v>世界観</v>
          </cell>
          <cell r="G610" t="str">
            <v>不明</v>
          </cell>
          <cell r="H610" t="str">
            <v>blue</v>
          </cell>
          <cell r="I610">
            <v>4</v>
          </cell>
          <cell r="J610" t="str">
            <v>Material</v>
          </cell>
          <cell r="K610" t="str">
            <v>limitbreak</v>
          </cell>
          <cell r="L610" t="str">
            <v>限界突破素材</v>
          </cell>
          <cell r="M610" t="str">
            <v>unknown</v>
          </cell>
        </row>
        <row r="611">
          <cell r="A611">
            <v>610</v>
          </cell>
          <cell r="B611" t="str">
            <v>ja</v>
          </cell>
          <cell r="C611" t="str">
            <v>メガ秘術の果実</v>
          </cell>
          <cell r="D611" t="str">
            <v>スキル進化素材</v>
          </cell>
          <cell r="E611" t="str">
            <v>アリス</v>
          </cell>
          <cell r="F611" t="str">
            <v>世界観</v>
          </cell>
          <cell r="G611" t="str">
            <v>不明</v>
          </cell>
          <cell r="H611" t="str">
            <v>blue</v>
          </cell>
          <cell r="I611">
            <v>4</v>
          </cell>
          <cell r="J611" t="str">
            <v>Material</v>
          </cell>
          <cell r="K611" t="str">
            <v>skilllevel</v>
          </cell>
          <cell r="L611" t="str">
            <v>スキルレベル素材</v>
          </cell>
          <cell r="M611" t="str">
            <v>unknown</v>
          </cell>
        </row>
        <row r="612">
          <cell r="A612">
            <v>611</v>
          </cell>
          <cell r="B612" t="str">
            <v>ja</v>
          </cell>
          <cell r="C612" t="str">
            <v>ギガ攻めの果実</v>
          </cell>
          <cell r="D612" t="str">
            <v>限界突破素材・攻撃・赤</v>
          </cell>
          <cell r="E612" t="str">
            <v>アリス</v>
          </cell>
          <cell r="F612" t="str">
            <v>世界観</v>
          </cell>
          <cell r="G612" t="str">
            <v>不明</v>
          </cell>
          <cell r="H612" t="str">
            <v>red</v>
          </cell>
          <cell r="I612">
            <v>5</v>
          </cell>
          <cell r="J612" t="str">
            <v>Material</v>
          </cell>
          <cell r="K612" t="str">
            <v>limitbreak</v>
          </cell>
          <cell r="L612" t="str">
            <v>限界突破素材</v>
          </cell>
          <cell r="M612" t="str">
            <v>unknown</v>
          </cell>
        </row>
        <row r="613">
          <cell r="A613">
            <v>612</v>
          </cell>
          <cell r="B613" t="str">
            <v>ja</v>
          </cell>
          <cell r="C613" t="str">
            <v>ギガ生命の果実</v>
          </cell>
          <cell r="D613" t="str">
            <v>限界突破素材・体力・緑</v>
          </cell>
          <cell r="E613" t="str">
            <v>アリス</v>
          </cell>
          <cell r="F613" t="str">
            <v>世界観</v>
          </cell>
          <cell r="G613" t="str">
            <v>不明</v>
          </cell>
          <cell r="H613" t="str">
            <v>green</v>
          </cell>
          <cell r="I613">
            <v>5</v>
          </cell>
          <cell r="J613" t="str">
            <v>Material</v>
          </cell>
          <cell r="K613" t="str">
            <v>limitbreak</v>
          </cell>
          <cell r="L613" t="str">
            <v>限界突破素材</v>
          </cell>
          <cell r="M613" t="str">
            <v>unknown</v>
          </cell>
        </row>
        <row r="614">
          <cell r="A614">
            <v>613</v>
          </cell>
          <cell r="B614" t="str">
            <v>ja</v>
          </cell>
          <cell r="C614" t="str">
            <v>ギガ癒しの果実</v>
          </cell>
          <cell r="D614" t="str">
            <v>限界突破素材・回復・青</v>
          </cell>
          <cell r="E614" t="str">
            <v>アリス</v>
          </cell>
          <cell r="F614" t="str">
            <v>世界観</v>
          </cell>
          <cell r="G614" t="str">
            <v>不明</v>
          </cell>
          <cell r="H614" t="str">
            <v>blue</v>
          </cell>
          <cell r="I614">
            <v>5</v>
          </cell>
          <cell r="J614" t="str">
            <v>Material</v>
          </cell>
          <cell r="K614" t="str">
            <v>limitbreak</v>
          </cell>
          <cell r="L614" t="str">
            <v>限界突破素材</v>
          </cell>
          <cell r="M614" t="str">
            <v>unknown</v>
          </cell>
        </row>
        <row r="615">
          <cell r="A615">
            <v>614</v>
          </cell>
          <cell r="B615" t="str">
            <v>ja</v>
          </cell>
          <cell r="C615" t="str">
            <v>ギガ秘術の果実</v>
          </cell>
          <cell r="D615" t="str">
            <v>スキル進化素材</v>
          </cell>
          <cell r="E615" t="str">
            <v>アリス</v>
          </cell>
          <cell r="F615" t="str">
            <v>世界観</v>
          </cell>
          <cell r="G615" t="str">
            <v>不明</v>
          </cell>
          <cell r="H615" t="str">
            <v>blue</v>
          </cell>
          <cell r="I615">
            <v>5</v>
          </cell>
          <cell r="J615" t="str">
            <v>Material</v>
          </cell>
          <cell r="K615" t="str">
            <v>skilllevel</v>
          </cell>
          <cell r="L615" t="str">
            <v>スキルレベル素材</v>
          </cell>
          <cell r="M615" t="str">
            <v>unknown</v>
          </cell>
        </row>
        <row r="616">
          <cell r="A616">
            <v>615</v>
          </cell>
          <cell r="B616" t="str">
            <v>ja</v>
          </cell>
          <cell r="C616" t="str">
            <v>ヒュドラ・コスモブラスト</v>
          </cell>
          <cell r="D616" t="str">
            <v>イベント:150DL</v>
          </cell>
          <cell r="E616" t="str">
            <v>執行者</v>
          </cell>
          <cell r="F616" t="str">
            <v>格好いい</v>
          </cell>
          <cell r="G616" t="str">
            <v>不明</v>
          </cell>
          <cell r="H616" t="str">
            <v>red</v>
          </cell>
          <cell r="I616">
            <v>5</v>
          </cell>
          <cell r="J616" t="str">
            <v>DropWizN</v>
          </cell>
          <cell r="K616" t="str">
            <v>attack</v>
          </cell>
          <cell r="L616" t="str">
            <v>攻撃タイプ</v>
          </cell>
          <cell r="M616" t="str">
            <v>dragon</v>
          </cell>
        </row>
        <row r="617">
          <cell r="A617">
            <v>616</v>
          </cell>
          <cell r="B617" t="str">
            <v>ja</v>
          </cell>
          <cell r="C617" t="str">
            <v>リンドブルム・デルタクラスター</v>
          </cell>
          <cell r="D617" t="str">
            <v>イベント:150DL</v>
          </cell>
          <cell r="E617" t="str">
            <v>執行者</v>
          </cell>
          <cell r="F617" t="str">
            <v>格好いい</v>
          </cell>
          <cell r="G617" t="str">
            <v>不明</v>
          </cell>
          <cell r="H617" t="str">
            <v>green</v>
          </cell>
          <cell r="I617">
            <v>5</v>
          </cell>
          <cell r="J617" t="str">
            <v>DropWizN</v>
          </cell>
          <cell r="K617" t="str">
            <v>attack</v>
          </cell>
          <cell r="L617" t="str">
            <v>攻撃タイプ</v>
          </cell>
          <cell r="M617" t="str">
            <v>dragon</v>
          </cell>
        </row>
        <row r="618">
          <cell r="A618">
            <v>617</v>
          </cell>
          <cell r="B618" t="str">
            <v>ja</v>
          </cell>
          <cell r="C618" t="str">
            <v>ラーフ・アルマゲドン</v>
          </cell>
          <cell r="D618" t="str">
            <v>イベント:150DL</v>
          </cell>
          <cell r="E618" t="str">
            <v>執行者</v>
          </cell>
          <cell r="F618" t="str">
            <v>格好いい</v>
          </cell>
          <cell r="G618" t="str">
            <v>不明</v>
          </cell>
          <cell r="H618" t="str">
            <v>blue</v>
          </cell>
          <cell r="I618">
            <v>5</v>
          </cell>
          <cell r="J618" t="str">
            <v>DropWizN</v>
          </cell>
          <cell r="K618" t="str">
            <v>balance</v>
          </cell>
          <cell r="L618" t="str">
            <v>バランスタイプ</v>
          </cell>
          <cell r="M618" t="str">
            <v>dragon</v>
          </cell>
        </row>
        <row r="619">
          <cell r="A619">
            <v>618</v>
          </cell>
          <cell r="B619" t="str">
            <v>ja</v>
          </cell>
          <cell r="C619" t="str">
            <v>フェルニゲシュ・オメガドライブ</v>
          </cell>
          <cell r="D619" t="str">
            <v>イベント:150DL</v>
          </cell>
          <cell r="E619" t="str">
            <v>執行者</v>
          </cell>
          <cell r="F619" t="str">
            <v>格好いい</v>
          </cell>
          <cell r="G619" t="str">
            <v>不明</v>
          </cell>
          <cell r="H619" t="str">
            <v>yellow</v>
          </cell>
          <cell r="I619">
            <v>5</v>
          </cell>
          <cell r="J619" t="str">
            <v>DropWizN</v>
          </cell>
          <cell r="K619" t="str">
            <v>technical</v>
          </cell>
          <cell r="L619" t="str">
            <v>テクニカルタイプ</v>
          </cell>
          <cell r="M619" t="str">
            <v>dragon</v>
          </cell>
        </row>
        <row r="620">
          <cell r="A620">
            <v>619</v>
          </cell>
          <cell r="B620" t="str">
            <v>ja</v>
          </cell>
          <cell r="C620" t="str">
            <v>メビウス</v>
          </cell>
          <cell r="D620" t="str">
            <v>ガチャ:DL記念01</v>
          </cell>
          <cell r="E620" t="str">
            <v>執行者</v>
          </cell>
          <cell r="F620" t="str">
            <v>格好いい</v>
          </cell>
          <cell r="G620" t="str">
            <v>女性</v>
          </cell>
          <cell r="H620" t="str">
            <v>blue</v>
          </cell>
          <cell r="I620">
            <v>4</v>
          </cell>
          <cell r="J620" t="str">
            <v>PremiumSSS</v>
          </cell>
          <cell r="K620" t="str">
            <v>balance</v>
          </cell>
          <cell r="L620" t="str">
            <v>バランスタイプ</v>
          </cell>
          <cell r="M620" t="str">
            <v>human</v>
          </cell>
        </row>
        <row r="621">
          <cell r="A621">
            <v>620</v>
          </cell>
          <cell r="B621" t="str">
            <v>ja</v>
          </cell>
          <cell r="C621" t="str">
            <v>奇跡の調和 メビウス</v>
          </cell>
          <cell r="D621" t="str">
            <v>ガチャ:DL記念01</v>
          </cell>
          <cell r="E621" t="str">
            <v>執行者</v>
          </cell>
          <cell r="F621" t="str">
            <v>格好いい</v>
          </cell>
          <cell r="G621" t="str">
            <v>女性</v>
          </cell>
          <cell r="H621" t="str">
            <v>blue</v>
          </cell>
          <cell r="I621">
            <v>5</v>
          </cell>
          <cell r="J621" t="str">
            <v>PremiumSSS</v>
          </cell>
          <cell r="K621" t="str">
            <v>balance</v>
          </cell>
          <cell r="L621" t="str">
            <v>バランスタイプ</v>
          </cell>
          <cell r="M621" t="str">
            <v>human</v>
          </cell>
        </row>
        <row r="622">
          <cell r="A622">
            <v>621</v>
          </cell>
          <cell r="B622" t="str">
            <v>ja</v>
          </cell>
          <cell r="C622" t="str">
            <v>終わりなき奇跡 メビウス</v>
          </cell>
          <cell r="D622" t="str">
            <v>ガチャ:DL記念01</v>
          </cell>
          <cell r="E622" t="str">
            <v>執行者</v>
          </cell>
          <cell r="F622" t="str">
            <v>格好いい</v>
          </cell>
          <cell r="G622" t="str">
            <v>女性</v>
          </cell>
          <cell r="H622" t="str">
            <v>blue</v>
          </cell>
          <cell r="I622">
            <v>6</v>
          </cell>
          <cell r="J622" t="str">
            <v>PremiumSSS</v>
          </cell>
          <cell r="K622" t="str">
            <v>balance</v>
          </cell>
          <cell r="L622" t="str">
            <v>バランスタイプ</v>
          </cell>
          <cell r="M622" t="str">
            <v>human</v>
          </cell>
        </row>
        <row r="623">
          <cell r="A623">
            <v>622</v>
          </cell>
          <cell r="B623" t="str">
            <v>ja</v>
          </cell>
          <cell r="C623" t="str">
            <v>未定</v>
          </cell>
          <cell r="D623" t="str">
            <v>ガチャ:DL記念02</v>
          </cell>
          <cell r="E623" t="str">
            <v>執行者</v>
          </cell>
          <cell r="F623" t="str">
            <v>格好いい</v>
          </cell>
          <cell r="G623" t="str">
            <v>女性</v>
          </cell>
          <cell r="H623" t="str">
            <v>blue</v>
          </cell>
          <cell r="I623">
            <v>4</v>
          </cell>
          <cell r="J623" t="str">
            <v>PremiumSSS</v>
          </cell>
          <cell r="K623" t="str">
            <v>attack</v>
          </cell>
          <cell r="L623" t="str">
            <v>攻撃タイプ</v>
          </cell>
          <cell r="M623" t="str">
            <v>human</v>
          </cell>
        </row>
        <row r="624">
          <cell r="A624">
            <v>623</v>
          </cell>
          <cell r="B624" t="str">
            <v>ja</v>
          </cell>
          <cell r="C624" t="str">
            <v>フェルマー</v>
          </cell>
          <cell r="D624" t="str">
            <v>ガチャ:DL記念02</v>
          </cell>
          <cell r="E624" t="str">
            <v>執行者</v>
          </cell>
          <cell r="F624" t="str">
            <v>格好いい</v>
          </cell>
          <cell r="G624" t="str">
            <v>女性</v>
          </cell>
          <cell r="H624" t="str">
            <v>yellow</v>
          </cell>
          <cell r="I624">
            <v>5</v>
          </cell>
          <cell r="J624" t="str">
            <v>PremiumSSS</v>
          </cell>
          <cell r="K624" t="str">
            <v>attack</v>
          </cell>
          <cell r="L624" t="str">
            <v>攻撃タイプ</v>
          </cell>
          <cell r="M624" t="str">
            <v>academia</v>
          </cell>
        </row>
        <row r="625">
          <cell r="A625">
            <v>624</v>
          </cell>
          <cell r="B625" t="str">
            <v>ja</v>
          </cell>
          <cell r="C625" t="str">
            <v>挑発の尖駆者 フェルマー</v>
          </cell>
          <cell r="D625" t="str">
            <v>ガチャ:DL記念02</v>
          </cell>
          <cell r="E625" t="str">
            <v>執行者</v>
          </cell>
          <cell r="F625" t="str">
            <v>格好いい</v>
          </cell>
          <cell r="G625" t="str">
            <v>女性</v>
          </cell>
          <cell r="H625" t="str">
            <v>yellow</v>
          </cell>
          <cell r="I625">
            <v>6</v>
          </cell>
          <cell r="J625" t="str">
            <v>PremiumSSS</v>
          </cell>
          <cell r="K625" t="str">
            <v>attack</v>
          </cell>
          <cell r="L625" t="str">
            <v>攻撃タイプ</v>
          </cell>
          <cell r="M625" t="str">
            <v>academia</v>
          </cell>
        </row>
        <row r="626">
          <cell r="A626">
            <v>625</v>
          </cell>
          <cell r="B626" t="str">
            <v>ja</v>
          </cell>
          <cell r="C626" t="str">
            <v>デカルト</v>
          </cell>
          <cell r="D626" t="str">
            <v>チャレンジタワー</v>
          </cell>
          <cell r="E626" t="str">
            <v>執行者</v>
          </cell>
          <cell r="F626" t="str">
            <v>格好いい</v>
          </cell>
          <cell r="G626" t="str">
            <v>女性</v>
          </cell>
          <cell r="H626" t="str">
            <v>green</v>
          </cell>
          <cell r="I626">
            <v>4</v>
          </cell>
          <cell r="J626" t="str">
            <v>DropWizN</v>
          </cell>
          <cell r="K626" t="str">
            <v>attack</v>
          </cell>
          <cell r="L626" t="str">
            <v>攻撃タイプ</v>
          </cell>
          <cell r="M626" t="str">
            <v>human</v>
          </cell>
        </row>
        <row r="627">
          <cell r="A627">
            <v>626</v>
          </cell>
          <cell r="B627" t="str">
            <v>ja</v>
          </cell>
          <cell r="C627" t="str">
            <v>デカルト</v>
          </cell>
          <cell r="D627" t="str">
            <v>チャレンジタワー</v>
          </cell>
          <cell r="E627" t="str">
            <v>執行者</v>
          </cell>
          <cell r="F627" t="str">
            <v>格好いい</v>
          </cell>
          <cell r="G627" t="str">
            <v>女性</v>
          </cell>
          <cell r="H627" t="str">
            <v>green</v>
          </cell>
          <cell r="I627">
            <v>5</v>
          </cell>
          <cell r="J627" t="str">
            <v>DropWizN</v>
          </cell>
          <cell r="K627" t="str">
            <v>attack</v>
          </cell>
          <cell r="L627" t="str">
            <v>攻撃タイプ</v>
          </cell>
          <cell r="M627" t="str">
            <v>human</v>
          </cell>
        </row>
        <row r="628">
          <cell r="A628">
            <v>627</v>
          </cell>
          <cell r="B628" t="str">
            <v>ja</v>
          </cell>
          <cell r="C628" t="str">
            <v>メガラニカ</v>
          </cell>
          <cell r="D628" t="str">
            <v>チャレンジタワー</v>
          </cell>
          <cell r="E628" t="str">
            <v>執行者</v>
          </cell>
          <cell r="F628" t="str">
            <v>格好いい</v>
          </cell>
          <cell r="G628" t="str">
            <v>男性</v>
          </cell>
          <cell r="H628" t="str">
            <v>green</v>
          </cell>
          <cell r="I628">
            <v>5</v>
          </cell>
          <cell r="J628" t="str">
            <v>PremiumSSw</v>
          </cell>
          <cell r="K628" t="str">
            <v>balance</v>
          </cell>
          <cell r="L628" t="str">
            <v>バランスタイプ</v>
          </cell>
          <cell r="M628" t="str">
            <v>animal</v>
          </cell>
        </row>
        <row r="629">
          <cell r="A629">
            <v>628</v>
          </cell>
          <cell r="B629" t="str">
            <v>ja</v>
          </cell>
          <cell r="C629" t="str">
            <v>玄装の指南隊 メガラニカ</v>
          </cell>
          <cell r="D629" t="str">
            <v>チャレンジタワー</v>
          </cell>
          <cell r="E629" t="str">
            <v>執行者</v>
          </cell>
          <cell r="F629" t="str">
            <v>格好いい</v>
          </cell>
          <cell r="G629" t="str">
            <v>男性</v>
          </cell>
          <cell r="H629" t="str">
            <v>green</v>
          </cell>
          <cell r="I629">
            <v>6</v>
          </cell>
          <cell r="J629" t="str">
            <v>PremiumSSw</v>
          </cell>
          <cell r="K629" t="str">
            <v>balance</v>
          </cell>
          <cell r="L629" t="str">
            <v>バランスタイプ</v>
          </cell>
          <cell r="M629" t="str">
            <v>animal</v>
          </cell>
        </row>
        <row r="630">
          <cell r="A630">
            <v>629</v>
          </cell>
          <cell r="B630" t="str">
            <v>ja</v>
          </cell>
          <cell r="C630" t="str">
            <v>チャリオット</v>
          </cell>
          <cell r="D630" t="str">
            <v>チャレンジタワー</v>
          </cell>
          <cell r="E630" t="str">
            <v>執行者</v>
          </cell>
          <cell r="F630" t="str">
            <v>格好いい</v>
          </cell>
          <cell r="G630" t="str">
            <v>女性</v>
          </cell>
          <cell r="H630" t="str">
            <v>blue</v>
          </cell>
          <cell r="I630">
            <v>5</v>
          </cell>
          <cell r="J630" t="str">
            <v>PremiumSSS</v>
          </cell>
          <cell r="K630" t="str">
            <v>hp</v>
          </cell>
          <cell r="L630" t="str">
            <v>体力タイプ</v>
          </cell>
          <cell r="M630" t="str">
            <v>god</v>
          </cell>
        </row>
        <row r="631">
          <cell r="A631">
            <v>630</v>
          </cell>
          <cell r="B631" t="str">
            <v>ja</v>
          </cell>
          <cell r="C631" t="str">
            <v>明快の突戦車 チャリオット</v>
          </cell>
          <cell r="D631" t="str">
            <v>チャレンジタワー</v>
          </cell>
          <cell r="E631" t="str">
            <v>執行者</v>
          </cell>
          <cell r="F631" t="str">
            <v>格好いい</v>
          </cell>
          <cell r="G631" t="str">
            <v>女性</v>
          </cell>
          <cell r="H631" t="str">
            <v>blue</v>
          </cell>
          <cell r="I631">
            <v>6</v>
          </cell>
          <cell r="J631" t="str">
            <v>PremiumSSS</v>
          </cell>
          <cell r="K631" t="str">
            <v>hp</v>
          </cell>
          <cell r="L631" t="str">
            <v>体力タイプ</v>
          </cell>
          <cell r="M631" t="str">
            <v>god</v>
          </cell>
        </row>
        <row r="632">
          <cell r="A632">
            <v>631</v>
          </cell>
          <cell r="B632" t="str">
            <v>ja</v>
          </cell>
          <cell r="C632" t="str">
            <v>華恋なる宮護隊 パレ</v>
          </cell>
          <cell r="D632" t="str">
            <v>未定</v>
          </cell>
          <cell r="E632" t="str">
            <v>執行者</v>
          </cell>
          <cell r="F632" t="str">
            <v>格好いい</v>
          </cell>
          <cell r="G632" t="str">
            <v>不明</v>
          </cell>
          <cell r="H632" t="str">
            <v>yellow</v>
          </cell>
          <cell r="I632">
            <v>5</v>
          </cell>
          <cell r="J632" t="str">
            <v>Drop2N</v>
          </cell>
          <cell r="K632" t="str">
            <v>balance</v>
          </cell>
          <cell r="L632" t="str">
            <v>バランスタイプ</v>
          </cell>
          <cell r="M632" t="str">
            <v>human</v>
          </cell>
        </row>
        <row r="633">
          <cell r="A633">
            <v>632</v>
          </cell>
          <cell r="B633" t="str">
            <v>ja</v>
          </cell>
          <cell r="C633" t="str">
            <v>緋壁の城塞 アーグラ</v>
          </cell>
          <cell r="D633" t="str">
            <v>未定</v>
          </cell>
          <cell r="E633" t="str">
            <v>執行者</v>
          </cell>
          <cell r="F633" t="str">
            <v>格好いい</v>
          </cell>
          <cell r="G633" t="str">
            <v>不明</v>
          </cell>
          <cell r="H633" t="str">
            <v>red</v>
          </cell>
          <cell r="I633">
            <v>6</v>
          </cell>
          <cell r="J633" t="str">
            <v>DropWizS</v>
          </cell>
          <cell r="K633" t="str">
            <v>technical</v>
          </cell>
          <cell r="L633" t="str">
            <v>テクニカルタイプ</v>
          </cell>
          <cell r="M633" t="str">
            <v>god</v>
          </cell>
        </row>
        <row r="634">
          <cell r="A634">
            <v>633</v>
          </cell>
          <cell r="B634" t="str">
            <v>ja</v>
          </cell>
          <cell r="C634" t="str">
            <v>麗邸の遊撃守 エリゼ</v>
          </cell>
          <cell r="D634" t="str">
            <v>未定</v>
          </cell>
          <cell r="E634" t="str">
            <v>執行者</v>
          </cell>
          <cell r="F634" t="str">
            <v>格好いい</v>
          </cell>
          <cell r="G634" t="str">
            <v>不明</v>
          </cell>
          <cell r="H634" t="str">
            <v>blue</v>
          </cell>
          <cell r="I634">
            <v>6</v>
          </cell>
          <cell r="J634" t="str">
            <v>DropWizS</v>
          </cell>
          <cell r="K634" t="str">
            <v>balance</v>
          </cell>
          <cell r="L634" t="str">
            <v>バランスタイプ</v>
          </cell>
          <cell r="M634" t="str">
            <v>unknown</v>
          </cell>
        </row>
        <row r="635">
          <cell r="A635">
            <v>634</v>
          </cell>
          <cell r="B635" t="str">
            <v>ja</v>
          </cell>
          <cell r="C635" t="str">
            <v>赤ドラゴン</v>
          </cell>
          <cell r="D635" t="str">
            <v>未定</v>
          </cell>
          <cell r="E635" t="str">
            <v>執行者</v>
          </cell>
          <cell r="F635" t="str">
            <v>格好いい</v>
          </cell>
          <cell r="G635" t="str">
            <v>不明</v>
          </cell>
          <cell r="H635" t="str">
            <v>red</v>
          </cell>
          <cell r="I635">
            <v>4</v>
          </cell>
          <cell r="J635" t="str">
            <v>PremiumS</v>
          </cell>
          <cell r="K635" t="str">
            <v>attack</v>
          </cell>
          <cell r="L635" t="str">
            <v>攻撃タイプ</v>
          </cell>
          <cell r="M635" t="str">
            <v>dragon</v>
          </cell>
        </row>
        <row r="636">
          <cell r="A636">
            <v>635</v>
          </cell>
          <cell r="B636" t="str">
            <v>ja</v>
          </cell>
          <cell r="C636" t="str">
            <v>赤ドラゴン</v>
          </cell>
          <cell r="D636" t="str">
            <v>未定</v>
          </cell>
          <cell r="E636" t="str">
            <v>執行者</v>
          </cell>
          <cell r="F636" t="str">
            <v>格好いい</v>
          </cell>
          <cell r="G636" t="str">
            <v>不明</v>
          </cell>
          <cell r="H636" t="str">
            <v>red</v>
          </cell>
          <cell r="I636">
            <v>5</v>
          </cell>
          <cell r="J636" t="str">
            <v>PremiumS</v>
          </cell>
          <cell r="K636" t="str">
            <v>attack</v>
          </cell>
          <cell r="L636" t="str">
            <v>攻撃タイプ</v>
          </cell>
          <cell r="M636" t="str">
            <v>dragon</v>
          </cell>
        </row>
        <row r="637">
          <cell r="A637">
            <v>636</v>
          </cell>
          <cell r="B637" t="str">
            <v>ja</v>
          </cell>
          <cell r="C637" t="str">
            <v>ローズR3(旧)</v>
          </cell>
          <cell r="D637" t="str">
            <v>未定</v>
          </cell>
          <cell r="E637" t="str">
            <v>執行者</v>
          </cell>
          <cell r="F637" t="str">
            <v>格好いい</v>
          </cell>
          <cell r="G637" t="str">
            <v>不明</v>
          </cell>
          <cell r="H637" t="str">
            <v>red</v>
          </cell>
          <cell r="I637">
            <v>3</v>
          </cell>
          <cell r="J637" t="str">
            <v>DropWizSSS</v>
          </cell>
          <cell r="K637" t="str">
            <v>attack</v>
          </cell>
          <cell r="L637" t="str">
            <v>攻撃タイプ</v>
          </cell>
          <cell r="M637" t="str">
            <v>queen</v>
          </cell>
        </row>
        <row r="638">
          <cell r="A638">
            <v>637</v>
          </cell>
          <cell r="B638" t="str">
            <v>ja</v>
          </cell>
          <cell r="C638" t="str">
            <v>ローズR4(旧)</v>
          </cell>
          <cell r="D638" t="str">
            <v>未定</v>
          </cell>
          <cell r="E638" t="str">
            <v>執行者</v>
          </cell>
          <cell r="F638" t="str">
            <v>格好いい</v>
          </cell>
          <cell r="G638" t="str">
            <v>不明</v>
          </cell>
          <cell r="H638" t="str">
            <v>red</v>
          </cell>
          <cell r="I638">
            <v>4</v>
          </cell>
          <cell r="J638" t="str">
            <v>DropWizSSS</v>
          </cell>
          <cell r="K638" t="str">
            <v>attack</v>
          </cell>
          <cell r="L638" t="str">
            <v>攻撃タイプ</v>
          </cell>
          <cell r="M638" t="str">
            <v>queen</v>
          </cell>
        </row>
        <row r="639">
          <cell r="A639">
            <v>638</v>
          </cell>
          <cell r="B639" t="str">
            <v>ja</v>
          </cell>
          <cell r="C639" t="str">
            <v>神さま</v>
          </cell>
          <cell r="D639" t="str">
            <v>未定</v>
          </cell>
          <cell r="E639" t="str">
            <v>執行者</v>
          </cell>
          <cell r="F639" t="str">
            <v>格好いい</v>
          </cell>
          <cell r="G639" t="str">
            <v>不明</v>
          </cell>
          <cell r="H639" t="str">
            <v>yellow</v>
          </cell>
          <cell r="I639">
            <v>6</v>
          </cell>
          <cell r="J639" t="str">
            <v>DropWizS</v>
          </cell>
          <cell r="K639" t="str">
            <v>balance</v>
          </cell>
          <cell r="L639" t="str">
            <v>バランスタイプ</v>
          </cell>
          <cell r="M639" t="str">
            <v>god</v>
          </cell>
        </row>
        <row r="640">
          <cell r="A640">
            <v>639</v>
          </cell>
          <cell r="B640" t="str">
            <v>ja</v>
          </cell>
          <cell r="C640" t="str">
            <v>看板娘</v>
          </cell>
          <cell r="D640" t="str">
            <v>未定</v>
          </cell>
          <cell r="E640" t="str">
            <v>執行者</v>
          </cell>
          <cell r="F640" t="str">
            <v>格好いい</v>
          </cell>
          <cell r="G640" t="str">
            <v>不明</v>
          </cell>
          <cell r="H640" t="str">
            <v>red</v>
          </cell>
          <cell r="I640">
            <v>5</v>
          </cell>
          <cell r="J640" t="str">
            <v>Drop2N</v>
          </cell>
          <cell r="K640" t="str">
            <v>balance</v>
          </cell>
          <cell r="L640" t="str">
            <v>バランスタイプ</v>
          </cell>
          <cell r="M640" t="str">
            <v>human</v>
          </cell>
        </row>
        <row r="641">
          <cell r="A641">
            <v>640</v>
          </cell>
          <cell r="B641" t="str">
            <v>ja</v>
          </cell>
          <cell r="C641" t="str">
            <v>ブラックマ</v>
          </cell>
          <cell r="D641" t="str">
            <v>未定</v>
          </cell>
          <cell r="E641" t="str">
            <v>執行者</v>
          </cell>
          <cell r="F641" t="str">
            <v>格好いい</v>
          </cell>
          <cell r="G641" t="str">
            <v>不明</v>
          </cell>
          <cell r="H641" t="str">
            <v>green</v>
          </cell>
          <cell r="I641">
            <v>5</v>
          </cell>
          <cell r="J641" t="str">
            <v>Drop2N</v>
          </cell>
          <cell r="K641" t="str">
            <v>balance</v>
          </cell>
          <cell r="L641" t="str">
            <v>バランスタイプ</v>
          </cell>
          <cell r="M641" t="str">
            <v>animal</v>
          </cell>
        </row>
        <row r="642">
          <cell r="A642">
            <v>641</v>
          </cell>
          <cell r="B642" t="str">
            <v>ja</v>
          </cell>
          <cell r="C642" t="str">
            <v>砦</v>
          </cell>
          <cell r="D642" t="str">
            <v>未定</v>
          </cell>
          <cell r="E642" t="str">
            <v>執行者</v>
          </cell>
          <cell r="F642" t="str">
            <v>格好いい</v>
          </cell>
          <cell r="G642" t="str">
            <v>不明</v>
          </cell>
          <cell r="H642" t="str">
            <v>blue</v>
          </cell>
          <cell r="I642">
            <v>5</v>
          </cell>
          <cell r="J642" t="str">
            <v>Drop2N</v>
          </cell>
          <cell r="K642" t="str">
            <v>balance</v>
          </cell>
          <cell r="L642" t="str">
            <v>バランスタイプ</v>
          </cell>
          <cell r="M642" t="str">
            <v>unknown</v>
          </cell>
        </row>
        <row r="643">
          <cell r="A643">
            <v>642</v>
          </cell>
          <cell r="B643" t="str">
            <v>ja</v>
          </cell>
          <cell r="C643" t="str">
            <v>カーマ</v>
          </cell>
          <cell r="D643" t="str">
            <v>イベント:ウィザード</v>
          </cell>
          <cell r="E643" t="str">
            <v>執行者</v>
          </cell>
          <cell r="F643" t="str">
            <v>格好いい</v>
          </cell>
          <cell r="G643" t="str">
            <v>男性</v>
          </cell>
          <cell r="H643" t="str">
            <v>red</v>
          </cell>
          <cell r="I643">
            <v>4</v>
          </cell>
          <cell r="J643" t="str">
            <v>DropWizS</v>
          </cell>
          <cell r="K643" t="str">
            <v>balance</v>
          </cell>
          <cell r="L643" t="str">
            <v>バランスタイプ</v>
          </cell>
          <cell r="M643" t="str">
            <v>god</v>
          </cell>
        </row>
        <row r="644">
          <cell r="A644">
            <v>643</v>
          </cell>
          <cell r="B644" t="str">
            <v>ja</v>
          </cell>
          <cell r="C644" t="str">
            <v>愛花天神 カーマ</v>
          </cell>
          <cell r="D644" t="str">
            <v>イベント:ウィザード</v>
          </cell>
          <cell r="E644" t="str">
            <v>執行者</v>
          </cell>
          <cell r="F644" t="str">
            <v>格好いい</v>
          </cell>
          <cell r="G644" t="str">
            <v>男性</v>
          </cell>
          <cell r="H644" t="str">
            <v>red</v>
          </cell>
          <cell r="I644">
            <v>5</v>
          </cell>
          <cell r="J644" t="str">
            <v>DropWizS</v>
          </cell>
          <cell r="K644" t="str">
            <v>balance</v>
          </cell>
          <cell r="L644" t="str">
            <v>バランスタイプ</v>
          </cell>
          <cell r="M644" t="str">
            <v>god</v>
          </cell>
        </row>
        <row r="645">
          <cell r="A645">
            <v>644</v>
          </cell>
          <cell r="B645" t="str">
            <v>ja</v>
          </cell>
          <cell r="C645" t="str">
            <v>滑瓢 ショウキ</v>
          </cell>
          <cell r="D645" t="str">
            <v>イベント:ウィザード</v>
          </cell>
          <cell r="E645" t="str">
            <v>執行者</v>
          </cell>
          <cell r="F645" t="str">
            <v>格好いい</v>
          </cell>
          <cell r="G645" t="str">
            <v>男性</v>
          </cell>
          <cell r="H645" t="str">
            <v>green</v>
          </cell>
          <cell r="I645">
            <v>4</v>
          </cell>
          <cell r="J645" t="str">
            <v>DropWizS</v>
          </cell>
          <cell r="K645" t="str">
            <v>technical</v>
          </cell>
          <cell r="L645" t="str">
            <v>テクニカルタイプ</v>
          </cell>
          <cell r="M645" t="str">
            <v>human</v>
          </cell>
        </row>
        <row r="646">
          <cell r="A646">
            <v>645</v>
          </cell>
          <cell r="B646" t="str">
            <v>ja</v>
          </cell>
          <cell r="C646" t="str">
            <v>百鬼夜行の創大将 ショウキ</v>
          </cell>
          <cell r="D646" t="str">
            <v>イベント:ウィザード</v>
          </cell>
          <cell r="E646" t="str">
            <v>執行者</v>
          </cell>
          <cell r="F646" t="str">
            <v>格好いい</v>
          </cell>
          <cell r="G646" t="str">
            <v>男性</v>
          </cell>
          <cell r="H646" t="str">
            <v>green</v>
          </cell>
          <cell r="I646">
            <v>5</v>
          </cell>
          <cell r="J646" t="str">
            <v>DropWizS</v>
          </cell>
          <cell r="K646" t="str">
            <v>technical</v>
          </cell>
          <cell r="L646" t="str">
            <v>テクニカルタイプ</v>
          </cell>
          <cell r="M646" t="str">
            <v>human</v>
          </cell>
        </row>
        <row r="647">
          <cell r="A647">
            <v>646</v>
          </cell>
          <cell r="B647" t="str">
            <v>ja</v>
          </cell>
          <cell r="C647" t="str">
            <v>雪女 ユキ</v>
          </cell>
          <cell r="D647" t="str">
            <v>イベント:妖怪01</v>
          </cell>
          <cell r="E647" t="str">
            <v>執行者</v>
          </cell>
          <cell r="F647" t="str">
            <v>格好いい</v>
          </cell>
          <cell r="G647" t="str">
            <v>女性</v>
          </cell>
          <cell r="H647" t="str">
            <v>blue</v>
          </cell>
          <cell r="I647">
            <v>4</v>
          </cell>
          <cell r="J647" t="str">
            <v>Drop2N</v>
          </cell>
          <cell r="K647" t="str">
            <v>balance</v>
          </cell>
          <cell r="L647" t="str">
            <v>バランスタイプ</v>
          </cell>
          <cell r="M647" t="str">
            <v>unknown</v>
          </cell>
        </row>
        <row r="648">
          <cell r="A648">
            <v>647</v>
          </cell>
          <cell r="B648" t="str">
            <v>ja</v>
          </cell>
          <cell r="C648" t="str">
            <v>氷麗の雪化生 ユキ</v>
          </cell>
          <cell r="D648" t="str">
            <v>イベント:妖怪01</v>
          </cell>
          <cell r="E648" t="str">
            <v>執行者</v>
          </cell>
          <cell r="F648" t="str">
            <v>格好いい</v>
          </cell>
          <cell r="G648" t="str">
            <v>女性</v>
          </cell>
          <cell r="H648" t="str">
            <v>blue</v>
          </cell>
          <cell r="I648">
            <v>5</v>
          </cell>
          <cell r="J648" t="str">
            <v>Drop2N</v>
          </cell>
          <cell r="K648" t="str">
            <v>balance</v>
          </cell>
          <cell r="L648" t="str">
            <v>バランスタイプ</v>
          </cell>
          <cell r="M648" t="str">
            <v>unknown</v>
          </cell>
        </row>
        <row r="649">
          <cell r="A649">
            <v>648</v>
          </cell>
          <cell r="B649" t="str">
            <v>ja</v>
          </cell>
          <cell r="C649" t="str">
            <v>パールヴァティ</v>
          </cell>
          <cell r="D649" t="str">
            <v>イベント:ヒンドゥー01</v>
          </cell>
          <cell r="E649" t="str">
            <v>執行者</v>
          </cell>
          <cell r="F649" t="str">
            <v>格好いい</v>
          </cell>
          <cell r="G649" t="str">
            <v>女性</v>
          </cell>
          <cell r="H649" t="str">
            <v>blue</v>
          </cell>
          <cell r="I649">
            <v>4</v>
          </cell>
          <cell r="J649" t="str">
            <v>DropWizS</v>
          </cell>
          <cell r="K649" t="str">
            <v>heal</v>
          </cell>
          <cell r="L649" t="str">
            <v>回復タイプ</v>
          </cell>
          <cell r="M649" t="str">
            <v>god</v>
          </cell>
        </row>
        <row r="650">
          <cell r="A650">
            <v>649</v>
          </cell>
          <cell r="B650" t="str">
            <v>ja</v>
          </cell>
          <cell r="C650" t="str">
            <v>寄咲く一輪華 パールヴァティ</v>
          </cell>
          <cell r="D650" t="str">
            <v>イベント:ヒンドゥー01</v>
          </cell>
          <cell r="E650" t="str">
            <v>執行者</v>
          </cell>
          <cell r="F650" t="str">
            <v>格好いい</v>
          </cell>
          <cell r="G650" t="str">
            <v>女性</v>
          </cell>
          <cell r="H650" t="str">
            <v>blue</v>
          </cell>
          <cell r="I650">
            <v>5</v>
          </cell>
          <cell r="J650" t="str">
            <v>DropWizS</v>
          </cell>
          <cell r="K650" t="str">
            <v>heal</v>
          </cell>
          <cell r="L650" t="str">
            <v>回復タイプ</v>
          </cell>
          <cell r="M650" t="str">
            <v>god</v>
          </cell>
        </row>
        <row r="651">
          <cell r="A651">
            <v>650</v>
          </cell>
          <cell r="B651" t="str">
            <v>ja</v>
          </cell>
          <cell r="C651" t="str">
            <v>土蜘蛛 ユウヤ</v>
          </cell>
          <cell r="D651" t="str">
            <v>イベント:妖怪01</v>
          </cell>
          <cell r="E651" t="str">
            <v>執行者</v>
          </cell>
          <cell r="F651" t="str">
            <v>格好いい</v>
          </cell>
          <cell r="G651" t="str">
            <v>男性</v>
          </cell>
          <cell r="H651" t="str">
            <v>yellow</v>
          </cell>
          <cell r="I651">
            <v>4</v>
          </cell>
          <cell r="J651" t="str">
            <v>Drop2N</v>
          </cell>
          <cell r="K651" t="str">
            <v>technical</v>
          </cell>
          <cell r="L651" t="str">
            <v>テクニカルタイプ</v>
          </cell>
          <cell r="M651" t="str">
            <v>animal</v>
          </cell>
        </row>
        <row r="652">
          <cell r="A652">
            <v>651</v>
          </cell>
          <cell r="B652" t="str">
            <v>ja</v>
          </cell>
          <cell r="C652" t="str">
            <v>八重祟障 ユウヤ</v>
          </cell>
          <cell r="D652" t="str">
            <v>イベント:妖怪01</v>
          </cell>
          <cell r="E652" t="str">
            <v>執行者</v>
          </cell>
          <cell r="F652" t="str">
            <v>格好いい</v>
          </cell>
          <cell r="G652" t="str">
            <v>男性</v>
          </cell>
          <cell r="H652" t="str">
            <v>yellow</v>
          </cell>
          <cell r="I652">
            <v>5</v>
          </cell>
          <cell r="J652" t="str">
            <v>Drop2N</v>
          </cell>
          <cell r="K652" t="str">
            <v>technical</v>
          </cell>
          <cell r="L652" t="str">
            <v>テクニカルタイプ</v>
          </cell>
          <cell r="M652" t="str">
            <v>animal</v>
          </cell>
        </row>
        <row r="653">
          <cell r="A653">
            <v>652</v>
          </cell>
          <cell r="B653" t="str">
            <v>ja</v>
          </cell>
          <cell r="C653" t="str">
            <v>アナンタ</v>
          </cell>
          <cell r="D653" t="str">
            <v>イベント:ヒンドゥー01</v>
          </cell>
          <cell r="E653" t="str">
            <v>執行者</v>
          </cell>
          <cell r="F653" t="str">
            <v>格好いい</v>
          </cell>
          <cell r="G653" t="str">
            <v>不明</v>
          </cell>
          <cell r="H653" t="str">
            <v>yellow</v>
          </cell>
          <cell r="I653">
            <v>4</v>
          </cell>
          <cell r="J653" t="str">
            <v>Drop2N</v>
          </cell>
          <cell r="K653" t="str">
            <v>hp</v>
          </cell>
          <cell r="L653" t="str">
            <v>体力タイプ</v>
          </cell>
          <cell r="M653" t="str">
            <v>dragon</v>
          </cell>
        </row>
        <row r="654">
          <cell r="A654">
            <v>653</v>
          </cell>
          <cell r="B654" t="str">
            <v>ja</v>
          </cell>
          <cell r="C654" t="str">
            <v>悠久の狡蛇 アナンタ</v>
          </cell>
          <cell r="D654" t="str">
            <v>イベント:ヒンドゥー01</v>
          </cell>
          <cell r="E654" t="str">
            <v>執行者</v>
          </cell>
          <cell r="F654" t="str">
            <v>格好いい</v>
          </cell>
          <cell r="G654" t="str">
            <v>不明</v>
          </cell>
          <cell r="H654" t="str">
            <v>yellow</v>
          </cell>
          <cell r="I654">
            <v>5</v>
          </cell>
          <cell r="J654" t="str">
            <v>Drop2N</v>
          </cell>
          <cell r="K654" t="str">
            <v>hp</v>
          </cell>
          <cell r="L654" t="str">
            <v>体力タイプ</v>
          </cell>
          <cell r="M654" t="str">
            <v>dragon</v>
          </cell>
        </row>
        <row r="655">
          <cell r="A655">
            <v>654</v>
          </cell>
          <cell r="B655" t="str">
            <v>ja</v>
          </cell>
          <cell r="C655" t="str">
            <v>酒呑童子 ヨミ</v>
          </cell>
          <cell r="D655" t="str">
            <v>イベント:ウィザード</v>
          </cell>
          <cell r="E655" t="str">
            <v>執行者</v>
          </cell>
          <cell r="F655" t="str">
            <v>格好いい</v>
          </cell>
          <cell r="G655" t="str">
            <v>女性</v>
          </cell>
          <cell r="H655" t="str">
            <v>yellow</v>
          </cell>
          <cell r="I655">
            <v>4</v>
          </cell>
          <cell r="J655" t="str">
            <v>DropWizS</v>
          </cell>
          <cell r="K655" t="str">
            <v>attack</v>
          </cell>
          <cell r="L655" t="str">
            <v>攻撃タイプ</v>
          </cell>
          <cell r="M655" t="str">
            <v>god</v>
          </cell>
        </row>
        <row r="656">
          <cell r="A656">
            <v>655</v>
          </cell>
          <cell r="B656" t="str">
            <v>ja</v>
          </cell>
          <cell r="C656" t="str">
            <v>桜花舞う嵐鬼神 ヨミ</v>
          </cell>
          <cell r="D656" t="str">
            <v>イベント:ウィザード</v>
          </cell>
          <cell r="E656" t="str">
            <v>執行者</v>
          </cell>
          <cell r="F656" t="str">
            <v>格好いい</v>
          </cell>
          <cell r="G656" t="str">
            <v>女性</v>
          </cell>
          <cell r="H656" t="str">
            <v>yellow</v>
          </cell>
          <cell r="I656">
            <v>5</v>
          </cell>
          <cell r="J656" t="str">
            <v>DropWizS</v>
          </cell>
          <cell r="K656" t="str">
            <v>attack</v>
          </cell>
          <cell r="L656" t="str">
            <v>攻撃タイプ</v>
          </cell>
          <cell r="M656" t="str">
            <v>god</v>
          </cell>
        </row>
        <row r="657">
          <cell r="A657">
            <v>656</v>
          </cell>
          <cell r="B657" t="str">
            <v>ja</v>
          </cell>
          <cell r="C657" t="str">
            <v>シヴァ</v>
          </cell>
          <cell r="D657" t="str">
            <v>イベント:ウィザード</v>
          </cell>
          <cell r="E657" t="str">
            <v>執行者</v>
          </cell>
          <cell r="F657" t="str">
            <v>格好いい</v>
          </cell>
          <cell r="G657" t="str">
            <v>男性</v>
          </cell>
          <cell r="H657" t="str">
            <v>blue</v>
          </cell>
          <cell r="I657">
            <v>4</v>
          </cell>
          <cell r="J657" t="str">
            <v>DropWizS</v>
          </cell>
          <cell r="K657" t="str">
            <v>balance</v>
          </cell>
          <cell r="L657" t="str">
            <v>バランスタイプ</v>
          </cell>
          <cell r="M657" t="str">
            <v>god</v>
          </cell>
        </row>
        <row r="658">
          <cell r="A658">
            <v>657</v>
          </cell>
          <cell r="B658" t="str">
            <v>ja</v>
          </cell>
          <cell r="C658" t="str">
            <v>解滅の裁神 シヴァ</v>
          </cell>
          <cell r="D658" t="str">
            <v>イベント:ウィザード</v>
          </cell>
          <cell r="E658" t="str">
            <v>執行者</v>
          </cell>
          <cell r="F658" t="str">
            <v>格好いい</v>
          </cell>
          <cell r="G658" t="str">
            <v>男性</v>
          </cell>
          <cell r="H658" t="str">
            <v>blue</v>
          </cell>
          <cell r="I658">
            <v>5</v>
          </cell>
          <cell r="J658" t="str">
            <v>DropWizS</v>
          </cell>
          <cell r="K658" t="str">
            <v>balance</v>
          </cell>
          <cell r="L658" t="str">
            <v>バランスタイプ</v>
          </cell>
          <cell r="M658" t="str">
            <v>god</v>
          </cell>
        </row>
        <row r="659">
          <cell r="A659">
            <v>658</v>
          </cell>
          <cell r="B659" t="str">
            <v>ja</v>
          </cell>
          <cell r="C659" t="str">
            <v>猫又 クルミ</v>
          </cell>
          <cell r="D659" t="str">
            <v>ガチャ:妖怪01</v>
          </cell>
          <cell r="E659" t="str">
            <v>執行者</v>
          </cell>
          <cell r="F659" t="str">
            <v>格好いい</v>
          </cell>
          <cell r="G659" t="str">
            <v>女性</v>
          </cell>
          <cell r="H659" t="str">
            <v>red</v>
          </cell>
          <cell r="I659">
            <v>4</v>
          </cell>
          <cell r="J659" t="str">
            <v>PremiumSS</v>
          </cell>
          <cell r="K659" t="str">
            <v>attack</v>
          </cell>
          <cell r="L659" t="str">
            <v>攻撃タイプ</v>
          </cell>
          <cell r="M659" t="str">
            <v>animal</v>
          </cell>
        </row>
        <row r="660">
          <cell r="A660">
            <v>659</v>
          </cell>
          <cell r="B660" t="str">
            <v>ja</v>
          </cell>
          <cell r="C660" t="str">
            <v>跳梁する化猫 クルミ</v>
          </cell>
          <cell r="D660" t="str">
            <v>ガチャ:妖怪01</v>
          </cell>
          <cell r="E660" t="str">
            <v>執行者</v>
          </cell>
          <cell r="F660" t="str">
            <v>格好いい</v>
          </cell>
          <cell r="G660" t="str">
            <v>女性</v>
          </cell>
          <cell r="H660" t="str">
            <v>red</v>
          </cell>
          <cell r="I660">
            <v>5</v>
          </cell>
          <cell r="J660" t="str">
            <v>PremiumSS</v>
          </cell>
          <cell r="K660" t="str">
            <v>attack</v>
          </cell>
          <cell r="L660" t="str">
            <v>攻撃タイプ</v>
          </cell>
          <cell r="M660" t="str">
            <v>animal</v>
          </cell>
        </row>
        <row r="661">
          <cell r="A661">
            <v>660</v>
          </cell>
          <cell r="B661" t="str">
            <v>ja</v>
          </cell>
          <cell r="C661" t="str">
            <v>烏天狗 フウガ</v>
          </cell>
          <cell r="D661" t="str">
            <v>ガチャ:妖怪01</v>
          </cell>
          <cell r="E661" t="str">
            <v>執行者</v>
          </cell>
          <cell r="F661" t="str">
            <v>格好いい</v>
          </cell>
          <cell r="G661" t="str">
            <v>男性</v>
          </cell>
          <cell r="H661" t="str">
            <v>green</v>
          </cell>
          <cell r="I661">
            <v>4</v>
          </cell>
          <cell r="J661" t="str">
            <v>PremiumSS</v>
          </cell>
          <cell r="K661" t="str">
            <v>balance</v>
          </cell>
          <cell r="L661" t="str">
            <v>バランスタイプ</v>
          </cell>
          <cell r="M661" t="str">
            <v>animal</v>
          </cell>
        </row>
        <row r="662">
          <cell r="A662">
            <v>661</v>
          </cell>
          <cell r="B662" t="str">
            <v>ja</v>
          </cell>
          <cell r="C662" t="str">
            <v>疾風の天狗礫 フウガ</v>
          </cell>
          <cell r="D662" t="str">
            <v>ガチャ:妖怪01</v>
          </cell>
          <cell r="E662" t="str">
            <v>執行者</v>
          </cell>
          <cell r="F662" t="str">
            <v>格好いい</v>
          </cell>
          <cell r="G662" t="str">
            <v>男性</v>
          </cell>
          <cell r="H662" t="str">
            <v>green</v>
          </cell>
          <cell r="I662">
            <v>5</v>
          </cell>
          <cell r="J662" t="str">
            <v>PremiumSS</v>
          </cell>
          <cell r="K662" t="str">
            <v>balance</v>
          </cell>
          <cell r="L662" t="str">
            <v>バランスタイプ</v>
          </cell>
          <cell r="M662" t="str">
            <v>animal</v>
          </cell>
        </row>
        <row r="663">
          <cell r="A663">
            <v>662</v>
          </cell>
          <cell r="B663" t="str">
            <v>ja</v>
          </cell>
          <cell r="C663" t="str">
            <v>ダイダラ</v>
          </cell>
          <cell r="D663" t="str">
            <v>ガチャ:妖怪01</v>
          </cell>
          <cell r="E663" t="str">
            <v>執行者</v>
          </cell>
          <cell r="F663" t="str">
            <v>格好いい</v>
          </cell>
          <cell r="G663" t="str">
            <v>不明</v>
          </cell>
          <cell r="H663" t="str">
            <v>blue</v>
          </cell>
          <cell r="I663">
            <v>3</v>
          </cell>
          <cell r="J663" t="str">
            <v>PremiumS</v>
          </cell>
          <cell r="K663" t="str">
            <v>hp</v>
          </cell>
          <cell r="L663" t="str">
            <v>体力タイプ</v>
          </cell>
          <cell r="M663" t="str">
            <v>unknown</v>
          </cell>
        </row>
        <row r="664">
          <cell r="A664">
            <v>663</v>
          </cell>
          <cell r="B664" t="str">
            <v>ja</v>
          </cell>
          <cell r="C664" t="str">
            <v>都揺らす地響き ダイダラ</v>
          </cell>
          <cell r="D664" t="str">
            <v>ガチャ:妖怪01</v>
          </cell>
          <cell r="E664" t="str">
            <v>執行者</v>
          </cell>
          <cell r="F664" t="str">
            <v>格好いい</v>
          </cell>
          <cell r="G664" t="str">
            <v>不明</v>
          </cell>
          <cell r="H664" t="str">
            <v>blue</v>
          </cell>
          <cell r="I664">
            <v>4</v>
          </cell>
          <cell r="J664" t="str">
            <v>PremiumS</v>
          </cell>
          <cell r="K664" t="str">
            <v>hp</v>
          </cell>
          <cell r="L664" t="str">
            <v>体力タイプ</v>
          </cell>
          <cell r="M664" t="str">
            <v>unknown</v>
          </cell>
        </row>
        <row r="665">
          <cell r="A665">
            <v>664</v>
          </cell>
          <cell r="B665" t="str">
            <v>ja</v>
          </cell>
          <cell r="C665" t="str">
            <v>山掴み国造り ダイダラ</v>
          </cell>
          <cell r="D665" t="str">
            <v>ガチャ:妖怪01</v>
          </cell>
          <cell r="E665" t="str">
            <v>執行者</v>
          </cell>
          <cell r="F665" t="str">
            <v>格好いい</v>
          </cell>
          <cell r="G665" t="str">
            <v>不明</v>
          </cell>
          <cell r="H665" t="str">
            <v>blue</v>
          </cell>
          <cell r="I665">
            <v>5</v>
          </cell>
          <cell r="J665" t="str">
            <v>PremiumS</v>
          </cell>
          <cell r="K665" t="str">
            <v>hp</v>
          </cell>
          <cell r="L665" t="str">
            <v>体力タイプ</v>
          </cell>
          <cell r="M665" t="str">
            <v>unknown</v>
          </cell>
        </row>
        <row r="666">
          <cell r="A666">
            <v>665</v>
          </cell>
          <cell r="B666" t="str">
            <v>ja</v>
          </cell>
          <cell r="C666" t="str">
            <v>座敷童子 テマリ</v>
          </cell>
          <cell r="D666" t="str">
            <v>ガチャ:妖怪01</v>
          </cell>
          <cell r="E666" t="str">
            <v>執行者</v>
          </cell>
          <cell r="F666" t="str">
            <v>格好いい</v>
          </cell>
          <cell r="G666" t="str">
            <v>女性</v>
          </cell>
          <cell r="H666" t="str">
            <v>yellow</v>
          </cell>
          <cell r="I666">
            <v>3</v>
          </cell>
          <cell r="J666" t="str">
            <v>PremiumS</v>
          </cell>
          <cell r="K666" t="str">
            <v>balance</v>
          </cell>
          <cell r="L666" t="str">
            <v>バランスタイプ</v>
          </cell>
          <cell r="M666" t="str">
            <v>unknown</v>
          </cell>
        </row>
        <row r="667">
          <cell r="A667">
            <v>666</v>
          </cell>
          <cell r="B667" t="str">
            <v>ja</v>
          </cell>
          <cell r="C667" t="str">
            <v>拡散する幸福 テマリ</v>
          </cell>
          <cell r="D667" t="str">
            <v>ガチャ:妖怪01</v>
          </cell>
          <cell r="E667" t="str">
            <v>執行者</v>
          </cell>
          <cell r="F667" t="str">
            <v>格好いい</v>
          </cell>
          <cell r="G667" t="str">
            <v>女性</v>
          </cell>
          <cell r="H667" t="str">
            <v>yellow</v>
          </cell>
          <cell r="I667">
            <v>4</v>
          </cell>
          <cell r="J667" t="str">
            <v>PremiumS</v>
          </cell>
          <cell r="K667" t="str">
            <v>balance</v>
          </cell>
          <cell r="L667" t="str">
            <v>バランスタイプ</v>
          </cell>
          <cell r="M667" t="str">
            <v>unknown</v>
          </cell>
        </row>
        <row r="668">
          <cell r="A668">
            <v>667</v>
          </cell>
          <cell r="B668" t="str">
            <v>ja</v>
          </cell>
          <cell r="C668" t="str">
            <v>最幸運の妖童 テマリ</v>
          </cell>
          <cell r="D668" t="str">
            <v>ガチャ:妖怪01</v>
          </cell>
          <cell r="E668" t="str">
            <v>執行者</v>
          </cell>
          <cell r="F668" t="str">
            <v>格好いい</v>
          </cell>
          <cell r="G668" t="str">
            <v>女性</v>
          </cell>
          <cell r="H668" t="str">
            <v>yellow</v>
          </cell>
          <cell r="I668">
            <v>5</v>
          </cell>
          <cell r="J668" t="str">
            <v>PremiumS</v>
          </cell>
          <cell r="K668" t="str">
            <v>balance</v>
          </cell>
          <cell r="L668" t="str">
            <v>バランスタイプ</v>
          </cell>
          <cell r="M668" t="str">
            <v>unknown</v>
          </cell>
        </row>
        <row r="669">
          <cell r="A669">
            <v>668</v>
          </cell>
          <cell r="B669" t="str">
            <v>ja</v>
          </cell>
          <cell r="C669" t="str">
            <v>アグニ</v>
          </cell>
          <cell r="D669" t="str">
            <v>ガチャ:ヒンドゥ-01</v>
          </cell>
          <cell r="E669" t="str">
            <v>執行者</v>
          </cell>
          <cell r="F669" t="str">
            <v>格好いい</v>
          </cell>
          <cell r="G669" t="str">
            <v>男性</v>
          </cell>
          <cell r="H669" t="str">
            <v>red</v>
          </cell>
          <cell r="I669">
            <v>3</v>
          </cell>
          <cell r="J669" t="str">
            <v>PremiumS</v>
          </cell>
          <cell r="K669" t="str">
            <v>hp</v>
          </cell>
          <cell r="L669" t="str">
            <v>体力タイプ</v>
          </cell>
          <cell r="M669" t="str">
            <v>god</v>
          </cell>
        </row>
        <row r="670">
          <cell r="A670">
            <v>669</v>
          </cell>
          <cell r="B670" t="str">
            <v>ja</v>
          </cell>
          <cell r="C670" t="str">
            <v>天地の仲界 アグニ</v>
          </cell>
          <cell r="D670" t="str">
            <v>ガチャ:ヒンドゥ-01</v>
          </cell>
          <cell r="E670" t="str">
            <v>執行者</v>
          </cell>
          <cell r="F670" t="str">
            <v>格好いい</v>
          </cell>
          <cell r="G670" t="str">
            <v>男性</v>
          </cell>
          <cell r="H670" t="str">
            <v>red</v>
          </cell>
          <cell r="I670">
            <v>4</v>
          </cell>
          <cell r="J670" t="str">
            <v>PremiumS</v>
          </cell>
          <cell r="K670" t="str">
            <v>hp</v>
          </cell>
          <cell r="L670" t="str">
            <v>体力タイプ</v>
          </cell>
          <cell r="M670" t="str">
            <v>god</v>
          </cell>
        </row>
        <row r="671">
          <cell r="A671">
            <v>670</v>
          </cell>
          <cell r="B671" t="str">
            <v>ja</v>
          </cell>
          <cell r="C671" t="str">
            <v>陽天の噴煙 アグニ</v>
          </cell>
          <cell r="D671" t="str">
            <v>ガチャ:ヒンドゥ-01</v>
          </cell>
          <cell r="E671" t="str">
            <v>執行者</v>
          </cell>
          <cell r="F671" t="str">
            <v>格好いい</v>
          </cell>
          <cell r="G671" t="str">
            <v>男性</v>
          </cell>
          <cell r="H671" t="str">
            <v>red</v>
          </cell>
          <cell r="I671">
            <v>5</v>
          </cell>
          <cell r="J671" t="str">
            <v>PremiumS</v>
          </cell>
          <cell r="K671" t="str">
            <v>hp</v>
          </cell>
          <cell r="L671" t="str">
            <v>体力タイプ</v>
          </cell>
          <cell r="M671" t="str">
            <v>god</v>
          </cell>
        </row>
        <row r="672">
          <cell r="A672">
            <v>671</v>
          </cell>
          <cell r="B672" t="str">
            <v>ja</v>
          </cell>
          <cell r="C672" t="str">
            <v>ハヌマーン</v>
          </cell>
          <cell r="D672" t="str">
            <v>ガチャ:ヒンドゥ-01</v>
          </cell>
          <cell r="E672" t="str">
            <v>執行者</v>
          </cell>
          <cell r="F672" t="str">
            <v>格好いい</v>
          </cell>
          <cell r="G672" t="str">
            <v>男性</v>
          </cell>
          <cell r="H672" t="str">
            <v>green</v>
          </cell>
          <cell r="I672">
            <v>3</v>
          </cell>
          <cell r="J672" t="str">
            <v>PremiumS</v>
          </cell>
          <cell r="K672" t="str">
            <v>attack</v>
          </cell>
          <cell r="L672" t="str">
            <v>攻撃タイプ</v>
          </cell>
          <cell r="M672" t="str">
            <v>animal</v>
          </cell>
        </row>
        <row r="673">
          <cell r="A673">
            <v>672</v>
          </cell>
          <cell r="B673" t="str">
            <v>ja</v>
          </cell>
          <cell r="C673" t="str">
            <v>西遊韋駄天 ハヌマーン</v>
          </cell>
          <cell r="D673" t="str">
            <v>ガチャ:ヒンドゥ-01</v>
          </cell>
          <cell r="E673" t="str">
            <v>執行者</v>
          </cell>
          <cell r="F673" t="str">
            <v>格好いい</v>
          </cell>
          <cell r="G673" t="str">
            <v>男性</v>
          </cell>
          <cell r="H673" t="str">
            <v>green</v>
          </cell>
          <cell r="I673">
            <v>4</v>
          </cell>
          <cell r="J673" t="str">
            <v>PremiumS</v>
          </cell>
          <cell r="K673" t="str">
            <v>attack</v>
          </cell>
          <cell r="L673" t="str">
            <v>攻撃タイプ</v>
          </cell>
          <cell r="M673" t="str">
            <v>animal</v>
          </cell>
        </row>
        <row r="674">
          <cell r="A674">
            <v>673</v>
          </cell>
          <cell r="B674" t="str">
            <v>ja</v>
          </cell>
          <cell r="C674" t="str">
            <v>変幻自在の猿王 ハヌマーン</v>
          </cell>
          <cell r="D674" t="str">
            <v>ガチャ:ヒンドゥ-01</v>
          </cell>
          <cell r="E674" t="str">
            <v>執行者</v>
          </cell>
          <cell r="F674" t="str">
            <v>格好いい</v>
          </cell>
          <cell r="G674" t="str">
            <v>男性</v>
          </cell>
          <cell r="H674" t="str">
            <v>green</v>
          </cell>
          <cell r="I674">
            <v>5</v>
          </cell>
          <cell r="J674" t="str">
            <v>PremiumS</v>
          </cell>
          <cell r="K674" t="str">
            <v>attack</v>
          </cell>
          <cell r="L674" t="str">
            <v>攻撃タイプ</v>
          </cell>
          <cell r="M674" t="str">
            <v>animal</v>
          </cell>
        </row>
        <row r="675">
          <cell r="A675">
            <v>674</v>
          </cell>
          <cell r="B675" t="str">
            <v>ja</v>
          </cell>
          <cell r="C675" t="str">
            <v>サラスヴァティ</v>
          </cell>
          <cell r="D675" t="str">
            <v>ガチャ:ヒンドゥ-01</v>
          </cell>
          <cell r="E675" t="str">
            <v>執行者</v>
          </cell>
          <cell r="F675" t="str">
            <v>格好いい</v>
          </cell>
          <cell r="G675" t="str">
            <v>女性</v>
          </cell>
          <cell r="H675" t="str">
            <v>blue</v>
          </cell>
          <cell r="I675">
            <v>4</v>
          </cell>
          <cell r="J675" t="str">
            <v>PremiumSS</v>
          </cell>
          <cell r="K675" t="str">
            <v>balance</v>
          </cell>
          <cell r="L675" t="str">
            <v>バランスタイプ</v>
          </cell>
          <cell r="M675" t="str">
            <v>god</v>
          </cell>
        </row>
        <row r="676">
          <cell r="A676">
            <v>675</v>
          </cell>
          <cell r="B676" t="str">
            <v>ja</v>
          </cell>
          <cell r="C676" t="str">
            <v>芸楽の奔流 サラスヴァティ</v>
          </cell>
          <cell r="D676" t="str">
            <v>ガチャ:ヒンドゥ-01</v>
          </cell>
          <cell r="E676" t="str">
            <v>執行者</v>
          </cell>
          <cell r="F676" t="str">
            <v>格好いい</v>
          </cell>
          <cell r="G676" t="str">
            <v>女性</v>
          </cell>
          <cell r="H676" t="str">
            <v>blue</v>
          </cell>
          <cell r="I676">
            <v>5</v>
          </cell>
          <cell r="J676" t="str">
            <v>PremiumSS</v>
          </cell>
          <cell r="K676" t="str">
            <v>balance</v>
          </cell>
          <cell r="L676" t="str">
            <v>バランスタイプ</v>
          </cell>
          <cell r="M676" t="str">
            <v>god</v>
          </cell>
        </row>
        <row r="677">
          <cell r="A677">
            <v>676</v>
          </cell>
          <cell r="B677" t="str">
            <v>ja</v>
          </cell>
          <cell r="C677" t="str">
            <v>ヴィシュヌ</v>
          </cell>
          <cell r="D677" t="str">
            <v>ガチャ:ヒンドゥ-01</v>
          </cell>
          <cell r="E677" t="str">
            <v>執行者</v>
          </cell>
          <cell r="F677" t="str">
            <v>格好いい</v>
          </cell>
          <cell r="G677" t="str">
            <v>女性</v>
          </cell>
          <cell r="H677" t="str">
            <v>yellow</v>
          </cell>
          <cell r="I677">
            <v>4</v>
          </cell>
          <cell r="J677" t="str">
            <v>PremiumSS</v>
          </cell>
          <cell r="K677" t="str">
            <v>attack</v>
          </cell>
          <cell r="L677" t="str">
            <v>攻撃タイプ</v>
          </cell>
          <cell r="M677" t="str">
            <v>god</v>
          </cell>
        </row>
        <row r="678">
          <cell r="A678">
            <v>677</v>
          </cell>
          <cell r="B678" t="str">
            <v>ja</v>
          </cell>
          <cell r="C678" t="str">
            <v>武遊闊歩 ヴィシュヌ</v>
          </cell>
          <cell r="D678" t="str">
            <v>ガチャ:ヒンドゥ-01</v>
          </cell>
          <cell r="E678" t="str">
            <v>執行者</v>
          </cell>
          <cell r="F678" t="str">
            <v>格好いい</v>
          </cell>
          <cell r="G678" t="str">
            <v>女性</v>
          </cell>
          <cell r="H678" t="str">
            <v>yellow</v>
          </cell>
          <cell r="I678">
            <v>5</v>
          </cell>
          <cell r="J678" t="str">
            <v>PremiumSS</v>
          </cell>
          <cell r="K678" t="str">
            <v>attack</v>
          </cell>
          <cell r="L678" t="str">
            <v>攻撃タイプ</v>
          </cell>
          <cell r="M678" t="str">
            <v>god</v>
          </cell>
        </row>
        <row r="679">
          <cell r="A679">
            <v>678</v>
          </cell>
          <cell r="B679" t="str">
            <v>ja</v>
          </cell>
          <cell r="C679" t="str">
            <v>レイヴン</v>
          </cell>
          <cell r="D679" t="str">
            <v>ガチャ:ホワイトデー2016</v>
          </cell>
          <cell r="E679" t="str">
            <v>執行者</v>
          </cell>
          <cell r="F679" t="str">
            <v>格好いい</v>
          </cell>
          <cell r="G679" t="str">
            <v>男性</v>
          </cell>
          <cell r="H679" t="str">
            <v>green</v>
          </cell>
          <cell r="I679">
            <v>4</v>
          </cell>
          <cell r="J679" t="str">
            <v>PremiumSS</v>
          </cell>
          <cell r="K679" t="str">
            <v>attack</v>
          </cell>
          <cell r="L679" t="str">
            <v>攻撃タイプ</v>
          </cell>
          <cell r="M679" t="str">
            <v>human</v>
          </cell>
        </row>
        <row r="680">
          <cell r="A680">
            <v>679</v>
          </cell>
          <cell r="B680" t="str">
            <v>ja</v>
          </cell>
          <cell r="C680" t="str">
            <v>孤高の王子 レイヴン</v>
          </cell>
          <cell r="D680" t="str">
            <v>ガチャ:ホワイトデー2016</v>
          </cell>
          <cell r="E680" t="str">
            <v>執行者</v>
          </cell>
          <cell r="F680" t="str">
            <v>格好いい</v>
          </cell>
          <cell r="G680" t="str">
            <v>男性</v>
          </cell>
          <cell r="H680" t="str">
            <v>green</v>
          </cell>
          <cell r="I680">
            <v>5</v>
          </cell>
          <cell r="J680" t="str">
            <v>PremiumSS</v>
          </cell>
          <cell r="K680" t="str">
            <v>attack</v>
          </cell>
          <cell r="L680" t="str">
            <v>攻撃タイプ</v>
          </cell>
          <cell r="M680" t="str">
            <v>human</v>
          </cell>
        </row>
        <row r="681">
          <cell r="A681">
            <v>680</v>
          </cell>
          <cell r="B681" t="str">
            <v>ja</v>
          </cell>
          <cell r="C681" t="str">
            <v>炎のプレゼントケロケロ</v>
          </cell>
          <cell r="D681" t="str">
            <v>イベント;ホワイトデー2016</v>
          </cell>
          <cell r="E681" t="str">
            <v>アリス</v>
          </cell>
          <cell r="F681" t="str">
            <v>世界観</v>
          </cell>
          <cell r="G681" t="str">
            <v>不明</v>
          </cell>
          <cell r="H681" t="str">
            <v>red</v>
          </cell>
          <cell r="I681">
            <v>5</v>
          </cell>
          <cell r="J681" t="str">
            <v>Material</v>
          </cell>
          <cell r="K681" t="str">
            <v>exp</v>
          </cell>
          <cell r="L681" t="str">
            <v>強化素材タイプ</v>
          </cell>
          <cell r="M681" t="str">
            <v>unknown</v>
          </cell>
        </row>
        <row r="682">
          <cell r="A682">
            <v>681</v>
          </cell>
          <cell r="B682" t="str">
            <v>ja</v>
          </cell>
          <cell r="C682" t="str">
            <v>炎のプレゼントフロッグ</v>
          </cell>
          <cell r="D682" t="str">
            <v>イベント;ホワイトデー2016</v>
          </cell>
          <cell r="E682" t="str">
            <v>アリス</v>
          </cell>
          <cell r="F682" t="str">
            <v>世界観</v>
          </cell>
          <cell r="G682" t="str">
            <v>不明</v>
          </cell>
          <cell r="H682" t="str">
            <v>red</v>
          </cell>
          <cell r="I682">
            <v>6</v>
          </cell>
          <cell r="J682" t="str">
            <v>Material</v>
          </cell>
          <cell r="K682" t="str">
            <v>exp</v>
          </cell>
          <cell r="L682" t="str">
            <v>強化素材タイプ</v>
          </cell>
          <cell r="M682" t="str">
            <v>unknown</v>
          </cell>
        </row>
        <row r="683">
          <cell r="A683">
            <v>682</v>
          </cell>
          <cell r="B683" t="str">
            <v>ja</v>
          </cell>
          <cell r="C683" t="str">
            <v>森のプレゼントケロケロ</v>
          </cell>
          <cell r="D683" t="str">
            <v>イベント;ホワイトデー2016</v>
          </cell>
          <cell r="E683" t="str">
            <v>アリス</v>
          </cell>
          <cell r="F683" t="str">
            <v>世界観</v>
          </cell>
          <cell r="G683" t="str">
            <v>不明</v>
          </cell>
          <cell r="H683" t="str">
            <v>green</v>
          </cell>
          <cell r="I683">
            <v>5</v>
          </cell>
          <cell r="J683" t="str">
            <v>Material</v>
          </cell>
          <cell r="K683" t="str">
            <v>exp</v>
          </cell>
          <cell r="L683" t="str">
            <v>強化素材タイプ</v>
          </cell>
          <cell r="M683" t="str">
            <v>unknown</v>
          </cell>
        </row>
        <row r="684">
          <cell r="A684">
            <v>683</v>
          </cell>
          <cell r="B684" t="str">
            <v>ja</v>
          </cell>
          <cell r="C684" t="str">
            <v>森のプレゼントフロッグ</v>
          </cell>
          <cell r="D684" t="str">
            <v>イベント;ホワイトデー2016</v>
          </cell>
          <cell r="E684" t="str">
            <v>アリス</v>
          </cell>
          <cell r="F684" t="str">
            <v>世界観</v>
          </cell>
          <cell r="G684" t="str">
            <v>不明</v>
          </cell>
          <cell r="H684" t="str">
            <v>green</v>
          </cell>
          <cell r="I684">
            <v>6</v>
          </cell>
          <cell r="J684" t="str">
            <v>Material</v>
          </cell>
          <cell r="K684" t="str">
            <v>exp</v>
          </cell>
          <cell r="L684" t="str">
            <v>強化素材タイプ</v>
          </cell>
          <cell r="M684" t="str">
            <v>unknown</v>
          </cell>
        </row>
        <row r="685">
          <cell r="A685">
            <v>684</v>
          </cell>
          <cell r="B685" t="str">
            <v>ja</v>
          </cell>
          <cell r="C685" t="str">
            <v>水のプレゼントケロケロ</v>
          </cell>
          <cell r="D685" t="str">
            <v>イベント;ホワイトデー2016</v>
          </cell>
          <cell r="E685" t="str">
            <v>アリス</v>
          </cell>
          <cell r="F685" t="str">
            <v>世界観</v>
          </cell>
          <cell r="G685" t="str">
            <v>不明</v>
          </cell>
          <cell r="H685" t="str">
            <v>blue</v>
          </cell>
          <cell r="I685">
            <v>5</v>
          </cell>
          <cell r="J685" t="str">
            <v>Material</v>
          </cell>
          <cell r="K685" t="str">
            <v>exp</v>
          </cell>
          <cell r="L685" t="str">
            <v>強化素材タイプ</v>
          </cell>
          <cell r="M685" t="str">
            <v>unknown</v>
          </cell>
        </row>
        <row r="686">
          <cell r="A686">
            <v>685</v>
          </cell>
          <cell r="B686" t="str">
            <v>ja</v>
          </cell>
          <cell r="C686" t="str">
            <v>水のプレゼントフロッグ</v>
          </cell>
          <cell r="D686" t="str">
            <v>イベント;ホワイトデー2016</v>
          </cell>
          <cell r="E686" t="str">
            <v>アリス</v>
          </cell>
          <cell r="F686" t="str">
            <v>世界観</v>
          </cell>
          <cell r="G686" t="str">
            <v>不明</v>
          </cell>
          <cell r="H686" t="str">
            <v>blue</v>
          </cell>
          <cell r="I686">
            <v>6</v>
          </cell>
          <cell r="J686" t="str">
            <v>Material</v>
          </cell>
          <cell r="K686" t="str">
            <v>exp</v>
          </cell>
          <cell r="L686" t="str">
            <v>強化素材タイプ</v>
          </cell>
          <cell r="M686" t="str">
            <v>unknown</v>
          </cell>
        </row>
        <row r="687">
          <cell r="A687">
            <v>686</v>
          </cell>
          <cell r="B687" t="str">
            <v>ja</v>
          </cell>
          <cell r="C687" t="str">
            <v>雷のプレゼントケロケロ</v>
          </cell>
          <cell r="D687" t="str">
            <v>イベント;ホワイトデー2016</v>
          </cell>
          <cell r="E687" t="str">
            <v>アリス</v>
          </cell>
          <cell r="F687" t="str">
            <v>世界観</v>
          </cell>
          <cell r="G687" t="str">
            <v>不明</v>
          </cell>
          <cell r="H687" t="str">
            <v>yellow</v>
          </cell>
          <cell r="I687">
            <v>5</v>
          </cell>
          <cell r="J687" t="str">
            <v>Material</v>
          </cell>
          <cell r="K687" t="str">
            <v>exp</v>
          </cell>
          <cell r="L687" t="str">
            <v>強化素材タイプ</v>
          </cell>
          <cell r="M687" t="str">
            <v>unknown</v>
          </cell>
        </row>
        <row r="688">
          <cell r="A688">
            <v>687</v>
          </cell>
          <cell r="B688" t="str">
            <v>ja</v>
          </cell>
          <cell r="C688" t="str">
            <v>雷のプレゼントフロッグ</v>
          </cell>
          <cell r="D688" t="str">
            <v>イベント;ホワイトデー2016</v>
          </cell>
          <cell r="E688" t="str">
            <v>アリス</v>
          </cell>
          <cell r="F688" t="str">
            <v>世界観</v>
          </cell>
          <cell r="G688" t="str">
            <v>不明</v>
          </cell>
          <cell r="H688" t="str">
            <v>yellow</v>
          </cell>
          <cell r="I688">
            <v>6</v>
          </cell>
          <cell r="J688" t="str">
            <v>Material</v>
          </cell>
          <cell r="K688" t="str">
            <v>exp</v>
          </cell>
          <cell r="L688" t="str">
            <v>強化素材タイプ</v>
          </cell>
          <cell r="M688" t="str">
            <v>unknown</v>
          </cell>
        </row>
        <row r="689">
          <cell r="A689">
            <v>688</v>
          </cell>
          <cell r="B689" t="str">
            <v>ja</v>
          </cell>
          <cell r="C689" t="str">
            <v>ユークリッド</v>
          </cell>
          <cell r="D689" t="str">
            <v>ガチャ:フィーバーフェス04</v>
          </cell>
          <cell r="E689" t="str">
            <v>執行者</v>
          </cell>
          <cell r="F689" t="str">
            <v>格好いい</v>
          </cell>
          <cell r="G689" t="str">
            <v>女性</v>
          </cell>
          <cell r="H689" t="str">
            <v>blue</v>
          </cell>
          <cell r="I689">
            <v>4</v>
          </cell>
          <cell r="J689" t="str">
            <v>PremiumSSS</v>
          </cell>
          <cell r="K689" t="str">
            <v>balance</v>
          </cell>
          <cell r="L689" t="str">
            <v>バランスタイプ</v>
          </cell>
          <cell r="M689" t="str">
            <v>human</v>
          </cell>
        </row>
        <row r="690">
          <cell r="A690">
            <v>689</v>
          </cell>
          <cell r="B690" t="str">
            <v>ja</v>
          </cell>
          <cell r="C690" t="str">
            <v>根原論理 ユークリッド</v>
          </cell>
          <cell r="D690" t="str">
            <v>ガチャ:フィーバーフェス04</v>
          </cell>
          <cell r="E690" t="str">
            <v>執行者</v>
          </cell>
          <cell r="F690" t="str">
            <v>格好いい</v>
          </cell>
          <cell r="G690" t="str">
            <v>女性</v>
          </cell>
          <cell r="H690" t="str">
            <v>blue</v>
          </cell>
          <cell r="I690">
            <v>5</v>
          </cell>
          <cell r="J690" t="str">
            <v>PremiumSSS</v>
          </cell>
          <cell r="K690" t="str">
            <v>balance</v>
          </cell>
          <cell r="L690" t="str">
            <v>バランスタイプ</v>
          </cell>
          <cell r="M690" t="str">
            <v>human</v>
          </cell>
        </row>
        <row r="691">
          <cell r="A691">
            <v>690</v>
          </cell>
          <cell r="B691" t="str">
            <v>ja</v>
          </cell>
          <cell r="C691" t="str">
            <v>不朽の極論 ユークリッド</v>
          </cell>
          <cell r="D691" t="str">
            <v>ガチャ:フィーバーフェス04</v>
          </cell>
          <cell r="E691" t="str">
            <v>執行者</v>
          </cell>
          <cell r="F691" t="str">
            <v>格好いい</v>
          </cell>
          <cell r="G691" t="str">
            <v>女性</v>
          </cell>
          <cell r="H691" t="str">
            <v>blue</v>
          </cell>
          <cell r="I691">
            <v>6</v>
          </cell>
          <cell r="J691" t="str">
            <v>PremiumSSS</v>
          </cell>
          <cell r="K691" t="str">
            <v>balance</v>
          </cell>
          <cell r="L691" t="str">
            <v>バランスタイプ</v>
          </cell>
          <cell r="M691" t="str">
            <v>human</v>
          </cell>
        </row>
        <row r="692">
          <cell r="A692">
            <v>691</v>
          </cell>
          <cell r="B692" t="str">
            <v>ja</v>
          </cell>
          <cell r="C692" t="str">
            <v>黒沼青葉</v>
          </cell>
          <cell r="D692" t="str">
            <v>イベント:デュラララ01 青葉</v>
          </cell>
          <cell r="E692" t="str">
            <v>執行者</v>
          </cell>
          <cell r="F692" t="str">
            <v>格好いい</v>
          </cell>
          <cell r="G692" t="str">
            <v>男性</v>
          </cell>
          <cell r="H692" t="str">
            <v>blue</v>
          </cell>
          <cell r="I692">
            <v>4</v>
          </cell>
          <cell r="J692" t="str">
            <v>Drop2N</v>
          </cell>
          <cell r="K692" t="str">
            <v>dr</v>
          </cell>
          <cell r="L692" t="str">
            <v>デュラララ!!</v>
          </cell>
          <cell r="M692" t="str">
            <v>human</v>
          </cell>
        </row>
        <row r="693">
          <cell r="A693">
            <v>692</v>
          </cell>
          <cell r="B693" t="str">
            <v>ja</v>
          </cell>
          <cell r="C693" t="str">
            <v>暗躍する偽帝 黒沼青葉</v>
          </cell>
          <cell r="D693" t="str">
            <v>イベント:デュラララ01 青葉</v>
          </cell>
          <cell r="E693" t="str">
            <v>執行者</v>
          </cell>
          <cell r="F693" t="str">
            <v>格好いい</v>
          </cell>
          <cell r="G693" t="str">
            <v>男性</v>
          </cell>
          <cell r="H693" t="str">
            <v>blue</v>
          </cell>
          <cell r="I693">
            <v>5</v>
          </cell>
          <cell r="J693" t="str">
            <v>Drop2N</v>
          </cell>
          <cell r="K693" t="str">
            <v>dr</v>
          </cell>
          <cell r="L693" t="str">
            <v>デュラララ!!</v>
          </cell>
          <cell r="M693" t="str">
            <v>human</v>
          </cell>
        </row>
        <row r="694">
          <cell r="A694">
            <v>693</v>
          </cell>
          <cell r="B694" t="str">
            <v>ja</v>
          </cell>
          <cell r="C694" t="str">
            <v>紀田正臣</v>
          </cell>
          <cell r="D694" t="str">
            <v>イベント:デュラララ01 正臣</v>
          </cell>
          <cell r="E694" t="str">
            <v>執行者</v>
          </cell>
          <cell r="F694" t="str">
            <v>格好いい</v>
          </cell>
          <cell r="G694" t="str">
            <v>男性</v>
          </cell>
          <cell r="H694" t="str">
            <v>yellow</v>
          </cell>
          <cell r="I694">
            <v>4</v>
          </cell>
          <cell r="J694" t="str">
            <v>Drop2N</v>
          </cell>
          <cell r="K694" t="str">
            <v>dr</v>
          </cell>
          <cell r="L694" t="str">
            <v>デュラララ!!</v>
          </cell>
          <cell r="M694" t="str">
            <v>human</v>
          </cell>
        </row>
        <row r="695">
          <cell r="A695">
            <v>694</v>
          </cell>
          <cell r="B695" t="str">
            <v>ja</v>
          </cell>
          <cell r="C695" t="str">
            <v>黄巾賊の将軍 紀田正臣</v>
          </cell>
          <cell r="D695" t="str">
            <v>イベント:デュラララ01 正臣</v>
          </cell>
          <cell r="E695" t="str">
            <v>執行者</v>
          </cell>
          <cell r="F695" t="str">
            <v>格好いい</v>
          </cell>
          <cell r="G695" t="str">
            <v>男性</v>
          </cell>
          <cell r="H695" t="str">
            <v>yellow</v>
          </cell>
          <cell r="I695">
            <v>5</v>
          </cell>
          <cell r="J695" t="str">
            <v>Drop2N</v>
          </cell>
          <cell r="K695" t="str">
            <v>dr</v>
          </cell>
          <cell r="L695" t="str">
            <v>デュラララ!!</v>
          </cell>
          <cell r="M695" t="str">
            <v>human</v>
          </cell>
        </row>
        <row r="696">
          <cell r="A696">
            <v>695</v>
          </cell>
          <cell r="B696" t="str">
            <v>ja</v>
          </cell>
          <cell r="C696" t="str">
            <v>セルティ</v>
          </cell>
          <cell r="D696" t="str">
            <v>イベント:デュラララ01 セルティ</v>
          </cell>
          <cell r="E696" t="str">
            <v>執行者</v>
          </cell>
          <cell r="F696" t="str">
            <v>格好いい</v>
          </cell>
          <cell r="G696" t="str">
            <v>女性</v>
          </cell>
          <cell r="H696" t="str">
            <v>yellow</v>
          </cell>
          <cell r="I696">
            <v>3</v>
          </cell>
          <cell r="J696" t="str">
            <v>Drop2N</v>
          </cell>
          <cell r="K696" t="str">
            <v>dr</v>
          </cell>
          <cell r="L696" t="str">
            <v>デュラララ!!</v>
          </cell>
          <cell r="M696" t="str">
            <v>unknown</v>
          </cell>
        </row>
        <row r="697">
          <cell r="A697">
            <v>696</v>
          </cell>
          <cell r="B697" t="str">
            <v>ja</v>
          </cell>
          <cell r="C697" t="str">
            <v>生きる都市伝説 セルティ</v>
          </cell>
          <cell r="D697" t="str">
            <v>イベント:デュラララ01 セルティ</v>
          </cell>
          <cell r="E697" t="str">
            <v>執行者</v>
          </cell>
          <cell r="F697" t="str">
            <v>格好いい</v>
          </cell>
          <cell r="G697" t="str">
            <v>女性</v>
          </cell>
          <cell r="H697" t="str">
            <v>yellow</v>
          </cell>
          <cell r="I697">
            <v>4</v>
          </cell>
          <cell r="J697" t="str">
            <v>Drop2N</v>
          </cell>
          <cell r="K697" t="str">
            <v>dr</v>
          </cell>
          <cell r="L697" t="str">
            <v>デュラララ!!</v>
          </cell>
          <cell r="M697" t="str">
            <v>unknown</v>
          </cell>
        </row>
        <row r="698">
          <cell r="A698">
            <v>697</v>
          </cell>
          <cell r="B698" t="str">
            <v>ja</v>
          </cell>
          <cell r="C698" t="str">
            <v>黒影の首なしライダー セルティ</v>
          </cell>
          <cell r="D698" t="str">
            <v>イベント:デュラララ01 セルティ</v>
          </cell>
          <cell r="E698" t="str">
            <v>執行者</v>
          </cell>
          <cell r="F698" t="str">
            <v>格好いい</v>
          </cell>
          <cell r="G698" t="str">
            <v>女性</v>
          </cell>
          <cell r="H698" t="str">
            <v>yellow</v>
          </cell>
          <cell r="I698">
            <v>5</v>
          </cell>
          <cell r="J698" t="str">
            <v>Drop2N</v>
          </cell>
          <cell r="K698" t="str">
            <v>dr</v>
          </cell>
          <cell r="L698" t="str">
            <v>デュラララ!!</v>
          </cell>
          <cell r="M698" t="str">
            <v>unknown</v>
          </cell>
        </row>
        <row r="699">
          <cell r="A699">
            <v>698</v>
          </cell>
          <cell r="B699" t="str">
            <v>ja</v>
          </cell>
          <cell r="C699" t="str">
            <v>園原杏里</v>
          </cell>
          <cell r="D699" t="str">
            <v>イベント:デュラララ01　杏里</v>
          </cell>
          <cell r="E699" t="str">
            <v>執行者</v>
          </cell>
          <cell r="F699" t="str">
            <v>格好いい</v>
          </cell>
          <cell r="G699" t="str">
            <v>女性</v>
          </cell>
          <cell r="H699" t="str">
            <v>red</v>
          </cell>
          <cell r="I699">
            <v>5</v>
          </cell>
          <cell r="J699" t="str">
            <v>DropWizS</v>
          </cell>
          <cell r="K699" t="str">
            <v>dr</v>
          </cell>
          <cell r="L699" t="str">
            <v>デュラララ!!</v>
          </cell>
          <cell r="M699" t="str">
            <v>human</v>
          </cell>
        </row>
        <row r="700">
          <cell r="A700">
            <v>699</v>
          </cell>
          <cell r="B700" t="str">
            <v>ja</v>
          </cell>
          <cell r="C700" t="str">
            <v>依存の母愛　園原杏里</v>
          </cell>
          <cell r="D700" t="str">
            <v>イベント:デュラララ01　杏里</v>
          </cell>
          <cell r="E700" t="str">
            <v>執行者</v>
          </cell>
          <cell r="F700" t="str">
            <v>格好いい</v>
          </cell>
          <cell r="G700" t="str">
            <v>女性</v>
          </cell>
          <cell r="H700" t="str">
            <v>red</v>
          </cell>
          <cell r="I700">
            <v>6</v>
          </cell>
          <cell r="J700" t="str">
            <v>DropWizS</v>
          </cell>
          <cell r="K700" t="str">
            <v>dr</v>
          </cell>
          <cell r="L700" t="str">
            <v>デュラララ!!</v>
          </cell>
          <cell r="M700" t="str">
            <v>human</v>
          </cell>
        </row>
        <row r="701">
          <cell r="A701">
            <v>700</v>
          </cell>
          <cell r="B701" t="str">
            <v>ja</v>
          </cell>
          <cell r="C701" t="str">
            <v>折原臨也</v>
          </cell>
          <cell r="D701" t="str">
            <v>イベント:デュラララ01　折原</v>
          </cell>
          <cell r="E701" t="str">
            <v>執行者</v>
          </cell>
          <cell r="F701" t="str">
            <v>格好いい</v>
          </cell>
          <cell r="G701" t="str">
            <v>男性</v>
          </cell>
          <cell r="H701" t="str">
            <v>blue</v>
          </cell>
          <cell r="I701">
            <v>5</v>
          </cell>
          <cell r="J701" t="str">
            <v>DropWizS</v>
          </cell>
          <cell r="K701" t="str">
            <v>dr</v>
          </cell>
          <cell r="L701" t="str">
            <v>デュラララ!!</v>
          </cell>
          <cell r="M701" t="str">
            <v>human</v>
          </cell>
        </row>
        <row r="702">
          <cell r="A702">
            <v>701</v>
          </cell>
          <cell r="B702" t="str">
            <v>ja</v>
          </cell>
          <cell r="C702" t="str">
            <v>謀略の情報屋 折原臨也</v>
          </cell>
          <cell r="D702" t="str">
            <v>イベント:デュラララ01　折原</v>
          </cell>
          <cell r="E702" t="str">
            <v>執行者</v>
          </cell>
          <cell r="F702" t="str">
            <v>格好いい</v>
          </cell>
          <cell r="G702" t="str">
            <v>男性</v>
          </cell>
          <cell r="H702" t="str">
            <v>blue</v>
          </cell>
          <cell r="I702">
            <v>6</v>
          </cell>
          <cell r="J702" t="str">
            <v>DropWizS</v>
          </cell>
          <cell r="K702" t="str">
            <v>dr</v>
          </cell>
          <cell r="L702" t="str">
            <v>デュラララ!!</v>
          </cell>
          <cell r="M702" t="str">
            <v>human</v>
          </cell>
        </row>
        <row r="703">
          <cell r="A703">
            <v>702</v>
          </cell>
          <cell r="B703" t="str">
            <v>ja</v>
          </cell>
          <cell r="C703" t="str">
            <v>サイモン</v>
          </cell>
          <cell r="D703" t="str">
            <v>ガチャ:デュラララ01　サイモン</v>
          </cell>
          <cell r="E703" t="str">
            <v>執行者</v>
          </cell>
          <cell r="F703" t="str">
            <v>格好いい</v>
          </cell>
          <cell r="G703" t="str">
            <v>男性</v>
          </cell>
          <cell r="H703" t="str">
            <v>red</v>
          </cell>
          <cell r="I703">
            <v>4</v>
          </cell>
          <cell r="J703" t="str">
            <v>PremiumS</v>
          </cell>
          <cell r="K703" t="str">
            <v>dr</v>
          </cell>
          <cell r="L703" t="str">
            <v>デュラララ!!</v>
          </cell>
          <cell r="M703" t="str">
            <v>human</v>
          </cell>
        </row>
        <row r="704">
          <cell r="A704">
            <v>703</v>
          </cell>
          <cell r="B704" t="str">
            <v>ja</v>
          </cell>
          <cell r="C704" t="str">
            <v>豪腕静穏な寿司屋 サイモン</v>
          </cell>
          <cell r="D704" t="str">
            <v>ガチャ:デュラララ01　サイモン</v>
          </cell>
          <cell r="E704" t="str">
            <v>執行者</v>
          </cell>
          <cell r="F704" t="str">
            <v>格好いい</v>
          </cell>
          <cell r="G704" t="str">
            <v>男性</v>
          </cell>
          <cell r="H704" t="str">
            <v>red</v>
          </cell>
          <cell r="I704">
            <v>5</v>
          </cell>
          <cell r="J704" t="str">
            <v>PremiumS</v>
          </cell>
          <cell r="K704" t="str">
            <v>dr</v>
          </cell>
          <cell r="L704" t="str">
            <v>デュラララ!!</v>
          </cell>
          <cell r="M704" t="str">
            <v>human</v>
          </cell>
        </row>
        <row r="705">
          <cell r="A705">
            <v>704</v>
          </cell>
          <cell r="B705" t="str">
            <v>ja</v>
          </cell>
          <cell r="C705" t="str">
            <v>贄川春奈</v>
          </cell>
          <cell r="D705" t="str">
            <v>ガチャ:デュラララ01　贄川</v>
          </cell>
          <cell r="E705" t="str">
            <v>執行者</v>
          </cell>
          <cell r="F705" t="str">
            <v>格好いい</v>
          </cell>
          <cell r="G705" t="str">
            <v>女性</v>
          </cell>
          <cell r="H705" t="str">
            <v>red</v>
          </cell>
          <cell r="I705">
            <v>3</v>
          </cell>
          <cell r="J705" t="str">
            <v>PremiumN</v>
          </cell>
          <cell r="K705" t="str">
            <v>dr</v>
          </cell>
          <cell r="L705" t="str">
            <v>デュラララ!!</v>
          </cell>
          <cell r="M705" t="str">
            <v>human</v>
          </cell>
        </row>
        <row r="706">
          <cell r="A706">
            <v>705</v>
          </cell>
          <cell r="B706" t="str">
            <v>ja</v>
          </cell>
          <cell r="C706" t="str">
            <v>狂愛なる罪歌の子　贄川春奈</v>
          </cell>
          <cell r="D706" t="str">
            <v>ガチャ:デュラララ01　贄川</v>
          </cell>
          <cell r="E706" t="str">
            <v>執行者</v>
          </cell>
          <cell r="F706" t="str">
            <v>格好いい</v>
          </cell>
          <cell r="G706" t="str">
            <v>女性</v>
          </cell>
          <cell r="H706" t="str">
            <v>red</v>
          </cell>
          <cell r="I706">
            <v>4</v>
          </cell>
          <cell r="J706" t="str">
            <v>PremiumN</v>
          </cell>
          <cell r="K706" t="str">
            <v>dr</v>
          </cell>
          <cell r="L706" t="str">
            <v>デュラララ!!</v>
          </cell>
          <cell r="M706" t="str">
            <v>human</v>
          </cell>
        </row>
        <row r="707">
          <cell r="A707">
            <v>706</v>
          </cell>
          <cell r="B707" t="str">
            <v>ja</v>
          </cell>
          <cell r="C707" t="str">
            <v>岸谷新羅</v>
          </cell>
          <cell r="D707" t="str">
            <v>ガチャ:デュラララ01　岸谷</v>
          </cell>
          <cell r="E707" t="str">
            <v>執行者</v>
          </cell>
          <cell r="F707" t="str">
            <v>格好いい</v>
          </cell>
          <cell r="G707" t="str">
            <v>男性</v>
          </cell>
          <cell r="H707" t="str">
            <v>green</v>
          </cell>
          <cell r="I707">
            <v>4</v>
          </cell>
          <cell r="J707" t="str">
            <v>PremiumS</v>
          </cell>
          <cell r="K707" t="str">
            <v>dr</v>
          </cell>
          <cell r="L707" t="str">
            <v>デュラララ!!</v>
          </cell>
          <cell r="M707" t="str">
            <v>human</v>
          </cell>
        </row>
        <row r="708">
          <cell r="A708">
            <v>707</v>
          </cell>
          <cell r="B708" t="str">
            <v>ja</v>
          </cell>
          <cell r="C708" t="str">
            <v>愛月撤灯の闇医者 岸谷新羅</v>
          </cell>
          <cell r="D708" t="str">
            <v>ガチャ:デュラララ01　岸谷</v>
          </cell>
          <cell r="E708" t="str">
            <v>執行者</v>
          </cell>
          <cell r="F708" t="str">
            <v>格好いい</v>
          </cell>
          <cell r="G708" t="str">
            <v>男性</v>
          </cell>
          <cell r="H708" t="str">
            <v>green</v>
          </cell>
          <cell r="I708">
            <v>5</v>
          </cell>
          <cell r="J708" t="str">
            <v>PremiumS</v>
          </cell>
          <cell r="K708" t="str">
            <v>dr</v>
          </cell>
          <cell r="L708" t="str">
            <v>デュラララ!!</v>
          </cell>
          <cell r="M708" t="str">
            <v>human</v>
          </cell>
        </row>
        <row r="709">
          <cell r="A709">
            <v>708</v>
          </cell>
          <cell r="B709" t="str">
            <v>ja</v>
          </cell>
          <cell r="C709" t="str">
            <v>門田京平</v>
          </cell>
          <cell r="D709" t="str">
            <v>ガチャ:デュラララ01　門田</v>
          </cell>
          <cell r="E709" t="str">
            <v>執行者</v>
          </cell>
          <cell r="F709" t="str">
            <v>格好いい</v>
          </cell>
          <cell r="G709" t="str">
            <v>男性</v>
          </cell>
          <cell r="H709" t="str">
            <v>green</v>
          </cell>
          <cell r="I709">
            <v>3</v>
          </cell>
          <cell r="J709" t="str">
            <v>PremiumN</v>
          </cell>
          <cell r="K709" t="str">
            <v>dr</v>
          </cell>
          <cell r="L709" t="str">
            <v>デュラララ!!</v>
          </cell>
          <cell r="M709" t="str">
            <v>human</v>
          </cell>
        </row>
        <row r="710">
          <cell r="A710">
            <v>709</v>
          </cell>
          <cell r="B710" t="str">
            <v>ja</v>
          </cell>
          <cell r="C710" t="str">
            <v>不穢の抑止力　門田京平</v>
          </cell>
          <cell r="D710" t="str">
            <v>ガチャ:デュラララ01　門田</v>
          </cell>
          <cell r="E710" t="str">
            <v>執行者</v>
          </cell>
          <cell r="F710" t="str">
            <v>格好いい</v>
          </cell>
          <cell r="G710" t="str">
            <v>男性</v>
          </cell>
          <cell r="H710" t="str">
            <v>green</v>
          </cell>
          <cell r="I710">
            <v>4</v>
          </cell>
          <cell r="J710" t="str">
            <v>PremiumN</v>
          </cell>
          <cell r="K710" t="str">
            <v>dr</v>
          </cell>
          <cell r="L710" t="str">
            <v>デュラララ!!</v>
          </cell>
          <cell r="M710" t="str">
            <v>human</v>
          </cell>
        </row>
        <row r="711">
          <cell r="A711">
            <v>710</v>
          </cell>
          <cell r="B711" t="str">
            <v>ja</v>
          </cell>
          <cell r="C711" t="str">
            <v>田中トム</v>
          </cell>
          <cell r="D711" t="str">
            <v>ガチャ:デュラララ01　田中</v>
          </cell>
          <cell r="E711" t="str">
            <v>執行者</v>
          </cell>
          <cell r="F711" t="str">
            <v>格好いい</v>
          </cell>
          <cell r="G711" t="str">
            <v>男性</v>
          </cell>
          <cell r="H711" t="str">
            <v>green</v>
          </cell>
          <cell r="I711">
            <v>3</v>
          </cell>
          <cell r="J711" t="str">
            <v>PremiumN</v>
          </cell>
          <cell r="K711" t="str">
            <v>dr</v>
          </cell>
          <cell r="L711" t="str">
            <v>デュラララ!!</v>
          </cell>
          <cell r="M711" t="str">
            <v>human</v>
          </cell>
        </row>
        <row r="712">
          <cell r="A712">
            <v>711</v>
          </cell>
          <cell r="B712" t="str">
            <v>ja</v>
          </cell>
          <cell r="C712" t="str">
            <v>平衡調和の取り立て屋　田中トム</v>
          </cell>
          <cell r="D712" t="str">
            <v>ガチャ:デュラララ01　田中</v>
          </cell>
          <cell r="E712" t="str">
            <v>執行者</v>
          </cell>
          <cell r="F712" t="str">
            <v>格好いい</v>
          </cell>
          <cell r="G712" t="str">
            <v>男性</v>
          </cell>
          <cell r="H712" t="str">
            <v>green</v>
          </cell>
          <cell r="I712">
            <v>4</v>
          </cell>
          <cell r="J712" t="str">
            <v>PremiumN</v>
          </cell>
          <cell r="K712" t="str">
            <v>dr</v>
          </cell>
          <cell r="L712" t="str">
            <v>デュラララ!!</v>
          </cell>
          <cell r="M712" t="str">
            <v>human</v>
          </cell>
        </row>
        <row r="713">
          <cell r="A713">
            <v>712</v>
          </cell>
          <cell r="B713" t="str">
            <v>ja</v>
          </cell>
          <cell r="C713" t="str">
            <v>竜ヶ峰帝人</v>
          </cell>
          <cell r="D713" t="str">
            <v>ガチャ:デュラララ01　帝人</v>
          </cell>
          <cell r="E713" t="str">
            <v>執行者</v>
          </cell>
          <cell r="F713" t="str">
            <v>格好いい</v>
          </cell>
          <cell r="G713" t="str">
            <v>男性</v>
          </cell>
          <cell r="H713" t="str">
            <v>blue</v>
          </cell>
          <cell r="I713">
            <v>5</v>
          </cell>
          <cell r="J713" t="str">
            <v>PremiumSS</v>
          </cell>
          <cell r="K713" t="str">
            <v>dr</v>
          </cell>
          <cell r="L713" t="str">
            <v>デュラララ!!</v>
          </cell>
          <cell r="M713" t="str">
            <v>human</v>
          </cell>
        </row>
        <row r="714">
          <cell r="A714">
            <v>713</v>
          </cell>
          <cell r="B714" t="str">
            <v>ja</v>
          </cell>
          <cell r="C714" t="str">
            <v>始まりの創始者　竜ヶ峰帝人</v>
          </cell>
          <cell r="D714" t="str">
            <v>ガチャ:デュラララ01　帝人</v>
          </cell>
          <cell r="E714" t="str">
            <v>執行者</v>
          </cell>
          <cell r="F714" t="str">
            <v>格好いい</v>
          </cell>
          <cell r="G714" t="str">
            <v>男性</v>
          </cell>
          <cell r="H714" t="str">
            <v>blue</v>
          </cell>
          <cell r="I714">
            <v>6</v>
          </cell>
          <cell r="J714" t="str">
            <v>PremiumSS</v>
          </cell>
          <cell r="K714" t="str">
            <v>dr</v>
          </cell>
          <cell r="L714" t="str">
            <v>デュラララ!!</v>
          </cell>
          <cell r="M714" t="str">
            <v>human</v>
          </cell>
        </row>
        <row r="715">
          <cell r="A715">
            <v>714</v>
          </cell>
          <cell r="B715" t="str">
            <v>ja</v>
          </cell>
          <cell r="C715" t="str">
            <v>粟楠茜</v>
          </cell>
          <cell r="D715" t="str">
            <v>ガチャ:デュラララ01　茜</v>
          </cell>
          <cell r="E715" t="str">
            <v>執行者</v>
          </cell>
          <cell r="F715" t="str">
            <v>格好いい</v>
          </cell>
          <cell r="G715" t="str">
            <v>女性</v>
          </cell>
          <cell r="H715" t="str">
            <v>blue</v>
          </cell>
          <cell r="I715">
            <v>3</v>
          </cell>
          <cell r="J715" t="str">
            <v>PremiumN</v>
          </cell>
          <cell r="K715" t="str">
            <v>dr</v>
          </cell>
          <cell r="L715" t="str">
            <v>デュラララ!!</v>
          </cell>
          <cell r="M715" t="str">
            <v>human</v>
          </cell>
        </row>
        <row r="716">
          <cell r="A716">
            <v>715</v>
          </cell>
          <cell r="B716" t="str">
            <v>ja</v>
          </cell>
          <cell r="C716" t="str">
            <v>小さな殺し屋　粟楠茜</v>
          </cell>
          <cell r="D716" t="str">
            <v>ガチャ:デュラララ01　茜</v>
          </cell>
          <cell r="E716" t="str">
            <v>執行者</v>
          </cell>
          <cell r="F716" t="str">
            <v>格好いい</v>
          </cell>
          <cell r="G716" t="str">
            <v>女性</v>
          </cell>
          <cell r="H716" t="str">
            <v>blue</v>
          </cell>
          <cell r="I716">
            <v>4</v>
          </cell>
          <cell r="J716" t="str">
            <v>PremiumN</v>
          </cell>
          <cell r="K716" t="str">
            <v>dr</v>
          </cell>
          <cell r="L716" t="str">
            <v>デュラララ!!</v>
          </cell>
          <cell r="M716" t="str">
            <v>human</v>
          </cell>
        </row>
        <row r="717">
          <cell r="A717">
            <v>716</v>
          </cell>
          <cell r="B717" t="str">
            <v>ja</v>
          </cell>
          <cell r="C717" t="str">
            <v>平和島静雄</v>
          </cell>
          <cell r="D717" t="str">
            <v>ガチャ:デュラララ01　静雄</v>
          </cell>
          <cell r="E717" t="str">
            <v>執行者</v>
          </cell>
          <cell r="F717" t="str">
            <v>格好いい</v>
          </cell>
          <cell r="G717" t="str">
            <v>男性</v>
          </cell>
          <cell r="H717" t="str">
            <v>yellow</v>
          </cell>
          <cell r="I717">
            <v>5</v>
          </cell>
          <cell r="J717" t="str">
            <v>PremiumSS</v>
          </cell>
          <cell r="K717" t="str">
            <v>dr</v>
          </cell>
          <cell r="L717" t="str">
            <v>デュラララ!!</v>
          </cell>
          <cell r="M717" t="str">
            <v>human</v>
          </cell>
        </row>
        <row r="718">
          <cell r="A718">
            <v>717</v>
          </cell>
          <cell r="B718" t="str">
            <v>ja</v>
          </cell>
          <cell r="C718" t="str">
            <v>池袋最強の暴走 平和島静雄</v>
          </cell>
          <cell r="D718" t="str">
            <v>ガチャ:デュラララ01　静雄</v>
          </cell>
          <cell r="E718" t="str">
            <v>執行者</v>
          </cell>
          <cell r="F718" t="str">
            <v>格好いい</v>
          </cell>
          <cell r="G718" t="str">
            <v>男性</v>
          </cell>
          <cell r="H718" t="str">
            <v>yellow</v>
          </cell>
          <cell r="I718">
            <v>6</v>
          </cell>
          <cell r="J718" t="str">
            <v>PremiumSS</v>
          </cell>
          <cell r="K718" t="str">
            <v>dr</v>
          </cell>
          <cell r="L718" t="str">
            <v>デュラララ!!</v>
          </cell>
          <cell r="M718" t="str">
            <v>human</v>
          </cell>
        </row>
        <row r="719">
          <cell r="A719">
            <v>718</v>
          </cell>
          <cell r="B719" t="str">
            <v>ja</v>
          </cell>
          <cell r="C719" t="str">
            <v>ヴァローナ</v>
          </cell>
          <cell r="D719" t="str">
            <v>ガチャ:デュラララ01　ヴァローナ</v>
          </cell>
          <cell r="E719" t="str">
            <v>執行者</v>
          </cell>
          <cell r="F719" t="str">
            <v>格好いい</v>
          </cell>
          <cell r="G719" t="str">
            <v>女性</v>
          </cell>
          <cell r="H719" t="str">
            <v>yellow</v>
          </cell>
          <cell r="I719">
            <v>4</v>
          </cell>
          <cell r="J719" t="str">
            <v>PremiumS</v>
          </cell>
          <cell r="K719" t="str">
            <v>dr</v>
          </cell>
          <cell r="L719" t="str">
            <v>デュラララ!!</v>
          </cell>
          <cell r="M719" t="str">
            <v>human</v>
          </cell>
        </row>
        <row r="720">
          <cell r="A720">
            <v>719</v>
          </cell>
          <cell r="B720" t="str">
            <v>ja</v>
          </cell>
          <cell r="C720" t="str">
            <v>聡明な戦狂女 ヴァローナ</v>
          </cell>
          <cell r="D720" t="str">
            <v>ガチャ:デュラララ01　ヴァローナ</v>
          </cell>
          <cell r="E720" t="str">
            <v>執行者</v>
          </cell>
          <cell r="F720" t="str">
            <v>格好いい</v>
          </cell>
          <cell r="G720" t="str">
            <v>女性</v>
          </cell>
          <cell r="H720" t="str">
            <v>yellow</v>
          </cell>
          <cell r="I720">
            <v>5</v>
          </cell>
          <cell r="J720" t="str">
            <v>PremiumS</v>
          </cell>
          <cell r="K720" t="str">
            <v>dr</v>
          </cell>
          <cell r="L720" t="str">
            <v>デュラララ!!</v>
          </cell>
          <cell r="M720" t="str">
            <v>human</v>
          </cell>
        </row>
        <row r="721">
          <cell r="A721">
            <v>720</v>
          </cell>
          <cell r="B721" t="str">
            <v>ja</v>
          </cell>
          <cell r="C721" t="str">
            <v>直江兼続</v>
          </cell>
          <cell r="D721" t="str">
            <v>イベント:戦国01</v>
          </cell>
          <cell r="E721" t="str">
            <v>執行者</v>
          </cell>
          <cell r="F721" t="str">
            <v>格好いい</v>
          </cell>
          <cell r="G721" t="str">
            <v>男性</v>
          </cell>
          <cell r="H721" t="str">
            <v>green</v>
          </cell>
          <cell r="I721">
            <v>4</v>
          </cell>
          <cell r="J721" t="str">
            <v>Drop2N</v>
          </cell>
          <cell r="K721" t="str">
            <v>hp</v>
          </cell>
          <cell r="L721" t="str">
            <v>体力タイプ</v>
          </cell>
          <cell r="M721" t="str">
            <v>human</v>
          </cell>
        </row>
        <row r="722">
          <cell r="A722">
            <v>721</v>
          </cell>
          <cell r="B722" t="str">
            <v>ja</v>
          </cell>
          <cell r="C722" t="str">
            <v>迎激の愛銃 直江兼続</v>
          </cell>
          <cell r="D722" t="str">
            <v>イベント:戦国01</v>
          </cell>
          <cell r="E722" t="str">
            <v>執行者</v>
          </cell>
          <cell r="F722" t="str">
            <v>格好いい</v>
          </cell>
          <cell r="G722" t="str">
            <v>男性</v>
          </cell>
          <cell r="H722" t="str">
            <v>green</v>
          </cell>
          <cell r="I722">
            <v>5</v>
          </cell>
          <cell r="J722" t="str">
            <v>Drop2N</v>
          </cell>
          <cell r="K722" t="str">
            <v>hp</v>
          </cell>
          <cell r="L722" t="str">
            <v>体力タイプ</v>
          </cell>
          <cell r="M722" t="str">
            <v>human</v>
          </cell>
        </row>
        <row r="723">
          <cell r="A723">
            <v>722</v>
          </cell>
          <cell r="B723" t="str">
            <v>ja</v>
          </cell>
          <cell r="C723" t="str">
            <v>森蘭丸</v>
          </cell>
          <cell r="D723" t="str">
            <v>イベント:戦国01</v>
          </cell>
          <cell r="E723" t="str">
            <v>執行者</v>
          </cell>
          <cell r="F723" t="str">
            <v>格好いい</v>
          </cell>
          <cell r="G723" t="str">
            <v>男性</v>
          </cell>
          <cell r="H723" t="str">
            <v>yellow</v>
          </cell>
          <cell r="I723">
            <v>4</v>
          </cell>
          <cell r="J723" t="str">
            <v>Drop2N</v>
          </cell>
          <cell r="K723" t="str">
            <v>balance</v>
          </cell>
          <cell r="L723" t="str">
            <v>バランスタイプ</v>
          </cell>
          <cell r="M723" t="str">
            <v>human</v>
          </cell>
        </row>
        <row r="724">
          <cell r="A724">
            <v>723</v>
          </cell>
          <cell r="B724" t="str">
            <v>ja</v>
          </cell>
          <cell r="C724" t="str">
            <v>萌芽の密心  森蘭丸</v>
          </cell>
          <cell r="D724" t="str">
            <v>イベント:戦国01</v>
          </cell>
          <cell r="E724" t="str">
            <v>執行者</v>
          </cell>
          <cell r="F724" t="str">
            <v>格好いい</v>
          </cell>
          <cell r="G724" t="str">
            <v>男性</v>
          </cell>
          <cell r="H724" t="str">
            <v>yellow</v>
          </cell>
          <cell r="I724">
            <v>5</v>
          </cell>
          <cell r="J724" t="str">
            <v>Drop2N</v>
          </cell>
          <cell r="K724" t="str">
            <v>balance</v>
          </cell>
          <cell r="L724" t="str">
            <v>バランスタイプ</v>
          </cell>
          <cell r="M724" t="str">
            <v>human</v>
          </cell>
        </row>
        <row r="725">
          <cell r="A725">
            <v>724</v>
          </cell>
          <cell r="B725" t="str">
            <v>ja</v>
          </cell>
          <cell r="C725" t="str">
            <v>武田信玄</v>
          </cell>
          <cell r="D725" t="str">
            <v>イベント:ウィザード</v>
          </cell>
          <cell r="E725" t="str">
            <v>執行者</v>
          </cell>
          <cell r="F725" t="str">
            <v>格好いい</v>
          </cell>
          <cell r="G725" t="str">
            <v>男性</v>
          </cell>
          <cell r="H725" t="str">
            <v>red</v>
          </cell>
          <cell r="I725">
            <v>5</v>
          </cell>
          <cell r="J725" t="str">
            <v>DropWizS</v>
          </cell>
          <cell r="K725" t="str">
            <v>attack</v>
          </cell>
          <cell r="L725" t="str">
            <v>攻撃タイプ</v>
          </cell>
          <cell r="M725" t="str">
            <v>human</v>
          </cell>
        </row>
        <row r="726">
          <cell r="A726">
            <v>725</v>
          </cell>
          <cell r="B726" t="str">
            <v>ja</v>
          </cell>
          <cell r="C726" t="str">
            <v>泰然の暴虎 武田信玄</v>
          </cell>
          <cell r="D726" t="str">
            <v>イベント:ウィザード</v>
          </cell>
          <cell r="E726" t="str">
            <v>執行者</v>
          </cell>
          <cell r="F726" t="str">
            <v>格好いい</v>
          </cell>
          <cell r="G726" t="str">
            <v>男性</v>
          </cell>
          <cell r="H726" t="str">
            <v>red</v>
          </cell>
          <cell r="I726">
            <v>6</v>
          </cell>
          <cell r="J726" t="str">
            <v>DropWizS</v>
          </cell>
          <cell r="K726" t="str">
            <v>attack</v>
          </cell>
          <cell r="L726" t="str">
            <v>攻撃タイプ</v>
          </cell>
          <cell r="M726" t="str">
            <v>human</v>
          </cell>
        </row>
        <row r="727">
          <cell r="A727">
            <v>726</v>
          </cell>
          <cell r="B727" t="str">
            <v>ja</v>
          </cell>
          <cell r="C727" t="str">
            <v>織田信長</v>
          </cell>
          <cell r="D727" t="str">
            <v>イベント:超ウィザード03</v>
          </cell>
          <cell r="E727" t="str">
            <v>執行者</v>
          </cell>
          <cell r="F727" t="str">
            <v>格好いい</v>
          </cell>
          <cell r="G727" t="str">
            <v>男性</v>
          </cell>
          <cell r="H727" t="str">
            <v>red</v>
          </cell>
          <cell r="I727">
            <v>5</v>
          </cell>
          <cell r="J727" t="str">
            <v>DropWizSS</v>
          </cell>
          <cell r="K727" t="str">
            <v>balance</v>
          </cell>
          <cell r="L727" t="str">
            <v>バランスタイプ</v>
          </cell>
          <cell r="M727" t="str">
            <v>human</v>
          </cell>
        </row>
        <row r="728">
          <cell r="A728">
            <v>727</v>
          </cell>
          <cell r="B728" t="str">
            <v>ja</v>
          </cell>
          <cell r="C728" t="str">
            <v>真鋭の征服者 織田信長</v>
          </cell>
          <cell r="D728" t="str">
            <v>イベント:超ウィザード03</v>
          </cell>
          <cell r="E728" t="str">
            <v>執行者</v>
          </cell>
          <cell r="F728" t="str">
            <v>格好いい</v>
          </cell>
          <cell r="G728" t="str">
            <v>男性</v>
          </cell>
          <cell r="H728" t="str">
            <v>red</v>
          </cell>
          <cell r="I728">
            <v>6</v>
          </cell>
          <cell r="J728" t="str">
            <v>DropWizSS</v>
          </cell>
          <cell r="K728" t="str">
            <v>balance</v>
          </cell>
          <cell r="L728" t="str">
            <v>バランスタイプ</v>
          </cell>
          <cell r="M728" t="str">
            <v>human</v>
          </cell>
        </row>
        <row r="729">
          <cell r="A729">
            <v>728</v>
          </cell>
          <cell r="B729" t="str">
            <v>ja</v>
          </cell>
          <cell r="C729" t="str">
            <v>井伊直虎</v>
          </cell>
          <cell r="D729" t="str">
            <v>ガチャ:戦国01</v>
          </cell>
          <cell r="E729" t="str">
            <v>執行者</v>
          </cell>
          <cell r="F729" t="str">
            <v>格好いい</v>
          </cell>
          <cell r="G729" t="str">
            <v>女性</v>
          </cell>
          <cell r="H729" t="str">
            <v>red</v>
          </cell>
          <cell r="I729">
            <v>4</v>
          </cell>
          <cell r="J729" t="str">
            <v>PremiumS</v>
          </cell>
          <cell r="K729" t="str">
            <v>balance</v>
          </cell>
          <cell r="L729" t="str">
            <v>バランスタイプ</v>
          </cell>
          <cell r="M729" t="str">
            <v>human</v>
          </cell>
        </row>
        <row r="730">
          <cell r="A730">
            <v>729</v>
          </cell>
          <cell r="B730" t="str">
            <v>ja</v>
          </cell>
          <cell r="C730" t="str">
            <v>暗厄の双刀 井伊直虎</v>
          </cell>
          <cell r="D730" t="str">
            <v>ガチャ:戦国01</v>
          </cell>
          <cell r="E730" t="str">
            <v>執行者</v>
          </cell>
          <cell r="F730" t="str">
            <v>格好いい</v>
          </cell>
          <cell r="G730" t="str">
            <v>女性</v>
          </cell>
          <cell r="H730" t="str">
            <v>red</v>
          </cell>
          <cell r="I730">
            <v>5</v>
          </cell>
          <cell r="J730" t="str">
            <v>PremiumS</v>
          </cell>
          <cell r="K730" t="str">
            <v>balance</v>
          </cell>
          <cell r="L730" t="str">
            <v>バランスタイプ</v>
          </cell>
          <cell r="M730" t="str">
            <v>human</v>
          </cell>
        </row>
        <row r="731">
          <cell r="A731">
            <v>730</v>
          </cell>
          <cell r="B731" t="str">
            <v>ja</v>
          </cell>
          <cell r="C731" t="str">
            <v>ガラシャ</v>
          </cell>
          <cell r="D731" t="str">
            <v>ガチャ:戦国01</v>
          </cell>
          <cell r="E731" t="str">
            <v>執行者</v>
          </cell>
          <cell r="F731" t="str">
            <v>格好いい</v>
          </cell>
          <cell r="G731" t="str">
            <v>女性</v>
          </cell>
          <cell r="H731" t="str">
            <v>green</v>
          </cell>
          <cell r="I731">
            <v>4</v>
          </cell>
          <cell r="J731" t="str">
            <v>PremiumS</v>
          </cell>
          <cell r="K731" t="str">
            <v>heal</v>
          </cell>
          <cell r="L731" t="str">
            <v>回復タイプ</v>
          </cell>
          <cell r="M731" t="str">
            <v>human</v>
          </cell>
        </row>
        <row r="732">
          <cell r="A732">
            <v>731</v>
          </cell>
          <cell r="B732" t="str">
            <v>ja</v>
          </cell>
          <cell r="C732" t="str">
            <v>敬虔なる追銃 ガラシャ</v>
          </cell>
          <cell r="D732" t="str">
            <v>ガチャ:戦国01</v>
          </cell>
          <cell r="E732" t="str">
            <v>執行者</v>
          </cell>
          <cell r="F732" t="str">
            <v>格好いい</v>
          </cell>
          <cell r="G732" t="str">
            <v>女性</v>
          </cell>
          <cell r="H732" t="str">
            <v>green</v>
          </cell>
          <cell r="I732">
            <v>5</v>
          </cell>
          <cell r="J732" t="str">
            <v>PremiumS</v>
          </cell>
          <cell r="K732" t="str">
            <v>heal</v>
          </cell>
          <cell r="L732" t="str">
            <v>回復タイプ</v>
          </cell>
          <cell r="M732" t="str">
            <v>human</v>
          </cell>
        </row>
        <row r="733">
          <cell r="A733">
            <v>732</v>
          </cell>
          <cell r="B733" t="str">
            <v>ja</v>
          </cell>
          <cell r="C733" t="str">
            <v>上杉謙信</v>
          </cell>
          <cell r="D733" t="str">
            <v>ガチャ:戦国01</v>
          </cell>
          <cell r="E733" t="str">
            <v>執行者</v>
          </cell>
          <cell r="F733" t="str">
            <v>格好いい</v>
          </cell>
          <cell r="G733" t="str">
            <v>女性</v>
          </cell>
          <cell r="H733" t="str">
            <v>blue</v>
          </cell>
          <cell r="I733">
            <v>5</v>
          </cell>
          <cell r="J733" t="str">
            <v>PremiumSS</v>
          </cell>
          <cell r="K733" t="str">
            <v>attack</v>
          </cell>
          <cell r="L733" t="str">
            <v>攻撃タイプ</v>
          </cell>
          <cell r="M733" t="str">
            <v>human</v>
          </cell>
        </row>
        <row r="734">
          <cell r="A734">
            <v>733</v>
          </cell>
          <cell r="B734" t="str">
            <v>ja</v>
          </cell>
          <cell r="C734" t="str">
            <v>夢幻の千刃 上杉謙信</v>
          </cell>
          <cell r="D734" t="str">
            <v>ガチャ:戦国01</v>
          </cell>
          <cell r="E734" t="str">
            <v>執行者</v>
          </cell>
          <cell r="F734" t="str">
            <v>格好いい</v>
          </cell>
          <cell r="G734" t="str">
            <v>男性</v>
          </cell>
          <cell r="H734" t="str">
            <v>blue</v>
          </cell>
          <cell r="I734">
            <v>6</v>
          </cell>
          <cell r="J734" t="str">
            <v>PremiumSS</v>
          </cell>
          <cell r="K734" t="str">
            <v>attack</v>
          </cell>
          <cell r="L734" t="str">
            <v>攻撃タイプ</v>
          </cell>
          <cell r="M734" t="str">
            <v>human</v>
          </cell>
        </row>
        <row r="735">
          <cell r="A735">
            <v>734</v>
          </cell>
          <cell r="B735" t="str">
            <v>ja</v>
          </cell>
          <cell r="C735" t="str">
            <v>伊達政宗</v>
          </cell>
          <cell r="D735" t="str">
            <v>ガチャ:戦国01</v>
          </cell>
          <cell r="E735" t="str">
            <v>執行者</v>
          </cell>
          <cell r="F735" t="str">
            <v>格好いい</v>
          </cell>
          <cell r="G735" t="str">
            <v>男性</v>
          </cell>
          <cell r="H735" t="str">
            <v>yellow</v>
          </cell>
          <cell r="I735">
            <v>5</v>
          </cell>
          <cell r="J735" t="str">
            <v>PremiumSS</v>
          </cell>
          <cell r="K735" t="str">
            <v>balance</v>
          </cell>
          <cell r="L735" t="str">
            <v>バランスタイプ</v>
          </cell>
          <cell r="M735" t="str">
            <v>human</v>
          </cell>
        </row>
        <row r="736">
          <cell r="A736">
            <v>735</v>
          </cell>
          <cell r="B736" t="str">
            <v>ja</v>
          </cell>
          <cell r="C736" t="str">
            <v>破天の隻眼 伊達政宗</v>
          </cell>
          <cell r="D736" t="str">
            <v>ガチャ:戦国01</v>
          </cell>
          <cell r="E736" t="str">
            <v>執行者</v>
          </cell>
          <cell r="F736" t="str">
            <v>格好いい</v>
          </cell>
          <cell r="G736" t="str">
            <v>女性</v>
          </cell>
          <cell r="H736" t="str">
            <v>yellow</v>
          </cell>
          <cell r="I736">
            <v>6</v>
          </cell>
          <cell r="J736" t="str">
            <v>PremiumSS</v>
          </cell>
          <cell r="K736" t="str">
            <v>balance</v>
          </cell>
          <cell r="L736" t="str">
            <v>バランスタイプ</v>
          </cell>
          <cell r="M736" t="str">
            <v>human</v>
          </cell>
        </row>
        <row r="737">
          <cell r="A737">
            <v>736</v>
          </cell>
          <cell r="B737" t="str">
            <v>ja</v>
          </cell>
          <cell r="C737" t="str">
            <v>オルトロス</v>
          </cell>
          <cell r="D737" t="str">
            <v>各属性相性良3・黄・R354</v>
          </cell>
          <cell r="E737" t="str">
            <v>執行者</v>
          </cell>
          <cell r="F737" t="str">
            <v>格好いい</v>
          </cell>
          <cell r="G737" t="str">
            <v>女性</v>
          </cell>
          <cell r="H737" t="str">
            <v>red</v>
          </cell>
          <cell r="I737">
            <v>4</v>
          </cell>
          <cell r="J737" t="str">
            <v>Drop2N</v>
          </cell>
          <cell r="K737" t="str">
            <v>hp</v>
          </cell>
          <cell r="L737" t="str">
            <v>体力タイプ</v>
          </cell>
          <cell r="M737" t="str">
            <v>animal</v>
          </cell>
        </row>
        <row r="738">
          <cell r="A738">
            <v>737</v>
          </cell>
          <cell r="B738" t="str">
            <v>ja</v>
          </cell>
          <cell r="C738" t="str">
            <v>狂鳴の慟哭 オルトロス</v>
          </cell>
          <cell r="D738" t="str">
            <v>各属性相性良3・黄・R355</v>
          </cell>
          <cell r="E738" t="str">
            <v>執行者</v>
          </cell>
          <cell r="F738" t="str">
            <v>格好いい</v>
          </cell>
          <cell r="G738" t="str">
            <v>男性</v>
          </cell>
          <cell r="H738" t="str">
            <v>red</v>
          </cell>
          <cell r="I738">
            <v>5</v>
          </cell>
          <cell r="J738" t="str">
            <v>Drop2N</v>
          </cell>
          <cell r="K738" t="str">
            <v>hp</v>
          </cell>
          <cell r="L738" t="str">
            <v>体力タイプ</v>
          </cell>
          <cell r="M738" t="str">
            <v>animal</v>
          </cell>
        </row>
        <row r="739">
          <cell r="A739">
            <v>738</v>
          </cell>
          <cell r="B739" t="str">
            <v>ja</v>
          </cell>
          <cell r="C739" t="str">
            <v>ラドン</v>
          </cell>
          <cell r="D739" t="str">
            <v>各属性相性良3・黄・R356</v>
          </cell>
          <cell r="E739" t="str">
            <v>執行者</v>
          </cell>
          <cell r="F739" t="str">
            <v>格好いい</v>
          </cell>
          <cell r="G739" t="str">
            <v>男性</v>
          </cell>
          <cell r="H739" t="str">
            <v>blue</v>
          </cell>
          <cell r="I739">
            <v>4</v>
          </cell>
          <cell r="J739" t="str">
            <v>Drop2N</v>
          </cell>
          <cell r="K739" t="str">
            <v>balance</v>
          </cell>
          <cell r="L739" t="str">
            <v>バランスタイプ</v>
          </cell>
          <cell r="M739" t="str">
            <v>dragon</v>
          </cell>
        </row>
        <row r="740">
          <cell r="A740">
            <v>739</v>
          </cell>
          <cell r="B740" t="str">
            <v>ja</v>
          </cell>
          <cell r="C740" t="str">
            <v>寡言の密使 ラドン</v>
          </cell>
          <cell r="D740" t="str">
            <v>各属性相性良3・黄・R357</v>
          </cell>
          <cell r="E740" t="str">
            <v>執行者</v>
          </cell>
          <cell r="F740" t="str">
            <v>格好いい</v>
          </cell>
          <cell r="G740" t="str">
            <v>男性</v>
          </cell>
          <cell r="H740" t="str">
            <v>blue</v>
          </cell>
          <cell r="I740">
            <v>5</v>
          </cell>
          <cell r="J740" t="str">
            <v>Drop2N</v>
          </cell>
          <cell r="K740" t="str">
            <v>balance</v>
          </cell>
          <cell r="L740" t="str">
            <v>バランスタイプ</v>
          </cell>
          <cell r="M740" t="str">
            <v>dragon</v>
          </cell>
        </row>
        <row r="741">
          <cell r="A741">
            <v>740</v>
          </cell>
          <cell r="B741" t="str">
            <v>ja</v>
          </cell>
          <cell r="C741" t="str">
            <v>テュポーン</v>
          </cell>
          <cell r="D741" t="str">
            <v>各属性相性良3・黄・R358</v>
          </cell>
          <cell r="E741" t="str">
            <v>執行者</v>
          </cell>
          <cell r="F741" t="str">
            <v>格好いい</v>
          </cell>
          <cell r="G741" t="str">
            <v>男性</v>
          </cell>
          <cell r="H741" t="str">
            <v>yellow</v>
          </cell>
          <cell r="I741">
            <v>5</v>
          </cell>
          <cell r="J741" t="str">
            <v>DropWizS</v>
          </cell>
          <cell r="K741" t="str">
            <v>attack</v>
          </cell>
          <cell r="L741" t="str">
            <v>攻撃タイプ</v>
          </cell>
          <cell r="M741" t="str">
            <v>dragon</v>
          </cell>
        </row>
        <row r="742">
          <cell r="A742">
            <v>741</v>
          </cell>
          <cell r="B742" t="str">
            <v>ja</v>
          </cell>
          <cell r="C742" t="str">
            <v>皆滅の戦鬼 テュポーン</v>
          </cell>
          <cell r="D742" t="str">
            <v>各属性相性良3・黄・R359</v>
          </cell>
          <cell r="E742" t="str">
            <v>執行者</v>
          </cell>
          <cell r="F742" t="str">
            <v>格好いい</v>
          </cell>
          <cell r="G742" t="str">
            <v>男性</v>
          </cell>
          <cell r="H742" t="str">
            <v>yellow</v>
          </cell>
          <cell r="I742">
            <v>6</v>
          </cell>
          <cell r="J742" t="str">
            <v>DropWizS</v>
          </cell>
          <cell r="K742" t="str">
            <v>attack</v>
          </cell>
          <cell r="L742" t="str">
            <v>攻撃タイプ</v>
          </cell>
          <cell r="M742" t="str">
            <v>dragon</v>
          </cell>
        </row>
        <row r="743">
          <cell r="A743">
            <v>742</v>
          </cell>
          <cell r="B743" t="str">
            <v>ja</v>
          </cell>
          <cell r="C743" t="str">
            <v>アポロン</v>
          </cell>
          <cell r="D743" t="str">
            <v>各属性相性良3・黄・R360</v>
          </cell>
          <cell r="E743" t="str">
            <v>執行者</v>
          </cell>
          <cell r="F743" t="str">
            <v>格好いい</v>
          </cell>
          <cell r="G743" t="str">
            <v>男性</v>
          </cell>
          <cell r="H743" t="str">
            <v>red</v>
          </cell>
          <cell r="I743">
            <v>5</v>
          </cell>
          <cell r="J743" t="str">
            <v>PremiumSS</v>
          </cell>
          <cell r="K743" t="str">
            <v>attack</v>
          </cell>
          <cell r="L743" t="str">
            <v>攻撃タイプ</v>
          </cell>
          <cell r="M743" t="str">
            <v>god</v>
          </cell>
        </row>
        <row r="744">
          <cell r="A744">
            <v>743</v>
          </cell>
          <cell r="B744" t="str">
            <v>ja</v>
          </cell>
          <cell r="C744" t="str">
            <v>弩級の洸源 アポロン</v>
          </cell>
          <cell r="D744" t="str">
            <v>各属性相性良3・黄・R361</v>
          </cell>
          <cell r="E744" t="str">
            <v>執行者</v>
          </cell>
          <cell r="F744" t="str">
            <v>格好いい</v>
          </cell>
          <cell r="G744" t="str">
            <v>男性</v>
          </cell>
          <cell r="H744" t="str">
            <v>red</v>
          </cell>
          <cell r="I744">
            <v>6</v>
          </cell>
          <cell r="J744" t="str">
            <v>PremiumSS</v>
          </cell>
          <cell r="K744" t="str">
            <v>attack</v>
          </cell>
          <cell r="L744" t="str">
            <v>攻撃タイプ</v>
          </cell>
          <cell r="M744" t="str">
            <v>god</v>
          </cell>
        </row>
        <row r="745">
          <cell r="A745">
            <v>744</v>
          </cell>
          <cell r="B745" t="str">
            <v>ja</v>
          </cell>
          <cell r="C745" t="str">
            <v>ヘルメス</v>
          </cell>
          <cell r="D745" t="str">
            <v>各属性相性良3・黄・R362</v>
          </cell>
          <cell r="E745" t="str">
            <v>執行者</v>
          </cell>
          <cell r="F745" t="str">
            <v>格好いい</v>
          </cell>
          <cell r="G745" t="str">
            <v>男性</v>
          </cell>
          <cell r="H745" t="str">
            <v>green</v>
          </cell>
          <cell r="I745">
            <v>5</v>
          </cell>
          <cell r="J745" t="str">
            <v>PremiumSS</v>
          </cell>
          <cell r="K745" t="str">
            <v>technical</v>
          </cell>
          <cell r="L745" t="str">
            <v>テクニカルタイプ</v>
          </cell>
          <cell r="M745" t="str">
            <v>god</v>
          </cell>
        </row>
        <row r="746">
          <cell r="A746">
            <v>745</v>
          </cell>
          <cell r="B746" t="str">
            <v>ja</v>
          </cell>
          <cell r="C746" t="str">
            <v>望羅の発神 ヘルメス</v>
          </cell>
          <cell r="D746" t="str">
            <v>各属性相性良3・黄・R363</v>
          </cell>
          <cell r="E746" t="str">
            <v>執行者</v>
          </cell>
          <cell r="F746" t="str">
            <v>格好いい</v>
          </cell>
          <cell r="G746" t="str">
            <v>男性</v>
          </cell>
          <cell r="H746" t="str">
            <v>green</v>
          </cell>
          <cell r="I746">
            <v>6</v>
          </cell>
          <cell r="J746" t="str">
            <v>PremiumSS</v>
          </cell>
          <cell r="K746" t="str">
            <v>technical</v>
          </cell>
          <cell r="L746" t="str">
            <v>テクニカルタイプ</v>
          </cell>
          <cell r="M746" t="str">
            <v>god</v>
          </cell>
        </row>
        <row r="747">
          <cell r="A747">
            <v>746</v>
          </cell>
          <cell r="B747" t="str">
            <v>ja</v>
          </cell>
          <cell r="C747" t="str">
            <v>ノルン</v>
          </cell>
          <cell r="D747" t="str">
            <v>各属性相性良3・黄・R364</v>
          </cell>
          <cell r="E747" t="str">
            <v>執行者</v>
          </cell>
          <cell r="F747" t="str">
            <v>格好いい</v>
          </cell>
          <cell r="G747" t="str">
            <v>男性</v>
          </cell>
          <cell r="H747" t="str">
            <v>blue</v>
          </cell>
          <cell r="I747">
            <v>4</v>
          </cell>
          <cell r="J747" t="str">
            <v>PremiumS</v>
          </cell>
          <cell r="K747" t="str">
            <v>balance</v>
          </cell>
          <cell r="L747" t="str">
            <v>バランスタイプ</v>
          </cell>
          <cell r="M747" t="str">
            <v>god</v>
          </cell>
        </row>
        <row r="748">
          <cell r="A748">
            <v>747</v>
          </cell>
          <cell r="B748" t="str">
            <v>ja</v>
          </cell>
          <cell r="C748" t="str">
            <v>潔碧の巡励神 ノルン</v>
          </cell>
          <cell r="D748" t="str">
            <v>各属性相性良3・黄・R365</v>
          </cell>
          <cell r="E748" t="str">
            <v>執行者</v>
          </cell>
          <cell r="F748" t="str">
            <v>格好いい</v>
          </cell>
          <cell r="G748" t="str">
            <v>男性</v>
          </cell>
          <cell r="H748" t="str">
            <v>blue</v>
          </cell>
          <cell r="I748">
            <v>5</v>
          </cell>
          <cell r="J748" t="str">
            <v>PremiumS</v>
          </cell>
          <cell r="K748" t="str">
            <v>balance</v>
          </cell>
          <cell r="L748" t="str">
            <v>バランスタイプ</v>
          </cell>
          <cell r="M748" t="str">
            <v>god</v>
          </cell>
        </row>
        <row r="749">
          <cell r="A749">
            <v>748</v>
          </cell>
          <cell r="B749" t="str">
            <v>ja</v>
          </cell>
          <cell r="C749" t="str">
            <v>パーン</v>
          </cell>
          <cell r="D749" t="str">
            <v>各属性相性良3・黄・R366</v>
          </cell>
          <cell r="E749" t="str">
            <v>執行者</v>
          </cell>
          <cell r="F749" t="str">
            <v>格好いい</v>
          </cell>
          <cell r="G749" t="str">
            <v>男性</v>
          </cell>
          <cell r="H749" t="str">
            <v>yellow</v>
          </cell>
          <cell r="I749">
            <v>4</v>
          </cell>
          <cell r="J749" t="str">
            <v>PremiumS</v>
          </cell>
          <cell r="K749" t="str">
            <v>heal</v>
          </cell>
          <cell r="L749" t="str">
            <v>回復タイプ</v>
          </cell>
          <cell r="M749" t="str">
            <v>animal</v>
          </cell>
        </row>
        <row r="750">
          <cell r="A750">
            <v>749</v>
          </cell>
          <cell r="B750" t="str">
            <v>ja</v>
          </cell>
          <cell r="C750" t="str">
            <v>光喜の牧童 パーン</v>
          </cell>
          <cell r="D750" t="str">
            <v>各属性相性良3・黄・R367</v>
          </cell>
          <cell r="E750" t="str">
            <v>執行者</v>
          </cell>
          <cell r="F750" t="str">
            <v>格好いい</v>
          </cell>
          <cell r="G750" t="str">
            <v>男性</v>
          </cell>
          <cell r="H750" t="str">
            <v>yellow</v>
          </cell>
          <cell r="I750">
            <v>5</v>
          </cell>
          <cell r="J750" t="str">
            <v>PremiumS</v>
          </cell>
          <cell r="K750" t="str">
            <v>heal</v>
          </cell>
          <cell r="L750" t="str">
            <v>回復タイプ</v>
          </cell>
          <cell r="M750" t="str">
            <v>animal</v>
          </cell>
        </row>
        <row r="751">
          <cell r="A751">
            <v>750</v>
          </cell>
          <cell r="B751" t="str">
            <v>ja</v>
          </cell>
          <cell r="C751" t="str">
            <v>ポアソン</v>
          </cell>
          <cell r="D751" t="str">
            <v>各属性相性良3・黄・R493</v>
          </cell>
          <cell r="E751" t="str">
            <v>執行者</v>
          </cell>
          <cell r="F751" t="str">
            <v>格好いい</v>
          </cell>
          <cell r="G751" t="str">
            <v>男性</v>
          </cell>
          <cell r="H751" t="str">
            <v>green</v>
          </cell>
          <cell r="I751">
            <v>5</v>
          </cell>
          <cell r="J751" t="str">
            <v>PremiumSSS</v>
          </cell>
          <cell r="K751" t="str">
            <v>balance</v>
          </cell>
          <cell r="L751" t="str">
            <v>バランスタイプ</v>
          </cell>
          <cell r="M751" t="str">
            <v>academia</v>
          </cell>
        </row>
        <row r="752">
          <cell r="A752">
            <v>751</v>
          </cell>
          <cell r="B752" t="str">
            <v>ja</v>
          </cell>
          <cell r="C752" t="str">
            <v>交錯の旋匣 ポアソン</v>
          </cell>
          <cell r="D752" t="str">
            <v>各属性相性良3・黄・R494</v>
          </cell>
          <cell r="E752" t="str">
            <v>執行者</v>
          </cell>
          <cell r="F752" t="str">
            <v>格好いい</v>
          </cell>
          <cell r="G752" t="str">
            <v>男性</v>
          </cell>
          <cell r="H752" t="str">
            <v>green</v>
          </cell>
          <cell r="I752">
            <v>6</v>
          </cell>
          <cell r="J752" t="str">
            <v>PremiumSSS</v>
          </cell>
          <cell r="K752" t="str">
            <v>balance</v>
          </cell>
          <cell r="L752" t="str">
            <v>バランスタイプ</v>
          </cell>
          <cell r="M752" t="str">
            <v>academia</v>
          </cell>
        </row>
        <row r="753">
          <cell r="A753">
            <v>752</v>
          </cell>
          <cell r="B753" t="str">
            <v>ja</v>
          </cell>
          <cell r="C753" t="str">
            <v>ムラマサ</v>
          </cell>
          <cell r="D753" t="str">
            <v>イベント:ランキング01</v>
          </cell>
          <cell r="E753" t="str">
            <v>執行者</v>
          </cell>
          <cell r="F753" t="str">
            <v>格好いい</v>
          </cell>
          <cell r="G753" t="str">
            <v>男性</v>
          </cell>
          <cell r="H753" t="str">
            <v>red</v>
          </cell>
          <cell r="I753">
            <v>5</v>
          </cell>
          <cell r="J753" t="str">
            <v>DropWizSSS</v>
          </cell>
          <cell r="K753" t="str">
            <v>attack</v>
          </cell>
          <cell r="L753" t="str">
            <v>攻撃タイプ</v>
          </cell>
          <cell r="M753" t="str">
            <v>weapon</v>
          </cell>
        </row>
        <row r="754">
          <cell r="A754">
            <v>753</v>
          </cell>
          <cell r="B754" t="str">
            <v>ja</v>
          </cell>
          <cell r="C754" t="str">
            <v>皆斬の虐器 ムラマサ</v>
          </cell>
          <cell r="D754" t="str">
            <v>イベント:ランキング01</v>
          </cell>
          <cell r="E754" t="str">
            <v>執行者</v>
          </cell>
          <cell r="F754" t="str">
            <v>格好いい</v>
          </cell>
          <cell r="G754" t="str">
            <v>男性</v>
          </cell>
          <cell r="H754" t="str">
            <v>red</v>
          </cell>
          <cell r="I754">
            <v>6</v>
          </cell>
          <cell r="J754" t="str">
            <v>DropWizSSS</v>
          </cell>
          <cell r="K754" t="str">
            <v>attack</v>
          </cell>
          <cell r="L754" t="str">
            <v>攻撃タイプ</v>
          </cell>
          <cell r="M754" t="str">
            <v>weapon</v>
          </cell>
        </row>
        <row r="755">
          <cell r="A755">
            <v>754</v>
          </cell>
          <cell r="B755" t="str">
            <v>ja</v>
          </cell>
          <cell r="C755" t="str">
            <v>マサムネ</v>
          </cell>
          <cell r="D755" t="str">
            <v>イベント:ランキング01</v>
          </cell>
          <cell r="E755" t="str">
            <v>執行者</v>
          </cell>
          <cell r="F755" t="str">
            <v>格好いい</v>
          </cell>
          <cell r="G755" t="str">
            <v>男性</v>
          </cell>
          <cell r="H755" t="str">
            <v>green</v>
          </cell>
          <cell r="I755">
            <v>5</v>
          </cell>
          <cell r="J755" t="str">
            <v>DropWizSSS</v>
          </cell>
          <cell r="K755" t="str">
            <v>balance</v>
          </cell>
          <cell r="L755" t="str">
            <v>バランスタイプ</v>
          </cell>
          <cell r="M755" t="str">
            <v>weapon</v>
          </cell>
        </row>
        <row r="756">
          <cell r="A756">
            <v>755</v>
          </cell>
          <cell r="B756" t="str">
            <v>ja</v>
          </cell>
          <cell r="C756" t="str">
            <v>究覇の一剣 マサムネ</v>
          </cell>
          <cell r="D756" t="str">
            <v>イベント:ランキング01</v>
          </cell>
          <cell r="E756" t="str">
            <v>執行者</v>
          </cell>
          <cell r="F756" t="str">
            <v>格好いい</v>
          </cell>
          <cell r="G756" t="str">
            <v>男性</v>
          </cell>
          <cell r="H756" t="str">
            <v>green</v>
          </cell>
          <cell r="I756">
            <v>6</v>
          </cell>
          <cell r="J756" t="str">
            <v>DropWizSSS</v>
          </cell>
          <cell r="K756" t="str">
            <v>balance</v>
          </cell>
          <cell r="L756" t="str">
            <v>バランスタイプ</v>
          </cell>
          <cell r="M756" t="str">
            <v>weapon</v>
          </cell>
        </row>
        <row r="757">
          <cell r="A757">
            <v>756</v>
          </cell>
          <cell r="B757" t="str">
            <v>ja</v>
          </cell>
          <cell r="C757" t="str">
            <v>アメノムラクモ</v>
          </cell>
          <cell r="D757" t="str">
            <v>イベント:ランキング01</v>
          </cell>
          <cell r="E757" t="str">
            <v>執行者</v>
          </cell>
          <cell r="F757" t="str">
            <v>格好いい</v>
          </cell>
          <cell r="G757" t="str">
            <v>男性</v>
          </cell>
          <cell r="H757" t="str">
            <v>blue</v>
          </cell>
          <cell r="I757">
            <v>5</v>
          </cell>
          <cell r="J757" t="str">
            <v>DropWizSSS</v>
          </cell>
          <cell r="K757" t="str">
            <v>technical</v>
          </cell>
          <cell r="L757" t="str">
            <v>テクニカルタイプ</v>
          </cell>
          <cell r="M757" t="str">
            <v>weapon</v>
          </cell>
        </row>
        <row r="758">
          <cell r="A758">
            <v>757</v>
          </cell>
          <cell r="B758" t="str">
            <v>ja</v>
          </cell>
          <cell r="C758" t="str">
            <v>荒龍の復魂 アメノムラクモ</v>
          </cell>
          <cell r="D758" t="str">
            <v>イベント:ランキング01</v>
          </cell>
          <cell r="E758" t="str">
            <v>執行者</v>
          </cell>
          <cell r="F758" t="str">
            <v>格好いい</v>
          </cell>
          <cell r="G758" t="str">
            <v>男性</v>
          </cell>
          <cell r="H758" t="str">
            <v>blue</v>
          </cell>
          <cell r="I758">
            <v>6</v>
          </cell>
          <cell r="J758" t="str">
            <v>DropWizSSS</v>
          </cell>
          <cell r="K758" t="str">
            <v>technical</v>
          </cell>
          <cell r="L758" t="str">
            <v>テクニカルタイプ</v>
          </cell>
          <cell r="M758" t="str">
            <v>weapon</v>
          </cell>
        </row>
        <row r="759">
          <cell r="A759">
            <v>758</v>
          </cell>
          <cell r="B759" t="str">
            <v>ja</v>
          </cell>
          <cell r="C759" t="str">
            <v>雷切</v>
          </cell>
          <cell r="D759" t="str">
            <v>イベント:ランキング01</v>
          </cell>
          <cell r="E759" t="str">
            <v>執行者</v>
          </cell>
          <cell r="F759" t="str">
            <v>格好いい</v>
          </cell>
          <cell r="G759" t="str">
            <v>男性</v>
          </cell>
          <cell r="H759" t="str">
            <v>yellow</v>
          </cell>
          <cell r="I759">
            <v>5</v>
          </cell>
          <cell r="J759" t="str">
            <v>DropWizSSS</v>
          </cell>
          <cell r="K759" t="str">
            <v>attack</v>
          </cell>
          <cell r="L759" t="str">
            <v>攻撃タイプ</v>
          </cell>
          <cell r="M759" t="str">
            <v>weapon</v>
          </cell>
        </row>
        <row r="760">
          <cell r="A760">
            <v>759</v>
          </cell>
          <cell r="B760" t="str">
            <v>ja</v>
          </cell>
          <cell r="C760" t="str">
            <v>超光の鳴鋒 雷切</v>
          </cell>
          <cell r="D760" t="str">
            <v>イベント:ランキング01</v>
          </cell>
          <cell r="E760" t="str">
            <v>執行者</v>
          </cell>
          <cell r="F760" t="str">
            <v>格好いい</v>
          </cell>
          <cell r="G760" t="str">
            <v>男性</v>
          </cell>
          <cell r="H760" t="str">
            <v>yellow</v>
          </cell>
          <cell r="I760">
            <v>6</v>
          </cell>
          <cell r="J760" t="str">
            <v>DropWizSSS</v>
          </cell>
          <cell r="K760" t="str">
            <v>attack</v>
          </cell>
          <cell r="L760" t="str">
            <v>攻撃タイプ</v>
          </cell>
          <cell r="M760" t="str">
            <v>weapon</v>
          </cell>
        </row>
        <row r="761">
          <cell r="A761">
            <v>760</v>
          </cell>
          <cell r="B761" t="str">
            <v>ja</v>
          </cell>
          <cell r="C761" t="str">
            <v>限論顕現 クロネッカー</v>
          </cell>
          <cell r="D761" t="str">
            <v>ガチャ:フィーバーフェス05</v>
          </cell>
          <cell r="E761" t="str">
            <v>執行者</v>
          </cell>
          <cell r="F761" t="str">
            <v>格好いい</v>
          </cell>
          <cell r="G761" t="str">
            <v>男性</v>
          </cell>
          <cell r="H761" t="str">
            <v>yellow</v>
          </cell>
          <cell r="I761">
            <v>5</v>
          </cell>
          <cell r="J761" t="str">
            <v>PremiumSSS</v>
          </cell>
          <cell r="K761" t="str">
            <v>balance</v>
          </cell>
          <cell r="L761" t="str">
            <v>バランスタイプ</v>
          </cell>
          <cell r="M761" t="str">
            <v>human</v>
          </cell>
        </row>
        <row r="762">
          <cell r="A762">
            <v>761</v>
          </cell>
          <cell r="B762" t="str">
            <v>ja</v>
          </cell>
          <cell r="C762" t="str">
            <v>唯限の崇嬢 クロネッカー</v>
          </cell>
          <cell r="D762" t="str">
            <v>ガチャ:フィーバーフェス05</v>
          </cell>
          <cell r="E762" t="str">
            <v>執行者</v>
          </cell>
          <cell r="F762" t="str">
            <v>格好いい</v>
          </cell>
          <cell r="G762" t="str">
            <v>男性</v>
          </cell>
          <cell r="H762" t="str">
            <v>yellow</v>
          </cell>
          <cell r="I762">
            <v>6</v>
          </cell>
          <cell r="J762" t="str">
            <v>PremiumSSS</v>
          </cell>
          <cell r="K762" t="str">
            <v>balance</v>
          </cell>
          <cell r="L762" t="str">
            <v>バランスタイプ</v>
          </cell>
          <cell r="M762" t="str">
            <v>human</v>
          </cell>
        </row>
        <row r="763">
          <cell r="A763">
            <v>762</v>
          </cell>
          <cell r="B763" t="str">
            <v>ja</v>
          </cell>
          <cell r="C763" t="str">
            <v>フィボナッチ</v>
          </cell>
          <cell r="D763" t="str">
            <v>ガチャ:フィーバーフェス06</v>
          </cell>
          <cell r="E763" t="str">
            <v>執行者</v>
          </cell>
          <cell r="F763" t="str">
            <v>格好いい</v>
          </cell>
          <cell r="G763" t="str">
            <v>男性</v>
          </cell>
          <cell r="H763" t="str">
            <v>blue</v>
          </cell>
          <cell r="I763">
            <v>5</v>
          </cell>
          <cell r="J763" t="str">
            <v>PremiumSSS</v>
          </cell>
          <cell r="K763" t="str">
            <v>balance</v>
          </cell>
          <cell r="L763" t="str">
            <v>バランスタイプ</v>
          </cell>
          <cell r="M763" t="str">
            <v>human</v>
          </cell>
        </row>
        <row r="764">
          <cell r="A764">
            <v>763</v>
          </cell>
          <cell r="B764" t="str">
            <v>ja</v>
          </cell>
          <cell r="C764" t="str">
            <v>螺旋の皇魂比 フィボナッチ</v>
          </cell>
          <cell r="D764" t="str">
            <v>ガチャ:フィーバーフェス06</v>
          </cell>
          <cell r="E764" t="str">
            <v>執行者</v>
          </cell>
          <cell r="F764" t="str">
            <v>格好いい</v>
          </cell>
          <cell r="G764" t="str">
            <v>男性</v>
          </cell>
          <cell r="H764" t="str">
            <v>blue</v>
          </cell>
          <cell r="I764">
            <v>6</v>
          </cell>
          <cell r="J764" t="str">
            <v>PremiumSSS</v>
          </cell>
          <cell r="K764" t="str">
            <v>balance</v>
          </cell>
          <cell r="L764" t="str">
            <v>バランスタイプ</v>
          </cell>
          <cell r="M764" t="str">
            <v>human</v>
          </cell>
        </row>
        <row r="765">
          <cell r="A765">
            <v>764</v>
          </cell>
          <cell r="B765" t="str">
            <v>ja</v>
          </cell>
          <cell r="C765" t="str">
            <v>ライオネル</v>
          </cell>
          <cell r="D765" t="str">
            <v>イベント:円卓02</v>
          </cell>
          <cell r="E765" t="str">
            <v>執行者</v>
          </cell>
          <cell r="F765" t="str">
            <v>格好いい</v>
          </cell>
          <cell r="G765" t="str">
            <v>不明</v>
          </cell>
          <cell r="H765" t="str">
            <v>yellow</v>
          </cell>
          <cell r="I765">
            <v>4</v>
          </cell>
          <cell r="J765" t="str">
            <v>Drop2N</v>
          </cell>
          <cell r="K765" t="str">
            <v>balance</v>
          </cell>
          <cell r="L765" t="str">
            <v>バランスタイプ</v>
          </cell>
          <cell r="M765" t="str">
            <v>animal</v>
          </cell>
        </row>
        <row r="766">
          <cell r="A766">
            <v>765</v>
          </cell>
          <cell r="B766" t="str">
            <v>ja</v>
          </cell>
          <cell r="C766" t="str">
            <v>逆襲獣皇 ライオネル</v>
          </cell>
          <cell r="D766" t="str">
            <v>イベント:円卓02</v>
          </cell>
          <cell r="E766" t="str">
            <v>執行者</v>
          </cell>
          <cell r="F766" t="str">
            <v>格好いい</v>
          </cell>
          <cell r="G766" t="str">
            <v>不明</v>
          </cell>
          <cell r="H766" t="str">
            <v>yellow</v>
          </cell>
          <cell r="I766">
            <v>5</v>
          </cell>
          <cell r="J766" t="str">
            <v>Drop2N</v>
          </cell>
          <cell r="K766" t="str">
            <v>balance</v>
          </cell>
          <cell r="L766" t="str">
            <v>バランスタイプ</v>
          </cell>
          <cell r="M766" t="str">
            <v>animal</v>
          </cell>
        </row>
        <row r="767">
          <cell r="A767">
            <v>766</v>
          </cell>
          <cell r="B767" t="str">
            <v>ja</v>
          </cell>
          <cell r="C767" t="str">
            <v>ランドラグ</v>
          </cell>
          <cell r="D767" t="str">
            <v>イベント:円卓02</v>
          </cell>
          <cell r="E767" t="str">
            <v>執行者</v>
          </cell>
          <cell r="F767" t="str">
            <v>格好いい</v>
          </cell>
          <cell r="G767" t="str">
            <v>不明</v>
          </cell>
          <cell r="H767" t="str">
            <v>red</v>
          </cell>
          <cell r="I767">
            <v>4</v>
          </cell>
          <cell r="J767" t="str">
            <v>Drop2N</v>
          </cell>
          <cell r="K767" t="str">
            <v>hp</v>
          </cell>
          <cell r="L767" t="str">
            <v>体力タイプ</v>
          </cell>
          <cell r="M767" t="str">
            <v>dragon</v>
          </cell>
        </row>
        <row r="768">
          <cell r="A768">
            <v>767</v>
          </cell>
          <cell r="B768" t="str">
            <v>ja</v>
          </cell>
          <cell r="C768" t="str">
            <v>灼炎業竜 ランドラグ</v>
          </cell>
          <cell r="D768" t="str">
            <v>イベント:円卓02</v>
          </cell>
          <cell r="E768" t="str">
            <v>執行者</v>
          </cell>
          <cell r="F768" t="str">
            <v>格好いい</v>
          </cell>
          <cell r="G768" t="str">
            <v>不明</v>
          </cell>
          <cell r="H768" t="str">
            <v>red</v>
          </cell>
          <cell r="I768">
            <v>5</v>
          </cell>
          <cell r="J768" t="str">
            <v>Drop2N</v>
          </cell>
          <cell r="K768" t="str">
            <v>hp</v>
          </cell>
          <cell r="L768" t="str">
            <v>体力タイプ</v>
          </cell>
          <cell r="M768" t="str">
            <v>dragon</v>
          </cell>
        </row>
        <row r="769">
          <cell r="A769">
            <v>768</v>
          </cell>
          <cell r="B769" t="str">
            <v>ja</v>
          </cell>
          <cell r="C769" t="str">
            <v>ガレス</v>
          </cell>
          <cell r="D769" t="str">
            <v>イベント:円卓02</v>
          </cell>
          <cell r="E769" t="str">
            <v>執行者</v>
          </cell>
          <cell r="F769" t="str">
            <v>格好いい</v>
          </cell>
          <cell r="G769" t="str">
            <v>男性</v>
          </cell>
          <cell r="H769" t="str">
            <v>green</v>
          </cell>
          <cell r="I769">
            <v>4</v>
          </cell>
          <cell r="J769" t="str">
            <v>DropWizS</v>
          </cell>
          <cell r="K769" t="str">
            <v>technical</v>
          </cell>
          <cell r="L769" t="str">
            <v>テクニカルタイプ</v>
          </cell>
          <cell r="M769" t="str">
            <v>human</v>
          </cell>
        </row>
        <row r="770">
          <cell r="A770">
            <v>769</v>
          </cell>
          <cell r="B770" t="str">
            <v>ja</v>
          </cell>
          <cell r="C770" t="str">
            <v>白域・純双剣 ガレス</v>
          </cell>
          <cell r="D770" t="str">
            <v>イベント:円卓02</v>
          </cell>
          <cell r="E770" t="str">
            <v>執行者</v>
          </cell>
          <cell r="F770" t="str">
            <v>格好いい</v>
          </cell>
          <cell r="G770" t="str">
            <v>男性</v>
          </cell>
          <cell r="H770" t="str">
            <v>green</v>
          </cell>
          <cell r="I770">
            <v>5</v>
          </cell>
          <cell r="J770" t="str">
            <v>DropWizS</v>
          </cell>
          <cell r="K770" t="str">
            <v>technical</v>
          </cell>
          <cell r="L770" t="str">
            <v>テクニカルタイプ</v>
          </cell>
          <cell r="M770" t="str">
            <v>human</v>
          </cell>
        </row>
        <row r="771">
          <cell r="A771">
            <v>770</v>
          </cell>
          <cell r="B771" t="str">
            <v>ja</v>
          </cell>
          <cell r="C771" t="str">
            <v>ハヅル</v>
          </cell>
          <cell r="D771" t="str">
            <v>ガチャ:日本昔話01</v>
          </cell>
          <cell r="E771" t="str">
            <v>執行者</v>
          </cell>
          <cell r="F771" t="str">
            <v>格好いい</v>
          </cell>
          <cell r="G771" t="str">
            <v>女性</v>
          </cell>
          <cell r="H771" t="str">
            <v>red</v>
          </cell>
          <cell r="I771">
            <v>4</v>
          </cell>
          <cell r="J771" t="str">
            <v>PremiumSS</v>
          </cell>
          <cell r="K771" t="str">
            <v>balance</v>
          </cell>
          <cell r="L771" t="str">
            <v>バランスタイプ</v>
          </cell>
          <cell r="M771" t="str">
            <v>animal</v>
          </cell>
        </row>
        <row r="772">
          <cell r="A772">
            <v>771</v>
          </cell>
          <cell r="B772" t="str">
            <v>ja</v>
          </cell>
          <cell r="C772" t="str">
            <v>天織羽鶴 ハヅル</v>
          </cell>
          <cell r="D772" t="str">
            <v>ガチャ:日本昔話01</v>
          </cell>
          <cell r="E772" t="str">
            <v>執行者</v>
          </cell>
          <cell r="F772" t="str">
            <v>格好いい</v>
          </cell>
          <cell r="G772" t="str">
            <v>女性</v>
          </cell>
          <cell r="H772" t="str">
            <v>red</v>
          </cell>
          <cell r="I772">
            <v>5</v>
          </cell>
          <cell r="J772" t="str">
            <v>PremiumSS</v>
          </cell>
          <cell r="K772" t="str">
            <v>balance</v>
          </cell>
          <cell r="L772" t="str">
            <v>バランスタイプ</v>
          </cell>
          <cell r="M772" t="str">
            <v>animal</v>
          </cell>
        </row>
        <row r="773">
          <cell r="A773">
            <v>772</v>
          </cell>
          <cell r="B773" t="str">
            <v>ja</v>
          </cell>
          <cell r="C773" t="str">
            <v>イナバ</v>
          </cell>
          <cell r="D773" t="str">
            <v>ガチャ:日本昔話01</v>
          </cell>
          <cell r="E773" t="str">
            <v>執行者</v>
          </cell>
          <cell r="F773" t="str">
            <v>格好いい</v>
          </cell>
          <cell r="G773" t="str">
            <v>女性</v>
          </cell>
          <cell r="H773" t="str">
            <v>green</v>
          </cell>
          <cell r="I773">
            <v>4</v>
          </cell>
          <cell r="J773" t="str">
            <v>PremiumSS</v>
          </cell>
          <cell r="K773" t="str">
            <v>balance</v>
          </cell>
          <cell r="L773" t="str">
            <v>バランスタイプ</v>
          </cell>
          <cell r="M773" t="str">
            <v>animal</v>
          </cell>
        </row>
        <row r="774">
          <cell r="A774">
            <v>773</v>
          </cell>
          <cell r="B774" t="str">
            <v>ja</v>
          </cell>
          <cell r="C774" t="str">
            <v>浮跳天兎 イナバ</v>
          </cell>
          <cell r="D774" t="str">
            <v>ガチャ:日本昔話01</v>
          </cell>
          <cell r="E774" t="str">
            <v>執行者</v>
          </cell>
          <cell r="F774" t="str">
            <v>格好いい</v>
          </cell>
          <cell r="G774" t="str">
            <v>女性</v>
          </cell>
          <cell r="H774" t="str">
            <v>green</v>
          </cell>
          <cell r="I774">
            <v>5</v>
          </cell>
          <cell r="J774" t="str">
            <v>PremiumSS</v>
          </cell>
          <cell r="K774" t="str">
            <v>balance</v>
          </cell>
          <cell r="L774" t="str">
            <v>バランスタイプ</v>
          </cell>
          <cell r="M774" t="str">
            <v>animal</v>
          </cell>
        </row>
        <row r="775">
          <cell r="A775">
            <v>774</v>
          </cell>
          <cell r="B775" t="str">
            <v>ja</v>
          </cell>
          <cell r="C775" t="str">
            <v>ミズチ</v>
          </cell>
          <cell r="D775" t="str">
            <v>ガチャ:日本昔話01</v>
          </cell>
          <cell r="E775" t="str">
            <v>執行者</v>
          </cell>
          <cell r="F775" t="str">
            <v>格好いい</v>
          </cell>
          <cell r="G775" t="str">
            <v>不明</v>
          </cell>
          <cell r="H775" t="str">
            <v>blue</v>
          </cell>
          <cell r="I775">
            <v>3</v>
          </cell>
          <cell r="J775" t="str">
            <v>PremiumS</v>
          </cell>
          <cell r="K775" t="str">
            <v>heal</v>
          </cell>
          <cell r="L775" t="str">
            <v>回復タイプ</v>
          </cell>
          <cell r="M775" t="str">
            <v>dragon</v>
          </cell>
        </row>
        <row r="776">
          <cell r="A776">
            <v>775</v>
          </cell>
          <cell r="B776" t="str">
            <v>ja</v>
          </cell>
          <cell r="C776" t="str">
            <v>水底霊竜 ミズチ</v>
          </cell>
          <cell r="D776" t="str">
            <v>ガチャ:日本昔話01</v>
          </cell>
          <cell r="E776" t="str">
            <v>執行者</v>
          </cell>
          <cell r="F776" t="str">
            <v>格好いい</v>
          </cell>
          <cell r="G776" t="str">
            <v>不明</v>
          </cell>
          <cell r="H776" t="str">
            <v>blue</v>
          </cell>
          <cell r="I776">
            <v>4</v>
          </cell>
          <cell r="J776" t="str">
            <v>PremiumS</v>
          </cell>
          <cell r="K776" t="str">
            <v>heal</v>
          </cell>
          <cell r="L776" t="str">
            <v>回復タイプ</v>
          </cell>
          <cell r="M776" t="str">
            <v>dragon</v>
          </cell>
        </row>
        <row r="777">
          <cell r="A777">
            <v>776</v>
          </cell>
          <cell r="B777" t="str">
            <v>ja</v>
          </cell>
          <cell r="C777" t="str">
            <v>水竜底主 ミズチ</v>
          </cell>
          <cell r="D777" t="str">
            <v>ガチャ:日本昔話01</v>
          </cell>
          <cell r="E777" t="str">
            <v>執行者</v>
          </cell>
          <cell r="F777" t="str">
            <v>格好いい</v>
          </cell>
          <cell r="G777" t="str">
            <v>不明</v>
          </cell>
          <cell r="H777" t="str">
            <v>blue</v>
          </cell>
          <cell r="I777">
            <v>5</v>
          </cell>
          <cell r="J777" t="str">
            <v>PremiumS</v>
          </cell>
          <cell r="K777" t="str">
            <v>heal</v>
          </cell>
          <cell r="L777" t="str">
            <v>回復タイプ</v>
          </cell>
          <cell r="M777" t="str">
            <v>dragon</v>
          </cell>
        </row>
        <row r="778">
          <cell r="A778">
            <v>777</v>
          </cell>
          <cell r="B778" t="str">
            <v>ja</v>
          </cell>
          <cell r="C778" t="str">
            <v>ガメック</v>
          </cell>
          <cell r="D778" t="str">
            <v>ガチャ:日本昔話01</v>
          </cell>
          <cell r="E778" t="str">
            <v>執行者</v>
          </cell>
          <cell r="F778" t="str">
            <v>格好いい</v>
          </cell>
          <cell r="G778" t="str">
            <v>不明</v>
          </cell>
          <cell r="H778" t="str">
            <v>yellow</v>
          </cell>
          <cell r="I778">
            <v>3</v>
          </cell>
          <cell r="J778" t="str">
            <v>PremiumS</v>
          </cell>
          <cell r="K778" t="str">
            <v>hp</v>
          </cell>
          <cell r="L778" t="str">
            <v>体力タイプ</v>
          </cell>
          <cell r="M778" t="str">
            <v>animal</v>
          </cell>
        </row>
        <row r="779">
          <cell r="A779">
            <v>778</v>
          </cell>
          <cell r="B779" t="str">
            <v>ja</v>
          </cell>
          <cell r="C779" t="str">
            <v>一亀懸明 ガメック</v>
          </cell>
          <cell r="D779" t="str">
            <v>ガチャ:日本昔話01</v>
          </cell>
          <cell r="E779" t="str">
            <v>執行者</v>
          </cell>
          <cell r="F779" t="str">
            <v>格好いい</v>
          </cell>
          <cell r="G779" t="str">
            <v>不明</v>
          </cell>
          <cell r="H779" t="str">
            <v>yellow</v>
          </cell>
          <cell r="I779">
            <v>4</v>
          </cell>
          <cell r="J779" t="str">
            <v>PremiumS</v>
          </cell>
          <cell r="K779" t="str">
            <v>hp</v>
          </cell>
          <cell r="L779" t="str">
            <v>体力タイプ</v>
          </cell>
          <cell r="M779" t="str">
            <v>animal</v>
          </cell>
        </row>
        <row r="780">
          <cell r="A780">
            <v>779</v>
          </cell>
          <cell r="B780" t="str">
            <v>ja</v>
          </cell>
          <cell r="C780" t="str">
            <v>頑堅咬亀 ガメック</v>
          </cell>
          <cell r="D780" t="str">
            <v>ガチャ:日本昔話01</v>
          </cell>
          <cell r="E780" t="str">
            <v>執行者</v>
          </cell>
          <cell r="F780" t="str">
            <v>格好いい</v>
          </cell>
          <cell r="G780" t="str">
            <v>不明</v>
          </cell>
          <cell r="H780" t="str">
            <v>yellow</v>
          </cell>
          <cell r="I780">
            <v>5</v>
          </cell>
          <cell r="J780" t="str">
            <v>PremiumS</v>
          </cell>
          <cell r="K780" t="str">
            <v>hp</v>
          </cell>
          <cell r="L780" t="str">
            <v>体力タイプ</v>
          </cell>
          <cell r="M780" t="str">
            <v>animal</v>
          </cell>
        </row>
        <row r="781">
          <cell r="A781">
            <v>780</v>
          </cell>
          <cell r="B781" t="str">
            <v>ja</v>
          </cell>
          <cell r="C781" t="str">
            <v>カスケード</v>
          </cell>
          <cell r="D781" t="str">
            <v>各属性相性良3・黄・R398</v>
          </cell>
          <cell r="E781" t="str">
            <v>執行者</v>
          </cell>
          <cell r="F781" t="str">
            <v>格好いい</v>
          </cell>
          <cell r="G781" t="str">
            <v>男性</v>
          </cell>
          <cell r="H781" t="str">
            <v>yellow</v>
          </cell>
          <cell r="I781">
            <v>5</v>
          </cell>
          <cell r="J781" t="str">
            <v>DropWizS</v>
          </cell>
          <cell r="K781" t="str">
            <v>technical</v>
          </cell>
          <cell r="L781" t="str">
            <v>テクニカルタイプ</v>
          </cell>
          <cell r="M781" t="str">
            <v>unknown</v>
          </cell>
        </row>
        <row r="782">
          <cell r="A782">
            <v>781</v>
          </cell>
          <cell r="B782" t="str">
            <v>ja</v>
          </cell>
          <cell r="C782" t="str">
            <v>崩落の大瀑布 カスケード</v>
          </cell>
          <cell r="D782" t="str">
            <v>各属性相性良3・黄・R399</v>
          </cell>
          <cell r="E782" t="str">
            <v>執行者</v>
          </cell>
          <cell r="F782" t="str">
            <v>格好いい</v>
          </cell>
          <cell r="G782" t="str">
            <v>男性</v>
          </cell>
          <cell r="H782" t="str">
            <v>yellow</v>
          </cell>
          <cell r="I782">
            <v>6</v>
          </cell>
          <cell r="J782" t="str">
            <v>DropWizS</v>
          </cell>
          <cell r="K782" t="str">
            <v>technical</v>
          </cell>
          <cell r="L782" t="str">
            <v>テクニカルタイプ</v>
          </cell>
          <cell r="M782" t="str">
            <v>unknown</v>
          </cell>
        </row>
        <row r="783">
          <cell r="A783">
            <v>782</v>
          </cell>
          <cell r="B783" t="str">
            <v>ja</v>
          </cell>
          <cell r="C783" t="str">
            <v>機甲雷天使 ミカエル・グロリアス</v>
          </cell>
          <cell r="D783" t="str">
            <v>各属性相性良3・黄・R400</v>
          </cell>
          <cell r="E783" t="str">
            <v>執行者</v>
          </cell>
          <cell r="F783" t="str">
            <v>格好いい</v>
          </cell>
          <cell r="G783" t="str">
            <v>男性</v>
          </cell>
          <cell r="H783" t="str">
            <v>yellow</v>
          </cell>
          <cell r="I783">
            <v>6</v>
          </cell>
          <cell r="J783" t="str">
            <v>PremiumS</v>
          </cell>
          <cell r="K783" t="str">
            <v>attack</v>
          </cell>
          <cell r="L783" t="str">
            <v>攻撃タイプ</v>
          </cell>
          <cell r="M783" t="str">
            <v>machine</v>
          </cell>
        </row>
        <row r="784">
          <cell r="A784">
            <v>783</v>
          </cell>
          <cell r="B784" t="str">
            <v>ja</v>
          </cell>
          <cell r="C784" t="str">
            <v>モールス</v>
          </cell>
          <cell r="D784" t="str">
            <v>各属性相性良3・黄・R401</v>
          </cell>
          <cell r="E784" t="str">
            <v>執行者</v>
          </cell>
          <cell r="F784" t="str">
            <v>格好いい</v>
          </cell>
          <cell r="G784" t="str">
            <v>男性</v>
          </cell>
          <cell r="H784" t="str">
            <v>red</v>
          </cell>
          <cell r="I784">
            <v>5</v>
          </cell>
          <cell r="J784" t="str">
            <v>PremiumSSS</v>
          </cell>
          <cell r="K784" t="str">
            <v>technical</v>
          </cell>
          <cell r="L784" t="str">
            <v>テクニカルタイプ</v>
          </cell>
          <cell r="M784" t="str">
            <v>academia</v>
          </cell>
        </row>
        <row r="785">
          <cell r="A785">
            <v>784</v>
          </cell>
          <cell r="B785" t="str">
            <v>ja</v>
          </cell>
          <cell r="C785" t="str">
            <v>想心の恋鎖 モールス</v>
          </cell>
          <cell r="D785" t="str">
            <v>各属性相性良3・黄・R402</v>
          </cell>
          <cell r="E785" t="str">
            <v>執行者</v>
          </cell>
          <cell r="F785" t="str">
            <v>格好いい</v>
          </cell>
          <cell r="G785" t="str">
            <v>男性</v>
          </cell>
          <cell r="H785" t="str">
            <v>red</v>
          </cell>
          <cell r="I785">
            <v>6</v>
          </cell>
          <cell r="J785" t="str">
            <v>PremiumSSS</v>
          </cell>
          <cell r="K785" t="str">
            <v>technical</v>
          </cell>
          <cell r="L785" t="str">
            <v>テクニカルタイプ</v>
          </cell>
          <cell r="M785" t="str">
            <v>academia</v>
          </cell>
        </row>
        <row r="786">
          <cell r="A786">
            <v>785</v>
          </cell>
          <cell r="B786" t="str">
            <v>ja</v>
          </cell>
          <cell r="C786" t="str">
            <v>あけおめダック2017</v>
          </cell>
          <cell r="D786" t="str">
            <v>イベント:お正月2016</v>
          </cell>
          <cell r="E786" t="str">
            <v>執行者</v>
          </cell>
          <cell r="F786" t="str">
            <v>格好いい</v>
          </cell>
          <cell r="G786" t="str">
            <v>不明</v>
          </cell>
          <cell r="H786" t="str">
            <v>yellow</v>
          </cell>
          <cell r="I786">
            <v>6</v>
          </cell>
          <cell r="J786" t="str">
            <v>Material</v>
          </cell>
          <cell r="K786" t="str">
            <v>coin</v>
          </cell>
          <cell r="L786" t="str">
            <v>コインタイプ</v>
          </cell>
          <cell r="M786" t="str">
            <v>unknown</v>
          </cell>
        </row>
        <row r="787">
          <cell r="A787">
            <v>786</v>
          </cell>
          <cell r="B787" t="str">
            <v>ja</v>
          </cell>
          <cell r="C787" t="str">
            <v>ヘイウェイ</v>
          </cell>
          <cell r="D787" t="str">
            <v>ガチャ:赤フェス02</v>
          </cell>
          <cell r="E787" t="str">
            <v>執行者</v>
          </cell>
          <cell r="F787" t="str">
            <v>格好いい</v>
          </cell>
          <cell r="G787" t="str">
            <v>男性</v>
          </cell>
          <cell r="H787" t="str">
            <v>red</v>
          </cell>
          <cell r="I787">
            <v>5</v>
          </cell>
          <cell r="J787" t="str">
            <v>PremiumSSS</v>
          </cell>
          <cell r="K787" t="str">
            <v>attack</v>
          </cell>
          <cell r="L787" t="str">
            <v>攻撃タイプ</v>
          </cell>
          <cell r="M787" t="str">
            <v>dragon</v>
          </cell>
        </row>
        <row r="788">
          <cell r="A788">
            <v>787</v>
          </cell>
          <cell r="B788" t="str">
            <v>ja</v>
          </cell>
          <cell r="C788" t="str">
            <v>極閃描牙 ヘイウェイ</v>
          </cell>
          <cell r="D788" t="str">
            <v>ガチャ:赤フェス02</v>
          </cell>
          <cell r="E788" t="str">
            <v>執行者</v>
          </cell>
          <cell r="F788" t="str">
            <v>格好いい</v>
          </cell>
          <cell r="G788" t="str">
            <v>男性</v>
          </cell>
          <cell r="H788" t="str">
            <v>red</v>
          </cell>
          <cell r="I788">
            <v>6</v>
          </cell>
          <cell r="J788" t="str">
            <v>PremiumSSS</v>
          </cell>
          <cell r="K788" t="str">
            <v>attack</v>
          </cell>
          <cell r="L788" t="str">
            <v>攻撃タイプ</v>
          </cell>
          <cell r="M788" t="str">
            <v>dragon</v>
          </cell>
        </row>
        <row r="789">
          <cell r="A789">
            <v>788</v>
          </cell>
          <cell r="B789" t="str">
            <v>ja</v>
          </cell>
          <cell r="C789" t="str">
            <v>アトラス</v>
          </cell>
          <cell r="D789" t="str">
            <v>各属性相性良3・黄・R406</v>
          </cell>
          <cell r="E789" t="str">
            <v>執行者</v>
          </cell>
          <cell r="F789" t="str">
            <v>格好いい</v>
          </cell>
          <cell r="G789" t="str">
            <v>男性</v>
          </cell>
          <cell r="H789" t="str">
            <v>green</v>
          </cell>
          <cell r="I789">
            <v>5</v>
          </cell>
          <cell r="J789" t="str">
            <v>DropWizS</v>
          </cell>
          <cell r="K789" t="str">
            <v>balance</v>
          </cell>
          <cell r="L789" t="str">
            <v>バランスタイプ</v>
          </cell>
          <cell r="M789" t="str">
            <v>god</v>
          </cell>
        </row>
        <row r="790">
          <cell r="A790">
            <v>789</v>
          </cell>
          <cell r="B790" t="str">
            <v>ja</v>
          </cell>
          <cell r="C790" t="str">
            <v>極闘の大鋼腕 アトラス</v>
          </cell>
          <cell r="D790" t="str">
            <v>各属性相性良3・黄・R407</v>
          </cell>
          <cell r="E790" t="str">
            <v>執行者</v>
          </cell>
          <cell r="F790" t="str">
            <v>格好いい</v>
          </cell>
          <cell r="G790" t="str">
            <v>男性</v>
          </cell>
          <cell r="H790" t="str">
            <v>green</v>
          </cell>
          <cell r="I790">
            <v>6</v>
          </cell>
          <cell r="J790" t="str">
            <v>DropWizS</v>
          </cell>
          <cell r="K790" t="str">
            <v>balance</v>
          </cell>
          <cell r="L790" t="str">
            <v>バランスタイプ</v>
          </cell>
          <cell r="M790" t="str">
            <v>god</v>
          </cell>
        </row>
        <row r="791">
          <cell r="A791">
            <v>790</v>
          </cell>
          <cell r="B791" t="str">
            <v>ja</v>
          </cell>
          <cell r="C791" t="str">
            <v>戦略級の才脳 ノイマン</v>
          </cell>
          <cell r="D791" t="str">
            <v>ガチャ:青フェス02</v>
          </cell>
          <cell r="E791" t="str">
            <v>執行者</v>
          </cell>
          <cell r="F791" t="str">
            <v>格好いい</v>
          </cell>
          <cell r="G791" t="str">
            <v>女性</v>
          </cell>
          <cell r="H791" t="str">
            <v>blue</v>
          </cell>
          <cell r="I791">
            <v>5</v>
          </cell>
          <cell r="J791" t="str">
            <v>PremiumSSS</v>
          </cell>
          <cell r="K791" t="str">
            <v>attack</v>
          </cell>
          <cell r="L791" t="str">
            <v>攻撃タイプ</v>
          </cell>
          <cell r="M791" t="str">
            <v>machine</v>
          </cell>
        </row>
        <row r="792">
          <cell r="A792">
            <v>791</v>
          </cell>
          <cell r="B792" t="str">
            <v>ja</v>
          </cell>
          <cell r="C792" t="str">
            <v>無差別求の破者 ノイマン</v>
          </cell>
          <cell r="D792" t="str">
            <v>ガチャ:青フェス02</v>
          </cell>
          <cell r="E792" t="str">
            <v>執行者</v>
          </cell>
          <cell r="F792" t="str">
            <v>格好いい</v>
          </cell>
          <cell r="G792" t="str">
            <v>女性</v>
          </cell>
          <cell r="H792" t="str">
            <v>blue</v>
          </cell>
          <cell r="I792">
            <v>6</v>
          </cell>
          <cell r="J792" t="str">
            <v>PremiumSSS</v>
          </cell>
          <cell r="K792" t="str">
            <v>attack</v>
          </cell>
          <cell r="L792" t="str">
            <v>攻撃タイプ</v>
          </cell>
          <cell r="M792" t="str">
            <v>academia</v>
          </cell>
        </row>
        <row r="793">
          <cell r="A793">
            <v>792</v>
          </cell>
          <cell r="B793" t="str">
            <v>ja</v>
          </cell>
          <cell r="C793" t="str">
            <v>片還の収波 フーリエ</v>
          </cell>
          <cell r="D793" t="str">
            <v>各属性相性良3・黄・R410</v>
          </cell>
          <cell r="E793" t="str">
            <v>執行者</v>
          </cell>
          <cell r="F793" t="str">
            <v>格好いい</v>
          </cell>
          <cell r="G793" t="str">
            <v>男性</v>
          </cell>
          <cell r="H793" t="str">
            <v>yellow</v>
          </cell>
          <cell r="I793">
            <v>5</v>
          </cell>
          <cell r="J793" t="str">
            <v>PremiumSSS</v>
          </cell>
          <cell r="K793" t="str">
            <v>technical</v>
          </cell>
          <cell r="L793" t="str">
            <v>テクニカルタイプ</v>
          </cell>
          <cell r="M793" t="str">
            <v>human</v>
          </cell>
        </row>
        <row r="794">
          <cell r="A794">
            <v>793</v>
          </cell>
          <cell r="B794" t="str">
            <v>ja</v>
          </cell>
          <cell r="C794" t="str">
            <v>熱解する求波導 フーリエ</v>
          </cell>
          <cell r="D794" t="str">
            <v>各属性相性良3・黄・R411</v>
          </cell>
          <cell r="E794" t="str">
            <v>執行者</v>
          </cell>
          <cell r="F794" t="str">
            <v>格好いい</v>
          </cell>
          <cell r="G794" t="str">
            <v>男性</v>
          </cell>
          <cell r="H794" t="str">
            <v>yellow</v>
          </cell>
          <cell r="I794">
            <v>6</v>
          </cell>
          <cell r="J794" t="str">
            <v>PremiumSSS</v>
          </cell>
          <cell r="K794" t="str">
            <v>technical</v>
          </cell>
          <cell r="L794" t="str">
            <v>テクニカルタイプ</v>
          </cell>
          <cell r="M794" t="str">
            <v>academia</v>
          </cell>
        </row>
        <row r="795">
          <cell r="A795">
            <v>794</v>
          </cell>
          <cell r="B795" t="str">
            <v>ja</v>
          </cell>
          <cell r="C795" t="str">
            <v>卒業のウィルス ハッピー</v>
          </cell>
          <cell r="D795" t="str">
            <v>イベント:卒業</v>
          </cell>
          <cell r="E795" t="str">
            <v>ウィルス</v>
          </cell>
          <cell r="F795" t="str">
            <v>かわいい</v>
          </cell>
          <cell r="G795" t="str">
            <v>女性</v>
          </cell>
          <cell r="H795" t="str">
            <v>green</v>
          </cell>
          <cell r="I795">
            <v>3</v>
          </cell>
          <cell r="J795" t="str">
            <v>DropWizW</v>
          </cell>
          <cell r="K795" t="str">
            <v>heal</v>
          </cell>
          <cell r="L795" t="str">
            <v>回復タイプ</v>
          </cell>
          <cell r="M795" t="str">
            <v>unknown</v>
          </cell>
        </row>
        <row r="796">
          <cell r="A796">
            <v>795</v>
          </cell>
          <cell r="B796" t="str">
            <v>ja</v>
          </cell>
          <cell r="C796" t="str">
            <v>桜花の果実</v>
          </cell>
          <cell r="D796" t="str">
            <v>イベント:卒業</v>
          </cell>
          <cell r="E796" t="str">
            <v>アリス</v>
          </cell>
          <cell r="F796" t="str">
            <v>世界観</v>
          </cell>
          <cell r="G796" t="str">
            <v>不明</v>
          </cell>
          <cell r="H796" t="str">
            <v>blue</v>
          </cell>
          <cell r="I796">
            <v>3</v>
          </cell>
          <cell r="J796" t="str">
            <v>Material</v>
          </cell>
          <cell r="K796" t="str">
            <v>skilllevel</v>
          </cell>
          <cell r="L796" t="str">
            <v>スキルレベル素材</v>
          </cell>
          <cell r="M796" t="str">
            <v>unknown</v>
          </cell>
        </row>
        <row r="797">
          <cell r="A797">
            <v>796</v>
          </cell>
          <cell r="B797" t="str">
            <v>ja</v>
          </cell>
          <cell r="C797" t="str">
            <v>超越凌駕 ラグランジュ</v>
          </cell>
          <cell r="D797" t="str">
            <v>ガチャ:フィーバーフェス02</v>
          </cell>
          <cell r="E797" t="str">
            <v>執行者</v>
          </cell>
          <cell r="F797" t="str">
            <v>格好いい</v>
          </cell>
          <cell r="G797" t="str">
            <v>男性</v>
          </cell>
          <cell r="H797" t="str">
            <v>red</v>
          </cell>
          <cell r="I797">
            <v>6</v>
          </cell>
          <cell r="J797" t="str">
            <v>PremiumSSS</v>
          </cell>
          <cell r="K797" t="str">
            <v>technical</v>
          </cell>
          <cell r="L797" t="str">
            <v>テクニカルタイプ</v>
          </cell>
          <cell r="M797" t="str">
            <v>human</v>
          </cell>
        </row>
        <row r="798">
          <cell r="A798">
            <v>797</v>
          </cell>
          <cell r="B798" t="str">
            <v>ja</v>
          </cell>
          <cell r="C798" t="str">
            <v>崩烙の世解 シュレディンガー</v>
          </cell>
          <cell r="D798" t="str">
            <v>各属性相性良3・黄・R415</v>
          </cell>
          <cell r="E798" t="str">
            <v>執行者</v>
          </cell>
          <cell r="F798" t="str">
            <v>格好いい</v>
          </cell>
          <cell r="G798" t="str">
            <v>男性</v>
          </cell>
          <cell r="H798" t="str">
            <v>red</v>
          </cell>
          <cell r="I798">
            <v>6</v>
          </cell>
          <cell r="J798" t="str">
            <v>PremiumSSS</v>
          </cell>
          <cell r="K798" t="str">
            <v>balance</v>
          </cell>
          <cell r="L798" t="str">
            <v>バランスタイプ</v>
          </cell>
          <cell r="M798" t="str">
            <v>animal</v>
          </cell>
        </row>
        <row r="799">
          <cell r="A799">
            <v>798</v>
          </cell>
          <cell r="B799" t="str">
            <v>ja</v>
          </cell>
          <cell r="C799" t="str">
            <v>煌式の大機刃 オイラー</v>
          </cell>
          <cell r="D799" t="str">
            <v>各属性相性良3・黄・R416</v>
          </cell>
          <cell r="E799" t="str">
            <v>執行者</v>
          </cell>
          <cell r="F799" t="str">
            <v>格好いい</v>
          </cell>
          <cell r="G799" t="str">
            <v>男性</v>
          </cell>
          <cell r="H799" t="str">
            <v>green</v>
          </cell>
          <cell r="I799">
            <v>6</v>
          </cell>
          <cell r="J799" t="str">
            <v>PremiumSSS</v>
          </cell>
          <cell r="K799" t="str">
            <v>balance</v>
          </cell>
          <cell r="L799" t="str">
            <v>バランスタイプ</v>
          </cell>
          <cell r="M799" t="str">
            <v>human</v>
          </cell>
        </row>
        <row r="800">
          <cell r="A800">
            <v>799</v>
          </cell>
          <cell r="B800" t="str">
            <v>ja</v>
          </cell>
          <cell r="C800" t="str">
            <v>電讃の魔機 チューリング</v>
          </cell>
          <cell r="D800" t="str">
            <v>各属性相性良3・黄・R417</v>
          </cell>
          <cell r="E800" t="str">
            <v>執行者</v>
          </cell>
          <cell r="F800" t="str">
            <v>格好いい</v>
          </cell>
          <cell r="G800" t="str">
            <v>男性</v>
          </cell>
          <cell r="H800" t="str">
            <v>green</v>
          </cell>
          <cell r="I800">
            <v>6</v>
          </cell>
          <cell r="J800" t="str">
            <v>PremiumSSS</v>
          </cell>
          <cell r="K800" t="str">
            <v>hp</v>
          </cell>
          <cell r="L800" t="str">
            <v>体力タイプ</v>
          </cell>
          <cell r="M800" t="str">
            <v>human</v>
          </cell>
        </row>
        <row r="801">
          <cell r="A801">
            <v>800</v>
          </cell>
          <cell r="B801" t="str">
            <v>ja</v>
          </cell>
          <cell r="C801" t="str">
            <v>蒼穹包む命題 ヘンペル</v>
          </cell>
          <cell r="D801" t="str">
            <v>各属性相性良3・黄・R418</v>
          </cell>
          <cell r="E801" t="str">
            <v>執行者</v>
          </cell>
          <cell r="F801" t="str">
            <v>格好いい</v>
          </cell>
          <cell r="G801" t="str">
            <v>男性</v>
          </cell>
          <cell r="H801" t="str">
            <v>blue</v>
          </cell>
          <cell r="I801">
            <v>6</v>
          </cell>
          <cell r="J801" t="str">
            <v>PremiumSSS</v>
          </cell>
          <cell r="K801" t="str">
            <v>technical</v>
          </cell>
          <cell r="L801" t="str">
            <v>テクニカルタイプ</v>
          </cell>
          <cell r="M801" t="str">
            <v>human</v>
          </cell>
        </row>
        <row r="802">
          <cell r="A802">
            <v>801</v>
          </cell>
          <cell r="B802" t="str">
            <v>ja</v>
          </cell>
          <cell r="C802" t="str">
            <v>覚世の大機神 オーディン</v>
          </cell>
          <cell r="D802" t="str">
            <v>各属性相性良3・黄・R419</v>
          </cell>
          <cell r="E802" t="str">
            <v>執行者</v>
          </cell>
          <cell r="F802" t="str">
            <v>格好いい</v>
          </cell>
          <cell r="G802" t="str">
            <v>男性</v>
          </cell>
          <cell r="H802" t="str">
            <v>blue</v>
          </cell>
          <cell r="I802">
            <v>6</v>
          </cell>
          <cell r="J802" t="str">
            <v>DropWizSS</v>
          </cell>
          <cell r="K802" t="str">
            <v>hp</v>
          </cell>
          <cell r="L802" t="str">
            <v>体力タイプ</v>
          </cell>
          <cell r="M802" t="str">
            <v>machine</v>
          </cell>
        </row>
        <row r="803">
          <cell r="A803">
            <v>802</v>
          </cell>
          <cell r="B803" t="str">
            <v>ja</v>
          </cell>
          <cell r="C803" t="str">
            <v>四聖結終の超獣 麒麟</v>
          </cell>
          <cell r="D803" t="str">
            <v>各属性相性良3・黄・R420</v>
          </cell>
          <cell r="E803" t="str">
            <v>執行者</v>
          </cell>
          <cell r="F803" t="str">
            <v>格好いい</v>
          </cell>
          <cell r="G803" t="str">
            <v>男性</v>
          </cell>
          <cell r="H803" t="str">
            <v>yellow</v>
          </cell>
          <cell r="I803">
            <v>6</v>
          </cell>
          <cell r="J803" t="str">
            <v>DropWizSS</v>
          </cell>
          <cell r="K803" t="str">
            <v>balance</v>
          </cell>
          <cell r="L803" t="str">
            <v>バランスタイプ</v>
          </cell>
          <cell r="M803" t="str">
            <v>god</v>
          </cell>
        </row>
        <row r="804">
          <cell r="A804">
            <v>803</v>
          </cell>
          <cell r="B804" t="str">
            <v>ja</v>
          </cell>
          <cell r="C804" t="str">
            <v>大宇宙の膨超 ハップル</v>
          </cell>
          <cell r="D804" t="str">
            <v>各属性相性良3・黄・R421</v>
          </cell>
          <cell r="E804" t="str">
            <v>執行者</v>
          </cell>
          <cell r="F804" t="str">
            <v>格好いい</v>
          </cell>
          <cell r="G804" t="str">
            <v>男性</v>
          </cell>
          <cell r="H804" t="str">
            <v>yellow</v>
          </cell>
          <cell r="I804">
            <v>6</v>
          </cell>
          <cell r="J804" t="str">
            <v>PremiumSSS</v>
          </cell>
          <cell r="K804" t="str">
            <v>technical</v>
          </cell>
          <cell r="L804" t="str">
            <v>テクニカルタイプ</v>
          </cell>
          <cell r="M804" t="str">
            <v>human</v>
          </cell>
        </row>
        <row r="805">
          <cell r="A805">
            <v>804</v>
          </cell>
          <cell r="B805" t="str">
            <v>ja</v>
          </cell>
          <cell r="C805" t="str">
            <v>豪電の守護芯 ファラデー</v>
          </cell>
          <cell r="D805" t="str">
            <v>各属性相性良3・黄・R422</v>
          </cell>
          <cell r="E805" t="str">
            <v>執行者</v>
          </cell>
          <cell r="F805" t="str">
            <v>格好いい</v>
          </cell>
          <cell r="G805" t="str">
            <v>男性</v>
          </cell>
          <cell r="H805" t="str">
            <v>yellow</v>
          </cell>
          <cell r="I805">
            <v>6</v>
          </cell>
          <cell r="J805" t="str">
            <v>PremiumSSS</v>
          </cell>
          <cell r="K805" t="str">
            <v>balance</v>
          </cell>
          <cell r="L805" t="str">
            <v>バランスタイプ</v>
          </cell>
          <cell r="M805" t="str">
            <v>human</v>
          </cell>
        </row>
        <row r="806">
          <cell r="A806">
            <v>805</v>
          </cell>
          <cell r="B806" t="str">
            <v>ja</v>
          </cell>
          <cell r="C806" t="str">
            <v>熱環の大逆聖 ベリアル</v>
          </cell>
          <cell r="D806" t="str">
            <v>各属性相性良3・黄・R423</v>
          </cell>
          <cell r="E806" t="str">
            <v>執行者</v>
          </cell>
          <cell r="F806" t="str">
            <v>格好いい</v>
          </cell>
          <cell r="G806" t="str">
            <v>男性</v>
          </cell>
          <cell r="H806" t="str">
            <v>red</v>
          </cell>
          <cell r="I806">
            <v>6</v>
          </cell>
          <cell r="J806" t="str">
            <v>PremiumS</v>
          </cell>
          <cell r="K806" t="str">
            <v>attack</v>
          </cell>
          <cell r="L806" t="str">
            <v>攻撃タイプ</v>
          </cell>
          <cell r="M806" t="str">
            <v>god</v>
          </cell>
        </row>
        <row r="807">
          <cell r="A807">
            <v>806</v>
          </cell>
          <cell r="B807" t="str">
            <v>ja</v>
          </cell>
          <cell r="C807" t="str">
            <v>全解の預智聖 オセ</v>
          </cell>
          <cell r="D807" t="str">
            <v>各属性相性良3・黄・R424</v>
          </cell>
          <cell r="E807" t="str">
            <v>執行者</v>
          </cell>
          <cell r="F807" t="str">
            <v>格好いい</v>
          </cell>
          <cell r="G807" t="str">
            <v>男性</v>
          </cell>
          <cell r="H807" t="str">
            <v>green</v>
          </cell>
          <cell r="I807">
            <v>6</v>
          </cell>
          <cell r="J807" t="str">
            <v>PremiumS</v>
          </cell>
          <cell r="K807" t="str">
            <v>attack</v>
          </cell>
          <cell r="L807" t="str">
            <v>攻撃タイプ</v>
          </cell>
          <cell r="M807" t="str">
            <v>god</v>
          </cell>
        </row>
        <row r="808">
          <cell r="A808">
            <v>807</v>
          </cell>
          <cell r="B808" t="str">
            <v>ja</v>
          </cell>
          <cell r="C808" t="str">
            <v>襲愛の真公爵 フォルネウス</v>
          </cell>
          <cell r="D808" t="str">
            <v>各属性相性良3・黄・R425</v>
          </cell>
          <cell r="E808" t="str">
            <v>執行者</v>
          </cell>
          <cell r="F808" t="str">
            <v>格好いい</v>
          </cell>
          <cell r="G808" t="str">
            <v>男性</v>
          </cell>
          <cell r="H808" t="str">
            <v>blue</v>
          </cell>
          <cell r="I808">
            <v>6</v>
          </cell>
          <cell r="J808" t="str">
            <v>PremiumS</v>
          </cell>
          <cell r="K808" t="str">
            <v>attack</v>
          </cell>
          <cell r="L808" t="str">
            <v>攻撃タイプ</v>
          </cell>
          <cell r="M808" t="str">
            <v>god</v>
          </cell>
        </row>
        <row r="809">
          <cell r="A809">
            <v>808</v>
          </cell>
          <cell r="B809" t="str">
            <v>ja</v>
          </cell>
          <cell r="C809" t="str">
            <v>天地万物の烈神母 イザナミ</v>
          </cell>
          <cell r="D809" t="str">
            <v>各属性相性良3・黄・R426</v>
          </cell>
          <cell r="E809" t="str">
            <v>執行者</v>
          </cell>
          <cell r="F809" t="str">
            <v>格好いい</v>
          </cell>
          <cell r="G809" t="str">
            <v>男性</v>
          </cell>
          <cell r="H809" t="str">
            <v>yellow</v>
          </cell>
          <cell r="I809">
            <v>6</v>
          </cell>
          <cell r="J809" t="str">
            <v>PremiumS</v>
          </cell>
          <cell r="K809" t="str">
            <v>attack</v>
          </cell>
          <cell r="L809" t="str">
            <v>攻撃タイプ</v>
          </cell>
          <cell r="M809" t="str">
            <v>god</v>
          </cell>
        </row>
        <row r="810">
          <cell r="A810">
            <v>809</v>
          </cell>
          <cell r="B810" t="str">
            <v>ja</v>
          </cell>
          <cell r="C810" t="str">
            <v>天然理心の激凛 沖田総司</v>
          </cell>
          <cell r="D810" t="str">
            <v>各属性相性良3・黄・R427</v>
          </cell>
          <cell r="E810" t="str">
            <v>執行者</v>
          </cell>
          <cell r="F810" t="str">
            <v>格好いい</v>
          </cell>
          <cell r="G810" t="str">
            <v>男性</v>
          </cell>
          <cell r="H810" t="str">
            <v>blue</v>
          </cell>
          <cell r="I810">
            <v>6</v>
          </cell>
          <cell r="J810" t="str">
            <v>PremiumSS</v>
          </cell>
          <cell r="K810" t="str">
            <v>balance</v>
          </cell>
          <cell r="L810" t="str">
            <v>バランスタイプ</v>
          </cell>
          <cell r="M810" t="str">
            <v>human</v>
          </cell>
        </row>
        <row r="811">
          <cell r="A811">
            <v>810</v>
          </cell>
          <cell r="B811" t="str">
            <v>ja</v>
          </cell>
          <cell r="C811" t="str">
            <v>君臨大御神 アマテラス</v>
          </cell>
          <cell r="D811" t="str">
            <v>各属性相性良3・黄・R428</v>
          </cell>
          <cell r="E811" t="str">
            <v>執行者</v>
          </cell>
          <cell r="F811" t="str">
            <v>格好いい</v>
          </cell>
          <cell r="G811" t="str">
            <v>男性</v>
          </cell>
          <cell r="H811" t="str">
            <v>red</v>
          </cell>
          <cell r="I811">
            <v>6</v>
          </cell>
          <cell r="J811" t="str">
            <v>DropWizS</v>
          </cell>
          <cell r="K811" t="str">
            <v>attack</v>
          </cell>
          <cell r="L811" t="str">
            <v>攻撃タイプ</v>
          </cell>
          <cell r="M811" t="str">
            <v>god</v>
          </cell>
        </row>
        <row r="812">
          <cell r="A812">
            <v>811</v>
          </cell>
          <cell r="B812" t="str">
            <v>ja</v>
          </cell>
          <cell r="C812" t="str">
            <v>咲き誇る旅航者 親指姫</v>
          </cell>
          <cell r="D812" t="str">
            <v>各属性相性良3・黄・R429</v>
          </cell>
          <cell r="E812" t="str">
            <v>執行者</v>
          </cell>
          <cell r="F812" t="str">
            <v>格好いい</v>
          </cell>
          <cell r="G812" t="str">
            <v>男性</v>
          </cell>
          <cell r="H812" t="str">
            <v>red</v>
          </cell>
          <cell r="I812">
            <v>6</v>
          </cell>
          <cell r="J812" t="str">
            <v>PremiumSS</v>
          </cell>
          <cell r="K812" t="str">
            <v>heal</v>
          </cell>
          <cell r="L812" t="str">
            <v>回復タイプ</v>
          </cell>
          <cell r="M812" t="str">
            <v>human</v>
          </cell>
        </row>
        <row r="813">
          <cell r="A813">
            <v>812</v>
          </cell>
          <cell r="B813" t="str">
            <v>ja</v>
          </cell>
          <cell r="C813" t="str">
            <v>凶膨なる殲滅 アザゼル</v>
          </cell>
          <cell r="D813" t="str">
            <v>各属性相性良3・黄・R430</v>
          </cell>
          <cell r="E813" t="str">
            <v>執行者</v>
          </cell>
          <cell r="F813" t="str">
            <v>格好いい</v>
          </cell>
          <cell r="G813" t="str">
            <v>男性</v>
          </cell>
          <cell r="H813" t="str">
            <v>green</v>
          </cell>
          <cell r="I813">
            <v>6</v>
          </cell>
          <cell r="J813" t="str">
            <v>DropWizS</v>
          </cell>
          <cell r="K813" t="str">
            <v>technical</v>
          </cell>
          <cell r="L813" t="str">
            <v>テクニカルタイプ</v>
          </cell>
          <cell r="M813" t="str">
            <v>god</v>
          </cell>
        </row>
        <row r="814">
          <cell r="A814">
            <v>813</v>
          </cell>
          <cell r="B814" t="str">
            <v>ja</v>
          </cell>
          <cell r="C814" t="str">
            <v>絆の大冒険 ヘンゼル＆グレーテル</v>
          </cell>
          <cell r="D814" t="str">
            <v>各属性相性良3・黄・R431</v>
          </cell>
          <cell r="E814" t="str">
            <v>執行者</v>
          </cell>
          <cell r="F814" t="str">
            <v>格好いい</v>
          </cell>
          <cell r="G814" t="str">
            <v>男性</v>
          </cell>
          <cell r="H814" t="str">
            <v>yellow</v>
          </cell>
          <cell r="I814">
            <v>6</v>
          </cell>
          <cell r="J814" t="str">
            <v>PremiumSS</v>
          </cell>
          <cell r="K814" t="str">
            <v>balance</v>
          </cell>
          <cell r="L814" t="str">
            <v>バランスタイプ</v>
          </cell>
          <cell r="M814" t="str">
            <v>human</v>
          </cell>
        </row>
        <row r="815">
          <cell r="A815">
            <v>814</v>
          </cell>
          <cell r="B815" t="str">
            <v>ja</v>
          </cell>
          <cell r="C815" t="str">
            <v>戦場疾駆の鋼蹄 ジャンヌ</v>
          </cell>
          <cell r="D815" t="str">
            <v>各属性相性良3・黄・R432</v>
          </cell>
          <cell r="E815" t="str">
            <v>執行者</v>
          </cell>
          <cell r="F815" t="str">
            <v>格好いい</v>
          </cell>
          <cell r="G815" t="str">
            <v>男性</v>
          </cell>
          <cell r="H815" t="str">
            <v>blue</v>
          </cell>
          <cell r="I815">
            <v>6</v>
          </cell>
          <cell r="J815" t="str">
            <v>DropWizS</v>
          </cell>
          <cell r="K815" t="str">
            <v>heal</v>
          </cell>
          <cell r="L815" t="str">
            <v>回復タイプ</v>
          </cell>
          <cell r="M815" t="str">
            <v>human</v>
          </cell>
        </row>
        <row r="816">
          <cell r="A816">
            <v>815</v>
          </cell>
          <cell r="B816" t="str">
            <v>ja</v>
          </cell>
          <cell r="C816" t="str">
            <v>解砲の鴉眼 八咫烏</v>
          </cell>
          <cell r="D816" t="str">
            <v>各属性相性良3・黄・R433</v>
          </cell>
          <cell r="E816" t="str">
            <v>執行者</v>
          </cell>
          <cell r="F816" t="str">
            <v>格好いい</v>
          </cell>
          <cell r="G816" t="str">
            <v>男性</v>
          </cell>
          <cell r="H816" t="str">
            <v>green</v>
          </cell>
          <cell r="I816">
            <v>6</v>
          </cell>
          <cell r="J816" t="str">
            <v>PremiumSS</v>
          </cell>
          <cell r="K816" t="str">
            <v>balance</v>
          </cell>
          <cell r="L816" t="str">
            <v>バランスタイプ</v>
          </cell>
          <cell r="M816" t="str">
            <v>animal</v>
          </cell>
        </row>
        <row r="817">
          <cell r="A817">
            <v>816</v>
          </cell>
          <cell r="B817" t="str">
            <v>ja</v>
          </cell>
          <cell r="C817" t="str">
            <v>極・二天一流 宮本武蔵</v>
          </cell>
          <cell r="D817" t="str">
            <v>各属性相性良3・黄・R434</v>
          </cell>
          <cell r="E817" t="str">
            <v>執行者</v>
          </cell>
          <cell r="F817" t="str">
            <v>格好いい</v>
          </cell>
          <cell r="G817" t="str">
            <v>男性</v>
          </cell>
          <cell r="H817" t="str">
            <v>yellow</v>
          </cell>
          <cell r="I817">
            <v>6</v>
          </cell>
          <cell r="J817" t="str">
            <v>DropWizS</v>
          </cell>
          <cell r="K817" t="str">
            <v>attack</v>
          </cell>
          <cell r="L817" t="str">
            <v>攻撃タイプ</v>
          </cell>
          <cell r="M817" t="str">
            <v>human</v>
          </cell>
        </row>
        <row r="818">
          <cell r="A818">
            <v>817</v>
          </cell>
          <cell r="B818" t="str">
            <v>ja</v>
          </cell>
          <cell r="C818" t="str">
            <v>決戦の抗弾 D.R.T.H.</v>
          </cell>
          <cell r="D818" t="str">
            <v>各属性相性良3・黄・R435</v>
          </cell>
          <cell r="E818" t="str">
            <v>執行者</v>
          </cell>
          <cell r="F818" t="str">
            <v>格好いい</v>
          </cell>
          <cell r="G818" t="str">
            <v>男性</v>
          </cell>
          <cell r="H818" t="str">
            <v>red</v>
          </cell>
          <cell r="I818">
            <v>6</v>
          </cell>
          <cell r="J818" t="str">
            <v>PremiumSS</v>
          </cell>
          <cell r="K818" t="str">
            <v>balance</v>
          </cell>
          <cell r="L818" t="str">
            <v>バランスタイプ</v>
          </cell>
          <cell r="M818" t="str">
            <v>human</v>
          </cell>
        </row>
        <row r="819">
          <cell r="A819">
            <v>818</v>
          </cell>
          <cell r="B819" t="str">
            <v>ja</v>
          </cell>
          <cell r="C819" t="str">
            <v>虚空を飾る大輪 オズ</v>
          </cell>
          <cell r="D819" t="str">
            <v>各属性相性良3・黄・R436</v>
          </cell>
          <cell r="E819" t="str">
            <v>執行者</v>
          </cell>
          <cell r="F819" t="str">
            <v>格好いい</v>
          </cell>
          <cell r="G819" t="str">
            <v>男性</v>
          </cell>
          <cell r="H819" t="str">
            <v>green</v>
          </cell>
          <cell r="I819">
            <v>6</v>
          </cell>
          <cell r="J819" t="str">
            <v>DropWizS</v>
          </cell>
          <cell r="K819" t="str">
            <v>technical</v>
          </cell>
          <cell r="L819" t="str">
            <v>テクニカルタイプ</v>
          </cell>
          <cell r="M819" t="str">
            <v>human</v>
          </cell>
        </row>
        <row r="820">
          <cell r="A820">
            <v>819</v>
          </cell>
          <cell r="B820" t="str">
            <v>ja</v>
          </cell>
          <cell r="C820" t="str">
            <v>讐命の我突 モルドレッド</v>
          </cell>
          <cell r="D820" t="str">
            <v>各属性相性良3・黄・R437</v>
          </cell>
          <cell r="E820" t="str">
            <v>執行者</v>
          </cell>
          <cell r="F820" t="str">
            <v>格好いい</v>
          </cell>
          <cell r="G820" t="str">
            <v>男性</v>
          </cell>
          <cell r="H820" t="str">
            <v>blue</v>
          </cell>
          <cell r="I820">
            <v>6</v>
          </cell>
          <cell r="J820" t="str">
            <v>PremiumSS</v>
          </cell>
          <cell r="K820" t="str">
            <v>technical</v>
          </cell>
          <cell r="L820" t="str">
            <v>テクニカルタイプ</v>
          </cell>
          <cell r="M820" t="str">
            <v>human</v>
          </cell>
        </row>
        <row r="821">
          <cell r="A821">
            <v>820</v>
          </cell>
          <cell r="B821" t="str">
            <v>ja</v>
          </cell>
          <cell r="C821" t="str">
            <v>凶心者の聖儀 アーサー</v>
          </cell>
          <cell r="D821" t="str">
            <v>各属性相性良3・黄・R438</v>
          </cell>
          <cell r="E821" t="str">
            <v>執行者</v>
          </cell>
          <cell r="F821" t="str">
            <v>格好いい</v>
          </cell>
          <cell r="G821" t="str">
            <v>男性</v>
          </cell>
          <cell r="H821" t="str">
            <v>red</v>
          </cell>
          <cell r="I821">
            <v>6</v>
          </cell>
          <cell r="J821" t="str">
            <v>DropWizS</v>
          </cell>
          <cell r="K821" t="str">
            <v>balance</v>
          </cell>
          <cell r="L821" t="str">
            <v>バランスタイプ</v>
          </cell>
          <cell r="M821" t="str">
            <v>human</v>
          </cell>
        </row>
        <row r="822">
          <cell r="A822">
            <v>821</v>
          </cell>
          <cell r="B822" t="str">
            <v>ja</v>
          </cell>
          <cell r="C822" t="str">
            <v>急蹴の硬機脚 ブートレグ・ペロー</v>
          </cell>
          <cell r="D822" t="str">
            <v>各属性相性良3・黄・R439</v>
          </cell>
          <cell r="E822" t="str">
            <v>執行者</v>
          </cell>
          <cell r="F822" t="str">
            <v>格好いい</v>
          </cell>
          <cell r="G822" t="str">
            <v>男性</v>
          </cell>
          <cell r="H822" t="str">
            <v>red</v>
          </cell>
          <cell r="I822">
            <v>6</v>
          </cell>
          <cell r="J822" t="str">
            <v>PremiumSS</v>
          </cell>
          <cell r="K822" t="str">
            <v>hp</v>
          </cell>
          <cell r="L822" t="str">
            <v>体力タイプ</v>
          </cell>
          <cell r="M822" t="str">
            <v>animal</v>
          </cell>
        </row>
        <row r="823">
          <cell r="A823">
            <v>822</v>
          </cell>
          <cell r="B823" t="str">
            <v>ja</v>
          </cell>
          <cell r="C823" t="str">
            <v>操魂の蒐集家 グリム</v>
          </cell>
          <cell r="D823" t="str">
            <v>各属性相性良3・黄・R440</v>
          </cell>
          <cell r="E823" t="str">
            <v>執行者</v>
          </cell>
          <cell r="F823" t="str">
            <v>格好いい</v>
          </cell>
          <cell r="G823" t="str">
            <v>男性</v>
          </cell>
          <cell r="H823" t="str">
            <v>green</v>
          </cell>
          <cell r="I823">
            <v>6</v>
          </cell>
          <cell r="J823" t="str">
            <v>DropWizS</v>
          </cell>
          <cell r="K823" t="str">
            <v>balance</v>
          </cell>
          <cell r="L823" t="str">
            <v>バランスタイプ</v>
          </cell>
          <cell r="M823" t="str">
            <v>human</v>
          </cell>
        </row>
        <row r="824">
          <cell r="A824">
            <v>823</v>
          </cell>
          <cell r="B824" t="str">
            <v>ja</v>
          </cell>
          <cell r="C824" t="str">
            <v>跳鼠の睡奏楽 ハーメルン</v>
          </cell>
          <cell r="D824" t="str">
            <v>各属性相性良3・黄・R441</v>
          </cell>
          <cell r="E824" t="str">
            <v>執行者</v>
          </cell>
          <cell r="F824" t="str">
            <v>格好いい</v>
          </cell>
          <cell r="G824" t="str">
            <v>男性</v>
          </cell>
          <cell r="H824" t="str">
            <v>green</v>
          </cell>
          <cell r="I824">
            <v>6</v>
          </cell>
          <cell r="J824" t="str">
            <v>PremiumSS</v>
          </cell>
          <cell r="K824" t="str">
            <v>technical</v>
          </cell>
          <cell r="L824" t="str">
            <v>テクニカルタイプ</v>
          </cell>
          <cell r="M824" t="str">
            <v>human</v>
          </cell>
        </row>
        <row r="825">
          <cell r="A825">
            <v>824</v>
          </cell>
          <cell r="B825" t="str">
            <v>ja</v>
          </cell>
          <cell r="C825" t="str">
            <v>悪意の団塊  Gスター・チルドレン</v>
          </cell>
          <cell r="D825" t="str">
            <v>各属性相性良3・黄・R442</v>
          </cell>
          <cell r="E825" t="str">
            <v>執行者</v>
          </cell>
          <cell r="F825" t="str">
            <v>格好いい</v>
          </cell>
          <cell r="G825" t="str">
            <v>男性</v>
          </cell>
          <cell r="H825" t="str">
            <v>yellow</v>
          </cell>
          <cell r="I825">
            <v>6</v>
          </cell>
          <cell r="J825" t="str">
            <v>DropWizS</v>
          </cell>
          <cell r="K825" t="str">
            <v>hp</v>
          </cell>
          <cell r="L825" t="str">
            <v>体力タイプ</v>
          </cell>
          <cell r="M825" t="str">
            <v>unknown</v>
          </cell>
        </row>
        <row r="826">
          <cell r="A826">
            <v>825</v>
          </cell>
          <cell r="B826" t="str">
            <v>ja</v>
          </cell>
          <cell r="C826" t="str">
            <v>彩愛なる豊穣妃神 フレイヤ</v>
          </cell>
          <cell r="D826" t="str">
            <v>各属性相性良3・黄・R443</v>
          </cell>
          <cell r="E826" t="str">
            <v>執行者</v>
          </cell>
          <cell r="F826" t="str">
            <v>格好いい</v>
          </cell>
          <cell r="G826" t="str">
            <v>男性</v>
          </cell>
          <cell r="H826" t="str">
            <v>blue</v>
          </cell>
          <cell r="I826">
            <v>6</v>
          </cell>
          <cell r="J826" t="str">
            <v>PremiumSS</v>
          </cell>
          <cell r="K826" t="str">
            <v>heal</v>
          </cell>
          <cell r="L826" t="str">
            <v>回復タイプ</v>
          </cell>
          <cell r="M826" t="str">
            <v>animal</v>
          </cell>
        </row>
        <row r="827">
          <cell r="A827">
            <v>826</v>
          </cell>
          <cell r="B827" t="str">
            <v>ja</v>
          </cell>
          <cell r="C827" t="str">
            <v>崇紅なる豊穣皇神 フレイ</v>
          </cell>
          <cell r="D827" t="str">
            <v>各属性相性良3・黄・R444</v>
          </cell>
          <cell r="E827" t="str">
            <v>執行者</v>
          </cell>
          <cell r="F827" t="str">
            <v>格好いい</v>
          </cell>
          <cell r="G827" t="str">
            <v>男性</v>
          </cell>
          <cell r="H827" t="str">
            <v>red</v>
          </cell>
          <cell r="I827">
            <v>6</v>
          </cell>
          <cell r="J827" t="str">
            <v>DropWizS</v>
          </cell>
          <cell r="K827" t="str">
            <v>attack</v>
          </cell>
          <cell r="L827" t="str">
            <v>攻撃タイプ</v>
          </cell>
          <cell r="M827" t="str">
            <v>animal</v>
          </cell>
        </row>
        <row r="828">
          <cell r="A828">
            <v>827</v>
          </cell>
          <cell r="B828" t="str">
            <v>ja</v>
          </cell>
          <cell r="C828" t="str">
            <v>光神しき彩雲龍 アルフヘイム</v>
          </cell>
          <cell r="D828" t="str">
            <v>各属性相性良3・黄・R445</v>
          </cell>
          <cell r="E828" t="str">
            <v>執行者</v>
          </cell>
          <cell r="F828" t="str">
            <v>格好いい</v>
          </cell>
          <cell r="G828" t="str">
            <v>男性</v>
          </cell>
          <cell r="H828" t="str">
            <v>yellow</v>
          </cell>
          <cell r="I828">
            <v>6</v>
          </cell>
          <cell r="J828" t="str">
            <v>PremiumSS</v>
          </cell>
          <cell r="K828" t="str">
            <v>attack</v>
          </cell>
          <cell r="L828" t="str">
            <v>攻撃タイプ</v>
          </cell>
          <cell r="M828" t="str">
            <v>dragon</v>
          </cell>
        </row>
        <row r="829">
          <cell r="A829">
            <v>828</v>
          </cell>
          <cell r="B829" t="str">
            <v>ja</v>
          </cell>
          <cell r="C829" t="str">
            <v>双究の覇翼 フギンとムニン</v>
          </cell>
          <cell r="D829" t="str">
            <v>各属性相性良3・黄・R446</v>
          </cell>
          <cell r="E829" t="str">
            <v>執行者</v>
          </cell>
          <cell r="F829" t="str">
            <v>格好いい</v>
          </cell>
          <cell r="G829" t="str">
            <v>男性</v>
          </cell>
          <cell r="H829" t="str">
            <v>blue</v>
          </cell>
          <cell r="I829">
            <v>6</v>
          </cell>
          <cell r="J829" t="str">
            <v>DropWizS</v>
          </cell>
          <cell r="K829" t="str">
            <v>technical</v>
          </cell>
          <cell r="L829" t="str">
            <v>テクニカルタイプ</v>
          </cell>
          <cell r="M829" t="str">
            <v>machine</v>
          </cell>
        </row>
        <row r="830">
          <cell r="A830">
            <v>829</v>
          </cell>
          <cell r="B830" t="str">
            <v>ja</v>
          </cell>
          <cell r="C830" t="str">
            <v>銃刃乱舞の怪猫 クルミ</v>
          </cell>
          <cell r="D830" t="str">
            <v>各属性相性良3・黄・R447</v>
          </cell>
          <cell r="E830" t="str">
            <v>執行者</v>
          </cell>
          <cell r="F830" t="str">
            <v>格好いい</v>
          </cell>
          <cell r="G830" t="str">
            <v>男性</v>
          </cell>
          <cell r="H830" t="str">
            <v>red</v>
          </cell>
          <cell r="I830">
            <v>6</v>
          </cell>
          <cell r="J830" t="str">
            <v>PremiumSS</v>
          </cell>
          <cell r="K830" t="str">
            <v>attack</v>
          </cell>
          <cell r="L830" t="str">
            <v>攻撃タイプ</v>
          </cell>
          <cell r="M830" t="str">
            <v>unknown</v>
          </cell>
        </row>
        <row r="831">
          <cell r="A831">
            <v>830</v>
          </cell>
          <cell r="B831" t="str">
            <v>ja</v>
          </cell>
          <cell r="C831" t="str">
            <v>清兆の天狗礫 フウガ</v>
          </cell>
          <cell r="D831" t="str">
            <v>各属性相性良3・黄・R448</v>
          </cell>
          <cell r="E831" t="str">
            <v>執行者</v>
          </cell>
          <cell r="F831" t="str">
            <v>格好いい</v>
          </cell>
          <cell r="G831" t="str">
            <v>男性</v>
          </cell>
          <cell r="H831" t="str">
            <v>green</v>
          </cell>
          <cell r="I831">
            <v>6</v>
          </cell>
          <cell r="J831" t="str">
            <v>PremiumSS</v>
          </cell>
          <cell r="K831" t="str">
            <v>balance</v>
          </cell>
          <cell r="L831" t="str">
            <v>バランスタイプ</v>
          </cell>
          <cell r="M831" t="str">
            <v>unknown</v>
          </cell>
        </row>
        <row r="832">
          <cell r="A832">
            <v>831</v>
          </cell>
          <cell r="B832" t="str">
            <v>ja</v>
          </cell>
          <cell r="C832" t="str">
            <v>万鬼乱襲の大創帥 ショウキ</v>
          </cell>
          <cell r="D832" t="str">
            <v>各属性相性良3・黄・R449</v>
          </cell>
          <cell r="E832" t="str">
            <v>執行者</v>
          </cell>
          <cell r="F832" t="str">
            <v>格好いい</v>
          </cell>
          <cell r="G832" t="str">
            <v>男性</v>
          </cell>
          <cell r="H832" t="str">
            <v>green</v>
          </cell>
          <cell r="I832">
            <v>6</v>
          </cell>
          <cell r="J832" t="str">
            <v>DropWizS</v>
          </cell>
          <cell r="K832" t="str">
            <v>technical</v>
          </cell>
          <cell r="L832" t="str">
            <v>テクニカルタイプ</v>
          </cell>
          <cell r="M832" t="str">
            <v>human</v>
          </cell>
        </row>
        <row r="833">
          <cell r="A833">
            <v>832</v>
          </cell>
          <cell r="B833" t="str">
            <v>ja</v>
          </cell>
          <cell r="C833" t="str">
            <v>狂花吹雪く旋獄鬼神 ヨミ</v>
          </cell>
          <cell r="D833" t="str">
            <v>各属性相性良3・黄・R450</v>
          </cell>
          <cell r="E833" t="str">
            <v>執行者</v>
          </cell>
          <cell r="F833" t="str">
            <v>格好いい</v>
          </cell>
          <cell r="G833" t="str">
            <v>男性</v>
          </cell>
          <cell r="H833" t="str">
            <v>yellow</v>
          </cell>
          <cell r="I833">
            <v>6</v>
          </cell>
          <cell r="J833" t="str">
            <v>DropWizS</v>
          </cell>
          <cell r="K833" t="str">
            <v>attack</v>
          </cell>
          <cell r="L833" t="str">
            <v>攻撃タイプ</v>
          </cell>
          <cell r="M833" t="str">
            <v>god</v>
          </cell>
        </row>
        <row r="834">
          <cell r="A834">
            <v>833</v>
          </cell>
          <cell r="B834" t="str">
            <v>ja</v>
          </cell>
          <cell r="C834" t="str">
            <v>維界の復世神 ヴィシュヌ</v>
          </cell>
          <cell r="D834" t="str">
            <v>各属性相性良3・黄・R451</v>
          </cell>
          <cell r="E834" t="str">
            <v>執行者</v>
          </cell>
          <cell r="F834" t="str">
            <v>格好いい</v>
          </cell>
          <cell r="G834" t="str">
            <v>男性</v>
          </cell>
          <cell r="H834" t="str">
            <v>yellow</v>
          </cell>
          <cell r="I834">
            <v>6</v>
          </cell>
          <cell r="J834" t="str">
            <v>PremiumSS</v>
          </cell>
          <cell r="K834" t="str">
            <v>attack</v>
          </cell>
          <cell r="L834" t="str">
            <v>攻撃タイプ</v>
          </cell>
          <cell r="M834" t="str">
            <v>god</v>
          </cell>
        </row>
        <row r="835">
          <cell r="A835">
            <v>834</v>
          </cell>
          <cell r="B835" t="str">
            <v>ja</v>
          </cell>
          <cell r="C835" t="str">
            <v>破界する裁滅神 シヴァ</v>
          </cell>
          <cell r="D835" t="str">
            <v>各属性相性良3・黄・R452</v>
          </cell>
          <cell r="E835" t="str">
            <v>執行者</v>
          </cell>
          <cell r="F835" t="str">
            <v>格好いい</v>
          </cell>
          <cell r="G835" t="str">
            <v>男性</v>
          </cell>
          <cell r="H835" t="str">
            <v>blue</v>
          </cell>
          <cell r="I835">
            <v>6</v>
          </cell>
          <cell r="J835" t="str">
            <v>DropWizS</v>
          </cell>
          <cell r="K835" t="str">
            <v>balance</v>
          </cell>
          <cell r="L835" t="str">
            <v>バランスタイプ</v>
          </cell>
          <cell r="M835" t="str">
            <v>god</v>
          </cell>
        </row>
        <row r="836">
          <cell r="A836">
            <v>835</v>
          </cell>
          <cell r="B836" t="str">
            <v>ja</v>
          </cell>
          <cell r="C836" t="str">
            <v>流奏の鳳楽神 サラスヴァティ</v>
          </cell>
          <cell r="D836" t="str">
            <v>各属性相性良3・黄・R453</v>
          </cell>
          <cell r="E836" t="str">
            <v>執行者</v>
          </cell>
          <cell r="F836" t="str">
            <v>格好いい</v>
          </cell>
          <cell r="G836" t="str">
            <v>男性</v>
          </cell>
          <cell r="H836" t="str">
            <v>blue</v>
          </cell>
          <cell r="I836">
            <v>6</v>
          </cell>
          <cell r="J836" t="str">
            <v>PremiumSS</v>
          </cell>
          <cell r="K836" t="str">
            <v>balance</v>
          </cell>
          <cell r="L836" t="str">
            <v>バランスタイプ</v>
          </cell>
          <cell r="M836" t="str">
            <v>god</v>
          </cell>
        </row>
        <row r="837">
          <cell r="A837">
            <v>836</v>
          </cell>
          <cell r="B837" t="str">
            <v>ja</v>
          </cell>
          <cell r="C837" t="str">
            <v>射愛の恋華天神 カーマ</v>
          </cell>
          <cell r="D837" t="str">
            <v>各属性相性良3・黄・R454</v>
          </cell>
          <cell r="E837" t="str">
            <v>執行者</v>
          </cell>
          <cell r="F837" t="str">
            <v>格好いい</v>
          </cell>
          <cell r="G837" t="str">
            <v>男性</v>
          </cell>
          <cell r="H837" t="str">
            <v>red</v>
          </cell>
          <cell r="I837">
            <v>6</v>
          </cell>
          <cell r="J837" t="str">
            <v>DropWizS</v>
          </cell>
          <cell r="K837" t="str">
            <v>balance</v>
          </cell>
          <cell r="L837" t="str">
            <v>バランスタイプ</v>
          </cell>
          <cell r="M837" t="str">
            <v>god</v>
          </cell>
        </row>
        <row r="838">
          <cell r="A838">
            <v>837</v>
          </cell>
          <cell r="B838" t="str">
            <v>ja</v>
          </cell>
          <cell r="C838" t="str">
            <v>リトルハンプティ</v>
          </cell>
          <cell r="D838" t="str">
            <v>各属性相性良3・黄・R455</v>
          </cell>
          <cell r="E838" t="str">
            <v>執行者</v>
          </cell>
          <cell r="F838" t="str">
            <v>格好いい</v>
          </cell>
          <cell r="G838" t="str">
            <v>男性</v>
          </cell>
          <cell r="H838" t="str">
            <v>yellow</v>
          </cell>
          <cell r="I838">
            <v>6</v>
          </cell>
          <cell r="J838" t="str">
            <v>Material</v>
          </cell>
          <cell r="K838" t="str">
            <v>evolution</v>
          </cell>
          <cell r="L838" t="str">
            <v>覚醒素材タイプ</v>
          </cell>
          <cell r="M838" t="str">
            <v>unknown</v>
          </cell>
        </row>
        <row r="839">
          <cell r="A839">
            <v>838</v>
          </cell>
          <cell r="B839" t="str">
            <v>ja</v>
          </cell>
          <cell r="C839" t="str">
            <v>巌鋼の爆烈志士 近藤勇</v>
          </cell>
          <cell r="D839" t="str">
            <v>各属性相性良3・黄・R456</v>
          </cell>
          <cell r="E839" t="str">
            <v>執行者</v>
          </cell>
          <cell r="F839" t="str">
            <v>格好いい</v>
          </cell>
          <cell r="G839" t="str">
            <v>男性</v>
          </cell>
          <cell r="H839" t="str">
            <v>red</v>
          </cell>
          <cell r="I839">
            <v>6</v>
          </cell>
          <cell r="J839" t="str">
            <v>PremiumSS</v>
          </cell>
          <cell r="K839" t="str">
            <v>hp</v>
          </cell>
          <cell r="L839" t="str">
            <v>体力タイプ</v>
          </cell>
          <cell r="M839" t="str">
            <v>human</v>
          </cell>
        </row>
        <row r="840">
          <cell r="A840">
            <v>839</v>
          </cell>
          <cell r="B840" t="str">
            <v>ja</v>
          </cell>
          <cell r="C840" t="str">
            <v>真覇の勇魔剣 ランスロット</v>
          </cell>
          <cell r="D840" t="str">
            <v>各属性相性良3・黄・R457</v>
          </cell>
          <cell r="E840" t="str">
            <v>執行者</v>
          </cell>
          <cell r="F840" t="str">
            <v>格好いい</v>
          </cell>
          <cell r="G840" t="str">
            <v>男性</v>
          </cell>
          <cell r="H840" t="str">
            <v>green</v>
          </cell>
          <cell r="I840">
            <v>6</v>
          </cell>
          <cell r="J840" t="str">
            <v>PremiumSS</v>
          </cell>
          <cell r="K840" t="str">
            <v>balance</v>
          </cell>
          <cell r="L840" t="str">
            <v>バランスタイプ</v>
          </cell>
          <cell r="M840" t="str">
            <v>human</v>
          </cell>
        </row>
        <row r="841">
          <cell r="A841">
            <v>840</v>
          </cell>
          <cell r="B841" t="str">
            <v>ja</v>
          </cell>
          <cell r="C841" t="str">
            <v>フェニックス</v>
          </cell>
          <cell r="D841" t="str">
            <v>各属性相性良3・黄・R458</v>
          </cell>
          <cell r="E841" t="str">
            <v>執行者</v>
          </cell>
          <cell r="F841" t="str">
            <v>格好いい</v>
          </cell>
          <cell r="G841" t="str">
            <v>男性</v>
          </cell>
          <cell r="H841" t="str">
            <v>red</v>
          </cell>
          <cell r="I841">
            <v>4</v>
          </cell>
          <cell r="J841" t="str">
            <v>Drop2N</v>
          </cell>
          <cell r="K841" t="str">
            <v>hp</v>
          </cell>
          <cell r="L841" t="str">
            <v>体力タイプ</v>
          </cell>
          <cell r="M841" t="str">
            <v>animal</v>
          </cell>
        </row>
        <row r="842">
          <cell r="A842">
            <v>841</v>
          </cell>
          <cell r="B842" t="str">
            <v>ja</v>
          </cell>
          <cell r="C842" t="str">
            <v>排斥の不死鳥 フェニックス</v>
          </cell>
          <cell r="D842" t="str">
            <v>各属性相性良3・黄・R459</v>
          </cell>
          <cell r="E842" t="str">
            <v>執行者</v>
          </cell>
          <cell r="F842" t="str">
            <v>格好いい</v>
          </cell>
          <cell r="G842" t="str">
            <v>男性</v>
          </cell>
          <cell r="H842" t="str">
            <v>red</v>
          </cell>
          <cell r="I842">
            <v>5</v>
          </cell>
          <cell r="J842" t="str">
            <v>Drop2N</v>
          </cell>
          <cell r="K842" t="str">
            <v>hp</v>
          </cell>
          <cell r="L842" t="str">
            <v>体力タイプ</v>
          </cell>
          <cell r="M842" t="str">
            <v>animal</v>
          </cell>
        </row>
        <row r="843">
          <cell r="A843">
            <v>842</v>
          </cell>
          <cell r="B843" t="str">
            <v>ja</v>
          </cell>
          <cell r="C843" t="str">
            <v>セイレーン</v>
          </cell>
          <cell r="D843" t="str">
            <v>各属性相性良3・黄・R460</v>
          </cell>
          <cell r="E843" t="str">
            <v>執行者</v>
          </cell>
          <cell r="F843" t="str">
            <v>格好いい</v>
          </cell>
          <cell r="G843" t="str">
            <v>男性</v>
          </cell>
          <cell r="H843" t="str">
            <v>blue</v>
          </cell>
          <cell r="I843">
            <v>4</v>
          </cell>
          <cell r="J843" t="str">
            <v>Drop2N</v>
          </cell>
          <cell r="K843" t="str">
            <v>heal</v>
          </cell>
          <cell r="L843" t="str">
            <v>回復タイプ</v>
          </cell>
          <cell r="M843" t="str">
            <v>animal</v>
          </cell>
        </row>
        <row r="844">
          <cell r="A844">
            <v>843</v>
          </cell>
          <cell r="B844" t="str">
            <v>ja</v>
          </cell>
          <cell r="C844" t="str">
            <v>荒れ狂う乱歌 セイレーン</v>
          </cell>
          <cell r="D844" t="str">
            <v>各属性相性良3・黄・R461</v>
          </cell>
          <cell r="E844" t="str">
            <v>執行者</v>
          </cell>
          <cell r="F844" t="str">
            <v>格好いい</v>
          </cell>
          <cell r="G844" t="str">
            <v>男性</v>
          </cell>
          <cell r="H844" t="str">
            <v>blue</v>
          </cell>
          <cell r="I844">
            <v>5</v>
          </cell>
          <cell r="J844" t="str">
            <v>Drop2N</v>
          </cell>
          <cell r="K844" t="str">
            <v>heal</v>
          </cell>
          <cell r="L844" t="str">
            <v>回復タイプ</v>
          </cell>
          <cell r="M844" t="str">
            <v>animal</v>
          </cell>
        </row>
        <row r="845">
          <cell r="A845">
            <v>844</v>
          </cell>
          <cell r="B845" t="str">
            <v>ja</v>
          </cell>
          <cell r="C845" t="str">
            <v>ベルゼブブ</v>
          </cell>
          <cell r="D845" t="str">
            <v>各属性相性良3・黄・R462</v>
          </cell>
          <cell r="E845" t="str">
            <v>執行者</v>
          </cell>
          <cell r="F845" t="str">
            <v>格好いい</v>
          </cell>
          <cell r="G845" t="str">
            <v>男性</v>
          </cell>
          <cell r="H845" t="str">
            <v>green</v>
          </cell>
          <cell r="I845">
            <v>5</v>
          </cell>
          <cell r="J845" t="str">
            <v>DropWizS</v>
          </cell>
          <cell r="K845" t="str">
            <v>technical</v>
          </cell>
          <cell r="L845" t="str">
            <v>テクニカルタイプ</v>
          </cell>
          <cell r="M845" t="str">
            <v>god</v>
          </cell>
        </row>
        <row r="846">
          <cell r="A846">
            <v>845</v>
          </cell>
          <cell r="B846" t="str">
            <v>ja</v>
          </cell>
          <cell r="C846" t="str">
            <v>妖艶なる蝿王 ベルゼブブ</v>
          </cell>
          <cell r="D846" t="str">
            <v>各属性相性良3・黄・R463</v>
          </cell>
          <cell r="E846" t="str">
            <v>執行者</v>
          </cell>
          <cell r="F846" t="str">
            <v>格好いい</v>
          </cell>
          <cell r="G846" t="str">
            <v>男性</v>
          </cell>
          <cell r="H846" t="str">
            <v>green</v>
          </cell>
          <cell r="I846">
            <v>6</v>
          </cell>
          <cell r="J846" t="str">
            <v>DropWizS</v>
          </cell>
          <cell r="K846" t="str">
            <v>technical</v>
          </cell>
          <cell r="L846" t="str">
            <v>テクニカルタイプ</v>
          </cell>
          <cell r="M846" t="str">
            <v>god</v>
          </cell>
        </row>
        <row r="847">
          <cell r="A847">
            <v>846</v>
          </cell>
          <cell r="B847" t="str">
            <v>ja</v>
          </cell>
          <cell r="C847" t="str">
            <v>ルシファー</v>
          </cell>
          <cell r="D847" t="str">
            <v>各属性相性良3・黄・R464</v>
          </cell>
          <cell r="E847" t="str">
            <v>執行者</v>
          </cell>
          <cell r="F847" t="str">
            <v>格好いい</v>
          </cell>
          <cell r="G847" t="str">
            <v>男性</v>
          </cell>
          <cell r="H847" t="str">
            <v>green</v>
          </cell>
          <cell r="I847">
            <v>5</v>
          </cell>
          <cell r="J847" t="str">
            <v>DropWizSS</v>
          </cell>
          <cell r="K847" t="str">
            <v>attack</v>
          </cell>
          <cell r="L847" t="str">
            <v>攻撃タイプ</v>
          </cell>
          <cell r="M847" t="str">
            <v>god</v>
          </cell>
        </row>
        <row r="848">
          <cell r="A848">
            <v>847</v>
          </cell>
          <cell r="B848" t="str">
            <v>ja</v>
          </cell>
          <cell r="C848" t="str">
            <v>傲慢なる堕天史 ルシファー</v>
          </cell>
          <cell r="D848" t="str">
            <v>各属性相性良3・黄・R465</v>
          </cell>
          <cell r="E848" t="str">
            <v>執行者</v>
          </cell>
          <cell r="F848" t="str">
            <v>格好いい</v>
          </cell>
          <cell r="G848" t="str">
            <v>男性</v>
          </cell>
          <cell r="H848" t="str">
            <v>green</v>
          </cell>
          <cell r="I848">
            <v>6</v>
          </cell>
          <cell r="J848" t="str">
            <v>DropWizSS</v>
          </cell>
          <cell r="K848" t="str">
            <v>attack</v>
          </cell>
          <cell r="L848" t="str">
            <v>攻撃タイプ</v>
          </cell>
          <cell r="M848" t="str">
            <v>god</v>
          </cell>
        </row>
        <row r="849">
          <cell r="A849">
            <v>848</v>
          </cell>
          <cell r="B849" t="str">
            <v>ja</v>
          </cell>
          <cell r="C849" t="str">
            <v>メタトロン</v>
          </cell>
          <cell r="D849" t="str">
            <v>各属性相性良3・黄・R466</v>
          </cell>
          <cell r="E849" t="str">
            <v>執行者</v>
          </cell>
          <cell r="F849" t="str">
            <v>格好いい</v>
          </cell>
          <cell r="G849" t="str">
            <v>男性</v>
          </cell>
          <cell r="H849" t="str">
            <v>red</v>
          </cell>
          <cell r="I849">
            <v>5</v>
          </cell>
          <cell r="J849" t="str">
            <v>PremiumSS</v>
          </cell>
          <cell r="K849" t="str">
            <v>balance</v>
          </cell>
          <cell r="L849" t="str">
            <v>バランスタイプ</v>
          </cell>
          <cell r="M849" t="str">
            <v>god</v>
          </cell>
        </row>
        <row r="850">
          <cell r="A850">
            <v>849</v>
          </cell>
          <cell r="B850" t="str">
            <v>ja</v>
          </cell>
          <cell r="C850" t="str">
            <v>燦然たる天使 メタトロン・ラヴァ</v>
          </cell>
          <cell r="D850" t="str">
            <v>各属性相性良3・黄・R467</v>
          </cell>
          <cell r="E850" t="str">
            <v>執行者</v>
          </cell>
          <cell r="F850" t="str">
            <v>格好いい</v>
          </cell>
          <cell r="G850" t="str">
            <v>男性</v>
          </cell>
          <cell r="H850" t="str">
            <v>red</v>
          </cell>
          <cell r="I850">
            <v>6</v>
          </cell>
          <cell r="J850" t="str">
            <v>PremiumSS</v>
          </cell>
          <cell r="K850" t="str">
            <v>balance</v>
          </cell>
          <cell r="L850" t="str">
            <v>バランスタイプ</v>
          </cell>
          <cell r="M850" t="str">
            <v>god</v>
          </cell>
        </row>
        <row r="851">
          <cell r="A851">
            <v>850</v>
          </cell>
          <cell r="B851" t="str">
            <v>ja</v>
          </cell>
          <cell r="C851" t="str">
            <v>バアル</v>
          </cell>
          <cell r="D851" t="str">
            <v>各属性相性良3・黄・R468</v>
          </cell>
          <cell r="E851" t="str">
            <v>執行者</v>
          </cell>
          <cell r="F851" t="str">
            <v>格好いい</v>
          </cell>
          <cell r="G851" t="str">
            <v>男性</v>
          </cell>
          <cell r="H851" t="str">
            <v>green</v>
          </cell>
          <cell r="I851">
            <v>5</v>
          </cell>
          <cell r="J851" t="str">
            <v>PremiumSS</v>
          </cell>
          <cell r="K851" t="str">
            <v>technical</v>
          </cell>
          <cell r="L851" t="str">
            <v>テクニカルタイプ</v>
          </cell>
          <cell r="M851" t="str">
            <v>god</v>
          </cell>
        </row>
        <row r="852">
          <cell r="A852">
            <v>851</v>
          </cell>
          <cell r="B852" t="str">
            <v>ja</v>
          </cell>
          <cell r="C852" t="str">
            <v>寡黙なる凶王 バアル</v>
          </cell>
          <cell r="D852" t="str">
            <v>各属性相性良3・黄・R469</v>
          </cell>
          <cell r="E852" t="str">
            <v>執行者</v>
          </cell>
          <cell r="F852" t="str">
            <v>格好いい</v>
          </cell>
          <cell r="G852" t="str">
            <v>男性</v>
          </cell>
          <cell r="H852" t="str">
            <v>green</v>
          </cell>
          <cell r="I852">
            <v>6</v>
          </cell>
          <cell r="J852" t="str">
            <v>PremiumSS</v>
          </cell>
          <cell r="K852" t="str">
            <v>technical</v>
          </cell>
          <cell r="L852" t="str">
            <v>テクニカルタイプ</v>
          </cell>
          <cell r="M852" t="str">
            <v>god</v>
          </cell>
        </row>
        <row r="853">
          <cell r="A853">
            <v>852</v>
          </cell>
          <cell r="B853" t="str">
            <v>ja</v>
          </cell>
          <cell r="C853" t="str">
            <v>サキエル</v>
          </cell>
          <cell r="D853" t="str">
            <v>各属性相性良3・黄・R470</v>
          </cell>
          <cell r="E853" t="str">
            <v>執行者</v>
          </cell>
          <cell r="F853" t="str">
            <v>格好いい</v>
          </cell>
          <cell r="G853" t="str">
            <v>男性</v>
          </cell>
          <cell r="H853" t="str">
            <v>blue</v>
          </cell>
          <cell r="I853">
            <v>4</v>
          </cell>
          <cell r="J853" t="str">
            <v>PremiumS</v>
          </cell>
          <cell r="K853" t="str">
            <v>hp</v>
          </cell>
          <cell r="L853" t="str">
            <v>体力タイプ</v>
          </cell>
          <cell r="M853" t="str">
            <v>god</v>
          </cell>
        </row>
        <row r="854">
          <cell r="A854">
            <v>853</v>
          </cell>
          <cell r="B854" t="str">
            <v>ja</v>
          </cell>
          <cell r="C854" t="str">
            <v>裂爪の天使 サキエル・ティア</v>
          </cell>
          <cell r="D854" t="str">
            <v>各属性相性良3・黄・R471</v>
          </cell>
          <cell r="E854" t="str">
            <v>執行者</v>
          </cell>
          <cell r="F854" t="str">
            <v>格好いい</v>
          </cell>
          <cell r="G854" t="str">
            <v>男性</v>
          </cell>
          <cell r="H854" t="str">
            <v>blue</v>
          </cell>
          <cell r="I854">
            <v>5</v>
          </cell>
          <cell r="J854" t="str">
            <v>PremiumS</v>
          </cell>
          <cell r="K854" t="str">
            <v>hp</v>
          </cell>
          <cell r="L854" t="str">
            <v>体力タイプ</v>
          </cell>
          <cell r="M854" t="str">
            <v>god</v>
          </cell>
        </row>
        <row r="855">
          <cell r="A855">
            <v>854</v>
          </cell>
          <cell r="B855" t="str">
            <v>ja</v>
          </cell>
          <cell r="C855" t="str">
            <v>フラウロス</v>
          </cell>
          <cell r="D855" t="str">
            <v>各属性相性良3・黄・R472</v>
          </cell>
          <cell r="E855" t="str">
            <v>執行者</v>
          </cell>
          <cell r="F855" t="str">
            <v>格好いい</v>
          </cell>
          <cell r="G855" t="str">
            <v>男性</v>
          </cell>
          <cell r="H855" t="str">
            <v>yellow</v>
          </cell>
          <cell r="I855">
            <v>4</v>
          </cell>
          <cell r="J855" t="str">
            <v>PremiumS</v>
          </cell>
          <cell r="K855" t="str">
            <v>attack</v>
          </cell>
          <cell r="L855" t="str">
            <v>攻撃タイプ</v>
          </cell>
          <cell r="M855" t="str">
            <v>animal</v>
          </cell>
        </row>
        <row r="856">
          <cell r="A856">
            <v>855</v>
          </cell>
          <cell r="B856" t="str">
            <v>ja</v>
          </cell>
          <cell r="C856" t="str">
            <v>豹魔の侠客 フラウロス</v>
          </cell>
          <cell r="D856" t="str">
            <v>各属性相性良3・黄・R473</v>
          </cell>
          <cell r="E856" t="str">
            <v>執行者</v>
          </cell>
          <cell r="F856" t="str">
            <v>格好いい</v>
          </cell>
          <cell r="G856" t="str">
            <v>男性</v>
          </cell>
          <cell r="H856" t="str">
            <v>yellow</v>
          </cell>
          <cell r="I856">
            <v>5</v>
          </cell>
          <cell r="J856" t="str">
            <v>PremiumS</v>
          </cell>
          <cell r="K856" t="str">
            <v>attack</v>
          </cell>
          <cell r="L856" t="str">
            <v>攻撃タイプ</v>
          </cell>
          <cell r="M856" t="str">
            <v>animal</v>
          </cell>
        </row>
        <row r="857">
          <cell r="A857">
            <v>856</v>
          </cell>
          <cell r="B857" t="str">
            <v>ja</v>
          </cell>
          <cell r="C857" t="str">
            <v>リフレクト＆M.I.R.R.O.R.</v>
          </cell>
          <cell r="D857" t="str">
            <v>各属性相性良3・黄・R474</v>
          </cell>
          <cell r="E857" t="str">
            <v>執行者</v>
          </cell>
          <cell r="F857" t="str">
            <v>格好いい</v>
          </cell>
          <cell r="G857" t="str">
            <v>男性</v>
          </cell>
          <cell r="H857" t="str">
            <v>red</v>
          </cell>
          <cell r="I857">
            <v>4</v>
          </cell>
          <cell r="J857" t="str">
            <v>Drop2N</v>
          </cell>
          <cell r="K857" t="str">
            <v>technical</v>
          </cell>
          <cell r="L857" t="str">
            <v>テクニカルタイプ</v>
          </cell>
          <cell r="M857" t="str">
            <v>human</v>
          </cell>
        </row>
        <row r="858">
          <cell r="A858">
            <v>857</v>
          </cell>
          <cell r="B858" t="str">
            <v>ja</v>
          </cell>
          <cell r="C858" t="str">
            <v>嫉心のリフレクト＆M.I.R.R.O.R.</v>
          </cell>
          <cell r="D858" t="str">
            <v>各属性相性良3・黄・R475</v>
          </cell>
          <cell r="E858" t="str">
            <v>執行者</v>
          </cell>
          <cell r="F858" t="str">
            <v>格好いい</v>
          </cell>
          <cell r="G858" t="str">
            <v>男性</v>
          </cell>
          <cell r="H858" t="str">
            <v>red</v>
          </cell>
          <cell r="I858">
            <v>5</v>
          </cell>
          <cell r="J858" t="str">
            <v>Drop2N</v>
          </cell>
          <cell r="K858" t="str">
            <v>technical</v>
          </cell>
          <cell r="L858" t="str">
            <v>テクニカルタイプ</v>
          </cell>
          <cell r="M858" t="str">
            <v>human</v>
          </cell>
        </row>
        <row r="859">
          <cell r="A859">
            <v>858</v>
          </cell>
          <cell r="B859" t="str">
            <v>ja</v>
          </cell>
          <cell r="C859" t="str">
            <v>Mr.ホエール</v>
          </cell>
          <cell r="D859" t="str">
            <v>各属性相性良3・黄・R476</v>
          </cell>
          <cell r="E859" t="str">
            <v>執行者</v>
          </cell>
          <cell r="F859" t="str">
            <v>格好いい</v>
          </cell>
          <cell r="G859" t="str">
            <v>男性</v>
          </cell>
          <cell r="H859" t="str">
            <v>yellow</v>
          </cell>
          <cell r="I859">
            <v>4</v>
          </cell>
          <cell r="J859" t="str">
            <v>Drop2N</v>
          </cell>
          <cell r="K859" t="str">
            <v>hp</v>
          </cell>
          <cell r="L859" t="str">
            <v>体力タイプ</v>
          </cell>
          <cell r="M859" t="str">
            <v>machine</v>
          </cell>
        </row>
        <row r="860">
          <cell r="A860">
            <v>859</v>
          </cell>
          <cell r="B860" t="str">
            <v>ja</v>
          </cell>
          <cell r="C860" t="str">
            <v>夢鯨大食 Mr.ホエール</v>
          </cell>
          <cell r="D860" t="str">
            <v>各属性相性良3・黄・R477</v>
          </cell>
          <cell r="E860" t="str">
            <v>執行者</v>
          </cell>
          <cell r="F860" t="str">
            <v>格好いい</v>
          </cell>
          <cell r="G860" t="str">
            <v>男性</v>
          </cell>
          <cell r="H860" t="str">
            <v>yellow</v>
          </cell>
          <cell r="I860">
            <v>5</v>
          </cell>
          <cell r="J860" t="str">
            <v>Drop2N</v>
          </cell>
          <cell r="K860" t="str">
            <v>hp</v>
          </cell>
          <cell r="L860" t="str">
            <v>体力タイプ</v>
          </cell>
          <cell r="M860" t="str">
            <v>machine</v>
          </cell>
        </row>
        <row r="861">
          <cell r="A861">
            <v>860</v>
          </cell>
          <cell r="B861" t="str">
            <v>ja</v>
          </cell>
          <cell r="C861" t="str">
            <v>叶望の幻燈 ジーナ</v>
          </cell>
          <cell r="D861" t="str">
            <v>各属性相性良3・黄・R478</v>
          </cell>
          <cell r="E861" t="str">
            <v>執行者</v>
          </cell>
          <cell r="F861" t="str">
            <v>格好いい</v>
          </cell>
          <cell r="G861" t="str">
            <v>男性</v>
          </cell>
          <cell r="H861" t="str">
            <v>blue</v>
          </cell>
          <cell r="I861">
            <v>5</v>
          </cell>
          <cell r="J861" t="str">
            <v>DropWizS</v>
          </cell>
          <cell r="K861" t="str">
            <v>hp</v>
          </cell>
          <cell r="L861" t="str">
            <v>体力タイプ</v>
          </cell>
          <cell r="M861" t="str">
            <v>unknown</v>
          </cell>
        </row>
        <row r="862">
          <cell r="A862">
            <v>861</v>
          </cell>
          <cell r="B862" t="str">
            <v>ja</v>
          </cell>
          <cell r="C862" t="str">
            <v>青燈の巨躯 ジーナ</v>
          </cell>
          <cell r="D862" t="str">
            <v>各属性相性良3・黄・R479</v>
          </cell>
          <cell r="E862" t="str">
            <v>執行者</v>
          </cell>
          <cell r="F862" t="str">
            <v>格好いい</v>
          </cell>
          <cell r="G862" t="str">
            <v>男性</v>
          </cell>
          <cell r="H862" t="str">
            <v>blue</v>
          </cell>
          <cell r="I862">
            <v>6</v>
          </cell>
          <cell r="J862" t="str">
            <v>DropWizS</v>
          </cell>
          <cell r="K862" t="str">
            <v>hp</v>
          </cell>
          <cell r="L862" t="str">
            <v>体力タイプ</v>
          </cell>
          <cell r="M862" t="str">
            <v>unknown</v>
          </cell>
        </row>
        <row r="863">
          <cell r="A863">
            <v>862</v>
          </cell>
          <cell r="B863" t="str">
            <v>ja</v>
          </cell>
          <cell r="C863" t="str">
            <v>ブレーメン</v>
          </cell>
          <cell r="D863" t="str">
            <v>各属性相性良3・黄・R480</v>
          </cell>
          <cell r="E863" t="str">
            <v>執行者</v>
          </cell>
          <cell r="F863" t="str">
            <v>格好いい</v>
          </cell>
          <cell r="G863" t="str">
            <v>男性</v>
          </cell>
          <cell r="H863" t="str">
            <v>red</v>
          </cell>
          <cell r="I863">
            <v>4</v>
          </cell>
          <cell r="J863" t="str">
            <v>PremiumS</v>
          </cell>
          <cell r="K863" t="str">
            <v>balance</v>
          </cell>
          <cell r="L863" t="str">
            <v>バランスタイプ</v>
          </cell>
          <cell r="M863" t="str">
            <v>animal</v>
          </cell>
        </row>
        <row r="864">
          <cell r="A864">
            <v>863</v>
          </cell>
          <cell r="B864" t="str">
            <v>ja</v>
          </cell>
          <cell r="C864" t="str">
            <v>歓揮の楽団長 ブレーメン</v>
          </cell>
          <cell r="D864" t="str">
            <v>各属性相性良3・黄・R481</v>
          </cell>
          <cell r="E864" t="str">
            <v>執行者</v>
          </cell>
          <cell r="F864" t="str">
            <v>格好いい</v>
          </cell>
          <cell r="G864" t="str">
            <v>男性</v>
          </cell>
          <cell r="H864" t="str">
            <v>red</v>
          </cell>
          <cell r="I864">
            <v>5</v>
          </cell>
          <cell r="J864" t="str">
            <v>PremiumS</v>
          </cell>
          <cell r="K864" t="str">
            <v>balance</v>
          </cell>
          <cell r="L864" t="str">
            <v>バランスタイプ</v>
          </cell>
          <cell r="M864" t="str">
            <v>animal</v>
          </cell>
        </row>
        <row r="865">
          <cell r="A865">
            <v>864</v>
          </cell>
          <cell r="B865" t="str">
            <v>ja</v>
          </cell>
          <cell r="C865" t="str">
            <v>ピノキオ</v>
          </cell>
          <cell r="D865" t="str">
            <v>各属性相性良3・黄・R482</v>
          </cell>
          <cell r="E865" t="str">
            <v>執行者</v>
          </cell>
          <cell r="F865" t="str">
            <v>格好いい</v>
          </cell>
          <cell r="G865" t="str">
            <v>男性</v>
          </cell>
          <cell r="H865" t="str">
            <v>green</v>
          </cell>
          <cell r="I865">
            <v>4</v>
          </cell>
          <cell r="J865" t="str">
            <v>PremiumS</v>
          </cell>
          <cell r="K865" t="str">
            <v>attack</v>
          </cell>
          <cell r="L865" t="str">
            <v>攻撃タイプ</v>
          </cell>
          <cell r="M865" t="str">
            <v>machine</v>
          </cell>
        </row>
        <row r="866">
          <cell r="A866">
            <v>865</v>
          </cell>
          <cell r="B866" t="str">
            <v>ja</v>
          </cell>
          <cell r="C866" t="str">
            <v>無情の感線 ピノキオ</v>
          </cell>
          <cell r="D866" t="str">
            <v>各属性相性良3・黄・R483</v>
          </cell>
          <cell r="E866" t="str">
            <v>執行者</v>
          </cell>
          <cell r="F866" t="str">
            <v>格好いい</v>
          </cell>
          <cell r="G866" t="str">
            <v>男性</v>
          </cell>
          <cell r="H866" t="str">
            <v>green</v>
          </cell>
          <cell r="I866">
            <v>5</v>
          </cell>
          <cell r="J866" t="str">
            <v>PremiumS</v>
          </cell>
          <cell r="K866" t="str">
            <v>attack</v>
          </cell>
          <cell r="L866" t="str">
            <v>攻撃タイプ</v>
          </cell>
          <cell r="M866" t="str">
            <v>machine</v>
          </cell>
        </row>
        <row r="867">
          <cell r="A867">
            <v>866</v>
          </cell>
          <cell r="B867" t="str">
            <v>ja</v>
          </cell>
          <cell r="C867" t="str">
            <v>無敗の司令姫 白雪姫</v>
          </cell>
          <cell r="D867" t="str">
            <v>各属性相性良3・黄・R474</v>
          </cell>
          <cell r="E867" t="str">
            <v>執行者</v>
          </cell>
          <cell r="F867" t="str">
            <v>格好いい</v>
          </cell>
          <cell r="G867" t="str">
            <v>男性</v>
          </cell>
          <cell r="H867" t="str">
            <v>blue</v>
          </cell>
          <cell r="I867">
            <v>5</v>
          </cell>
          <cell r="J867" t="str">
            <v>PremiumSS</v>
          </cell>
          <cell r="K867" t="str">
            <v>balance</v>
          </cell>
          <cell r="L867" t="str">
            <v>バランスタイプ</v>
          </cell>
          <cell r="M867" t="str">
            <v>human</v>
          </cell>
        </row>
        <row r="868">
          <cell r="A868">
            <v>867</v>
          </cell>
          <cell r="B868" t="str">
            <v>ja</v>
          </cell>
          <cell r="C868" t="str">
            <v>華麗なる作戦 白雪姫</v>
          </cell>
          <cell r="D868" t="str">
            <v>各属性相性良3・黄・R475</v>
          </cell>
          <cell r="E868" t="str">
            <v>執行者</v>
          </cell>
          <cell r="F868" t="str">
            <v>格好いい</v>
          </cell>
          <cell r="G868" t="str">
            <v>男性</v>
          </cell>
          <cell r="H868" t="str">
            <v>blue</v>
          </cell>
          <cell r="I868">
            <v>6</v>
          </cell>
          <cell r="J868" t="str">
            <v>PremiumSS</v>
          </cell>
          <cell r="K868" t="str">
            <v>balance</v>
          </cell>
          <cell r="L868" t="str">
            <v>バランスタイプ</v>
          </cell>
          <cell r="M868" t="str">
            <v>human</v>
          </cell>
        </row>
        <row r="869">
          <cell r="A869">
            <v>868</v>
          </cell>
          <cell r="B869" t="str">
            <v>ja</v>
          </cell>
          <cell r="C869" t="str">
            <v>アラジンと殲滅機兵LAMP</v>
          </cell>
          <cell r="D869" t="str">
            <v>各属性相性良3・黄・R476</v>
          </cell>
          <cell r="E869" t="str">
            <v>執行者</v>
          </cell>
          <cell r="F869" t="str">
            <v>格好いい</v>
          </cell>
          <cell r="G869" t="str">
            <v>男性</v>
          </cell>
          <cell r="H869" t="str">
            <v>yellow</v>
          </cell>
          <cell r="I869">
            <v>5</v>
          </cell>
          <cell r="J869" t="str">
            <v>PremiumSS</v>
          </cell>
          <cell r="K869" t="str">
            <v>hp</v>
          </cell>
          <cell r="L869" t="str">
            <v>体力タイプ</v>
          </cell>
          <cell r="M869" t="str">
            <v>human</v>
          </cell>
        </row>
        <row r="870">
          <cell r="A870">
            <v>869</v>
          </cell>
          <cell r="B870" t="str">
            <v>ja</v>
          </cell>
          <cell r="C870" t="str">
            <v xml:space="preserve">マスター･アラジンと殲滅機兵LAMP </v>
          </cell>
          <cell r="D870" t="str">
            <v>各属性相性良3・黄・R477</v>
          </cell>
          <cell r="E870" t="str">
            <v>執行者</v>
          </cell>
          <cell r="F870" t="str">
            <v>格好いい</v>
          </cell>
          <cell r="G870" t="str">
            <v>男性</v>
          </cell>
          <cell r="H870" t="str">
            <v>yellow</v>
          </cell>
          <cell r="I870">
            <v>6</v>
          </cell>
          <cell r="J870" t="str">
            <v>PremiumSS</v>
          </cell>
          <cell r="K870" t="str">
            <v>hp</v>
          </cell>
          <cell r="L870" t="str">
            <v>体力タイプ</v>
          </cell>
          <cell r="M870" t="str">
            <v>human</v>
          </cell>
        </row>
        <row r="871">
          <cell r="A871">
            <v>870</v>
          </cell>
          <cell r="B871" t="str">
            <v>ja</v>
          </cell>
          <cell r="C871" t="str">
            <v>フロイト</v>
          </cell>
          <cell r="D871" t="str">
            <v>各属性相性良3・黄・R478</v>
          </cell>
          <cell r="E871" t="str">
            <v>執行者</v>
          </cell>
          <cell r="F871" t="str">
            <v>格好いい</v>
          </cell>
          <cell r="G871" t="str">
            <v>男性</v>
          </cell>
          <cell r="H871" t="str">
            <v>red</v>
          </cell>
          <cell r="I871">
            <v>5</v>
          </cell>
          <cell r="J871" t="str">
            <v>PremiumSSS</v>
          </cell>
          <cell r="K871" t="str">
            <v>balance</v>
          </cell>
          <cell r="L871" t="str">
            <v>バランスタイプ</v>
          </cell>
          <cell r="M871" t="str">
            <v>academia</v>
          </cell>
        </row>
        <row r="872">
          <cell r="A872">
            <v>871</v>
          </cell>
          <cell r="B872" t="str">
            <v>ja</v>
          </cell>
          <cell r="C872" t="str">
            <v>無我夢中の羊狩り フロイト</v>
          </cell>
          <cell r="D872" t="str">
            <v>各属性相性良3・黄・R479</v>
          </cell>
          <cell r="E872" t="str">
            <v>執行者</v>
          </cell>
          <cell r="F872" t="str">
            <v>格好いい</v>
          </cell>
          <cell r="G872" t="str">
            <v>男性</v>
          </cell>
          <cell r="H872" t="str">
            <v>red</v>
          </cell>
          <cell r="I872">
            <v>6</v>
          </cell>
          <cell r="J872" t="str">
            <v>PremiumSSS</v>
          </cell>
          <cell r="K872" t="str">
            <v>balance</v>
          </cell>
          <cell r="L872" t="str">
            <v>バランスタイプ</v>
          </cell>
          <cell r="M872" t="str">
            <v>academia</v>
          </cell>
        </row>
        <row r="873">
          <cell r="A873">
            <v>872</v>
          </cell>
          <cell r="B873" t="str">
            <v>ja</v>
          </cell>
          <cell r="C873" t="str">
            <v>シュヴァルツシルト</v>
          </cell>
          <cell r="D873" t="str">
            <v>各属性相性良3・黄・R480</v>
          </cell>
          <cell r="E873" t="str">
            <v>執行者</v>
          </cell>
          <cell r="F873" t="str">
            <v>格好いい</v>
          </cell>
          <cell r="G873" t="str">
            <v>男性</v>
          </cell>
          <cell r="H873" t="str">
            <v>blue</v>
          </cell>
          <cell r="I873">
            <v>5</v>
          </cell>
          <cell r="J873" t="str">
            <v>PremiumSSS</v>
          </cell>
          <cell r="K873" t="str">
            <v>attack</v>
          </cell>
          <cell r="L873" t="str">
            <v>攻撃タイプ</v>
          </cell>
          <cell r="M873" t="str">
            <v>academia</v>
          </cell>
        </row>
        <row r="874">
          <cell r="A874">
            <v>873</v>
          </cell>
          <cell r="B874" t="str">
            <v>ja</v>
          </cell>
          <cell r="C874" t="str">
            <v>時歪の特異天 シュヴァルツシルト</v>
          </cell>
          <cell r="D874" t="str">
            <v>各属性相性良3・黄・R481</v>
          </cell>
          <cell r="E874" t="str">
            <v>執行者</v>
          </cell>
          <cell r="F874" t="str">
            <v>格好いい</v>
          </cell>
          <cell r="G874" t="str">
            <v>男性</v>
          </cell>
          <cell r="H874" t="str">
            <v>blue</v>
          </cell>
          <cell r="I874">
            <v>6</v>
          </cell>
          <cell r="J874" t="str">
            <v>PremiumSSS</v>
          </cell>
          <cell r="K874" t="str">
            <v>attack</v>
          </cell>
          <cell r="L874" t="str">
            <v>攻撃タイプ</v>
          </cell>
          <cell r="M874" t="str">
            <v>academia</v>
          </cell>
        </row>
        <row r="875">
          <cell r="A875">
            <v>874</v>
          </cell>
          <cell r="B875" t="str">
            <v>ja</v>
          </cell>
          <cell r="C875" t="str">
            <v>フレネル</v>
          </cell>
          <cell r="D875" t="str">
            <v>各属性相性良3・黄・R482</v>
          </cell>
          <cell r="E875" t="str">
            <v>執行者</v>
          </cell>
          <cell r="F875" t="str">
            <v>格好いい</v>
          </cell>
          <cell r="G875" t="str">
            <v>男性</v>
          </cell>
          <cell r="H875" t="str">
            <v>yellow</v>
          </cell>
          <cell r="I875">
            <v>5</v>
          </cell>
          <cell r="J875" t="str">
            <v>PremiumSSS</v>
          </cell>
          <cell r="K875" t="str">
            <v>attack</v>
          </cell>
          <cell r="L875" t="str">
            <v>攻撃タイプ</v>
          </cell>
          <cell r="M875" t="str">
            <v>academia</v>
          </cell>
        </row>
        <row r="876">
          <cell r="A876">
            <v>875</v>
          </cell>
          <cell r="B876" t="str">
            <v>ja</v>
          </cell>
          <cell r="C876" t="str">
            <v>覇導の光跡 フレネル</v>
          </cell>
          <cell r="D876" t="str">
            <v>各属性相性良3・黄・R483</v>
          </cell>
          <cell r="E876" t="str">
            <v>執行者</v>
          </cell>
          <cell r="F876" t="str">
            <v>格好いい</v>
          </cell>
          <cell r="G876" t="str">
            <v>男性</v>
          </cell>
          <cell r="H876" t="str">
            <v>yellow</v>
          </cell>
          <cell r="I876">
            <v>6</v>
          </cell>
          <cell r="J876" t="str">
            <v>PremiumSSS</v>
          </cell>
          <cell r="K876" t="str">
            <v>attack</v>
          </cell>
          <cell r="L876" t="str">
            <v>攻撃タイプ</v>
          </cell>
          <cell r="M876" t="str">
            <v>academia</v>
          </cell>
        </row>
        <row r="877">
          <cell r="A877">
            <v>876</v>
          </cell>
          <cell r="B877" t="str">
            <v>ja</v>
          </cell>
          <cell r="C877" t="str">
            <v>イフリート</v>
          </cell>
          <cell r="D877" t="str">
            <v>各属性相性良3・黄・R480</v>
          </cell>
          <cell r="E877" t="str">
            <v>執行者</v>
          </cell>
          <cell r="F877" t="str">
            <v>格好いい</v>
          </cell>
          <cell r="G877" t="str">
            <v>男性</v>
          </cell>
          <cell r="H877" t="str">
            <v>red</v>
          </cell>
          <cell r="I877">
            <v>4</v>
          </cell>
          <cell r="J877" t="str">
            <v>Drop2N</v>
          </cell>
          <cell r="K877" t="str">
            <v>attack</v>
          </cell>
          <cell r="L877" t="str">
            <v>攻撃タイプ</v>
          </cell>
          <cell r="M877" t="str">
            <v>god</v>
          </cell>
        </row>
        <row r="878">
          <cell r="A878">
            <v>877</v>
          </cell>
          <cell r="B878" t="str">
            <v>ja</v>
          </cell>
          <cell r="C878" t="str">
            <v>自律の協炎 イフリート</v>
          </cell>
          <cell r="D878" t="str">
            <v>各属性相性良3・黄・R481</v>
          </cell>
          <cell r="E878" t="str">
            <v>執行者</v>
          </cell>
          <cell r="F878" t="str">
            <v>格好いい</v>
          </cell>
          <cell r="G878" t="str">
            <v>男性</v>
          </cell>
          <cell r="H878" t="str">
            <v>red</v>
          </cell>
          <cell r="I878">
            <v>5</v>
          </cell>
          <cell r="J878" t="str">
            <v>Drop2N</v>
          </cell>
          <cell r="K878" t="str">
            <v>attack</v>
          </cell>
          <cell r="L878" t="str">
            <v>攻撃タイプ</v>
          </cell>
          <cell r="M878" t="str">
            <v>god</v>
          </cell>
        </row>
        <row r="879">
          <cell r="A879">
            <v>878</v>
          </cell>
          <cell r="B879" t="str">
            <v>ja</v>
          </cell>
          <cell r="C879" t="str">
            <v>イグニス</v>
          </cell>
          <cell r="D879" t="str">
            <v>各属性相性良3・黄・R482</v>
          </cell>
          <cell r="E879" t="str">
            <v>執行者</v>
          </cell>
          <cell r="F879" t="str">
            <v>格好いい</v>
          </cell>
          <cell r="G879" t="str">
            <v>男性</v>
          </cell>
          <cell r="H879" t="str">
            <v>red</v>
          </cell>
          <cell r="I879">
            <v>4</v>
          </cell>
          <cell r="J879" t="str">
            <v>Drop2N</v>
          </cell>
          <cell r="K879" t="str">
            <v>balance</v>
          </cell>
          <cell r="L879" t="str">
            <v>バランスタイプ</v>
          </cell>
          <cell r="M879" t="str">
            <v>god</v>
          </cell>
        </row>
        <row r="880">
          <cell r="A880">
            <v>879</v>
          </cell>
          <cell r="B880" t="str">
            <v>ja</v>
          </cell>
          <cell r="C880" t="str">
            <v>イグニス・フューリー</v>
          </cell>
          <cell r="D880" t="str">
            <v>各属性相性良3・黄・R483</v>
          </cell>
          <cell r="E880" t="str">
            <v>執行者</v>
          </cell>
          <cell r="F880" t="str">
            <v>格好いい</v>
          </cell>
          <cell r="G880" t="str">
            <v>男性</v>
          </cell>
          <cell r="H880" t="str">
            <v>red</v>
          </cell>
          <cell r="I880">
            <v>5</v>
          </cell>
          <cell r="J880" t="str">
            <v>Drop2N</v>
          </cell>
          <cell r="K880" t="str">
            <v>balance</v>
          </cell>
          <cell r="L880" t="str">
            <v>バランスタイプ</v>
          </cell>
          <cell r="M880" t="str">
            <v>god</v>
          </cell>
        </row>
        <row r="881">
          <cell r="A881">
            <v>880</v>
          </cell>
          <cell r="B881" t="str">
            <v>ja</v>
          </cell>
          <cell r="C881" t="str">
            <v>ハーシェル</v>
          </cell>
          <cell r="D881" t="str">
            <v>各属性相性良3・黄・R484</v>
          </cell>
          <cell r="E881" t="str">
            <v>執行者</v>
          </cell>
          <cell r="F881" t="str">
            <v>格好いい</v>
          </cell>
          <cell r="G881" t="str">
            <v>男性</v>
          </cell>
          <cell r="H881" t="str">
            <v>yellow</v>
          </cell>
          <cell r="I881">
            <v>5</v>
          </cell>
          <cell r="J881" t="str">
            <v>PremiumSSS</v>
          </cell>
          <cell r="K881" t="str">
            <v>heal</v>
          </cell>
          <cell r="L881" t="str">
            <v>回復タイプ</v>
          </cell>
          <cell r="M881" t="str">
            <v>academia</v>
          </cell>
        </row>
        <row r="882">
          <cell r="A882">
            <v>881</v>
          </cell>
          <cell r="B882" t="str">
            <v>ja</v>
          </cell>
          <cell r="C882" t="str">
            <v>銀河究星の望観者 ハーシェル</v>
          </cell>
          <cell r="D882" t="str">
            <v>各属性相性良3・黄・R485</v>
          </cell>
          <cell r="E882" t="str">
            <v>執行者</v>
          </cell>
          <cell r="F882" t="str">
            <v>格好いい</v>
          </cell>
          <cell r="G882" t="str">
            <v>男性</v>
          </cell>
          <cell r="H882" t="str">
            <v>yellow</v>
          </cell>
          <cell r="I882">
            <v>6</v>
          </cell>
          <cell r="J882" t="str">
            <v>PremiumSSS</v>
          </cell>
          <cell r="K882" t="str">
            <v>heal</v>
          </cell>
          <cell r="L882" t="str">
            <v>回復タイプ</v>
          </cell>
          <cell r="M882" t="str">
            <v>academia</v>
          </cell>
        </row>
        <row r="883">
          <cell r="A883">
            <v>882</v>
          </cell>
          <cell r="B883" t="str">
            <v>ja</v>
          </cell>
          <cell r="C883" t="str">
            <v>歪極する星壊 シュヴァルツシルト</v>
          </cell>
          <cell r="D883" t="str">
            <v>各属性相性良3・黄・R486</v>
          </cell>
          <cell r="E883" t="str">
            <v>執行者</v>
          </cell>
          <cell r="F883" t="str">
            <v>格好いい</v>
          </cell>
          <cell r="G883" t="str">
            <v>男性</v>
          </cell>
          <cell r="H883" t="str">
            <v>blue</v>
          </cell>
          <cell r="I883">
            <v>6</v>
          </cell>
          <cell r="J883" t="str">
            <v>PremiumSSS</v>
          </cell>
          <cell r="K883" t="str">
            <v>attack</v>
          </cell>
          <cell r="L883" t="str">
            <v>攻撃タイプ</v>
          </cell>
          <cell r="M883" t="str">
            <v>academia</v>
          </cell>
        </row>
        <row r="884">
          <cell r="A884">
            <v>883</v>
          </cell>
          <cell r="B884" t="str">
            <v>ja</v>
          </cell>
          <cell r="C884" t="str">
            <v>灼動する猛巨炎 プロメテウス</v>
          </cell>
          <cell r="D884" t="str">
            <v>各属性相性良3・黄・R487</v>
          </cell>
          <cell r="E884" t="str">
            <v>執行者</v>
          </cell>
          <cell r="F884" t="str">
            <v>格好いい</v>
          </cell>
          <cell r="G884" t="str">
            <v>男性</v>
          </cell>
          <cell r="H884" t="str">
            <v>red</v>
          </cell>
          <cell r="I884">
            <v>6</v>
          </cell>
          <cell r="J884" t="str">
            <v>PremiumS</v>
          </cell>
          <cell r="K884" t="str">
            <v>hp</v>
          </cell>
          <cell r="L884" t="str">
            <v>体力タイプ</v>
          </cell>
          <cell r="M884" t="str">
            <v>god</v>
          </cell>
        </row>
        <row r="885">
          <cell r="A885">
            <v>884</v>
          </cell>
          <cell r="B885" t="str">
            <v>ja</v>
          </cell>
          <cell r="C885" t="str">
            <v>咲園の爛漫神 アフロディーテ</v>
          </cell>
          <cell r="D885" t="str">
            <v>各属性相性良3・黄・R488</v>
          </cell>
          <cell r="E885" t="str">
            <v>執行者</v>
          </cell>
          <cell r="F885" t="str">
            <v>格好いい</v>
          </cell>
          <cell r="G885" t="str">
            <v>男性</v>
          </cell>
          <cell r="H885" t="str">
            <v>green</v>
          </cell>
          <cell r="I885">
            <v>6</v>
          </cell>
          <cell r="J885" t="str">
            <v>PremiumS</v>
          </cell>
          <cell r="K885" t="str">
            <v>hp</v>
          </cell>
          <cell r="L885" t="str">
            <v>体力タイプ</v>
          </cell>
          <cell r="M885" t="str">
            <v>god</v>
          </cell>
        </row>
        <row r="886">
          <cell r="A886">
            <v>885</v>
          </cell>
          <cell r="B886" t="str">
            <v>ja</v>
          </cell>
          <cell r="C886" t="str">
            <v>御群の絶海女神 テティス</v>
          </cell>
          <cell r="D886" t="str">
            <v>各属性相性良3・黄・R489</v>
          </cell>
          <cell r="E886" t="str">
            <v>執行者</v>
          </cell>
          <cell r="F886" t="str">
            <v>格好いい</v>
          </cell>
          <cell r="G886" t="str">
            <v>男性</v>
          </cell>
          <cell r="H886" t="str">
            <v>blue</v>
          </cell>
          <cell r="I886">
            <v>6</v>
          </cell>
          <cell r="J886" t="str">
            <v>PremiumS</v>
          </cell>
          <cell r="K886" t="str">
            <v>hp</v>
          </cell>
          <cell r="L886" t="str">
            <v>体力タイプ</v>
          </cell>
          <cell r="M886" t="str">
            <v>god</v>
          </cell>
        </row>
        <row r="887">
          <cell r="A887">
            <v>886</v>
          </cell>
          <cell r="B887" t="str">
            <v>ja</v>
          </cell>
          <cell r="C887" t="str">
            <v>星義司る天聖神 アストライアー</v>
          </cell>
          <cell r="D887" t="str">
            <v>各属性相性良3・黄・R490</v>
          </cell>
          <cell r="E887" t="str">
            <v>執行者</v>
          </cell>
          <cell r="F887" t="str">
            <v>格好いい</v>
          </cell>
          <cell r="G887" t="str">
            <v>男性</v>
          </cell>
          <cell r="H887" t="str">
            <v>yellow</v>
          </cell>
          <cell r="I887">
            <v>6</v>
          </cell>
          <cell r="J887" t="str">
            <v>PremiumS</v>
          </cell>
          <cell r="K887" t="str">
            <v>balance</v>
          </cell>
          <cell r="L887" t="str">
            <v>バランスタイプ</v>
          </cell>
          <cell r="M887" t="str">
            <v>god</v>
          </cell>
        </row>
        <row r="888">
          <cell r="A888">
            <v>887</v>
          </cell>
          <cell r="B888" t="str">
            <v>ja</v>
          </cell>
          <cell r="C888" t="str">
            <v>エリス</v>
          </cell>
          <cell r="D888" t="str">
            <v>各属性相性良3・黄・R491</v>
          </cell>
          <cell r="E888" t="str">
            <v>執行者</v>
          </cell>
          <cell r="F888" t="str">
            <v>格好いい</v>
          </cell>
          <cell r="G888" t="str">
            <v>男性</v>
          </cell>
          <cell r="H888" t="str">
            <v>red</v>
          </cell>
          <cell r="I888">
            <v>5</v>
          </cell>
          <cell r="J888" t="str">
            <v>DropWizS</v>
          </cell>
          <cell r="K888" t="str">
            <v>attack</v>
          </cell>
          <cell r="L888" t="str">
            <v>攻撃タイプ</v>
          </cell>
          <cell r="M888" t="str">
            <v>god</v>
          </cell>
        </row>
        <row r="889">
          <cell r="A889">
            <v>888</v>
          </cell>
          <cell r="B889" t="str">
            <v>ja</v>
          </cell>
          <cell r="C889" t="str">
            <v>禍根の暴送者 エリス</v>
          </cell>
          <cell r="D889" t="str">
            <v>各属性相性良3・黄・R492</v>
          </cell>
          <cell r="E889" t="str">
            <v>執行者</v>
          </cell>
          <cell r="F889" t="str">
            <v>格好いい</v>
          </cell>
          <cell r="G889" t="str">
            <v>男性</v>
          </cell>
          <cell r="H889" t="str">
            <v>red</v>
          </cell>
          <cell r="I889">
            <v>6</v>
          </cell>
          <cell r="J889" t="str">
            <v>DropWizS</v>
          </cell>
          <cell r="K889" t="str">
            <v>attack</v>
          </cell>
          <cell r="L889" t="str">
            <v>攻撃タイプ</v>
          </cell>
          <cell r="M889" t="str">
            <v>god</v>
          </cell>
        </row>
        <row r="890">
          <cell r="A890">
            <v>889</v>
          </cell>
          <cell r="B890" t="str">
            <v>ja</v>
          </cell>
          <cell r="C890" t="str">
            <v>未定</v>
          </cell>
          <cell r="D890" t="str">
            <v>各属性相性良3・黄・R493</v>
          </cell>
          <cell r="E890" t="str">
            <v>執行者</v>
          </cell>
          <cell r="F890" t="str">
            <v>格好いい</v>
          </cell>
          <cell r="G890" t="str">
            <v>男性</v>
          </cell>
          <cell r="H890" t="str">
            <v>green</v>
          </cell>
          <cell r="I890">
            <v>5</v>
          </cell>
          <cell r="J890" t="str">
            <v>PremiumSSS</v>
          </cell>
          <cell r="K890" t="str">
            <v>balance</v>
          </cell>
          <cell r="L890" t="str">
            <v>バランスタイプ</v>
          </cell>
          <cell r="M890" t="str">
            <v>academia</v>
          </cell>
        </row>
        <row r="891">
          <cell r="A891">
            <v>890</v>
          </cell>
          <cell r="B891" t="str">
            <v>ja</v>
          </cell>
          <cell r="C891" t="str">
            <v>未定</v>
          </cell>
          <cell r="D891" t="str">
            <v>各属性相性良3・黄・R494</v>
          </cell>
          <cell r="E891" t="str">
            <v>執行者</v>
          </cell>
          <cell r="F891" t="str">
            <v>格好いい</v>
          </cell>
          <cell r="G891" t="str">
            <v>男性</v>
          </cell>
          <cell r="H891" t="str">
            <v>green</v>
          </cell>
          <cell r="I891">
            <v>6</v>
          </cell>
          <cell r="J891" t="str">
            <v>PremiumSSS</v>
          </cell>
          <cell r="K891" t="str">
            <v>balance</v>
          </cell>
          <cell r="L891" t="str">
            <v>バランスタイプ</v>
          </cell>
          <cell r="M891" t="str">
            <v>academia</v>
          </cell>
        </row>
        <row r="892">
          <cell r="A892">
            <v>891</v>
          </cell>
          <cell r="B892" t="str">
            <v>ja</v>
          </cell>
          <cell r="C892" t="str">
            <v>コルキス</v>
          </cell>
          <cell r="D892" t="str">
            <v>各属性相性良3・黄・R495</v>
          </cell>
          <cell r="E892" t="str">
            <v>執行者</v>
          </cell>
          <cell r="F892" t="str">
            <v>格好いい</v>
          </cell>
          <cell r="G892" t="str">
            <v>男性</v>
          </cell>
          <cell r="H892" t="str">
            <v>blue</v>
          </cell>
          <cell r="I892">
            <v>5</v>
          </cell>
          <cell r="J892" t="str">
            <v>DropWizS</v>
          </cell>
          <cell r="K892" t="str">
            <v>hp</v>
          </cell>
          <cell r="L892" t="str">
            <v>体力タイプ</v>
          </cell>
          <cell r="M892" t="str">
            <v>god</v>
          </cell>
        </row>
        <row r="893">
          <cell r="A893">
            <v>892</v>
          </cell>
          <cell r="B893" t="str">
            <v>ja</v>
          </cell>
          <cell r="C893" t="str">
            <v>金碧の羊星 コルキス</v>
          </cell>
          <cell r="D893" t="str">
            <v>各属性相性良3・黄・R496</v>
          </cell>
          <cell r="E893" t="str">
            <v>執行者</v>
          </cell>
          <cell r="F893" t="str">
            <v>格好いい</v>
          </cell>
          <cell r="G893" t="str">
            <v>男性</v>
          </cell>
          <cell r="H893" t="str">
            <v>blue</v>
          </cell>
          <cell r="I893">
            <v>6</v>
          </cell>
          <cell r="J893" t="str">
            <v>DropWizS</v>
          </cell>
          <cell r="K893" t="str">
            <v>hp</v>
          </cell>
          <cell r="L893" t="str">
            <v>体力タイプ</v>
          </cell>
          <cell r="M893" t="str">
            <v>god</v>
          </cell>
        </row>
        <row r="894">
          <cell r="A894">
            <v>893</v>
          </cell>
          <cell r="B894" t="str">
            <v>ja</v>
          </cell>
          <cell r="C894" t="str">
            <v>アテナ</v>
          </cell>
          <cell r="D894" t="str">
            <v>各属性相性良3・黄・R497</v>
          </cell>
          <cell r="E894" t="str">
            <v>執行者</v>
          </cell>
          <cell r="F894" t="str">
            <v>格好いい</v>
          </cell>
          <cell r="G894" t="str">
            <v>男性</v>
          </cell>
          <cell r="H894" t="str">
            <v>yellow</v>
          </cell>
          <cell r="I894">
            <v>5</v>
          </cell>
          <cell r="J894" t="str">
            <v>DropWizS</v>
          </cell>
          <cell r="K894" t="str">
            <v>balance</v>
          </cell>
          <cell r="L894" t="str">
            <v>バランスタイプ</v>
          </cell>
          <cell r="M894" t="str">
            <v>god</v>
          </cell>
        </row>
        <row r="895">
          <cell r="A895">
            <v>894</v>
          </cell>
          <cell r="B895" t="str">
            <v>ja</v>
          </cell>
          <cell r="C895" t="str">
            <v>聖澄の戦慧神 アテナ</v>
          </cell>
          <cell r="D895" t="str">
            <v>各属性相性良3・黄・R498</v>
          </cell>
          <cell r="E895" t="str">
            <v>執行者</v>
          </cell>
          <cell r="F895" t="str">
            <v>格好いい</v>
          </cell>
          <cell r="G895" t="str">
            <v>男性</v>
          </cell>
          <cell r="H895" t="str">
            <v>yellow</v>
          </cell>
          <cell r="I895">
            <v>6</v>
          </cell>
          <cell r="J895" t="str">
            <v>DropWizS</v>
          </cell>
          <cell r="K895" t="str">
            <v>balance</v>
          </cell>
          <cell r="L895" t="str">
            <v>バランスタイプ</v>
          </cell>
          <cell r="M895" t="str">
            <v>god</v>
          </cell>
        </row>
        <row r="896">
          <cell r="A896">
            <v>895</v>
          </cell>
          <cell r="B896" t="str">
            <v>ja</v>
          </cell>
          <cell r="C896" t="str">
            <v>未定</v>
          </cell>
          <cell r="D896" t="str">
            <v>各属性相性良3・黄・R499</v>
          </cell>
          <cell r="E896" t="str">
            <v>執行者</v>
          </cell>
          <cell r="F896" t="str">
            <v>格好いい</v>
          </cell>
          <cell r="G896" t="str">
            <v>男性</v>
          </cell>
          <cell r="H896" t="str">
            <v>blue</v>
          </cell>
          <cell r="I896">
            <v>5</v>
          </cell>
          <cell r="J896" t="str">
            <v>Drop2N</v>
          </cell>
          <cell r="K896" t="str">
            <v>attack</v>
          </cell>
          <cell r="L896" t="str">
            <v>攻撃タイプ</v>
          </cell>
          <cell r="M896" t="str">
            <v>human</v>
          </cell>
        </row>
        <row r="897">
          <cell r="A897">
            <v>896</v>
          </cell>
          <cell r="B897" t="str">
            <v>ja</v>
          </cell>
          <cell r="C897" t="str">
            <v>天衣紡ぐ麗鶴 ハヅル</v>
          </cell>
          <cell r="D897" t="str">
            <v>各属性相性良3・黄・R500</v>
          </cell>
          <cell r="E897" t="str">
            <v>執行者</v>
          </cell>
          <cell r="F897" t="str">
            <v>格好いい</v>
          </cell>
          <cell r="G897" t="str">
            <v>男性</v>
          </cell>
          <cell r="H897" t="str">
            <v>red</v>
          </cell>
          <cell r="I897">
            <v>6</v>
          </cell>
          <cell r="J897" t="str">
            <v>PremiumSS</v>
          </cell>
          <cell r="K897" t="str">
            <v>balance</v>
          </cell>
          <cell r="L897" t="str">
            <v>バランスタイプ</v>
          </cell>
          <cell r="M897" t="str">
            <v>animal</v>
          </cell>
        </row>
        <row r="898">
          <cell r="A898">
            <v>897</v>
          </cell>
          <cell r="B898" t="str">
            <v>ja</v>
          </cell>
          <cell r="C898" t="str">
            <v>天跳兎破 イナバ</v>
          </cell>
          <cell r="D898" t="str">
            <v>各属性相性良3・黄・R501</v>
          </cell>
          <cell r="E898" t="str">
            <v>執行者</v>
          </cell>
          <cell r="F898" t="str">
            <v>格好いい</v>
          </cell>
          <cell r="G898" t="str">
            <v>男性</v>
          </cell>
          <cell r="H898" t="str">
            <v>green</v>
          </cell>
          <cell r="I898">
            <v>6</v>
          </cell>
          <cell r="J898" t="str">
            <v>PremiumSS</v>
          </cell>
          <cell r="K898" t="str">
            <v>balance</v>
          </cell>
          <cell r="L898" t="str">
            <v>バランスタイプ</v>
          </cell>
          <cell r="M898" t="str">
            <v>animal</v>
          </cell>
        </row>
        <row r="899">
          <cell r="A899">
            <v>898</v>
          </cell>
          <cell r="B899" t="str">
            <v>ja</v>
          </cell>
          <cell r="C899" t="str">
            <v>未定</v>
          </cell>
          <cell r="D899" t="str">
            <v>各属性相性良3・黄・R502</v>
          </cell>
          <cell r="E899" t="str">
            <v>執行者</v>
          </cell>
          <cell r="F899" t="str">
            <v>格好いい</v>
          </cell>
          <cell r="G899" t="str">
            <v>男性</v>
          </cell>
          <cell r="H899" t="str">
            <v>red</v>
          </cell>
          <cell r="I899">
            <v>6</v>
          </cell>
          <cell r="J899" t="str">
            <v>Drop2N</v>
          </cell>
          <cell r="K899" t="str">
            <v>attack</v>
          </cell>
          <cell r="L899" t="str">
            <v>攻撃タイプ</v>
          </cell>
          <cell r="M899" t="str">
            <v>human</v>
          </cell>
        </row>
        <row r="900">
          <cell r="A900">
            <v>899</v>
          </cell>
          <cell r="B900" t="str">
            <v>ja</v>
          </cell>
          <cell r="C900" t="str">
            <v>楽園からの帰還 アザゼル</v>
          </cell>
          <cell r="D900" t="str">
            <v>サンリオキャラ大集合+アザゼル</v>
          </cell>
          <cell r="E900" t="str">
            <v>執行者</v>
          </cell>
          <cell r="F900" t="str">
            <v>格好いい</v>
          </cell>
          <cell r="G900" t="str">
            <v>男性</v>
          </cell>
          <cell r="H900" t="str">
            <v>green</v>
          </cell>
          <cell r="I900">
            <v>5</v>
          </cell>
          <cell r="J900" t="str">
            <v>DropWizS</v>
          </cell>
          <cell r="K900" t="str">
            <v>technical</v>
          </cell>
          <cell r="L900" t="str">
            <v>テクニカルタイプ</v>
          </cell>
          <cell r="M900" t="str">
            <v>ss</v>
          </cell>
        </row>
        <row r="901">
          <cell r="A901">
            <v>900</v>
          </cell>
          <cell r="B901" t="str">
            <v>ja</v>
          </cell>
          <cell r="C901" t="str">
            <v>桃源郷での大宴会 アザゼル</v>
          </cell>
          <cell r="D901" t="str">
            <v>サンリオキャラ大集合+アザゼル</v>
          </cell>
          <cell r="E901" t="str">
            <v>執行者</v>
          </cell>
          <cell r="F901" t="str">
            <v>格好いい</v>
          </cell>
          <cell r="G901" t="str">
            <v>男性</v>
          </cell>
          <cell r="H901" t="str">
            <v>green</v>
          </cell>
          <cell r="I901">
            <v>6</v>
          </cell>
          <cell r="J901" t="str">
            <v>DropWizS</v>
          </cell>
          <cell r="K901" t="str">
            <v>technical</v>
          </cell>
          <cell r="L901" t="str">
            <v>テクニカルタイプ</v>
          </cell>
          <cell r="M901" t="str">
            <v>ss</v>
          </cell>
        </row>
        <row r="902">
          <cell r="A902">
            <v>901</v>
          </cell>
          <cell r="B902" t="str">
            <v>ja</v>
          </cell>
          <cell r="C902" t="str">
            <v>恩愛性ニムダ</v>
          </cell>
          <cell r="D902" t="str">
            <v>ニムダ_サンリオキャラ混じり</v>
          </cell>
          <cell r="E902" t="str">
            <v>執行者</v>
          </cell>
          <cell r="F902" t="str">
            <v>格好いい</v>
          </cell>
          <cell r="G902" t="str">
            <v>男性</v>
          </cell>
          <cell r="H902" t="str">
            <v>yellow</v>
          </cell>
          <cell r="I902">
            <v>4</v>
          </cell>
          <cell r="J902" t="str">
            <v>Drop2N</v>
          </cell>
          <cell r="K902" t="str">
            <v>technical</v>
          </cell>
          <cell r="L902" t="str">
            <v>テクニカルタイプ</v>
          </cell>
          <cell r="M902" t="str">
            <v>ss</v>
          </cell>
        </row>
        <row r="903">
          <cell r="A903">
            <v>902</v>
          </cell>
          <cell r="B903" t="str">
            <v>ja</v>
          </cell>
          <cell r="C903" t="str">
            <v>集団恩愛性ニムダL</v>
          </cell>
          <cell r="D903" t="str">
            <v>ニムダ_サンリオキャラ混じり</v>
          </cell>
          <cell r="E903" t="str">
            <v>執行者</v>
          </cell>
          <cell r="F903" t="str">
            <v>格好いい</v>
          </cell>
          <cell r="G903" t="str">
            <v>男性</v>
          </cell>
          <cell r="H903" t="str">
            <v>yellow</v>
          </cell>
          <cell r="I903">
            <v>5</v>
          </cell>
          <cell r="J903" t="str">
            <v>Drop2N</v>
          </cell>
          <cell r="K903" t="str">
            <v>technical</v>
          </cell>
          <cell r="L903" t="str">
            <v>テクニカルタイプ</v>
          </cell>
          <cell r="M903" t="str">
            <v>ss</v>
          </cell>
        </row>
        <row r="904">
          <cell r="A904">
            <v>903</v>
          </cell>
          <cell r="B904" t="str">
            <v>ja</v>
          </cell>
          <cell r="C904" t="str">
            <v>ハローキティ</v>
          </cell>
          <cell r="D904" t="str">
            <v>ハローキティ</v>
          </cell>
          <cell r="E904" t="str">
            <v>執行者</v>
          </cell>
          <cell r="F904" t="str">
            <v>格好いい</v>
          </cell>
          <cell r="G904" t="str">
            <v>男性</v>
          </cell>
          <cell r="H904" t="str">
            <v>red</v>
          </cell>
          <cell r="I904">
            <v>4</v>
          </cell>
          <cell r="J904" t="str">
            <v>Drop2N</v>
          </cell>
          <cell r="K904" t="str">
            <v>balance</v>
          </cell>
          <cell r="L904" t="str">
            <v>バランスタイプ</v>
          </cell>
          <cell r="M904" t="str">
            <v>ss</v>
          </cell>
        </row>
        <row r="905">
          <cell r="A905">
            <v>904</v>
          </cell>
          <cell r="B905" t="str">
            <v>ja</v>
          </cell>
          <cell r="C905" t="str">
            <v>りんごの馬車　ハローキティ</v>
          </cell>
          <cell r="D905" t="str">
            <v>ハローキティ</v>
          </cell>
          <cell r="E905" t="str">
            <v>執行者</v>
          </cell>
          <cell r="F905" t="str">
            <v>格好いい</v>
          </cell>
          <cell r="G905" t="str">
            <v>男性</v>
          </cell>
          <cell r="H905" t="str">
            <v>red</v>
          </cell>
          <cell r="I905">
            <v>5</v>
          </cell>
          <cell r="J905" t="str">
            <v>Drop2N</v>
          </cell>
          <cell r="K905" t="str">
            <v>balance</v>
          </cell>
          <cell r="L905" t="str">
            <v>バランスタイプ</v>
          </cell>
          <cell r="M905" t="str">
            <v>ss</v>
          </cell>
        </row>
        <row r="906">
          <cell r="A906">
            <v>905</v>
          </cell>
          <cell r="B906" t="str">
            <v>ja</v>
          </cell>
          <cell r="C906" t="str">
            <v>KIRIMIちゃん.</v>
          </cell>
          <cell r="D906" t="str">
            <v>KIRIMIちゃん</v>
          </cell>
          <cell r="E906" t="str">
            <v>執行者</v>
          </cell>
          <cell r="F906" t="str">
            <v>格好いい</v>
          </cell>
          <cell r="G906" t="str">
            <v>男性</v>
          </cell>
          <cell r="H906" t="str">
            <v>red</v>
          </cell>
          <cell r="I906">
            <v>4</v>
          </cell>
          <cell r="J906" t="str">
            <v>Drop2N</v>
          </cell>
          <cell r="K906" t="str">
            <v>hp</v>
          </cell>
          <cell r="L906" t="str">
            <v>体力タイプ</v>
          </cell>
          <cell r="M906" t="str">
            <v>ss</v>
          </cell>
        </row>
        <row r="907">
          <cell r="A907">
            <v>906</v>
          </cell>
          <cell r="B907" t="str">
            <v>ja</v>
          </cell>
          <cell r="C907" t="str">
            <v>おいしくたべてね KIRIMIちゃん.</v>
          </cell>
          <cell r="D907" t="str">
            <v>KIRIMIちゃん</v>
          </cell>
          <cell r="E907" t="str">
            <v>執行者</v>
          </cell>
          <cell r="F907" t="str">
            <v>格好いい</v>
          </cell>
          <cell r="G907" t="str">
            <v>男性</v>
          </cell>
          <cell r="H907" t="str">
            <v>red</v>
          </cell>
          <cell r="I907">
            <v>5</v>
          </cell>
          <cell r="J907" t="str">
            <v>Drop2N</v>
          </cell>
          <cell r="K907" t="str">
            <v>hp</v>
          </cell>
          <cell r="L907" t="str">
            <v>体力タイプ</v>
          </cell>
          <cell r="M907" t="str">
            <v>ss</v>
          </cell>
        </row>
        <row r="908">
          <cell r="A908">
            <v>907</v>
          </cell>
          <cell r="B908" t="str">
            <v>ja</v>
          </cell>
          <cell r="C908" t="str">
            <v>ハローキティのリボン</v>
          </cell>
          <cell r="D908" t="str">
            <v>ハローキティのリボン</v>
          </cell>
          <cell r="E908" t="str">
            <v>執行者</v>
          </cell>
          <cell r="F908" t="str">
            <v>格好いい</v>
          </cell>
          <cell r="G908" t="str">
            <v>男性</v>
          </cell>
          <cell r="H908" t="str">
            <v>red</v>
          </cell>
          <cell r="I908">
            <v>5</v>
          </cell>
          <cell r="J908" t="str">
            <v>Drop2N</v>
          </cell>
          <cell r="K908" t="str">
            <v>evolution</v>
          </cell>
          <cell r="L908" t="str">
            <v>覚醒素材タイプ</v>
          </cell>
          <cell r="M908" t="str">
            <v>ss</v>
          </cell>
        </row>
        <row r="909">
          <cell r="A909">
            <v>908</v>
          </cell>
          <cell r="B909" t="str">
            <v>ja</v>
          </cell>
          <cell r="C909" t="str">
            <v>ママの作ったアップルパイ</v>
          </cell>
          <cell r="D909" t="str">
            <v>ママの作ったアップルパイ</v>
          </cell>
          <cell r="E909" t="str">
            <v>執行者</v>
          </cell>
          <cell r="F909" t="str">
            <v>格好いい</v>
          </cell>
          <cell r="G909" t="str">
            <v>男性</v>
          </cell>
          <cell r="H909" t="str">
            <v>red</v>
          </cell>
          <cell r="I909">
            <v>4</v>
          </cell>
          <cell r="J909" t="str">
            <v>Drop2N</v>
          </cell>
          <cell r="K909" t="str">
            <v>evolution</v>
          </cell>
          <cell r="L909" t="str">
            <v>覚醒素材タイプ</v>
          </cell>
          <cell r="M909" t="str">
            <v>ss</v>
          </cell>
        </row>
        <row r="910">
          <cell r="A910">
            <v>909</v>
          </cell>
          <cell r="B910" t="str">
            <v>ja</v>
          </cell>
          <cell r="C910" t="str">
            <v>光愛の弾幕 D.R.T.H.</v>
          </cell>
          <cell r="D910" t="str">
            <v>D.R.T.H__キティコスプレ</v>
          </cell>
          <cell r="E910" t="str">
            <v>執行者</v>
          </cell>
          <cell r="F910" t="str">
            <v>格好いい</v>
          </cell>
          <cell r="G910" t="str">
            <v>男性</v>
          </cell>
          <cell r="H910" t="str">
            <v>red</v>
          </cell>
          <cell r="I910">
            <v>5</v>
          </cell>
          <cell r="J910" t="str">
            <v>PremiumSS</v>
          </cell>
          <cell r="K910" t="str">
            <v>balance</v>
          </cell>
          <cell r="L910" t="str">
            <v>バランスタイプ</v>
          </cell>
          <cell r="M910" t="str">
            <v>ss</v>
          </cell>
        </row>
        <row r="911">
          <cell r="A911">
            <v>910</v>
          </cell>
          <cell r="B911" t="str">
            <v>ja</v>
          </cell>
          <cell r="C911" t="str">
            <v>輝愛の大弾幕 D.R.T.H.</v>
          </cell>
          <cell r="D911" t="str">
            <v>D.R.T.H__キティコスプレ</v>
          </cell>
          <cell r="E911" t="str">
            <v>執行者</v>
          </cell>
          <cell r="F911" t="str">
            <v>格好いい</v>
          </cell>
          <cell r="G911" t="str">
            <v>男性</v>
          </cell>
          <cell r="H911" t="str">
            <v>red</v>
          </cell>
          <cell r="I911">
            <v>6</v>
          </cell>
          <cell r="J911" t="str">
            <v>PremiumSS</v>
          </cell>
          <cell r="K911" t="str">
            <v>balance</v>
          </cell>
          <cell r="L911" t="str">
            <v>バランスタイプ</v>
          </cell>
          <cell r="M911" t="str">
            <v>ss</v>
          </cell>
        </row>
        <row r="912">
          <cell r="A912">
            <v>911</v>
          </cell>
          <cell r="B912" t="str">
            <v>ja</v>
          </cell>
          <cell r="C912" t="str">
            <v>マイメロディ</v>
          </cell>
          <cell r="D912" t="str">
            <v>マイメロディ</v>
          </cell>
          <cell r="E912" t="str">
            <v>執行者</v>
          </cell>
          <cell r="F912" t="str">
            <v>格好いい</v>
          </cell>
          <cell r="G912" t="str">
            <v>男性</v>
          </cell>
          <cell r="H912" t="str">
            <v>red</v>
          </cell>
          <cell r="I912">
            <v>4</v>
          </cell>
          <cell r="J912" t="str">
            <v>PremiumS</v>
          </cell>
          <cell r="K912" t="str">
            <v>attack</v>
          </cell>
          <cell r="L912" t="str">
            <v>攻撃タイプ</v>
          </cell>
          <cell r="M912" t="str">
            <v>ss</v>
          </cell>
        </row>
        <row r="913">
          <cell r="A913">
            <v>912</v>
          </cell>
          <cell r="B913" t="str">
            <v>ja</v>
          </cell>
          <cell r="C913" t="str">
            <v>フラットくんと一緒 マイメロディ</v>
          </cell>
          <cell r="D913" t="str">
            <v>マイメロディ</v>
          </cell>
          <cell r="E913" t="str">
            <v>執行者</v>
          </cell>
          <cell r="F913" t="str">
            <v>格好いい</v>
          </cell>
          <cell r="G913" t="str">
            <v>男性</v>
          </cell>
          <cell r="H913" t="str">
            <v>red</v>
          </cell>
          <cell r="I913">
            <v>5</v>
          </cell>
          <cell r="J913" t="str">
            <v>PremiumS</v>
          </cell>
          <cell r="K913" t="str">
            <v>attack</v>
          </cell>
          <cell r="L913" t="str">
            <v>攻撃タイプ</v>
          </cell>
          <cell r="M913" t="str">
            <v>ss</v>
          </cell>
        </row>
        <row r="914">
          <cell r="A914">
            <v>913</v>
          </cell>
          <cell r="B914" t="str">
            <v>ja</v>
          </cell>
          <cell r="C914" t="str">
            <v>幸福の縁廻　ニーベルゲン</v>
          </cell>
          <cell r="D914" t="str">
            <v>ニーベルゲン_シナモロールコスプレ</v>
          </cell>
          <cell r="E914" t="str">
            <v>執行者</v>
          </cell>
          <cell r="F914" t="str">
            <v>格好いい</v>
          </cell>
          <cell r="G914" t="str">
            <v>男性</v>
          </cell>
          <cell r="H914" t="str">
            <v>green</v>
          </cell>
          <cell r="I914">
            <v>4</v>
          </cell>
          <cell r="J914" t="str">
            <v>PremiumS</v>
          </cell>
          <cell r="K914" t="str">
            <v>balance</v>
          </cell>
          <cell r="L914" t="str">
            <v>バランスタイプ</v>
          </cell>
          <cell r="M914" t="str">
            <v>ss</v>
          </cell>
        </row>
        <row r="915">
          <cell r="A915">
            <v>914</v>
          </cell>
          <cell r="B915" t="str">
            <v>ja</v>
          </cell>
          <cell r="C915" t="str">
            <v>淡色を廻る倖せ　ニーベルゲン</v>
          </cell>
          <cell r="D915" t="str">
            <v>ニーベルゲン_シナモロールコスプレ</v>
          </cell>
          <cell r="E915" t="str">
            <v>執行者</v>
          </cell>
          <cell r="F915" t="str">
            <v>格好いい</v>
          </cell>
          <cell r="G915" t="str">
            <v>男性</v>
          </cell>
          <cell r="H915" t="str">
            <v>green</v>
          </cell>
          <cell r="I915">
            <v>5</v>
          </cell>
          <cell r="J915" t="str">
            <v>PremiumS</v>
          </cell>
          <cell r="K915" t="str">
            <v>balance</v>
          </cell>
          <cell r="L915" t="str">
            <v>バランスタイプ</v>
          </cell>
          <cell r="M915" t="str">
            <v>ss</v>
          </cell>
        </row>
        <row r="916">
          <cell r="A916">
            <v>915</v>
          </cell>
          <cell r="B916" t="str">
            <v>ja</v>
          </cell>
          <cell r="C916" t="str">
            <v>休息者　カカシ</v>
          </cell>
          <cell r="D916" t="str">
            <v>カカシ_マイメロディコスプレ</v>
          </cell>
          <cell r="E916" t="str">
            <v>執行者</v>
          </cell>
          <cell r="F916" t="str">
            <v>格好いい</v>
          </cell>
          <cell r="G916" t="str">
            <v>男性</v>
          </cell>
          <cell r="H916" t="str">
            <v>green</v>
          </cell>
          <cell r="I916">
            <v>4</v>
          </cell>
          <cell r="J916" t="str">
            <v>PremiumS</v>
          </cell>
          <cell r="K916" t="str">
            <v>technical</v>
          </cell>
          <cell r="L916" t="str">
            <v>テクニカルタイプ</v>
          </cell>
          <cell r="M916" t="str">
            <v>ss</v>
          </cell>
        </row>
        <row r="917">
          <cell r="A917">
            <v>916</v>
          </cell>
          <cell r="B917" t="str">
            <v>ja</v>
          </cell>
          <cell r="C917" t="str">
            <v>翠線譜の音色　カカシ</v>
          </cell>
          <cell r="D917" t="str">
            <v>カカシ_マイメロディコスプレ</v>
          </cell>
          <cell r="E917" t="str">
            <v>執行者</v>
          </cell>
          <cell r="F917" t="str">
            <v>格好いい</v>
          </cell>
          <cell r="G917" t="str">
            <v>男性</v>
          </cell>
          <cell r="H917" t="str">
            <v>green</v>
          </cell>
          <cell r="I917">
            <v>5</v>
          </cell>
          <cell r="J917" t="str">
            <v>PremiumS</v>
          </cell>
          <cell r="K917" t="str">
            <v>technical</v>
          </cell>
          <cell r="L917" t="str">
            <v>テクニカルタイプ</v>
          </cell>
          <cell r="M917" t="str">
            <v>ss</v>
          </cell>
        </row>
        <row r="918">
          <cell r="A918">
            <v>917</v>
          </cell>
          <cell r="B918" t="str">
            <v>ja</v>
          </cell>
          <cell r="C918" t="str">
            <v>けろけろけろっぴ</v>
          </cell>
          <cell r="D918" t="str">
            <v>ケロケロけろっぴ</v>
          </cell>
          <cell r="E918" t="str">
            <v>執行者</v>
          </cell>
          <cell r="F918" t="str">
            <v>格好いい</v>
          </cell>
          <cell r="G918" t="str">
            <v>男性</v>
          </cell>
          <cell r="H918" t="str">
            <v>green</v>
          </cell>
          <cell r="I918">
            <v>3</v>
          </cell>
          <cell r="J918" t="str">
            <v>PremiumS</v>
          </cell>
          <cell r="K918" t="str">
            <v>balance</v>
          </cell>
          <cell r="L918" t="str">
            <v>バランスタイプ</v>
          </cell>
          <cell r="M918" t="str">
            <v>ss</v>
          </cell>
        </row>
        <row r="919">
          <cell r="A919">
            <v>918</v>
          </cell>
          <cell r="B919" t="str">
            <v>ja</v>
          </cell>
          <cell r="C919" t="str">
            <v>てるてる天気 けろけろけろっぴ</v>
          </cell>
          <cell r="D919" t="str">
            <v>ケロケロけろっぴ</v>
          </cell>
          <cell r="E919" t="str">
            <v>執行者</v>
          </cell>
          <cell r="F919" t="str">
            <v>格好いい</v>
          </cell>
          <cell r="G919" t="str">
            <v>男性</v>
          </cell>
          <cell r="H919" t="str">
            <v>green</v>
          </cell>
          <cell r="I919">
            <v>4</v>
          </cell>
          <cell r="J919" t="str">
            <v>PremiumS</v>
          </cell>
          <cell r="K919" t="str">
            <v>balance</v>
          </cell>
          <cell r="L919" t="str">
            <v>バランスタイプ</v>
          </cell>
          <cell r="M919" t="str">
            <v>ss</v>
          </cell>
        </row>
        <row r="920">
          <cell r="A920">
            <v>919</v>
          </cell>
          <cell r="B920" t="str">
            <v>ja</v>
          </cell>
          <cell r="C920" t="str">
            <v>甘美の誘惑 モルドレッド</v>
          </cell>
          <cell r="D920" t="str">
            <v>モルドレッド_ポムポムプリンコスプレ</v>
          </cell>
          <cell r="E920" t="str">
            <v>執行者</v>
          </cell>
          <cell r="F920" t="str">
            <v>格好いい</v>
          </cell>
          <cell r="G920" t="str">
            <v>男性</v>
          </cell>
          <cell r="H920" t="str">
            <v>blue</v>
          </cell>
          <cell r="I920">
            <v>5</v>
          </cell>
          <cell r="J920" t="str">
            <v>PremiumSS</v>
          </cell>
          <cell r="K920" t="str">
            <v>heal</v>
          </cell>
          <cell r="L920" t="str">
            <v>回復タイプ</v>
          </cell>
          <cell r="M920" t="str">
            <v>ss</v>
          </cell>
        </row>
        <row r="921">
          <cell r="A921">
            <v>920</v>
          </cell>
          <cell r="B921" t="str">
            <v>ja</v>
          </cell>
          <cell r="C921" t="str">
            <v>甘美の誘迷 モルドレッド</v>
          </cell>
          <cell r="D921" t="str">
            <v>モルドレッド_ポムポムプリンコスプレ</v>
          </cell>
          <cell r="E921" t="str">
            <v>執行者</v>
          </cell>
          <cell r="F921" t="str">
            <v>格好いい</v>
          </cell>
          <cell r="G921" t="str">
            <v>男性</v>
          </cell>
          <cell r="H921" t="str">
            <v>blue</v>
          </cell>
          <cell r="I921">
            <v>6</v>
          </cell>
          <cell r="J921" t="str">
            <v>PremiumSS</v>
          </cell>
          <cell r="K921" t="str">
            <v>heal</v>
          </cell>
          <cell r="L921" t="str">
            <v>回復タイプ</v>
          </cell>
          <cell r="M921" t="str">
            <v>ss</v>
          </cell>
        </row>
        <row r="922">
          <cell r="A922">
            <v>921</v>
          </cell>
          <cell r="B922" t="str">
            <v>ja</v>
          </cell>
          <cell r="C922" t="str">
            <v>クロミ</v>
          </cell>
          <cell r="D922" t="str">
            <v>クロミ</v>
          </cell>
          <cell r="E922" t="str">
            <v>執行者</v>
          </cell>
          <cell r="F922" t="str">
            <v>格好いい</v>
          </cell>
          <cell r="G922" t="str">
            <v>男性</v>
          </cell>
          <cell r="H922" t="str">
            <v>blue</v>
          </cell>
          <cell r="I922">
            <v>3</v>
          </cell>
          <cell r="J922" t="str">
            <v>PremiumS</v>
          </cell>
          <cell r="K922" t="str">
            <v>technical</v>
          </cell>
          <cell r="L922" t="str">
            <v>テクニカルタイプ</v>
          </cell>
          <cell r="M922" t="str">
            <v>ss</v>
          </cell>
        </row>
        <row r="923">
          <cell r="A923">
            <v>922</v>
          </cell>
          <cell r="B923" t="str">
            <v>ja</v>
          </cell>
          <cell r="C923" t="str">
            <v>アタイとバク クロミ</v>
          </cell>
          <cell r="D923" t="str">
            <v>クロミ</v>
          </cell>
          <cell r="E923" t="str">
            <v>執行者</v>
          </cell>
          <cell r="F923" t="str">
            <v>格好いい</v>
          </cell>
          <cell r="G923" t="str">
            <v>男性</v>
          </cell>
          <cell r="H923" t="str">
            <v>blue</v>
          </cell>
          <cell r="I923">
            <v>4</v>
          </cell>
          <cell r="J923" t="str">
            <v>PremiumS</v>
          </cell>
          <cell r="K923" t="str">
            <v>technical</v>
          </cell>
          <cell r="L923" t="str">
            <v>テクニカルタイプ</v>
          </cell>
          <cell r="M923" t="str">
            <v>ss</v>
          </cell>
        </row>
        <row r="924">
          <cell r="A924">
            <v>923</v>
          </cell>
          <cell r="B924" t="str">
            <v>ja</v>
          </cell>
          <cell r="C924" t="str">
            <v>バッドばつ丸</v>
          </cell>
          <cell r="D924" t="str">
            <v>バッドばつ丸</v>
          </cell>
          <cell r="E924" t="str">
            <v>執行者</v>
          </cell>
          <cell r="F924" t="str">
            <v>格好いい</v>
          </cell>
          <cell r="G924" t="str">
            <v>男性</v>
          </cell>
          <cell r="H924" t="str">
            <v>blue</v>
          </cell>
          <cell r="I924">
            <v>3</v>
          </cell>
          <cell r="J924" t="str">
            <v>PremiumS</v>
          </cell>
          <cell r="K924" t="str">
            <v>attack</v>
          </cell>
          <cell r="L924" t="str">
            <v>攻撃タイプ</v>
          </cell>
          <cell r="M924" t="str">
            <v>ss</v>
          </cell>
        </row>
        <row r="925">
          <cell r="A925">
            <v>924</v>
          </cell>
          <cell r="B925" t="str">
            <v>ja</v>
          </cell>
          <cell r="C925" t="str">
            <v>いたずら大好き　バッドばつ丸</v>
          </cell>
          <cell r="D925" t="str">
            <v>バッドばつ丸</v>
          </cell>
          <cell r="E925" t="str">
            <v>執行者</v>
          </cell>
          <cell r="F925" t="str">
            <v>格好いい</v>
          </cell>
          <cell r="G925" t="str">
            <v>男性</v>
          </cell>
          <cell r="H925" t="str">
            <v>blue</v>
          </cell>
          <cell r="I925">
            <v>4</v>
          </cell>
          <cell r="J925" t="str">
            <v>PremiumS</v>
          </cell>
          <cell r="K925" t="str">
            <v>attack</v>
          </cell>
          <cell r="L925" t="str">
            <v>攻撃タイプ</v>
          </cell>
          <cell r="M925" t="str">
            <v>ss</v>
          </cell>
        </row>
        <row r="926">
          <cell r="A926">
            <v>925</v>
          </cell>
          <cell r="B926" t="str">
            <v>ja</v>
          </cell>
          <cell r="C926" t="str">
            <v>シナモロール</v>
          </cell>
          <cell r="D926" t="str">
            <v>シナモロール</v>
          </cell>
          <cell r="E926" t="str">
            <v>執行者</v>
          </cell>
          <cell r="F926" t="str">
            <v>格好いい</v>
          </cell>
          <cell r="G926" t="str">
            <v>男性</v>
          </cell>
          <cell r="H926" t="str">
            <v>yellow</v>
          </cell>
          <cell r="I926">
            <v>4</v>
          </cell>
          <cell r="J926" t="str">
            <v>PremiumS</v>
          </cell>
          <cell r="K926" t="str">
            <v>heal</v>
          </cell>
          <cell r="L926" t="str">
            <v>回復タイプ</v>
          </cell>
          <cell r="M926" t="str">
            <v>ss</v>
          </cell>
        </row>
        <row r="927">
          <cell r="A927">
            <v>926</v>
          </cell>
          <cell r="B927" t="str">
            <v>ja</v>
          </cell>
          <cell r="C927" t="str">
            <v>ふわふわおさんぽ♪ シナモロール</v>
          </cell>
          <cell r="D927" t="str">
            <v>シナモロール</v>
          </cell>
          <cell r="E927" t="str">
            <v>執行者</v>
          </cell>
          <cell r="F927" t="str">
            <v>格好いい</v>
          </cell>
          <cell r="G927" t="str">
            <v>男性</v>
          </cell>
          <cell r="H927" t="str">
            <v>yellow</v>
          </cell>
          <cell r="I927">
            <v>5</v>
          </cell>
          <cell r="J927" t="str">
            <v>PremiumS</v>
          </cell>
          <cell r="K927" t="str">
            <v>heal</v>
          </cell>
          <cell r="L927" t="str">
            <v>回復タイプ</v>
          </cell>
          <cell r="M927" t="str">
            <v>ss</v>
          </cell>
        </row>
        <row r="928">
          <cell r="A928">
            <v>927</v>
          </cell>
          <cell r="B928" t="str">
            <v>ja</v>
          </cell>
          <cell r="C928" t="str">
            <v>ポムポムプリン</v>
          </cell>
          <cell r="D928" t="str">
            <v>ポムポムプリン</v>
          </cell>
          <cell r="E928" t="str">
            <v>執行者</v>
          </cell>
          <cell r="F928" t="str">
            <v>格好いい</v>
          </cell>
          <cell r="G928" t="str">
            <v>男性</v>
          </cell>
          <cell r="H928" t="str">
            <v>yellow</v>
          </cell>
          <cell r="I928">
            <v>3</v>
          </cell>
          <cell r="J928" t="str">
            <v>PremiumS</v>
          </cell>
          <cell r="K928" t="str">
            <v>hp</v>
          </cell>
          <cell r="L928" t="str">
            <v>体力タイプ</v>
          </cell>
          <cell r="M928" t="str">
            <v>ss</v>
          </cell>
        </row>
        <row r="929">
          <cell r="A929">
            <v>928</v>
          </cell>
          <cell r="B929" t="str">
            <v>ja</v>
          </cell>
          <cell r="C929" t="str">
            <v>一緒におでかけ ポムポムプリン</v>
          </cell>
          <cell r="D929" t="str">
            <v>ポムポムプリン</v>
          </cell>
          <cell r="E929" t="str">
            <v>執行者</v>
          </cell>
          <cell r="F929" t="str">
            <v>格好いい</v>
          </cell>
          <cell r="G929" t="str">
            <v>男性</v>
          </cell>
          <cell r="H929" t="str">
            <v>yellow</v>
          </cell>
          <cell r="I929">
            <v>4</v>
          </cell>
          <cell r="J929" t="str">
            <v>PremiumS</v>
          </cell>
          <cell r="K929" t="str">
            <v>hp</v>
          </cell>
          <cell r="L929" t="str">
            <v>体力タイプ</v>
          </cell>
          <cell r="M929" t="str">
            <v>ss</v>
          </cell>
        </row>
        <row r="930">
          <cell r="A930">
            <v>929</v>
          </cell>
          <cell r="B930" t="str">
            <v>ja</v>
          </cell>
          <cell r="C930" t="str">
            <v>ゼウス</v>
          </cell>
          <cell r="D930" t="str">
            <v>各属性相性良3・黄・R533</v>
          </cell>
          <cell r="E930" t="str">
            <v>執行者</v>
          </cell>
          <cell r="F930" t="str">
            <v>格好いい</v>
          </cell>
          <cell r="G930" t="str">
            <v>男性</v>
          </cell>
          <cell r="H930" t="str">
            <v>yellow</v>
          </cell>
          <cell r="I930">
            <v>5</v>
          </cell>
          <cell r="J930" t="str">
            <v>DropWizSS</v>
          </cell>
          <cell r="K930" t="str">
            <v>balance</v>
          </cell>
          <cell r="L930" t="str">
            <v>バランスタイプ</v>
          </cell>
          <cell r="M930" t="str">
            <v>god</v>
          </cell>
        </row>
        <row r="931">
          <cell r="A931">
            <v>930</v>
          </cell>
          <cell r="B931" t="str">
            <v>ja</v>
          </cell>
          <cell r="C931" t="str">
            <v>烙雷の全能神 ゼウス</v>
          </cell>
          <cell r="D931" t="str">
            <v>各属性相性良3・黄・R534</v>
          </cell>
          <cell r="E931" t="str">
            <v>執行者</v>
          </cell>
          <cell r="F931" t="str">
            <v>格好いい</v>
          </cell>
          <cell r="G931" t="str">
            <v>男性</v>
          </cell>
          <cell r="H931" t="str">
            <v>yellow</v>
          </cell>
          <cell r="I931">
            <v>6</v>
          </cell>
          <cell r="J931" t="str">
            <v>DropWizSS</v>
          </cell>
          <cell r="K931" t="str">
            <v>balance</v>
          </cell>
          <cell r="L931" t="str">
            <v>バランスタイプ</v>
          </cell>
          <cell r="M931" t="str">
            <v>god</v>
          </cell>
        </row>
        <row r="932">
          <cell r="A932">
            <v>931</v>
          </cell>
          <cell r="B932" t="str">
            <v>ja</v>
          </cell>
          <cell r="C932" t="str">
            <v>ネルソン</v>
          </cell>
          <cell r="D932" t="str">
            <v>各属性相性良3・黄・R535</v>
          </cell>
          <cell r="E932" t="str">
            <v>執行者</v>
          </cell>
          <cell r="F932" t="str">
            <v>格好いい</v>
          </cell>
          <cell r="G932" t="str">
            <v>男性</v>
          </cell>
          <cell r="H932" t="str">
            <v>green</v>
          </cell>
          <cell r="I932">
            <v>4</v>
          </cell>
          <cell r="J932" t="str">
            <v>Drop2N</v>
          </cell>
          <cell r="K932" t="str">
            <v>technical</v>
          </cell>
          <cell r="L932" t="str">
            <v>テクニカルタイプ</v>
          </cell>
          <cell r="M932" t="str">
            <v>human</v>
          </cell>
        </row>
        <row r="933">
          <cell r="A933">
            <v>932</v>
          </cell>
          <cell r="B933" t="str">
            <v>ja</v>
          </cell>
          <cell r="C933" t="str">
            <v>隻眼の英堤 ネルソン</v>
          </cell>
          <cell r="D933" t="str">
            <v>各属性相性良3・黄・R536</v>
          </cell>
          <cell r="E933" t="str">
            <v>執行者</v>
          </cell>
          <cell r="F933" t="str">
            <v>格好いい</v>
          </cell>
          <cell r="G933" t="str">
            <v>男性</v>
          </cell>
          <cell r="H933" t="str">
            <v>green</v>
          </cell>
          <cell r="I933">
            <v>5</v>
          </cell>
          <cell r="J933" t="str">
            <v>Drop2N</v>
          </cell>
          <cell r="K933" t="str">
            <v>technical</v>
          </cell>
          <cell r="L933" t="str">
            <v>テクニカルタイプ</v>
          </cell>
          <cell r="M933" t="str">
            <v>human</v>
          </cell>
        </row>
        <row r="934">
          <cell r="A934">
            <v>933</v>
          </cell>
          <cell r="B934" t="str">
            <v>ja</v>
          </cell>
          <cell r="C934" t="str">
            <v>ヴェルサイユ</v>
          </cell>
          <cell r="D934" t="str">
            <v>各属性相性良3・黄・R537</v>
          </cell>
          <cell r="E934" t="str">
            <v>執行者</v>
          </cell>
          <cell r="F934" t="str">
            <v>格好いい</v>
          </cell>
          <cell r="G934" t="str">
            <v>男性</v>
          </cell>
          <cell r="H934" t="str">
            <v>yellow</v>
          </cell>
          <cell r="I934">
            <v>4</v>
          </cell>
          <cell r="J934" t="str">
            <v>Drop2N</v>
          </cell>
          <cell r="K934" t="str">
            <v>attack</v>
          </cell>
          <cell r="L934" t="str">
            <v>攻撃タイプ</v>
          </cell>
          <cell r="M934" t="str">
            <v>unknown</v>
          </cell>
        </row>
        <row r="935">
          <cell r="A935">
            <v>934</v>
          </cell>
          <cell r="B935" t="str">
            <v>ja</v>
          </cell>
          <cell r="C935" t="str">
            <v>絢爛たる燈城 ヴェルサイユ</v>
          </cell>
          <cell r="D935" t="str">
            <v>各属性相性良3・黄・R538</v>
          </cell>
          <cell r="E935" t="str">
            <v>執行者</v>
          </cell>
          <cell r="F935" t="str">
            <v>格好いい</v>
          </cell>
          <cell r="G935" t="str">
            <v>男性</v>
          </cell>
          <cell r="H935" t="str">
            <v>yellow</v>
          </cell>
          <cell r="I935">
            <v>5</v>
          </cell>
          <cell r="J935" t="str">
            <v>Drop2N</v>
          </cell>
          <cell r="K935" t="str">
            <v>attack</v>
          </cell>
          <cell r="L935" t="str">
            <v>攻撃タイプ</v>
          </cell>
          <cell r="M935" t="str">
            <v>unknown</v>
          </cell>
        </row>
        <row r="936">
          <cell r="A936">
            <v>935</v>
          </cell>
          <cell r="B936" t="str">
            <v>ja</v>
          </cell>
          <cell r="C936" t="str">
            <v>ルイ16世</v>
          </cell>
          <cell r="D936" t="str">
            <v>各属性相性良3・黄・R539</v>
          </cell>
          <cell r="E936" t="str">
            <v>執行者</v>
          </cell>
          <cell r="F936" t="str">
            <v>格好いい</v>
          </cell>
          <cell r="G936" t="str">
            <v>男性</v>
          </cell>
          <cell r="H936" t="str">
            <v>red</v>
          </cell>
          <cell r="I936">
            <v>5</v>
          </cell>
          <cell r="J936" t="str">
            <v>DropWizS</v>
          </cell>
          <cell r="K936" t="str">
            <v>balance</v>
          </cell>
          <cell r="L936" t="str">
            <v>バランスタイプ</v>
          </cell>
          <cell r="M936" t="str">
            <v>human</v>
          </cell>
        </row>
        <row r="937">
          <cell r="A937">
            <v>936</v>
          </cell>
          <cell r="B937" t="str">
            <v>ja</v>
          </cell>
          <cell r="C937" t="str">
            <v>憲誓の煉王 ルイ16世</v>
          </cell>
          <cell r="D937" t="str">
            <v>各属性相性良3・黄・R540</v>
          </cell>
          <cell r="E937" t="str">
            <v>執行者</v>
          </cell>
          <cell r="F937" t="str">
            <v>格好いい</v>
          </cell>
          <cell r="G937" t="str">
            <v>男性</v>
          </cell>
          <cell r="H937" t="str">
            <v>red</v>
          </cell>
          <cell r="I937">
            <v>6</v>
          </cell>
          <cell r="J937" t="str">
            <v>DropWizS</v>
          </cell>
          <cell r="K937" t="str">
            <v>balance</v>
          </cell>
          <cell r="L937" t="str">
            <v>バランスタイプ</v>
          </cell>
          <cell r="M937" t="str">
            <v>human</v>
          </cell>
        </row>
        <row r="938">
          <cell r="A938">
            <v>937</v>
          </cell>
          <cell r="B938" t="str">
            <v>ja</v>
          </cell>
          <cell r="C938" t="str">
            <v>ナポレオン</v>
          </cell>
          <cell r="D938" t="str">
            <v>各属性相性良3・黄・R541</v>
          </cell>
          <cell r="E938" t="str">
            <v>執行者</v>
          </cell>
          <cell r="F938" t="str">
            <v>格好いい</v>
          </cell>
          <cell r="G938" t="str">
            <v>男性</v>
          </cell>
          <cell r="H938" t="str">
            <v>red</v>
          </cell>
          <cell r="I938">
            <v>5</v>
          </cell>
          <cell r="J938" t="str">
            <v>PremiumSS</v>
          </cell>
          <cell r="K938" t="str">
            <v>balance</v>
          </cell>
          <cell r="L938" t="str">
            <v>バランスタイプ</v>
          </cell>
          <cell r="M938" t="str">
            <v>human</v>
          </cell>
        </row>
        <row r="939">
          <cell r="A939">
            <v>938</v>
          </cell>
          <cell r="B939" t="str">
            <v>ja</v>
          </cell>
          <cell r="C939" t="str">
            <v>炎焔宿す革命皇 ナポレオン</v>
          </cell>
          <cell r="D939" t="str">
            <v>各属性相性良3・黄・R542</v>
          </cell>
          <cell r="E939" t="str">
            <v>執行者</v>
          </cell>
          <cell r="F939" t="str">
            <v>格好いい</v>
          </cell>
          <cell r="G939" t="str">
            <v>男性</v>
          </cell>
          <cell r="H939" t="str">
            <v>red</v>
          </cell>
          <cell r="I939">
            <v>6</v>
          </cell>
          <cell r="J939" t="str">
            <v>PremiumSS</v>
          </cell>
          <cell r="K939" t="str">
            <v>balance</v>
          </cell>
          <cell r="L939" t="str">
            <v>バランスタイプ</v>
          </cell>
          <cell r="M939" t="str">
            <v>human</v>
          </cell>
        </row>
        <row r="940">
          <cell r="A940">
            <v>939</v>
          </cell>
          <cell r="B940" t="str">
            <v>ja</v>
          </cell>
          <cell r="C940" t="str">
            <v>バスティーユ</v>
          </cell>
          <cell r="D940" t="str">
            <v>各属性相性良3・黄・R543</v>
          </cell>
          <cell r="E940" t="str">
            <v>執行者</v>
          </cell>
          <cell r="F940" t="str">
            <v>格好いい</v>
          </cell>
          <cell r="G940" t="str">
            <v>男性</v>
          </cell>
          <cell r="H940" t="str">
            <v>green</v>
          </cell>
          <cell r="I940">
            <v>4</v>
          </cell>
          <cell r="J940" t="str">
            <v>PremiumS</v>
          </cell>
          <cell r="K940" t="str">
            <v>hp</v>
          </cell>
          <cell r="L940" t="str">
            <v>体力タイプ</v>
          </cell>
          <cell r="M940" t="str">
            <v>unknown</v>
          </cell>
        </row>
        <row r="941">
          <cell r="A941">
            <v>940</v>
          </cell>
          <cell r="B941" t="str">
            <v>ja</v>
          </cell>
          <cell r="C941" t="str">
            <v>不壊の大要塞 バスティーユ</v>
          </cell>
          <cell r="D941" t="str">
            <v>各属性相性良3・黄・R544</v>
          </cell>
          <cell r="E941" t="str">
            <v>執行者</v>
          </cell>
          <cell r="F941" t="str">
            <v>格好いい</v>
          </cell>
          <cell r="G941" t="str">
            <v>男性</v>
          </cell>
          <cell r="H941" t="str">
            <v>green</v>
          </cell>
          <cell r="I941">
            <v>5</v>
          </cell>
          <cell r="J941" t="str">
            <v>PremiumS</v>
          </cell>
          <cell r="K941" t="str">
            <v>hp</v>
          </cell>
          <cell r="L941" t="str">
            <v>体力タイプ</v>
          </cell>
          <cell r="M941" t="str">
            <v>unknown</v>
          </cell>
        </row>
        <row r="942">
          <cell r="A942">
            <v>941</v>
          </cell>
          <cell r="B942" t="str">
            <v>ja</v>
          </cell>
          <cell r="C942" t="str">
            <v>アントワネット</v>
          </cell>
          <cell r="D942" t="str">
            <v>各属性相性良3・黄・R545</v>
          </cell>
          <cell r="E942" t="str">
            <v>執行者</v>
          </cell>
          <cell r="F942" t="str">
            <v>格好いい</v>
          </cell>
          <cell r="G942" t="str">
            <v>男性</v>
          </cell>
          <cell r="H942" t="str">
            <v>blue</v>
          </cell>
          <cell r="I942">
            <v>5</v>
          </cell>
          <cell r="J942" t="str">
            <v>PremiumSS</v>
          </cell>
          <cell r="K942" t="str">
            <v>technical</v>
          </cell>
          <cell r="L942" t="str">
            <v>テクニカルタイプ</v>
          </cell>
          <cell r="M942" t="str">
            <v>human</v>
          </cell>
        </row>
        <row r="943">
          <cell r="A943">
            <v>942</v>
          </cell>
          <cell r="B943" t="str">
            <v>ja</v>
          </cell>
          <cell r="C943" t="str">
            <v>華戯たる傲妃 アントワネット</v>
          </cell>
          <cell r="D943" t="str">
            <v>各属性相性良3・黄・R546</v>
          </cell>
          <cell r="E943" t="str">
            <v>執行者</v>
          </cell>
          <cell r="F943" t="str">
            <v>格好いい</v>
          </cell>
          <cell r="G943" t="str">
            <v>男性</v>
          </cell>
          <cell r="H943" t="str">
            <v>blue</v>
          </cell>
          <cell r="I943">
            <v>6</v>
          </cell>
          <cell r="J943" t="str">
            <v>PremiumSS</v>
          </cell>
          <cell r="K943" t="str">
            <v>technical</v>
          </cell>
          <cell r="L943" t="str">
            <v>テクニカルタイプ</v>
          </cell>
          <cell r="M943" t="str">
            <v>human</v>
          </cell>
        </row>
        <row r="944">
          <cell r="A944">
            <v>943</v>
          </cell>
          <cell r="B944" t="str">
            <v>ja</v>
          </cell>
          <cell r="C944" t="str">
            <v>サンソン</v>
          </cell>
          <cell r="D944" t="str">
            <v>各属性相性良3・黄・R547</v>
          </cell>
          <cell r="E944" t="str">
            <v>執行者</v>
          </cell>
          <cell r="F944" t="str">
            <v>格好いい</v>
          </cell>
          <cell r="G944" t="str">
            <v>男性</v>
          </cell>
          <cell r="H944" t="str">
            <v>yellow</v>
          </cell>
          <cell r="I944">
            <v>5</v>
          </cell>
          <cell r="J944" t="str">
            <v>PremiumSS</v>
          </cell>
          <cell r="K944" t="str">
            <v>attack</v>
          </cell>
          <cell r="L944" t="str">
            <v>攻撃タイプ</v>
          </cell>
          <cell r="M944" t="str">
            <v>human</v>
          </cell>
        </row>
        <row r="945">
          <cell r="A945">
            <v>944</v>
          </cell>
          <cell r="B945" t="str">
            <v>ja</v>
          </cell>
          <cell r="C945" t="str">
            <v>王敬の執行者 サンソン</v>
          </cell>
          <cell r="D945" t="str">
            <v>各属性相性良3・黄・R548</v>
          </cell>
          <cell r="E945" t="str">
            <v>執行者</v>
          </cell>
          <cell r="F945" t="str">
            <v>格好いい</v>
          </cell>
          <cell r="G945" t="str">
            <v>男性</v>
          </cell>
          <cell r="H945" t="str">
            <v>yellow</v>
          </cell>
          <cell r="I945">
            <v>6</v>
          </cell>
          <cell r="J945" t="str">
            <v>PremiumSS</v>
          </cell>
          <cell r="K945" t="str">
            <v>attack</v>
          </cell>
          <cell r="L945" t="str">
            <v>攻撃タイプ</v>
          </cell>
          <cell r="M945" t="str">
            <v>human</v>
          </cell>
        </row>
        <row r="946">
          <cell r="A946">
            <v>945</v>
          </cell>
          <cell r="B946" t="str">
            <v>ja</v>
          </cell>
          <cell r="C946" t="str">
            <v>ブリューナク</v>
          </cell>
          <cell r="D946" t="str">
            <v>各属性相性良3・黄・R549</v>
          </cell>
          <cell r="E946" t="str">
            <v>執行者</v>
          </cell>
          <cell r="F946" t="str">
            <v>格好いい</v>
          </cell>
          <cell r="G946" t="str">
            <v>男性</v>
          </cell>
          <cell r="H946" t="str">
            <v>red</v>
          </cell>
          <cell r="I946">
            <v>5</v>
          </cell>
          <cell r="J946" t="str">
            <v>PremiumSSS</v>
          </cell>
          <cell r="K946" t="str">
            <v>attack</v>
          </cell>
          <cell r="L946" t="str">
            <v>攻撃タイプ</v>
          </cell>
          <cell r="M946" t="str">
            <v>academia</v>
          </cell>
        </row>
        <row r="947">
          <cell r="A947">
            <v>946</v>
          </cell>
          <cell r="B947" t="str">
            <v>ja</v>
          </cell>
          <cell r="C947" t="str">
            <v>ブリューナク</v>
          </cell>
          <cell r="D947" t="str">
            <v>各属性相性良3・黄・R550</v>
          </cell>
          <cell r="E947" t="str">
            <v>執行者</v>
          </cell>
          <cell r="F947" t="str">
            <v>格好いい</v>
          </cell>
          <cell r="G947" t="str">
            <v>男性</v>
          </cell>
          <cell r="H947" t="str">
            <v>red</v>
          </cell>
          <cell r="I947">
            <v>6</v>
          </cell>
          <cell r="J947" t="str">
            <v>PremiumSSS</v>
          </cell>
          <cell r="K947" t="str">
            <v>attack</v>
          </cell>
          <cell r="L947" t="str">
            <v>攻撃タイプ</v>
          </cell>
          <cell r="M947" t="str">
            <v>academia</v>
          </cell>
        </row>
        <row r="948">
          <cell r="A948">
            <v>947</v>
          </cell>
          <cell r="B948" t="str">
            <v>ja</v>
          </cell>
          <cell r="C948" t="str">
            <v>ゲイボルグ</v>
          </cell>
          <cell r="D948" t="str">
            <v>各属性相性良3・黄・R551</v>
          </cell>
          <cell r="E948" t="str">
            <v>執行者</v>
          </cell>
          <cell r="F948" t="str">
            <v>格好いい</v>
          </cell>
          <cell r="G948" t="str">
            <v>男性</v>
          </cell>
          <cell r="H948" t="str">
            <v>green</v>
          </cell>
          <cell r="I948">
            <v>5</v>
          </cell>
          <cell r="J948" t="str">
            <v>DropWizSSS</v>
          </cell>
          <cell r="K948" t="str">
            <v>attack</v>
          </cell>
          <cell r="L948" t="str">
            <v>攻撃タイプ</v>
          </cell>
          <cell r="M948" t="str">
            <v>weapon</v>
          </cell>
        </row>
        <row r="949">
          <cell r="A949">
            <v>948</v>
          </cell>
          <cell r="B949" t="str">
            <v>ja</v>
          </cell>
          <cell r="C949" t="str">
            <v>裂雷の必撃鏃 ゲイボルグ</v>
          </cell>
          <cell r="D949" t="str">
            <v>各属性相性良3・黄・R552</v>
          </cell>
          <cell r="E949" t="str">
            <v>執行者</v>
          </cell>
          <cell r="F949" t="str">
            <v>格好いい</v>
          </cell>
          <cell r="G949" t="str">
            <v>男性</v>
          </cell>
          <cell r="H949" t="str">
            <v>green</v>
          </cell>
          <cell r="I949">
            <v>6</v>
          </cell>
          <cell r="J949" t="str">
            <v>DropWizSSS</v>
          </cell>
          <cell r="K949" t="str">
            <v>attack</v>
          </cell>
          <cell r="L949" t="str">
            <v>攻撃タイプ</v>
          </cell>
          <cell r="M949" t="str">
            <v>weapon</v>
          </cell>
        </row>
        <row r="950">
          <cell r="A950">
            <v>949</v>
          </cell>
          <cell r="B950" t="str">
            <v>ja</v>
          </cell>
          <cell r="C950" t="str">
            <v>トライデント</v>
          </cell>
          <cell r="D950" t="str">
            <v>各属性相性良3・黄・R553</v>
          </cell>
          <cell r="E950" t="str">
            <v>執行者</v>
          </cell>
          <cell r="F950" t="str">
            <v>格好いい</v>
          </cell>
          <cell r="G950" t="str">
            <v>男性</v>
          </cell>
          <cell r="H950" t="str">
            <v>blue</v>
          </cell>
          <cell r="I950">
            <v>5</v>
          </cell>
          <cell r="J950" t="str">
            <v>DropWizSSS</v>
          </cell>
          <cell r="K950" t="str">
            <v>balance</v>
          </cell>
          <cell r="L950" t="str">
            <v>バランスタイプ</v>
          </cell>
          <cell r="M950" t="str">
            <v>weapon</v>
          </cell>
        </row>
        <row r="951">
          <cell r="A951">
            <v>950</v>
          </cell>
          <cell r="B951" t="str">
            <v>ja</v>
          </cell>
          <cell r="C951" t="str">
            <v>海洪操る三叉戟 トライデント</v>
          </cell>
          <cell r="D951" t="str">
            <v>各属性相性良3・黄・R554</v>
          </cell>
          <cell r="E951" t="str">
            <v>執行者</v>
          </cell>
          <cell r="F951" t="str">
            <v>格好いい</v>
          </cell>
          <cell r="G951" t="str">
            <v>男性</v>
          </cell>
          <cell r="H951" t="str">
            <v>blue</v>
          </cell>
          <cell r="I951">
            <v>6</v>
          </cell>
          <cell r="J951" t="str">
            <v>DropWizSSS</v>
          </cell>
          <cell r="K951" t="str">
            <v>balance</v>
          </cell>
          <cell r="L951" t="str">
            <v>バランスタイプ</v>
          </cell>
          <cell r="M951" t="str">
            <v>weapon</v>
          </cell>
        </row>
        <row r="952">
          <cell r="A952">
            <v>951</v>
          </cell>
          <cell r="B952" t="str">
            <v>ja</v>
          </cell>
          <cell r="C952" t="str">
            <v>グングニル</v>
          </cell>
          <cell r="D952" t="str">
            <v>各属性相性良3・黄・R555</v>
          </cell>
          <cell r="E952" t="str">
            <v>執行者</v>
          </cell>
          <cell r="F952" t="str">
            <v>格好いい</v>
          </cell>
          <cell r="G952" t="str">
            <v>男性</v>
          </cell>
          <cell r="H952" t="str">
            <v>yellow</v>
          </cell>
          <cell r="I952">
            <v>5</v>
          </cell>
          <cell r="J952" t="str">
            <v>DropWizSSS</v>
          </cell>
          <cell r="K952" t="str">
            <v>attack</v>
          </cell>
          <cell r="L952" t="str">
            <v>攻撃タイプ</v>
          </cell>
          <cell r="M952" t="str">
            <v>weapon</v>
          </cell>
        </row>
        <row r="953">
          <cell r="A953">
            <v>952</v>
          </cell>
          <cell r="B953" t="str">
            <v>ja</v>
          </cell>
          <cell r="C953" t="str">
            <v>勝臨の機鋭槍 グングニル</v>
          </cell>
          <cell r="D953" t="str">
            <v>各属性相性良3・黄・R556</v>
          </cell>
          <cell r="E953" t="str">
            <v>執行者</v>
          </cell>
          <cell r="F953" t="str">
            <v>格好いい</v>
          </cell>
          <cell r="G953" t="str">
            <v>男性</v>
          </cell>
          <cell r="H953" t="str">
            <v>yellow</v>
          </cell>
          <cell r="I953">
            <v>6</v>
          </cell>
          <cell r="J953" t="str">
            <v>DropWizSSS</v>
          </cell>
          <cell r="K953" t="str">
            <v>attack</v>
          </cell>
          <cell r="L953" t="str">
            <v>攻撃タイプ</v>
          </cell>
          <cell r="M953" t="str">
            <v>weapon</v>
          </cell>
        </row>
        <row r="954">
          <cell r="A954">
            <v>953</v>
          </cell>
          <cell r="B954" t="str">
            <v>ja</v>
          </cell>
          <cell r="C954" t="str">
            <v>ハイゼンベルク</v>
          </cell>
          <cell r="D954" t="str">
            <v>各属性相性良3・黄・R557</v>
          </cell>
          <cell r="E954" t="str">
            <v>執行者</v>
          </cell>
          <cell r="F954" t="str">
            <v>格好いい</v>
          </cell>
          <cell r="G954" t="str">
            <v>男性</v>
          </cell>
          <cell r="H954" t="str">
            <v>green</v>
          </cell>
          <cell r="I954">
            <v>5</v>
          </cell>
          <cell r="J954" t="str">
            <v>PremiumSSS</v>
          </cell>
          <cell r="K954" t="str">
            <v>attack</v>
          </cell>
          <cell r="L954" t="str">
            <v>攻撃タイプ</v>
          </cell>
          <cell r="M954" t="str">
            <v>academia</v>
          </cell>
        </row>
        <row r="955">
          <cell r="A955">
            <v>954</v>
          </cell>
          <cell r="B955" t="str">
            <v>ja</v>
          </cell>
          <cell r="C955" t="str">
            <v>不確の量熔者 ハイゼンベルク</v>
          </cell>
          <cell r="D955" t="str">
            <v>各属性相性良3・黄・R558</v>
          </cell>
          <cell r="E955" t="str">
            <v>執行者</v>
          </cell>
          <cell r="F955" t="str">
            <v>格好いい</v>
          </cell>
          <cell r="G955" t="str">
            <v>男性</v>
          </cell>
          <cell r="H955" t="str">
            <v>green</v>
          </cell>
          <cell r="I955">
            <v>6</v>
          </cell>
          <cell r="J955" t="str">
            <v>PremiumSSS</v>
          </cell>
          <cell r="K955" t="str">
            <v>attack</v>
          </cell>
          <cell r="L955" t="str">
            <v>攻撃タイプ</v>
          </cell>
          <cell r="M955" t="str">
            <v>academia</v>
          </cell>
        </row>
        <row r="956">
          <cell r="A956">
            <v>955</v>
          </cell>
          <cell r="B956" t="str">
            <v>ja</v>
          </cell>
          <cell r="C956" t="str">
            <v>マクローリン</v>
          </cell>
          <cell r="D956" t="str">
            <v>各属性相性良3・黄・R559</v>
          </cell>
          <cell r="E956" t="str">
            <v>執行者</v>
          </cell>
          <cell r="F956" t="str">
            <v>格好いい</v>
          </cell>
          <cell r="G956" t="str">
            <v>男性</v>
          </cell>
          <cell r="H956" t="str">
            <v>red</v>
          </cell>
          <cell r="I956">
            <v>5</v>
          </cell>
          <cell r="J956" t="str">
            <v>PremiumSSS</v>
          </cell>
          <cell r="K956" t="str">
            <v>technical</v>
          </cell>
          <cell r="L956" t="str">
            <v>テクニカルタイプ</v>
          </cell>
          <cell r="M956" t="str">
            <v>academia</v>
          </cell>
        </row>
        <row r="957">
          <cell r="A957">
            <v>956</v>
          </cell>
          <cell r="B957" t="str">
            <v>ja</v>
          </cell>
          <cell r="C957" t="str">
            <v>導環の崇論 マクローリン</v>
          </cell>
          <cell r="D957" t="str">
            <v>各属性相性良3・黄・R560</v>
          </cell>
          <cell r="E957" t="str">
            <v>執行者</v>
          </cell>
          <cell r="F957" t="str">
            <v>格好いい</v>
          </cell>
          <cell r="G957" t="str">
            <v>男性</v>
          </cell>
          <cell r="H957" t="str">
            <v>red</v>
          </cell>
          <cell r="I957">
            <v>6</v>
          </cell>
          <cell r="J957" t="str">
            <v>PremiumSSS</v>
          </cell>
          <cell r="K957" t="str">
            <v>technical</v>
          </cell>
          <cell r="L957" t="str">
            <v>テクニカルタイプ</v>
          </cell>
          <cell r="M957" t="str">
            <v>academia</v>
          </cell>
        </row>
        <row r="958">
          <cell r="A958">
            <v>957</v>
          </cell>
          <cell r="B958" t="str">
            <v>ja</v>
          </cell>
          <cell r="C958" t="str">
            <v>浮環の流律論 マクローリン</v>
          </cell>
          <cell r="D958" t="str">
            <v>各属性相性良3・黄・R561</v>
          </cell>
          <cell r="E958" t="str">
            <v>執行者</v>
          </cell>
          <cell r="F958" t="str">
            <v>格好いい</v>
          </cell>
          <cell r="G958" t="str">
            <v>男性</v>
          </cell>
          <cell r="H958" t="str">
            <v>red</v>
          </cell>
          <cell r="I958">
            <v>6</v>
          </cell>
          <cell r="J958" t="str">
            <v>PremiumSSS</v>
          </cell>
          <cell r="K958" t="str">
            <v>hp</v>
          </cell>
          <cell r="L958" t="str">
            <v>体力タイプ</v>
          </cell>
          <cell r="M958" t="str">
            <v>academia</v>
          </cell>
        </row>
        <row r="959">
          <cell r="A959">
            <v>958</v>
          </cell>
          <cell r="B959" t="str">
            <v>ja</v>
          </cell>
          <cell r="C959" t="str">
            <v>ド・モルガン</v>
          </cell>
          <cell r="D959" t="str">
            <v>各属性相性良3・黄・R562</v>
          </cell>
          <cell r="E959" t="str">
            <v>執行者</v>
          </cell>
          <cell r="F959" t="str">
            <v>格好いい</v>
          </cell>
          <cell r="G959" t="str">
            <v>男性</v>
          </cell>
          <cell r="H959" t="str">
            <v>green</v>
          </cell>
          <cell r="I959">
            <v>5</v>
          </cell>
          <cell r="J959" t="str">
            <v>PremiumSSS</v>
          </cell>
          <cell r="K959" t="str">
            <v>balance</v>
          </cell>
          <cell r="L959" t="str">
            <v>バランスタイプ</v>
          </cell>
          <cell r="M959" t="str">
            <v>academia</v>
          </cell>
        </row>
        <row r="960">
          <cell r="A960">
            <v>959</v>
          </cell>
          <cell r="B960" t="str">
            <v>ja</v>
          </cell>
          <cell r="C960" t="str">
            <v>双世の論和 ド・モルガン</v>
          </cell>
          <cell r="D960" t="str">
            <v>各属性相性良3・黄・R563</v>
          </cell>
          <cell r="E960" t="str">
            <v>執行者</v>
          </cell>
          <cell r="F960" t="str">
            <v>格好いい</v>
          </cell>
          <cell r="G960" t="str">
            <v>男性</v>
          </cell>
          <cell r="H960" t="str">
            <v>green</v>
          </cell>
          <cell r="I960">
            <v>6</v>
          </cell>
          <cell r="J960" t="str">
            <v>PremiumSSS</v>
          </cell>
          <cell r="K960" t="str">
            <v>balance</v>
          </cell>
          <cell r="L960" t="str">
            <v>バランスタイプ</v>
          </cell>
          <cell r="M960" t="str">
            <v>academia</v>
          </cell>
        </row>
        <row r="961">
          <cell r="A961">
            <v>960</v>
          </cell>
          <cell r="B961" t="str">
            <v>ja</v>
          </cell>
          <cell r="C961" t="str">
            <v>双対する真偽者 ド・モルガン</v>
          </cell>
          <cell r="D961" t="str">
            <v>各属性相性良3・黄・R564</v>
          </cell>
          <cell r="E961" t="str">
            <v>執行者</v>
          </cell>
          <cell r="F961" t="str">
            <v>格好いい</v>
          </cell>
          <cell r="G961" t="str">
            <v>男性</v>
          </cell>
          <cell r="H961" t="str">
            <v>green</v>
          </cell>
          <cell r="I961">
            <v>6</v>
          </cell>
          <cell r="J961" t="str">
            <v>PremiumSSS</v>
          </cell>
          <cell r="K961" t="str">
            <v>heal</v>
          </cell>
          <cell r="L961" t="str">
            <v>回復タイプ</v>
          </cell>
          <cell r="M961" t="str">
            <v>academia</v>
          </cell>
        </row>
        <row r="962">
          <cell r="A962">
            <v>961</v>
          </cell>
          <cell r="B962" t="str">
            <v>ja</v>
          </cell>
          <cell r="C962" t="str">
            <v>狂奏・混業剣 ガレス</v>
          </cell>
          <cell r="D962" t="str">
            <v>各属性相性良3・黄・R565</v>
          </cell>
          <cell r="E962" t="str">
            <v>執行者</v>
          </cell>
          <cell r="F962" t="str">
            <v>格好いい</v>
          </cell>
          <cell r="G962" t="str">
            <v>男性</v>
          </cell>
          <cell r="H962" t="str">
            <v>green</v>
          </cell>
          <cell r="I962">
            <v>6</v>
          </cell>
          <cell r="J962" t="str">
            <v>DropWizS</v>
          </cell>
          <cell r="K962" t="str">
            <v>technical</v>
          </cell>
          <cell r="L962" t="str">
            <v>テクニカルタイプ</v>
          </cell>
          <cell r="M962" t="str">
            <v>human</v>
          </cell>
        </row>
        <row r="963">
          <cell r="A963">
            <v>962</v>
          </cell>
          <cell r="B963" t="str">
            <v>ja</v>
          </cell>
          <cell r="C963" t="str">
            <v>酩酊する大宴龍 ヤマタノオロチ</v>
          </cell>
          <cell r="D963" t="str">
            <v>各属性相性良3・黄・R566</v>
          </cell>
          <cell r="E963" t="str">
            <v>執行者</v>
          </cell>
          <cell r="F963" t="str">
            <v>格好いい</v>
          </cell>
          <cell r="G963" t="str">
            <v>男性</v>
          </cell>
          <cell r="H963" t="str">
            <v>green</v>
          </cell>
          <cell r="I963">
            <v>6</v>
          </cell>
          <cell r="J963" t="str">
            <v>PremiumSS</v>
          </cell>
          <cell r="K963" t="str">
            <v>hp</v>
          </cell>
          <cell r="L963" t="str">
            <v>体力タイプ</v>
          </cell>
          <cell r="M963" t="str">
            <v>dragon</v>
          </cell>
        </row>
        <row r="964">
          <cell r="A964">
            <v>963</v>
          </cell>
          <cell r="B964" t="str">
            <v>ja</v>
          </cell>
          <cell r="C964" t="str">
            <v>天蛇の閃皇貴魔 アスタロト</v>
          </cell>
          <cell r="D964" t="str">
            <v>各属性相性良3・黄・R567</v>
          </cell>
          <cell r="E964" t="str">
            <v>執行者</v>
          </cell>
          <cell r="F964" t="str">
            <v>格好いい</v>
          </cell>
          <cell r="G964" t="str">
            <v>男性</v>
          </cell>
          <cell r="H964" t="str">
            <v>yellow</v>
          </cell>
          <cell r="I964">
            <v>6</v>
          </cell>
          <cell r="J964" t="str">
            <v>PremiumSS</v>
          </cell>
          <cell r="K964" t="str">
            <v>attack</v>
          </cell>
          <cell r="L964" t="str">
            <v>攻撃タイプ</v>
          </cell>
          <cell r="M964" t="str">
            <v>god</v>
          </cell>
        </row>
        <row r="965">
          <cell r="A965">
            <v>964</v>
          </cell>
          <cell r="B965" t="str">
            <v>ja</v>
          </cell>
          <cell r="C965" t="str">
            <v>海破雨散の海龍 リヴァイアサン</v>
          </cell>
          <cell r="D965" t="str">
            <v>各属性相性良3・黄・R568</v>
          </cell>
          <cell r="E965" t="str">
            <v>執行者</v>
          </cell>
          <cell r="F965" t="str">
            <v>格好いい</v>
          </cell>
          <cell r="G965" t="str">
            <v>男性</v>
          </cell>
          <cell r="H965" t="str">
            <v>blue</v>
          </cell>
          <cell r="I965">
            <v>6</v>
          </cell>
          <cell r="J965" t="str">
            <v>PremiumSS</v>
          </cell>
          <cell r="K965" t="str">
            <v>balance</v>
          </cell>
          <cell r="L965" t="str">
            <v>バランスタイプ</v>
          </cell>
          <cell r="M965" t="str">
            <v>dragon</v>
          </cell>
        </row>
        <row r="966">
          <cell r="A966">
            <v>965</v>
          </cell>
          <cell r="B966" t="str">
            <v>ja</v>
          </cell>
          <cell r="C966" t="str">
            <v>穿熱の緋龍王 キング・ドライグ</v>
          </cell>
          <cell r="D966" t="str">
            <v>各属性相性良3・黄・R569</v>
          </cell>
          <cell r="E966" t="str">
            <v>執行者</v>
          </cell>
          <cell r="F966" t="str">
            <v>格好いい</v>
          </cell>
          <cell r="G966" t="str">
            <v>男性</v>
          </cell>
          <cell r="H966" t="str">
            <v>red</v>
          </cell>
          <cell r="I966">
            <v>6</v>
          </cell>
          <cell r="J966" t="str">
            <v>PremiumSS</v>
          </cell>
          <cell r="K966" t="str">
            <v>attack</v>
          </cell>
          <cell r="L966" t="str">
            <v>攻撃タイプ</v>
          </cell>
          <cell r="M966" t="str">
            <v>dragon</v>
          </cell>
        </row>
        <row r="967">
          <cell r="A967">
            <v>966</v>
          </cell>
          <cell r="B967" t="str">
            <v>ja</v>
          </cell>
          <cell r="C967" t="str">
            <v>麗嵐の颯愛志士 土方歳三</v>
          </cell>
          <cell r="D967" t="str">
            <v>各属性相性良3・黄・R570</v>
          </cell>
          <cell r="E967" t="str">
            <v>執行者</v>
          </cell>
          <cell r="F967" t="str">
            <v>格好いい</v>
          </cell>
          <cell r="G967" t="str">
            <v>男性</v>
          </cell>
          <cell r="H967" t="str">
            <v>green</v>
          </cell>
          <cell r="I967">
            <v>6</v>
          </cell>
          <cell r="J967" t="str">
            <v>PremiumSS</v>
          </cell>
          <cell r="K967" t="str">
            <v>attack</v>
          </cell>
          <cell r="L967" t="str">
            <v>攻撃タイプ</v>
          </cell>
          <cell r="M967" t="str">
            <v>human</v>
          </cell>
        </row>
        <row r="968">
          <cell r="A968">
            <v>967</v>
          </cell>
          <cell r="B968" t="str">
            <v>ja</v>
          </cell>
          <cell r="C968" t="str">
            <v>討滅の凶妖志士 斎藤一</v>
          </cell>
          <cell r="D968" t="str">
            <v>各属性相性良3・黄・R571</v>
          </cell>
          <cell r="E968" t="str">
            <v>執行者</v>
          </cell>
          <cell r="F968" t="str">
            <v>格好いい</v>
          </cell>
          <cell r="G968" t="str">
            <v>男性</v>
          </cell>
          <cell r="H968" t="str">
            <v>yellow</v>
          </cell>
          <cell r="I968">
            <v>6</v>
          </cell>
          <cell r="J968" t="str">
            <v>PremiumSS</v>
          </cell>
          <cell r="K968" t="str">
            <v>technical</v>
          </cell>
          <cell r="L968" t="str">
            <v>テクニカルタイプ</v>
          </cell>
          <cell r="M968" t="str">
            <v>human</v>
          </cell>
        </row>
        <row r="969">
          <cell r="A969">
            <v>968</v>
          </cell>
          <cell r="B969" t="str">
            <v>ja</v>
          </cell>
          <cell r="C969" t="str">
            <v>夢謀の愚幻者 フール</v>
          </cell>
          <cell r="D969" t="str">
            <v>各属性相性良3・黄・R572</v>
          </cell>
          <cell r="E969" t="str">
            <v>執行者</v>
          </cell>
          <cell r="F969" t="str">
            <v>格好いい</v>
          </cell>
          <cell r="G969" t="str">
            <v>男性</v>
          </cell>
          <cell r="H969" t="str">
            <v>blue</v>
          </cell>
          <cell r="I969">
            <v>6</v>
          </cell>
          <cell r="J969" t="str">
            <v>PremiumSS</v>
          </cell>
          <cell r="K969" t="str">
            <v>technical</v>
          </cell>
          <cell r="L969" t="str">
            <v>テクニカルタイプ</v>
          </cell>
          <cell r="M969" t="str">
            <v>god</v>
          </cell>
        </row>
        <row r="970">
          <cell r="A970">
            <v>969</v>
          </cell>
          <cell r="B970" t="str">
            <v>ja</v>
          </cell>
          <cell r="C970" t="str">
            <v>超排撃の焔砲巨神 ユミル</v>
          </cell>
          <cell r="D970" t="str">
            <v>各属性相性良3・黄・R573</v>
          </cell>
          <cell r="E970" t="str">
            <v>執行者</v>
          </cell>
          <cell r="F970" t="str">
            <v>格好いい</v>
          </cell>
          <cell r="G970" t="str">
            <v>男性</v>
          </cell>
          <cell r="H970" t="str">
            <v>red</v>
          </cell>
          <cell r="I970">
            <v>6</v>
          </cell>
          <cell r="J970" t="str">
            <v>PremiumSS</v>
          </cell>
          <cell r="K970" t="str">
            <v>hp</v>
          </cell>
          <cell r="L970" t="str">
            <v>体力タイプ</v>
          </cell>
          <cell r="M970" t="str">
            <v>machine</v>
          </cell>
        </row>
        <row r="971">
          <cell r="A971">
            <v>970</v>
          </cell>
          <cell r="B971" t="str">
            <v>ja</v>
          </cell>
          <cell r="C971" t="str">
            <v>目醒の鋏牙 ラプンツェル</v>
          </cell>
          <cell r="D971" t="str">
            <v>各属性相性良3・黄・R574</v>
          </cell>
          <cell r="E971" t="str">
            <v>執行者</v>
          </cell>
          <cell r="F971" t="str">
            <v>格好いい</v>
          </cell>
          <cell r="G971" t="str">
            <v>男性</v>
          </cell>
          <cell r="H971" t="str">
            <v>yellow</v>
          </cell>
          <cell r="I971">
            <v>6</v>
          </cell>
          <cell r="J971" t="str">
            <v>PremiumSS</v>
          </cell>
          <cell r="K971" t="str">
            <v>balance</v>
          </cell>
          <cell r="L971" t="str">
            <v>バランスタイプ</v>
          </cell>
          <cell r="M971" t="str">
            <v>human</v>
          </cell>
        </row>
        <row r="972">
          <cell r="A972">
            <v>971</v>
          </cell>
          <cell r="B972" t="str">
            <v>ja</v>
          </cell>
          <cell r="C972" t="str">
            <v>機獅蛮勇 ブレイブリー・ライオン</v>
          </cell>
          <cell r="D972" t="str">
            <v>各属性相性良3・黄・R575</v>
          </cell>
          <cell r="E972" t="str">
            <v>執行者</v>
          </cell>
          <cell r="F972" t="str">
            <v>格好いい</v>
          </cell>
          <cell r="G972" t="str">
            <v>男性</v>
          </cell>
          <cell r="H972" t="str">
            <v>yellow</v>
          </cell>
          <cell r="I972">
            <v>6</v>
          </cell>
          <cell r="J972" t="str">
            <v>PremiumSS</v>
          </cell>
          <cell r="K972" t="str">
            <v>hp</v>
          </cell>
          <cell r="L972" t="str">
            <v>体力タイプ</v>
          </cell>
          <cell r="M972" t="str">
            <v>animal</v>
          </cell>
        </row>
        <row r="973">
          <cell r="A973">
            <v>972</v>
          </cell>
          <cell r="B973" t="str">
            <v>ja</v>
          </cell>
          <cell r="C973" t="str">
            <v>コーシー</v>
          </cell>
          <cell r="D973" t="str">
            <v>各属性相性良3・黄・R576</v>
          </cell>
          <cell r="E973" t="str">
            <v>執行者</v>
          </cell>
          <cell r="F973" t="str">
            <v>格好いい</v>
          </cell>
          <cell r="G973" t="str">
            <v>男性</v>
          </cell>
          <cell r="H973" t="str">
            <v>red</v>
          </cell>
          <cell r="I973">
            <v>5</v>
          </cell>
          <cell r="J973" t="str">
            <v>PremiumSSS</v>
          </cell>
          <cell r="K973" t="str">
            <v>attack</v>
          </cell>
          <cell r="L973" t="str">
            <v>攻撃タイプ</v>
          </cell>
          <cell r="M973" t="str">
            <v>academia</v>
          </cell>
        </row>
        <row r="974">
          <cell r="A974">
            <v>973</v>
          </cell>
          <cell r="B974" t="str">
            <v>ja</v>
          </cell>
          <cell r="C974" t="str">
            <v>幻蜜なる怪跡 コーシー</v>
          </cell>
          <cell r="D974" t="str">
            <v>各属性相性良3・黄・R577</v>
          </cell>
          <cell r="E974" t="str">
            <v>執行者</v>
          </cell>
          <cell r="F974" t="str">
            <v>格好いい</v>
          </cell>
          <cell r="G974" t="str">
            <v>男性</v>
          </cell>
          <cell r="H974" t="str">
            <v>red</v>
          </cell>
          <cell r="I974">
            <v>6</v>
          </cell>
          <cell r="J974" t="str">
            <v>PremiumSSS</v>
          </cell>
          <cell r="K974" t="str">
            <v>attack</v>
          </cell>
          <cell r="L974" t="str">
            <v>攻撃タイプ</v>
          </cell>
          <cell r="M974" t="str">
            <v>academia</v>
          </cell>
        </row>
        <row r="975">
          <cell r="A975">
            <v>974</v>
          </cell>
          <cell r="B975" t="str">
            <v>ja</v>
          </cell>
          <cell r="C975" t="str">
            <v>ブール</v>
          </cell>
          <cell r="D975" t="str">
            <v>各属性相性良3・黄・R578</v>
          </cell>
          <cell r="E975" t="str">
            <v>執行者</v>
          </cell>
          <cell r="F975" t="str">
            <v>格好いい</v>
          </cell>
          <cell r="G975" t="str">
            <v>男性</v>
          </cell>
          <cell r="H975" t="str">
            <v>blue</v>
          </cell>
          <cell r="I975">
            <v>5</v>
          </cell>
          <cell r="J975" t="str">
            <v>PremiumSSS</v>
          </cell>
          <cell r="K975" t="str">
            <v>balance</v>
          </cell>
          <cell r="L975" t="str">
            <v>バランスタイプ</v>
          </cell>
          <cell r="M975" t="str">
            <v>academia</v>
          </cell>
        </row>
        <row r="976">
          <cell r="A976">
            <v>975</v>
          </cell>
          <cell r="B976" t="str">
            <v>ja</v>
          </cell>
          <cell r="C976" t="str">
            <v>綺号を巡る輝翼 ブール</v>
          </cell>
          <cell r="D976" t="str">
            <v>各属性相性良3・黄・R579</v>
          </cell>
          <cell r="E976" t="str">
            <v>執行者</v>
          </cell>
          <cell r="F976" t="str">
            <v>格好いい</v>
          </cell>
          <cell r="G976" t="str">
            <v>男性</v>
          </cell>
          <cell r="H976" t="str">
            <v>blue</v>
          </cell>
          <cell r="I976">
            <v>6</v>
          </cell>
          <cell r="J976" t="str">
            <v>PremiumSSS</v>
          </cell>
          <cell r="K976" t="str">
            <v>balance</v>
          </cell>
          <cell r="L976" t="str">
            <v>バランスタイプ</v>
          </cell>
          <cell r="M976" t="str">
            <v>academia</v>
          </cell>
        </row>
        <row r="977">
          <cell r="A977">
            <v>976</v>
          </cell>
          <cell r="B977" t="str">
            <v>ja</v>
          </cell>
          <cell r="C977" t="str">
            <v>ウザリーマン</v>
          </cell>
          <cell r="D977" t="str">
            <v>各属性相性良3・黄・R483</v>
          </cell>
          <cell r="E977" t="str">
            <v>執行者</v>
          </cell>
          <cell r="F977" t="str">
            <v>格好いい</v>
          </cell>
          <cell r="G977" t="str">
            <v>男性</v>
          </cell>
          <cell r="H977" t="str">
            <v>red</v>
          </cell>
          <cell r="I977">
            <v>3</v>
          </cell>
          <cell r="J977" t="str">
            <v>Drop2N</v>
          </cell>
          <cell r="K977" t="str">
            <v>technical</v>
          </cell>
          <cell r="L977" t="str">
            <v>テクニカルタイプ</v>
          </cell>
          <cell r="M977" t="str">
            <v>unknown</v>
          </cell>
        </row>
        <row r="978">
          <cell r="A978">
            <v>977</v>
          </cell>
          <cell r="B978" t="str">
            <v>ja</v>
          </cell>
          <cell r="C978" t="str">
            <v>リヴァイ お掃除ver</v>
          </cell>
          <cell r="D978" t="str">
            <v>リヴァイ お掃除ver.</v>
          </cell>
          <cell r="E978" t="str">
            <v>執行者</v>
          </cell>
          <cell r="F978" t="str">
            <v>格好いい</v>
          </cell>
          <cell r="G978" t="str">
            <v>男性</v>
          </cell>
          <cell r="H978" t="str">
            <v>blue</v>
          </cell>
          <cell r="I978">
            <v>4</v>
          </cell>
          <cell r="J978" t="str">
            <v>Drop2N</v>
          </cell>
          <cell r="K978" t="str">
            <v>balance</v>
          </cell>
          <cell r="L978" t="str">
            <v>バランスタイプ</v>
          </cell>
          <cell r="M978" t="str">
            <v>human</v>
          </cell>
        </row>
        <row r="979">
          <cell r="A979">
            <v>978</v>
          </cell>
          <cell r="B979" t="str">
            <v>ja</v>
          </cell>
          <cell r="C979" t="str">
            <v>潔癖の掃討 リヴァイ お掃除ver</v>
          </cell>
          <cell r="D979" t="str">
            <v>リヴァイ お掃除ver.</v>
          </cell>
          <cell r="E979" t="str">
            <v>執行者</v>
          </cell>
          <cell r="F979" t="str">
            <v>格好いい</v>
          </cell>
          <cell r="G979" t="str">
            <v>男性</v>
          </cell>
          <cell r="H979" t="str">
            <v>blue</v>
          </cell>
          <cell r="I979">
            <v>5</v>
          </cell>
          <cell r="J979" t="str">
            <v>Drop2N</v>
          </cell>
          <cell r="K979" t="str">
            <v>balance</v>
          </cell>
          <cell r="L979" t="str">
            <v>バランスタイプ</v>
          </cell>
          <cell r="M979" t="str">
            <v>human</v>
          </cell>
        </row>
        <row r="980">
          <cell r="A980">
            <v>979</v>
          </cell>
          <cell r="B980" t="str">
            <v>ja</v>
          </cell>
          <cell r="C980" t="str">
            <v>超大型巨人</v>
          </cell>
          <cell r="D980" t="str">
            <v>超大型巨人</v>
          </cell>
          <cell r="E980" t="str">
            <v>執行者</v>
          </cell>
          <cell r="F980" t="str">
            <v>格好いい</v>
          </cell>
          <cell r="G980" t="str">
            <v>男性</v>
          </cell>
          <cell r="H980" t="str">
            <v>red</v>
          </cell>
          <cell r="I980">
            <v>5</v>
          </cell>
          <cell r="J980" t="str">
            <v>DropWizS</v>
          </cell>
          <cell r="K980" t="str">
            <v>hp</v>
          </cell>
          <cell r="L980" t="str">
            <v>体力タイプ</v>
          </cell>
          <cell r="M980" t="str">
            <v>unknown</v>
          </cell>
        </row>
        <row r="981">
          <cell r="A981">
            <v>980</v>
          </cell>
          <cell r="B981" t="str">
            <v>ja</v>
          </cell>
          <cell r="C981" t="str">
            <v>猛熱の災厄 超大型巨人</v>
          </cell>
          <cell r="D981" t="str">
            <v>超大型巨人</v>
          </cell>
          <cell r="E981" t="str">
            <v>執行者</v>
          </cell>
          <cell r="F981" t="str">
            <v>格好いい</v>
          </cell>
          <cell r="G981" t="str">
            <v>男性</v>
          </cell>
          <cell r="H981" t="str">
            <v>red</v>
          </cell>
          <cell r="I981">
            <v>6</v>
          </cell>
          <cell r="J981" t="str">
            <v>DropWizS</v>
          </cell>
          <cell r="K981" t="str">
            <v>hp</v>
          </cell>
          <cell r="L981" t="str">
            <v>体力タイプ</v>
          </cell>
          <cell r="M981" t="str">
            <v>unknown</v>
          </cell>
        </row>
        <row r="982">
          <cell r="A982">
            <v>981</v>
          </cell>
          <cell r="B982" t="str">
            <v>ja</v>
          </cell>
          <cell r="C982" t="str">
            <v>女型の巨人</v>
          </cell>
          <cell r="D982" t="str">
            <v>女型の巨人</v>
          </cell>
          <cell r="E982" t="str">
            <v>執行者</v>
          </cell>
          <cell r="F982" t="str">
            <v>格好いい</v>
          </cell>
          <cell r="G982" t="str">
            <v>男性</v>
          </cell>
          <cell r="H982" t="str">
            <v>green</v>
          </cell>
          <cell r="I982">
            <v>4</v>
          </cell>
          <cell r="J982" t="str">
            <v>Drop2N</v>
          </cell>
          <cell r="K982" t="str">
            <v>balance</v>
          </cell>
          <cell r="L982" t="str">
            <v>バランスタイプ</v>
          </cell>
          <cell r="M982" t="str">
            <v>unknown</v>
          </cell>
        </row>
        <row r="983">
          <cell r="A983">
            <v>982</v>
          </cell>
          <cell r="B983" t="str">
            <v>ja</v>
          </cell>
          <cell r="C983" t="str">
            <v>柔靭なる剛脚 女型の巨人</v>
          </cell>
          <cell r="D983" t="str">
            <v>女型の巨人</v>
          </cell>
          <cell r="E983" t="str">
            <v>執行者</v>
          </cell>
          <cell r="F983" t="str">
            <v>格好いい</v>
          </cell>
          <cell r="G983" t="str">
            <v>男性</v>
          </cell>
          <cell r="H983" t="str">
            <v>green</v>
          </cell>
          <cell r="I983">
            <v>5</v>
          </cell>
          <cell r="J983" t="str">
            <v>Drop2N</v>
          </cell>
          <cell r="K983" t="str">
            <v>balance</v>
          </cell>
          <cell r="L983" t="str">
            <v>バランスタイプ</v>
          </cell>
          <cell r="M983" t="str">
            <v>unknown</v>
          </cell>
        </row>
        <row r="984">
          <cell r="A984">
            <v>983</v>
          </cell>
          <cell r="B984" t="str">
            <v>ja</v>
          </cell>
          <cell r="C984" t="str">
            <v>鎧の巨人</v>
          </cell>
          <cell r="D984" t="str">
            <v>鎧の巨人</v>
          </cell>
          <cell r="E984" t="str">
            <v>執行者</v>
          </cell>
          <cell r="F984" t="str">
            <v>格好いい</v>
          </cell>
          <cell r="G984" t="str">
            <v>男性</v>
          </cell>
          <cell r="H984" t="str">
            <v>yellow</v>
          </cell>
          <cell r="I984">
            <v>4</v>
          </cell>
          <cell r="J984" t="str">
            <v>Drop2N</v>
          </cell>
          <cell r="K984" t="str">
            <v>attack</v>
          </cell>
          <cell r="L984" t="str">
            <v>攻撃タイプ</v>
          </cell>
          <cell r="M984" t="str">
            <v>unknown</v>
          </cell>
        </row>
        <row r="985">
          <cell r="A985">
            <v>984</v>
          </cell>
          <cell r="B985" t="str">
            <v>ja</v>
          </cell>
          <cell r="C985" t="str">
            <v>破壁の剛弾 鎧の巨人</v>
          </cell>
          <cell r="D985" t="str">
            <v>鎧の巨人</v>
          </cell>
          <cell r="E985" t="str">
            <v>執行者</v>
          </cell>
          <cell r="F985" t="str">
            <v>格好いい</v>
          </cell>
          <cell r="G985" t="str">
            <v>男性</v>
          </cell>
          <cell r="H985" t="str">
            <v>yellow</v>
          </cell>
          <cell r="I985">
            <v>5</v>
          </cell>
          <cell r="J985" t="str">
            <v>Drop2N</v>
          </cell>
          <cell r="K985" t="str">
            <v>attack</v>
          </cell>
          <cell r="L985" t="str">
            <v>攻撃タイプ</v>
          </cell>
          <cell r="M985" t="str">
            <v>unknown</v>
          </cell>
        </row>
        <row r="986">
          <cell r="A986">
            <v>985</v>
          </cell>
          <cell r="B986" t="str">
            <v>ja</v>
          </cell>
          <cell r="C986" t="str">
            <v>エレン</v>
          </cell>
          <cell r="D986" t="str">
            <v>エレン・イェーガー</v>
          </cell>
          <cell r="E986" t="str">
            <v>執行者</v>
          </cell>
          <cell r="F986" t="str">
            <v>格好いい</v>
          </cell>
          <cell r="G986" t="str">
            <v>男性</v>
          </cell>
          <cell r="H986" t="str">
            <v>red</v>
          </cell>
          <cell r="I986">
            <v>5</v>
          </cell>
          <cell r="J986" t="str">
            <v>PremiumSS</v>
          </cell>
          <cell r="K986" t="str">
            <v>balance</v>
          </cell>
          <cell r="L986" t="str">
            <v>バランスタイプ</v>
          </cell>
          <cell r="M986" t="str">
            <v>human</v>
          </cell>
        </row>
        <row r="987">
          <cell r="A987">
            <v>986</v>
          </cell>
          <cell r="B987" t="str">
            <v>ja</v>
          </cell>
          <cell r="C987" t="str">
            <v>復讐の誓約 エレン</v>
          </cell>
          <cell r="D987" t="str">
            <v>エレン・イェーガー（人間）</v>
          </cell>
          <cell r="E987" t="str">
            <v>執行者</v>
          </cell>
          <cell r="F987" t="str">
            <v>格好いい</v>
          </cell>
          <cell r="G987" t="str">
            <v>男性</v>
          </cell>
          <cell r="H987" t="str">
            <v>red</v>
          </cell>
          <cell r="I987">
            <v>6</v>
          </cell>
          <cell r="J987" t="str">
            <v>PremiumSS</v>
          </cell>
          <cell r="K987" t="str">
            <v>balance</v>
          </cell>
          <cell r="L987" t="str">
            <v>バランスタイプ</v>
          </cell>
          <cell r="M987" t="str">
            <v>human</v>
          </cell>
        </row>
        <row r="988">
          <cell r="A988">
            <v>987</v>
          </cell>
          <cell r="B988" t="str">
            <v>ja</v>
          </cell>
          <cell r="C988" t="str">
            <v>撃壊の眼煌 エレン巨人</v>
          </cell>
          <cell r="D988" t="str">
            <v>エレン・イェーガー（巨人）</v>
          </cell>
          <cell r="E988" t="str">
            <v>執行者</v>
          </cell>
          <cell r="F988" t="str">
            <v>格好いい</v>
          </cell>
          <cell r="G988" t="str">
            <v>男性</v>
          </cell>
          <cell r="H988" t="str">
            <v>blue</v>
          </cell>
          <cell r="I988">
            <v>6</v>
          </cell>
          <cell r="J988" t="str">
            <v>PremiumSS</v>
          </cell>
          <cell r="K988" t="str">
            <v>attack</v>
          </cell>
          <cell r="L988" t="str">
            <v>攻撃タイプ</v>
          </cell>
          <cell r="M988" t="str">
            <v>unknown</v>
          </cell>
        </row>
        <row r="989">
          <cell r="A989">
            <v>988</v>
          </cell>
          <cell r="B989" t="str">
            <v>ja</v>
          </cell>
          <cell r="C989" t="str">
            <v>ミカサ</v>
          </cell>
          <cell r="D989" t="str">
            <v>ミカサ・アッカーマン</v>
          </cell>
          <cell r="E989" t="str">
            <v>執行者</v>
          </cell>
          <cell r="F989" t="str">
            <v>格好いい</v>
          </cell>
          <cell r="G989" t="str">
            <v>男性</v>
          </cell>
          <cell r="H989" t="str">
            <v>red</v>
          </cell>
          <cell r="I989">
            <v>5</v>
          </cell>
          <cell r="J989" t="str">
            <v>PremiumSS</v>
          </cell>
          <cell r="K989" t="str">
            <v>attack</v>
          </cell>
          <cell r="L989" t="str">
            <v>攻撃タイプ</v>
          </cell>
          <cell r="M989" t="str">
            <v>human</v>
          </cell>
        </row>
        <row r="990">
          <cell r="A990">
            <v>989</v>
          </cell>
          <cell r="B990" t="str">
            <v>ja</v>
          </cell>
          <cell r="C990" t="str">
            <v>稀代の逸材 ミカサ</v>
          </cell>
          <cell r="D990" t="str">
            <v>ミカサ・アッカーマン</v>
          </cell>
          <cell r="E990" t="str">
            <v>執行者</v>
          </cell>
          <cell r="F990" t="str">
            <v>格好いい</v>
          </cell>
          <cell r="G990" t="str">
            <v>男性</v>
          </cell>
          <cell r="H990" t="str">
            <v>red</v>
          </cell>
          <cell r="I990">
            <v>6</v>
          </cell>
          <cell r="J990" t="str">
            <v>PremiumSS</v>
          </cell>
          <cell r="K990" t="str">
            <v>attack</v>
          </cell>
          <cell r="L990" t="str">
            <v>攻撃タイプ</v>
          </cell>
          <cell r="M990" t="str">
            <v>human</v>
          </cell>
        </row>
        <row r="991">
          <cell r="A991">
            <v>990</v>
          </cell>
          <cell r="B991" t="str">
            <v>ja</v>
          </cell>
          <cell r="C991" t="str">
            <v>エルヴィン</v>
          </cell>
          <cell r="D991" t="str">
            <v>エルヴィン・スミス</v>
          </cell>
          <cell r="E991" t="str">
            <v>執行者</v>
          </cell>
          <cell r="F991" t="str">
            <v>格好いい</v>
          </cell>
          <cell r="G991" t="str">
            <v>男性</v>
          </cell>
          <cell r="H991" t="str">
            <v>red</v>
          </cell>
          <cell r="I991">
            <v>4</v>
          </cell>
          <cell r="J991" t="str">
            <v>PremiumS</v>
          </cell>
          <cell r="K991" t="str">
            <v>balance</v>
          </cell>
          <cell r="L991" t="str">
            <v>バランスタイプ</v>
          </cell>
          <cell r="M991" t="str">
            <v>human</v>
          </cell>
        </row>
        <row r="992">
          <cell r="A992">
            <v>991</v>
          </cell>
          <cell r="B992" t="str">
            <v>ja</v>
          </cell>
          <cell r="C992" t="str">
            <v>反撃の核心 エルヴィン</v>
          </cell>
          <cell r="D992" t="str">
            <v>エルヴィン・スミス</v>
          </cell>
          <cell r="E992" t="str">
            <v>執行者</v>
          </cell>
          <cell r="F992" t="str">
            <v>格好いい</v>
          </cell>
          <cell r="G992" t="str">
            <v>男性</v>
          </cell>
          <cell r="H992" t="str">
            <v>red</v>
          </cell>
          <cell r="I992">
            <v>5</v>
          </cell>
          <cell r="J992" t="str">
            <v>PremiumS</v>
          </cell>
          <cell r="K992" t="str">
            <v>balance</v>
          </cell>
          <cell r="L992" t="str">
            <v>バランスタイプ</v>
          </cell>
          <cell r="M992" t="str">
            <v>human</v>
          </cell>
        </row>
        <row r="993">
          <cell r="A993">
            <v>992</v>
          </cell>
          <cell r="B993" t="str">
            <v>ja</v>
          </cell>
          <cell r="C993" t="str">
            <v>ハンジ</v>
          </cell>
          <cell r="D993" t="str">
            <v>ハンジ・ゾエ</v>
          </cell>
          <cell r="E993" t="str">
            <v>執行者</v>
          </cell>
          <cell r="F993" t="str">
            <v>格好いい</v>
          </cell>
          <cell r="G993" t="str">
            <v>男性</v>
          </cell>
          <cell r="H993" t="str">
            <v>green</v>
          </cell>
          <cell r="I993">
            <v>4</v>
          </cell>
          <cell r="J993" t="str">
            <v>PremiumS</v>
          </cell>
          <cell r="K993" t="str">
            <v>technical</v>
          </cell>
          <cell r="L993" t="str">
            <v>テクニカルタイプ</v>
          </cell>
          <cell r="M993" t="str">
            <v>human</v>
          </cell>
        </row>
        <row r="994">
          <cell r="A994">
            <v>993</v>
          </cell>
          <cell r="B994" t="str">
            <v>ja</v>
          </cell>
          <cell r="C994" t="str">
            <v>巨躯への執着 ハンジ</v>
          </cell>
          <cell r="D994" t="str">
            <v>ハンジ・ゾエ</v>
          </cell>
          <cell r="E994" t="str">
            <v>執行者</v>
          </cell>
          <cell r="F994" t="str">
            <v>格好いい</v>
          </cell>
          <cell r="G994" t="str">
            <v>男性</v>
          </cell>
          <cell r="H994" t="str">
            <v>green</v>
          </cell>
          <cell r="I994">
            <v>5</v>
          </cell>
          <cell r="J994" t="str">
            <v>PremiumS</v>
          </cell>
          <cell r="K994" t="str">
            <v>technical</v>
          </cell>
          <cell r="L994" t="str">
            <v>テクニカルタイプ</v>
          </cell>
          <cell r="M994" t="str">
            <v>human</v>
          </cell>
        </row>
        <row r="995">
          <cell r="A995">
            <v>994</v>
          </cell>
          <cell r="B995" t="str">
            <v>ja</v>
          </cell>
          <cell r="C995" t="str">
            <v>アルミン</v>
          </cell>
          <cell r="D995" t="str">
            <v>アルミン・アルレルト</v>
          </cell>
          <cell r="E995" t="str">
            <v>執行者</v>
          </cell>
          <cell r="F995" t="str">
            <v>格好いい</v>
          </cell>
          <cell r="G995" t="str">
            <v>男性</v>
          </cell>
          <cell r="H995" t="str">
            <v>green</v>
          </cell>
          <cell r="I995">
            <v>4</v>
          </cell>
          <cell r="J995" t="str">
            <v>PremiumS</v>
          </cell>
          <cell r="K995" t="str">
            <v>balance</v>
          </cell>
          <cell r="L995" t="str">
            <v>バランスタイプ</v>
          </cell>
          <cell r="M995" t="str">
            <v>human</v>
          </cell>
        </row>
        <row r="996">
          <cell r="A996">
            <v>995</v>
          </cell>
          <cell r="B996" t="str">
            <v>ja</v>
          </cell>
          <cell r="C996" t="str">
            <v>疾駆する閃略 アルミン</v>
          </cell>
          <cell r="D996" t="str">
            <v>アルミン・アルレルト</v>
          </cell>
          <cell r="E996" t="str">
            <v>執行者</v>
          </cell>
          <cell r="F996" t="str">
            <v>格好いい</v>
          </cell>
          <cell r="G996" t="str">
            <v>男性</v>
          </cell>
          <cell r="H996" t="str">
            <v>green</v>
          </cell>
          <cell r="I996">
            <v>5</v>
          </cell>
          <cell r="J996" t="str">
            <v>PremiumS</v>
          </cell>
          <cell r="K996" t="str">
            <v>balance</v>
          </cell>
          <cell r="L996" t="str">
            <v>バランスタイプ</v>
          </cell>
          <cell r="M996" t="str">
            <v>human</v>
          </cell>
        </row>
        <row r="997">
          <cell r="A997">
            <v>996</v>
          </cell>
          <cell r="B997" t="str">
            <v>ja</v>
          </cell>
          <cell r="C997" t="str">
            <v>リヴァイ</v>
          </cell>
          <cell r="D997" t="str">
            <v>リヴァイ</v>
          </cell>
          <cell r="E997" t="str">
            <v>執行者</v>
          </cell>
          <cell r="F997" t="str">
            <v>格好いい</v>
          </cell>
          <cell r="G997" t="str">
            <v>男性</v>
          </cell>
          <cell r="H997" t="str">
            <v>blue</v>
          </cell>
          <cell r="I997">
            <v>5</v>
          </cell>
          <cell r="J997" t="str">
            <v>PremiumSS</v>
          </cell>
          <cell r="K997" t="str">
            <v>attack</v>
          </cell>
          <cell r="L997" t="str">
            <v>攻撃タイプ</v>
          </cell>
          <cell r="M997" t="str">
            <v>human</v>
          </cell>
        </row>
        <row r="998">
          <cell r="A998">
            <v>997</v>
          </cell>
          <cell r="B998" t="str">
            <v>ja</v>
          </cell>
          <cell r="C998" t="str">
            <v>人類最強 リヴァイ</v>
          </cell>
          <cell r="D998" t="str">
            <v>リヴァイ</v>
          </cell>
          <cell r="E998" t="str">
            <v>執行者</v>
          </cell>
          <cell r="F998" t="str">
            <v>格好いい</v>
          </cell>
          <cell r="G998" t="str">
            <v>男性</v>
          </cell>
          <cell r="H998" t="str">
            <v>blue</v>
          </cell>
          <cell r="I998">
            <v>6</v>
          </cell>
          <cell r="J998" t="str">
            <v>PremiumSS</v>
          </cell>
          <cell r="K998" t="str">
            <v>attack</v>
          </cell>
          <cell r="L998" t="str">
            <v>攻撃タイプ</v>
          </cell>
          <cell r="M998" t="str">
            <v>human</v>
          </cell>
        </row>
        <row r="999">
          <cell r="A999">
            <v>998</v>
          </cell>
          <cell r="B999" t="str">
            <v>ja</v>
          </cell>
          <cell r="C999" t="str">
            <v>サシャ</v>
          </cell>
          <cell r="D999" t="str">
            <v>サシャ・ブラウス</v>
          </cell>
          <cell r="E999" t="str">
            <v>執行者</v>
          </cell>
          <cell r="F999" t="str">
            <v>格好いい</v>
          </cell>
          <cell r="G999" t="str">
            <v>男性</v>
          </cell>
          <cell r="H999" t="str">
            <v>blue</v>
          </cell>
          <cell r="I999">
            <v>4</v>
          </cell>
          <cell r="J999" t="str">
            <v>PremiumS</v>
          </cell>
          <cell r="K999" t="str">
            <v>hp</v>
          </cell>
          <cell r="L999" t="str">
            <v>体力タイプ</v>
          </cell>
          <cell r="M999" t="str">
            <v>human</v>
          </cell>
        </row>
        <row r="1000">
          <cell r="A1000">
            <v>999</v>
          </cell>
          <cell r="B1000" t="str">
            <v>ja</v>
          </cell>
          <cell r="C1000" t="str">
            <v>無尽蔵の食猟 サシャ</v>
          </cell>
          <cell r="D1000" t="str">
            <v>サシャ・ブラウス</v>
          </cell>
          <cell r="E1000" t="str">
            <v>執行者</v>
          </cell>
          <cell r="F1000" t="str">
            <v>格好いい</v>
          </cell>
          <cell r="G1000" t="str">
            <v>男性</v>
          </cell>
          <cell r="H1000" t="str">
            <v>blue</v>
          </cell>
          <cell r="I1000">
            <v>5</v>
          </cell>
          <cell r="J1000" t="str">
            <v>PremiumS</v>
          </cell>
          <cell r="K1000" t="str">
            <v>hp</v>
          </cell>
          <cell r="L1000" t="str">
            <v>体力タイプ</v>
          </cell>
          <cell r="M1000" t="str">
            <v>human</v>
          </cell>
        </row>
        <row r="1001">
          <cell r="A1001">
            <v>1000</v>
          </cell>
          <cell r="B1001" t="str">
            <v>ja</v>
          </cell>
          <cell r="C1001" t="str">
            <v>クリスタ</v>
          </cell>
          <cell r="D1001" t="str">
            <v>クリスタ・レンズ</v>
          </cell>
          <cell r="E1001" t="str">
            <v>執行者</v>
          </cell>
          <cell r="F1001" t="str">
            <v>格好いい</v>
          </cell>
          <cell r="G1001" t="str">
            <v>男性</v>
          </cell>
          <cell r="H1001" t="str">
            <v>yellow</v>
          </cell>
          <cell r="I1001">
            <v>4</v>
          </cell>
          <cell r="J1001" t="str">
            <v>PremiumS</v>
          </cell>
          <cell r="K1001" t="str">
            <v>heal</v>
          </cell>
          <cell r="L1001" t="str">
            <v>回復タイプ</v>
          </cell>
          <cell r="M1001" t="str">
            <v>human</v>
          </cell>
        </row>
        <row r="1002">
          <cell r="A1002">
            <v>1001</v>
          </cell>
          <cell r="B1002" t="str">
            <v>ja</v>
          </cell>
          <cell r="C1002" t="str">
            <v>細愛の女神 クリスタ</v>
          </cell>
          <cell r="D1002" t="str">
            <v>クリスタ・レンズ</v>
          </cell>
          <cell r="E1002" t="str">
            <v>執行者</v>
          </cell>
          <cell r="F1002" t="str">
            <v>格好いい</v>
          </cell>
          <cell r="G1002" t="str">
            <v>男性</v>
          </cell>
          <cell r="H1002" t="str">
            <v>yellow</v>
          </cell>
          <cell r="I1002">
            <v>5</v>
          </cell>
          <cell r="J1002" t="str">
            <v>PremiumS</v>
          </cell>
          <cell r="K1002" t="str">
            <v>heal</v>
          </cell>
          <cell r="L1002" t="str">
            <v>回復タイプ</v>
          </cell>
          <cell r="M1002" t="str">
            <v>human</v>
          </cell>
        </row>
        <row r="1003">
          <cell r="A1003">
            <v>1002</v>
          </cell>
          <cell r="B1003" t="str">
            <v>ja</v>
          </cell>
          <cell r="C1003" t="str">
            <v>ジャン</v>
          </cell>
          <cell r="D1003" t="str">
            <v>ジャン・キルシュタイン</v>
          </cell>
          <cell r="E1003" t="str">
            <v>執行者</v>
          </cell>
          <cell r="F1003" t="str">
            <v>格好いい</v>
          </cell>
          <cell r="G1003" t="str">
            <v>男性</v>
          </cell>
          <cell r="H1003" t="str">
            <v>yellow</v>
          </cell>
          <cell r="I1003">
            <v>4</v>
          </cell>
          <cell r="J1003" t="str">
            <v>PremiumS</v>
          </cell>
          <cell r="K1003" t="str">
            <v>balance</v>
          </cell>
          <cell r="L1003" t="str">
            <v>バランスタイプ</v>
          </cell>
          <cell r="M1003" t="str">
            <v>human</v>
          </cell>
        </row>
        <row r="1004">
          <cell r="A1004">
            <v>1003</v>
          </cell>
          <cell r="B1004" t="str">
            <v>ja</v>
          </cell>
          <cell r="C1004" t="str">
            <v>真義の勇抱 ジャン</v>
          </cell>
          <cell r="D1004" t="str">
            <v>ジャン・キルシュタイン</v>
          </cell>
          <cell r="E1004" t="str">
            <v>執行者</v>
          </cell>
          <cell r="F1004" t="str">
            <v>格好いい</v>
          </cell>
          <cell r="G1004" t="str">
            <v>男性</v>
          </cell>
          <cell r="H1004" t="str">
            <v>yellow</v>
          </cell>
          <cell r="I1004">
            <v>5</v>
          </cell>
          <cell r="J1004" t="str">
            <v>PremiumS</v>
          </cell>
          <cell r="K1004" t="str">
            <v>balance</v>
          </cell>
          <cell r="L1004" t="str">
            <v>バランスタイプ</v>
          </cell>
          <cell r="M1004" t="str">
            <v>human</v>
          </cell>
        </row>
        <row r="1005">
          <cell r="A1005">
            <v>1004</v>
          </cell>
          <cell r="B1005" t="str">
            <v>ja</v>
          </cell>
          <cell r="C1005" t="str">
            <v>アメミット</v>
          </cell>
          <cell r="D1005" t="str">
            <v>アメミット</v>
          </cell>
          <cell r="E1005" t="str">
            <v>執行者</v>
          </cell>
          <cell r="F1005" t="str">
            <v>格好いい</v>
          </cell>
          <cell r="G1005" t="str">
            <v>男性</v>
          </cell>
          <cell r="H1005" t="str">
            <v>blue</v>
          </cell>
          <cell r="I1005">
            <v>4</v>
          </cell>
          <cell r="J1005" t="str">
            <v>Drop2N</v>
          </cell>
          <cell r="K1005" t="str">
            <v>attack</v>
          </cell>
          <cell r="L1005" t="str">
            <v>攻撃タイプ</v>
          </cell>
          <cell r="M1005" t="str">
            <v>animal</v>
          </cell>
        </row>
        <row r="1006">
          <cell r="A1006">
            <v>1005</v>
          </cell>
          <cell r="B1006" t="str">
            <v>ja</v>
          </cell>
          <cell r="C1006" t="str">
            <v>恐牙なる魂喰獣 アメミット</v>
          </cell>
          <cell r="D1006" t="str">
            <v>アメミット</v>
          </cell>
          <cell r="E1006" t="str">
            <v>執行者</v>
          </cell>
          <cell r="F1006" t="str">
            <v>格好いい</v>
          </cell>
          <cell r="G1006" t="str">
            <v>男性</v>
          </cell>
          <cell r="H1006" t="str">
            <v>blue</v>
          </cell>
          <cell r="I1006">
            <v>5</v>
          </cell>
          <cell r="J1006" t="str">
            <v>Drop2N</v>
          </cell>
          <cell r="K1006" t="str">
            <v>attack</v>
          </cell>
          <cell r="L1006" t="str">
            <v>攻撃タイプ</v>
          </cell>
          <cell r="M1006" t="str">
            <v>animal</v>
          </cell>
        </row>
        <row r="1007">
          <cell r="A1007">
            <v>1006</v>
          </cell>
          <cell r="B1007" t="str">
            <v>ja</v>
          </cell>
          <cell r="C1007" t="str">
            <v>セルケト</v>
          </cell>
          <cell r="D1007" t="str">
            <v>セルケト</v>
          </cell>
          <cell r="E1007" t="str">
            <v>執行者</v>
          </cell>
          <cell r="F1007" t="str">
            <v>格好いい</v>
          </cell>
          <cell r="G1007" t="str">
            <v>男性</v>
          </cell>
          <cell r="H1007" t="str">
            <v>red</v>
          </cell>
          <cell r="I1007">
            <v>4</v>
          </cell>
          <cell r="J1007" t="str">
            <v>Drop2N</v>
          </cell>
          <cell r="K1007" t="str">
            <v>heal</v>
          </cell>
          <cell r="L1007" t="str">
            <v>回復タイプ</v>
          </cell>
          <cell r="M1007" t="str">
            <v>god</v>
          </cell>
        </row>
        <row r="1008">
          <cell r="A1008">
            <v>1007</v>
          </cell>
          <cell r="B1008" t="str">
            <v>ja</v>
          </cell>
          <cell r="C1008" t="str">
            <v>癒命の守蠍神 セルケト</v>
          </cell>
          <cell r="D1008" t="str">
            <v>セルケト</v>
          </cell>
          <cell r="E1008" t="str">
            <v>執行者</v>
          </cell>
          <cell r="F1008" t="str">
            <v>格好いい</v>
          </cell>
          <cell r="G1008" t="str">
            <v>男性</v>
          </cell>
          <cell r="H1008" t="str">
            <v>red</v>
          </cell>
          <cell r="I1008">
            <v>5</v>
          </cell>
          <cell r="J1008" t="str">
            <v>Drop2N</v>
          </cell>
          <cell r="K1008" t="str">
            <v>heal</v>
          </cell>
          <cell r="L1008" t="str">
            <v>回復タイプ</v>
          </cell>
          <cell r="M1008" t="str">
            <v>god</v>
          </cell>
        </row>
        <row r="1009">
          <cell r="A1009">
            <v>1008</v>
          </cell>
          <cell r="B1009" t="str">
            <v>ja</v>
          </cell>
          <cell r="C1009" t="str">
            <v>オシリス</v>
          </cell>
          <cell r="D1009" t="str">
            <v>オシリス</v>
          </cell>
          <cell r="E1009" t="str">
            <v>執行者</v>
          </cell>
          <cell r="F1009" t="str">
            <v>格好いい</v>
          </cell>
          <cell r="G1009" t="str">
            <v>男性</v>
          </cell>
          <cell r="H1009" t="str">
            <v>green</v>
          </cell>
          <cell r="I1009">
            <v>5</v>
          </cell>
          <cell r="J1009" t="str">
            <v>DropWizS</v>
          </cell>
          <cell r="K1009" t="str">
            <v>attack</v>
          </cell>
          <cell r="L1009" t="str">
            <v>攻撃タイプ</v>
          </cell>
          <cell r="M1009" t="str">
            <v>god</v>
          </cell>
        </row>
        <row r="1010">
          <cell r="A1010">
            <v>1009</v>
          </cell>
          <cell r="B1010" t="str">
            <v>ja</v>
          </cell>
          <cell r="C1010" t="str">
            <v>再醒の冥皇神 オシリス</v>
          </cell>
          <cell r="D1010" t="str">
            <v>オシリス</v>
          </cell>
          <cell r="E1010" t="str">
            <v>執行者</v>
          </cell>
          <cell r="F1010" t="str">
            <v>格好いい</v>
          </cell>
          <cell r="G1010" t="str">
            <v>男性</v>
          </cell>
          <cell r="H1010" t="str">
            <v>green</v>
          </cell>
          <cell r="I1010">
            <v>6</v>
          </cell>
          <cell r="J1010" t="str">
            <v>DropWizS</v>
          </cell>
          <cell r="K1010" t="str">
            <v>attack</v>
          </cell>
          <cell r="L1010" t="str">
            <v>攻撃タイプ</v>
          </cell>
          <cell r="M1010" t="str">
            <v>god</v>
          </cell>
        </row>
        <row r="1011">
          <cell r="A1011">
            <v>1010</v>
          </cell>
          <cell r="B1011" t="str">
            <v>ja</v>
          </cell>
          <cell r="C1011" t="str">
            <v>セト</v>
          </cell>
          <cell r="D1011" t="str">
            <v>セト</v>
          </cell>
          <cell r="E1011" t="str">
            <v>執行者</v>
          </cell>
          <cell r="F1011" t="str">
            <v>格好いい</v>
          </cell>
          <cell r="G1011" t="str">
            <v>男性</v>
          </cell>
          <cell r="H1011" t="str">
            <v>blue</v>
          </cell>
          <cell r="I1011">
            <v>5</v>
          </cell>
          <cell r="J1011" t="str">
            <v>DropWizSS</v>
          </cell>
          <cell r="K1011" t="str">
            <v>technical</v>
          </cell>
          <cell r="L1011" t="str">
            <v>テクニカルタイプ</v>
          </cell>
          <cell r="M1011" t="str">
            <v>god</v>
          </cell>
        </row>
        <row r="1012">
          <cell r="A1012">
            <v>1011</v>
          </cell>
          <cell r="B1012" t="str">
            <v>ja</v>
          </cell>
          <cell r="C1012" t="str">
            <v>偉獰なる荒嵐神 セト</v>
          </cell>
          <cell r="D1012" t="str">
            <v>セト</v>
          </cell>
          <cell r="E1012" t="str">
            <v>執行者</v>
          </cell>
          <cell r="F1012" t="str">
            <v>格好いい</v>
          </cell>
          <cell r="G1012" t="str">
            <v>男性</v>
          </cell>
          <cell r="H1012" t="str">
            <v>blue</v>
          </cell>
          <cell r="I1012">
            <v>6</v>
          </cell>
          <cell r="J1012" t="str">
            <v>DropWizSS</v>
          </cell>
          <cell r="K1012" t="str">
            <v>technical</v>
          </cell>
          <cell r="L1012" t="str">
            <v>テクニカルタイプ</v>
          </cell>
          <cell r="M1012" t="str">
            <v>god</v>
          </cell>
        </row>
        <row r="1013">
          <cell r="A1013">
            <v>1012</v>
          </cell>
          <cell r="B1013" t="str">
            <v>ja</v>
          </cell>
          <cell r="C1013" t="str">
            <v>ラー</v>
          </cell>
          <cell r="D1013" t="str">
            <v>ラー</v>
          </cell>
          <cell r="E1013" t="str">
            <v>執行者</v>
          </cell>
          <cell r="F1013" t="str">
            <v>格好いい</v>
          </cell>
          <cell r="G1013" t="str">
            <v>男性</v>
          </cell>
          <cell r="H1013" t="str">
            <v>red</v>
          </cell>
          <cell r="I1013">
            <v>5</v>
          </cell>
          <cell r="J1013" t="str">
            <v>PremiumSS</v>
          </cell>
          <cell r="K1013" t="str">
            <v>balance</v>
          </cell>
          <cell r="L1013" t="str">
            <v>バランスタイプ</v>
          </cell>
          <cell r="M1013" t="str">
            <v>god</v>
          </cell>
        </row>
        <row r="1014">
          <cell r="A1014">
            <v>1013</v>
          </cell>
          <cell r="B1014" t="str">
            <v>ja</v>
          </cell>
          <cell r="C1014" t="str">
            <v>聖陽昇る緋洸神 ラー</v>
          </cell>
          <cell r="D1014" t="str">
            <v>ラー</v>
          </cell>
          <cell r="E1014" t="str">
            <v>執行者</v>
          </cell>
          <cell r="F1014" t="str">
            <v>格好いい</v>
          </cell>
          <cell r="G1014" t="str">
            <v>男性</v>
          </cell>
          <cell r="H1014" t="str">
            <v>red</v>
          </cell>
          <cell r="I1014">
            <v>6</v>
          </cell>
          <cell r="J1014" t="str">
            <v>PremiumSS</v>
          </cell>
          <cell r="K1014" t="str">
            <v>balance</v>
          </cell>
          <cell r="L1014" t="str">
            <v>バランスタイプ</v>
          </cell>
          <cell r="M1014" t="str">
            <v>god</v>
          </cell>
        </row>
        <row r="1015">
          <cell r="A1015">
            <v>1014</v>
          </cell>
          <cell r="B1015" t="str">
            <v>ja</v>
          </cell>
          <cell r="C1015" t="str">
            <v>イシス</v>
          </cell>
          <cell r="D1015" t="str">
            <v>イシス</v>
          </cell>
          <cell r="E1015" t="str">
            <v>執行者</v>
          </cell>
          <cell r="F1015" t="str">
            <v>格好いい</v>
          </cell>
          <cell r="G1015" t="str">
            <v>男性</v>
          </cell>
          <cell r="H1015" t="str">
            <v>green</v>
          </cell>
          <cell r="I1015">
            <v>5</v>
          </cell>
          <cell r="J1015" t="str">
            <v>PremiumSS</v>
          </cell>
          <cell r="K1015" t="str">
            <v>hp</v>
          </cell>
          <cell r="L1015" t="str">
            <v>体力タイプ</v>
          </cell>
          <cell r="M1015" t="str">
            <v>god</v>
          </cell>
        </row>
        <row r="1016">
          <cell r="A1016">
            <v>1015</v>
          </cell>
          <cell r="B1016" t="str">
            <v>ja</v>
          </cell>
          <cell r="C1016" t="str">
            <v>繁翠なる蘇聖神 イシス</v>
          </cell>
          <cell r="D1016" t="str">
            <v>イシス</v>
          </cell>
          <cell r="E1016" t="str">
            <v>執行者</v>
          </cell>
          <cell r="F1016" t="str">
            <v>格好いい</v>
          </cell>
          <cell r="G1016" t="str">
            <v>男性</v>
          </cell>
          <cell r="H1016" t="str">
            <v>green</v>
          </cell>
          <cell r="I1016">
            <v>6</v>
          </cell>
          <cell r="J1016" t="str">
            <v>PremiumSS</v>
          </cell>
          <cell r="K1016" t="str">
            <v>hp</v>
          </cell>
          <cell r="L1016" t="str">
            <v>体力タイプ</v>
          </cell>
          <cell r="M1016" t="str">
            <v>god</v>
          </cell>
        </row>
        <row r="1017">
          <cell r="A1017">
            <v>1016</v>
          </cell>
          <cell r="B1017" t="str">
            <v>ja</v>
          </cell>
          <cell r="C1017" t="str">
            <v>ハトホル</v>
          </cell>
          <cell r="D1017" t="str">
            <v>ハトホル</v>
          </cell>
          <cell r="E1017" t="str">
            <v>執行者</v>
          </cell>
          <cell r="F1017" t="str">
            <v>格好いい</v>
          </cell>
          <cell r="G1017" t="str">
            <v>男性</v>
          </cell>
          <cell r="H1017" t="str">
            <v>blue</v>
          </cell>
          <cell r="I1017">
            <v>4</v>
          </cell>
          <cell r="J1017" t="str">
            <v>PremiumS</v>
          </cell>
          <cell r="K1017" t="str">
            <v>heal</v>
          </cell>
          <cell r="L1017" t="str">
            <v>回復タイプ</v>
          </cell>
          <cell r="M1017" t="str">
            <v>god</v>
          </cell>
        </row>
        <row r="1018">
          <cell r="A1018">
            <v>1017</v>
          </cell>
          <cell r="B1018" t="str">
            <v>ja</v>
          </cell>
          <cell r="C1018" t="str">
            <v>命瞳の慈母神 ハトホル</v>
          </cell>
          <cell r="D1018" t="str">
            <v>ハトホル</v>
          </cell>
          <cell r="E1018" t="str">
            <v>執行者</v>
          </cell>
          <cell r="F1018" t="str">
            <v>格好いい</v>
          </cell>
          <cell r="G1018" t="str">
            <v>男性</v>
          </cell>
          <cell r="H1018" t="str">
            <v>blue</v>
          </cell>
          <cell r="I1018">
            <v>5</v>
          </cell>
          <cell r="J1018" t="str">
            <v>PremiumS</v>
          </cell>
          <cell r="K1018" t="str">
            <v>heal</v>
          </cell>
          <cell r="L1018" t="str">
            <v>回復タイプ</v>
          </cell>
          <cell r="M1018" t="str">
            <v>god</v>
          </cell>
        </row>
        <row r="1019">
          <cell r="A1019">
            <v>1018</v>
          </cell>
          <cell r="B1019" t="str">
            <v>ja</v>
          </cell>
          <cell r="C1019" t="str">
            <v>バステト</v>
          </cell>
          <cell r="D1019" t="str">
            <v>バステト</v>
          </cell>
          <cell r="E1019" t="str">
            <v>執行者</v>
          </cell>
          <cell r="F1019" t="str">
            <v>格好いい</v>
          </cell>
          <cell r="G1019" t="str">
            <v>男性</v>
          </cell>
          <cell r="H1019" t="str">
            <v>yellow</v>
          </cell>
          <cell r="I1019">
            <v>5</v>
          </cell>
          <cell r="J1019" t="str">
            <v>PremiumSS</v>
          </cell>
          <cell r="K1019" t="str">
            <v>attack</v>
          </cell>
          <cell r="L1019" t="str">
            <v>攻撃タイプ</v>
          </cell>
          <cell r="M1019" t="str">
            <v>god</v>
          </cell>
        </row>
        <row r="1020">
          <cell r="A1020">
            <v>1019</v>
          </cell>
          <cell r="B1020" t="str">
            <v>ja</v>
          </cell>
          <cell r="C1020" t="str">
            <v>愛鈴鳴る寵猫神 バステト</v>
          </cell>
          <cell r="D1020" t="str">
            <v>バステト</v>
          </cell>
          <cell r="E1020" t="str">
            <v>執行者</v>
          </cell>
          <cell r="F1020" t="str">
            <v>格好いい</v>
          </cell>
          <cell r="G1020" t="str">
            <v>男性</v>
          </cell>
          <cell r="H1020" t="str">
            <v>yellow</v>
          </cell>
          <cell r="I1020">
            <v>6</v>
          </cell>
          <cell r="J1020" t="str">
            <v>PremiumSS</v>
          </cell>
          <cell r="K1020" t="str">
            <v>attack</v>
          </cell>
          <cell r="L1020" t="str">
            <v>攻撃タイプ</v>
          </cell>
          <cell r="M1020" t="str">
            <v>god</v>
          </cell>
        </row>
        <row r="1021">
          <cell r="A1021">
            <v>1020</v>
          </cell>
          <cell r="B1021" t="str">
            <v>ja</v>
          </cell>
          <cell r="C1021" t="str">
            <v>静御前</v>
          </cell>
          <cell r="D1021" t="str">
            <v>静御前</v>
          </cell>
          <cell r="E1021" t="str">
            <v>執行者</v>
          </cell>
          <cell r="F1021" t="str">
            <v>格好いい</v>
          </cell>
          <cell r="G1021" t="str">
            <v>男性</v>
          </cell>
          <cell r="H1021" t="str">
            <v>red</v>
          </cell>
          <cell r="I1021">
            <v>4</v>
          </cell>
          <cell r="J1021" t="str">
            <v>Drop2N</v>
          </cell>
          <cell r="K1021" t="str">
            <v>technical</v>
          </cell>
          <cell r="L1021" t="str">
            <v>テクニカルタイプ</v>
          </cell>
          <cell r="M1021" t="str">
            <v>human</v>
          </cell>
        </row>
        <row r="1022">
          <cell r="A1022">
            <v>1021</v>
          </cell>
          <cell r="B1022" t="str">
            <v>ja</v>
          </cell>
          <cell r="C1022" t="str">
            <v>焔耀の舞姫 静御前</v>
          </cell>
          <cell r="D1022" t="str">
            <v>静御前</v>
          </cell>
          <cell r="E1022" t="str">
            <v>執行者</v>
          </cell>
          <cell r="F1022" t="str">
            <v>格好いい</v>
          </cell>
          <cell r="G1022" t="str">
            <v>男性</v>
          </cell>
          <cell r="H1022" t="str">
            <v>red</v>
          </cell>
          <cell r="I1022">
            <v>5</v>
          </cell>
          <cell r="J1022" t="str">
            <v>Drop2N</v>
          </cell>
          <cell r="K1022" t="str">
            <v>technical</v>
          </cell>
          <cell r="L1022" t="str">
            <v>テクニカルタイプ</v>
          </cell>
          <cell r="M1022" t="str">
            <v>human</v>
          </cell>
        </row>
        <row r="1023">
          <cell r="A1023">
            <v>1022</v>
          </cell>
          <cell r="B1023" t="str">
            <v>ja</v>
          </cell>
          <cell r="C1023" t="str">
            <v>那須与一</v>
          </cell>
          <cell r="D1023" t="str">
            <v>那須与一</v>
          </cell>
          <cell r="E1023" t="str">
            <v>執行者</v>
          </cell>
          <cell r="F1023" t="str">
            <v>格好いい</v>
          </cell>
          <cell r="G1023" t="str">
            <v>男性</v>
          </cell>
          <cell r="H1023" t="str">
            <v>green</v>
          </cell>
          <cell r="I1023">
            <v>4</v>
          </cell>
          <cell r="J1023" t="str">
            <v>Drop2N</v>
          </cell>
          <cell r="K1023" t="str">
            <v>technical</v>
          </cell>
          <cell r="L1023" t="str">
            <v>テクニカルタイプ</v>
          </cell>
          <cell r="M1023" t="str">
            <v>human</v>
          </cell>
        </row>
        <row r="1024">
          <cell r="A1024">
            <v>1023</v>
          </cell>
          <cell r="B1024" t="str">
            <v>ja</v>
          </cell>
          <cell r="C1024" t="str">
            <v>心射抜く投擲者 那須与一</v>
          </cell>
          <cell r="D1024" t="str">
            <v>那須与一</v>
          </cell>
          <cell r="E1024" t="str">
            <v>執行者</v>
          </cell>
          <cell r="F1024" t="str">
            <v>格好いい</v>
          </cell>
          <cell r="G1024" t="str">
            <v>男性</v>
          </cell>
          <cell r="H1024" t="str">
            <v>green</v>
          </cell>
          <cell r="I1024">
            <v>5</v>
          </cell>
          <cell r="J1024" t="str">
            <v>Drop2N</v>
          </cell>
          <cell r="K1024" t="str">
            <v>technical</v>
          </cell>
          <cell r="L1024" t="str">
            <v>テクニカルタイプ</v>
          </cell>
          <cell r="M1024" t="str">
            <v>human</v>
          </cell>
        </row>
        <row r="1025">
          <cell r="A1025">
            <v>1024</v>
          </cell>
          <cell r="B1025" t="str">
            <v>ja</v>
          </cell>
          <cell r="C1025" t="str">
            <v>武蔵坊弁慶</v>
          </cell>
          <cell r="D1025" t="str">
            <v>武蔵坊弁慶</v>
          </cell>
          <cell r="E1025" t="str">
            <v>執行者</v>
          </cell>
          <cell r="F1025" t="str">
            <v>格好いい</v>
          </cell>
          <cell r="G1025" t="str">
            <v>男性</v>
          </cell>
          <cell r="H1025" t="str">
            <v>yellow</v>
          </cell>
          <cell r="I1025">
            <v>5</v>
          </cell>
          <cell r="J1025" t="str">
            <v>DropWizS</v>
          </cell>
          <cell r="K1025" t="str">
            <v>attack</v>
          </cell>
          <cell r="L1025" t="str">
            <v>攻撃タイプ</v>
          </cell>
          <cell r="M1025" t="str">
            <v>human</v>
          </cell>
        </row>
        <row r="1026">
          <cell r="A1026">
            <v>1025</v>
          </cell>
          <cell r="B1026" t="str">
            <v>ja</v>
          </cell>
          <cell r="C1026" t="str">
            <v>多重撃の荒法師 武蔵坊弁慶</v>
          </cell>
          <cell r="D1026" t="str">
            <v>武蔵坊弁慶</v>
          </cell>
          <cell r="E1026" t="str">
            <v>執行者</v>
          </cell>
          <cell r="F1026" t="str">
            <v>格好いい</v>
          </cell>
          <cell r="G1026" t="str">
            <v>男性</v>
          </cell>
          <cell r="H1026" t="str">
            <v>yellow</v>
          </cell>
          <cell r="I1026">
            <v>6</v>
          </cell>
          <cell r="J1026" t="str">
            <v>DropWizS</v>
          </cell>
          <cell r="K1026" t="str">
            <v>attack</v>
          </cell>
          <cell r="L1026" t="str">
            <v>攻撃タイプ</v>
          </cell>
          <cell r="M1026" t="str">
            <v>human</v>
          </cell>
        </row>
        <row r="1027">
          <cell r="A1027">
            <v>1026</v>
          </cell>
          <cell r="B1027" t="str">
            <v>ja</v>
          </cell>
          <cell r="C1027" t="str">
            <v>蝉丸</v>
          </cell>
          <cell r="D1027" t="str">
            <v>蝉丸</v>
          </cell>
          <cell r="E1027" t="str">
            <v>執行者</v>
          </cell>
          <cell r="F1027" t="str">
            <v>格好いい</v>
          </cell>
          <cell r="G1027" t="str">
            <v>男性</v>
          </cell>
          <cell r="H1027" t="str">
            <v>red</v>
          </cell>
          <cell r="I1027">
            <v>4</v>
          </cell>
          <cell r="J1027" t="str">
            <v>PremiumS</v>
          </cell>
          <cell r="K1027" t="str">
            <v>attack</v>
          </cell>
          <cell r="L1027" t="str">
            <v>攻撃タイプ</v>
          </cell>
          <cell r="M1027" t="str">
            <v>human</v>
          </cell>
        </row>
        <row r="1028">
          <cell r="A1028">
            <v>1027</v>
          </cell>
          <cell r="B1028" t="str">
            <v>ja</v>
          </cell>
          <cell r="C1028" t="str">
            <v>弾丸多重奏 蝉丸</v>
          </cell>
          <cell r="D1028" t="str">
            <v>蝉丸</v>
          </cell>
          <cell r="E1028" t="str">
            <v>執行者</v>
          </cell>
          <cell r="F1028" t="str">
            <v>格好いい</v>
          </cell>
          <cell r="G1028" t="str">
            <v>男性</v>
          </cell>
          <cell r="H1028" t="str">
            <v>red</v>
          </cell>
          <cell r="I1028">
            <v>5</v>
          </cell>
          <cell r="J1028" t="str">
            <v>PremiumS</v>
          </cell>
          <cell r="K1028" t="str">
            <v>attack</v>
          </cell>
          <cell r="L1028" t="str">
            <v>攻撃タイプ</v>
          </cell>
          <cell r="M1028" t="str">
            <v>human</v>
          </cell>
        </row>
        <row r="1029">
          <cell r="A1029">
            <v>1028</v>
          </cell>
          <cell r="B1029" t="str">
            <v>ja</v>
          </cell>
          <cell r="C1029" t="str">
            <v>牛若丸</v>
          </cell>
          <cell r="D1029" t="str">
            <v>源義経（牛若丸）</v>
          </cell>
          <cell r="E1029" t="str">
            <v>執行者</v>
          </cell>
          <cell r="F1029" t="str">
            <v>格好いい</v>
          </cell>
          <cell r="G1029" t="str">
            <v>男性</v>
          </cell>
          <cell r="H1029" t="str">
            <v>green</v>
          </cell>
          <cell r="I1029">
            <v>5</v>
          </cell>
          <cell r="J1029" t="str">
            <v>PremiumSS</v>
          </cell>
          <cell r="K1029" t="str">
            <v>balance</v>
          </cell>
          <cell r="L1029" t="str">
            <v>バランスタイプ</v>
          </cell>
          <cell r="M1029" t="str">
            <v>human</v>
          </cell>
        </row>
        <row r="1030">
          <cell r="A1030">
            <v>1029</v>
          </cell>
          <cell r="B1030" t="str">
            <v>ja</v>
          </cell>
          <cell r="C1030" t="str">
            <v>天賦の軍才 牛若丸</v>
          </cell>
          <cell r="D1030" t="str">
            <v>源義経（牛若丸）</v>
          </cell>
          <cell r="E1030" t="str">
            <v>執行者</v>
          </cell>
          <cell r="F1030" t="str">
            <v>格好いい</v>
          </cell>
          <cell r="G1030" t="str">
            <v>男性</v>
          </cell>
          <cell r="H1030" t="str">
            <v>green</v>
          </cell>
          <cell r="I1030">
            <v>6</v>
          </cell>
          <cell r="J1030" t="str">
            <v>PremiumSS</v>
          </cell>
          <cell r="K1030" t="str">
            <v>balance</v>
          </cell>
          <cell r="L1030" t="str">
            <v>バランスタイプ</v>
          </cell>
          <cell r="M1030" t="str">
            <v>human</v>
          </cell>
        </row>
        <row r="1031">
          <cell r="A1031">
            <v>1030</v>
          </cell>
          <cell r="B1031" t="str">
            <v>ja</v>
          </cell>
          <cell r="C1031" t="str">
            <v>百戦錬磨のカリスマ 源義経</v>
          </cell>
          <cell r="D1031" t="str">
            <v>源義経（牛若丸）_分岐覚醒</v>
          </cell>
          <cell r="E1031" t="str">
            <v>執行者</v>
          </cell>
          <cell r="F1031" t="str">
            <v>格好いい</v>
          </cell>
          <cell r="G1031" t="str">
            <v>男性</v>
          </cell>
          <cell r="H1031" t="str">
            <v>green</v>
          </cell>
          <cell r="I1031">
            <v>6</v>
          </cell>
          <cell r="J1031" t="str">
            <v>PremiumSS</v>
          </cell>
          <cell r="K1031" t="str">
            <v>balance</v>
          </cell>
          <cell r="L1031" t="str">
            <v>バランスタイプ</v>
          </cell>
          <cell r="M1031" t="str">
            <v>human</v>
          </cell>
        </row>
        <row r="1032">
          <cell r="A1032">
            <v>1031</v>
          </cell>
          <cell r="B1032" t="str">
            <v>ja</v>
          </cell>
          <cell r="C1032" t="str">
            <v>紫式部</v>
          </cell>
          <cell r="D1032" t="str">
            <v>紫式部</v>
          </cell>
          <cell r="E1032" t="str">
            <v>執行者</v>
          </cell>
          <cell r="F1032" t="str">
            <v>格好いい</v>
          </cell>
          <cell r="G1032" t="str">
            <v>男性</v>
          </cell>
          <cell r="H1032" t="str">
            <v>blue</v>
          </cell>
          <cell r="I1032">
            <v>5</v>
          </cell>
          <cell r="J1032" t="str">
            <v>PremiumSS</v>
          </cell>
          <cell r="K1032" t="str">
            <v>technical</v>
          </cell>
          <cell r="L1032" t="str">
            <v>テクニカルタイプ</v>
          </cell>
          <cell r="M1032" t="str">
            <v>human</v>
          </cell>
        </row>
        <row r="1033">
          <cell r="A1033">
            <v>1032</v>
          </cell>
          <cell r="B1033" t="str">
            <v>ja</v>
          </cell>
          <cell r="C1033" t="str">
            <v>彩気煥発の創作人 紫式部</v>
          </cell>
          <cell r="D1033" t="str">
            <v>紫式部</v>
          </cell>
          <cell r="E1033" t="str">
            <v>執行者</v>
          </cell>
          <cell r="F1033" t="str">
            <v>格好いい</v>
          </cell>
          <cell r="G1033" t="str">
            <v>男性</v>
          </cell>
          <cell r="H1033" t="str">
            <v>blue</v>
          </cell>
          <cell r="I1033">
            <v>6</v>
          </cell>
          <cell r="J1033" t="str">
            <v>PremiumSS</v>
          </cell>
          <cell r="K1033" t="str">
            <v>technical</v>
          </cell>
          <cell r="L1033" t="str">
            <v>テクニカルタイプ</v>
          </cell>
          <cell r="M1033" t="str">
            <v>human</v>
          </cell>
        </row>
        <row r="1034">
          <cell r="A1034">
            <v>1033</v>
          </cell>
          <cell r="B1034" t="str">
            <v>ja</v>
          </cell>
          <cell r="C1034" t="str">
            <v>清少納言</v>
          </cell>
          <cell r="D1034" t="str">
            <v>清少納言</v>
          </cell>
          <cell r="E1034" t="str">
            <v>執行者</v>
          </cell>
          <cell r="F1034" t="str">
            <v>格好いい</v>
          </cell>
          <cell r="G1034" t="str">
            <v>男性</v>
          </cell>
          <cell r="H1034" t="str">
            <v>yellow</v>
          </cell>
          <cell r="I1034">
            <v>5</v>
          </cell>
          <cell r="J1034" t="str">
            <v>PremiumSS</v>
          </cell>
          <cell r="K1034" t="str">
            <v>heal</v>
          </cell>
          <cell r="L1034" t="str">
            <v>回復タイプ</v>
          </cell>
          <cell r="M1034" t="str">
            <v>human</v>
          </cell>
        </row>
        <row r="1035">
          <cell r="A1035">
            <v>1034</v>
          </cell>
          <cell r="B1035" t="str">
            <v>ja</v>
          </cell>
          <cell r="C1035" t="str">
            <v>爛漫なる随筆家 清少納言</v>
          </cell>
          <cell r="D1035" t="str">
            <v>清少納言</v>
          </cell>
          <cell r="E1035" t="str">
            <v>執行者</v>
          </cell>
          <cell r="F1035" t="str">
            <v>格好いい</v>
          </cell>
          <cell r="G1035" t="str">
            <v>男性</v>
          </cell>
          <cell r="H1035" t="str">
            <v>yellow</v>
          </cell>
          <cell r="I1035">
            <v>6</v>
          </cell>
          <cell r="J1035" t="str">
            <v>PremiumSS</v>
          </cell>
          <cell r="K1035" t="str">
            <v>heal</v>
          </cell>
          <cell r="L1035" t="str">
            <v>回復タイプ</v>
          </cell>
          <cell r="M1035" t="str">
            <v>human</v>
          </cell>
        </row>
        <row r="1036">
          <cell r="A1036">
            <v>1035</v>
          </cell>
          <cell r="B1036" t="str">
            <v>ja</v>
          </cell>
          <cell r="C1036" t="str">
            <v>スカルズ</v>
          </cell>
          <cell r="D1036" t="str">
            <v>ラプラス</v>
          </cell>
          <cell r="E1036" t="str">
            <v>執行者</v>
          </cell>
          <cell r="F1036" t="str">
            <v>格好いい</v>
          </cell>
          <cell r="G1036" t="str">
            <v>男性</v>
          </cell>
          <cell r="H1036" t="str">
            <v>green</v>
          </cell>
          <cell r="I1036">
            <v>5</v>
          </cell>
          <cell r="J1036" t="str">
            <v>DropWizS</v>
          </cell>
          <cell r="K1036" t="str">
            <v>hp</v>
          </cell>
          <cell r="L1036" t="str">
            <v>体力タイプ</v>
          </cell>
          <cell r="M1036" t="str">
            <v>animal</v>
          </cell>
        </row>
        <row r="1037">
          <cell r="A1037">
            <v>1036</v>
          </cell>
          <cell r="B1037" t="str">
            <v>ja</v>
          </cell>
          <cell r="C1037" t="str">
            <v>復讐の形骸 スカルズ</v>
          </cell>
          <cell r="D1037" t="str">
            <v>ラプラス</v>
          </cell>
          <cell r="E1037" t="str">
            <v>執行者</v>
          </cell>
          <cell r="F1037" t="str">
            <v>格好いい</v>
          </cell>
          <cell r="G1037" t="str">
            <v>男性</v>
          </cell>
          <cell r="H1037" t="str">
            <v>green</v>
          </cell>
          <cell r="I1037">
            <v>6</v>
          </cell>
          <cell r="J1037" t="str">
            <v>DropWizS</v>
          </cell>
          <cell r="K1037" t="str">
            <v>hp</v>
          </cell>
          <cell r="L1037" t="str">
            <v>体力タイプ</v>
          </cell>
          <cell r="M1037" t="str">
            <v>animal</v>
          </cell>
        </row>
        <row r="1038">
          <cell r="A1038">
            <v>1037</v>
          </cell>
          <cell r="B1038" t="str">
            <v>ja</v>
          </cell>
          <cell r="C1038" t="str">
            <v>ミューズ</v>
          </cell>
          <cell r="D1038" t="str">
            <v>ミューズ</v>
          </cell>
          <cell r="E1038" t="str">
            <v>執行者</v>
          </cell>
          <cell r="F1038" t="str">
            <v>格好いい</v>
          </cell>
          <cell r="G1038" t="str">
            <v>男性</v>
          </cell>
          <cell r="H1038" t="str">
            <v>yellow</v>
          </cell>
          <cell r="I1038">
            <v>5</v>
          </cell>
          <cell r="J1038" t="str">
            <v>Drop2N</v>
          </cell>
          <cell r="K1038" t="str">
            <v>balance</v>
          </cell>
          <cell r="L1038" t="str">
            <v>バランスタイプ</v>
          </cell>
          <cell r="M1038" t="str">
            <v>unknown</v>
          </cell>
        </row>
        <row r="1039">
          <cell r="A1039">
            <v>1038</v>
          </cell>
          <cell r="B1039" t="str">
            <v>ja</v>
          </cell>
          <cell r="C1039" t="str">
            <v>歌音届ける楽愛神 ミューズ</v>
          </cell>
          <cell r="D1039" t="str">
            <v>ミューズ</v>
          </cell>
          <cell r="E1039" t="str">
            <v>執行者</v>
          </cell>
          <cell r="F1039" t="str">
            <v>格好いい</v>
          </cell>
          <cell r="G1039" t="str">
            <v>男性</v>
          </cell>
          <cell r="H1039" t="str">
            <v>yellow</v>
          </cell>
          <cell r="I1039">
            <v>6</v>
          </cell>
          <cell r="J1039" t="str">
            <v>Drop2N</v>
          </cell>
          <cell r="K1039" t="str">
            <v>balance</v>
          </cell>
          <cell r="L1039" t="str">
            <v>バランスタイプ</v>
          </cell>
          <cell r="M1039" t="str">
            <v>unknown</v>
          </cell>
        </row>
        <row r="1040">
          <cell r="A1040">
            <v>1039</v>
          </cell>
          <cell r="B1040" t="str">
            <v>ja</v>
          </cell>
          <cell r="C1040" t="str">
            <v>ディラック</v>
          </cell>
          <cell r="D1040" t="str">
            <v>ディラック</v>
          </cell>
          <cell r="E1040" t="str">
            <v>執行者</v>
          </cell>
          <cell r="F1040" t="str">
            <v>格好いい</v>
          </cell>
          <cell r="G1040" t="str">
            <v>男性</v>
          </cell>
          <cell r="H1040" t="str">
            <v>blue</v>
          </cell>
          <cell r="I1040">
            <v>5</v>
          </cell>
          <cell r="J1040" t="str">
            <v>PremiumSSS</v>
          </cell>
          <cell r="K1040" t="str">
            <v>technical</v>
          </cell>
          <cell r="L1040" t="str">
            <v>テクニカルタイプ</v>
          </cell>
          <cell r="M1040" t="str">
            <v>academia</v>
          </cell>
        </row>
        <row r="1041">
          <cell r="A1041">
            <v>1040</v>
          </cell>
          <cell r="B1041" t="str">
            <v>ja</v>
          </cell>
          <cell r="C1041" t="str">
            <v>蒼流の電磁団 ディラック</v>
          </cell>
          <cell r="D1041" t="str">
            <v>ディラック</v>
          </cell>
          <cell r="E1041" t="str">
            <v>執行者</v>
          </cell>
          <cell r="F1041" t="str">
            <v>格好いい</v>
          </cell>
          <cell r="G1041" t="str">
            <v>男性</v>
          </cell>
          <cell r="H1041" t="str">
            <v>blue</v>
          </cell>
          <cell r="I1041">
            <v>6</v>
          </cell>
          <cell r="J1041" t="str">
            <v>PremiumSSS</v>
          </cell>
          <cell r="K1041" t="str">
            <v>technical</v>
          </cell>
          <cell r="L1041" t="str">
            <v>テクニカルタイプ</v>
          </cell>
          <cell r="M1041" t="str">
            <v>academia</v>
          </cell>
        </row>
        <row r="1042">
          <cell r="A1042">
            <v>1041</v>
          </cell>
          <cell r="B1042" t="str">
            <v>ja</v>
          </cell>
          <cell r="C1042" t="str">
            <v>織姫</v>
          </cell>
          <cell r="D1042" t="str">
            <v>織姫(ベガ)</v>
          </cell>
          <cell r="E1042" t="str">
            <v>執行者</v>
          </cell>
          <cell r="F1042" t="str">
            <v>格好いい</v>
          </cell>
          <cell r="G1042" t="str">
            <v>男性</v>
          </cell>
          <cell r="H1042" t="str">
            <v>red</v>
          </cell>
          <cell r="I1042">
            <v>5</v>
          </cell>
          <cell r="J1042" t="str">
            <v>PremiumSS</v>
          </cell>
          <cell r="K1042" t="str">
            <v>attack</v>
          </cell>
          <cell r="L1042" t="str">
            <v>攻撃タイプ</v>
          </cell>
          <cell r="M1042" t="str">
            <v>god</v>
          </cell>
        </row>
        <row r="1043">
          <cell r="A1043">
            <v>1042</v>
          </cell>
          <cell r="B1043" t="str">
            <v>ja</v>
          </cell>
          <cell r="C1043" t="str">
            <v>希紡の天帝姫 織姫</v>
          </cell>
          <cell r="D1043" t="str">
            <v>織姫(ベガ)</v>
          </cell>
          <cell r="E1043" t="str">
            <v>執行者</v>
          </cell>
          <cell r="F1043" t="str">
            <v>格好いい</v>
          </cell>
          <cell r="G1043" t="str">
            <v>男性</v>
          </cell>
          <cell r="H1043" t="str">
            <v>red</v>
          </cell>
          <cell r="I1043">
            <v>6</v>
          </cell>
          <cell r="J1043" t="str">
            <v>PremiumSS</v>
          </cell>
          <cell r="K1043" t="str">
            <v>attack</v>
          </cell>
          <cell r="L1043" t="str">
            <v>攻撃タイプ</v>
          </cell>
          <cell r="M1043" t="str">
            <v>god</v>
          </cell>
        </row>
        <row r="1044">
          <cell r="A1044">
            <v>1043</v>
          </cell>
          <cell r="B1044" t="str">
            <v>ja</v>
          </cell>
          <cell r="C1044" t="str">
            <v>彦星</v>
          </cell>
          <cell r="D1044" t="str">
            <v>彦星(アルタイル)</v>
          </cell>
          <cell r="E1044" t="str">
            <v>執行者</v>
          </cell>
          <cell r="F1044" t="str">
            <v>格好いい</v>
          </cell>
          <cell r="G1044" t="str">
            <v>男性</v>
          </cell>
          <cell r="H1044" t="str">
            <v>green</v>
          </cell>
          <cell r="I1044">
            <v>5</v>
          </cell>
          <cell r="J1044" t="str">
            <v>DropWizS</v>
          </cell>
          <cell r="K1044" t="str">
            <v>technical</v>
          </cell>
          <cell r="L1044" t="str">
            <v>テクニカルタイプ</v>
          </cell>
          <cell r="M1044" t="str">
            <v>god</v>
          </cell>
        </row>
        <row r="1045">
          <cell r="A1045">
            <v>1044</v>
          </cell>
          <cell r="B1045" t="str">
            <v>ja</v>
          </cell>
          <cell r="C1045" t="str">
            <v>恋狩の色星主  彦星</v>
          </cell>
          <cell r="D1045" t="str">
            <v>彦星(アルタイル)</v>
          </cell>
          <cell r="E1045" t="str">
            <v>執行者</v>
          </cell>
          <cell r="F1045" t="str">
            <v>格好いい</v>
          </cell>
          <cell r="G1045" t="str">
            <v>男性</v>
          </cell>
          <cell r="H1045" t="str">
            <v>green</v>
          </cell>
          <cell r="I1045">
            <v>6</v>
          </cell>
          <cell r="J1045" t="str">
            <v>DropWizS</v>
          </cell>
          <cell r="K1045" t="str">
            <v>technical</v>
          </cell>
          <cell r="L1045" t="str">
            <v>テクニカルタイプ</v>
          </cell>
          <cell r="M1045" t="str">
            <v>god</v>
          </cell>
        </row>
        <row r="1046">
          <cell r="A1046">
            <v>1045</v>
          </cell>
          <cell r="B1046" t="str">
            <v>ja</v>
          </cell>
          <cell r="C1046" t="str">
            <v>漂解の海原 シュレディンガー</v>
          </cell>
          <cell r="D1046" t="str">
            <v>シュレディンガー_水着</v>
          </cell>
          <cell r="E1046" t="str">
            <v>執行者</v>
          </cell>
          <cell r="F1046" t="str">
            <v>格好いい</v>
          </cell>
          <cell r="G1046" t="str">
            <v>男性</v>
          </cell>
          <cell r="H1046" t="str">
            <v>blue</v>
          </cell>
          <cell r="I1046">
            <v>6</v>
          </cell>
          <cell r="J1046" t="str">
            <v>PremiumSSS</v>
          </cell>
          <cell r="K1046" t="str">
            <v>balance</v>
          </cell>
          <cell r="L1046" t="str">
            <v>バランスタイプ</v>
          </cell>
          <cell r="M1046" t="str">
            <v>academia</v>
          </cell>
        </row>
        <row r="1047">
          <cell r="A1047">
            <v>1046</v>
          </cell>
          <cell r="B1047" t="str">
            <v>ja</v>
          </cell>
          <cell r="C1047" t="str">
            <v>涼求の炎狼 フェンリル</v>
          </cell>
          <cell r="D1047" t="str">
            <v>フェンリル_水着</v>
          </cell>
          <cell r="E1047" t="str">
            <v>執行者</v>
          </cell>
          <cell r="F1047" t="str">
            <v>格好いい</v>
          </cell>
          <cell r="G1047" t="str">
            <v>男性</v>
          </cell>
          <cell r="H1047" t="str">
            <v>blue</v>
          </cell>
          <cell r="I1047">
            <v>5</v>
          </cell>
          <cell r="J1047" t="str">
            <v>PremiumS</v>
          </cell>
          <cell r="K1047" t="str">
            <v>attack</v>
          </cell>
          <cell r="L1047" t="str">
            <v>攻撃タイプ</v>
          </cell>
          <cell r="M1047" t="str">
            <v>animal</v>
          </cell>
        </row>
        <row r="1048">
          <cell r="A1048">
            <v>1047</v>
          </cell>
          <cell r="B1048" t="str">
            <v>ja</v>
          </cell>
          <cell r="C1048" t="str">
            <v>波浪の夏閃 オイラー</v>
          </cell>
          <cell r="D1048" t="str">
            <v>オイラー_水着</v>
          </cell>
          <cell r="E1048" t="str">
            <v>執行者</v>
          </cell>
          <cell r="F1048" t="str">
            <v>格好いい</v>
          </cell>
          <cell r="G1048" t="str">
            <v>男性</v>
          </cell>
          <cell r="H1048" t="str">
            <v>blue</v>
          </cell>
          <cell r="I1048">
            <v>6</v>
          </cell>
          <cell r="J1048" t="str">
            <v>PremiumSSS</v>
          </cell>
          <cell r="K1048" t="str">
            <v>balance</v>
          </cell>
          <cell r="L1048" t="str">
            <v>バランスタイプ</v>
          </cell>
          <cell r="M1048" t="str">
            <v>academia</v>
          </cell>
        </row>
        <row r="1049">
          <cell r="A1049">
            <v>1048</v>
          </cell>
          <cell r="B1049" t="str">
            <v>ja</v>
          </cell>
          <cell r="C1049" t="str">
            <v>砂上の城主竜 ケツァクアトル</v>
          </cell>
          <cell r="D1049" t="str">
            <v>ケツァクアトル_水着</v>
          </cell>
          <cell r="E1049" t="str">
            <v>執行者</v>
          </cell>
          <cell r="F1049" t="str">
            <v>格好いい</v>
          </cell>
          <cell r="G1049" t="str">
            <v>男性</v>
          </cell>
          <cell r="H1049" t="str">
            <v>blue</v>
          </cell>
          <cell r="I1049">
            <v>5</v>
          </cell>
          <cell r="J1049" t="str">
            <v>PremiumS</v>
          </cell>
          <cell r="K1049" t="str">
            <v>hp</v>
          </cell>
          <cell r="L1049" t="str">
            <v>体力タイプ</v>
          </cell>
          <cell r="M1049" t="str">
            <v>dragon</v>
          </cell>
        </row>
        <row r="1050">
          <cell r="A1050">
            <v>1049</v>
          </cell>
          <cell r="B1050" t="str">
            <v>ja</v>
          </cell>
          <cell r="C1050" t="str">
            <v>深秘の水宙 メビウス</v>
          </cell>
          <cell r="D1050" t="str">
            <v>メビウス_水着</v>
          </cell>
          <cell r="E1050" t="str">
            <v>執行者</v>
          </cell>
          <cell r="F1050" t="str">
            <v>格好いい</v>
          </cell>
          <cell r="G1050" t="str">
            <v>男性</v>
          </cell>
          <cell r="H1050" t="str">
            <v>blue</v>
          </cell>
          <cell r="I1050">
            <v>6</v>
          </cell>
          <cell r="J1050" t="str">
            <v>PremiumSSS</v>
          </cell>
          <cell r="K1050" t="str">
            <v>balance</v>
          </cell>
          <cell r="L1050" t="str">
            <v>バランスタイプ</v>
          </cell>
          <cell r="M1050" t="str">
            <v>academia</v>
          </cell>
        </row>
        <row r="1051">
          <cell r="A1051">
            <v>1050</v>
          </cell>
          <cell r="B1051" t="str">
            <v>ja</v>
          </cell>
          <cell r="C1051" t="str">
            <v>廻遊の水獣宰相 ルキフグス</v>
          </cell>
          <cell r="D1051" t="str">
            <v>ルキフグス_水着</v>
          </cell>
          <cell r="E1051" t="str">
            <v>執行者</v>
          </cell>
          <cell r="F1051" t="str">
            <v>格好いい</v>
          </cell>
          <cell r="G1051" t="str">
            <v>男性</v>
          </cell>
          <cell r="H1051" t="str">
            <v>blue</v>
          </cell>
          <cell r="I1051">
            <v>5</v>
          </cell>
          <cell r="J1051" t="str">
            <v>PremiumS</v>
          </cell>
          <cell r="K1051" t="str">
            <v>balance</v>
          </cell>
          <cell r="L1051" t="str">
            <v>バランスタイプ</v>
          </cell>
          <cell r="M1051" t="str">
            <v>god</v>
          </cell>
        </row>
        <row r="1052">
          <cell r="A1052">
            <v>1051</v>
          </cell>
          <cell r="B1052" t="str">
            <v>ja</v>
          </cell>
          <cell r="C1052" t="str">
            <v>嬌電の飛沫 ファラデー</v>
          </cell>
          <cell r="D1052" t="str">
            <v>ファラデー_水着</v>
          </cell>
          <cell r="E1052" t="str">
            <v>執行者</v>
          </cell>
          <cell r="F1052" t="str">
            <v>格好いい</v>
          </cell>
          <cell r="G1052" t="str">
            <v>男性</v>
          </cell>
          <cell r="H1052" t="str">
            <v>blue</v>
          </cell>
          <cell r="I1052">
            <v>6</v>
          </cell>
          <cell r="J1052" t="str">
            <v>PremiumSSS</v>
          </cell>
          <cell r="K1052" t="str">
            <v>balance</v>
          </cell>
          <cell r="L1052" t="str">
            <v>バランスタイプ</v>
          </cell>
          <cell r="M1052" t="str">
            <v>academia</v>
          </cell>
        </row>
        <row r="1053">
          <cell r="A1053">
            <v>1052</v>
          </cell>
          <cell r="B1053" t="str">
            <v>ja</v>
          </cell>
          <cell r="C1053" t="str">
            <v>戯魚群の潜光 バルドル</v>
          </cell>
          <cell r="D1053" t="str">
            <v>バルドル_水着</v>
          </cell>
          <cell r="E1053" t="str">
            <v>執行者</v>
          </cell>
          <cell r="F1053" t="str">
            <v>格好いい</v>
          </cell>
          <cell r="G1053" t="str">
            <v>男性</v>
          </cell>
          <cell r="H1053" t="str">
            <v>blue</v>
          </cell>
          <cell r="I1053">
            <v>5</v>
          </cell>
          <cell r="J1053" t="str">
            <v>PremiumS</v>
          </cell>
          <cell r="K1053" t="str">
            <v>heal</v>
          </cell>
          <cell r="L1053" t="str">
            <v>回復タイプ</v>
          </cell>
          <cell r="M1053" t="str">
            <v>god</v>
          </cell>
        </row>
        <row r="1054">
          <cell r="A1054">
            <v>1053</v>
          </cell>
          <cell r="B1054" t="str">
            <v>ja</v>
          </cell>
          <cell r="C1054" t="str">
            <v>常夏の眩獣 麒麟</v>
          </cell>
          <cell r="D1054" t="str">
            <v>麒麟_水着</v>
          </cell>
          <cell r="E1054" t="str">
            <v>執行者</v>
          </cell>
          <cell r="F1054" t="str">
            <v>格好いい</v>
          </cell>
          <cell r="G1054" t="str">
            <v>男性</v>
          </cell>
          <cell r="H1054" t="str">
            <v>red</v>
          </cell>
          <cell r="I1054">
            <v>5</v>
          </cell>
          <cell r="J1054" t="str">
            <v>DropWizS</v>
          </cell>
          <cell r="K1054" t="str">
            <v>balance</v>
          </cell>
          <cell r="L1054" t="str">
            <v>バランスタイプ</v>
          </cell>
          <cell r="M1054" t="str">
            <v>god</v>
          </cell>
        </row>
        <row r="1055">
          <cell r="A1055">
            <v>1054</v>
          </cell>
          <cell r="B1055" t="str">
            <v>ja</v>
          </cell>
          <cell r="C1055" t="str">
            <v>炎陽の臨海 麒麟</v>
          </cell>
          <cell r="D1055" t="str">
            <v>麒麟_水着</v>
          </cell>
          <cell r="E1055" t="str">
            <v>執行者</v>
          </cell>
          <cell r="F1055" t="str">
            <v>格好いい</v>
          </cell>
          <cell r="G1055" t="str">
            <v>男性</v>
          </cell>
          <cell r="H1055" t="str">
            <v>red</v>
          </cell>
          <cell r="I1055">
            <v>6</v>
          </cell>
          <cell r="J1055" t="str">
            <v>DropWizS</v>
          </cell>
          <cell r="K1055" t="str">
            <v>balance</v>
          </cell>
          <cell r="L1055" t="str">
            <v>バランスタイプ</v>
          </cell>
          <cell r="M1055" t="str">
            <v>god</v>
          </cell>
        </row>
        <row r="1056">
          <cell r="A1056">
            <v>1055</v>
          </cell>
          <cell r="B1056" t="str">
            <v>ja</v>
          </cell>
          <cell r="C1056" t="str">
            <v>豪焔の轟暴聖 ベリアル</v>
          </cell>
          <cell r="D1056" t="str">
            <v>ベリアル_分岐</v>
          </cell>
          <cell r="E1056" t="str">
            <v>執行者</v>
          </cell>
          <cell r="F1056" t="str">
            <v>格好いい</v>
          </cell>
          <cell r="G1056" t="str">
            <v>男性</v>
          </cell>
          <cell r="H1056" t="str">
            <v>red</v>
          </cell>
          <cell r="I1056">
            <v>6</v>
          </cell>
          <cell r="J1056" t="str">
            <v>PremiumS</v>
          </cell>
          <cell r="K1056" t="str">
            <v>attack</v>
          </cell>
          <cell r="L1056" t="str">
            <v>攻撃タイプ</v>
          </cell>
          <cell r="M1056" t="str">
            <v>demon</v>
          </cell>
        </row>
        <row r="1057">
          <cell r="A1057">
            <v>1056</v>
          </cell>
          <cell r="B1057" t="str">
            <v>ja</v>
          </cell>
          <cell r="C1057" t="str">
            <v>神解の預欺皇 オセ</v>
          </cell>
          <cell r="D1057" t="str">
            <v>オセ_分岐</v>
          </cell>
          <cell r="E1057" t="str">
            <v>執行者</v>
          </cell>
          <cell r="F1057" t="str">
            <v>格好いい</v>
          </cell>
          <cell r="G1057" t="str">
            <v>男性</v>
          </cell>
          <cell r="H1057" t="str">
            <v>green</v>
          </cell>
          <cell r="I1057">
            <v>6</v>
          </cell>
          <cell r="J1057" t="str">
            <v>PremiumS</v>
          </cell>
          <cell r="K1057" t="str">
            <v>attack</v>
          </cell>
          <cell r="L1057" t="str">
            <v>攻撃タイプ</v>
          </cell>
          <cell r="M1057" t="str">
            <v>demon</v>
          </cell>
        </row>
        <row r="1058">
          <cell r="A1058">
            <v>1057</v>
          </cell>
          <cell r="B1058" t="str">
            <v>ja</v>
          </cell>
          <cell r="C1058" t="str">
            <v>疑愛の永遠公爵 フォルネウス</v>
          </cell>
          <cell r="D1058" t="str">
            <v>フォルネウス_分岐</v>
          </cell>
          <cell r="E1058" t="str">
            <v>執行者</v>
          </cell>
          <cell r="F1058" t="str">
            <v>格好いい</v>
          </cell>
          <cell r="G1058" t="str">
            <v>男性</v>
          </cell>
          <cell r="H1058" t="str">
            <v>blue</v>
          </cell>
          <cell r="I1058">
            <v>6</v>
          </cell>
          <cell r="J1058" t="str">
            <v>PremiumS</v>
          </cell>
          <cell r="K1058" t="str">
            <v>attack</v>
          </cell>
          <cell r="L1058" t="str">
            <v>攻撃タイプ</v>
          </cell>
          <cell r="M1058" t="str">
            <v>demon</v>
          </cell>
        </row>
        <row r="1059">
          <cell r="A1059">
            <v>1058</v>
          </cell>
          <cell r="B1059" t="str">
            <v>ja</v>
          </cell>
          <cell r="C1059" t="str">
            <v>黄泉守誘の命神母 イザナミ</v>
          </cell>
          <cell r="D1059" t="str">
            <v>イザナミ_分岐</v>
          </cell>
          <cell r="E1059" t="str">
            <v>執行者</v>
          </cell>
          <cell r="F1059" t="str">
            <v>格好いい</v>
          </cell>
          <cell r="G1059" t="str">
            <v>男性</v>
          </cell>
          <cell r="H1059" t="str">
            <v>yellow</v>
          </cell>
          <cell r="I1059">
            <v>6</v>
          </cell>
          <cell r="J1059" t="str">
            <v>PremiumS</v>
          </cell>
          <cell r="K1059" t="str">
            <v>attack</v>
          </cell>
          <cell r="L1059" t="str">
            <v>攻撃タイプ</v>
          </cell>
          <cell r="M1059" t="str">
            <v>god</v>
          </cell>
        </row>
        <row r="1060">
          <cell r="A1060">
            <v>1059</v>
          </cell>
          <cell r="B1060" t="str">
            <v>ja</v>
          </cell>
          <cell r="C1060" t="str">
            <v>パズズ</v>
          </cell>
          <cell r="D1060" t="str">
            <v>イザナミ_分岐</v>
          </cell>
          <cell r="E1060" t="str">
            <v>執行者</v>
          </cell>
          <cell r="F1060" t="str">
            <v>格好いい</v>
          </cell>
          <cell r="G1060" t="str">
            <v>男性</v>
          </cell>
          <cell r="H1060" t="str">
            <v>green</v>
          </cell>
          <cell r="I1060">
            <v>4</v>
          </cell>
          <cell r="J1060" t="str">
            <v>Drop2N</v>
          </cell>
          <cell r="K1060" t="str">
            <v>balance</v>
          </cell>
          <cell r="L1060" t="str">
            <v>バランスタイプ</v>
          </cell>
          <cell r="M1060" t="str">
            <v>god</v>
          </cell>
        </row>
        <row r="1061">
          <cell r="A1061">
            <v>1060</v>
          </cell>
          <cell r="B1061" t="str">
            <v>ja</v>
          </cell>
          <cell r="C1061" t="str">
            <v>熱扇風の幼魔 パズズ</v>
          </cell>
          <cell r="D1061" t="str">
            <v>イザナミ_分岐</v>
          </cell>
          <cell r="E1061" t="str">
            <v>執行者</v>
          </cell>
          <cell r="F1061" t="str">
            <v>格好いい</v>
          </cell>
          <cell r="G1061" t="str">
            <v>男性</v>
          </cell>
          <cell r="H1061" t="str">
            <v>green</v>
          </cell>
          <cell r="I1061">
            <v>5</v>
          </cell>
          <cell r="J1061" t="str">
            <v>Drop2N</v>
          </cell>
          <cell r="K1061" t="str">
            <v>balance</v>
          </cell>
          <cell r="L1061" t="str">
            <v>バランスタイプ</v>
          </cell>
          <cell r="M1061" t="str">
            <v>god</v>
          </cell>
        </row>
        <row r="1062">
          <cell r="A1062">
            <v>1061</v>
          </cell>
          <cell r="B1062" t="str">
            <v>ja</v>
          </cell>
          <cell r="C1062" t="str">
            <v>フンババ</v>
          </cell>
          <cell r="D1062" t="str">
            <v>イザナミ_分岐</v>
          </cell>
          <cell r="E1062" t="str">
            <v>執行者</v>
          </cell>
          <cell r="F1062" t="str">
            <v>格好いい</v>
          </cell>
          <cell r="G1062" t="str">
            <v>男性</v>
          </cell>
          <cell r="H1062" t="str">
            <v>yellow</v>
          </cell>
          <cell r="I1062">
            <v>4</v>
          </cell>
          <cell r="J1062" t="str">
            <v>Drop2N</v>
          </cell>
          <cell r="K1062" t="str">
            <v>hp</v>
          </cell>
          <cell r="L1062" t="str">
            <v>体力タイプ</v>
          </cell>
          <cell r="M1062" t="str">
            <v>animal</v>
          </cell>
        </row>
        <row r="1063">
          <cell r="A1063">
            <v>1062</v>
          </cell>
          <cell r="B1063" t="str">
            <v>ja</v>
          </cell>
          <cell r="C1063" t="str">
            <v>停止不能の蛮躯 フンババ</v>
          </cell>
          <cell r="D1063" t="str">
            <v>イザナミ_分岐</v>
          </cell>
          <cell r="E1063" t="str">
            <v>執行者</v>
          </cell>
          <cell r="F1063" t="str">
            <v>格好いい</v>
          </cell>
          <cell r="G1063" t="str">
            <v>男性</v>
          </cell>
          <cell r="H1063" t="str">
            <v>yellow</v>
          </cell>
          <cell r="I1063">
            <v>5</v>
          </cell>
          <cell r="J1063" t="str">
            <v>Drop2N</v>
          </cell>
          <cell r="K1063" t="str">
            <v>hp</v>
          </cell>
          <cell r="L1063" t="str">
            <v>体力タイプ</v>
          </cell>
          <cell r="M1063" t="str">
            <v>animal</v>
          </cell>
        </row>
        <row r="1064">
          <cell r="A1064">
            <v>1063</v>
          </cell>
          <cell r="B1064" t="str">
            <v>ja</v>
          </cell>
          <cell r="C1064" t="str">
            <v>ティアマト</v>
          </cell>
          <cell r="D1064" t="str">
            <v>イザナミ_分岐</v>
          </cell>
          <cell r="E1064" t="str">
            <v>執行者</v>
          </cell>
          <cell r="F1064" t="str">
            <v>格好いい</v>
          </cell>
          <cell r="G1064" t="str">
            <v>男性</v>
          </cell>
          <cell r="H1064" t="str">
            <v>blue</v>
          </cell>
          <cell r="I1064">
            <v>5</v>
          </cell>
          <cell r="J1064" t="str">
            <v>DropWizS</v>
          </cell>
          <cell r="K1064" t="str">
            <v>technical</v>
          </cell>
          <cell r="L1064" t="str">
            <v>テクニカルタイプ</v>
          </cell>
          <cell r="M1064" t="str">
            <v>god</v>
          </cell>
        </row>
        <row r="1065">
          <cell r="A1065">
            <v>1064</v>
          </cell>
          <cell r="B1065" t="str">
            <v>ja</v>
          </cell>
          <cell r="C1065" t="str">
            <v>混沌の猛飛沫 ティアマト</v>
          </cell>
          <cell r="D1065" t="str">
            <v>イザナミ_分岐</v>
          </cell>
          <cell r="E1065" t="str">
            <v>執行者</v>
          </cell>
          <cell r="F1065" t="str">
            <v>格好いい</v>
          </cell>
          <cell r="G1065" t="str">
            <v>男性</v>
          </cell>
          <cell r="H1065" t="str">
            <v>blue</v>
          </cell>
          <cell r="I1065">
            <v>6</v>
          </cell>
          <cell r="J1065" t="str">
            <v>DropWizS</v>
          </cell>
          <cell r="K1065" t="str">
            <v>technical</v>
          </cell>
          <cell r="L1065" t="str">
            <v>テクニカルタイプ</v>
          </cell>
          <cell r="M1065" t="str">
            <v>god</v>
          </cell>
        </row>
        <row r="1066">
          <cell r="A1066">
            <v>1065</v>
          </cell>
          <cell r="B1066" t="str">
            <v>ja</v>
          </cell>
          <cell r="C1066" t="str">
            <v>ギルガメッシュ</v>
          </cell>
          <cell r="D1066" t="str">
            <v>イザナミ_分岐</v>
          </cell>
          <cell r="E1066" t="str">
            <v>執行者</v>
          </cell>
          <cell r="F1066" t="str">
            <v>格好いい</v>
          </cell>
          <cell r="G1066" t="str">
            <v>男性</v>
          </cell>
          <cell r="H1066" t="str">
            <v>red</v>
          </cell>
          <cell r="I1066">
            <v>5</v>
          </cell>
          <cell r="J1066" t="str">
            <v>DropWizSS</v>
          </cell>
          <cell r="K1066" t="str">
            <v>attack</v>
          </cell>
          <cell r="L1066" t="str">
            <v>攻撃タイプ</v>
          </cell>
          <cell r="M1066" t="str">
            <v>god</v>
          </cell>
        </row>
        <row r="1067">
          <cell r="A1067">
            <v>1066</v>
          </cell>
          <cell r="B1067" t="str">
            <v>ja</v>
          </cell>
          <cell r="C1067" t="str">
            <v>放縦の序獅子 ギルガメッシュ</v>
          </cell>
          <cell r="D1067" t="str">
            <v>イザナミ_分岐</v>
          </cell>
          <cell r="E1067" t="str">
            <v>執行者</v>
          </cell>
          <cell r="F1067" t="str">
            <v>格好いい</v>
          </cell>
          <cell r="G1067" t="str">
            <v>男性</v>
          </cell>
          <cell r="H1067" t="str">
            <v>red</v>
          </cell>
          <cell r="I1067">
            <v>6</v>
          </cell>
          <cell r="J1067" t="str">
            <v>DropWizSS</v>
          </cell>
          <cell r="K1067" t="str">
            <v>attack</v>
          </cell>
          <cell r="L1067" t="str">
            <v>攻撃タイプ</v>
          </cell>
          <cell r="M1067" t="str">
            <v>god</v>
          </cell>
        </row>
        <row r="1068">
          <cell r="A1068">
            <v>1067</v>
          </cell>
          <cell r="B1068" t="str">
            <v>ja</v>
          </cell>
          <cell r="C1068" t="str">
            <v>ウシュムガル</v>
          </cell>
          <cell r="D1068" t="str">
            <v>イザナミ_分岐</v>
          </cell>
          <cell r="E1068" t="str">
            <v>執行者</v>
          </cell>
          <cell r="F1068" t="str">
            <v>格好いい</v>
          </cell>
          <cell r="G1068" t="str">
            <v>男性</v>
          </cell>
          <cell r="H1068" t="str">
            <v>red</v>
          </cell>
          <cell r="I1068">
            <v>4</v>
          </cell>
          <cell r="J1068" t="str">
            <v>PremiumS</v>
          </cell>
          <cell r="K1068" t="str">
            <v>balance</v>
          </cell>
          <cell r="L1068" t="str">
            <v>バランスタイプ</v>
          </cell>
          <cell r="M1068" t="str">
            <v>dragon</v>
          </cell>
        </row>
        <row r="1069">
          <cell r="A1069">
            <v>1068</v>
          </cell>
          <cell r="B1069" t="str">
            <v>ja</v>
          </cell>
          <cell r="C1069" t="str">
            <v>想母の羽龍 ウシュムガル</v>
          </cell>
          <cell r="D1069" t="str">
            <v>イザナミ_分岐</v>
          </cell>
          <cell r="E1069" t="str">
            <v>執行者</v>
          </cell>
          <cell r="F1069" t="str">
            <v>格好いい</v>
          </cell>
          <cell r="G1069" t="str">
            <v>男性</v>
          </cell>
          <cell r="H1069" t="str">
            <v>red</v>
          </cell>
          <cell r="I1069">
            <v>5</v>
          </cell>
          <cell r="J1069" t="str">
            <v>PremiumS</v>
          </cell>
          <cell r="K1069" t="str">
            <v>balance</v>
          </cell>
          <cell r="L1069" t="str">
            <v>バランスタイプ</v>
          </cell>
          <cell r="M1069" t="str">
            <v>dragon</v>
          </cell>
        </row>
        <row r="1070">
          <cell r="A1070">
            <v>1069</v>
          </cell>
          <cell r="B1070" t="str">
            <v>ja</v>
          </cell>
          <cell r="C1070" t="str">
            <v>イシュタル</v>
          </cell>
          <cell r="D1070" t="str">
            <v>イザナミ_分岐</v>
          </cell>
          <cell r="E1070" t="str">
            <v>執行者</v>
          </cell>
          <cell r="F1070" t="str">
            <v>格好いい</v>
          </cell>
          <cell r="G1070" t="str">
            <v>男性</v>
          </cell>
          <cell r="H1070" t="str">
            <v>green</v>
          </cell>
          <cell r="I1070">
            <v>5</v>
          </cell>
          <cell r="J1070" t="str">
            <v>PremiumSS</v>
          </cell>
          <cell r="K1070" t="str">
            <v>technical</v>
          </cell>
          <cell r="L1070" t="str">
            <v>テクニカルタイプ</v>
          </cell>
          <cell r="M1070" t="str">
            <v>god</v>
          </cell>
        </row>
        <row r="1071">
          <cell r="A1071">
            <v>1070</v>
          </cell>
          <cell r="B1071" t="str">
            <v>ja</v>
          </cell>
          <cell r="C1071" t="str">
            <v>駆脳する造愛 イシュタル</v>
          </cell>
          <cell r="D1071" t="str">
            <v>イザナミ_分岐</v>
          </cell>
          <cell r="E1071" t="str">
            <v>執行者</v>
          </cell>
          <cell r="F1071" t="str">
            <v>格好いい</v>
          </cell>
          <cell r="G1071" t="str">
            <v>男性</v>
          </cell>
          <cell r="H1071" t="str">
            <v>green</v>
          </cell>
          <cell r="I1071">
            <v>6</v>
          </cell>
          <cell r="J1071" t="str">
            <v>PremiumSS</v>
          </cell>
          <cell r="K1071" t="str">
            <v>technical</v>
          </cell>
          <cell r="L1071" t="str">
            <v>テクニカルタイプ</v>
          </cell>
          <cell r="M1071" t="str">
            <v>god</v>
          </cell>
        </row>
        <row r="1072">
          <cell r="A1072">
            <v>1071</v>
          </cell>
          <cell r="B1072" t="str">
            <v>ja</v>
          </cell>
          <cell r="C1072" t="str">
            <v>イシュタル_分岐覚醒</v>
          </cell>
          <cell r="D1072" t="str">
            <v>イザナミ_分岐</v>
          </cell>
          <cell r="E1072" t="str">
            <v>執行者</v>
          </cell>
          <cell r="F1072" t="str">
            <v>格好いい</v>
          </cell>
          <cell r="G1072" t="str">
            <v>男性</v>
          </cell>
          <cell r="H1072" t="str">
            <v>green</v>
          </cell>
          <cell r="I1072">
            <v>6</v>
          </cell>
          <cell r="J1072" t="str">
            <v>PremiumSS</v>
          </cell>
          <cell r="K1072" t="str">
            <v>attack</v>
          </cell>
          <cell r="L1072" t="str">
            <v>攻撃タイプ</v>
          </cell>
          <cell r="M1072" t="str">
            <v>god</v>
          </cell>
        </row>
        <row r="1073">
          <cell r="A1073">
            <v>1072</v>
          </cell>
          <cell r="B1073" t="str">
            <v>ja</v>
          </cell>
          <cell r="C1073" t="str">
            <v>エンキドゥ</v>
          </cell>
          <cell r="D1073" t="str">
            <v>イザナミ_分岐</v>
          </cell>
          <cell r="E1073" t="str">
            <v>執行者</v>
          </cell>
          <cell r="F1073" t="str">
            <v>格好いい</v>
          </cell>
          <cell r="G1073" t="str">
            <v>男性</v>
          </cell>
          <cell r="H1073" t="str">
            <v>blue</v>
          </cell>
          <cell r="I1073">
            <v>5</v>
          </cell>
          <cell r="J1073" t="str">
            <v>PremiumSSw</v>
          </cell>
          <cell r="K1073" t="str">
            <v>attack</v>
          </cell>
          <cell r="L1073" t="str">
            <v>攻撃タイプ</v>
          </cell>
          <cell r="M1073" t="str">
            <v>human</v>
          </cell>
        </row>
        <row r="1074">
          <cell r="A1074">
            <v>1073</v>
          </cell>
          <cell r="B1074" t="str">
            <v>ja</v>
          </cell>
          <cell r="C1074" t="str">
            <v>静穏なる獣勇 エンキドゥ</v>
          </cell>
          <cell r="D1074" t="str">
            <v>イザナミ_分岐</v>
          </cell>
          <cell r="E1074" t="str">
            <v>執行者</v>
          </cell>
          <cell r="F1074" t="str">
            <v>格好いい</v>
          </cell>
          <cell r="G1074" t="str">
            <v>男性</v>
          </cell>
          <cell r="H1074" t="str">
            <v>blue</v>
          </cell>
          <cell r="I1074">
            <v>6</v>
          </cell>
          <cell r="J1074" t="str">
            <v>PremiumSSw</v>
          </cell>
          <cell r="K1074" t="str">
            <v>attack</v>
          </cell>
          <cell r="L1074" t="str">
            <v>攻撃タイプ</v>
          </cell>
          <cell r="M1074" t="str">
            <v>human</v>
          </cell>
        </row>
        <row r="1075">
          <cell r="A1075">
            <v>1074</v>
          </cell>
          <cell r="B1075" t="str">
            <v>ja</v>
          </cell>
          <cell r="C1075" t="str">
            <v>マルドゥク</v>
          </cell>
          <cell r="D1075" t="str">
            <v>イザナミ_分岐</v>
          </cell>
          <cell r="E1075" t="str">
            <v>執行者</v>
          </cell>
          <cell r="F1075" t="str">
            <v>格好いい</v>
          </cell>
          <cell r="G1075" t="str">
            <v>男性</v>
          </cell>
          <cell r="H1075" t="str">
            <v>yellow</v>
          </cell>
          <cell r="I1075">
            <v>5</v>
          </cell>
          <cell r="J1075" t="str">
            <v>PremiumSS</v>
          </cell>
          <cell r="K1075" t="str">
            <v>technical</v>
          </cell>
          <cell r="L1075" t="str">
            <v>テクニカルタイプ</v>
          </cell>
          <cell r="M1075" t="str">
            <v>god</v>
          </cell>
        </row>
        <row r="1076">
          <cell r="A1076">
            <v>1075</v>
          </cell>
          <cell r="B1076" t="str">
            <v>ja</v>
          </cell>
          <cell r="C1076" t="str">
            <v>虚塔の神王 マルドゥク</v>
          </cell>
          <cell r="D1076" t="str">
            <v>イザナミ_分岐</v>
          </cell>
          <cell r="E1076" t="str">
            <v>執行者</v>
          </cell>
          <cell r="F1076" t="str">
            <v>格好いい</v>
          </cell>
          <cell r="G1076" t="str">
            <v>男性</v>
          </cell>
          <cell r="H1076" t="str">
            <v>yellow</v>
          </cell>
          <cell r="I1076">
            <v>6</v>
          </cell>
          <cell r="J1076" t="str">
            <v>PremiumSS</v>
          </cell>
          <cell r="K1076" t="str">
            <v>technical</v>
          </cell>
          <cell r="L1076" t="str">
            <v>テクニカルタイプ</v>
          </cell>
          <cell r="M1076" t="str">
            <v>god</v>
          </cell>
        </row>
        <row r="1077">
          <cell r="A1077">
            <v>1076</v>
          </cell>
          <cell r="B1077" t="str">
            <v>ja</v>
          </cell>
          <cell r="C1077" t="str">
            <v>パレート</v>
          </cell>
          <cell r="D1077" t="str">
            <v>イザナミ_分岐</v>
          </cell>
          <cell r="E1077" t="str">
            <v>執行者</v>
          </cell>
          <cell r="F1077" t="str">
            <v>格好いい</v>
          </cell>
          <cell r="G1077" t="str">
            <v>男性</v>
          </cell>
          <cell r="H1077" t="str">
            <v>green</v>
          </cell>
          <cell r="I1077">
            <v>5</v>
          </cell>
          <cell r="J1077" t="str">
            <v>PremiumSSS</v>
          </cell>
          <cell r="K1077" t="str">
            <v>balance</v>
          </cell>
          <cell r="L1077" t="str">
            <v>バランスタイプ</v>
          </cell>
          <cell r="M1077" t="str">
            <v>academia</v>
          </cell>
        </row>
        <row r="1078">
          <cell r="A1078">
            <v>1077</v>
          </cell>
          <cell r="B1078" t="str">
            <v>ja</v>
          </cell>
          <cell r="C1078" t="str">
            <v>彩適な幸詠隊 パレート</v>
          </cell>
          <cell r="D1078" t="str">
            <v>イザナミ_分岐</v>
          </cell>
          <cell r="E1078" t="str">
            <v>執行者</v>
          </cell>
          <cell r="F1078" t="str">
            <v>格好いい</v>
          </cell>
          <cell r="G1078" t="str">
            <v>男性</v>
          </cell>
          <cell r="H1078" t="str">
            <v>green</v>
          </cell>
          <cell r="I1078">
            <v>6</v>
          </cell>
          <cell r="J1078" t="str">
            <v>PremiumSSS</v>
          </cell>
          <cell r="K1078" t="str">
            <v>balance</v>
          </cell>
          <cell r="L1078" t="str">
            <v>バランスタイプ</v>
          </cell>
          <cell r="M1078" t="str">
            <v>academia</v>
          </cell>
        </row>
        <row r="1079">
          <cell r="A1079">
            <v>1078</v>
          </cell>
          <cell r="B1079" t="str">
            <v>ja</v>
          </cell>
          <cell r="C1079" t="str">
            <v>合奏の飛論理 パレート</v>
          </cell>
          <cell r="D1079" t="str">
            <v>イザナミ_分岐</v>
          </cell>
          <cell r="E1079" t="str">
            <v>執行者</v>
          </cell>
          <cell r="F1079" t="str">
            <v>格好いい</v>
          </cell>
          <cell r="G1079" t="str">
            <v>男性</v>
          </cell>
          <cell r="H1079" t="str">
            <v>green</v>
          </cell>
          <cell r="I1079">
            <v>6</v>
          </cell>
          <cell r="J1079" t="str">
            <v>PremiumSSS</v>
          </cell>
          <cell r="K1079" t="str">
            <v>balance</v>
          </cell>
          <cell r="L1079" t="str">
            <v>バランスタイプ</v>
          </cell>
          <cell r="M1079" t="str">
            <v>academia</v>
          </cell>
        </row>
        <row r="1080">
          <cell r="A1080">
            <v>1079</v>
          </cell>
          <cell r="B1080" t="str">
            <v>ja</v>
          </cell>
          <cell r="C1080" t="str">
            <v>炎のアニバーサリーダック</v>
          </cell>
          <cell r="D1080" t="str">
            <v>未定</v>
          </cell>
          <cell r="E1080" t="str">
            <v>アリス</v>
          </cell>
          <cell r="F1080" t="str">
            <v>世界観</v>
          </cell>
          <cell r="G1080" t="str">
            <v>不明</v>
          </cell>
          <cell r="H1080" t="str">
            <v>red</v>
          </cell>
          <cell r="I1080">
            <v>6</v>
          </cell>
          <cell r="J1080" t="str">
            <v>Material</v>
          </cell>
          <cell r="K1080" t="str">
            <v>exp</v>
          </cell>
          <cell r="L1080" t="str">
            <v>強化素材タイプ</v>
          </cell>
          <cell r="M1080" t="str">
            <v>unknown</v>
          </cell>
        </row>
        <row r="1081">
          <cell r="A1081">
            <v>1080</v>
          </cell>
          <cell r="B1081" t="str">
            <v>ja</v>
          </cell>
          <cell r="C1081" t="str">
            <v>森のアニバーサリーダック</v>
          </cell>
          <cell r="D1081" t="str">
            <v>未定</v>
          </cell>
          <cell r="E1081" t="str">
            <v>アリス</v>
          </cell>
          <cell r="F1081" t="str">
            <v>世界観</v>
          </cell>
          <cell r="G1081" t="str">
            <v>不明</v>
          </cell>
          <cell r="H1081" t="str">
            <v>green</v>
          </cell>
          <cell r="I1081">
            <v>6</v>
          </cell>
          <cell r="J1081" t="str">
            <v>Material</v>
          </cell>
          <cell r="K1081" t="str">
            <v>exp</v>
          </cell>
          <cell r="L1081" t="str">
            <v>強化素材タイプ</v>
          </cell>
          <cell r="M1081" t="str">
            <v>unknown</v>
          </cell>
        </row>
        <row r="1082">
          <cell r="A1082">
            <v>1081</v>
          </cell>
          <cell r="B1082" t="str">
            <v>ja</v>
          </cell>
          <cell r="C1082" t="str">
            <v>水のアニバーサリーダック</v>
          </cell>
          <cell r="D1082" t="str">
            <v>未定</v>
          </cell>
          <cell r="E1082" t="str">
            <v>アリス</v>
          </cell>
          <cell r="F1082" t="str">
            <v>世界観</v>
          </cell>
          <cell r="G1082" t="str">
            <v>不明</v>
          </cell>
          <cell r="H1082" t="str">
            <v>blue</v>
          </cell>
          <cell r="I1082">
            <v>6</v>
          </cell>
          <cell r="J1082" t="str">
            <v>Material</v>
          </cell>
          <cell r="K1082" t="str">
            <v>exp</v>
          </cell>
          <cell r="L1082" t="str">
            <v>強化素材タイプ</v>
          </cell>
          <cell r="M1082" t="str">
            <v>unknown</v>
          </cell>
        </row>
        <row r="1083">
          <cell r="A1083">
            <v>1082</v>
          </cell>
          <cell r="B1083" t="str">
            <v>ja</v>
          </cell>
          <cell r="C1083" t="str">
            <v>雷のアニバーサリーダック</v>
          </cell>
          <cell r="D1083" t="str">
            <v>未定</v>
          </cell>
          <cell r="E1083" t="str">
            <v>アリス</v>
          </cell>
          <cell r="F1083" t="str">
            <v>世界観</v>
          </cell>
          <cell r="G1083" t="str">
            <v>不明</v>
          </cell>
          <cell r="H1083" t="str">
            <v>yellow</v>
          </cell>
          <cell r="I1083">
            <v>6</v>
          </cell>
          <cell r="J1083" t="str">
            <v>Material</v>
          </cell>
          <cell r="K1083" t="str">
            <v>exp</v>
          </cell>
          <cell r="L1083" t="str">
            <v>強化素材タイプ</v>
          </cell>
          <cell r="M1083" t="str">
            <v>unknown</v>
          </cell>
        </row>
        <row r="1084">
          <cell r="A1084">
            <v>1083</v>
          </cell>
          <cell r="B1084" t="str">
            <v>ja</v>
          </cell>
          <cell r="C1084" t="str">
            <v>マジシャン</v>
          </cell>
          <cell r="D1084" t="str">
            <v>未定</v>
          </cell>
          <cell r="E1084" t="str">
            <v>アリス</v>
          </cell>
          <cell r="F1084" t="str">
            <v>世界観</v>
          </cell>
          <cell r="G1084" t="str">
            <v>不明</v>
          </cell>
          <cell r="H1084" t="str">
            <v>yellow</v>
          </cell>
          <cell r="I1084">
            <v>5</v>
          </cell>
          <cell r="J1084" t="str">
            <v>PremiumSSS</v>
          </cell>
          <cell r="K1084" t="str">
            <v>technical</v>
          </cell>
          <cell r="L1084" t="str">
            <v>テクニカルタイプ</v>
          </cell>
          <cell r="M1084" t="str">
            <v>god</v>
          </cell>
        </row>
        <row r="1085">
          <cell r="A1085">
            <v>1084</v>
          </cell>
          <cell r="B1085" t="str">
            <v>ja</v>
          </cell>
          <cell r="C1085" t="str">
            <v>驚創する術想師  マジシャン</v>
          </cell>
          <cell r="D1085" t="str">
            <v>未定</v>
          </cell>
          <cell r="E1085" t="str">
            <v>アリス</v>
          </cell>
          <cell r="F1085" t="str">
            <v>世界観</v>
          </cell>
          <cell r="G1085" t="str">
            <v>不明</v>
          </cell>
          <cell r="H1085" t="str">
            <v>yellow</v>
          </cell>
          <cell r="I1085">
            <v>6</v>
          </cell>
          <cell r="J1085" t="str">
            <v>PremiumSSS</v>
          </cell>
          <cell r="K1085" t="str">
            <v>technical</v>
          </cell>
          <cell r="L1085" t="str">
            <v>テクニカルタイプ</v>
          </cell>
          <cell r="M1085" t="str">
            <v>god</v>
          </cell>
        </row>
        <row r="1086">
          <cell r="A1086">
            <v>1085</v>
          </cell>
          <cell r="B1086" t="str">
            <v>ja</v>
          </cell>
          <cell r="C1086" t="str">
            <v>ルメートル</v>
          </cell>
          <cell r="D1086" t="str">
            <v>未定</v>
          </cell>
          <cell r="E1086" t="str">
            <v>アリス</v>
          </cell>
          <cell r="F1086" t="str">
            <v>世界観</v>
          </cell>
          <cell r="G1086" t="str">
            <v>不明</v>
          </cell>
          <cell r="H1086" t="str">
            <v>green</v>
          </cell>
          <cell r="I1086">
            <v>5</v>
          </cell>
          <cell r="J1086" t="str">
            <v>PremiumSSS</v>
          </cell>
          <cell r="K1086" t="str">
            <v>technical</v>
          </cell>
          <cell r="L1086" t="str">
            <v>テクニカルタイプ</v>
          </cell>
          <cell r="M1086" t="str">
            <v>academia</v>
          </cell>
        </row>
        <row r="1087">
          <cell r="A1087">
            <v>1086</v>
          </cell>
          <cell r="B1087" t="str">
            <v>ja</v>
          </cell>
          <cell r="C1087" t="str">
            <v>宇宙の線術家 ルメートル</v>
          </cell>
          <cell r="D1087" t="str">
            <v>未定</v>
          </cell>
          <cell r="E1087" t="str">
            <v>アリス</v>
          </cell>
          <cell r="F1087" t="str">
            <v>世界観</v>
          </cell>
          <cell r="G1087" t="str">
            <v>不明</v>
          </cell>
          <cell r="H1087" t="str">
            <v>green</v>
          </cell>
          <cell r="I1087">
            <v>6</v>
          </cell>
          <cell r="J1087" t="str">
            <v>PremiumSSS</v>
          </cell>
          <cell r="K1087" t="str">
            <v>technical</v>
          </cell>
          <cell r="L1087" t="str">
            <v>テクニカルタイプ</v>
          </cell>
          <cell r="M1087" t="str">
            <v>academia</v>
          </cell>
        </row>
        <row r="1088">
          <cell r="A1088">
            <v>1087</v>
          </cell>
          <cell r="B1088" t="str">
            <v>ja</v>
          </cell>
          <cell r="C1088" t="str">
            <v>宇宙線の神業師 ルメートル</v>
          </cell>
          <cell r="D1088" t="str">
            <v>未定</v>
          </cell>
          <cell r="E1088" t="str">
            <v>アリス</v>
          </cell>
          <cell r="F1088" t="str">
            <v>世界観</v>
          </cell>
          <cell r="G1088" t="str">
            <v>不明</v>
          </cell>
          <cell r="H1088" t="str">
            <v>green</v>
          </cell>
          <cell r="I1088">
            <v>6</v>
          </cell>
          <cell r="J1088" t="str">
            <v>PremiumSSS</v>
          </cell>
          <cell r="K1088" t="str">
            <v>balance</v>
          </cell>
          <cell r="L1088" t="str">
            <v>バランスタイプ</v>
          </cell>
          <cell r="M1088" t="str">
            <v>academia</v>
          </cell>
        </row>
        <row r="1089">
          <cell r="A1089">
            <v>1088</v>
          </cell>
          <cell r="B1089" t="str">
            <v>ja</v>
          </cell>
          <cell r="C1089" t="str">
            <v>ミケランジェロ</v>
          </cell>
          <cell r="D1089" t="str">
            <v>未定</v>
          </cell>
          <cell r="E1089" t="str">
            <v>アリス</v>
          </cell>
          <cell r="F1089" t="str">
            <v>世界観</v>
          </cell>
          <cell r="G1089" t="str">
            <v>不明</v>
          </cell>
          <cell r="H1089" t="str">
            <v>green</v>
          </cell>
          <cell r="I1089">
            <v>5</v>
          </cell>
          <cell r="J1089" t="str">
            <v>DropWizS</v>
          </cell>
          <cell r="K1089" t="str">
            <v>technical</v>
          </cell>
          <cell r="L1089" t="str">
            <v>テクニカルタイプ</v>
          </cell>
          <cell r="M1089" t="str">
            <v>unknown</v>
          </cell>
        </row>
        <row r="1090">
          <cell r="A1090">
            <v>1089</v>
          </cell>
          <cell r="B1090" t="str">
            <v>ja</v>
          </cell>
          <cell r="C1090" t="str">
            <v>破壊の発誕 ミケランジェロ</v>
          </cell>
          <cell r="D1090" t="str">
            <v>未定</v>
          </cell>
          <cell r="E1090" t="str">
            <v>アリス</v>
          </cell>
          <cell r="F1090" t="str">
            <v>世界観</v>
          </cell>
          <cell r="G1090" t="str">
            <v>不明</v>
          </cell>
          <cell r="H1090" t="str">
            <v>green</v>
          </cell>
          <cell r="I1090">
            <v>6</v>
          </cell>
          <cell r="J1090" t="str">
            <v>DropWizS</v>
          </cell>
          <cell r="K1090" t="str">
            <v>technical</v>
          </cell>
          <cell r="L1090" t="str">
            <v>テクニカルタイプ</v>
          </cell>
          <cell r="M1090" t="str">
            <v>unknown</v>
          </cell>
        </row>
        <row r="1091">
          <cell r="A1091">
            <v>1090</v>
          </cell>
          <cell r="B1091" t="str">
            <v>ja</v>
          </cell>
          <cell r="C1091" t="str">
            <v>ラプラス</v>
          </cell>
          <cell r="D1091" t="str">
            <v>未定</v>
          </cell>
          <cell r="E1091" t="str">
            <v>アリス</v>
          </cell>
          <cell r="F1091" t="str">
            <v>世界観</v>
          </cell>
          <cell r="G1091" t="str">
            <v>不明</v>
          </cell>
          <cell r="H1091" t="str">
            <v>yellow</v>
          </cell>
          <cell r="I1091">
            <v>5</v>
          </cell>
          <cell r="J1091" t="str">
            <v>PremiumSSS</v>
          </cell>
          <cell r="K1091" t="str">
            <v>attack</v>
          </cell>
          <cell r="L1091" t="str">
            <v>攻撃タイプ</v>
          </cell>
          <cell r="M1091" t="str">
            <v>academia</v>
          </cell>
        </row>
        <row r="1092">
          <cell r="A1092">
            <v>1091</v>
          </cell>
          <cell r="B1092" t="str">
            <v>ja</v>
          </cell>
          <cell r="C1092" t="str">
            <v>予眼する魔姫 ラプラス</v>
          </cell>
          <cell r="D1092" t="str">
            <v>未定</v>
          </cell>
          <cell r="E1092" t="str">
            <v>アリス</v>
          </cell>
          <cell r="F1092" t="str">
            <v>世界観</v>
          </cell>
          <cell r="G1092" t="str">
            <v>不明</v>
          </cell>
          <cell r="H1092" t="str">
            <v>yellow</v>
          </cell>
          <cell r="I1092">
            <v>6</v>
          </cell>
          <cell r="J1092" t="str">
            <v>PremiumSSS</v>
          </cell>
          <cell r="K1092" t="str">
            <v>attack</v>
          </cell>
          <cell r="L1092" t="str">
            <v>攻撃タイプ</v>
          </cell>
          <cell r="M1092" t="str">
            <v>academia</v>
          </cell>
        </row>
        <row r="1093">
          <cell r="A1093">
            <v>1092</v>
          </cell>
          <cell r="B1093" t="str">
            <v>ja</v>
          </cell>
          <cell r="C1093" t="str">
            <v>究護の戦王子 レイヴン</v>
          </cell>
          <cell r="D1093" t="str">
            <v>未定</v>
          </cell>
          <cell r="E1093" t="str">
            <v>アリス</v>
          </cell>
          <cell r="F1093" t="str">
            <v>世界観</v>
          </cell>
          <cell r="G1093" t="str">
            <v>不明</v>
          </cell>
          <cell r="H1093" t="str">
            <v>green</v>
          </cell>
          <cell r="I1093">
            <v>6</v>
          </cell>
          <cell r="J1093" t="str">
            <v>PremiumSS</v>
          </cell>
          <cell r="K1093" t="str">
            <v>attack</v>
          </cell>
          <cell r="L1093" t="str">
            <v>攻撃タイプ</v>
          </cell>
          <cell r="M1093" t="str">
            <v>human</v>
          </cell>
        </row>
        <row r="1094">
          <cell r="A1094">
            <v>1093</v>
          </cell>
          <cell r="B1094" t="str">
            <v>ja</v>
          </cell>
          <cell r="C1094" t="str">
            <v>未定</v>
          </cell>
          <cell r="D1094" t="str">
            <v>未定</v>
          </cell>
          <cell r="E1094" t="str">
            <v>アリス</v>
          </cell>
          <cell r="F1094" t="str">
            <v>世界観</v>
          </cell>
          <cell r="G1094" t="str">
            <v>不明</v>
          </cell>
          <cell r="H1094" t="str">
            <v>yellow</v>
          </cell>
          <cell r="I1094">
            <v>6</v>
          </cell>
          <cell r="J1094" t="str">
            <v>DropWizS</v>
          </cell>
          <cell r="K1094" t="str">
            <v>attack</v>
          </cell>
          <cell r="L1094" t="str">
            <v>攻撃タイプ</v>
          </cell>
          <cell r="M1094" t="str">
            <v>unknown</v>
          </cell>
        </row>
        <row r="1095">
          <cell r="A1095">
            <v>1094</v>
          </cell>
          <cell r="B1095" t="str">
            <v>ja</v>
          </cell>
          <cell r="C1095" t="str">
            <v>メルクシャ</v>
          </cell>
          <cell r="D1095" t="str">
            <v>未定</v>
          </cell>
          <cell r="E1095" t="str">
            <v>アリス</v>
          </cell>
          <cell r="F1095" t="str">
            <v>世界観</v>
          </cell>
          <cell r="G1095" t="str">
            <v>不明</v>
          </cell>
          <cell r="H1095" t="str">
            <v>blue</v>
          </cell>
          <cell r="I1095">
            <v>4</v>
          </cell>
          <cell r="J1095" t="str">
            <v>Drop2N</v>
          </cell>
          <cell r="K1095" t="str">
            <v>technical</v>
          </cell>
          <cell r="L1095" t="str">
            <v>テクニカルタイプ</v>
          </cell>
          <cell r="M1095" t="str">
            <v>animal</v>
          </cell>
        </row>
        <row r="1096">
          <cell r="A1096">
            <v>1095</v>
          </cell>
          <cell r="B1096" t="str">
            <v>ja</v>
          </cell>
          <cell r="C1096" t="str">
            <v>誓愛の絵花 メルクシャ</v>
          </cell>
          <cell r="D1096" t="str">
            <v>未定</v>
          </cell>
          <cell r="E1096" t="str">
            <v>アリス</v>
          </cell>
          <cell r="F1096" t="str">
            <v>世界観</v>
          </cell>
          <cell r="G1096" t="str">
            <v>不明</v>
          </cell>
          <cell r="H1096" t="str">
            <v>blue</v>
          </cell>
          <cell r="I1096">
            <v>5</v>
          </cell>
          <cell r="J1096" t="str">
            <v>Drop2N</v>
          </cell>
          <cell r="K1096" t="str">
            <v>technical</v>
          </cell>
          <cell r="L1096" t="str">
            <v>テクニカルタイプ</v>
          </cell>
          <cell r="M1096" t="str">
            <v>animal</v>
          </cell>
        </row>
        <row r="1097">
          <cell r="A1097">
            <v>1096</v>
          </cell>
          <cell r="B1097" t="str">
            <v>ja</v>
          </cell>
          <cell r="C1097" t="str">
            <v>ジャ・リダルサ</v>
          </cell>
          <cell r="D1097" t="str">
            <v>未定</v>
          </cell>
          <cell r="E1097" t="str">
            <v>アリス</v>
          </cell>
          <cell r="F1097" t="str">
            <v>世界観</v>
          </cell>
          <cell r="G1097" t="str">
            <v>不明</v>
          </cell>
          <cell r="H1097" t="str">
            <v>red</v>
          </cell>
          <cell r="I1097">
            <v>4</v>
          </cell>
          <cell r="J1097" t="str">
            <v>Drop2N</v>
          </cell>
          <cell r="K1097" t="str">
            <v>technical</v>
          </cell>
          <cell r="L1097" t="str">
            <v>テクニカルタイプ</v>
          </cell>
          <cell r="M1097" t="str">
            <v>unknown</v>
          </cell>
        </row>
        <row r="1098">
          <cell r="A1098">
            <v>1097</v>
          </cell>
          <cell r="B1098" t="str">
            <v>ja</v>
          </cell>
          <cell r="C1098" t="str">
            <v>超現実才奇 ジャ・リダルサ</v>
          </cell>
          <cell r="D1098" t="str">
            <v>未定</v>
          </cell>
          <cell r="E1098" t="str">
            <v>アリス</v>
          </cell>
          <cell r="F1098" t="str">
            <v>世界観</v>
          </cell>
          <cell r="G1098" t="str">
            <v>不明</v>
          </cell>
          <cell r="H1098" t="str">
            <v>red</v>
          </cell>
          <cell r="I1098">
            <v>5</v>
          </cell>
          <cell r="J1098" t="str">
            <v>Drop2N</v>
          </cell>
          <cell r="K1098" t="str">
            <v>technical</v>
          </cell>
          <cell r="L1098" t="str">
            <v>テクニカルタイプ</v>
          </cell>
          <cell r="M1098" t="str">
            <v>unknown</v>
          </cell>
        </row>
        <row r="1099">
          <cell r="A1099">
            <v>1098</v>
          </cell>
          <cell r="B1099" t="str">
            <v>ja</v>
          </cell>
          <cell r="C1099" t="str">
            <v>ルピカ</v>
          </cell>
          <cell r="D1099" t="str">
            <v>未定</v>
          </cell>
          <cell r="E1099" t="str">
            <v>アリス</v>
          </cell>
          <cell r="F1099" t="str">
            <v>世界観</v>
          </cell>
          <cell r="G1099" t="str">
            <v>不明</v>
          </cell>
          <cell r="H1099" t="str">
            <v>yellow</v>
          </cell>
          <cell r="I1099">
            <v>5</v>
          </cell>
          <cell r="J1099" t="str">
            <v>DropWizS</v>
          </cell>
          <cell r="K1099" t="str">
            <v>technical</v>
          </cell>
          <cell r="L1099" t="str">
            <v>テクニカルタイプ</v>
          </cell>
          <cell r="M1099" t="str">
            <v>human</v>
          </cell>
        </row>
        <row r="1100">
          <cell r="A1100">
            <v>1099</v>
          </cell>
          <cell r="B1100" t="str">
            <v>ja</v>
          </cell>
          <cell r="C1100" t="str">
            <v>破築の連創 ルピカ</v>
          </cell>
          <cell r="D1100" t="str">
            <v>未定</v>
          </cell>
          <cell r="E1100" t="str">
            <v>アリス</v>
          </cell>
          <cell r="F1100" t="str">
            <v>世界観</v>
          </cell>
          <cell r="G1100" t="str">
            <v>不明</v>
          </cell>
          <cell r="H1100" t="str">
            <v>yellow</v>
          </cell>
          <cell r="I1100">
            <v>6</v>
          </cell>
          <cell r="J1100" t="str">
            <v>DropWizS</v>
          </cell>
          <cell r="K1100" t="str">
            <v>technical</v>
          </cell>
          <cell r="L1100" t="str">
            <v>テクニカルタイプ</v>
          </cell>
          <cell r="M1100" t="str">
            <v>human</v>
          </cell>
        </row>
        <row r="1101">
          <cell r="A1101">
            <v>1100</v>
          </cell>
          <cell r="B1101" t="str">
            <v>ja</v>
          </cell>
          <cell r="C1101" t="str">
            <v>北斎</v>
          </cell>
          <cell r="D1101" t="str">
            <v>未定</v>
          </cell>
          <cell r="E1101" t="str">
            <v>アリス</v>
          </cell>
          <cell r="F1101" t="str">
            <v>世界観</v>
          </cell>
          <cell r="G1101" t="str">
            <v>不明</v>
          </cell>
          <cell r="H1101" t="str">
            <v>red</v>
          </cell>
          <cell r="I1101">
            <v>5</v>
          </cell>
          <cell r="J1101" t="str">
            <v>PremiumSS</v>
          </cell>
          <cell r="K1101" t="str">
            <v>attack</v>
          </cell>
          <cell r="L1101" t="str">
            <v>攻撃タイプ</v>
          </cell>
          <cell r="M1101" t="str">
            <v>human</v>
          </cell>
        </row>
        <row r="1102">
          <cell r="A1102">
            <v>1101</v>
          </cell>
          <cell r="B1102" t="str">
            <v>ja</v>
          </cell>
          <cell r="C1102" t="str">
            <v>浮世万物の筆刻者 北斎</v>
          </cell>
          <cell r="D1102" t="str">
            <v>未定</v>
          </cell>
          <cell r="E1102" t="str">
            <v>アリス</v>
          </cell>
          <cell r="F1102" t="str">
            <v>世界観</v>
          </cell>
          <cell r="G1102" t="str">
            <v>不明</v>
          </cell>
          <cell r="H1102" t="str">
            <v>red</v>
          </cell>
          <cell r="I1102">
            <v>6</v>
          </cell>
          <cell r="J1102" t="str">
            <v>PremiumSS</v>
          </cell>
          <cell r="K1102" t="str">
            <v>attack</v>
          </cell>
          <cell r="L1102" t="str">
            <v>攻撃タイプ</v>
          </cell>
          <cell r="M1102" t="str">
            <v>human</v>
          </cell>
        </row>
        <row r="1103">
          <cell r="A1103">
            <v>1102</v>
          </cell>
          <cell r="B1103" t="str">
            <v>ja</v>
          </cell>
          <cell r="C1103" t="str">
            <v>ドガ</v>
          </cell>
          <cell r="D1103" t="str">
            <v>未定</v>
          </cell>
          <cell r="E1103" t="str">
            <v>アリス</v>
          </cell>
          <cell r="F1103" t="str">
            <v>世界観</v>
          </cell>
          <cell r="G1103" t="str">
            <v>不明</v>
          </cell>
          <cell r="H1103" t="str">
            <v>green</v>
          </cell>
          <cell r="I1103">
            <v>5</v>
          </cell>
          <cell r="J1103" t="str">
            <v>PremiumSSw</v>
          </cell>
          <cell r="K1103" t="str">
            <v>balance</v>
          </cell>
          <cell r="L1103" t="str">
            <v>バランスタイプ</v>
          </cell>
          <cell r="M1103" t="str">
            <v>animal</v>
          </cell>
        </row>
        <row r="1104">
          <cell r="A1104">
            <v>1103</v>
          </cell>
          <cell r="B1104" t="str">
            <v>ja</v>
          </cell>
          <cell r="C1104" t="str">
            <v>舞台裏の鼠展 ドガ</v>
          </cell>
          <cell r="D1104" t="str">
            <v>未定</v>
          </cell>
          <cell r="E1104" t="str">
            <v>アリス</v>
          </cell>
          <cell r="F1104" t="str">
            <v>世界観</v>
          </cell>
          <cell r="G1104" t="str">
            <v>不明</v>
          </cell>
          <cell r="H1104" t="str">
            <v>green</v>
          </cell>
          <cell r="I1104">
            <v>6</v>
          </cell>
          <cell r="J1104" t="str">
            <v>PremiumSSw</v>
          </cell>
          <cell r="K1104" t="str">
            <v>balance</v>
          </cell>
          <cell r="L1104" t="str">
            <v>バランスタイプ</v>
          </cell>
          <cell r="M1104" t="str">
            <v>animal</v>
          </cell>
        </row>
        <row r="1105">
          <cell r="A1105">
            <v>1104</v>
          </cell>
          <cell r="B1105" t="str">
            <v>ja</v>
          </cell>
          <cell r="C1105" t="str">
            <v>クリムト</v>
          </cell>
          <cell r="D1105" t="str">
            <v>未定</v>
          </cell>
          <cell r="E1105" t="str">
            <v>アリス</v>
          </cell>
          <cell r="F1105" t="str">
            <v>世界観</v>
          </cell>
          <cell r="G1105" t="str">
            <v>不明</v>
          </cell>
          <cell r="H1105" t="str">
            <v>blue</v>
          </cell>
          <cell r="I1105">
            <v>4</v>
          </cell>
          <cell r="J1105" t="str">
            <v>PremiumS</v>
          </cell>
          <cell r="K1105" t="str">
            <v>technical</v>
          </cell>
          <cell r="L1105" t="str">
            <v>テクニカルタイプ</v>
          </cell>
          <cell r="M1105" t="str">
            <v>human</v>
          </cell>
        </row>
        <row r="1106">
          <cell r="A1106">
            <v>1105</v>
          </cell>
          <cell r="B1106" t="str">
            <v>ja</v>
          </cell>
          <cell r="C1106" t="str">
            <v>甘美なる背徳 クリムト</v>
          </cell>
          <cell r="D1106" t="str">
            <v>未定</v>
          </cell>
          <cell r="E1106" t="str">
            <v>アリス</v>
          </cell>
          <cell r="F1106" t="str">
            <v>世界観</v>
          </cell>
          <cell r="G1106" t="str">
            <v>不明</v>
          </cell>
          <cell r="H1106" t="str">
            <v>blue</v>
          </cell>
          <cell r="I1106">
            <v>5</v>
          </cell>
          <cell r="J1106" t="str">
            <v>PremiumS</v>
          </cell>
          <cell r="K1106" t="str">
            <v>technical</v>
          </cell>
          <cell r="L1106" t="str">
            <v>テクニカルタイプ</v>
          </cell>
          <cell r="M1106" t="str">
            <v>human</v>
          </cell>
        </row>
        <row r="1107">
          <cell r="A1107">
            <v>1106</v>
          </cell>
          <cell r="B1107" t="str">
            <v>ja</v>
          </cell>
          <cell r="C1107" t="str">
            <v>ラファエロ</v>
          </cell>
          <cell r="D1107" t="str">
            <v>未定</v>
          </cell>
          <cell r="E1107" t="str">
            <v>アリス</v>
          </cell>
          <cell r="F1107" t="str">
            <v>世界観</v>
          </cell>
          <cell r="G1107" t="str">
            <v>不明</v>
          </cell>
          <cell r="H1107" t="str">
            <v>yellow</v>
          </cell>
          <cell r="I1107">
            <v>5</v>
          </cell>
          <cell r="J1107" t="str">
            <v>PremiumSS</v>
          </cell>
          <cell r="K1107" t="str">
            <v>attack</v>
          </cell>
          <cell r="L1107" t="str">
            <v>攻撃タイプ</v>
          </cell>
          <cell r="M1107" t="str">
            <v>human</v>
          </cell>
        </row>
        <row r="1108">
          <cell r="A1108">
            <v>1107</v>
          </cell>
          <cell r="B1108" t="str">
            <v>ja</v>
          </cell>
          <cell r="C1108" t="str">
            <v>天浄の鮮風 ラファエロ</v>
          </cell>
          <cell r="D1108" t="str">
            <v>未定</v>
          </cell>
          <cell r="E1108" t="str">
            <v>アリス</v>
          </cell>
          <cell r="F1108" t="str">
            <v>世界観</v>
          </cell>
          <cell r="G1108" t="str">
            <v>不明</v>
          </cell>
          <cell r="H1108" t="str">
            <v>yellow</v>
          </cell>
          <cell r="I1108">
            <v>6</v>
          </cell>
          <cell r="J1108" t="str">
            <v>PremiumSS</v>
          </cell>
          <cell r="K1108" t="str">
            <v>attack</v>
          </cell>
          <cell r="L1108" t="str">
            <v>攻撃タイプ</v>
          </cell>
          <cell r="M1108" t="str">
            <v>human</v>
          </cell>
        </row>
        <row r="1109">
          <cell r="A1109">
            <v>1108</v>
          </cell>
          <cell r="B1109" t="str">
            <v>ja</v>
          </cell>
          <cell r="C1109" t="str">
            <v>交鏡の光波 フレネル</v>
          </cell>
          <cell r="D1109" t="str">
            <v>未定</v>
          </cell>
          <cell r="E1109" t="str">
            <v>アリス</v>
          </cell>
          <cell r="F1109" t="str">
            <v>世界観</v>
          </cell>
          <cell r="G1109" t="str">
            <v>不明</v>
          </cell>
          <cell r="H1109" t="str">
            <v>yellow</v>
          </cell>
          <cell r="I1109">
            <v>6</v>
          </cell>
          <cell r="J1109" t="str">
            <v>PremiumSSS</v>
          </cell>
          <cell r="K1109" t="str">
            <v>attack</v>
          </cell>
          <cell r="L1109" t="str">
            <v>攻撃タイプ</v>
          </cell>
          <cell r="M1109" t="str">
            <v>academia</v>
          </cell>
        </row>
        <row r="1110">
          <cell r="A1110">
            <v>1109</v>
          </cell>
          <cell r="B1110" t="str">
            <v>ja</v>
          </cell>
          <cell r="C1110" t="str">
            <v>セキ</v>
          </cell>
          <cell r="D1110" t="str">
            <v>未定</v>
          </cell>
          <cell r="E1110" t="str">
            <v>アリス</v>
          </cell>
          <cell r="F1110" t="str">
            <v>世界観</v>
          </cell>
          <cell r="G1110" t="str">
            <v>不明</v>
          </cell>
          <cell r="H1110" t="str">
            <v>red</v>
          </cell>
          <cell r="I1110">
            <v>5</v>
          </cell>
          <cell r="J1110" t="str">
            <v>PremiumSSS</v>
          </cell>
          <cell r="K1110" t="str">
            <v>technical</v>
          </cell>
          <cell r="L1110" t="str">
            <v>テクニカルタイプ</v>
          </cell>
          <cell r="M1110" t="str">
            <v>academia</v>
          </cell>
        </row>
        <row r="1111">
          <cell r="A1111">
            <v>1110</v>
          </cell>
          <cell r="B1111" t="str">
            <v>ja</v>
          </cell>
          <cell r="C1111" t="str">
            <v>天竄の炎斬式 セキ</v>
          </cell>
          <cell r="D1111" t="str">
            <v>未定</v>
          </cell>
          <cell r="E1111" t="str">
            <v>アリス</v>
          </cell>
          <cell r="F1111" t="str">
            <v>世界観</v>
          </cell>
          <cell r="G1111" t="str">
            <v>不明</v>
          </cell>
          <cell r="H1111" t="str">
            <v>red</v>
          </cell>
          <cell r="I1111">
            <v>6</v>
          </cell>
          <cell r="J1111" t="str">
            <v>PremiumSSS</v>
          </cell>
          <cell r="K1111" t="str">
            <v>technical</v>
          </cell>
          <cell r="L1111" t="str">
            <v>テクニカルタイプ</v>
          </cell>
          <cell r="M1111" t="str">
            <v>academia</v>
          </cell>
        </row>
        <row r="1112">
          <cell r="A1112">
            <v>1111</v>
          </cell>
          <cell r="B1112" t="str">
            <v>ja</v>
          </cell>
          <cell r="C1112" t="str">
            <v>ウィグナー</v>
          </cell>
          <cell r="D1112" t="str">
            <v>未定</v>
          </cell>
          <cell r="E1112" t="str">
            <v>アリス</v>
          </cell>
          <cell r="F1112" t="str">
            <v>世界観</v>
          </cell>
          <cell r="G1112" t="str">
            <v>不明</v>
          </cell>
          <cell r="H1112" t="str">
            <v>blue</v>
          </cell>
          <cell r="I1112">
            <v>5</v>
          </cell>
          <cell r="J1112" t="str">
            <v>PremiumSSS</v>
          </cell>
          <cell r="K1112" t="str">
            <v>attack</v>
          </cell>
          <cell r="L1112" t="str">
            <v>攻撃タイプ</v>
          </cell>
          <cell r="M1112" t="str">
            <v>academia</v>
          </cell>
        </row>
        <row r="1113">
          <cell r="A1113">
            <v>1112</v>
          </cell>
          <cell r="B1113" t="str">
            <v>ja</v>
          </cell>
          <cell r="C1113" t="str">
            <v>正統なる傑晶 ウィグナー</v>
          </cell>
          <cell r="D1113" t="str">
            <v>未定</v>
          </cell>
          <cell r="E1113" t="str">
            <v>アリス</v>
          </cell>
          <cell r="F1113" t="str">
            <v>世界観</v>
          </cell>
          <cell r="G1113" t="str">
            <v>不明</v>
          </cell>
          <cell r="H1113" t="str">
            <v>blue</v>
          </cell>
          <cell r="I1113">
            <v>6</v>
          </cell>
          <cell r="J1113" t="str">
            <v>PremiumSSS</v>
          </cell>
          <cell r="K1113" t="str">
            <v>attack</v>
          </cell>
          <cell r="L1113" t="str">
            <v>攻撃タイプ</v>
          </cell>
          <cell r="M1113" t="str">
            <v>academia</v>
          </cell>
        </row>
        <row r="1114">
          <cell r="A1114">
            <v>1113</v>
          </cell>
          <cell r="B1114" t="str">
            <v>ja</v>
          </cell>
          <cell r="C1114" t="str">
            <v>聖結たる輝晶獣 ウィグナー</v>
          </cell>
          <cell r="D1114" t="str">
            <v>未定</v>
          </cell>
          <cell r="E1114" t="str">
            <v>アリス</v>
          </cell>
          <cell r="F1114" t="str">
            <v>世界観</v>
          </cell>
          <cell r="G1114" t="str">
            <v>不明</v>
          </cell>
          <cell r="H1114" t="str">
            <v>blue</v>
          </cell>
          <cell r="I1114">
            <v>6</v>
          </cell>
          <cell r="J1114" t="str">
            <v>PremiumSSS</v>
          </cell>
          <cell r="K1114" t="str">
            <v>balance</v>
          </cell>
          <cell r="L1114" t="str">
            <v>バランスタイプ</v>
          </cell>
          <cell r="M1114" t="str">
            <v>academia</v>
          </cell>
        </row>
        <row r="1115">
          <cell r="A1115">
            <v>1114</v>
          </cell>
          <cell r="B1115" t="str">
            <v>ja</v>
          </cell>
          <cell r="C1115" t="str">
            <v>ボナンザ</v>
          </cell>
          <cell r="D1115" t="str">
            <v>未定</v>
          </cell>
          <cell r="E1115" t="str">
            <v>アリス</v>
          </cell>
          <cell r="F1115" t="str">
            <v>世界観</v>
          </cell>
          <cell r="G1115" t="str">
            <v>不明</v>
          </cell>
          <cell r="H1115" t="str">
            <v>green</v>
          </cell>
          <cell r="I1115">
            <v>5</v>
          </cell>
          <cell r="J1115" t="str">
            <v>DropWizSSS</v>
          </cell>
          <cell r="K1115" t="str">
            <v>technical</v>
          </cell>
          <cell r="L1115" t="str">
            <v>テクニカルタイプ</v>
          </cell>
          <cell r="M1115" t="str">
            <v>queen</v>
          </cell>
        </row>
        <row r="1116">
          <cell r="A1116">
            <v>1115</v>
          </cell>
          <cell r="B1116" t="str">
            <v>ja</v>
          </cell>
          <cell r="C1116" t="str">
            <v>アヴァルシアの女王 ボナンザ</v>
          </cell>
          <cell r="D1116" t="str">
            <v>未定</v>
          </cell>
          <cell r="E1116" t="str">
            <v>アリス</v>
          </cell>
          <cell r="F1116" t="str">
            <v>世界観</v>
          </cell>
          <cell r="G1116" t="str">
            <v>不明</v>
          </cell>
          <cell r="H1116" t="str">
            <v>green</v>
          </cell>
          <cell r="I1116">
            <v>6</v>
          </cell>
          <cell r="J1116" t="str">
            <v>DropWizSSS</v>
          </cell>
          <cell r="K1116" t="str">
            <v>technical</v>
          </cell>
          <cell r="L1116" t="str">
            <v>テクニカルタイプ</v>
          </cell>
          <cell r="M1116" t="str">
            <v>queen</v>
          </cell>
        </row>
        <row r="1117">
          <cell r="A1117">
            <v>1116</v>
          </cell>
          <cell r="B1117" t="str">
            <v>ja</v>
          </cell>
          <cell r="C1117" t="str">
            <v>天檄総氏神 アマテラス</v>
          </cell>
          <cell r="D1117" t="str">
            <v>未定</v>
          </cell>
          <cell r="E1117" t="str">
            <v>アリス</v>
          </cell>
          <cell r="F1117" t="str">
            <v>世界観</v>
          </cell>
          <cell r="G1117" t="str">
            <v>不明</v>
          </cell>
          <cell r="H1117" t="str">
            <v>red</v>
          </cell>
          <cell r="I1117">
            <v>6</v>
          </cell>
          <cell r="J1117" t="str">
            <v>DropWizS</v>
          </cell>
          <cell r="K1117" t="str">
            <v>attack</v>
          </cell>
          <cell r="L1117" t="str">
            <v>攻撃タイプ</v>
          </cell>
          <cell r="M1117" t="str">
            <v>god</v>
          </cell>
        </row>
        <row r="1118">
          <cell r="A1118">
            <v>1117</v>
          </cell>
          <cell r="B1118" t="str">
            <v>ja</v>
          </cell>
          <cell r="C1118" t="str">
            <v>凶天慟地の覇腕 アザゼル</v>
          </cell>
          <cell r="D1118" t="str">
            <v>未定</v>
          </cell>
          <cell r="E1118" t="str">
            <v>アリス</v>
          </cell>
          <cell r="F1118" t="str">
            <v>世界観</v>
          </cell>
          <cell r="G1118" t="str">
            <v>不明</v>
          </cell>
          <cell r="H1118" t="str">
            <v>green</v>
          </cell>
          <cell r="I1118">
            <v>6</v>
          </cell>
          <cell r="J1118" t="str">
            <v>DropWizS</v>
          </cell>
          <cell r="K1118" t="str">
            <v>technical</v>
          </cell>
          <cell r="L1118" t="str">
            <v>テクニカルタイプ</v>
          </cell>
          <cell r="M1118" t="str">
            <v>demon</v>
          </cell>
        </row>
        <row r="1119">
          <cell r="A1119">
            <v>1118</v>
          </cell>
          <cell r="B1119" t="str">
            <v>ja</v>
          </cell>
          <cell r="C1119" t="str">
            <v>超過速路の閃導者 ジャンヌ</v>
          </cell>
          <cell r="D1119" t="str">
            <v>未定</v>
          </cell>
          <cell r="E1119" t="str">
            <v>アリス</v>
          </cell>
          <cell r="F1119" t="str">
            <v>世界観</v>
          </cell>
          <cell r="G1119" t="str">
            <v>不明</v>
          </cell>
          <cell r="H1119" t="str">
            <v>blue</v>
          </cell>
          <cell r="I1119">
            <v>6</v>
          </cell>
          <cell r="J1119" t="str">
            <v>DropWizS</v>
          </cell>
          <cell r="K1119" t="str">
            <v>heal</v>
          </cell>
          <cell r="L1119" t="str">
            <v>回復タイプ</v>
          </cell>
          <cell r="M1119" t="str">
            <v>human</v>
          </cell>
        </row>
        <row r="1120">
          <cell r="A1120">
            <v>1119</v>
          </cell>
          <cell r="B1120" t="str">
            <v>ja</v>
          </cell>
          <cell r="C1120" t="str">
            <v>刹・廻天一流 宮本武蔵</v>
          </cell>
          <cell r="D1120" t="str">
            <v>未定</v>
          </cell>
          <cell r="E1120" t="str">
            <v>アリス</v>
          </cell>
          <cell r="F1120" t="str">
            <v>世界観</v>
          </cell>
          <cell r="G1120" t="str">
            <v>不明</v>
          </cell>
          <cell r="H1120" t="str">
            <v>yellow</v>
          </cell>
          <cell r="I1120">
            <v>6</v>
          </cell>
          <cell r="J1120" t="str">
            <v>DropWizS</v>
          </cell>
          <cell r="K1120" t="str">
            <v>attack</v>
          </cell>
          <cell r="L1120" t="str">
            <v>攻撃タイプ</v>
          </cell>
          <cell r="M1120" t="str">
            <v>human</v>
          </cell>
        </row>
        <row r="1121">
          <cell r="A1121">
            <v>1120</v>
          </cell>
          <cell r="B1121" t="str">
            <v>ja</v>
          </cell>
          <cell r="C1121" t="str">
            <v>四聖猛煌の皇獣 麒麟</v>
          </cell>
          <cell r="D1121" t="str">
            <v>未定</v>
          </cell>
          <cell r="E1121" t="str">
            <v>アリス</v>
          </cell>
          <cell r="F1121" t="str">
            <v>世界観</v>
          </cell>
          <cell r="G1121" t="str">
            <v>不明</v>
          </cell>
          <cell r="H1121" t="str">
            <v>yellow</v>
          </cell>
          <cell r="I1121">
            <v>6</v>
          </cell>
          <cell r="J1121" t="str">
            <v>DropWizSS</v>
          </cell>
          <cell r="K1121" t="str">
            <v>attack</v>
          </cell>
          <cell r="L1121" t="str">
            <v>攻撃タイプ</v>
          </cell>
          <cell r="M1121" t="str">
            <v>god</v>
          </cell>
        </row>
        <row r="1122">
          <cell r="A1122">
            <v>1121</v>
          </cell>
          <cell r="B1122" t="str">
            <v>ja</v>
          </cell>
          <cell r="C1122" t="str">
            <v>逆燦の機閃刃 オイラー</v>
          </cell>
          <cell r="D1122" t="str">
            <v>未定</v>
          </cell>
          <cell r="E1122" t="str">
            <v>アリス</v>
          </cell>
          <cell r="F1122" t="str">
            <v>世界観</v>
          </cell>
          <cell r="G1122" t="str">
            <v>不明</v>
          </cell>
          <cell r="H1122" t="str">
            <v>green</v>
          </cell>
          <cell r="I1122">
            <v>6</v>
          </cell>
          <cell r="J1122" t="str">
            <v>PremiumSSS</v>
          </cell>
          <cell r="K1122" t="str">
            <v>balance</v>
          </cell>
          <cell r="L1122" t="str">
            <v>バランスタイプ</v>
          </cell>
          <cell r="M1122" t="str">
            <v>academia</v>
          </cell>
        </row>
        <row r="1123">
          <cell r="A1123">
            <v>1122</v>
          </cell>
          <cell r="B1123" t="str">
            <v>ja</v>
          </cell>
          <cell r="C1123" t="str">
            <v>不可能性の現翼 メビウス</v>
          </cell>
          <cell r="D1123" t="str">
            <v>未定</v>
          </cell>
          <cell r="E1123" t="str">
            <v>アリス</v>
          </cell>
          <cell r="F1123" t="str">
            <v>世界観</v>
          </cell>
          <cell r="G1123" t="str">
            <v>不明</v>
          </cell>
          <cell r="H1123" t="str">
            <v>blue</v>
          </cell>
          <cell r="I1123">
            <v>6</v>
          </cell>
          <cell r="J1123" t="str">
            <v>PremiumSSS</v>
          </cell>
          <cell r="K1123" t="str">
            <v>balance</v>
          </cell>
          <cell r="L1123" t="str">
            <v>バランスタイプ</v>
          </cell>
          <cell r="M1123" t="str">
            <v>academia</v>
          </cell>
        </row>
        <row r="1124">
          <cell r="A1124">
            <v>1123</v>
          </cell>
          <cell r="B1124" t="str">
            <v>ja</v>
          </cell>
          <cell r="C1124" t="str">
            <v>舞降りし綺鏡羽 ブール</v>
          </cell>
          <cell r="D1124" t="str">
            <v>未定</v>
          </cell>
          <cell r="E1124" t="str">
            <v>アリス</v>
          </cell>
          <cell r="F1124" t="str">
            <v>世界観</v>
          </cell>
          <cell r="G1124" t="str">
            <v>不明</v>
          </cell>
          <cell r="H1124" t="str">
            <v>blue</v>
          </cell>
          <cell r="I1124">
            <v>6</v>
          </cell>
          <cell r="J1124" t="str">
            <v>PremiumSSS</v>
          </cell>
          <cell r="K1124" t="str">
            <v>balance</v>
          </cell>
          <cell r="L1124" t="str">
            <v>バランスタイプ</v>
          </cell>
          <cell r="M1124" t="str">
            <v>academia</v>
          </cell>
        </row>
        <row r="1125">
          <cell r="A1125">
            <v>1124</v>
          </cell>
          <cell r="B1125" t="str">
            <v>ja</v>
          </cell>
          <cell r="C1125" t="str">
            <v>超絶界析 ラグランジュ</v>
          </cell>
          <cell r="D1125" t="str">
            <v>未定</v>
          </cell>
          <cell r="E1125" t="str">
            <v>アリス</v>
          </cell>
          <cell r="F1125" t="str">
            <v>世界観</v>
          </cell>
          <cell r="G1125" t="str">
            <v>不明</v>
          </cell>
          <cell r="H1125" t="str">
            <v>red</v>
          </cell>
          <cell r="I1125">
            <v>6</v>
          </cell>
          <cell r="J1125" t="str">
            <v>PremiumSSS</v>
          </cell>
          <cell r="K1125" t="str">
            <v>technical</v>
          </cell>
          <cell r="L1125" t="str">
            <v>テクニカルタイプ</v>
          </cell>
          <cell r="M1125" t="str">
            <v>academia</v>
          </cell>
        </row>
        <row r="1126">
          <cell r="A1126">
            <v>1125</v>
          </cell>
          <cell r="B1126" t="str">
            <v>ja</v>
          </cell>
          <cell r="C1126" t="str">
            <v>累々たる世解 シュレディンガー</v>
          </cell>
          <cell r="D1126" t="str">
            <v>未定</v>
          </cell>
          <cell r="E1126" t="str">
            <v>アリス</v>
          </cell>
          <cell r="F1126" t="str">
            <v>世界観</v>
          </cell>
          <cell r="G1126" t="str">
            <v>不明</v>
          </cell>
          <cell r="H1126" t="str">
            <v>red</v>
          </cell>
          <cell r="I1126">
            <v>6</v>
          </cell>
          <cell r="J1126" t="str">
            <v>PremiumSSS</v>
          </cell>
          <cell r="K1126" t="str">
            <v>technical</v>
          </cell>
          <cell r="L1126" t="str">
            <v>テクニカルタイプ</v>
          </cell>
          <cell r="M1126" t="str">
            <v>academia</v>
          </cell>
        </row>
        <row r="1127">
          <cell r="A1127">
            <v>1126</v>
          </cell>
          <cell r="B1127" t="str">
            <v>ja</v>
          </cell>
          <cell r="C1127" t="str">
            <v>最終焉算の鋼砲 チューリング</v>
          </cell>
          <cell r="D1127" t="str">
            <v>未定</v>
          </cell>
          <cell r="E1127" t="str">
            <v>アリス</v>
          </cell>
          <cell r="F1127" t="str">
            <v>世界観</v>
          </cell>
          <cell r="G1127" t="str">
            <v>不明</v>
          </cell>
          <cell r="H1127" t="str">
            <v>green</v>
          </cell>
          <cell r="I1127">
            <v>6</v>
          </cell>
          <cell r="J1127" t="str">
            <v>PremiumSSS</v>
          </cell>
          <cell r="K1127" t="str">
            <v>hp</v>
          </cell>
          <cell r="L1127" t="str">
            <v>体力タイプ</v>
          </cell>
          <cell r="M1127" t="str">
            <v>academia</v>
          </cell>
        </row>
        <row r="1128">
          <cell r="A1128">
            <v>1127</v>
          </cell>
          <cell r="B1128" t="str">
            <v>ja</v>
          </cell>
          <cell r="C1128" t="str">
            <v>真蒼導く対偶 ヘンペル</v>
          </cell>
          <cell r="D1128" t="str">
            <v>未定</v>
          </cell>
          <cell r="E1128" t="str">
            <v>アリス</v>
          </cell>
          <cell r="F1128" t="str">
            <v>世界観</v>
          </cell>
          <cell r="G1128" t="str">
            <v>不明</v>
          </cell>
          <cell r="H1128" t="str">
            <v>blue</v>
          </cell>
          <cell r="I1128">
            <v>6</v>
          </cell>
          <cell r="J1128" t="str">
            <v>PremiumSSS</v>
          </cell>
          <cell r="K1128" t="str">
            <v>attack</v>
          </cell>
          <cell r="L1128" t="str">
            <v>攻撃タイプ</v>
          </cell>
          <cell r="M1128" t="str">
            <v>academia</v>
          </cell>
        </row>
        <row r="1129">
          <cell r="A1129">
            <v>1128</v>
          </cell>
          <cell r="B1129" t="str">
            <v>ja</v>
          </cell>
          <cell r="C1129" t="str">
            <v>宇宙天紡の星明 ハップル</v>
          </cell>
          <cell r="D1129" t="str">
            <v>未定</v>
          </cell>
          <cell r="E1129" t="str">
            <v>アリス</v>
          </cell>
          <cell r="F1129" t="str">
            <v>世界観</v>
          </cell>
          <cell r="G1129" t="str">
            <v>不明</v>
          </cell>
          <cell r="H1129" t="str">
            <v>yellow</v>
          </cell>
          <cell r="I1129">
            <v>6</v>
          </cell>
          <cell r="J1129" t="str">
            <v>PremiumSSS</v>
          </cell>
          <cell r="K1129" t="str">
            <v>technical</v>
          </cell>
          <cell r="L1129" t="str">
            <v>テクニカルタイプ</v>
          </cell>
          <cell r="M1129" t="str">
            <v>academia</v>
          </cell>
        </row>
        <row r="1130">
          <cell r="A1130">
            <v>1129</v>
          </cell>
          <cell r="B1130" t="str">
            <v>ja</v>
          </cell>
          <cell r="C1130" t="str">
            <v>赤兎馬</v>
          </cell>
          <cell r="D1130" t="str">
            <v>未定</v>
          </cell>
          <cell r="E1130" t="str">
            <v>アリス</v>
          </cell>
          <cell r="F1130" t="str">
            <v>世界観</v>
          </cell>
          <cell r="G1130" t="str">
            <v>不明</v>
          </cell>
          <cell r="H1130" t="str">
            <v>red</v>
          </cell>
          <cell r="I1130">
            <v>4</v>
          </cell>
          <cell r="J1130" t="str">
            <v>Drop2N</v>
          </cell>
          <cell r="K1130" t="str">
            <v>attack</v>
          </cell>
          <cell r="L1130" t="str">
            <v>攻撃タイプ</v>
          </cell>
          <cell r="M1130" t="str">
            <v>animal</v>
          </cell>
        </row>
        <row r="1131">
          <cell r="A1131">
            <v>1130</v>
          </cell>
          <cell r="B1131" t="str">
            <v>ja</v>
          </cell>
          <cell r="C1131" t="str">
            <v>紅鋼の疾躁獣 赤兎馬</v>
          </cell>
          <cell r="D1131" t="str">
            <v>未定</v>
          </cell>
          <cell r="E1131" t="str">
            <v>アリス</v>
          </cell>
          <cell r="F1131" t="str">
            <v>世界観</v>
          </cell>
          <cell r="G1131" t="str">
            <v>不明</v>
          </cell>
          <cell r="H1131" t="str">
            <v>red</v>
          </cell>
          <cell r="I1131">
            <v>5</v>
          </cell>
          <cell r="J1131" t="str">
            <v>Drop2N</v>
          </cell>
          <cell r="K1131" t="str">
            <v>attack</v>
          </cell>
          <cell r="L1131" t="str">
            <v>攻撃タイプ</v>
          </cell>
          <cell r="M1131" t="str">
            <v>animal</v>
          </cell>
        </row>
        <row r="1132">
          <cell r="A1132">
            <v>1131</v>
          </cell>
          <cell r="B1132" t="str">
            <v>ja</v>
          </cell>
          <cell r="C1132" t="str">
            <v>董卓</v>
          </cell>
          <cell r="D1132" t="str">
            <v>未定</v>
          </cell>
          <cell r="E1132" t="str">
            <v>アリス</v>
          </cell>
          <cell r="F1132" t="str">
            <v>世界観</v>
          </cell>
          <cell r="G1132" t="str">
            <v>不明</v>
          </cell>
          <cell r="H1132" t="str">
            <v>green</v>
          </cell>
          <cell r="I1132">
            <v>5</v>
          </cell>
          <cell r="J1132" t="str">
            <v>DropWizS</v>
          </cell>
          <cell r="K1132" t="str">
            <v>hp</v>
          </cell>
          <cell r="L1132" t="str">
            <v>体力タイプ</v>
          </cell>
          <cell r="M1132" t="str">
            <v>samurai</v>
          </cell>
        </row>
        <row r="1133">
          <cell r="A1133">
            <v>1132</v>
          </cell>
          <cell r="B1133" t="str">
            <v>ja</v>
          </cell>
          <cell r="C1133" t="str">
            <v>偏執なる狂騒君 董卓</v>
          </cell>
          <cell r="D1133" t="str">
            <v>未定</v>
          </cell>
          <cell r="E1133" t="str">
            <v>アリス</v>
          </cell>
          <cell r="F1133" t="str">
            <v>世界観</v>
          </cell>
          <cell r="G1133" t="str">
            <v>不明</v>
          </cell>
          <cell r="H1133" t="str">
            <v>green</v>
          </cell>
          <cell r="I1133">
            <v>6</v>
          </cell>
          <cell r="J1133" t="str">
            <v>DropWizS</v>
          </cell>
          <cell r="K1133" t="str">
            <v>hp</v>
          </cell>
          <cell r="L1133" t="str">
            <v>体力タイプ</v>
          </cell>
          <cell r="M1133" t="str">
            <v>samurai</v>
          </cell>
        </row>
        <row r="1134">
          <cell r="A1134">
            <v>1133</v>
          </cell>
          <cell r="B1134" t="str">
            <v>ja</v>
          </cell>
          <cell r="C1134" t="str">
            <v>貂蝉</v>
          </cell>
          <cell r="D1134" t="str">
            <v>未定</v>
          </cell>
          <cell r="E1134" t="str">
            <v>アリス</v>
          </cell>
          <cell r="F1134" t="str">
            <v>世界観</v>
          </cell>
          <cell r="G1134" t="str">
            <v>不明</v>
          </cell>
          <cell r="H1134" t="str">
            <v>yellow</v>
          </cell>
          <cell r="I1134">
            <v>5</v>
          </cell>
          <cell r="J1134" t="str">
            <v>DropWizS</v>
          </cell>
          <cell r="K1134" t="str">
            <v>technical</v>
          </cell>
          <cell r="L1134" t="str">
            <v>テクニカルタイプ</v>
          </cell>
          <cell r="M1134" t="str">
            <v>samurai</v>
          </cell>
        </row>
        <row r="1135">
          <cell r="A1135">
            <v>1134</v>
          </cell>
          <cell r="B1135" t="str">
            <v>ja</v>
          </cell>
          <cell r="C1135" t="str">
            <v>月隠れの美麗酔 貂蝉</v>
          </cell>
          <cell r="D1135" t="str">
            <v>未定</v>
          </cell>
          <cell r="E1135" t="str">
            <v>アリス</v>
          </cell>
          <cell r="F1135" t="str">
            <v>世界観</v>
          </cell>
          <cell r="G1135" t="str">
            <v>不明</v>
          </cell>
          <cell r="H1135" t="str">
            <v>yellow</v>
          </cell>
          <cell r="I1135">
            <v>6</v>
          </cell>
          <cell r="J1135" t="str">
            <v>DropWizS</v>
          </cell>
          <cell r="K1135" t="str">
            <v>technical</v>
          </cell>
          <cell r="L1135" t="str">
            <v>テクニカルタイプ</v>
          </cell>
          <cell r="M1135" t="str">
            <v>samurai</v>
          </cell>
        </row>
        <row r="1136">
          <cell r="A1136">
            <v>1135</v>
          </cell>
          <cell r="B1136" t="str">
            <v>ja</v>
          </cell>
          <cell r="C1136" t="str">
            <v>呂布</v>
          </cell>
          <cell r="D1136" t="str">
            <v>未定</v>
          </cell>
          <cell r="E1136" t="str">
            <v>アリス</v>
          </cell>
          <cell r="F1136" t="str">
            <v>世界観</v>
          </cell>
          <cell r="G1136" t="str">
            <v>不明</v>
          </cell>
          <cell r="H1136" t="str">
            <v>green</v>
          </cell>
          <cell r="I1136">
            <v>5</v>
          </cell>
          <cell r="J1136" t="str">
            <v>DropWizSS</v>
          </cell>
          <cell r="K1136" t="str">
            <v>attack</v>
          </cell>
          <cell r="L1136" t="str">
            <v>攻撃タイプ</v>
          </cell>
          <cell r="M1136" t="str">
            <v>samurai</v>
          </cell>
        </row>
        <row r="1137">
          <cell r="A1137">
            <v>1136</v>
          </cell>
          <cell r="B1137" t="str">
            <v>ja</v>
          </cell>
          <cell r="C1137" t="str">
            <v>豪拳烈創の激将 呂布</v>
          </cell>
          <cell r="D1137" t="str">
            <v>未定</v>
          </cell>
          <cell r="E1137" t="str">
            <v>アリス</v>
          </cell>
          <cell r="F1137" t="str">
            <v>世界観</v>
          </cell>
          <cell r="G1137" t="str">
            <v>不明</v>
          </cell>
          <cell r="H1137" t="str">
            <v>green</v>
          </cell>
          <cell r="I1137">
            <v>6</v>
          </cell>
          <cell r="J1137" t="str">
            <v>DropWizSS</v>
          </cell>
          <cell r="K1137" t="str">
            <v>attack</v>
          </cell>
          <cell r="L1137" t="str">
            <v>攻撃タイプ</v>
          </cell>
          <cell r="M1137" t="str">
            <v>samurai</v>
          </cell>
        </row>
        <row r="1138">
          <cell r="A1138">
            <v>1137</v>
          </cell>
          <cell r="B1138" t="str">
            <v>ja</v>
          </cell>
          <cell r="C1138" t="str">
            <v>諸葛亮</v>
          </cell>
          <cell r="D1138" t="str">
            <v>未定</v>
          </cell>
          <cell r="E1138" t="str">
            <v>アリス</v>
          </cell>
          <cell r="F1138" t="str">
            <v>世界観</v>
          </cell>
          <cell r="G1138" t="str">
            <v>不明</v>
          </cell>
          <cell r="H1138" t="str">
            <v>red</v>
          </cell>
          <cell r="I1138">
            <v>5</v>
          </cell>
          <cell r="J1138" t="str">
            <v>PremiumSSw</v>
          </cell>
          <cell r="K1138" t="str">
            <v>technical</v>
          </cell>
          <cell r="L1138" t="str">
            <v>テクニカルタイプ</v>
          </cell>
          <cell r="M1138" t="str">
            <v>samurai</v>
          </cell>
        </row>
        <row r="1139">
          <cell r="A1139">
            <v>1138</v>
          </cell>
          <cell r="B1139" t="str">
            <v>ja</v>
          </cell>
          <cell r="C1139" t="str">
            <v>神算鬼謀の宰相 諸葛亮</v>
          </cell>
          <cell r="D1139" t="str">
            <v>未定</v>
          </cell>
          <cell r="E1139" t="str">
            <v>アリス</v>
          </cell>
          <cell r="F1139" t="str">
            <v>世界観</v>
          </cell>
          <cell r="G1139" t="str">
            <v>不明</v>
          </cell>
          <cell r="H1139" t="str">
            <v>red</v>
          </cell>
          <cell r="I1139">
            <v>6</v>
          </cell>
          <cell r="J1139" t="str">
            <v>PremiumSSw</v>
          </cell>
          <cell r="K1139" t="str">
            <v>technical</v>
          </cell>
          <cell r="L1139" t="str">
            <v>テクニカルタイプ</v>
          </cell>
          <cell r="M1139" t="str">
            <v>samurai</v>
          </cell>
        </row>
        <row r="1140">
          <cell r="A1140">
            <v>1139</v>
          </cell>
          <cell r="B1140" t="str">
            <v>ja</v>
          </cell>
          <cell r="C1140" t="str">
            <v>趙雲</v>
          </cell>
          <cell r="D1140" t="str">
            <v>未定</v>
          </cell>
          <cell r="E1140" t="str">
            <v>アリス</v>
          </cell>
          <cell r="F1140" t="str">
            <v>世界観</v>
          </cell>
          <cell r="G1140" t="str">
            <v>不明</v>
          </cell>
          <cell r="H1140" t="str">
            <v>green</v>
          </cell>
          <cell r="I1140">
            <v>5</v>
          </cell>
          <cell r="J1140" t="str">
            <v>PremiumSS</v>
          </cell>
          <cell r="K1140" t="str">
            <v>balance</v>
          </cell>
          <cell r="L1140" t="str">
            <v>バランスタイプ</v>
          </cell>
          <cell r="M1140" t="str">
            <v>samurai</v>
          </cell>
        </row>
        <row r="1141">
          <cell r="A1141">
            <v>1140</v>
          </cell>
          <cell r="B1141" t="str">
            <v>ja</v>
          </cell>
          <cell r="C1141" t="str">
            <v>綱紀粛正の傑璧 趙雲</v>
          </cell>
          <cell r="D1141" t="str">
            <v>未定</v>
          </cell>
          <cell r="E1141" t="str">
            <v>アリス</v>
          </cell>
          <cell r="F1141" t="str">
            <v>世界観</v>
          </cell>
          <cell r="G1141" t="str">
            <v>不明</v>
          </cell>
          <cell r="H1141" t="str">
            <v>green</v>
          </cell>
          <cell r="I1141">
            <v>6</v>
          </cell>
          <cell r="J1141" t="str">
            <v>PremiumSS</v>
          </cell>
          <cell r="K1141" t="str">
            <v>balance</v>
          </cell>
          <cell r="L1141" t="str">
            <v>バランスタイプ</v>
          </cell>
          <cell r="M1141" t="str">
            <v>samurai</v>
          </cell>
        </row>
        <row r="1142">
          <cell r="A1142">
            <v>1141</v>
          </cell>
          <cell r="B1142" t="str">
            <v>ja</v>
          </cell>
          <cell r="C1142" t="str">
            <v>月英</v>
          </cell>
          <cell r="D1142" t="str">
            <v>未定</v>
          </cell>
          <cell r="E1142" t="str">
            <v>アリス</v>
          </cell>
          <cell r="F1142" t="str">
            <v>世界観</v>
          </cell>
          <cell r="G1142" t="str">
            <v>不明</v>
          </cell>
          <cell r="H1142" t="str">
            <v>blue</v>
          </cell>
          <cell r="I1142">
            <v>5</v>
          </cell>
          <cell r="J1142" t="str">
            <v>PremiumSS</v>
          </cell>
          <cell r="K1142" t="str">
            <v>balance</v>
          </cell>
          <cell r="L1142" t="str">
            <v>バランスタイプ</v>
          </cell>
          <cell r="M1142" t="str">
            <v>human</v>
          </cell>
        </row>
        <row r="1143">
          <cell r="A1143">
            <v>1142</v>
          </cell>
          <cell r="B1143" t="str">
            <v>ja</v>
          </cell>
          <cell r="C1143" t="str">
            <v>蒼明な機鋼士 月英</v>
          </cell>
          <cell r="D1143" t="str">
            <v>未定</v>
          </cell>
          <cell r="E1143" t="str">
            <v>アリス</v>
          </cell>
          <cell r="F1143" t="str">
            <v>世界観</v>
          </cell>
          <cell r="G1143" t="str">
            <v>不明</v>
          </cell>
          <cell r="H1143" t="str">
            <v>blue</v>
          </cell>
          <cell r="I1143">
            <v>6</v>
          </cell>
          <cell r="J1143" t="str">
            <v>PremiumSS</v>
          </cell>
          <cell r="K1143" t="str">
            <v>balance</v>
          </cell>
          <cell r="L1143" t="str">
            <v>バランスタイプ</v>
          </cell>
          <cell r="M1143" t="str">
            <v>human</v>
          </cell>
        </row>
        <row r="1144">
          <cell r="A1144">
            <v>1143</v>
          </cell>
          <cell r="B1144" t="str">
            <v>ja</v>
          </cell>
          <cell r="C1144" t="str">
            <v>黄忠</v>
          </cell>
          <cell r="D1144" t="str">
            <v>未定</v>
          </cell>
          <cell r="E1144" t="str">
            <v>アリス</v>
          </cell>
          <cell r="F1144" t="str">
            <v>世界観</v>
          </cell>
          <cell r="G1144" t="str">
            <v>不明</v>
          </cell>
          <cell r="H1144" t="str">
            <v>yellow</v>
          </cell>
          <cell r="I1144">
            <v>4</v>
          </cell>
          <cell r="J1144" t="str">
            <v>PremiumS</v>
          </cell>
          <cell r="K1144" t="str">
            <v>technical</v>
          </cell>
          <cell r="L1144" t="str">
            <v>テクニカルタイプ</v>
          </cell>
          <cell r="M1144" t="str">
            <v>samurai</v>
          </cell>
        </row>
        <row r="1145">
          <cell r="A1145">
            <v>1144</v>
          </cell>
          <cell r="B1145" t="str">
            <v>ja</v>
          </cell>
          <cell r="C1145" t="str">
            <v>白星を射る老将 黄忠</v>
          </cell>
          <cell r="D1145" t="str">
            <v>未定</v>
          </cell>
          <cell r="E1145" t="str">
            <v>アリス</v>
          </cell>
          <cell r="F1145" t="str">
            <v>世界観</v>
          </cell>
          <cell r="G1145" t="str">
            <v>不明</v>
          </cell>
          <cell r="H1145" t="str">
            <v>yellow</v>
          </cell>
          <cell r="I1145">
            <v>5</v>
          </cell>
          <cell r="J1145" t="str">
            <v>PremiumS</v>
          </cell>
          <cell r="K1145" t="str">
            <v>technical</v>
          </cell>
          <cell r="L1145" t="str">
            <v>テクニカルタイプ</v>
          </cell>
          <cell r="M1145" t="str">
            <v>samurai</v>
          </cell>
        </row>
        <row r="1146">
          <cell r="A1146">
            <v>1145</v>
          </cell>
          <cell r="B1146" t="str">
            <v>ja</v>
          </cell>
          <cell r="C1146" t="str">
            <v>ヴリトラ</v>
          </cell>
          <cell r="D1146" t="str">
            <v>未定</v>
          </cell>
          <cell r="E1146" t="str">
            <v>アリス</v>
          </cell>
          <cell r="F1146" t="str">
            <v>世界観</v>
          </cell>
          <cell r="G1146" t="str">
            <v>不明</v>
          </cell>
          <cell r="H1146" t="str">
            <v>yellow</v>
          </cell>
          <cell r="I1146">
            <v>4</v>
          </cell>
          <cell r="J1146" t="str">
            <v>Drop2N</v>
          </cell>
          <cell r="K1146" t="str">
            <v>hp</v>
          </cell>
          <cell r="L1146" t="str">
            <v>体力タイプ</v>
          </cell>
          <cell r="M1146" t="str">
            <v>dragon</v>
          </cell>
        </row>
        <row r="1147">
          <cell r="A1147">
            <v>1146</v>
          </cell>
          <cell r="B1147" t="str">
            <v>ja</v>
          </cell>
          <cell r="C1147" t="str">
            <v>宙覆す破魃竜 ヴリトラ</v>
          </cell>
          <cell r="D1147" t="str">
            <v>未定</v>
          </cell>
          <cell r="E1147" t="str">
            <v>アリス</v>
          </cell>
          <cell r="F1147" t="str">
            <v>世界観</v>
          </cell>
          <cell r="G1147" t="str">
            <v>不明</v>
          </cell>
          <cell r="H1147" t="str">
            <v>yellow</v>
          </cell>
          <cell r="I1147">
            <v>5</v>
          </cell>
          <cell r="J1147" t="str">
            <v>Drop2N</v>
          </cell>
          <cell r="K1147" t="str">
            <v>hp</v>
          </cell>
          <cell r="L1147" t="str">
            <v>体力タイプ</v>
          </cell>
          <cell r="M1147" t="str">
            <v>dragon</v>
          </cell>
        </row>
        <row r="1148">
          <cell r="A1148">
            <v>1147</v>
          </cell>
          <cell r="B1148" t="str">
            <v>ja</v>
          </cell>
          <cell r="C1148" t="str">
            <v>カーリー</v>
          </cell>
          <cell r="D1148" t="str">
            <v>未定</v>
          </cell>
          <cell r="E1148" t="str">
            <v>アリス</v>
          </cell>
          <cell r="F1148" t="str">
            <v>世界観</v>
          </cell>
          <cell r="G1148" t="str">
            <v>不明</v>
          </cell>
          <cell r="H1148" t="str">
            <v>red</v>
          </cell>
          <cell r="I1148">
            <v>5</v>
          </cell>
          <cell r="J1148" t="str">
            <v>DropWizS</v>
          </cell>
          <cell r="K1148" t="str">
            <v>technical</v>
          </cell>
          <cell r="L1148" t="str">
            <v>テクニカルタイプ</v>
          </cell>
          <cell r="M1148" t="str">
            <v>god</v>
          </cell>
        </row>
        <row r="1149">
          <cell r="A1149">
            <v>1148</v>
          </cell>
          <cell r="B1149" t="str">
            <v>ja</v>
          </cell>
          <cell r="C1149" t="str">
            <v>嫉神の黎き滅意 カーリー</v>
          </cell>
          <cell r="D1149" t="str">
            <v>未定</v>
          </cell>
          <cell r="E1149" t="str">
            <v>アリス</v>
          </cell>
          <cell r="F1149" t="str">
            <v>世界観</v>
          </cell>
          <cell r="G1149" t="str">
            <v>不明</v>
          </cell>
          <cell r="H1149" t="str">
            <v>red</v>
          </cell>
          <cell r="I1149">
            <v>6</v>
          </cell>
          <cell r="J1149" t="str">
            <v>DropWizS</v>
          </cell>
          <cell r="K1149" t="str">
            <v>technical</v>
          </cell>
          <cell r="L1149" t="str">
            <v>テクニカルタイプ</v>
          </cell>
          <cell r="M1149" t="str">
            <v>god</v>
          </cell>
        </row>
        <row r="1150">
          <cell r="A1150">
            <v>1149</v>
          </cell>
          <cell r="B1150" t="str">
            <v>ja</v>
          </cell>
          <cell r="C1150" t="str">
            <v>ブラフマー</v>
          </cell>
          <cell r="D1150" t="str">
            <v>未定</v>
          </cell>
          <cell r="E1150" t="str">
            <v>アリス</v>
          </cell>
          <cell r="F1150" t="str">
            <v>世界観</v>
          </cell>
          <cell r="G1150" t="str">
            <v>不明</v>
          </cell>
          <cell r="H1150" t="str">
            <v>blue</v>
          </cell>
          <cell r="I1150">
            <v>5</v>
          </cell>
          <cell r="J1150" t="str">
            <v>DropWizS</v>
          </cell>
          <cell r="K1150" t="str">
            <v>technical</v>
          </cell>
          <cell r="L1150" t="str">
            <v>テクニカルタイプ</v>
          </cell>
          <cell r="M1150" t="str">
            <v>god</v>
          </cell>
        </row>
        <row r="1151">
          <cell r="A1151">
            <v>1150</v>
          </cell>
          <cell r="B1151" t="str">
            <v>ja</v>
          </cell>
          <cell r="C1151" t="str">
            <v>封智の元創神 ブラフマー</v>
          </cell>
          <cell r="D1151" t="str">
            <v>未定</v>
          </cell>
          <cell r="E1151" t="str">
            <v>アリス</v>
          </cell>
          <cell r="F1151" t="str">
            <v>世界観</v>
          </cell>
          <cell r="G1151" t="str">
            <v>不明</v>
          </cell>
          <cell r="H1151" t="str">
            <v>blue</v>
          </cell>
          <cell r="I1151">
            <v>6</v>
          </cell>
          <cell r="J1151" t="str">
            <v>DropWizS</v>
          </cell>
          <cell r="K1151" t="str">
            <v>technical</v>
          </cell>
          <cell r="L1151" t="str">
            <v>テクニカルタイプ</v>
          </cell>
          <cell r="M1151" t="str">
            <v>god</v>
          </cell>
        </row>
        <row r="1152">
          <cell r="A1152">
            <v>1151</v>
          </cell>
          <cell r="B1152" t="str">
            <v>ja</v>
          </cell>
          <cell r="C1152" t="str">
            <v>ガネーシャ</v>
          </cell>
          <cell r="D1152" t="str">
            <v>未定</v>
          </cell>
          <cell r="E1152" t="str">
            <v>アリス</v>
          </cell>
          <cell r="F1152" t="str">
            <v>世界観</v>
          </cell>
          <cell r="G1152" t="str">
            <v>不明</v>
          </cell>
          <cell r="H1152" t="str">
            <v>red</v>
          </cell>
          <cell r="I1152">
            <v>4</v>
          </cell>
          <cell r="J1152" t="str">
            <v>PremiumS</v>
          </cell>
          <cell r="K1152" t="str">
            <v>heal</v>
          </cell>
          <cell r="L1152" t="str">
            <v>回復タイプ</v>
          </cell>
          <cell r="M1152" t="str">
            <v>god</v>
          </cell>
        </row>
        <row r="1153">
          <cell r="A1153">
            <v>1152</v>
          </cell>
          <cell r="B1153" t="str">
            <v>ja</v>
          </cell>
          <cell r="C1153" t="str">
            <v>衆知の富益神 ガネーシャ</v>
          </cell>
          <cell r="D1153" t="str">
            <v>未定</v>
          </cell>
          <cell r="E1153" t="str">
            <v>アリス</v>
          </cell>
          <cell r="F1153" t="str">
            <v>世界観</v>
          </cell>
          <cell r="G1153" t="str">
            <v>不明</v>
          </cell>
          <cell r="H1153" t="str">
            <v>red</v>
          </cell>
          <cell r="I1153">
            <v>5</v>
          </cell>
          <cell r="J1153" t="str">
            <v>PremiumS</v>
          </cell>
          <cell r="K1153" t="str">
            <v>heal</v>
          </cell>
          <cell r="L1153" t="str">
            <v>回復タイプ</v>
          </cell>
          <cell r="M1153" t="str">
            <v>god</v>
          </cell>
        </row>
        <row r="1154">
          <cell r="A1154">
            <v>1153</v>
          </cell>
          <cell r="B1154" t="str">
            <v>ja</v>
          </cell>
          <cell r="C1154" t="str">
            <v>ラクシュミー</v>
          </cell>
          <cell r="D1154" t="str">
            <v>未定</v>
          </cell>
          <cell r="E1154" t="str">
            <v>アリス</v>
          </cell>
          <cell r="F1154" t="str">
            <v>世界観</v>
          </cell>
          <cell r="G1154" t="str">
            <v>不明</v>
          </cell>
          <cell r="H1154" t="str">
            <v>green</v>
          </cell>
          <cell r="I1154">
            <v>5</v>
          </cell>
          <cell r="J1154" t="str">
            <v>PremiumSSw</v>
          </cell>
          <cell r="K1154" t="str">
            <v>hp</v>
          </cell>
          <cell r="L1154" t="str">
            <v>体力タイプ</v>
          </cell>
          <cell r="M1154" t="str">
            <v>god</v>
          </cell>
        </row>
        <row r="1155">
          <cell r="A1155">
            <v>1154</v>
          </cell>
          <cell r="B1155" t="str">
            <v>ja</v>
          </cell>
          <cell r="C1155" t="str">
            <v>幸吹の蓮華粧 ラクシュミー</v>
          </cell>
          <cell r="D1155" t="str">
            <v>未定</v>
          </cell>
          <cell r="E1155" t="str">
            <v>アリス</v>
          </cell>
          <cell r="F1155" t="str">
            <v>世界観</v>
          </cell>
          <cell r="G1155" t="str">
            <v>不明</v>
          </cell>
          <cell r="H1155" t="str">
            <v>green</v>
          </cell>
          <cell r="I1155">
            <v>6</v>
          </cell>
          <cell r="J1155" t="str">
            <v>PremiumSSw</v>
          </cell>
          <cell r="K1155" t="str">
            <v>hp</v>
          </cell>
          <cell r="L1155" t="str">
            <v>体力タイプ</v>
          </cell>
          <cell r="M1155" t="str">
            <v>god</v>
          </cell>
        </row>
        <row r="1156">
          <cell r="A1156">
            <v>1155</v>
          </cell>
          <cell r="B1156" t="str">
            <v>ja</v>
          </cell>
          <cell r="C1156" t="str">
            <v>ドゥルガー</v>
          </cell>
          <cell r="D1156" t="str">
            <v>未定</v>
          </cell>
          <cell r="E1156" t="str">
            <v>アリス</v>
          </cell>
          <cell r="F1156" t="str">
            <v>世界観</v>
          </cell>
          <cell r="G1156" t="str">
            <v>不明</v>
          </cell>
          <cell r="H1156" t="str">
            <v>blue</v>
          </cell>
          <cell r="I1156">
            <v>5</v>
          </cell>
          <cell r="J1156" t="str">
            <v>PremiumSS</v>
          </cell>
          <cell r="K1156" t="str">
            <v>balance</v>
          </cell>
          <cell r="L1156" t="str">
            <v>バランスタイプ</v>
          </cell>
          <cell r="M1156" t="str">
            <v>god</v>
          </cell>
        </row>
        <row r="1157">
          <cell r="A1157">
            <v>1156</v>
          </cell>
          <cell r="B1157" t="str">
            <v>ja</v>
          </cell>
          <cell r="C1157" t="str">
            <v>麗逆の武操神 ドゥルガー</v>
          </cell>
          <cell r="D1157" t="str">
            <v>未定</v>
          </cell>
          <cell r="E1157" t="str">
            <v>アリス</v>
          </cell>
          <cell r="F1157" t="str">
            <v>世界観</v>
          </cell>
          <cell r="G1157" t="str">
            <v>不明</v>
          </cell>
          <cell r="H1157" t="str">
            <v>blue</v>
          </cell>
          <cell r="I1157">
            <v>6</v>
          </cell>
          <cell r="J1157" t="str">
            <v>PremiumSS</v>
          </cell>
          <cell r="K1157" t="str">
            <v>balance</v>
          </cell>
          <cell r="L1157" t="str">
            <v>バランスタイプ</v>
          </cell>
          <cell r="M1157" t="str">
            <v>god</v>
          </cell>
        </row>
        <row r="1158">
          <cell r="A1158">
            <v>1157</v>
          </cell>
          <cell r="B1158" t="str">
            <v>ja</v>
          </cell>
          <cell r="C1158" t="str">
            <v>インドラ</v>
          </cell>
          <cell r="D1158" t="str">
            <v>未定</v>
          </cell>
          <cell r="E1158" t="str">
            <v>アリス</v>
          </cell>
          <cell r="F1158" t="str">
            <v>世界観</v>
          </cell>
          <cell r="G1158" t="str">
            <v>不明</v>
          </cell>
          <cell r="H1158" t="str">
            <v>yellow</v>
          </cell>
          <cell r="I1158">
            <v>5</v>
          </cell>
          <cell r="J1158" t="str">
            <v>PremiumSS</v>
          </cell>
          <cell r="K1158" t="str">
            <v>attack</v>
          </cell>
          <cell r="L1158" t="str">
            <v>攻撃タイプ</v>
          </cell>
          <cell r="M1158" t="str">
            <v>god</v>
          </cell>
        </row>
        <row r="1159">
          <cell r="A1159">
            <v>1158</v>
          </cell>
          <cell r="B1159" t="str">
            <v>ja</v>
          </cell>
          <cell r="C1159" t="str">
            <v>天英の雷霆神 インドラ</v>
          </cell>
          <cell r="D1159" t="str">
            <v>未定</v>
          </cell>
          <cell r="E1159" t="str">
            <v>アリス</v>
          </cell>
          <cell r="F1159" t="str">
            <v>世界観</v>
          </cell>
          <cell r="G1159" t="str">
            <v>不明</v>
          </cell>
          <cell r="H1159" t="str">
            <v>yellow</v>
          </cell>
          <cell r="I1159">
            <v>6</v>
          </cell>
          <cell r="J1159" t="str">
            <v>PremiumSS</v>
          </cell>
          <cell r="K1159" t="str">
            <v>attack</v>
          </cell>
          <cell r="L1159" t="str">
            <v>攻撃タイプ</v>
          </cell>
          <cell r="M1159" t="str">
            <v>god</v>
          </cell>
        </row>
        <row r="1160">
          <cell r="A1160">
            <v>1159</v>
          </cell>
          <cell r="B1160" t="str">
            <v>ja</v>
          </cell>
          <cell r="C1160" t="str">
            <v>ガロア</v>
          </cell>
          <cell r="D1160" t="str">
            <v>未定</v>
          </cell>
          <cell r="E1160" t="str">
            <v>アリス</v>
          </cell>
          <cell r="F1160" t="str">
            <v>世界観</v>
          </cell>
          <cell r="G1160" t="str">
            <v>不明</v>
          </cell>
          <cell r="H1160" t="str">
            <v>green</v>
          </cell>
          <cell r="I1160">
            <v>5</v>
          </cell>
          <cell r="J1160" t="str">
            <v>PremiumSSS</v>
          </cell>
          <cell r="K1160" t="str">
            <v>attack</v>
          </cell>
          <cell r="L1160" t="str">
            <v>攻撃タイプ</v>
          </cell>
          <cell r="M1160" t="str">
            <v>academia</v>
          </cell>
        </row>
        <row r="1161">
          <cell r="A1161">
            <v>1160</v>
          </cell>
          <cell r="B1161" t="str">
            <v>ja</v>
          </cell>
          <cell r="C1161" t="str">
            <v>拡命の大群論 ガロア</v>
          </cell>
          <cell r="D1161" t="str">
            <v>未定</v>
          </cell>
          <cell r="E1161" t="str">
            <v>アリス</v>
          </cell>
          <cell r="F1161" t="str">
            <v>世界観</v>
          </cell>
          <cell r="G1161" t="str">
            <v>不明</v>
          </cell>
          <cell r="H1161" t="str">
            <v>green</v>
          </cell>
          <cell r="I1161">
            <v>6</v>
          </cell>
          <cell r="J1161" t="str">
            <v>PremiumSSS</v>
          </cell>
          <cell r="K1161" t="str">
            <v>attack</v>
          </cell>
          <cell r="L1161" t="str">
            <v>攻撃タイプ</v>
          </cell>
          <cell r="M1161" t="str">
            <v>academia</v>
          </cell>
        </row>
        <row r="1162">
          <cell r="A1162">
            <v>1161</v>
          </cell>
          <cell r="B1162" t="str">
            <v>ja</v>
          </cell>
          <cell r="C1162" t="str">
            <v>ヒルベルト</v>
          </cell>
          <cell r="D1162" t="str">
            <v>未定</v>
          </cell>
          <cell r="E1162" t="str">
            <v>アリス</v>
          </cell>
          <cell r="F1162" t="str">
            <v>世界観</v>
          </cell>
          <cell r="G1162" t="str">
            <v>不明</v>
          </cell>
          <cell r="H1162" t="str">
            <v>yellow</v>
          </cell>
          <cell r="I1162">
            <v>5</v>
          </cell>
          <cell r="J1162" t="str">
            <v>PremiumSSS</v>
          </cell>
          <cell r="K1162" t="str">
            <v>attack</v>
          </cell>
          <cell r="L1162" t="str">
            <v>攻撃タイプ</v>
          </cell>
          <cell r="M1162" t="str">
            <v>academia</v>
          </cell>
        </row>
        <row r="1163">
          <cell r="A1163">
            <v>1162</v>
          </cell>
          <cell r="B1163" t="str">
            <v>ja</v>
          </cell>
          <cell r="C1163" t="str">
            <v>夢験次元の抽唱 ヒルベルト</v>
          </cell>
          <cell r="D1163" t="str">
            <v>未定</v>
          </cell>
          <cell r="E1163" t="str">
            <v>アリス</v>
          </cell>
          <cell r="F1163" t="str">
            <v>世界観</v>
          </cell>
          <cell r="G1163" t="str">
            <v>不明</v>
          </cell>
          <cell r="H1163" t="str">
            <v>yellow</v>
          </cell>
          <cell r="I1163">
            <v>6</v>
          </cell>
          <cell r="J1163" t="str">
            <v>PremiumSSS</v>
          </cell>
          <cell r="K1163" t="str">
            <v>attack</v>
          </cell>
          <cell r="L1163" t="str">
            <v>攻撃タイプ</v>
          </cell>
          <cell r="M1163" t="str">
            <v>academia</v>
          </cell>
        </row>
        <row r="1164">
          <cell r="A1164">
            <v>1163</v>
          </cell>
          <cell r="B1164" t="str">
            <v>ja</v>
          </cell>
          <cell r="C1164" t="str">
            <v>命題唱鳴計画 ヒルベルト</v>
          </cell>
          <cell r="D1164" t="str">
            <v>未定</v>
          </cell>
          <cell r="E1164" t="str">
            <v>アリス</v>
          </cell>
          <cell r="F1164" t="str">
            <v>世界観</v>
          </cell>
          <cell r="G1164" t="str">
            <v>不明</v>
          </cell>
          <cell r="H1164" t="str">
            <v>yellow</v>
          </cell>
          <cell r="I1164">
            <v>6</v>
          </cell>
          <cell r="J1164" t="str">
            <v>PremiumSSS</v>
          </cell>
          <cell r="K1164" t="str">
            <v>attack</v>
          </cell>
          <cell r="L1164" t="str">
            <v>攻撃タイプ</v>
          </cell>
          <cell r="M1164" t="str">
            <v>academia</v>
          </cell>
        </row>
        <row r="1165">
          <cell r="A1165">
            <v>1164</v>
          </cell>
          <cell r="B1165" t="str">
            <v>ja</v>
          </cell>
          <cell r="C1165" t="str">
            <v>ガンバンテイン</v>
          </cell>
          <cell r="D1165" t="str">
            <v>未定</v>
          </cell>
          <cell r="E1165" t="str">
            <v>アリス</v>
          </cell>
          <cell r="F1165" t="str">
            <v>世界観</v>
          </cell>
          <cell r="G1165" t="str">
            <v>不明</v>
          </cell>
          <cell r="H1165" t="str">
            <v>red</v>
          </cell>
          <cell r="I1165">
            <v>5</v>
          </cell>
          <cell r="J1165" t="str">
            <v>DropWizSSS</v>
          </cell>
          <cell r="K1165" t="str">
            <v>heal</v>
          </cell>
          <cell r="L1165" t="str">
            <v>回復タイプ</v>
          </cell>
          <cell r="M1165" t="str">
            <v>weapon</v>
          </cell>
        </row>
        <row r="1166">
          <cell r="A1166">
            <v>1165</v>
          </cell>
          <cell r="B1166" t="str">
            <v>ja</v>
          </cell>
          <cell r="C1166" t="str">
            <v>夢香華の耀杖 ガンバンテイン</v>
          </cell>
          <cell r="D1166" t="str">
            <v>未定</v>
          </cell>
          <cell r="E1166" t="str">
            <v>アリス</v>
          </cell>
          <cell r="F1166" t="str">
            <v>世界観</v>
          </cell>
          <cell r="G1166" t="str">
            <v>不明</v>
          </cell>
          <cell r="H1166" t="str">
            <v>red</v>
          </cell>
          <cell r="I1166">
            <v>6</v>
          </cell>
          <cell r="J1166" t="str">
            <v>DropWizSSS</v>
          </cell>
          <cell r="K1166" t="str">
            <v>heal</v>
          </cell>
          <cell r="L1166" t="str">
            <v>回復タイプ</v>
          </cell>
          <cell r="M1166" t="str">
            <v>weapon</v>
          </cell>
        </row>
        <row r="1167">
          <cell r="A1167">
            <v>1166</v>
          </cell>
          <cell r="B1167" t="str">
            <v>ja</v>
          </cell>
          <cell r="C1167" t="str">
            <v>降魔宝杖</v>
          </cell>
          <cell r="D1167" t="str">
            <v>未定</v>
          </cell>
          <cell r="E1167" t="str">
            <v>アリス</v>
          </cell>
          <cell r="F1167" t="str">
            <v>世界観</v>
          </cell>
          <cell r="G1167" t="str">
            <v>不明</v>
          </cell>
          <cell r="H1167" t="str">
            <v>blue</v>
          </cell>
          <cell r="I1167">
            <v>5</v>
          </cell>
          <cell r="J1167" t="str">
            <v>DropWizSSS</v>
          </cell>
          <cell r="K1167" t="str">
            <v>attack</v>
          </cell>
          <cell r="L1167" t="str">
            <v>攻撃タイプ</v>
          </cell>
          <cell r="M1167" t="str">
            <v>weapon</v>
          </cell>
        </row>
        <row r="1168">
          <cell r="A1168">
            <v>1167</v>
          </cell>
          <cell r="B1168" t="str">
            <v>ja</v>
          </cell>
          <cell r="C1168" t="str">
            <v>月河の黄金器 降魔宝杖</v>
          </cell>
          <cell r="D1168" t="str">
            <v>未定</v>
          </cell>
          <cell r="E1168" t="str">
            <v>アリス</v>
          </cell>
          <cell r="F1168" t="str">
            <v>世界観</v>
          </cell>
          <cell r="G1168" t="str">
            <v>不明</v>
          </cell>
          <cell r="H1168" t="str">
            <v>blue</v>
          </cell>
          <cell r="I1168">
            <v>6</v>
          </cell>
          <cell r="J1168" t="str">
            <v>DropWizSSS</v>
          </cell>
          <cell r="K1168" t="str">
            <v>attack</v>
          </cell>
          <cell r="L1168" t="str">
            <v>攻撃タイプ</v>
          </cell>
          <cell r="M1168" t="str">
            <v>weapon</v>
          </cell>
        </row>
        <row r="1169">
          <cell r="A1169">
            <v>1168</v>
          </cell>
          <cell r="B1169" t="str">
            <v>ja</v>
          </cell>
          <cell r="C1169" t="str">
            <v>カドゥケウス</v>
          </cell>
          <cell r="D1169" t="str">
            <v>未定</v>
          </cell>
          <cell r="E1169" t="str">
            <v>アリス</v>
          </cell>
          <cell r="F1169" t="str">
            <v>世界観</v>
          </cell>
          <cell r="G1169" t="str">
            <v>不明</v>
          </cell>
          <cell r="H1169" t="str">
            <v>yellow</v>
          </cell>
          <cell r="I1169">
            <v>5</v>
          </cell>
          <cell r="J1169" t="str">
            <v>DropWizSSS</v>
          </cell>
          <cell r="K1169" t="str">
            <v>technical</v>
          </cell>
          <cell r="L1169" t="str">
            <v>テクニカルタイプ</v>
          </cell>
          <cell r="M1169" t="str">
            <v>weapon</v>
          </cell>
        </row>
        <row r="1170">
          <cell r="A1170">
            <v>1169</v>
          </cell>
          <cell r="B1170" t="str">
            <v>ja</v>
          </cell>
          <cell r="C1170" t="str">
            <v>睡醒の令杖 カドゥケウス</v>
          </cell>
          <cell r="D1170" t="str">
            <v>未定</v>
          </cell>
          <cell r="E1170" t="str">
            <v>アリス</v>
          </cell>
          <cell r="F1170" t="str">
            <v>世界観</v>
          </cell>
          <cell r="G1170" t="str">
            <v>不明</v>
          </cell>
          <cell r="H1170" t="str">
            <v>yellow</v>
          </cell>
          <cell r="I1170">
            <v>6</v>
          </cell>
          <cell r="J1170" t="str">
            <v>DropWizSSS</v>
          </cell>
          <cell r="K1170" t="str">
            <v>technical</v>
          </cell>
          <cell r="L1170" t="str">
            <v>テクニカルタイプ</v>
          </cell>
          <cell r="M1170" t="str">
            <v>weapon</v>
          </cell>
        </row>
        <row r="1171">
          <cell r="A1171">
            <v>1170</v>
          </cell>
          <cell r="B1171" t="str">
            <v>ja</v>
          </cell>
          <cell r="C1171" t="str">
            <v>極彩龍筆 ヘイウェイ</v>
          </cell>
          <cell r="D1171" t="str">
            <v>未定</v>
          </cell>
          <cell r="E1171" t="str">
            <v>アリス</v>
          </cell>
          <cell r="F1171" t="str">
            <v>世界観</v>
          </cell>
          <cell r="G1171" t="str">
            <v>不明</v>
          </cell>
          <cell r="H1171" t="str">
            <v>red</v>
          </cell>
          <cell r="I1171">
            <v>6</v>
          </cell>
          <cell r="J1171" t="str">
            <v>PremiumSSS</v>
          </cell>
          <cell r="K1171" t="str">
            <v>technical</v>
          </cell>
          <cell r="L1171" t="str">
            <v>テクニカルタイプ</v>
          </cell>
          <cell r="M1171" t="str">
            <v>dragon</v>
          </cell>
        </row>
        <row r="1172">
          <cell r="A1172">
            <v>1171</v>
          </cell>
          <cell r="B1172" t="str">
            <v>ja</v>
          </cell>
          <cell r="C1172" t="str">
            <v>解匣する交率 ポアソン</v>
          </cell>
          <cell r="D1172" t="str">
            <v>未定</v>
          </cell>
          <cell r="E1172" t="str">
            <v>アリス</v>
          </cell>
          <cell r="F1172" t="str">
            <v>世界観</v>
          </cell>
          <cell r="G1172" t="str">
            <v>不明</v>
          </cell>
          <cell r="H1172" t="str">
            <v>green</v>
          </cell>
          <cell r="I1172">
            <v>6</v>
          </cell>
          <cell r="J1172" t="str">
            <v>PremiumSSS</v>
          </cell>
          <cell r="K1172" t="str">
            <v>balance</v>
          </cell>
          <cell r="L1172" t="str">
            <v>バランスタイプ</v>
          </cell>
          <cell r="M1172" t="str">
            <v>academia</v>
          </cell>
        </row>
        <row r="1173">
          <cell r="A1173">
            <v>1172</v>
          </cell>
          <cell r="B1173" t="str">
            <v>ja</v>
          </cell>
          <cell r="C1173" t="str">
            <v>極限解析の讃嬢 クロネッカー</v>
          </cell>
          <cell r="D1173" t="str">
            <v>未定</v>
          </cell>
          <cell r="E1173" t="str">
            <v>アリス</v>
          </cell>
          <cell r="F1173" t="str">
            <v>世界観</v>
          </cell>
          <cell r="G1173" t="str">
            <v>不明</v>
          </cell>
          <cell r="H1173" t="str">
            <v>yellow</v>
          </cell>
          <cell r="I1173">
            <v>6</v>
          </cell>
          <cell r="J1173" t="str">
            <v>PremiumSSS</v>
          </cell>
          <cell r="K1173" t="str">
            <v>balance</v>
          </cell>
          <cell r="L1173" t="str">
            <v>バランスタイプ</v>
          </cell>
          <cell r="M1173" t="str">
            <v>academia</v>
          </cell>
        </row>
        <row r="1174">
          <cell r="A1174">
            <v>1173</v>
          </cell>
          <cell r="B1174" t="str">
            <v>ja</v>
          </cell>
          <cell r="C1174" t="str">
            <v>愛を咲かせる春羽妖精 ファータ</v>
          </cell>
          <cell r="D1174" t="str">
            <v>未定</v>
          </cell>
          <cell r="E1174" t="str">
            <v>アリス</v>
          </cell>
          <cell r="F1174" t="str">
            <v>世界観</v>
          </cell>
          <cell r="G1174" t="str">
            <v>不明</v>
          </cell>
          <cell r="H1174" t="str">
            <v>green</v>
          </cell>
          <cell r="I1174">
            <v>6</v>
          </cell>
          <cell r="J1174" t="str">
            <v>PremiumS</v>
          </cell>
          <cell r="K1174" t="str">
            <v>heal</v>
          </cell>
          <cell r="L1174" t="str">
            <v>回復タイプ</v>
          </cell>
          <cell r="M1174" t="str">
            <v>unknown</v>
          </cell>
        </row>
        <row r="1175">
          <cell r="A1175">
            <v>1174</v>
          </cell>
          <cell r="B1175" t="str">
            <v>ja</v>
          </cell>
          <cell r="C1175" t="str">
            <v>護翼の望詠光 バルドル</v>
          </cell>
          <cell r="D1175" t="str">
            <v>未定</v>
          </cell>
          <cell r="E1175" t="str">
            <v>アリス</v>
          </cell>
          <cell r="F1175" t="str">
            <v>世界観</v>
          </cell>
          <cell r="G1175" t="str">
            <v>不明</v>
          </cell>
          <cell r="H1175" t="str">
            <v>yellow</v>
          </cell>
          <cell r="I1175">
            <v>6</v>
          </cell>
          <cell r="J1175" t="str">
            <v>PremiumS</v>
          </cell>
          <cell r="K1175" t="str">
            <v>heal</v>
          </cell>
          <cell r="L1175" t="str">
            <v>回復タイプ</v>
          </cell>
          <cell r="M1175" t="str">
            <v>god</v>
          </cell>
        </row>
        <row r="1176">
          <cell r="A1176">
            <v>1175</v>
          </cell>
          <cell r="B1176" t="str">
            <v>ja</v>
          </cell>
          <cell r="C1176" t="str">
            <v>蘇尊の誓聖義 アーサー</v>
          </cell>
          <cell r="D1176" t="str">
            <v>未定</v>
          </cell>
          <cell r="E1176" t="str">
            <v>アリス</v>
          </cell>
          <cell r="F1176" t="str">
            <v>世界観</v>
          </cell>
          <cell r="G1176" t="str">
            <v>不明</v>
          </cell>
          <cell r="H1176" t="str">
            <v>red</v>
          </cell>
          <cell r="I1176">
            <v>6</v>
          </cell>
          <cell r="J1176" t="str">
            <v>DropWizS</v>
          </cell>
          <cell r="K1176" t="str">
            <v>balance</v>
          </cell>
          <cell r="L1176" t="str">
            <v>バランスタイプ</v>
          </cell>
          <cell r="M1176" t="str">
            <v>human</v>
          </cell>
        </row>
        <row r="1177">
          <cell r="A1177">
            <v>1176</v>
          </cell>
          <cell r="B1177" t="str">
            <v>ja</v>
          </cell>
          <cell r="C1177" t="str">
            <v>夢二夢斬の遊猟 フロイト</v>
          </cell>
          <cell r="D1177" t="str">
            <v>未定</v>
          </cell>
          <cell r="E1177" t="str">
            <v>アリス</v>
          </cell>
          <cell r="F1177" t="str">
            <v>世界観</v>
          </cell>
          <cell r="G1177" t="str">
            <v>不明</v>
          </cell>
          <cell r="H1177" t="str">
            <v>red</v>
          </cell>
          <cell r="I1177">
            <v>6</v>
          </cell>
          <cell r="J1177" t="str">
            <v>PremiumSSS</v>
          </cell>
          <cell r="K1177" t="str">
            <v>balance</v>
          </cell>
          <cell r="L1177" t="str">
            <v>バランスタイプ</v>
          </cell>
          <cell r="M1177" t="str">
            <v>academia</v>
          </cell>
        </row>
        <row r="1178">
          <cell r="A1178">
            <v>1177</v>
          </cell>
          <cell r="B1178" t="str">
            <v>ja</v>
          </cell>
          <cell r="C1178" t="str">
            <v>虚閃を弄する豪輪 オズ</v>
          </cell>
          <cell r="D1178" t="str">
            <v>未定</v>
          </cell>
          <cell r="E1178" t="str">
            <v>アリス</v>
          </cell>
          <cell r="F1178" t="str">
            <v>世界観</v>
          </cell>
          <cell r="G1178" t="str">
            <v>不明</v>
          </cell>
          <cell r="H1178" t="str">
            <v>green</v>
          </cell>
          <cell r="I1178">
            <v>6</v>
          </cell>
          <cell r="J1178" t="str">
            <v>DropWizS</v>
          </cell>
          <cell r="K1178" t="str">
            <v>balance</v>
          </cell>
          <cell r="L1178" t="str">
            <v>バランスタイプ</v>
          </cell>
          <cell r="M1178" t="str">
            <v>human</v>
          </cell>
        </row>
        <row r="1179">
          <cell r="A1179">
            <v>1178</v>
          </cell>
          <cell r="B1179" t="str">
            <v>ja</v>
          </cell>
          <cell r="C1179" t="str">
            <v>大蒐集総力戦 グリム</v>
          </cell>
          <cell r="D1179" t="str">
            <v>未定</v>
          </cell>
          <cell r="E1179" t="str">
            <v>アリス</v>
          </cell>
          <cell r="F1179" t="str">
            <v>世界観</v>
          </cell>
          <cell r="G1179" t="str">
            <v>不明</v>
          </cell>
          <cell r="H1179" t="str">
            <v>green</v>
          </cell>
          <cell r="I1179">
            <v>6</v>
          </cell>
          <cell r="J1179" t="str">
            <v>DropWizS</v>
          </cell>
          <cell r="K1179" t="str">
            <v>attack</v>
          </cell>
          <cell r="L1179" t="str">
            <v>攻撃タイプ</v>
          </cell>
          <cell r="M1179" t="str">
            <v>unknown</v>
          </cell>
        </row>
        <row r="1180">
          <cell r="A1180">
            <v>1179</v>
          </cell>
          <cell r="B1180" t="str">
            <v>ja</v>
          </cell>
          <cell r="C1180" t="str">
            <v>厳核なる巨大炉 ハイゼンベルク</v>
          </cell>
          <cell r="D1180" t="str">
            <v>各属性相性良3・黄・R558</v>
          </cell>
          <cell r="E1180" t="str">
            <v>執行者</v>
          </cell>
          <cell r="F1180" t="str">
            <v>格好いい</v>
          </cell>
          <cell r="G1180" t="str">
            <v>男性</v>
          </cell>
          <cell r="H1180" t="str">
            <v>green</v>
          </cell>
          <cell r="I1180">
            <v>6</v>
          </cell>
          <cell r="J1180" t="str">
            <v>PremiumSSS</v>
          </cell>
          <cell r="K1180" t="str">
            <v>attack</v>
          </cell>
          <cell r="L1180" t="str">
            <v>攻撃タイプ</v>
          </cell>
          <cell r="M1180" t="str">
            <v>academia</v>
          </cell>
        </row>
        <row r="1181">
          <cell r="A1181">
            <v>1180</v>
          </cell>
          <cell r="B1181" t="str">
            <v>ja</v>
          </cell>
          <cell r="C1181" t="str">
            <v>毅戦たる蒼機神 オーディン</v>
          </cell>
          <cell r="D1181" t="str">
            <v>各属性相性良3・黄・R558</v>
          </cell>
          <cell r="E1181" t="str">
            <v>執行者</v>
          </cell>
          <cell r="F1181" t="str">
            <v>格好いい</v>
          </cell>
          <cell r="G1181" t="str">
            <v>男性</v>
          </cell>
          <cell r="H1181" t="str">
            <v>blue</v>
          </cell>
          <cell r="I1181">
            <v>6</v>
          </cell>
          <cell r="J1181" t="str">
            <v>DropWizSS</v>
          </cell>
          <cell r="K1181" t="str">
            <v>hp</v>
          </cell>
          <cell r="L1181" t="str">
            <v>体力タイプ</v>
          </cell>
          <cell r="M1181" t="str">
            <v>machine</v>
          </cell>
        </row>
        <row r="1182">
          <cell r="A1182">
            <v>1181</v>
          </cell>
          <cell r="B1182" t="str">
            <v>ja</v>
          </cell>
          <cell r="C1182" t="str">
            <v>永存の究極論 ユークリッド</v>
          </cell>
          <cell r="D1182" t="str">
            <v>超覚醒ハーシェル</v>
          </cell>
          <cell r="E1182" t="str">
            <v>アリス</v>
          </cell>
          <cell r="F1182" t="str">
            <v>世界観</v>
          </cell>
          <cell r="G1182" t="str">
            <v>不明</v>
          </cell>
          <cell r="H1182" t="str">
            <v>blue</v>
          </cell>
          <cell r="I1182">
            <v>6</v>
          </cell>
          <cell r="J1182" t="str">
            <v>PremiumSSS</v>
          </cell>
          <cell r="K1182" t="str">
            <v>balance</v>
          </cell>
          <cell r="L1182" t="str">
            <v>バランスタイプ</v>
          </cell>
          <cell r="M1182" t="str">
            <v>academia</v>
          </cell>
        </row>
        <row r="1183">
          <cell r="A1183">
            <v>1182</v>
          </cell>
          <cell r="B1183" t="str">
            <v>ja</v>
          </cell>
          <cell r="C1183" t="str">
            <v>黄金螺旋の閃鋼機 フィボナッチ</v>
          </cell>
          <cell r="D1183" t="str">
            <v>超覚醒ハーシェル</v>
          </cell>
          <cell r="E1183" t="str">
            <v>アリス</v>
          </cell>
          <cell r="F1183" t="str">
            <v>世界観</v>
          </cell>
          <cell r="G1183" t="str">
            <v>不明</v>
          </cell>
          <cell r="H1183" t="str">
            <v>blue</v>
          </cell>
          <cell r="I1183">
            <v>6</v>
          </cell>
          <cell r="J1183" t="str">
            <v>PremiumSSS</v>
          </cell>
          <cell r="K1183" t="str">
            <v>balance</v>
          </cell>
          <cell r="L1183" t="str">
            <v>バランスタイプ</v>
          </cell>
          <cell r="M1183" t="str">
            <v>academia</v>
          </cell>
        </row>
        <row r="1184">
          <cell r="A1184">
            <v>1183</v>
          </cell>
          <cell r="B1184" t="str">
            <v>ja</v>
          </cell>
          <cell r="C1184" t="str">
            <v>世憚の悪害 Gスター・チルドレン</v>
          </cell>
          <cell r="D1184" t="str">
            <v>超覚醒ハーシェル</v>
          </cell>
          <cell r="E1184" t="str">
            <v>アリス</v>
          </cell>
          <cell r="F1184" t="str">
            <v>世界観</v>
          </cell>
          <cell r="G1184" t="str">
            <v>不明</v>
          </cell>
          <cell r="H1184" t="str">
            <v>yellow</v>
          </cell>
          <cell r="I1184">
            <v>6</v>
          </cell>
          <cell r="J1184" t="str">
            <v>DropWizS</v>
          </cell>
          <cell r="K1184" t="str">
            <v>hp</v>
          </cell>
          <cell r="L1184" t="str">
            <v>体力タイプ</v>
          </cell>
          <cell r="M1184" t="str">
            <v>unknown</v>
          </cell>
        </row>
        <row r="1185">
          <cell r="A1185">
            <v>1184</v>
          </cell>
          <cell r="B1185" t="str">
            <v>ja</v>
          </cell>
          <cell r="C1185" t="str">
            <v>電装の烙雷芯 ファラデー</v>
          </cell>
          <cell r="D1185" t="str">
            <v>超覚醒ハーシェル</v>
          </cell>
          <cell r="E1185" t="str">
            <v>アリス</v>
          </cell>
          <cell r="F1185" t="str">
            <v>世界観</v>
          </cell>
          <cell r="G1185" t="str">
            <v>不明</v>
          </cell>
          <cell r="H1185" t="str">
            <v>yellow</v>
          </cell>
          <cell r="I1185">
            <v>6</v>
          </cell>
          <cell r="J1185" t="str">
            <v>PremiumSSS</v>
          </cell>
          <cell r="K1185" t="str">
            <v>attack</v>
          </cell>
          <cell r="L1185" t="str">
            <v>攻撃タイプ</v>
          </cell>
          <cell r="M1185" t="str">
            <v>academia</v>
          </cell>
        </row>
        <row r="1186">
          <cell r="A1186">
            <v>1185</v>
          </cell>
          <cell r="B1186" t="str">
            <v>ja</v>
          </cell>
          <cell r="C1186" t="str">
            <v>兆銀河団の星観者 ハーシェル</v>
          </cell>
          <cell r="D1186" t="str">
            <v>超覚醒ハーシェル</v>
          </cell>
          <cell r="E1186" t="str">
            <v>アリス</v>
          </cell>
          <cell r="F1186" t="str">
            <v>世界観</v>
          </cell>
          <cell r="G1186" t="str">
            <v>不明</v>
          </cell>
          <cell r="H1186" t="str">
            <v>yellow</v>
          </cell>
          <cell r="I1186">
            <v>6</v>
          </cell>
          <cell r="J1186" t="str">
            <v>PremiumSSS</v>
          </cell>
          <cell r="K1186" t="str">
            <v>heal</v>
          </cell>
          <cell r="L1186" t="str">
            <v>回復タイプ</v>
          </cell>
          <cell r="M1186" t="str">
            <v>academia</v>
          </cell>
        </row>
        <row r="1187">
          <cell r="A1187">
            <v>1186</v>
          </cell>
          <cell r="B1187" t="str">
            <v>ja</v>
          </cell>
          <cell r="C1187" t="str">
            <v>超疾の最理者 フェルマー</v>
          </cell>
          <cell r="H1187" t="str">
            <v>yellow</v>
          </cell>
          <cell r="I1187">
            <v>6</v>
          </cell>
          <cell r="J1187" t="str">
            <v>PremiumSSS</v>
          </cell>
          <cell r="K1187" t="str">
            <v>balance</v>
          </cell>
          <cell r="L1187" t="str">
            <v>バランスタイプ</v>
          </cell>
          <cell r="M1187" t="str">
            <v>academia</v>
          </cell>
        </row>
        <row r="1188">
          <cell r="A1188">
            <v>1187</v>
          </cell>
          <cell r="B1188" t="str">
            <v>ja</v>
          </cell>
          <cell r="C1188" t="str">
            <v>ハッピーハロウィン ポチ</v>
          </cell>
          <cell r="H1188" t="str">
            <v>red</v>
          </cell>
          <cell r="I1188">
            <v>1</v>
          </cell>
          <cell r="J1188" t="str">
            <v>Drop1T</v>
          </cell>
          <cell r="K1188" t="str">
            <v>heal</v>
          </cell>
          <cell r="L1188" t="str">
            <v>回復タイプ</v>
          </cell>
          <cell r="M1188" t="str">
            <v>unknown</v>
          </cell>
        </row>
        <row r="1189">
          <cell r="A1189">
            <v>1188</v>
          </cell>
          <cell r="B1189" t="str">
            <v>ja</v>
          </cell>
          <cell r="C1189" t="str">
            <v>ハッピーハロウィン ジョー</v>
          </cell>
          <cell r="H1189" t="str">
            <v>green</v>
          </cell>
          <cell r="I1189">
            <v>1</v>
          </cell>
          <cell r="J1189" t="str">
            <v>Drop1T</v>
          </cell>
          <cell r="K1189" t="str">
            <v>balance</v>
          </cell>
          <cell r="L1189" t="str">
            <v>バランスタイプ</v>
          </cell>
          <cell r="M1189" t="str">
            <v>unknown</v>
          </cell>
        </row>
        <row r="1190">
          <cell r="A1190">
            <v>1189</v>
          </cell>
          <cell r="B1190" t="str">
            <v>ja</v>
          </cell>
          <cell r="C1190" t="str">
            <v>ハッピーハロウィン ジェリー</v>
          </cell>
          <cell r="H1190" t="str">
            <v>blue</v>
          </cell>
          <cell r="I1190">
            <v>1</v>
          </cell>
          <cell r="J1190" t="str">
            <v>Drop1T</v>
          </cell>
          <cell r="K1190" t="str">
            <v>attack</v>
          </cell>
          <cell r="L1190" t="str">
            <v>攻撃タイプ</v>
          </cell>
          <cell r="M1190" t="str">
            <v>unknown</v>
          </cell>
        </row>
        <row r="1191">
          <cell r="A1191">
            <v>1190</v>
          </cell>
          <cell r="B1191" t="str">
            <v>ja</v>
          </cell>
          <cell r="C1191" t="str">
            <v>ハッピーハロウィン エレキポット</v>
          </cell>
          <cell r="H1191" t="str">
            <v>yellow</v>
          </cell>
          <cell r="I1191">
            <v>1</v>
          </cell>
          <cell r="J1191" t="str">
            <v>Drop1T</v>
          </cell>
          <cell r="K1191" t="str">
            <v>attack</v>
          </cell>
          <cell r="L1191" t="str">
            <v>攻撃タイプ</v>
          </cell>
          <cell r="M1191" t="str">
            <v>unknown</v>
          </cell>
        </row>
        <row r="1192">
          <cell r="A1192">
            <v>1191</v>
          </cell>
          <cell r="B1192" t="str">
            <v>ja</v>
          </cell>
          <cell r="C1192" t="str">
            <v>ドルチェ</v>
          </cell>
          <cell r="D1192" t="str">
            <v>未定</v>
          </cell>
          <cell r="E1192" t="str">
            <v>アリス</v>
          </cell>
          <cell r="F1192" t="str">
            <v>世界観</v>
          </cell>
          <cell r="G1192" t="str">
            <v>不明</v>
          </cell>
          <cell r="H1192" t="str">
            <v>yellow</v>
          </cell>
          <cell r="I1192">
            <v>5</v>
          </cell>
          <cell r="J1192" t="str">
            <v>DropWizS</v>
          </cell>
          <cell r="K1192" t="str">
            <v>technical</v>
          </cell>
          <cell r="L1192" t="str">
            <v>テクニカルタイプ</v>
          </cell>
          <cell r="M1192" t="str">
            <v>unknown</v>
          </cell>
        </row>
        <row r="1193">
          <cell r="A1193">
            <v>1192</v>
          </cell>
          <cell r="B1193" t="str">
            <v>ja</v>
          </cell>
          <cell r="C1193" t="str">
            <v>徹宵悪戯の甘美魔 ドルチェ</v>
          </cell>
          <cell r="D1193" t="str">
            <v>未定</v>
          </cell>
          <cell r="E1193" t="str">
            <v>アリス</v>
          </cell>
          <cell r="F1193" t="str">
            <v>世界観</v>
          </cell>
          <cell r="G1193" t="str">
            <v>不明</v>
          </cell>
          <cell r="H1193" t="str">
            <v>yellow</v>
          </cell>
          <cell r="I1193">
            <v>6</v>
          </cell>
          <cell r="J1193" t="str">
            <v>DropWizS</v>
          </cell>
          <cell r="K1193" t="str">
            <v>balance</v>
          </cell>
          <cell r="L1193" t="str">
            <v>バランスタイプ</v>
          </cell>
          <cell r="M1193" t="str">
            <v>unknown</v>
          </cell>
        </row>
        <row r="1194">
          <cell r="A1194">
            <v>1193</v>
          </cell>
          <cell r="B1194" t="str">
            <v>ja</v>
          </cell>
          <cell r="C1194" t="str">
            <v>血飢なる夜想卿 ランスロット</v>
          </cell>
          <cell r="D1194" t="str">
            <v>未定</v>
          </cell>
          <cell r="E1194" t="str">
            <v>アリス</v>
          </cell>
          <cell r="F1194" t="str">
            <v>世界観</v>
          </cell>
          <cell r="G1194" t="str">
            <v>不明</v>
          </cell>
          <cell r="H1194" t="str">
            <v>red</v>
          </cell>
          <cell r="I1194">
            <v>6</v>
          </cell>
          <cell r="J1194" t="str">
            <v>PremiumSS</v>
          </cell>
          <cell r="K1194" t="str">
            <v>attack</v>
          </cell>
          <cell r="L1194" t="str">
            <v>攻撃タイプ</v>
          </cell>
          <cell r="M1194" t="str">
            <v>human</v>
          </cell>
        </row>
        <row r="1195">
          <cell r="A1195">
            <v>1194</v>
          </cell>
          <cell r="B1195" t="str">
            <v>ja</v>
          </cell>
          <cell r="C1195" t="str">
            <v>ハーヴェスト</v>
          </cell>
          <cell r="D1195" t="str">
            <v>未定</v>
          </cell>
          <cell r="E1195" t="str">
            <v>アリス</v>
          </cell>
          <cell r="F1195" t="str">
            <v>世界観</v>
          </cell>
          <cell r="G1195" t="str">
            <v>不明</v>
          </cell>
          <cell r="H1195" t="str">
            <v>green</v>
          </cell>
          <cell r="I1195">
            <v>5</v>
          </cell>
          <cell r="J1195" t="str">
            <v>PremiumSS</v>
          </cell>
          <cell r="K1195" t="str">
            <v>balance</v>
          </cell>
          <cell r="L1195" t="str">
            <v>バランスタイプ</v>
          </cell>
          <cell r="M1195" t="str">
            <v>unknown</v>
          </cell>
        </row>
        <row r="1196">
          <cell r="A1196">
            <v>1195</v>
          </cell>
          <cell r="B1196" t="str">
            <v>ja</v>
          </cell>
          <cell r="C1196" t="str">
            <v>賑夜の幼魔 ハーヴェスト</v>
          </cell>
          <cell r="D1196" t="str">
            <v>未定</v>
          </cell>
          <cell r="E1196" t="str">
            <v>アリス</v>
          </cell>
          <cell r="F1196" t="str">
            <v>世界観</v>
          </cell>
          <cell r="G1196" t="str">
            <v>不明</v>
          </cell>
          <cell r="H1196" t="str">
            <v>green</v>
          </cell>
          <cell r="I1196">
            <v>6</v>
          </cell>
          <cell r="J1196" t="str">
            <v>PremiumSS</v>
          </cell>
          <cell r="K1196" t="str">
            <v>balance</v>
          </cell>
          <cell r="L1196" t="str">
            <v>バランスタイプ</v>
          </cell>
          <cell r="M1196" t="str">
            <v>unknown</v>
          </cell>
        </row>
        <row r="1197">
          <cell r="A1197">
            <v>1196</v>
          </cell>
          <cell r="B1197" t="str">
            <v>ja</v>
          </cell>
          <cell r="C1197" t="str">
            <v>華装の闇鋏 ラプンツェル</v>
          </cell>
          <cell r="D1197" t="str">
            <v>各属性相性良3・黄・R558</v>
          </cell>
          <cell r="E1197" t="str">
            <v>執行者</v>
          </cell>
          <cell r="F1197" t="str">
            <v>格好いい</v>
          </cell>
          <cell r="G1197" t="str">
            <v>男性</v>
          </cell>
          <cell r="H1197" t="str">
            <v>green</v>
          </cell>
          <cell r="I1197">
            <v>6</v>
          </cell>
          <cell r="J1197" t="str">
            <v>PremiumSS</v>
          </cell>
          <cell r="K1197" t="str">
            <v>balance</v>
          </cell>
          <cell r="L1197" t="str">
            <v>バランスタイプ</v>
          </cell>
          <cell r="M1197" t="str">
            <v>human</v>
          </cell>
        </row>
        <row r="1198">
          <cell r="A1198">
            <v>1197</v>
          </cell>
          <cell r="B1198" t="str">
            <v>ja</v>
          </cell>
          <cell r="C1198" t="str">
            <v>冥装の闇黒魔 バフォメット</v>
          </cell>
          <cell r="D1198" t="str">
            <v>超覚醒ハーシェル</v>
          </cell>
          <cell r="E1198" t="str">
            <v>アリス</v>
          </cell>
          <cell r="F1198" t="str">
            <v>世界観</v>
          </cell>
          <cell r="G1198" t="str">
            <v>不明</v>
          </cell>
          <cell r="H1198" t="str">
            <v>green</v>
          </cell>
          <cell r="I1198">
            <v>5</v>
          </cell>
          <cell r="J1198" t="str">
            <v>PremiumS</v>
          </cell>
          <cell r="K1198" t="str">
            <v>attack</v>
          </cell>
          <cell r="L1198" t="str">
            <v>攻撃タイプ</v>
          </cell>
          <cell r="M1198" t="str">
            <v>demon</v>
          </cell>
        </row>
        <row r="1199">
          <cell r="A1199">
            <v>1198</v>
          </cell>
          <cell r="B1199" t="str">
            <v>ja</v>
          </cell>
          <cell r="C1199" t="str">
            <v>幽縛の霊線 ピノキオ</v>
          </cell>
          <cell r="D1199" t="str">
            <v>超覚醒ハーシェル</v>
          </cell>
          <cell r="E1199" t="str">
            <v>アリス</v>
          </cell>
          <cell r="F1199" t="str">
            <v>世界観</v>
          </cell>
          <cell r="G1199" t="str">
            <v>不明</v>
          </cell>
          <cell r="H1199" t="str">
            <v>blue</v>
          </cell>
          <cell r="I1199">
            <v>5</v>
          </cell>
          <cell r="J1199" t="str">
            <v>PremiumS</v>
          </cell>
          <cell r="K1199" t="str">
            <v>technical</v>
          </cell>
          <cell r="L1199" t="str">
            <v>テクニカルタイプ</v>
          </cell>
          <cell r="M1199" t="str">
            <v>machine</v>
          </cell>
        </row>
        <row r="1200">
          <cell r="A1200">
            <v>1199</v>
          </cell>
          <cell r="B1200" t="str">
            <v>ja</v>
          </cell>
          <cell r="C1200" t="str">
            <v>看装の巡回者 ケルベロス</v>
          </cell>
          <cell r="D1200" t="str">
            <v>超覚醒ハーシェル</v>
          </cell>
          <cell r="E1200" t="str">
            <v>アリス</v>
          </cell>
          <cell r="F1200" t="str">
            <v>世界観</v>
          </cell>
          <cell r="G1200" t="str">
            <v>不明</v>
          </cell>
          <cell r="H1200" t="str">
            <v>yellow</v>
          </cell>
          <cell r="I1200">
            <v>5</v>
          </cell>
          <cell r="J1200" t="str">
            <v>PremiumS</v>
          </cell>
          <cell r="K1200" t="str">
            <v>heal</v>
          </cell>
          <cell r="L1200" t="str">
            <v>回復タイプ</v>
          </cell>
          <cell r="M1200" t="str">
            <v>animal</v>
          </cell>
        </row>
        <row r="1201">
          <cell r="A1201">
            <v>1200</v>
          </cell>
          <cell r="B1201" t="str">
            <v>ja</v>
          </cell>
          <cell r="C1201" t="str">
            <v>サイクロプス</v>
          </cell>
          <cell r="H1201" t="str">
            <v>blue</v>
          </cell>
          <cell r="I1201">
            <v>4</v>
          </cell>
          <cell r="J1201" t="str">
            <v>Drop2N</v>
          </cell>
          <cell r="K1201" t="str">
            <v>technical</v>
          </cell>
          <cell r="L1201" t="str">
            <v>テクニカルタイプ</v>
          </cell>
          <cell r="M1201" t="str">
            <v>unknown</v>
          </cell>
        </row>
        <row r="1202">
          <cell r="A1202">
            <v>1201</v>
          </cell>
          <cell r="B1202" t="str">
            <v>ja</v>
          </cell>
          <cell r="C1202" t="str">
            <v>器装の眼囚徒 サイクロプス</v>
          </cell>
          <cell r="H1202" t="str">
            <v>blue</v>
          </cell>
          <cell r="I1202">
            <v>5</v>
          </cell>
          <cell r="J1202" t="str">
            <v>Drop2N</v>
          </cell>
          <cell r="K1202" t="str">
            <v>technical</v>
          </cell>
          <cell r="L1202" t="str">
            <v>テクニカルタイプ</v>
          </cell>
          <cell r="M1202" t="str">
            <v>unknown</v>
          </cell>
        </row>
        <row r="1203">
          <cell r="A1203">
            <v>1202</v>
          </cell>
          <cell r="B1203" t="str">
            <v>ja</v>
          </cell>
          <cell r="C1203" t="str">
            <v>ウラヌス</v>
          </cell>
          <cell r="H1203" t="str">
            <v>red</v>
          </cell>
          <cell r="I1203">
            <v>5</v>
          </cell>
          <cell r="J1203" t="str">
            <v>DropWizS</v>
          </cell>
          <cell r="K1203" t="str">
            <v>technical</v>
          </cell>
          <cell r="L1203" t="str">
            <v>テクニカルタイプ</v>
          </cell>
          <cell r="M1203" t="str">
            <v>god</v>
          </cell>
        </row>
        <row r="1204">
          <cell r="A1204">
            <v>1203</v>
          </cell>
          <cell r="B1204" t="str">
            <v>ja</v>
          </cell>
          <cell r="C1204" t="str">
            <v>掌星の原天神 ウラヌス</v>
          </cell>
          <cell r="H1204" t="str">
            <v>red</v>
          </cell>
          <cell r="I1204">
            <v>6</v>
          </cell>
          <cell r="J1204" t="str">
            <v>DropWizS</v>
          </cell>
          <cell r="K1204" t="str">
            <v>technical</v>
          </cell>
          <cell r="L1204" t="str">
            <v>テクニカルタイプ</v>
          </cell>
          <cell r="M1204" t="str">
            <v>god</v>
          </cell>
        </row>
        <row r="1205">
          <cell r="A1205">
            <v>1204</v>
          </cell>
          <cell r="B1205" t="str">
            <v>ja</v>
          </cell>
          <cell r="C1205" t="str">
            <v>デルピュネー</v>
          </cell>
          <cell r="H1205" t="str">
            <v>green</v>
          </cell>
          <cell r="I1205">
            <v>5</v>
          </cell>
          <cell r="J1205" t="str">
            <v>DropWizS</v>
          </cell>
          <cell r="K1205" t="str">
            <v>attack</v>
          </cell>
          <cell r="L1205" t="str">
            <v>攻撃タイプ</v>
          </cell>
          <cell r="M1205" t="str">
            <v>god</v>
          </cell>
        </row>
        <row r="1206">
          <cell r="A1206">
            <v>1205</v>
          </cell>
          <cell r="B1206" t="str">
            <v>ja</v>
          </cell>
          <cell r="C1206" t="str">
            <v>襲奪の竜鱗姫 デルピュネー</v>
          </cell>
          <cell r="H1206" t="str">
            <v>green</v>
          </cell>
          <cell r="I1206">
            <v>6</v>
          </cell>
          <cell r="J1206" t="str">
            <v>DropWizS</v>
          </cell>
          <cell r="K1206" t="str">
            <v>attack</v>
          </cell>
          <cell r="L1206" t="str">
            <v>攻撃タイプ</v>
          </cell>
          <cell r="M1206" t="str">
            <v>god</v>
          </cell>
        </row>
        <row r="1207">
          <cell r="A1207">
            <v>1206</v>
          </cell>
          <cell r="B1207" t="str">
            <v>ja</v>
          </cell>
          <cell r="C1207" t="str">
            <v>ヘラ</v>
          </cell>
          <cell r="H1207" t="str">
            <v>yellow</v>
          </cell>
          <cell r="I1207">
            <v>5</v>
          </cell>
          <cell r="J1207" t="str">
            <v>DropWizSS</v>
          </cell>
          <cell r="K1207" t="str">
            <v>technical</v>
          </cell>
          <cell r="L1207" t="str">
            <v>テクニカルタイプ</v>
          </cell>
          <cell r="M1207" t="str">
            <v>god</v>
          </cell>
        </row>
        <row r="1208">
          <cell r="A1208">
            <v>1207</v>
          </cell>
          <cell r="B1208" t="str">
            <v>ja</v>
          </cell>
          <cell r="C1208" t="str">
            <v>典麗なる悋気神 ヘラ</v>
          </cell>
          <cell r="H1208" t="str">
            <v>yellow</v>
          </cell>
          <cell r="I1208">
            <v>6</v>
          </cell>
          <cell r="J1208" t="str">
            <v>DropWizSS</v>
          </cell>
          <cell r="K1208" t="str">
            <v>technical</v>
          </cell>
          <cell r="L1208" t="str">
            <v>テクニカルタイプ</v>
          </cell>
          <cell r="M1208" t="str">
            <v>god</v>
          </cell>
        </row>
        <row r="1209">
          <cell r="A1209">
            <v>1208</v>
          </cell>
          <cell r="B1209" t="str">
            <v>ja</v>
          </cell>
          <cell r="C1209" t="str">
            <v>ネメシス</v>
          </cell>
          <cell r="H1209" t="str">
            <v>red</v>
          </cell>
          <cell r="I1209">
            <v>5</v>
          </cell>
          <cell r="J1209" t="str">
            <v>PremiumSS</v>
          </cell>
          <cell r="K1209" t="str">
            <v>hp</v>
          </cell>
          <cell r="L1209" t="str">
            <v>体力タイプ</v>
          </cell>
          <cell r="M1209" t="str">
            <v>god</v>
          </cell>
        </row>
        <row r="1210">
          <cell r="A1210">
            <v>1209</v>
          </cell>
          <cell r="B1210" t="str">
            <v>ja</v>
          </cell>
          <cell r="C1210" t="str">
            <v>刹那の過罰神 ネメシス</v>
          </cell>
          <cell r="H1210" t="str">
            <v>red</v>
          </cell>
          <cell r="I1210">
            <v>6</v>
          </cell>
          <cell r="J1210" t="str">
            <v>PremiumSS</v>
          </cell>
          <cell r="K1210" t="str">
            <v>hp</v>
          </cell>
          <cell r="L1210" t="str">
            <v>体力タイプ</v>
          </cell>
          <cell r="M1210" t="str">
            <v>god</v>
          </cell>
        </row>
        <row r="1211">
          <cell r="A1211">
            <v>1210</v>
          </cell>
          <cell r="B1211" t="str">
            <v>ja</v>
          </cell>
          <cell r="C1211" t="str">
            <v>ケンタウロス</v>
          </cell>
          <cell r="H1211" t="str">
            <v>green</v>
          </cell>
          <cell r="I1211">
            <v>4</v>
          </cell>
          <cell r="J1211" t="str">
            <v>PremiumS</v>
          </cell>
          <cell r="K1211" t="str">
            <v>attack</v>
          </cell>
          <cell r="L1211" t="str">
            <v>攻撃タイプ</v>
          </cell>
          <cell r="M1211" t="str">
            <v>god</v>
          </cell>
        </row>
        <row r="1212">
          <cell r="A1212">
            <v>1211</v>
          </cell>
          <cell r="B1212" t="str">
            <v>ja</v>
          </cell>
          <cell r="C1212" t="str">
            <v>奏駆の翻騎 ケンタウロス</v>
          </cell>
          <cell r="H1212" t="str">
            <v>green</v>
          </cell>
          <cell r="I1212">
            <v>5</v>
          </cell>
          <cell r="J1212" t="str">
            <v>PremiumS</v>
          </cell>
          <cell r="K1212" t="str">
            <v>attack</v>
          </cell>
          <cell r="L1212" t="str">
            <v>攻撃タイプ</v>
          </cell>
          <cell r="M1212" t="str">
            <v>god</v>
          </cell>
        </row>
        <row r="1213">
          <cell r="A1213">
            <v>1212</v>
          </cell>
          <cell r="B1213" t="str">
            <v>ja</v>
          </cell>
          <cell r="C1213" t="str">
            <v>クロノス</v>
          </cell>
          <cell r="H1213" t="str">
            <v>blue</v>
          </cell>
          <cell r="I1213">
            <v>5</v>
          </cell>
          <cell r="J1213" t="str">
            <v>PremiumSS</v>
          </cell>
          <cell r="K1213" t="str">
            <v>technical</v>
          </cell>
          <cell r="L1213" t="str">
            <v>テクニカルタイプ</v>
          </cell>
          <cell r="M1213" t="str">
            <v>god</v>
          </cell>
        </row>
        <row r="1214">
          <cell r="A1214">
            <v>1213</v>
          </cell>
          <cell r="B1214" t="str">
            <v>ja</v>
          </cell>
          <cell r="C1214" t="str">
            <v>能洪の永地神 クロノス</v>
          </cell>
          <cell r="H1214" t="str">
            <v>blue</v>
          </cell>
          <cell r="I1214">
            <v>6</v>
          </cell>
          <cell r="J1214" t="str">
            <v>PremiumSS</v>
          </cell>
          <cell r="K1214" t="str">
            <v>technical</v>
          </cell>
          <cell r="L1214" t="str">
            <v>テクニカルタイプ</v>
          </cell>
          <cell r="M1214" t="str">
            <v>god</v>
          </cell>
        </row>
        <row r="1215">
          <cell r="A1215">
            <v>1214</v>
          </cell>
          <cell r="B1215" t="str">
            <v>ja</v>
          </cell>
          <cell r="C1215" t="str">
            <v>アルテミス</v>
          </cell>
          <cell r="H1215" t="str">
            <v>yellow</v>
          </cell>
          <cell r="I1215">
            <v>5</v>
          </cell>
          <cell r="J1215" t="str">
            <v>PremiumSSw</v>
          </cell>
          <cell r="K1215" t="str">
            <v>balance</v>
          </cell>
          <cell r="L1215" t="str">
            <v>バランスタイプ</v>
          </cell>
          <cell r="M1215" t="str">
            <v>god</v>
          </cell>
        </row>
        <row r="1216">
          <cell r="A1216">
            <v>1215</v>
          </cell>
          <cell r="B1216" t="str">
            <v>ja</v>
          </cell>
          <cell r="C1216" t="str">
            <v>穿潮の雷月神 アルテミス</v>
          </cell>
          <cell r="H1216" t="str">
            <v>yellow</v>
          </cell>
          <cell r="I1216">
            <v>6</v>
          </cell>
          <cell r="J1216" t="str">
            <v>PremiumSSw</v>
          </cell>
          <cell r="K1216" t="str">
            <v>balance</v>
          </cell>
          <cell r="L1216" t="str">
            <v>バランスタイプ</v>
          </cell>
          <cell r="M1216" t="str">
            <v>god</v>
          </cell>
        </row>
        <row r="1217">
          <cell r="A1217">
            <v>1216</v>
          </cell>
          <cell r="B1217" t="str">
            <v>ja</v>
          </cell>
          <cell r="C1217" t="str">
            <v>梶井基次郎</v>
          </cell>
          <cell r="H1217" t="str">
            <v>green</v>
          </cell>
          <cell r="I1217">
            <v>4</v>
          </cell>
          <cell r="J1217" t="str">
            <v>Drop2N</v>
          </cell>
          <cell r="K1217" t="str">
            <v>attack</v>
          </cell>
          <cell r="L1217" t="str">
            <v>攻撃タイプ</v>
          </cell>
          <cell r="M1217" t="str">
            <v>human</v>
          </cell>
        </row>
        <row r="1218">
          <cell r="A1218">
            <v>1217</v>
          </cell>
          <cell r="B1218" t="str">
            <v>ja</v>
          </cell>
          <cell r="C1218" t="str">
            <v>鮮彩の鬱情 梶井基次郎</v>
          </cell>
          <cell r="H1218" t="str">
            <v>green</v>
          </cell>
          <cell r="I1218">
            <v>5</v>
          </cell>
          <cell r="J1218" t="str">
            <v>Drop2N</v>
          </cell>
          <cell r="K1218" t="str">
            <v>attack</v>
          </cell>
          <cell r="L1218" t="str">
            <v>攻撃タイプ</v>
          </cell>
          <cell r="M1218" t="str">
            <v>human</v>
          </cell>
        </row>
        <row r="1219">
          <cell r="A1219">
            <v>1218</v>
          </cell>
          <cell r="B1219" t="str">
            <v>ja</v>
          </cell>
          <cell r="C1219" t="str">
            <v>太宰治</v>
          </cell>
          <cell r="H1219" t="str">
            <v>blue</v>
          </cell>
          <cell r="I1219">
            <v>5</v>
          </cell>
          <cell r="J1219" t="str">
            <v>DropWizS</v>
          </cell>
          <cell r="K1219" t="str">
            <v>hp</v>
          </cell>
          <cell r="L1219" t="str">
            <v>体力タイプ</v>
          </cell>
          <cell r="M1219" t="str">
            <v>human</v>
          </cell>
        </row>
        <row r="1220">
          <cell r="A1220">
            <v>1219</v>
          </cell>
          <cell r="B1220" t="str">
            <v>ja</v>
          </cell>
          <cell r="C1220" t="str">
            <v>世絶の失格者 太宰治</v>
          </cell>
          <cell r="H1220" t="str">
            <v>blue</v>
          </cell>
          <cell r="I1220">
            <v>6</v>
          </cell>
          <cell r="J1220" t="str">
            <v>DropWizS</v>
          </cell>
          <cell r="K1220" t="str">
            <v>hp</v>
          </cell>
          <cell r="L1220" t="str">
            <v>体力タイプ</v>
          </cell>
          <cell r="M1220" t="str">
            <v>human</v>
          </cell>
        </row>
        <row r="1221">
          <cell r="A1221">
            <v>1220</v>
          </cell>
          <cell r="B1221" t="str">
            <v>ja</v>
          </cell>
          <cell r="C1221" t="str">
            <v>シェイクスピア</v>
          </cell>
          <cell r="H1221" t="str">
            <v>yellow</v>
          </cell>
          <cell r="I1221">
            <v>5</v>
          </cell>
          <cell r="J1221" t="str">
            <v>DropWizS</v>
          </cell>
          <cell r="K1221" t="str">
            <v>balance</v>
          </cell>
          <cell r="L1221" t="str">
            <v>バランスタイプ</v>
          </cell>
          <cell r="M1221" t="str">
            <v>human</v>
          </cell>
        </row>
        <row r="1222">
          <cell r="A1222">
            <v>1221</v>
          </cell>
          <cell r="B1222" t="str">
            <v>ja</v>
          </cell>
          <cell r="C1222" t="str">
            <v>命愛の恋劇家 シェイクスピア</v>
          </cell>
          <cell r="H1222" t="str">
            <v>yellow</v>
          </cell>
          <cell r="I1222">
            <v>6</v>
          </cell>
          <cell r="J1222" t="str">
            <v>DropWizS</v>
          </cell>
          <cell r="K1222" t="str">
            <v>balance</v>
          </cell>
          <cell r="L1222" t="str">
            <v>バランスタイプ</v>
          </cell>
          <cell r="M1222" t="str">
            <v>human</v>
          </cell>
        </row>
        <row r="1223">
          <cell r="A1223">
            <v>1222</v>
          </cell>
          <cell r="B1223" t="str">
            <v>ja</v>
          </cell>
          <cell r="C1223" t="str">
            <v>カフカ</v>
          </cell>
          <cell r="H1223" t="str">
            <v>blue</v>
          </cell>
          <cell r="I1223">
            <v>5</v>
          </cell>
          <cell r="J1223" t="str">
            <v>DropWizSS</v>
          </cell>
          <cell r="K1223" t="str">
            <v>technical</v>
          </cell>
          <cell r="L1223" t="str">
            <v>テクニカルタイプ</v>
          </cell>
          <cell r="M1223" t="str">
            <v>human</v>
          </cell>
        </row>
        <row r="1224">
          <cell r="A1224">
            <v>1223</v>
          </cell>
          <cell r="B1224" t="str">
            <v>ja</v>
          </cell>
          <cell r="C1224" t="str">
            <v>凌蛾の変身 カフカ</v>
          </cell>
          <cell r="H1224" t="str">
            <v>blue</v>
          </cell>
          <cell r="I1224">
            <v>6</v>
          </cell>
          <cell r="J1224" t="str">
            <v>DropWizSS</v>
          </cell>
          <cell r="K1224" t="str">
            <v>technical</v>
          </cell>
          <cell r="L1224" t="str">
            <v>テクニカルタイプ</v>
          </cell>
          <cell r="M1224" t="str">
            <v>human</v>
          </cell>
        </row>
        <row r="1225">
          <cell r="A1225">
            <v>1224</v>
          </cell>
          <cell r="B1225" t="str">
            <v>ja</v>
          </cell>
          <cell r="C1225" t="str">
            <v>セルバンテス</v>
          </cell>
          <cell r="H1225" t="str">
            <v>red</v>
          </cell>
          <cell r="I1225">
            <v>4</v>
          </cell>
          <cell r="J1225" t="str">
            <v>PremiumS</v>
          </cell>
          <cell r="K1225" t="str">
            <v>attack</v>
          </cell>
          <cell r="L1225" t="str">
            <v>攻撃タイプ</v>
          </cell>
          <cell r="M1225" t="str">
            <v>human</v>
          </cell>
        </row>
        <row r="1226">
          <cell r="A1226">
            <v>1225</v>
          </cell>
          <cell r="B1226" t="str">
            <v>ja</v>
          </cell>
          <cell r="C1226" t="str">
            <v>優柔なる風断者 セルバンテス</v>
          </cell>
          <cell r="H1226" t="str">
            <v>red</v>
          </cell>
          <cell r="I1226">
            <v>5</v>
          </cell>
          <cell r="J1226" t="str">
            <v>PremiumS</v>
          </cell>
          <cell r="K1226" t="str">
            <v>attack</v>
          </cell>
          <cell r="L1226" t="str">
            <v>攻撃タイプ</v>
          </cell>
          <cell r="M1226" t="str">
            <v>human</v>
          </cell>
        </row>
        <row r="1227">
          <cell r="A1227">
            <v>1226</v>
          </cell>
          <cell r="B1227" t="str">
            <v>ja</v>
          </cell>
          <cell r="C1227" t="str">
            <v>トルストイ</v>
          </cell>
          <cell r="H1227" t="str">
            <v>green</v>
          </cell>
          <cell r="I1227">
            <v>5</v>
          </cell>
          <cell r="J1227" t="str">
            <v>PremiumSS</v>
          </cell>
          <cell r="K1227" t="str">
            <v>attack</v>
          </cell>
          <cell r="L1227" t="str">
            <v>攻撃タイプ</v>
          </cell>
          <cell r="M1227" t="str">
            <v>human</v>
          </cell>
        </row>
        <row r="1228">
          <cell r="A1228">
            <v>1227</v>
          </cell>
          <cell r="B1228" t="str">
            <v>ja</v>
          </cell>
          <cell r="C1228" t="str">
            <v>欲望の占猟者 トルストイ</v>
          </cell>
          <cell r="H1228" t="str">
            <v>green</v>
          </cell>
          <cell r="I1228">
            <v>6</v>
          </cell>
          <cell r="J1228" t="str">
            <v>PremiumSS</v>
          </cell>
          <cell r="K1228" t="str">
            <v>attack</v>
          </cell>
          <cell r="L1228" t="str">
            <v>攻撃タイプ</v>
          </cell>
          <cell r="M1228" t="str">
            <v>human</v>
          </cell>
        </row>
        <row r="1229">
          <cell r="A1229">
            <v>1228</v>
          </cell>
          <cell r="B1229" t="str">
            <v>ja</v>
          </cell>
          <cell r="C1229" t="str">
            <v>芥川龍之介</v>
          </cell>
          <cell r="H1229" t="str">
            <v>blue</v>
          </cell>
          <cell r="I1229">
            <v>5</v>
          </cell>
          <cell r="J1229" t="str">
            <v>PremiumSSw</v>
          </cell>
          <cell r="K1229" t="str">
            <v>attack</v>
          </cell>
          <cell r="L1229" t="str">
            <v>攻撃タイプ</v>
          </cell>
          <cell r="M1229" t="str">
            <v>human</v>
          </cell>
        </row>
        <row r="1230">
          <cell r="A1230">
            <v>1229</v>
          </cell>
          <cell r="B1230" t="str">
            <v>ja</v>
          </cell>
          <cell r="C1230" t="str">
            <v>羅生の鬼我 芥川龍之介</v>
          </cell>
          <cell r="H1230" t="str">
            <v>blue</v>
          </cell>
          <cell r="I1230">
            <v>6</v>
          </cell>
          <cell r="J1230" t="str">
            <v>PremiumSSw</v>
          </cell>
          <cell r="K1230" t="str">
            <v>attack</v>
          </cell>
          <cell r="L1230" t="str">
            <v>攻撃タイプ</v>
          </cell>
          <cell r="M1230" t="str">
            <v>human</v>
          </cell>
        </row>
        <row r="1231">
          <cell r="A1231">
            <v>1230</v>
          </cell>
          <cell r="B1231" t="str">
            <v>ja</v>
          </cell>
          <cell r="C1231" t="str">
            <v>夏目漱石</v>
          </cell>
          <cell r="H1231" t="str">
            <v>yellow</v>
          </cell>
          <cell r="I1231">
            <v>5</v>
          </cell>
          <cell r="J1231" t="str">
            <v>PremiumSS</v>
          </cell>
          <cell r="K1231" t="str">
            <v>heal</v>
          </cell>
          <cell r="L1231" t="str">
            <v>回復タイプ</v>
          </cell>
          <cell r="M1231" t="str">
            <v>animal</v>
          </cell>
        </row>
        <row r="1232">
          <cell r="A1232">
            <v>1231</v>
          </cell>
          <cell r="B1232" t="str">
            <v>ja</v>
          </cell>
          <cell r="C1232" t="str">
            <v>思索する愛猫 夏目漱石</v>
          </cell>
          <cell r="H1232" t="str">
            <v>yellow</v>
          </cell>
          <cell r="I1232">
            <v>6</v>
          </cell>
          <cell r="J1232" t="str">
            <v>PremiumSS</v>
          </cell>
          <cell r="K1232" t="str">
            <v>heal</v>
          </cell>
          <cell r="L1232" t="str">
            <v>回復タイプ</v>
          </cell>
          <cell r="M1232" t="str">
            <v>animal</v>
          </cell>
        </row>
        <row r="1233">
          <cell r="A1233">
            <v>1232</v>
          </cell>
          <cell r="B1233" t="str">
            <v>ja</v>
          </cell>
          <cell r="C1233" t="str">
            <v>ケプラー</v>
          </cell>
          <cell r="H1233" t="str">
            <v>yellow</v>
          </cell>
          <cell r="I1233">
            <v>5</v>
          </cell>
          <cell r="J1233" t="str">
            <v>PremiumSSS</v>
          </cell>
          <cell r="K1233" t="str">
            <v>attack</v>
          </cell>
          <cell r="L1233" t="str">
            <v>攻撃タイプ</v>
          </cell>
          <cell r="M1233" t="str">
            <v>academia</v>
          </cell>
        </row>
        <row r="1234">
          <cell r="A1234">
            <v>1233</v>
          </cell>
          <cell r="B1234" t="str">
            <v>ja</v>
          </cell>
          <cell r="C1234" t="str">
            <v>天体の大砲速 ケプラー</v>
          </cell>
          <cell r="H1234" t="str">
            <v>yellow</v>
          </cell>
          <cell r="I1234">
            <v>6</v>
          </cell>
          <cell r="J1234" t="str">
            <v>PremiumSSS</v>
          </cell>
          <cell r="K1234" t="str">
            <v>attack</v>
          </cell>
          <cell r="L1234" t="str">
            <v>攻撃タイプ</v>
          </cell>
          <cell r="M1234" t="str">
            <v>academia</v>
          </cell>
        </row>
        <row r="1235">
          <cell r="A1235">
            <v>1234</v>
          </cell>
          <cell r="B1235" t="str">
            <v>ja</v>
          </cell>
          <cell r="C1235" t="str">
            <v>ボーア</v>
          </cell>
          <cell r="H1235" t="str">
            <v>red</v>
          </cell>
          <cell r="I1235">
            <v>5</v>
          </cell>
          <cell r="J1235" t="str">
            <v>PremiumSSS</v>
          </cell>
          <cell r="K1235" t="str">
            <v>attack</v>
          </cell>
          <cell r="L1235" t="str">
            <v>攻撃タイプ</v>
          </cell>
          <cell r="M1235" t="str">
            <v>academia</v>
          </cell>
        </row>
        <row r="1236">
          <cell r="A1236">
            <v>1235</v>
          </cell>
          <cell r="B1236" t="str">
            <v>ja</v>
          </cell>
          <cell r="C1236" t="str">
            <v>哲壁の育護者 ボーア</v>
          </cell>
          <cell r="H1236" t="str">
            <v>red</v>
          </cell>
          <cell r="I1236">
            <v>6</v>
          </cell>
          <cell r="J1236" t="str">
            <v>PremiumSSS</v>
          </cell>
          <cell r="K1236" t="str">
            <v>attack</v>
          </cell>
          <cell r="L1236" t="str">
            <v>攻撃タイプ</v>
          </cell>
          <cell r="M1236" t="str">
            <v>academia</v>
          </cell>
        </row>
        <row r="1237">
          <cell r="A1237">
            <v>1236</v>
          </cell>
          <cell r="B1237" t="str">
            <v>ja</v>
          </cell>
          <cell r="C1237" t="str">
            <v>千利休</v>
          </cell>
          <cell r="H1237" t="str">
            <v>yellow</v>
          </cell>
          <cell r="I1237">
            <v>4</v>
          </cell>
          <cell r="J1237" t="str">
            <v>Drop2N</v>
          </cell>
          <cell r="K1237" t="str">
            <v>balance</v>
          </cell>
          <cell r="L1237" t="str">
            <v>バランスタイプ</v>
          </cell>
          <cell r="M1237" t="str">
            <v>unknown</v>
          </cell>
        </row>
        <row r="1238">
          <cell r="A1238">
            <v>1237</v>
          </cell>
          <cell r="B1238" t="str">
            <v>ja</v>
          </cell>
          <cell r="C1238" t="str">
            <v>夢茶の目付役 千利休</v>
          </cell>
          <cell r="H1238" t="str">
            <v>yellow</v>
          </cell>
          <cell r="I1238">
            <v>5</v>
          </cell>
          <cell r="J1238" t="str">
            <v>Drop2N</v>
          </cell>
          <cell r="K1238" t="str">
            <v>balance</v>
          </cell>
          <cell r="L1238" t="str">
            <v>バランスタイプ</v>
          </cell>
          <cell r="M1238" t="str">
            <v>unknown</v>
          </cell>
        </row>
        <row r="1239">
          <cell r="A1239">
            <v>1238</v>
          </cell>
          <cell r="B1239" t="str">
            <v>ja</v>
          </cell>
          <cell r="C1239" t="str">
            <v>服部半蔵</v>
          </cell>
          <cell r="H1239" t="str">
            <v>green</v>
          </cell>
          <cell r="I1239">
            <v>5</v>
          </cell>
          <cell r="J1239" t="str">
            <v>DropWizS</v>
          </cell>
          <cell r="K1239" t="str">
            <v>attack</v>
          </cell>
          <cell r="L1239" t="str">
            <v>攻撃タイプ</v>
          </cell>
          <cell r="M1239" t="str">
            <v>unknown</v>
          </cell>
        </row>
        <row r="1240">
          <cell r="A1240">
            <v>1239</v>
          </cell>
          <cell r="B1240" t="str">
            <v>ja</v>
          </cell>
          <cell r="C1240" t="str">
            <v>音無の機密忍 服部半蔵</v>
          </cell>
          <cell r="H1240" t="str">
            <v>green</v>
          </cell>
          <cell r="I1240">
            <v>6</v>
          </cell>
          <cell r="J1240" t="str">
            <v>DropWizS</v>
          </cell>
          <cell r="K1240" t="str">
            <v>attack</v>
          </cell>
          <cell r="L1240" t="str">
            <v>攻撃タイプ</v>
          </cell>
          <cell r="M1240" t="str">
            <v>unknown</v>
          </cell>
        </row>
        <row r="1241">
          <cell r="A1241">
            <v>1240</v>
          </cell>
          <cell r="B1241" t="str">
            <v>ja</v>
          </cell>
          <cell r="C1241" t="str">
            <v>竹中半兵衛</v>
          </cell>
          <cell r="H1241" t="str">
            <v>blue</v>
          </cell>
          <cell r="I1241">
            <v>5</v>
          </cell>
          <cell r="J1241" t="str">
            <v>DropWizS</v>
          </cell>
          <cell r="K1241" t="str">
            <v>hp</v>
          </cell>
          <cell r="L1241" t="str">
            <v>体力タイプ</v>
          </cell>
          <cell r="M1241" t="str">
            <v>human</v>
          </cell>
        </row>
        <row r="1242">
          <cell r="A1242">
            <v>1241</v>
          </cell>
          <cell r="B1242" t="str">
            <v>ja</v>
          </cell>
          <cell r="C1242" t="str">
            <v>巧妙なる嬢舌 竹中半兵衛</v>
          </cell>
          <cell r="H1242" t="str">
            <v>blue</v>
          </cell>
          <cell r="I1242">
            <v>6</v>
          </cell>
          <cell r="J1242" t="str">
            <v>DropWizS</v>
          </cell>
          <cell r="K1242" t="str">
            <v>hp</v>
          </cell>
          <cell r="L1242" t="str">
            <v>体力タイプ</v>
          </cell>
          <cell r="M1242" t="str">
            <v>human</v>
          </cell>
        </row>
        <row r="1243">
          <cell r="A1243">
            <v>1242</v>
          </cell>
          <cell r="B1243" t="str">
            <v>ja</v>
          </cell>
          <cell r="C1243" t="str">
            <v>豊臣秀吉</v>
          </cell>
          <cell r="H1243" t="str">
            <v>red</v>
          </cell>
          <cell r="I1243">
            <v>5</v>
          </cell>
          <cell r="J1243" t="str">
            <v>DropWizSS</v>
          </cell>
          <cell r="K1243" t="str">
            <v>balance</v>
          </cell>
          <cell r="L1243" t="str">
            <v>バランスタイプ</v>
          </cell>
          <cell r="M1243" t="str">
            <v>human</v>
          </cell>
        </row>
        <row r="1244">
          <cell r="A1244">
            <v>1243</v>
          </cell>
          <cell r="B1244" t="str">
            <v>ja</v>
          </cell>
          <cell r="C1244" t="str">
            <v>新世覇の昇竜 豊臣秀吉</v>
          </cell>
          <cell r="H1244" t="str">
            <v>red</v>
          </cell>
          <cell r="I1244">
            <v>6</v>
          </cell>
          <cell r="J1244" t="str">
            <v>DropWizSS</v>
          </cell>
          <cell r="K1244" t="str">
            <v>balance</v>
          </cell>
          <cell r="L1244" t="str">
            <v>バランスタイプ</v>
          </cell>
          <cell r="M1244" t="str">
            <v>human</v>
          </cell>
        </row>
        <row r="1245">
          <cell r="A1245">
            <v>1244</v>
          </cell>
          <cell r="B1245" t="str">
            <v>ja</v>
          </cell>
          <cell r="C1245" t="str">
            <v>猿飛佐助</v>
          </cell>
          <cell r="H1245" t="str">
            <v>red</v>
          </cell>
          <cell r="I1245">
            <v>5</v>
          </cell>
          <cell r="J1245" t="str">
            <v>PremiumSS</v>
          </cell>
          <cell r="K1245" t="str">
            <v>attack</v>
          </cell>
          <cell r="L1245" t="str">
            <v>攻撃タイプ</v>
          </cell>
          <cell r="M1245" t="str">
            <v>human</v>
          </cell>
        </row>
        <row r="1246">
          <cell r="A1246">
            <v>1245</v>
          </cell>
          <cell r="B1246" t="str">
            <v>ja</v>
          </cell>
          <cell r="C1246" t="str">
            <v>甲火の特殊忍 猿飛佐助</v>
          </cell>
          <cell r="H1246" t="str">
            <v>red</v>
          </cell>
          <cell r="I1246">
            <v>6</v>
          </cell>
          <cell r="J1246" t="str">
            <v>PremiumSS</v>
          </cell>
          <cell r="K1246" t="str">
            <v>attack</v>
          </cell>
          <cell r="L1246" t="str">
            <v>攻撃タイプ</v>
          </cell>
          <cell r="M1246" t="str">
            <v>human</v>
          </cell>
        </row>
        <row r="1247">
          <cell r="A1247">
            <v>1246</v>
          </cell>
          <cell r="B1247" t="str">
            <v>ja</v>
          </cell>
          <cell r="C1247" t="str">
            <v>望月千代女</v>
          </cell>
          <cell r="H1247" t="str">
            <v>green</v>
          </cell>
          <cell r="I1247">
            <v>5</v>
          </cell>
          <cell r="J1247" t="str">
            <v>PremiumSS</v>
          </cell>
          <cell r="K1247" t="str">
            <v>heal</v>
          </cell>
          <cell r="L1247" t="str">
            <v>回復タイプ</v>
          </cell>
          <cell r="M1247" t="str">
            <v>human</v>
          </cell>
        </row>
        <row r="1248">
          <cell r="A1248">
            <v>1247</v>
          </cell>
          <cell r="B1248" t="str">
            <v>ja</v>
          </cell>
          <cell r="C1248" t="str">
            <v>潜情のくノ一 望月千代女</v>
          </cell>
          <cell r="H1248" t="str">
            <v>green</v>
          </cell>
          <cell r="I1248">
            <v>6</v>
          </cell>
          <cell r="J1248" t="str">
            <v>PremiumSS</v>
          </cell>
          <cell r="K1248" t="str">
            <v>heal</v>
          </cell>
          <cell r="L1248" t="str">
            <v>回復タイプ</v>
          </cell>
          <cell r="M1248" t="str">
            <v>human</v>
          </cell>
        </row>
        <row r="1249">
          <cell r="A1249">
            <v>1248</v>
          </cell>
          <cell r="B1249" t="str">
            <v>ja</v>
          </cell>
          <cell r="C1249" t="str">
            <v>寧々</v>
          </cell>
          <cell r="H1249" t="str">
            <v>blue</v>
          </cell>
          <cell r="I1249">
            <v>4</v>
          </cell>
          <cell r="J1249" t="str">
            <v>PremiumS</v>
          </cell>
          <cell r="K1249" t="str">
            <v>heal</v>
          </cell>
          <cell r="L1249" t="str">
            <v>回復タイプ</v>
          </cell>
          <cell r="M1249" t="str">
            <v>human</v>
          </cell>
        </row>
        <row r="1250">
          <cell r="A1250">
            <v>1249</v>
          </cell>
          <cell r="B1250" t="str">
            <v>ja</v>
          </cell>
          <cell r="C1250" t="str">
            <v>君臨する姐御様 寧々</v>
          </cell>
          <cell r="H1250" t="str">
            <v>blue</v>
          </cell>
          <cell r="I1250">
            <v>5</v>
          </cell>
          <cell r="J1250" t="str">
            <v>PremiumS</v>
          </cell>
          <cell r="K1250" t="str">
            <v>heal</v>
          </cell>
          <cell r="L1250" t="str">
            <v>回復タイプ</v>
          </cell>
          <cell r="M1250" t="str">
            <v>human</v>
          </cell>
        </row>
        <row r="1251">
          <cell r="A1251">
            <v>1250</v>
          </cell>
          <cell r="B1251" t="str">
            <v>ja</v>
          </cell>
          <cell r="C1251" t="str">
            <v>真田幸村</v>
          </cell>
          <cell r="H1251" t="str">
            <v>yellow</v>
          </cell>
          <cell r="I1251">
            <v>5</v>
          </cell>
          <cell r="J1251" t="str">
            <v>PremiumSSw</v>
          </cell>
          <cell r="K1251" t="str">
            <v>attack</v>
          </cell>
          <cell r="L1251" t="str">
            <v>攻撃タイプ</v>
          </cell>
          <cell r="M1251" t="str">
            <v>human</v>
          </cell>
        </row>
        <row r="1252">
          <cell r="A1252">
            <v>1251</v>
          </cell>
          <cell r="B1252" t="str">
            <v>ja</v>
          </cell>
          <cell r="C1252" t="str">
            <v>錯槍の英勇 真田幸村</v>
          </cell>
          <cell r="H1252" t="str">
            <v>yellow</v>
          </cell>
          <cell r="I1252">
            <v>6</v>
          </cell>
          <cell r="J1252" t="str">
            <v>PremiumSSw</v>
          </cell>
          <cell r="K1252" t="str">
            <v>attack</v>
          </cell>
          <cell r="L1252" t="str">
            <v>攻撃タイプ</v>
          </cell>
          <cell r="M1252" t="str">
            <v>human</v>
          </cell>
        </row>
        <row r="1253">
          <cell r="A1253">
            <v>1252</v>
          </cell>
          <cell r="B1253" t="str">
            <v>ja</v>
          </cell>
          <cell r="C1253" t="str">
            <v>ギャラルホルン</v>
          </cell>
          <cell r="H1253" t="str">
            <v>blue</v>
          </cell>
          <cell r="I1253">
            <v>4</v>
          </cell>
          <cell r="J1253" t="str">
            <v>Drop2N</v>
          </cell>
          <cell r="K1253" t="str">
            <v>balance</v>
          </cell>
          <cell r="L1253" t="str">
            <v>バランスタイプ</v>
          </cell>
          <cell r="M1253" t="str">
            <v>god</v>
          </cell>
        </row>
        <row r="1254">
          <cell r="A1254">
            <v>1253</v>
          </cell>
          <cell r="B1254" t="str">
            <v>ja</v>
          </cell>
          <cell r="C1254" t="str">
            <v>吹聴する廃徊者 ギャラルホルン</v>
          </cell>
          <cell r="H1254" t="str">
            <v>blue</v>
          </cell>
          <cell r="I1254">
            <v>5</v>
          </cell>
          <cell r="J1254" t="str">
            <v>Drop2N</v>
          </cell>
          <cell r="K1254" t="str">
            <v>balance</v>
          </cell>
          <cell r="L1254" t="str">
            <v>バランスタイプ</v>
          </cell>
          <cell r="M1254" t="str">
            <v>god</v>
          </cell>
        </row>
        <row r="1255">
          <cell r="A1255">
            <v>1254</v>
          </cell>
          <cell r="B1255" t="str">
            <v>ja</v>
          </cell>
          <cell r="C1255" t="str">
            <v>スリュム</v>
          </cell>
          <cell r="H1255" t="str">
            <v>green</v>
          </cell>
          <cell r="I1255">
            <v>5</v>
          </cell>
          <cell r="J1255" t="str">
            <v>DropWizS</v>
          </cell>
          <cell r="K1255" t="str">
            <v>balance</v>
          </cell>
          <cell r="L1255" t="str">
            <v>バランスタイプ</v>
          </cell>
          <cell r="M1255" t="str">
            <v>unknown</v>
          </cell>
        </row>
        <row r="1256">
          <cell r="A1256">
            <v>1255</v>
          </cell>
          <cell r="B1256" t="str">
            <v>ja</v>
          </cell>
          <cell r="C1256" t="str">
            <v>驕奢の神犯 スリュム</v>
          </cell>
          <cell r="H1256" t="str">
            <v>green</v>
          </cell>
          <cell r="I1256">
            <v>6</v>
          </cell>
          <cell r="J1256" t="str">
            <v>DropWizS</v>
          </cell>
          <cell r="K1256" t="str">
            <v>balance</v>
          </cell>
          <cell r="L1256" t="str">
            <v>バランスタイプ</v>
          </cell>
          <cell r="M1256" t="str">
            <v>unknown</v>
          </cell>
        </row>
        <row r="1257">
          <cell r="A1257">
            <v>1256</v>
          </cell>
          <cell r="B1257" t="str">
            <v>ja</v>
          </cell>
          <cell r="C1257" t="str">
            <v>ヘル</v>
          </cell>
          <cell r="H1257" t="str">
            <v>yellow</v>
          </cell>
          <cell r="I1257">
            <v>5</v>
          </cell>
          <cell r="J1257" t="str">
            <v>DropWizS</v>
          </cell>
          <cell r="K1257" t="str">
            <v>heal</v>
          </cell>
          <cell r="L1257" t="str">
            <v>回復タイプ</v>
          </cell>
          <cell r="M1257" t="str">
            <v>god</v>
          </cell>
        </row>
        <row r="1258">
          <cell r="A1258">
            <v>1257</v>
          </cell>
          <cell r="B1258" t="str">
            <v>ja</v>
          </cell>
          <cell r="C1258" t="str">
            <v>危能の幼魔神 ヘル</v>
          </cell>
          <cell r="H1258" t="str">
            <v>yellow</v>
          </cell>
          <cell r="I1258">
            <v>6</v>
          </cell>
          <cell r="J1258" t="str">
            <v>DropWizS</v>
          </cell>
          <cell r="K1258" t="str">
            <v>heal</v>
          </cell>
          <cell r="L1258" t="str">
            <v>回復タイプ</v>
          </cell>
          <cell r="M1258" t="str">
            <v>god</v>
          </cell>
        </row>
        <row r="1259">
          <cell r="A1259">
            <v>1258</v>
          </cell>
          <cell r="B1259" t="str">
            <v>ja</v>
          </cell>
          <cell r="C1259" t="str">
            <v>ロキ</v>
          </cell>
          <cell r="H1259" t="str">
            <v>green</v>
          </cell>
          <cell r="I1259">
            <v>5</v>
          </cell>
          <cell r="J1259" t="str">
            <v>DropWizSS</v>
          </cell>
          <cell r="K1259" t="str">
            <v>balance</v>
          </cell>
          <cell r="L1259" t="str">
            <v>バランスタイプ</v>
          </cell>
          <cell r="M1259" t="str">
            <v>god</v>
          </cell>
        </row>
        <row r="1260">
          <cell r="A1260">
            <v>1259</v>
          </cell>
          <cell r="B1260" t="str">
            <v>ja</v>
          </cell>
          <cell r="C1260" t="str">
            <v>崩世を叫ぶ悪戯 ロキ</v>
          </cell>
          <cell r="H1260" t="str">
            <v>green</v>
          </cell>
          <cell r="I1260">
            <v>6</v>
          </cell>
          <cell r="J1260" t="str">
            <v>DropWizSS</v>
          </cell>
          <cell r="K1260" t="str">
            <v>balance</v>
          </cell>
          <cell r="L1260" t="str">
            <v>バランスタイプ</v>
          </cell>
          <cell r="M1260" t="str">
            <v>god</v>
          </cell>
        </row>
        <row r="1261">
          <cell r="A1261">
            <v>1260</v>
          </cell>
          <cell r="B1261" t="str">
            <v>ja</v>
          </cell>
          <cell r="C1261" t="str">
            <v>トール</v>
          </cell>
          <cell r="H1261" t="str">
            <v>red</v>
          </cell>
          <cell r="I1261">
            <v>5</v>
          </cell>
          <cell r="J1261" t="str">
            <v>PremiumSS</v>
          </cell>
          <cell r="K1261" t="str">
            <v>balance</v>
          </cell>
          <cell r="L1261" t="str">
            <v>バランスタイプ</v>
          </cell>
          <cell r="M1261" t="str">
            <v>god</v>
          </cell>
        </row>
        <row r="1262">
          <cell r="A1262">
            <v>1261</v>
          </cell>
          <cell r="B1262" t="str">
            <v>ja</v>
          </cell>
          <cell r="C1262" t="str">
            <v>燃雷の鎚撃 トール</v>
          </cell>
          <cell r="H1262" t="str">
            <v>red</v>
          </cell>
          <cell r="I1262">
            <v>6</v>
          </cell>
          <cell r="J1262" t="str">
            <v>PremiumSS</v>
          </cell>
          <cell r="K1262" t="str">
            <v>balance</v>
          </cell>
          <cell r="L1262" t="str">
            <v>バランスタイプ</v>
          </cell>
          <cell r="M1262" t="str">
            <v>god</v>
          </cell>
        </row>
        <row r="1263">
          <cell r="A1263">
            <v>1262</v>
          </cell>
          <cell r="B1263" t="str">
            <v>ja</v>
          </cell>
          <cell r="C1263" t="str">
            <v>イズン</v>
          </cell>
          <cell r="H1263" t="str">
            <v>green</v>
          </cell>
          <cell r="I1263">
            <v>5</v>
          </cell>
          <cell r="J1263" t="str">
            <v>PremiumSSw</v>
          </cell>
          <cell r="K1263" t="str">
            <v>heal</v>
          </cell>
          <cell r="L1263" t="str">
            <v>回復タイプ</v>
          </cell>
          <cell r="M1263" t="str">
            <v>god</v>
          </cell>
        </row>
        <row r="1264">
          <cell r="A1264">
            <v>1263</v>
          </cell>
          <cell r="B1264" t="str">
            <v>ja</v>
          </cell>
          <cell r="C1264" t="str">
            <v>純朴なる檻理人 イズン</v>
          </cell>
          <cell r="H1264" t="str">
            <v>green</v>
          </cell>
          <cell r="I1264">
            <v>6</v>
          </cell>
          <cell r="J1264" t="str">
            <v>PremiumSSw</v>
          </cell>
          <cell r="K1264" t="str">
            <v>heal</v>
          </cell>
          <cell r="L1264" t="str">
            <v>回復タイプ</v>
          </cell>
          <cell r="M1264" t="str">
            <v>god</v>
          </cell>
        </row>
        <row r="1265">
          <cell r="A1265">
            <v>1264</v>
          </cell>
          <cell r="B1265" t="str">
            <v>ja</v>
          </cell>
          <cell r="C1265" t="str">
            <v>ウルズ</v>
          </cell>
          <cell r="H1265" t="str">
            <v>blue</v>
          </cell>
          <cell r="I1265">
            <v>5</v>
          </cell>
          <cell r="J1265" t="str">
            <v>PremiumSS</v>
          </cell>
          <cell r="K1265" t="str">
            <v>heal</v>
          </cell>
          <cell r="L1265" t="str">
            <v>回復タイプ</v>
          </cell>
          <cell r="M1265" t="str">
            <v>god</v>
          </cell>
        </row>
        <row r="1266">
          <cell r="A1266">
            <v>1265</v>
          </cell>
          <cell r="B1266" t="str">
            <v>ja</v>
          </cell>
          <cell r="C1266" t="str">
            <v>静観する世限者 ウルズ</v>
          </cell>
          <cell r="H1266" t="str">
            <v>blue</v>
          </cell>
          <cell r="I1266">
            <v>6</v>
          </cell>
          <cell r="J1266" t="str">
            <v>PremiumSS</v>
          </cell>
          <cell r="K1266" t="str">
            <v>heal</v>
          </cell>
          <cell r="L1266" t="str">
            <v>回復タイプ</v>
          </cell>
          <cell r="M1266" t="str">
            <v>god</v>
          </cell>
        </row>
        <row r="1267">
          <cell r="A1267">
            <v>1266</v>
          </cell>
          <cell r="B1267" t="str">
            <v>ja</v>
          </cell>
          <cell r="C1267" t="str">
            <v>ガルム</v>
          </cell>
          <cell r="H1267" t="str">
            <v>yellow</v>
          </cell>
          <cell r="I1267">
            <v>4</v>
          </cell>
          <cell r="J1267" t="str">
            <v>PremiumS</v>
          </cell>
          <cell r="K1267" t="str">
            <v>hp</v>
          </cell>
          <cell r="L1267" t="str">
            <v>体力タイプ</v>
          </cell>
          <cell r="M1267" t="str">
            <v>god</v>
          </cell>
        </row>
        <row r="1268">
          <cell r="A1268">
            <v>1267</v>
          </cell>
          <cell r="B1268" t="str">
            <v>ja</v>
          </cell>
          <cell r="C1268" t="str">
            <v>不遜の冥番犬 ガルム</v>
          </cell>
          <cell r="H1268" t="str">
            <v>yellow</v>
          </cell>
          <cell r="I1268">
            <v>5</v>
          </cell>
          <cell r="J1268" t="str">
            <v>PremiumS</v>
          </cell>
          <cell r="K1268" t="str">
            <v>hp</v>
          </cell>
          <cell r="L1268" t="str">
            <v>体力タイプ</v>
          </cell>
          <cell r="M1268" t="str">
            <v>god</v>
          </cell>
        </row>
        <row r="1269">
          <cell r="A1269">
            <v>1268</v>
          </cell>
          <cell r="B1269" t="str">
            <v>ja</v>
          </cell>
          <cell r="C1269" t="str">
            <v>ローズ</v>
          </cell>
          <cell r="H1269" t="str">
            <v>red</v>
          </cell>
          <cell r="I1269">
            <v>5</v>
          </cell>
          <cell r="J1269" t="str">
            <v>DropWizSSS</v>
          </cell>
          <cell r="K1269" t="str">
            <v>attack</v>
          </cell>
          <cell r="L1269" t="str">
            <v>攻撃タイプ</v>
          </cell>
          <cell r="M1269" t="str">
            <v>queen</v>
          </cell>
        </row>
        <row r="1270">
          <cell r="A1270">
            <v>1269</v>
          </cell>
          <cell r="B1270" t="str">
            <v>ja</v>
          </cell>
          <cell r="C1270" t="str">
            <v>エルフラムの女王 ローズ</v>
          </cell>
          <cell r="H1270" t="str">
            <v>red</v>
          </cell>
          <cell r="I1270">
            <v>6</v>
          </cell>
          <cell r="J1270" t="str">
            <v>DropWizSSS</v>
          </cell>
          <cell r="K1270" t="str">
            <v>attack</v>
          </cell>
          <cell r="L1270" t="str">
            <v>攻撃タイプ</v>
          </cell>
          <cell r="M1270" t="str">
            <v>queen</v>
          </cell>
        </row>
        <row r="1271">
          <cell r="A1271">
            <v>1270</v>
          </cell>
          <cell r="B1271" t="str">
            <v>ja</v>
          </cell>
          <cell r="C1271" t="str">
            <v>コードレッド超覚醒</v>
          </cell>
          <cell r="H1271" t="str">
            <v>red</v>
          </cell>
          <cell r="I1271">
            <v>6</v>
          </cell>
          <cell r="J1271" t="str">
            <v>PremiumSSS</v>
          </cell>
          <cell r="K1271" t="str">
            <v>attack</v>
          </cell>
          <cell r="L1271" t="str">
            <v>攻撃タイプ</v>
          </cell>
          <cell r="M1271" t="str">
            <v>queen</v>
          </cell>
        </row>
        <row r="1272">
          <cell r="A1272">
            <v>1271</v>
          </cell>
          <cell r="B1272" t="str">
            <v>ja</v>
          </cell>
          <cell r="C1272" t="str">
            <v>ローズ(旧)</v>
          </cell>
          <cell r="H1272" t="str">
            <v>red</v>
          </cell>
          <cell r="I1272">
            <v>5</v>
          </cell>
          <cell r="J1272" t="str">
            <v>DropWizSSS</v>
          </cell>
          <cell r="K1272" t="str">
            <v>attack</v>
          </cell>
          <cell r="L1272" t="str">
            <v>攻撃タイプ</v>
          </cell>
          <cell r="M1272" t="str">
            <v>queen</v>
          </cell>
        </row>
        <row r="1273">
          <cell r="A1273">
            <v>1272</v>
          </cell>
          <cell r="B1273" t="str">
            <v>ja</v>
          </cell>
          <cell r="C1273" t="str">
            <v>エルフラムの女王 ローズ(旧)</v>
          </cell>
          <cell r="H1273" t="str">
            <v>red</v>
          </cell>
          <cell r="I1273">
            <v>6</v>
          </cell>
          <cell r="J1273" t="str">
            <v>DropWizSSS</v>
          </cell>
          <cell r="K1273" t="str">
            <v>attack</v>
          </cell>
          <cell r="L1273" t="str">
            <v>攻撃タイプ</v>
          </cell>
          <cell r="M1273" t="str">
            <v>queen</v>
          </cell>
        </row>
        <row r="1274">
          <cell r="A1274">
            <v>1273</v>
          </cell>
          <cell r="B1274" t="str">
            <v>ja</v>
          </cell>
          <cell r="C1274" t="str">
            <v>炎影纏う征討者 織田信長</v>
          </cell>
          <cell r="H1274" t="str">
            <v>red</v>
          </cell>
          <cell r="I1274">
            <v>6</v>
          </cell>
          <cell r="J1274" t="str">
            <v>DropWizSS</v>
          </cell>
          <cell r="K1274" t="str">
            <v>balance</v>
          </cell>
          <cell r="L1274" t="str">
            <v>バランスタイプ</v>
          </cell>
          <cell r="M1274" t="str">
            <v>human</v>
          </cell>
        </row>
        <row r="1275">
          <cell r="A1275">
            <v>1274</v>
          </cell>
          <cell r="B1275" t="str">
            <v>ja</v>
          </cell>
          <cell r="C1275" t="str">
            <v>神雪と戯れる聖母 マリア</v>
          </cell>
          <cell r="H1275" t="str">
            <v>blue</v>
          </cell>
          <cell r="I1275">
            <v>6</v>
          </cell>
          <cell r="J1275" t="str">
            <v>PremiumSS</v>
          </cell>
          <cell r="K1275" t="str">
            <v>heal</v>
          </cell>
          <cell r="L1275" t="str">
            <v>回復タイプ</v>
          </cell>
          <cell r="M1275" t="str">
            <v>human</v>
          </cell>
        </row>
        <row r="1276">
          <cell r="A1276">
            <v>1275</v>
          </cell>
          <cell r="B1276" t="str">
            <v>ja</v>
          </cell>
          <cell r="C1276" t="str">
            <v>聖進の贈炎 クリスマス・ベリアル</v>
          </cell>
          <cell r="H1276" t="str">
            <v>red</v>
          </cell>
          <cell r="I1276">
            <v>6</v>
          </cell>
          <cell r="J1276" t="str">
            <v>PremiumS</v>
          </cell>
          <cell r="K1276" t="str">
            <v>attack</v>
          </cell>
          <cell r="L1276" t="str">
            <v>攻撃タイプ</v>
          </cell>
          <cell r="M1276" t="str">
            <v>god</v>
          </cell>
        </row>
        <row r="1277">
          <cell r="A1277">
            <v>1276</v>
          </cell>
          <cell r="B1277" t="str">
            <v>ja</v>
          </cell>
          <cell r="C1277" t="str">
            <v>聖宴の主彩 サンタクロース・オセ</v>
          </cell>
          <cell r="H1277" t="str">
            <v>green</v>
          </cell>
          <cell r="I1277">
            <v>6</v>
          </cell>
          <cell r="J1277" t="str">
            <v>PremiumS</v>
          </cell>
          <cell r="K1277" t="str">
            <v>attack</v>
          </cell>
          <cell r="L1277" t="str">
            <v>攻撃タイプ</v>
          </cell>
          <cell r="M1277" t="str">
            <v>god</v>
          </cell>
        </row>
        <row r="1278">
          <cell r="A1278">
            <v>1277</v>
          </cell>
          <cell r="B1278" t="str">
            <v>ja</v>
          </cell>
          <cell r="C1278" t="str">
            <v>彩鈴鳴らす聖天使 ミカエル・イヴ</v>
          </cell>
          <cell r="H1278" t="str">
            <v>yellow</v>
          </cell>
          <cell r="I1278">
            <v>6</v>
          </cell>
          <cell r="J1278" t="str">
            <v>PremiumS</v>
          </cell>
          <cell r="K1278" t="str">
            <v>attack</v>
          </cell>
          <cell r="L1278" t="str">
            <v>攻撃タイプ</v>
          </cell>
          <cell r="M1278" t="str">
            <v>god</v>
          </cell>
        </row>
        <row r="1279">
          <cell r="A1279">
            <v>1278</v>
          </cell>
          <cell r="B1279" t="str">
            <v>ja</v>
          </cell>
          <cell r="C1279" t="str">
            <v>ラチカ</v>
          </cell>
          <cell r="H1279" t="str">
            <v>yellow</v>
          </cell>
          <cell r="I1279">
            <v>5</v>
          </cell>
          <cell r="J1279" t="str">
            <v>PremiumSS</v>
          </cell>
          <cell r="K1279" t="str">
            <v>hp</v>
          </cell>
          <cell r="L1279" t="str">
            <v>体力タイプ</v>
          </cell>
          <cell r="M1279" t="str">
            <v>unknown</v>
          </cell>
        </row>
        <row r="1280">
          <cell r="A1280">
            <v>1279</v>
          </cell>
          <cell r="B1280" t="str">
            <v>ja</v>
          </cell>
          <cell r="C1280" t="str">
            <v>霜聖の雪姫 ラチカ</v>
          </cell>
          <cell r="H1280" t="str">
            <v>yellow</v>
          </cell>
          <cell r="I1280">
            <v>6</v>
          </cell>
          <cell r="J1280" t="str">
            <v>PremiumSS</v>
          </cell>
          <cell r="K1280" t="str">
            <v>hp</v>
          </cell>
          <cell r="L1280" t="str">
            <v>体力タイプ</v>
          </cell>
          <cell r="M1280" t="str">
            <v>unknown</v>
          </cell>
        </row>
        <row r="1281">
          <cell r="A1281">
            <v>1280</v>
          </cell>
          <cell r="B1281" t="str">
            <v>ja</v>
          </cell>
          <cell r="C1281" t="str">
            <v>聖装の始祖帝 クリスマス卑弥呼</v>
          </cell>
          <cell r="H1281" t="str">
            <v>blue</v>
          </cell>
          <cell r="I1281">
            <v>5</v>
          </cell>
          <cell r="J1281" t="str">
            <v>PremiumS</v>
          </cell>
          <cell r="K1281" t="str">
            <v>balance</v>
          </cell>
          <cell r="L1281" t="str">
            <v>バランスタイプ</v>
          </cell>
          <cell r="M1281" t="str">
            <v>human</v>
          </cell>
        </row>
        <row r="1282">
          <cell r="A1282">
            <v>1281</v>
          </cell>
          <cell r="B1282" t="str">
            <v>ja</v>
          </cell>
          <cell r="C1282" t="str">
            <v>愛贈の白魔 ノエル・エスタブ</v>
          </cell>
          <cell r="H1282" t="str">
            <v>green</v>
          </cell>
          <cell r="I1282">
            <v>5</v>
          </cell>
          <cell r="J1282" t="str">
            <v>PremiumS</v>
          </cell>
          <cell r="K1282" t="str">
            <v>attack</v>
          </cell>
          <cell r="L1282" t="str">
            <v>攻撃タイプ</v>
          </cell>
          <cell r="M1282" t="str">
            <v>human</v>
          </cell>
        </row>
        <row r="1283">
          <cell r="A1283">
            <v>1282</v>
          </cell>
          <cell r="B1283" t="str">
            <v>ja</v>
          </cell>
          <cell r="C1283" t="str">
            <v>ポーラとダニー</v>
          </cell>
          <cell r="H1283" t="str">
            <v>red</v>
          </cell>
          <cell r="I1283">
            <v>5</v>
          </cell>
          <cell r="J1283" t="str">
            <v>DropWizS</v>
          </cell>
          <cell r="K1283" t="str">
            <v>balance</v>
          </cell>
          <cell r="L1283" t="str">
            <v>バランスタイプ</v>
          </cell>
          <cell r="M1283" t="str">
            <v>unknown</v>
          </cell>
        </row>
        <row r="1284">
          <cell r="A1284">
            <v>1283</v>
          </cell>
          <cell r="B1284" t="str">
            <v>ja</v>
          </cell>
          <cell r="C1284" t="str">
            <v>連極の機関砲 ポーラとダニー</v>
          </cell>
          <cell r="H1284" t="str">
            <v>red</v>
          </cell>
          <cell r="I1284">
            <v>6</v>
          </cell>
          <cell r="J1284" t="str">
            <v>DropWizS</v>
          </cell>
          <cell r="K1284" t="str">
            <v>balance</v>
          </cell>
          <cell r="L1284" t="str">
            <v>バランスタイプ</v>
          </cell>
          <cell r="M1284" t="str">
            <v>unknown</v>
          </cell>
        </row>
        <row r="1285">
          <cell r="A1285">
            <v>1284</v>
          </cell>
          <cell r="B1285" t="str">
            <v>ja</v>
          </cell>
          <cell r="C1285" t="str">
            <v>マシン・シュプール</v>
          </cell>
          <cell r="H1285" t="str">
            <v>blue</v>
          </cell>
          <cell r="I1285">
            <v>5</v>
          </cell>
          <cell r="J1285" t="str">
            <v>DropWizS</v>
          </cell>
          <cell r="K1285" t="str">
            <v>hp</v>
          </cell>
          <cell r="L1285" t="str">
            <v>体力タイプ</v>
          </cell>
          <cell r="M1285" t="str">
            <v>unknown</v>
          </cell>
        </row>
        <row r="1286">
          <cell r="A1286">
            <v>1285</v>
          </cell>
          <cell r="B1286" t="str">
            <v>ja</v>
          </cell>
          <cell r="C1286" t="str">
            <v>災氷の魔導 シュプール</v>
          </cell>
          <cell r="H1286" t="str">
            <v>blue</v>
          </cell>
          <cell r="I1286">
            <v>6</v>
          </cell>
          <cell r="J1286" t="str">
            <v>DropWizS</v>
          </cell>
          <cell r="K1286" t="str">
            <v>hp</v>
          </cell>
          <cell r="L1286" t="str">
            <v>体力タイプ</v>
          </cell>
          <cell r="M1286" t="str">
            <v>unknown</v>
          </cell>
        </row>
        <row r="1287">
          <cell r="A1287">
            <v>1286</v>
          </cell>
          <cell r="B1287" t="str">
            <v>ja</v>
          </cell>
          <cell r="C1287" t="str">
            <v>ニコラ</v>
          </cell>
          <cell r="H1287" t="str">
            <v>yellow</v>
          </cell>
          <cell r="I1287">
            <v>5</v>
          </cell>
          <cell r="J1287" t="str">
            <v>PremiumSSS</v>
          </cell>
          <cell r="K1287" t="str">
            <v>hp</v>
          </cell>
          <cell r="L1287" t="str">
            <v>体力タイプ</v>
          </cell>
          <cell r="M1287" t="str">
            <v>human</v>
          </cell>
        </row>
        <row r="1288">
          <cell r="A1288">
            <v>1287</v>
          </cell>
          <cell r="B1288" t="str">
            <v>ja</v>
          </cell>
          <cell r="C1288" t="str">
            <v>奇蹟呼ぶ聖砲 ニコラ</v>
          </cell>
          <cell r="H1288" t="str">
            <v>yellow</v>
          </cell>
          <cell r="I1288">
            <v>6</v>
          </cell>
          <cell r="J1288" t="str">
            <v>PremiumSSS</v>
          </cell>
          <cell r="K1288" t="str">
            <v>hp</v>
          </cell>
          <cell r="L1288" t="str">
            <v>体力タイプ</v>
          </cell>
          <cell r="M1288" t="str">
            <v>human</v>
          </cell>
        </row>
        <row r="1289">
          <cell r="A1289">
            <v>1288</v>
          </cell>
          <cell r="B1289" t="str">
            <v>ja</v>
          </cell>
          <cell r="C1289" t="str">
            <v>聖伝の大主教 セント・ニコラ</v>
          </cell>
          <cell r="H1289" t="str">
            <v>yellow</v>
          </cell>
          <cell r="I1289">
            <v>6</v>
          </cell>
          <cell r="J1289" t="str">
            <v>PremiumSSS</v>
          </cell>
          <cell r="K1289" t="str">
            <v>hp</v>
          </cell>
          <cell r="L1289" t="str">
            <v>体力タイプ</v>
          </cell>
          <cell r="M1289" t="str">
            <v>human</v>
          </cell>
        </row>
        <row r="1290">
          <cell r="A1290">
            <v>1289</v>
          </cell>
          <cell r="B1290" t="str">
            <v>ja</v>
          </cell>
          <cell r="C1290" t="str">
            <v>聖封の褒装 ベルベット</v>
          </cell>
          <cell r="H1290" t="str">
            <v>blue</v>
          </cell>
          <cell r="I1290">
            <v>6</v>
          </cell>
          <cell r="J1290" t="str">
            <v>DropWizSSS</v>
          </cell>
          <cell r="K1290" t="str">
            <v>balance</v>
          </cell>
          <cell r="L1290" t="str">
            <v>バランスタイプ</v>
          </cell>
          <cell r="M1290" t="str">
            <v>unknown</v>
          </cell>
        </row>
        <row r="1291">
          <cell r="A1291">
            <v>1290</v>
          </cell>
          <cell r="B1291" t="str">
            <v>ja</v>
          </cell>
          <cell r="C1291" t="str">
            <v>想飾の響鐘 リンジー</v>
          </cell>
          <cell r="H1291" t="str">
            <v>blue</v>
          </cell>
          <cell r="I1291">
            <v>6</v>
          </cell>
          <cell r="J1291" t="str">
            <v>DropWizSSS</v>
          </cell>
          <cell r="K1291" t="str">
            <v>attack</v>
          </cell>
          <cell r="L1291" t="str">
            <v>攻撃タイプ</v>
          </cell>
          <cell r="M1291" t="str">
            <v>unknown</v>
          </cell>
        </row>
        <row r="1292">
          <cell r="A1292">
            <v>1291</v>
          </cell>
          <cell r="B1292" t="str">
            <v>ja</v>
          </cell>
          <cell r="C1292" t="str">
            <v>望雅の煌明鹿剣 勘兵衛</v>
          </cell>
          <cell r="H1292" t="str">
            <v>yellow</v>
          </cell>
          <cell r="I1292">
            <v>5</v>
          </cell>
          <cell r="J1292" t="str">
            <v>DropWizS</v>
          </cell>
          <cell r="K1292" t="str">
            <v>technical</v>
          </cell>
          <cell r="L1292" t="str">
            <v>テクニカルタイプ</v>
          </cell>
          <cell r="M1292" t="str">
            <v>animal</v>
          </cell>
        </row>
        <row r="1293">
          <cell r="A1293">
            <v>1292</v>
          </cell>
          <cell r="B1293" t="str">
            <v>ja</v>
          </cell>
          <cell r="C1293" t="str">
            <v>風光明媚の雅鹿剣 勘兵衛</v>
          </cell>
          <cell r="H1293" t="str">
            <v>yellow</v>
          </cell>
          <cell r="I1293">
            <v>6</v>
          </cell>
          <cell r="J1293" t="str">
            <v>DropWizS</v>
          </cell>
          <cell r="K1293" t="str">
            <v>technical</v>
          </cell>
          <cell r="L1293" t="str">
            <v>テクニカルタイプ</v>
          </cell>
          <cell r="M1293" t="str">
            <v>animal</v>
          </cell>
        </row>
        <row r="1294">
          <cell r="A1294">
            <v>1293</v>
          </cell>
          <cell r="B1294" t="str">
            <v>ja</v>
          </cell>
          <cell r="C1294" t="str">
            <v>トトリ</v>
          </cell>
          <cell r="H1294" t="str">
            <v>red</v>
          </cell>
          <cell r="I1294">
            <v>5</v>
          </cell>
          <cell r="J1294" t="str">
            <v>DropWizS</v>
          </cell>
          <cell r="K1294" t="str">
            <v>balance</v>
          </cell>
          <cell r="L1294" t="str">
            <v>バランスタイプ</v>
          </cell>
          <cell r="M1294" t="str">
            <v>animal</v>
          </cell>
        </row>
        <row r="1295">
          <cell r="A1295">
            <v>1294</v>
          </cell>
          <cell r="B1295" t="str">
            <v>ja</v>
          </cell>
          <cell r="C1295" t="str">
            <v>酉賀なる初飛翔 トトリ</v>
          </cell>
          <cell r="H1295" t="str">
            <v>red</v>
          </cell>
          <cell r="I1295">
            <v>6</v>
          </cell>
          <cell r="J1295" t="str">
            <v>DropWizS</v>
          </cell>
          <cell r="K1295" t="str">
            <v>balance</v>
          </cell>
          <cell r="L1295" t="str">
            <v>バランスタイプ</v>
          </cell>
          <cell r="M1295" t="str">
            <v>animal</v>
          </cell>
        </row>
        <row r="1296">
          <cell r="A1296">
            <v>1295</v>
          </cell>
          <cell r="B1296" t="str">
            <v>ja</v>
          </cell>
          <cell r="C1296" t="str">
            <v>星空の舞奏 ラビット・ユキネ</v>
          </cell>
          <cell r="H1296" t="str">
            <v>blue</v>
          </cell>
          <cell r="I1296">
            <v>5</v>
          </cell>
          <cell r="J1296" t="str">
            <v>DropWizS</v>
          </cell>
          <cell r="K1296" t="str">
            <v>balance</v>
          </cell>
          <cell r="L1296" t="str">
            <v>バランスタイプ</v>
          </cell>
          <cell r="M1296" t="str">
            <v>unknown</v>
          </cell>
        </row>
        <row r="1297">
          <cell r="A1297">
            <v>1296</v>
          </cell>
          <cell r="B1297" t="str">
            <v>ja</v>
          </cell>
          <cell r="C1297" t="str">
            <v>星々駆ける乱奏 ラビット・ユキネ</v>
          </cell>
          <cell r="H1297" t="str">
            <v>blue</v>
          </cell>
          <cell r="I1297">
            <v>6</v>
          </cell>
          <cell r="J1297" t="str">
            <v>DropWizS</v>
          </cell>
          <cell r="K1297" t="str">
            <v>balance</v>
          </cell>
          <cell r="L1297" t="str">
            <v>バランスタイプ</v>
          </cell>
          <cell r="M1297" t="str">
            <v>unknown</v>
          </cell>
        </row>
        <row r="1298">
          <cell r="A1298">
            <v>1297</v>
          </cell>
          <cell r="B1298" t="str">
            <v>ja</v>
          </cell>
          <cell r="C1298" t="str">
            <v>雪ミク2017</v>
          </cell>
          <cell r="H1298" t="str">
            <v>green</v>
          </cell>
          <cell r="I1298">
            <v>5</v>
          </cell>
          <cell r="J1298" t="str">
            <v>DropWizS</v>
          </cell>
          <cell r="K1298" t="str">
            <v>heal</v>
          </cell>
          <cell r="L1298" t="str">
            <v>回復タイプ</v>
          </cell>
          <cell r="M1298" t="str">
            <v>unknown</v>
          </cell>
        </row>
        <row r="1299">
          <cell r="A1299">
            <v>1298</v>
          </cell>
          <cell r="B1299" t="str">
            <v>ja</v>
          </cell>
          <cell r="C1299" t="str">
            <v>星空の歌姫 雪ミク2017</v>
          </cell>
          <cell r="H1299" t="str">
            <v>green</v>
          </cell>
          <cell r="I1299">
            <v>6</v>
          </cell>
          <cell r="J1299" t="str">
            <v>DropWizS</v>
          </cell>
          <cell r="K1299" t="str">
            <v>heal</v>
          </cell>
          <cell r="L1299" t="str">
            <v>回復タイプ</v>
          </cell>
          <cell r="M1299" t="str">
            <v>unknown</v>
          </cell>
        </row>
        <row r="1300">
          <cell r="A1300">
            <v>1299</v>
          </cell>
          <cell r="B1300" t="str">
            <v>ja</v>
          </cell>
          <cell r="C1300" t="str">
            <v>覚世の楽聖姫 初音ミクV3</v>
          </cell>
          <cell r="H1300" t="str">
            <v>yellow</v>
          </cell>
          <cell r="I1300">
            <v>6</v>
          </cell>
          <cell r="J1300" t="str">
            <v>DropWizS</v>
          </cell>
          <cell r="K1300" t="str">
            <v>balance</v>
          </cell>
          <cell r="L1300" t="str">
            <v>バランスタイプ</v>
          </cell>
          <cell r="M1300" t="str">
            <v>unknown</v>
          </cell>
        </row>
        <row r="1301">
          <cell r="A1301">
            <v>1300</v>
          </cell>
          <cell r="B1301" t="str">
            <v>ja</v>
          </cell>
          <cell r="C1301" t="str">
            <v>歌装の彩唱 紫式部</v>
          </cell>
          <cell r="H1301" t="str">
            <v>green</v>
          </cell>
          <cell r="I1301">
            <v>5</v>
          </cell>
          <cell r="J1301" t="str">
            <v>DropWizS</v>
          </cell>
          <cell r="K1301" t="str">
            <v>technical</v>
          </cell>
          <cell r="L1301" t="str">
            <v>テクニカルタイプ</v>
          </cell>
          <cell r="M1301" t="str">
            <v>unknown</v>
          </cell>
        </row>
        <row r="1302">
          <cell r="A1302">
            <v>1301</v>
          </cell>
          <cell r="B1302" t="str">
            <v>ja</v>
          </cell>
          <cell r="C1302" t="str">
            <v>歌装の萌響女 紫式部</v>
          </cell>
          <cell r="H1302" t="str">
            <v>green</v>
          </cell>
          <cell r="I1302">
            <v>6</v>
          </cell>
          <cell r="J1302" t="str">
            <v>DropWizS</v>
          </cell>
          <cell r="K1302" t="str">
            <v>technical</v>
          </cell>
          <cell r="L1302" t="str">
            <v>テクニカルタイプ</v>
          </cell>
          <cell r="M1302" t="str">
            <v>unknown</v>
          </cell>
        </row>
        <row r="1303">
          <cell r="A1303">
            <v>1302</v>
          </cell>
          <cell r="B1303" t="str">
            <v>ja</v>
          </cell>
          <cell r="C1303" t="str">
            <v>超天突符 イナバ</v>
          </cell>
          <cell r="H1303" t="str">
            <v>yellow</v>
          </cell>
          <cell r="I1303">
            <v>5</v>
          </cell>
          <cell r="J1303" t="str">
            <v>DropWizS</v>
          </cell>
          <cell r="K1303" t="str">
            <v>balance</v>
          </cell>
          <cell r="L1303" t="str">
            <v>バランスタイプ</v>
          </cell>
          <cell r="M1303" t="str">
            <v>unknown</v>
          </cell>
        </row>
        <row r="1304">
          <cell r="A1304">
            <v>1303</v>
          </cell>
          <cell r="B1304" t="str">
            <v>ja</v>
          </cell>
          <cell r="C1304" t="str">
            <v>転調･超天突符 イナバ</v>
          </cell>
          <cell r="H1304" t="str">
            <v>yellow</v>
          </cell>
          <cell r="I1304">
            <v>6</v>
          </cell>
          <cell r="J1304" t="str">
            <v>DropWizS</v>
          </cell>
          <cell r="K1304" t="str">
            <v>balance</v>
          </cell>
          <cell r="L1304" t="str">
            <v>バランスタイプ</v>
          </cell>
          <cell r="M1304" t="str">
            <v>unknown</v>
          </cell>
        </row>
        <row r="1305">
          <cell r="A1305">
            <v>1304</v>
          </cell>
          <cell r="B1305" t="str">
            <v>ja</v>
          </cell>
          <cell r="C1305" t="str">
            <v>演鼠の響笛音 ハーメルン</v>
          </cell>
          <cell r="H1305" t="str">
            <v>blue</v>
          </cell>
          <cell r="I1305">
            <v>5</v>
          </cell>
          <cell r="J1305" t="str">
            <v>DropWizS</v>
          </cell>
          <cell r="K1305" t="str">
            <v>technical</v>
          </cell>
          <cell r="L1305" t="str">
            <v>テクニカルタイプ</v>
          </cell>
          <cell r="M1305" t="str">
            <v>unknown</v>
          </cell>
        </row>
        <row r="1306">
          <cell r="A1306">
            <v>1305</v>
          </cell>
          <cell r="B1306" t="str">
            <v>ja</v>
          </cell>
          <cell r="C1306" t="str">
            <v>響界廻る睡鼠楽 ハーメルン</v>
          </cell>
          <cell r="H1306" t="str">
            <v>blue</v>
          </cell>
          <cell r="I1306">
            <v>6</v>
          </cell>
          <cell r="J1306" t="str">
            <v>DropWizS</v>
          </cell>
          <cell r="K1306" t="str">
            <v>technical</v>
          </cell>
          <cell r="L1306" t="str">
            <v>テクニカルタイプ</v>
          </cell>
          <cell r="M1306" t="str">
            <v>unknown</v>
          </cell>
        </row>
        <row r="1307">
          <cell r="A1307">
            <v>1306</v>
          </cell>
          <cell r="B1307" t="str">
            <v>ja</v>
          </cell>
          <cell r="C1307" t="str">
            <v>玉響の唱天 ルシファー</v>
          </cell>
          <cell r="H1307" t="str">
            <v>yellow</v>
          </cell>
          <cell r="I1307">
            <v>5</v>
          </cell>
          <cell r="J1307" t="str">
            <v>DropWizSS</v>
          </cell>
          <cell r="K1307" t="str">
            <v>attack</v>
          </cell>
          <cell r="L1307" t="str">
            <v>攻撃タイプ</v>
          </cell>
          <cell r="M1307" t="str">
            <v>unknown</v>
          </cell>
        </row>
        <row r="1308">
          <cell r="A1308">
            <v>1307</v>
          </cell>
          <cell r="B1308" t="str">
            <v>ja</v>
          </cell>
          <cell r="C1308" t="str">
            <v>彩翼の唱天史 ルシファー</v>
          </cell>
          <cell r="H1308" t="str">
            <v>yellow</v>
          </cell>
          <cell r="I1308">
            <v>6</v>
          </cell>
          <cell r="J1308" t="str">
            <v>DropWizSS</v>
          </cell>
          <cell r="K1308" t="str">
            <v>attack</v>
          </cell>
          <cell r="L1308" t="str">
            <v>攻撃タイプ</v>
          </cell>
          <cell r="M1308" t="str">
            <v>unknown</v>
          </cell>
        </row>
        <row r="1309">
          <cell r="A1309">
            <v>1308</v>
          </cell>
          <cell r="B1309" t="str">
            <v>ja</v>
          </cell>
          <cell r="C1309" t="str">
            <v>革鳴の響奏撃 初音ミク</v>
          </cell>
          <cell r="H1309" t="str">
            <v>green</v>
          </cell>
          <cell r="I1309">
            <v>6</v>
          </cell>
          <cell r="J1309" t="str">
            <v>PremiumSSS</v>
          </cell>
          <cell r="K1309" t="str">
            <v>balance</v>
          </cell>
          <cell r="L1309" t="str">
            <v>バランスタイプ</v>
          </cell>
          <cell r="M1309" t="str">
            <v>unknown</v>
          </cell>
        </row>
        <row r="1310">
          <cell r="A1310">
            <v>1309</v>
          </cell>
          <cell r="B1310" t="str">
            <v>ja</v>
          </cell>
          <cell r="C1310" t="str">
            <v>虹彩の美唱姫 初音ミク・アペンド</v>
          </cell>
          <cell r="H1310" t="str">
            <v>green</v>
          </cell>
          <cell r="I1310">
            <v>6</v>
          </cell>
          <cell r="J1310" t="str">
            <v>PremiumSSS</v>
          </cell>
          <cell r="K1310" t="str">
            <v>technical</v>
          </cell>
          <cell r="L1310" t="str">
            <v>テクニカルタイプ</v>
          </cell>
          <cell r="M1310" t="str">
            <v>unknown</v>
          </cell>
        </row>
        <row r="1311">
          <cell r="A1311">
            <v>1310</v>
          </cell>
          <cell r="B1311" t="str">
            <v>ja</v>
          </cell>
          <cell r="C1311" t="str">
            <v>聖律する歌姫 初音ミク・アペンド</v>
          </cell>
          <cell r="H1311" t="str">
            <v>green</v>
          </cell>
          <cell r="I1311">
            <v>6</v>
          </cell>
          <cell r="J1311" t="str">
            <v>PremiumSSS</v>
          </cell>
          <cell r="K1311" t="str">
            <v>attack</v>
          </cell>
          <cell r="L1311" t="str">
            <v>攻撃タイプ</v>
          </cell>
          <cell r="M1311" t="str">
            <v>unknown</v>
          </cell>
        </row>
        <row r="1312">
          <cell r="A1312">
            <v>1311</v>
          </cell>
          <cell r="B1312" t="str">
            <v>ja</v>
          </cell>
          <cell r="C1312" t="str">
            <v>輪音する大反響 鏡音リン</v>
          </cell>
          <cell r="H1312" t="str">
            <v>yellow</v>
          </cell>
          <cell r="I1312">
            <v>6</v>
          </cell>
          <cell r="J1312" t="str">
            <v>PremiumSS</v>
          </cell>
          <cell r="K1312" t="str">
            <v>balance</v>
          </cell>
          <cell r="L1312" t="str">
            <v>バランスタイプ</v>
          </cell>
          <cell r="M1312" t="str">
            <v>unknown</v>
          </cell>
        </row>
        <row r="1313">
          <cell r="A1313">
            <v>1312</v>
          </cell>
          <cell r="B1313" t="str">
            <v>ja</v>
          </cell>
          <cell r="C1313" t="str">
            <v>連譜する大残響 鏡音レン</v>
          </cell>
          <cell r="H1313" t="str">
            <v>yellow</v>
          </cell>
          <cell r="I1313">
            <v>6</v>
          </cell>
          <cell r="J1313" t="str">
            <v>PremiumSS</v>
          </cell>
          <cell r="K1313" t="str">
            <v>heal</v>
          </cell>
          <cell r="L1313" t="str">
            <v>回復タイプ</v>
          </cell>
          <cell r="M1313" t="str">
            <v>unknown</v>
          </cell>
        </row>
        <row r="1314">
          <cell r="A1314">
            <v>1313</v>
          </cell>
          <cell r="B1314" t="str">
            <v>ja</v>
          </cell>
          <cell r="C1314" t="str">
            <v>旋律する音廻 巡音ルカ</v>
          </cell>
          <cell r="H1314" t="str">
            <v>red</v>
          </cell>
          <cell r="I1314">
            <v>5</v>
          </cell>
          <cell r="J1314" t="str">
            <v>PremiumS</v>
          </cell>
          <cell r="K1314" t="str">
            <v>attack</v>
          </cell>
          <cell r="L1314" t="str">
            <v>攻撃タイプ</v>
          </cell>
          <cell r="M1314" t="str">
            <v>unknown</v>
          </cell>
        </row>
        <row r="1315">
          <cell r="A1315">
            <v>1314</v>
          </cell>
          <cell r="B1315" t="str">
            <v>ja</v>
          </cell>
          <cell r="C1315" t="str">
            <v>救声の唱動 MEIKO</v>
          </cell>
          <cell r="H1315" t="str">
            <v>red</v>
          </cell>
          <cell r="I1315">
            <v>5</v>
          </cell>
          <cell r="J1315" t="str">
            <v>PremiumS</v>
          </cell>
          <cell r="K1315" t="str">
            <v>hp</v>
          </cell>
          <cell r="L1315" t="str">
            <v>体力タイプ</v>
          </cell>
          <cell r="M1315" t="str">
            <v>unknown</v>
          </cell>
        </row>
        <row r="1316">
          <cell r="A1316">
            <v>1315</v>
          </cell>
          <cell r="B1316" t="str">
            <v>ja</v>
          </cell>
          <cell r="C1316" t="str">
            <v>快響の楽唱歌 KAITO</v>
          </cell>
          <cell r="H1316" t="str">
            <v>blue</v>
          </cell>
          <cell r="I1316">
            <v>5</v>
          </cell>
          <cell r="J1316" t="str">
            <v>PremiumS</v>
          </cell>
          <cell r="K1316" t="str">
            <v>technical</v>
          </cell>
          <cell r="L1316" t="str">
            <v>テクニカルタイプ</v>
          </cell>
          <cell r="M1316" t="str">
            <v>unknown</v>
          </cell>
        </row>
        <row r="1317">
          <cell r="A1317">
            <v>1316</v>
          </cell>
          <cell r="B1317" t="str">
            <v>ja</v>
          </cell>
          <cell r="C1317" t="str">
            <v>初音ミクV4X</v>
          </cell>
          <cell r="H1317" t="str">
            <v>green</v>
          </cell>
          <cell r="I1317">
            <v>5</v>
          </cell>
          <cell r="J1317" t="str">
            <v>PremiumSSS</v>
          </cell>
          <cell r="K1317" t="str">
            <v>balance</v>
          </cell>
          <cell r="L1317" t="str">
            <v>バランスタイプ</v>
          </cell>
          <cell r="M1317" t="str">
            <v>unknown</v>
          </cell>
        </row>
        <row r="1318">
          <cell r="A1318">
            <v>1317</v>
          </cell>
          <cell r="B1318" t="str">
            <v>ja</v>
          </cell>
          <cell r="C1318" t="str">
            <v>進歌する声域 初音ミクV4X</v>
          </cell>
          <cell r="H1318" t="str">
            <v>green</v>
          </cell>
          <cell r="I1318">
            <v>6</v>
          </cell>
          <cell r="J1318" t="str">
            <v>PremiumSSS</v>
          </cell>
          <cell r="K1318" t="str">
            <v>balance</v>
          </cell>
          <cell r="L1318" t="str">
            <v>バランスタイプ</v>
          </cell>
          <cell r="M1318" t="str">
            <v>unknown</v>
          </cell>
        </row>
        <row r="1319">
          <cell r="A1319">
            <v>1318</v>
          </cell>
          <cell r="B1319" t="str">
            <v>ja</v>
          </cell>
          <cell r="C1319" t="str">
            <v>鏡音リンV4X</v>
          </cell>
          <cell r="H1319" t="str">
            <v>yellow</v>
          </cell>
          <cell r="I1319">
            <v>5</v>
          </cell>
          <cell r="J1319" t="str">
            <v>PremiumSS</v>
          </cell>
          <cell r="K1319" t="str">
            <v>heal</v>
          </cell>
          <cell r="L1319" t="str">
            <v>回復タイプ</v>
          </cell>
          <cell r="M1319" t="str">
            <v>unknown</v>
          </cell>
        </row>
        <row r="1320">
          <cell r="A1320">
            <v>1319</v>
          </cell>
          <cell r="B1320" t="str">
            <v>ja</v>
          </cell>
          <cell r="C1320" t="str">
            <v>甘恋の激唱歌 鏡音リンV4X</v>
          </cell>
          <cell r="H1320" t="str">
            <v>yellow</v>
          </cell>
          <cell r="I1320">
            <v>6</v>
          </cell>
          <cell r="J1320" t="str">
            <v>PremiumSS</v>
          </cell>
          <cell r="K1320" t="str">
            <v>heal</v>
          </cell>
          <cell r="L1320" t="str">
            <v>回復タイプ</v>
          </cell>
          <cell r="M1320" t="str">
            <v>unknown</v>
          </cell>
        </row>
        <row r="1321">
          <cell r="A1321">
            <v>1320</v>
          </cell>
          <cell r="B1321" t="str">
            <v>ja</v>
          </cell>
          <cell r="C1321" t="str">
            <v>鏡音レンV4X</v>
          </cell>
          <cell r="H1321" t="str">
            <v>yellow</v>
          </cell>
          <cell r="I1321">
            <v>5</v>
          </cell>
          <cell r="J1321" t="str">
            <v>PremiumSS</v>
          </cell>
          <cell r="K1321" t="str">
            <v>balance</v>
          </cell>
          <cell r="L1321" t="str">
            <v>バランスタイプ</v>
          </cell>
          <cell r="M1321" t="str">
            <v>unknown</v>
          </cell>
        </row>
        <row r="1322">
          <cell r="A1322">
            <v>1321</v>
          </cell>
          <cell r="B1322" t="str">
            <v>ja</v>
          </cell>
          <cell r="C1322" t="str">
            <v>純凛の柔唱歌 鏡音レンV4X</v>
          </cell>
          <cell r="H1322" t="str">
            <v>yellow</v>
          </cell>
          <cell r="I1322">
            <v>6</v>
          </cell>
          <cell r="J1322" t="str">
            <v>PremiumSS</v>
          </cell>
          <cell r="K1322" t="str">
            <v>balance</v>
          </cell>
          <cell r="L1322" t="str">
            <v>バランスタイプ</v>
          </cell>
          <cell r="M1322" t="str">
            <v>unknown</v>
          </cell>
        </row>
        <row r="1323">
          <cell r="A1323">
            <v>1322</v>
          </cell>
          <cell r="B1323" t="str">
            <v>ja</v>
          </cell>
          <cell r="C1323" t="str">
            <v>巡音ルカV4X</v>
          </cell>
          <cell r="H1323" t="str">
            <v>red</v>
          </cell>
          <cell r="I1323">
            <v>5</v>
          </cell>
          <cell r="J1323" t="str">
            <v>PremiumSS</v>
          </cell>
          <cell r="K1323" t="str">
            <v>balance</v>
          </cell>
          <cell r="L1323" t="str">
            <v>バランスタイプ</v>
          </cell>
          <cell r="M1323" t="str">
            <v>unknown</v>
          </cell>
        </row>
        <row r="1324">
          <cell r="A1324">
            <v>1323</v>
          </cell>
          <cell r="B1324" t="str">
            <v>ja</v>
          </cell>
          <cell r="C1324" t="str">
            <v>吐鳴する響惹 巡音ルカV4X</v>
          </cell>
          <cell r="H1324" t="str">
            <v>red</v>
          </cell>
          <cell r="I1324">
            <v>6</v>
          </cell>
          <cell r="J1324" t="str">
            <v>PremiumSS</v>
          </cell>
          <cell r="K1324" t="str">
            <v>balance</v>
          </cell>
          <cell r="L1324" t="str">
            <v>バランスタイプ</v>
          </cell>
          <cell r="M1324" t="str">
            <v>unknown</v>
          </cell>
        </row>
        <row r="1325">
          <cell r="A1325">
            <v>1324</v>
          </cell>
          <cell r="B1325" t="str">
            <v>ja</v>
          </cell>
          <cell r="C1325" t="str">
            <v>アウリ</v>
          </cell>
          <cell r="H1325" t="str">
            <v>green</v>
          </cell>
          <cell r="I1325">
            <v>4</v>
          </cell>
          <cell r="J1325" t="str">
            <v>Drop2N</v>
          </cell>
          <cell r="K1325" t="str">
            <v>balance</v>
          </cell>
          <cell r="L1325" t="str">
            <v>バランスタイプ</v>
          </cell>
          <cell r="M1325" t="str">
            <v>animal</v>
          </cell>
        </row>
        <row r="1326">
          <cell r="A1326">
            <v>1325</v>
          </cell>
          <cell r="B1326" t="str">
            <v>ja</v>
          </cell>
          <cell r="C1326" t="str">
            <v>阿吽の神護犬 アウリ</v>
          </cell>
          <cell r="H1326" t="str">
            <v>green</v>
          </cell>
          <cell r="I1326">
            <v>5</v>
          </cell>
          <cell r="J1326" t="str">
            <v>Drop2N</v>
          </cell>
          <cell r="K1326" t="str">
            <v>balance</v>
          </cell>
          <cell r="L1326" t="str">
            <v>バランスタイプ</v>
          </cell>
          <cell r="M1326" t="str">
            <v>animal</v>
          </cell>
        </row>
        <row r="1327">
          <cell r="A1327">
            <v>1326</v>
          </cell>
          <cell r="B1327" t="str">
            <v>ja</v>
          </cell>
          <cell r="C1327" t="str">
            <v>ワカヒルメ</v>
          </cell>
          <cell r="H1327" t="str">
            <v>green</v>
          </cell>
          <cell r="I1327">
            <v>5</v>
          </cell>
          <cell r="J1327" t="str">
            <v>DropWizS</v>
          </cell>
          <cell r="K1327" t="str">
            <v>hp</v>
          </cell>
          <cell r="L1327" t="str">
            <v>体力タイプ</v>
          </cell>
          <cell r="M1327" t="str">
            <v>god</v>
          </cell>
        </row>
        <row r="1328">
          <cell r="A1328">
            <v>1327</v>
          </cell>
          <cell r="B1328" t="str">
            <v>ja</v>
          </cell>
          <cell r="C1328" t="str">
            <v>織神衣の幼神 ワカヒルメ</v>
          </cell>
          <cell r="H1328" t="str">
            <v>green</v>
          </cell>
          <cell r="I1328">
            <v>6</v>
          </cell>
          <cell r="J1328" t="str">
            <v>DropWizS</v>
          </cell>
          <cell r="K1328" t="str">
            <v>hp</v>
          </cell>
          <cell r="L1328" t="str">
            <v>体力タイプ</v>
          </cell>
          <cell r="M1328" t="str">
            <v>god</v>
          </cell>
        </row>
        <row r="1329">
          <cell r="A1329">
            <v>1328</v>
          </cell>
          <cell r="B1329" t="str">
            <v>ja</v>
          </cell>
          <cell r="C1329" t="str">
            <v>ヒノカグツチ</v>
          </cell>
          <cell r="H1329" t="str">
            <v>red</v>
          </cell>
          <cell r="I1329">
            <v>5</v>
          </cell>
          <cell r="J1329" t="str">
            <v>DropWizS</v>
          </cell>
          <cell r="K1329" t="str">
            <v>attack</v>
          </cell>
          <cell r="L1329" t="str">
            <v>攻撃タイプ</v>
          </cell>
          <cell r="M1329" t="str">
            <v>god</v>
          </cell>
        </row>
        <row r="1330">
          <cell r="A1330">
            <v>1329</v>
          </cell>
          <cell r="B1330" t="str">
            <v>ja</v>
          </cell>
          <cell r="C1330" t="str">
            <v>神抗の火産霊 ヒノカグツチ</v>
          </cell>
          <cell r="H1330" t="str">
            <v>red</v>
          </cell>
          <cell r="I1330">
            <v>6</v>
          </cell>
          <cell r="J1330" t="str">
            <v>DropWizS</v>
          </cell>
          <cell r="K1330" t="str">
            <v>attack</v>
          </cell>
          <cell r="L1330" t="str">
            <v>攻撃タイプ</v>
          </cell>
          <cell r="M1330" t="str">
            <v>god</v>
          </cell>
        </row>
        <row r="1331">
          <cell r="A1331">
            <v>1330</v>
          </cell>
          <cell r="B1331" t="str">
            <v>ja</v>
          </cell>
          <cell r="C1331" t="str">
            <v>スサノオ</v>
          </cell>
          <cell r="H1331" t="str">
            <v>yellow</v>
          </cell>
          <cell r="I1331">
            <v>5</v>
          </cell>
          <cell r="J1331" t="str">
            <v>DropWizSS</v>
          </cell>
          <cell r="K1331" t="str">
            <v>balance</v>
          </cell>
          <cell r="L1331" t="str">
            <v>バランスタイプ</v>
          </cell>
          <cell r="M1331" t="str">
            <v>hero</v>
          </cell>
        </row>
        <row r="1332">
          <cell r="A1332">
            <v>1331</v>
          </cell>
          <cell r="B1332" t="str">
            <v>ja</v>
          </cell>
          <cell r="C1332" t="str">
            <v>傑戦の大強神 スサノオ</v>
          </cell>
          <cell r="H1332" t="str">
            <v>yellow</v>
          </cell>
          <cell r="I1332">
            <v>6</v>
          </cell>
          <cell r="J1332" t="str">
            <v>DropWizSS</v>
          </cell>
          <cell r="K1332" t="str">
            <v>balance</v>
          </cell>
          <cell r="L1332" t="str">
            <v>バランスタイプ</v>
          </cell>
          <cell r="M1332" t="str">
            <v>hero</v>
          </cell>
        </row>
        <row r="1333">
          <cell r="A1333">
            <v>1332</v>
          </cell>
          <cell r="B1333" t="str">
            <v>ja</v>
          </cell>
          <cell r="C1333" t="str">
            <v>クシナダヒメ</v>
          </cell>
          <cell r="H1333" t="str">
            <v>red</v>
          </cell>
          <cell r="I1333">
            <v>5</v>
          </cell>
          <cell r="J1333" t="str">
            <v>PremiumSSw</v>
          </cell>
          <cell r="K1333" t="str">
            <v>hp</v>
          </cell>
          <cell r="L1333" t="str">
            <v>体力タイプ</v>
          </cell>
          <cell r="M1333" t="str">
            <v>god</v>
          </cell>
        </row>
        <row r="1334">
          <cell r="A1334">
            <v>1333</v>
          </cell>
          <cell r="B1334" t="str">
            <v>ja</v>
          </cell>
          <cell r="C1334" t="str">
            <v>神心を射る穂神 クシナダヒメ</v>
          </cell>
          <cell r="H1334" t="str">
            <v>red</v>
          </cell>
          <cell r="I1334">
            <v>6</v>
          </cell>
          <cell r="J1334" t="str">
            <v>PremiumSSw</v>
          </cell>
          <cell r="K1334" t="str">
            <v>hp</v>
          </cell>
          <cell r="L1334" t="str">
            <v>体力タイプ</v>
          </cell>
          <cell r="M1334" t="str">
            <v>god</v>
          </cell>
        </row>
        <row r="1335">
          <cell r="A1335">
            <v>1334</v>
          </cell>
          <cell r="B1335" t="str">
            <v>ja</v>
          </cell>
          <cell r="C1335" t="str">
            <v>タマヨリヒメ</v>
          </cell>
          <cell r="H1335" t="str">
            <v>green</v>
          </cell>
          <cell r="I1335">
            <v>4</v>
          </cell>
          <cell r="J1335" t="str">
            <v>PremiumS</v>
          </cell>
          <cell r="K1335" t="str">
            <v>heal</v>
          </cell>
          <cell r="L1335" t="str">
            <v>回復タイプ</v>
          </cell>
          <cell r="M1335" t="str">
            <v>god</v>
          </cell>
        </row>
        <row r="1336">
          <cell r="A1336">
            <v>1335</v>
          </cell>
          <cell r="B1336" t="str">
            <v>ja</v>
          </cell>
          <cell r="C1336" t="str">
            <v>霊司の神憑 タマヨリヒメ</v>
          </cell>
          <cell r="H1336" t="str">
            <v>green</v>
          </cell>
          <cell r="I1336">
            <v>5</v>
          </cell>
          <cell r="J1336" t="str">
            <v>PremiumS</v>
          </cell>
          <cell r="K1336" t="str">
            <v>heal</v>
          </cell>
          <cell r="L1336" t="str">
            <v>回復タイプ</v>
          </cell>
          <cell r="M1336" t="str">
            <v>god</v>
          </cell>
        </row>
        <row r="1337">
          <cell r="A1337">
            <v>1336</v>
          </cell>
          <cell r="B1337" t="str">
            <v>ja</v>
          </cell>
          <cell r="C1337" t="str">
            <v>イザナギ</v>
          </cell>
          <cell r="H1337" t="str">
            <v>blue</v>
          </cell>
          <cell r="I1337">
            <v>5</v>
          </cell>
          <cell r="J1337" t="str">
            <v>PremiumSS</v>
          </cell>
          <cell r="K1337" t="str">
            <v>technical</v>
          </cell>
          <cell r="L1337" t="str">
            <v>テクニカルタイプ</v>
          </cell>
          <cell r="M1337" t="str">
            <v>god</v>
          </cell>
        </row>
        <row r="1338">
          <cell r="A1338">
            <v>1337</v>
          </cell>
          <cell r="B1338" t="str">
            <v>ja</v>
          </cell>
          <cell r="C1338" t="str">
            <v>成命の綜父神 イザナギ</v>
          </cell>
          <cell r="H1338" t="str">
            <v>blue</v>
          </cell>
          <cell r="I1338">
            <v>6</v>
          </cell>
          <cell r="J1338" t="str">
            <v>PremiumSS</v>
          </cell>
          <cell r="K1338" t="str">
            <v>technical</v>
          </cell>
          <cell r="L1338" t="str">
            <v>テクニカルタイプ</v>
          </cell>
          <cell r="M1338" t="str">
            <v>god</v>
          </cell>
        </row>
        <row r="1339">
          <cell r="A1339">
            <v>1338</v>
          </cell>
          <cell r="B1339" t="str">
            <v>ja</v>
          </cell>
          <cell r="C1339" t="str">
            <v>アメノウズメ</v>
          </cell>
          <cell r="H1339" t="str">
            <v>yellow</v>
          </cell>
          <cell r="I1339">
            <v>5</v>
          </cell>
          <cell r="J1339" t="str">
            <v>PremiumSS</v>
          </cell>
          <cell r="K1339" t="str">
            <v>attack</v>
          </cell>
          <cell r="L1339" t="str">
            <v>攻撃タイプ</v>
          </cell>
          <cell r="M1339" t="str">
            <v>god</v>
          </cell>
        </row>
        <row r="1340">
          <cell r="A1340">
            <v>1339</v>
          </cell>
          <cell r="B1340" t="str">
            <v>ja</v>
          </cell>
          <cell r="C1340" t="str">
            <v>復古の舞芸神 アメノウズメ</v>
          </cell>
          <cell r="H1340" t="str">
            <v>yellow</v>
          </cell>
          <cell r="I1340">
            <v>6</v>
          </cell>
          <cell r="J1340" t="str">
            <v>PremiumSS</v>
          </cell>
          <cell r="K1340" t="str">
            <v>attack</v>
          </cell>
          <cell r="L1340" t="str">
            <v>攻撃タイプ</v>
          </cell>
          <cell r="M1340" t="str">
            <v>god</v>
          </cell>
        </row>
        <row r="1341">
          <cell r="A1341">
            <v>1340</v>
          </cell>
          <cell r="B1341" t="str">
            <v>ja</v>
          </cell>
          <cell r="C1341" t="str">
            <v>ハレー</v>
          </cell>
          <cell r="H1341" t="str">
            <v>green</v>
          </cell>
          <cell r="I1341">
            <v>5</v>
          </cell>
          <cell r="J1341" t="str">
            <v>PremiumSSS</v>
          </cell>
          <cell r="K1341" t="str">
            <v>balance</v>
          </cell>
          <cell r="L1341" t="str">
            <v>バランスタイプ</v>
          </cell>
          <cell r="M1341" t="str">
            <v>academia</v>
          </cell>
        </row>
        <row r="1342">
          <cell r="A1342">
            <v>1341</v>
          </cell>
          <cell r="B1342" t="str">
            <v>ja</v>
          </cell>
          <cell r="C1342" t="str">
            <v>攻核の翠星機導 ハレー</v>
          </cell>
          <cell r="H1342" t="str">
            <v>green</v>
          </cell>
          <cell r="I1342">
            <v>6</v>
          </cell>
          <cell r="J1342" t="str">
            <v>PremiumSSS</v>
          </cell>
          <cell r="K1342" t="str">
            <v>balance</v>
          </cell>
          <cell r="L1342" t="str">
            <v>バランスタイプ</v>
          </cell>
          <cell r="M1342" t="str">
            <v>academia</v>
          </cell>
        </row>
        <row r="1343">
          <cell r="A1343">
            <v>1342</v>
          </cell>
          <cell r="B1343" t="str">
            <v>ja</v>
          </cell>
          <cell r="C1343" t="str">
            <v>PvP報酬_赤</v>
          </cell>
          <cell r="H1343" t="str">
            <v>red</v>
          </cell>
          <cell r="I1343">
            <v>5</v>
          </cell>
          <cell r="J1343" t="str">
            <v>DropWizS</v>
          </cell>
          <cell r="K1343" t="str">
            <v>attack</v>
          </cell>
          <cell r="L1343" t="str">
            <v>攻撃タイプ</v>
          </cell>
          <cell r="M1343" t="str">
            <v>human</v>
          </cell>
        </row>
        <row r="1344">
          <cell r="A1344">
            <v>1343</v>
          </cell>
          <cell r="B1344" t="str">
            <v>ja</v>
          </cell>
          <cell r="C1344" t="str">
            <v>PvP報酬_赤</v>
          </cell>
          <cell r="H1344" t="str">
            <v>red</v>
          </cell>
          <cell r="I1344">
            <v>6</v>
          </cell>
          <cell r="J1344" t="str">
            <v>DropWizS</v>
          </cell>
          <cell r="K1344" t="str">
            <v>attack</v>
          </cell>
          <cell r="L1344" t="str">
            <v>攻撃タイプ</v>
          </cell>
          <cell r="M1344" t="str">
            <v>human</v>
          </cell>
        </row>
        <row r="1345">
          <cell r="A1345">
            <v>1344</v>
          </cell>
          <cell r="B1345" t="str">
            <v>ja</v>
          </cell>
          <cell r="C1345" t="str">
            <v>空き</v>
          </cell>
          <cell r="H1345" t="str">
            <v>blue</v>
          </cell>
          <cell r="I1345">
            <v>5</v>
          </cell>
          <cell r="J1345" t="str">
            <v>PremiumSSw</v>
          </cell>
          <cell r="K1345" t="str">
            <v>technical</v>
          </cell>
          <cell r="L1345" t="str">
            <v>テクニカルタイプ</v>
          </cell>
          <cell r="M1345" t="str">
            <v>hero</v>
          </cell>
        </row>
        <row r="1346">
          <cell r="A1346">
            <v>1345</v>
          </cell>
          <cell r="B1346" t="str">
            <v>ja</v>
          </cell>
          <cell r="C1346" t="str">
            <v>空き</v>
          </cell>
          <cell r="H1346" t="str">
            <v>blue</v>
          </cell>
          <cell r="I1346">
            <v>6</v>
          </cell>
          <cell r="J1346" t="str">
            <v>PremiumSSw</v>
          </cell>
          <cell r="K1346" t="str">
            <v>technical</v>
          </cell>
          <cell r="L1346" t="str">
            <v>テクニカルタイプ</v>
          </cell>
          <cell r="M1346" t="str">
            <v>hero</v>
          </cell>
        </row>
        <row r="1347">
          <cell r="A1347">
            <v>1346</v>
          </cell>
          <cell r="B1347" t="str">
            <v>ja</v>
          </cell>
          <cell r="C1347" t="str">
            <v>PvP報酬_青</v>
          </cell>
          <cell r="H1347" t="str">
            <v>blue</v>
          </cell>
          <cell r="I1347">
            <v>5</v>
          </cell>
          <cell r="J1347" t="str">
            <v>DropWizS</v>
          </cell>
          <cell r="K1347" t="str">
            <v>attack</v>
          </cell>
          <cell r="L1347" t="str">
            <v>攻撃タイプ</v>
          </cell>
          <cell r="M1347" t="str">
            <v>human</v>
          </cell>
        </row>
        <row r="1348">
          <cell r="A1348">
            <v>1347</v>
          </cell>
          <cell r="B1348" t="str">
            <v>ja</v>
          </cell>
          <cell r="C1348" t="str">
            <v>PvP報酬_青</v>
          </cell>
          <cell r="H1348" t="str">
            <v>blue</v>
          </cell>
          <cell r="I1348">
            <v>6</v>
          </cell>
          <cell r="J1348" t="str">
            <v>DropWizS</v>
          </cell>
          <cell r="K1348" t="str">
            <v>attack</v>
          </cell>
          <cell r="L1348" t="str">
            <v>攻撃タイプ</v>
          </cell>
          <cell r="M1348" t="str">
            <v>human</v>
          </cell>
        </row>
        <row r="1349">
          <cell r="A1349">
            <v>1348</v>
          </cell>
          <cell r="B1349" t="str">
            <v>ja</v>
          </cell>
          <cell r="C1349" t="str">
            <v>パウリ</v>
          </cell>
          <cell r="H1349" t="str">
            <v>green</v>
          </cell>
          <cell r="I1349">
            <v>5</v>
          </cell>
          <cell r="J1349" t="str">
            <v>PremiumSSS</v>
          </cell>
          <cell r="K1349" t="str">
            <v>hp</v>
          </cell>
          <cell r="L1349" t="str">
            <v>体力タイプ</v>
          </cell>
          <cell r="M1349" t="str">
            <v>academia</v>
          </cell>
        </row>
        <row r="1350">
          <cell r="A1350">
            <v>1349</v>
          </cell>
          <cell r="B1350" t="str">
            <v>ja</v>
          </cell>
          <cell r="C1350" t="str">
            <v>機壊の輪旋 パウリ</v>
          </cell>
          <cell r="H1350" t="str">
            <v>green</v>
          </cell>
          <cell r="I1350">
            <v>6</v>
          </cell>
          <cell r="J1350" t="str">
            <v>PremiumSSS</v>
          </cell>
          <cell r="K1350" t="str">
            <v>hp</v>
          </cell>
          <cell r="L1350" t="str">
            <v>体力タイプ</v>
          </cell>
          <cell r="M1350" t="str">
            <v>academia</v>
          </cell>
        </row>
        <row r="1351">
          <cell r="A1351">
            <v>1350</v>
          </cell>
          <cell r="B1351" t="str">
            <v>ja</v>
          </cell>
          <cell r="C1351" t="str">
            <v>ブラウニーR5</v>
          </cell>
          <cell r="H1351" t="str">
            <v>red</v>
          </cell>
          <cell r="I1351">
            <v>5</v>
          </cell>
          <cell r="J1351" t="str">
            <v>DropWizS</v>
          </cell>
          <cell r="K1351" t="str">
            <v>attack</v>
          </cell>
          <cell r="L1351" t="str">
            <v>攻撃タイプ</v>
          </cell>
          <cell r="M1351" t="str">
            <v>human</v>
          </cell>
        </row>
        <row r="1352">
          <cell r="A1352">
            <v>1351</v>
          </cell>
          <cell r="B1352" t="str">
            <v>ja</v>
          </cell>
          <cell r="C1352" t="str">
            <v>甘頬の魔糖菓 プラリーヌ</v>
          </cell>
          <cell r="H1352" t="str">
            <v>red</v>
          </cell>
          <cell r="I1352">
            <v>6</v>
          </cell>
          <cell r="J1352" t="str">
            <v>DropWizS</v>
          </cell>
          <cell r="K1352" t="str">
            <v>technical</v>
          </cell>
          <cell r="L1352" t="str">
            <v>テクニカルタイプ</v>
          </cell>
          <cell r="M1352" t="str">
            <v>human</v>
          </cell>
        </row>
        <row r="1353">
          <cell r="A1353">
            <v>1352</v>
          </cell>
          <cell r="B1353" t="str">
            <v>ja</v>
          </cell>
          <cell r="C1353" t="str">
            <v>トウカ</v>
          </cell>
          <cell r="H1353" t="str">
            <v>blue</v>
          </cell>
          <cell r="I1353">
            <v>5</v>
          </cell>
          <cell r="J1353" t="str">
            <v>PremiumSSw</v>
          </cell>
          <cell r="K1353" t="str">
            <v>technical</v>
          </cell>
          <cell r="L1353" t="str">
            <v>テクニカルタイプ</v>
          </cell>
          <cell r="M1353" t="str">
            <v>human</v>
          </cell>
        </row>
        <row r="1354">
          <cell r="A1354">
            <v>1353</v>
          </cell>
          <cell r="B1354" t="str">
            <v>ja</v>
          </cell>
          <cell r="C1354" t="str">
            <v>恋待つ帰り道 トウカ</v>
          </cell>
          <cell r="H1354" t="str">
            <v>blue</v>
          </cell>
          <cell r="I1354">
            <v>6</v>
          </cell>
          <cell r="J1354" t="str">
            <v>PremiumSSw</v>
          </cell>
          <cell r="K1354" t="str">
            <v>technical</v>
          </cell>
          <cell r="L1354" t="str">
            <v>テクニカルタイプ</v>
          </cell>
          <cell r="M1354" t="str">
            <v>human</v>
          </cell>
        </row>
        <row r="1355">
          <cell r="A1355">
            <v>1354</v>
          </cell>
          <cell r="B1355" t="str">
            <v>ja</v>
          </cell>
          <cell r="C1355" t="str">
            <v>放課後の恋妃神 フレイヤ</v>
          </cell>
          <cell r="H1355" t="str">
            <v>green</v>
          </cell>
          <cell r="I1355">
            <v>6</v>
          </cell>
          <cell r="J1355" t="str">
            <v>PremiumSS</v>
          </cell>
          <cell r="K1355" t="str">
            <v>heal</v>
          </cell>
          <cell r="L1355" t="str">
            <v>回復タイプ</v>
          </cell>
          <cell r="M1355" t="str">
            <v>animal</v>
          </cell>
        </row>
        <row r="1356">
          <cell r="A1356">
            <v>1355</v>
          </cell>
          <cell r="B1356" t="str">
            <v>ja</v>
          </cell>
          <cell r="C1356" t="str">
            <v>恋する燦天使 メタトロン・エモ</v>
          </cell>
          <cell r="H1356" t="str">
            <v>yellow</v>
          </cell>
          <cell r="I1356">
            <v>6</v>
          </cell>
          <cell r="J1356" t="str">
            <v>PremiumSS</v>
          </cell>
          <cell r="K1356" t="str">
            <v>balance</v>
          </cell>
          <cell r="L1356" t="str">
            <v>バランスタイプ</v>
          </cell>
          <cell r="M1356" t="str">
            <v>god</v>
          </cell>
        </row>
        <row r="1357">
          <cell r="A1357">
            <v>1356</v>
          </cell>
          <cell r="B1357" t="str">
            <v>ja</v>
          </cell>
          <cell r="C1357" t="str">
            <v>恋狐の甘味振舞 タマモ</v>
          </cell>
          <cell r="H1357" t="str">
            <v>red</v>
          </cell>
          <cell r="I1357">
            <v>5</v>
          </cell>
          <cell r="J1357" t="str">
            <v>PremiumS</v>
          </cell>
          <cell r="K1357" t="str">
            <v>balance</v>
          </cell>
          <cell r="L1357" t="str">
            <v>バランスタイプ</v>
          </cell>
          <cell r="M1357" t="str">
            <v>animal</v>
          </cell>
        </row>
        <row r="1358">
          <cell r="A1358">
            <v>1357</v>
          </cell>
          <cell r="B1358" t="str">
            <v>ja</v>
          </cell>
          <cell r="C1358" t="str">
            <v>甘美なる想導司書 アズラエル</v>
          </cell>
          <cell r="H1358" t="str">
            <v>blue</v>
          </cell>
          <cell r="I1358">
            <v>5</v>
          </cell>
          <cell r="J1358" t="str">
            <v>PremiumS</v>
          </cell>
          <cell r="K1358" t="str">
            <v>balance</v>
          </cell>
          <cell r="L1358" t="str">
            <v>バランスタイプ</v>
          </cell>
          <cell r="M1358" t="str">
            <v>god</v>
          </cell>
        </row>
        <row r="1359">
          <cell r="A1359">
            <v>1358</v>
          </cell>
          <cell r="B1359" t="str">
            <v>ja</v>
          </cell>
          <cell r="C1359" t="str">
            <v>暴走する恋激火 バハムート</v>
          </cell>
          <cell r="H1359" t="str">
            <v>yellow</v>
          </cell>
          <cell r="I1359">
            <v>5</v>
          </cell>
          <cell r="J1359" t="str">
            <v>PremiumS</v>
          </cell>
          <cell r="K1359" t="str">
            <v>heal</v>
          </cell>
          <cell r="L1359" t="str">
            <v>回復タイプ</v>
          </cell>
          <cell r="M1359" t="str">
            <v>dragon</v>
          </cell>
        </row>
        <row r="1360">
          <cell r="A1360">
            <v>1359</v>
          </cell>
          <cell r="B1360" t="str">
            <v>ja</v>
          </cell>
          <cell r="C1360" t="str">
            <v>コルネ</v>
          </cell>
          <cell r="H1360" t="str">
            <v>red</v>
          </cell>
          <cell r="I1360">
            <v>5</v>
          </cell>
          <cell r="J1360" t="str">
            <v>PremiumSS</v>
          </cell>
          <cell r="K1360" t="str">
            <v>balance</v>
          </cell>
          <cell r="L1360" t="str">
            <v>バランスタイプ</v>
          </cell>
          <cell r="M1360" t="str">
            <v>human</v>
          </cell>
        </row>
        <row r="1361">
          <cell r="A1361">
            <v>1360</v>
          </cell>
          <cell r="B1361" t="str">
            <v>ja</v>
          </cell>
          <cell r="C1361" t="str">
            <v>恋話の散弾 コルネ</v>
          </cell>
          <cell r="H1361" t="str">
            <v>red</v>
          </cell>
          <cell r="I1361">
            <v>6</v>
          </cell>
          <cell r="J1361" t="str">
            <v>PremiumSS</v>
          </cell>
          <cell r="K1361" t="str">
            <v>balance</v>
          </cell>
          <cell r="L1361" t="str">
            <v>バランスタイプ</v>
          </cell>
          <cell r="M1361" t="str">
            <v>human</v>
          </cell>
        </row>
        <row r="1362">
          <cell r="A1362">
            <v>1361</v>
          </cell>
          <cell r="B1362" t="str">
            <v>ja</v>
          </cell>
          <cell r="C1362" t="str">
            <v>ショコラR6(使用せず)</v>
          </cell>
          <cell r="H1362" t="str">
            <v>red</v>
          </cell>
          <cell r="I1362">
            <v>6</v>
          </cell>
          <cell r="J1362" t="str">
            <v>PremiumSSw</v>
          </cell>
          <cell r="K1362" t="str">
            <v>heal</v>
          </cell>
          <cell r="L1362" t="str">
            <v>回復タイプ</v>
          </cell>
          <cell r="M1362" t="str">
            <v>human</v>
          </cell>
        </row>
        <row r="1363">
          <cell r="A1363">
            <v>1362</v>
          </cell>
          <cell r="B1363" t="str">
            <v>ja</v>
          </cell>
          <cell r="C1363" t="str">
            <v>刺撃する尖甘槍 フォンデュ</v>
          </cell>
          <cell r="H1363" t="str">
            <v>red</v>
          </cell>
          <cell r="I1363">
            <v>6</v>
          </cell>
          <cell r="J1363" t="str">
            <v>PremiumSSw</v>
          </cell>
          <cell r="K1363" t="str">
            <v>heal</v>
          </cell>
          <cell r="L1363" t="str">
            <v>回復タイプ</v>
          </cell>
          <cell r="M1363" t="str">
            <v>human</v>
          </cell>
        </row>
        <row r="1364">
          <cell r="A1364">
            <v>1363</v>
          </cell>
          <cell r="B1364" t="str">
            <v>ja</v>
          </cell>
          <cell r="C1364" t="str">
            <v>聖白の夢菓子 ヴァニレ</v>
          </cell>
          <cell r="H1364" t="str">
            <v>blue</v>
          </cell>
          <cell r="I1364">
            <v>6</v>
          </cell>
          <cell r="J1364" t="str">
            <v>PremiumSS</v>
          </cell>
          <cell r="K1364" t="str">
            <v>attack</v>
          </cell>
          <cell r="L1364" t="str">
            <v>攻撃タイプ</v>
          </cell>
          <cell r="M1364" t="str">
            <v>human</v>
          </cell>
        </row>
        <row r="1365">
          <cell r="A1365">
            <v>1364</v>
          </cell>
          <cell r="B1365" t="str">
            <v>ja</v>
          </cell>
          <cell r="C1365" t="str">
            <v>百菓の甘味家 パティ</v>
          </cell>
          <cell r="H1365" t="str">
            <v>green</v>
          </cell>
          <cell r="I1365">
            <v>6</v>
          </cell>
          <cell r="J1365" t="str">
            <v>DropWizS</v>
          </cell>
          <cell r="K1365" t="str">
            <v>balance</v>
          </cell>
          <cell r="L1365" t="str">
            <v>バランスタイプ</v>
          </cell>
          <cell r="M1365" t="str">
            <v>human</v>
          </cell>
        </row>
        <row r="1366">
          <cell r="A1366">
            <v>1365</v>
          </cell>
          <cell r="B1366" t="str">
            <v>ja</v>
          </cell>
          <cell r="C1366" t="str">
            <v>バリアテスト</v>
          </cell>
          <cell r="H1366" t="str">
            <v>green</v>
          </cell>
          <cell r="I1366">
            <v>5</v>
          </cell>
          <cell r="J1366" t="str">
            <v>PremiumSSS</v>
          </cell>
          <cell r="K1366" t="str">
            <v>attack</v>
          </cell>
          <cell r="L1366" t="str">
            <v>攻撃タイプ</v>
          </cell>
          <cell r="M1366" t="str">
            <v>academia</v>
          </cell>
        </row>
        <row r="1367">
          <cell r="A1367">
            <v>1366</v>
          </cell>
          <cell r="B1367" t="str">
            <v>ja</v>
          </cell>
          <cell r="C1367" t="str">
            <v>バリアテスト</v>
          </cell>
          <cell r="H1367" t="str">
            <v>green</v>
          </cell>
          <cell r="I1367">
            <v>6</v>
          </cell>
          <cell r="J1367" t="str">
            <v>PremiumSSS</v>
          </cell>
          <cell r="K1367" t="str">
            <v>attack</v>
          </cell>
          <cell r="L1367" t="str">
            <v>攻撃タイプ</v>
          </cell>
          <cell r="M1367" t="str">
            <v>academia</v>
          </cell>
        </row>
        <row r="1368">
          <cell r="A1368">
            <v>1367</v>
          </cell>
          <cell r="B1368" t="str">
            <v>ja</v>
          </cell>
          <cell r="C1368" t="str">
            <v>ベルヌーイ</v>
          </cell>
          <cell r="H1368" t="str">
            <v>blue</v>
          </cell>
          <cell r="I1368">
            <v>5</v>
          </cell>
          <cell r="J1368" t="str">
            <v>PremiumSSS</v>
          </cell>
          <cell r="K1368" t="str">
            <v>attack</v>
          </cell>
          <cell r="L1368" t="str">
            <v>攻撃タイプ</v>
          </cell>
          <cell r="M1368" t="str">
            <v>academia</v>
          </cell>
        </row>
        <row r="1369">
          <cell r="A1369">
            <v>1368</v>
          </cell>
          <cell r="B1369" t="str">
            <v>ja</v>
          </cell>
          <cell r="C1369" t="str">
            <v>憤流する水鳴砲 ベルヌーイ</v>
          </cell>
          <cell r="H1369" t="str">
            <v>blue</v>
          </cell>
          <cell r="I1369">
            <v>6</v>
          </cell>
          <cell r="J1369" t="str">
            <v>PremiumSSS</v>
          </cell>
          <cell r="K1369" t="str">
            <v>attack</v>
          </cell>
          <cell r="L1369" t="str">
            <v>攻撃タイプ</v>
          </cell>
          <cell r="M1369" t="str">
            <v>academia</v>
          </cell>
        </row>
        <row r="1370">
          <cell r="A1370">
            <v>1369</v>
          </cell>
          <cell r="B1370" t="str">
            <v>ja</v>
          </cell>
          <cell r="C1370" t="str">
            <v>トロイア</v>
          </cell>
          <cell r="H1370" t="str">
            <v>red</v>
          </cell>
          <cell r="I1370">
            <v>5</v>
          </cell>
          <cell r="J1370" t="str">
            <v>PremiumSSw</v>
          </cell>
          <cell r="K1370" t="str">
            <v>attack</v>
          </cell>
          <cell r="L1370" t="str">
            <v>攻撃タイプ</v>
          </cell>
          <cell r="M1370" t="str">
            <v>demon</v>
          </cell>
        </row>
        <row r="1371">
          <cell r="A1371">
            <v>1370</v>
          </cell>
          <cell r="B1371" t="str">
            <v>ja</v>
          </cell>
          <cell r="C1371" t="str">
            <v>美審なる神争 トロイア</v>
          </cell>
          <cell r="H1371" t="str">
            <v>red</v>
          </cell>
          <cell r="I1371">
            <v>6</v>
          </cell>
          <cell r="J1371" t="str">
            <v>PremiumSSw</v>
          </cell>
          <cell r="K1371" t="str">
            <v>attack</v>
          </cell>
          <cell r="L1371" t="str">
            <v>攻撃タイプ</v>
          </cell>
          <cell r="M1371" t="str">
            <v>demon</v>
          </cell>
        </row>
        <row r="1372">
          <cell r="A1372">
            <v>1373</v>
          </cell>
          <cell r="B1372" t="str">
            <v>ja</v>
          </cell>
          <cell r="C1372" t="str">
            <v>スリー・ピギーズ</v>
          </cell>
          <cell r="H1372" t="str">
            <v>yellow</v>
          </cell>
          <cell r="I1372">
            <v>4</v>
          </cell>
          <cell r="J1372" t="str">
            <v>Drop2N</v>
          </cell>
          <cell r="K1372" t="str">
            <v>technical</v>
          </cell>
          <cell r="L1372" t="str">
            <v>テクニカルタイプ</v>
          </cell>
          <cell r="M1372" t="str">
            <v>animal</v>
          </cell>
        </row>
        <row r="1373">
          <cell r="A1373">
            <v>1374</v>
          </cell>
          <cell r="B1373" t="str">
            <v>ja</v>
          </cell>
          <cell r="C1373" t="str">
            <v>一級建築兄弟 スリー・ピギーズ</v>
          </cell>
          <cell r="H1373" t="str">
            <v>yellow</v>
          </cell>
          <cell r="I1373">
            <v>5</v>
          </cell>
          <cell r="J1373" t="str">
            <v>Drop2N</v>
          </cell>
          <cell r="K1373" t="str">
            <v>technical</v>
          </cell>
          <cell r="L1373" t="str">
            <v>テクニカルタイプ</v>
          </cell>
          <cell r="M1373" t="str">
            <v>animal</v>
          </cell>
        </row>
        <row r="1374">
          <cell r="A1374">
            <v>1375</v>
          </cell>
          <cell r="B1374" t="str">
            <v>ja</v>
          </cell>
          <cell r="C1374" t="str">
            <v>ジキル&amp;ハイド</v>
          </cell>
          <cell r="H1374" t="str">
            <v>red</v>
          </cell>
          <cell r="I1374">
            <v>5</v>
          </cell>
          <cell r="J1374" t="str">
            <v>DropWizS</v>
          </cell>
          <cell r="K1374" t="str">
            <v>balance</v>
          </cell>
          <cell r="L1374" t="str">
            <v>バランスタイプ</v>
          </cell>
          <cell r="M1374" t="str">
            <v>demon</v>
          </cell>
        </row>
        <row r="1375">
          <cell r="A1375">
            <v>1376</v>
          </cell>
          <cell r="B1375" t="str">
            <v>ja</v>
          </cell>
          <cell r="C1375" t="str">
            <v>剥離性異常衝動 ジキル&amp;ハイド</v>
          </cell>
          <cell r="H1375" t="str">
            <v>red</v>
          </cell>
          <cell r="I1375">
            <v>6</v>
          </cell>
          <cell r="J1375" t="str">
            <v>DropWizS</v>
          </cell>
          <cell r="K1375" t="str">
            <v>balance</v>
          </cell>
          <cell r="L1375" t="str">
            <v>バランスタイプ</v>
          </cell>
          <cell r="M1375" t="str">
            <v>demon</v>
          </cell>
        </row>
        <row r="1376">
          <cell r="A1376">
            <v>1377</v>
          </cell>
          <cell r="B1376" t="str">
            <v>ja</v>
          </cell>
          <cell r="C1376" t="str">
            <v>ダンテ・クリスト</v>
          </cell>
          <cell r="H1376" t="str">
            <v>blue</v>
          </cell>
          <cell r="I1376">
            <v>5</v>
          </cell>
          <cell r="J1376" t="str">
            <v>DropWizS</v>
          </cell>
          <cell r="K1376" t="str">
            <v>balance</v>
          </cell>
          <cell r="L1376" t="str">
            <v>バランスタイプ</v>
          </cell>
          <cell r="M1376" t="str">
            <v>human</v>
          </cell>
        </row>
        <row r="1377">
          <cell r="A1377">
            <v>1378</v>
          </cell>
          <cell r="B1377" t="str">
            <v>ja</v>
          </cell>
          <cell r="C1377" t="str">
            <v>巌窟の魔主 ダンテ・クリスト</v>
          </cell>
          <cell r="H1377" t="str">
            <v>blue</v>
          </cell>
          <cell r="I1377">
            <v>6</v>
          </cell>
          <cell r="J1377" t="str">
            <v>DropWizS</v>
          </cell>
          <cell r="K1377" t="str">
            <v>balance</v>
          </cell>
          <cell r="L1377" t="str">
            <v>バランスタイプ</v>
          </cell>
          <cell r="M1377" t="str">
            <v>human</v>
          </cell>
        </row>
        <row r="1378">
          <cell r="A1378">
            <v>1379</v>
          </cell>
          <cell r="B1378" t="str">
            <v>ja</v>
          </cell>
          <cell r="C1378" t="str">
            <v>アンデルセン</v>
          </cell>
          <cell r="H1378" t="str">
            <v>blue</v>
          </cell>
          <cell r="I1378">
            <v>5</v>
          </cell>
          <cell r="J1378" t="str">
            <v>DropWizSS</v>
          </cell>
          <cell r="K1378" t="str">
            <v>attack</v>
          </cell>
          <cell r="L1378" t="str">
            <v>攻撃タイプ</v>
          </cell>
          <cell r="M1378" t="str">
            <v>fantasy</v>
          </cell>
        </row>
        <row r="1379">
          <cell r="A1379">
            <v>1380</v>
          </cell>
          <cell r="B1379" t="str">
            <v>ja</v>
          </cell>
          <cell r="C1379" t="str">
            <v>詩線上の導話 アンデルセン</v>
          </cell>
          <cell r="H1379" t="str">
            <v>blue</v>
          </cell>
          <cell r="I1379">
            <v>6</v>
          </cell>
          <cell r="J1379" t="str">
            <v>DropWizSS</v>
          </cell>
          <cell r="K1379" t="str">
            <v>attack</v>
          </cell>
          <cell r="L1379" t="str">
            <v>攻撃タイプ</v>
          </cell>
          <cell r="M1379" t="str">
            <v>fantasy</v>
          </cell>
        </row>
        <row r="1380">
          <cell r="A1380">
            <v>1381</v>
          </cell>
          <cell r="B1380" t="str">
            <v>ja</v>
          </cell>
          <cell r="C1380" t="str">
            <v>ガリバー</v>
          </cell>
          <cell r="H1380" t="str">
            <v>red</v>
          </cell>
          <cell r="I1380">
            <v>4</v>
          </cell>
          <cell r="J1380" t="str">
            <v>PremiumS</v>
          </cell>
          <cell r="K1380" t="str">
            <v>hp</v>
          </cell>
          <cell r="L1380" t="str">
            <v>体力タイプ</v>
          </cell>
          <cell r="M1380" t="str">
            <v>human</v>
          </cell>
        </row>
        <row r="1381">
          <cell r="A1381">
            <v>1382</v>
          </cell>
          <cell r="B1381" t="str">
            <v>ja</v>
          </cell>
          <cell r="C1381" t="str">
            <v>賢巨なる渡来者 ガリバー</v>
          </cell>
          <cell r="H1381" t="str">
            <v>red</v>
          </cell>
          <cell r="I1381">
            <v>5</v>
          </cell>
          <cell r="J1381" t="str">
            <v>PremiumS</v>
          </cell>
          <cell r="K1381" t="str">
            <v>hp</v>
          </cell>
          <cell r="L1381" t="str">
            <v>体力タイプ</v>
          </cell>
          <cell r="M1381" t="str">
            <v>human</v>
          </cell>
        </row>
        <row r="1382">
          <cell r="A1382">
            <v>1383</v>
          </cell>
          <cell r="B1382" t="str">
            <v>ja</v>
          </cell>
          <cell r="C1382" t="str">
            <v>シンドバッド</v>
          </cell>
          <cell r="H1382" t="str">
            <v>green</v>
          </cell>
          <cell r="I1382">
            <v>5</v>
          </cell>
          <cell r="J1382" t="str">
            <v>PremiumSS</v>
          </cell>
          <cell r="K1382" t="str">
            <v>technical</v>
          </cell>
          <cell r="L1382" t="str">
            <v>テクニカルタイプ</v>
          </cell>
          <cell r="M1382" t="str">
            <v>hero</v>
          </cell>
        </row>
        <row r="1383">
          <cell r="A1383">
            <v>1384</v>
          </cell>
          <cell r="B1383" t="str">
            <v>ja</v>
          </cell>
          <cell r="C1383" t="str">
            <v>獲宝の航界者 シンドバッド</v>
          </cell>
          <cell r="H1383" t="str">
            <v>green</v>
          </cell>
          <cell r="I1383">
            <v>6</v>
          </cell>
          <cell r="J1383" t="str">
            <v>PremiumSS</v>
          </cell>
          <cell r="K1383" t="str">
            <v>technical</v>
          </cell>
          <cell r="L1383" t="str">
            <v>テクニカルタイプ</v>
          </cell>
          <cell r="M1383" t="str">
            <v>hero</v>
          </cell>
        </row>
        <row r="1384">
          <cell r="A1384">
            <v>1385</v>
          </cell>
          <cell r="B1384" t="str">
            <v>ja</v>
          </cell>
          <cell r="C1384" t="str">
            <v>いばら姫</v>
          </cell>
          <cell r="H1384" t="str">
            <v>blue</v>
          </cell>
          <cell r="I1384">
            <v>5</v>
          </cell>
          <cell r="J1384" t="str">
            <v>PremiumSSw</v>
          </cell>
          <cell r="K1384" t="str">
            <v>attack</v>
          </cell>
          <cell r="L1384" t="str">
            <v>攻撃タイプ</v>
          </cell>
          <cell r="M1384" t="str">
            <v>fantasy</v>
          </cell>
        </row>
        <row r="1385">
          <cell r="A1385">
            <v>1386</v>
          </cell>
          <cell r="B1385" t="str">
            <v>ja</v>
          </cell>
          <cell r="C1385" t="str">
            <v>荊棘の覚醒姫 いばら姫</v>
          </cell>
          <cell r="H1385" t="str">
            <v>blue</v>
          </cell>
          <cell r="I1385">
            <v>6</v>
          </cell>
          <cell r="J1385" t="str">
            <v>PremiumSSw</v>
          </cell>
          <cell r="K1385" t="str">
            <v>attack</v>
          </cell>
          <cell r="L1385" t="str">
            <v>攻撃タイプ</v>
          </cell>
          <cell r="M1385" t="str">
            <v>fantasy</v>
          </cell>
        </row>
        <row r="1386">
          <cell r="A1386">
            <v>1387</v>
          </cell>
          <cell r="B1386" t="str">
            <v>ja</v>
          </cell>
          <cell r="C1386" t="str">
            <v>ダルタニャン</v>
          </cell>
          <cell r="H1386" t="str">
            <v>yellow</v>
          </cell>
          <cell r="I1386">
            <v>5</v>
          </cell>
          <cell r="J1386" t="str">
            <v>PremiumSS</v>
          </cell>
          <cell r="K1386" t="str">
            <v>attack</v>
          </cell>
          <cell r="L1386" t="str">
            <v>攻撃タイプ</v>
          </cell>
          <cell r="M1386" t="str">
            <v>hero</v>
          </cell>
        </row>
        <row r="1387">
          <cell r="A1387">
            <v>1388</v>
          </cell>
          <cell r="B1387" t="str">
            <v>ja</v>
          </cell>
          <cell r="C1387" t="str">
            <v>讃勇の銃士長 ダルタニャン</v>
          </cell>
          <cell r="H1387" t="str">
            <v>yellow</v>
          </cell>
          <cell r="I1387">
            <v>6</v>
          </cell>
          <cell r="J1387" t="str">
            <v>PremiumSS</v>
          </cell>
          <cell r="K1387" t="str">
            <v>attack</v>
          </cell>
          <cell r="L1387" t="str">
            <v>攻撃タイプ</v>
          </cell>
          <cell r="M1387" t="str">
            <v>hero</v>
          </cell>
        </row>
        <row r="1388">
          <cell r="A1388">
            <v>1389</v>
          </cell>
          <cell r="B1388" t="str">
            <v>ja</v>
          </cell>
          <cell r="C1388" t="str">
            <v>ユング</v>
          </cell>
          <cell r="H1388" t="str">
            <v>blue</v>
          </cell>
          <cell r="I1388">
            <v>5</v>
          </cell>
          <cell r="J1388" t="str">
            <v>PremiumSSS</v>
          </cell>
          <cell r="K1388" t="str">
            <v>balance</v>
          </cell>
          <cell r="L1388" t="str">
            <v>バランスタイプ</v>
          </cell>
          <cell r="M1388" t="str">
            <v>academia</v>
          </cell>
        </row>
        <row r="1389">
          <cell r="A1389">
            <v>1390</v>
          </cell>
          <cell r="B1389" t="str">
            <v>ja</v>
          </cell>
          <cell r="C1389" t="str">
            <v>夢誘心解の蒼翼 ユング</v>
          </cell>
          <cell r="H1389" t="str">
            <v>blue</v>
          </cell>
          <cell r="I1389">
            <v>6</v>
          </cell>
          <cell r="J1389" t="str">
            <v>PremiumSSS</v>
          </cell>
          <cell r="K1389" t="str">
            <v>balance</v>
          </cell>
          <cell r="L1389" t="str">
            <v>バランスタイプ</v>
          </cell>
          <cell r="M1389" t="str">
            <v>academia</v>
          </cell>
        </row>
        <row r="1390">
          <cell r="A1390">
            <v>1393</v>
          </cell>
          <cell r="B1390" t="str">
            <v>ja</v>
          </cell>
          <cell r="C1390" t="str">
            <v>ライプニッツR5</v>
          </cell>
          <cell r="H1390" t="str">
            <v>blue</v>
          </cell>
          <cell r="I1390">
            <v>5</v>
          </cell>
          <cell r="J1390" t="str">
            <v>PremiumSSS</v>
          </cell>
          <cell r="K1390" t="str">
            <v>hp</v>
          </cell>
          <cell r="L1390" t="str">
            <v>体力タイプ</v>
          </cell>
          <cell r="M1390" t="str">
            <v>academia</v>
          </cell>
        </row>
        <row r="1391">
          <cell r="A1391">
            <v>1394</v>
          </cell>
          <cell r="B1391" t="str">
            <v>ja</v>
          </cell>
          <cell r="C1391" t="str">
            <v>ライプニッツR6</v>
          </cell>
          <cell r="H1391" t="str">
            <v>blue</v>
          </cell>
          <cell r="I1391">
            <v>6</v>
          </cell>
          <cell r="J1391" t="str">
            <v>PremiumSSS</v>
          </cell>
          <cell r="K1391" t="str">
            <v>hp</v>
          </cell>
          <cell r="L1391" t="str">
            <v>体力タイプ</v>
          </cell>
          <cell r="M1391" t="str">
            <v>academia</v>
          </cell>
        </row>
        <row r="1392">
          <cell r="A1392">
            <v>1395</v>
          </cell>
          <cell r="B1392" t="str">
            <v>ja</v>
          </cell>
          <cell r="C1392" t="str">
            <v>ライプニッツ(超覚醒)</v>
          </cell>
          <cell r="H1392" t="str">
            <v>blue</v>
          </cell>
          <cell r="I1392">
            <v>6</v>
          </cell>
          <cell r="J1392" t="str">
            <v>PremiumSSS</v>
          </cell>
          <cell r="K1392" t="str">
            <v>hp</v>
          </cell>
          <cell r="L1392" t="str">
            <v>体力タイプ</v>
          </cell>
          <cell r="M1392" t="str">
            <v>academia</v>
          </cell>
        </row>
        <row r="1393">
          <cell r="A1393">
            <v>1399</v>
          </cell>
          <cell r="B1393" t="str">
            <v>ja</v>
          </cell>
          <cell r="C1393" t="str">
            <v>ラヴァーズ</v>
          </cell>
          <cell r="H1393" t="str">
            <v>green</v>
          </cell>
          <cell r="I1393">
            <v>5</v>
          </cell>
          <cell r="J1393" t="str">
            <v>PremiumSSS</v>
          </cell>
          <cell r="K1393" t="str">
            <v>attack</v>
          </cell>
          <cell r="L1393" t="str">
            <v>攻撃タイプ</v>
          </cell>
          <cell r="M1393" t="str">
            <v>god</v>
          </cell>
        </row>
        <row r="1394">
          <cell r="A1394">
            <v>1400</v>
          </cell>
          <cell r="B1394" t="str">
            <v>ja</v>
          </cell>
          <cell r="C1394" t="str">
            <v>奏愛する虜籠 ラヴァーズ</v>
          </cell>
          <cell r="H1394" t="str">
            <v>green</v>
          </cell>
          <cell r="I1394">
            <v>6</v>
          </cell>
          <cell r="J1394" t="str">
            <v>PremiumSSS</v>
          </cell>
          <cell r="K1394" t="str">
            <v>attack</v>
          </cell>
          <cell r="L1394" t="str">
            <v>攻撃タイプ</v>
          </cell>
          <cell r="M1394" t="str">
            <v>god</v>
          </cell>
        </row>
        <row r="1395">
          <cell r="A1395">
            <v>1401</v>
          </cell>
          <cell r="B1395" t="str">
            <v>ja</v>
          </cell>
          <cell r="C1395" t="str">
            <v>レムリア</v>
          </cell>
          <cell r="H1395" t="str">
            <v>yellow</v>
          </cell>
          <cell r="I1395">
            <v>5</v>
          </cell>
          <cell r="J1395" t="str">
            <v>PremiumSSw</v>
          </cell>
          <cell r="K1395" t="str">
            <v>hp</v>
          </cell>
          <cell r="L1395" t="str">
            <v>体力タイプ</v>
          </cell>
          <cell r="M1395" t="str">
            <v>hero</v>
          </cell>
        </row>
        <row r="1396">
          <cell r="A1396">
            <v>1402</v>
          </cell>
          <cell r="B1396" t="str">
            <v>ja</v>
          </cell>
          <cell r="C1396" t="str">
            <v>縞彩の豊嬢 レムリア</v>
          </cell>
          <cell r="H1396" t="str">
            <v>yellow</v>
          </cell>
          <cell r="I1396">
            <v>6</v>
          </cell>
          <cell r="J1396" t="str">
            <v>PremiumSSw</v>
          </cell>
          <cell r="K1396" t="str">
            <v>hp</v>
          </cell>
          <cell r="L1396" t="str">
            <v>体力タイプ</v>
          </cell>
          <cell r="M1396" t="str">
            <v>hero</v>
          </cell>
        </row>
        <row r="1397">
          <cell r="A1397">
            <v>1403</v>
          </cell>
          <cell r="B1397" t="str">
            <v>ja</v>
          </cell>
          <cell r="C1397" t="str">
            <v>炎帝の守護獣神 朱雀</v>
          </cell>
          <cell r="H1397" t="str">
            <v>red</v>
          </cell>
          <cell r="I1397">
            <v>6</v>
          </cell>
          <cell r="J1397" t="str">
            <v>Drop2N</v>
          </cell>
          <cell r="K1397" t="str">
            <v>heal</v>
          </cell>
          <cell r="L1397" t="str">
            <v>回復タイプ</v>
          </cell>
          <cell r="M1397" t="str">
            <v>animal</v>
          </cell>
        </row>
        <row r="1398">
          <cell r="A1398">
            <v>1404</v>
          </cell>
          <cell r="B1398" t="str">
            <v>ja</v>
          </cell>
          <cell r="C1398" t="str">
            <v>玄帝の守護獣神 玄武</v>
          </cell>
          <cell r="H1398" t="str">
            <v>green</v>
          </cell>
          <cell r="I1398">
            <v>6</v>
          </cell>
          <cell r="J1398" t="str">
            <v>Drop2N</v>
          </cell>
          <cell r="K1398" t="str">
            <v>hp</v>
          </cell>
          <cell r="L1398" t="str">
            <v>体力タイプ</v>
          </cell>
          <cell r="M1398" t="str">
            <v>dragon</v>
          </cell>
        </row>
        <row r="1399">
          <cell r="A1399">
            <v>1405</v>
          </cell>
          <cell r="B1399" t="str">
            <v>ja</v>
          </cell>
          <cell r="C1399" t="str">
            <v>蒼帝の守護獣神 青龍</v>
          </cell>
          <cell r="H1399" t="str">
            <v>blue</v>
          </cell>
          <cell r="I1399">
            <v>6</v>
          </cell>
          <cell r="J1399" t="str">
            <v>Drop2N</v>
          </cell>
          <cell r="K1399" t="str">
            <v>balance</v>
          </cell>
          <cell r="L1399" t="str">
            <v>バランスタイプ</v>
          </cell>
          <cell r="M1399" t="str">
            <v>dragon</v>
          </cell>
        </row>
        <row r="1400">
          <cell r="A1400">
            <v>1406</v>
          </cell>
          <cell r="B1400" t="str">
            <v>ja</v>
          </cell>
          <cell r="C1400" t="str">
            <v>白帝の守護獣神 白虎</v>
          </cell>
          <cell r="H1400" t="str">
            <v>yellow</v>
          </cell>
          <cell r="I1400">
            <v>6</v>
          </cell>
          <cell r="J1400" t="str">
            <v>Drop2N</v>
          </cell>
          <cell r="K1400" t="str">
            <v>attack</v>
          </cell>
          <cell r="L1400" t="str">
            <v>攻撃タイプ</v>
          </cell>
          <cell r="M1400" t="str">
            <v>animal</v>
          </cell>
        </row>
        <row r="1401">
          <cell r="A1401">
            <v>1407</v>
          </cell>
          <cell r="B1401" t="str">
            <v>ja</v>
          </cell>
          <cell r="C1401" t="str">
            <v>グリム・ザ・ダンディ</v>
          </cell>
          <cell r="H1401" t="str">
            <v>yellow</v>
          </cell>
          <cell r="I1401">
            <v>5</v>
          </cell>
          <cell r="J1401" t="str">
            <v>DropWizS</v>
          </cell>
          <cell r="K1401" t="str">
            <v>balance</v>
          </cell>
          <cell r="L1401" t="str">
            <v>バランスタイプ</v>
          </cell>
          <cell r="M1401" t="str">
            <v>human</v>
          </cell>
        </row>
        <row r="1402">
          <cell r="A1402">
            <v>1408</v>
          </cell>
          <cell r="B1402" t="str">
            <v>ja</v>
          </cell>
          <cell r="C1402" t="str">
            <v>爽愛の求魂 グリム・ザ・ダンディ</v>
          </cell>
          <cell r="H1402" t="str">
            <v>yellow</v>
          </cell>
          <cell r="I1402">
            <v>6</v>
          </cell>
          <cell r="J1402" t="str">
            <v>DropWizS</v>
          </cell>
          <cell r="K1402" t="str">
            <v>balance</v>
          </cell>
          <cell r="L1402" t="str">
            <v>バランスタイプ</v>
          </cell>
          <cell r="M1402" t="str">
            <v>human</v>
          </cell>
        </row>
        <row r="1403">
          <cell r="A1403">
            <v>1409</v>
          </cell>
          <cell r="B1403" t="str">
            <v>ja</v>
          </cell>
          <cell r="C1403" t="str">
            <v>マシロ</v>
          </cell>
          <cell r="H1403" t="str">
            <v>green</v>
          </cell>
          <cell r="I1403">
            <v>5</v>
          </cell>
          <cell r="J1403" t="str">
            <v>PremiumSS</v>
          </cell>
          <cell r="K1403" t="str">
            <v>heal</v>
          </cell>
          <cell r="L1403" t="str">
            <v>回復タイプ</v>
          </cell>
          <cell r="M1403" t="str">
            <v>human</v>
          </cell>
        </row>
        <row r="1404">
          <cell r="A1404">
            <v>1410</v>
          </cell>
          <cell r="B1404" t="str">
            <v>ja</v>
          </cell>
          <cell r="C1404" t="str">
            <v>浮遊する白恋 マシロ</v>
          </cell>
          <cell r="H1404" t="str">
            <v>green</v>
          </cell>
          <cell r="I1404">
            <v>6</v>
          </cell>
          <cell r="J1404" t="str">
            <v>PremiumSS</v>
          </cell>
          <cell r="K1404" t="str">
            <v>heal</v>
          </cell>
          <cell r="L1404" t="str">
            <v>回復タイプ</v>
          </cell>
          <cell r="M1404" t="str">
            <v>human</v>
          </cell>
        </row>
        <row r="1405">
          <cell r="A1405">
            <v>1411</v>
          </cell>
          <cell r="B1405" t="str">
            <v>ja</v>
          </cell>
          <cell r="C1405" t="str">
            <v>ピーターパン・イノセンス</v>
          </cell>
          <cell r="H1405" t="str">
            <v>blue</v>
          </cell>
          <cell r="I1405">
            <v>5</v>
          </cell>
          <cell r="J1405" t="str">
            <v>PremiumS</v>
          </cell>
          <cell r="K1405" t="str">
            <v>attack</v>
          </cell>
          <cell r="L1405" t="str">
            <v>攻撃タイプ</v>
          </cell>
          <cell r="M1405" t="str">
            <v>human</v>
          </cell>
        </row>
        <row r="1406">
          <cell r="A1406">
            <v>1412</v>
          </cell>
          <cell r="B1406" t="str">
            <v>ja</v>
          </cell>
          <cell r="C1406" t="str">
            <v>アレス・パッション</v>
          </cell>
          <cell r="H1406" t="str">
            <v>yellow</v>
          </cell>
          <cell r="I1406">
            <v>5</v>
          </cell>
          <cell r="J1406" t="str">
            <v>PremiumS</v>
          </cell>
          <cell r="K1406" t="str">
            <v>attack</v>
          </cell>
          <cell r="L1406" t="str">
            <v>攻撃タイプ</v>
          </cell>
          <cell r="M1406" t="str">
            <v>god</v>
          </cell>
        </row>
        <row r="1407">
          <cell r="A1407">
            <v>1413</v>
          </cell>
          <cell r="B1407" t="str">
            <v>ja</v>
          </cell>
          <cell r="C1407" t="str">
            <v>クリムト・ペリューシド</v>
          </cell>
          <cell r="H1407" t="str">
            <v>green</v>
          </cell>
          <cell r="I1407">
            <v>5</v>
          </cell>
          <cell r="J1407" t="str">
            <v>PremiumS</v>
          </cell>
          <cell r="K1407" t="str">
            <v>technical</v>
          </cell>
          <cell r="L1407" t="str">
            <v>テクニカルタイプ</v>
          </cell>
          <cell r="M1407" t="str">
            <v>human</v>
          </cell>
        </row>
        <row r="1408">
          <cell r="A1408">
            <v>1414</v>
          </cell>
          <cell r="B1408" t="str">
            <v>ja</v>
          </cell>
          <cell r="C1408" t="str">
            <v>炎のミリオンダック 7</v>
          </cell>
          <cell r="D1408" t="str">
            <v>未定</v>
          </cell>
          <cell r="E1408" t="str">
            <v>執行者</v>
          </cell>
          <cell r="F1408" t="str">
            <v>格好いい</v>
          </cell>
          <cell r="G1408" t="str">
            <v>不明</v>
          </cell>
          <cell r="H1408" t="str">
            <v>red</v>
          </cell>
          <cell r="I1408">
            <v>6</v>
          </cell>
          <cell r="J1408" t="str">
            <v>Material</v>
          </cell>
          <cell r="K1408" t="str">
            <v>exp</v>
          </cell>
          <cell r="L1408" t="str">
            <v>強化素材タイプ</v>
          </cell>
          <cell r="M1408" t="str">
            <v>unknown</v>
          </cell>
        </row>
        <row r="1409">
          <cell r="A1409">
            <v>1415</v>
          </cell>
          <cell r="B1409" t="str">
            <v>ja</v>
          </cell>
          <cell r="C1409" t="str">
            <v>森のミリオンダック 7</v>
          </cell>
          <cell r="D1409" t="str">
            <v>未定</v>
          </cell>
          <cell r="E1409" t="str">
            <v>執行者</v>
          </cell>
          <cell r="F1409" t="str">
            <v>格好いい</v>
          </cell>
          <cell r="G1409" t="str">
            <v>不明</v>
          </cell>
          <cell r="H1409" t="str">
            <v>green</v>
          </cell>
          <cell r="I1409">
            <v>6</v>
          </cell>
          <cell r="J1409" t="str">
            <v>Material</v>
          </cell>
          <cell r="K1409" t="str">
            <v>exp</v>
          </cell>
          <cell r="L1409" t="str">
            <v>強化素材タイプ</v>
          </cell>
          <cell r="M1409" t="str">
            <v>unknown</v>
          </cell>
        </row>
        <row r="1410">
          <cell r="A1410">
            <v>1416</v>
          </cell>
          <cell r="B1410" t="str">
            <v>ja</v>
          </cell>
          <cell r="C1410" t="str">
            <v>水のミリオンダック 7</v>
          </cell>
          <cell r="D1410" t="str">
            <v>未定</v>
          </cell>
          <cell r="E1410" t="str">
            <v>執行者</v>
          </cell>
          <cell r="F1410" t="str">
            <v>格好いい</v>
          </cell>
          <cell r="G1410" t="str">
            <v>不明</v>
          </cell>
          <cell r="H1410" t="str">
            <v>blue</v>
          </cell>
          <cell r="I1410">
            <v>6</v>
          </cell>
          <cell r="J1410" t="str">
            <v>Material</v>
          </cell>
          <cell r="K1410" t="str">
            <v>exp</v>
          </cell>
          <cell r="L1410" t="str">
            <v>強化素材タイプ</v>
          </cell>
          <cell r="M1410" t="str">
            <v>unknown</v>
          </cell>
        </row>
        <row r="1411">
          <cell r="A1411">
            <v>1417</v>
          </cell>
          <cell r="B1411" t="str">
            <v>ja</v>
          </cell>
          <cell r="C1411" t="str">
            <v>雷のミリオンダック 7</v>
          </cell>
          <cell r="D1411" t="str">
            <v>未定</v>
          </cell>
          <cell r="E1411" t="str">
            <v>執行者</v>
          </cell>
          <cell r="F1411" t="str">
            <v>格好いい</v>
          </cell>
          <cell r="G1411" t="str">
            <v>不明</v>
          </cell>
          <cell r="H1411" t="str">
            <v>yellow</v>
          </cell>
          <cell r="I1411">
            <v>6</v>
          </cell>
          <cell r="J1411" t="str">
            <v>Material</v>
          </cell>
          <cell r="K1411" t="str">
            <v>exp</v>
          </cell>
          <cell r="L1411" t="str">
            <v>強化素材タイプ</v>
          </cell>
          <cell r="M1411" t="str">
            <v>unknown</v>
          </cell>
        </row>
        <row r="1412">
          <cell r="A1412">
            <v>1418</v>
          </cell>
          <cell r="B1412" t="str">
            <v>ja</v>
          </cell>
          <cell r="C1412" t="str">
            <v>擬潜送侵型メリッサ2.0</v>
          </cell>
          <cell r="H1412" t="str">
            <v>red</v>
          </cell>
          <cell r="I1412">
            <v>5</v>
          </cell>
          <cell r="J1412" t="str">
            <v>DropWizS</v>
          </cell>
          <cell r="K1412" t="str">
            <v>technical</v>
          </cell>
          <cell r="L1412" t="str">
            <v>テクニカルタイプ</v>
          </cell>
          <cell r="M1412" t="str">
            <v>unknown</v>
          </cell>
        </row>
        <row r="1413">
          <cell r="A1413">
            <v>1419</v>
          </cell>
          <cell r="B1413" t="str">
            <v>ja</v>
          </cell>
          <cell r="C1413" t="str">
            <v>感潜する侵感 メリッサ</v>
          </cell>
          <cell r="H1413" t="str">
            <v>red</v>
          </cell>
          <cell r="I1413">
            <v>6</v>
          </cell>
          <cell r="J1413" t="str">
            <v>DropWizS</v>
          </cell>
          <cell r="K1413" t="str">
            <v>technical</v>
          </cell>
          <cell r="L1413" t="str">
            <v>テクニカルタイプ</v>
          </cell>
          <cell r="M1413" t="str">
            <v>unknown</v>
          </cell>
        </row>
        <row r="1414">
          <cell r="A1414">
            <v>1420</v>
          </cell>
          <cell r="B1414" t="str">
            <v>ja</v>
          </cell>
          <cell r="C1414" t="str">
            <v>脆侵増殖型G・モリス</v>
          </cell>
          <cell r="H1414" t="str">
            <v>blue</v>
          </cell>
          <cell r="I1414">
            <v>5</v>
          </cell>
          <cell r="J1414" t="str">
            <v>DropWizS</v>
          </cell>
          <cell r="K1414" t="str">
            <v>heal</v>
          </cell>
          <cell r="L1414" t="str">
            <v>回復タイプ</v>
          </cell>
          <cell r="M1414" t="str">
            <v>unknown</v>
          </cell>
        </row>
        <row r="1415">
          <cell r="A1415">
            <v>1421</v>
          </cell>
          <cell r="B1415" t="str">
            <v>ja</v>
          </cell>
          <cell r="C1415" t="str">
            <v>拡勢する偽増 モリス</v>
          </cell>
          <cell r="H1415" t="str">
            <v>blue</v>
          </cell>
          <cell r="I1415">
            <v>6</v>
          </cell>
          <cell r="J1415" t="str">
            <v>DropWizS</v>
          </cell>
          <cell r="K1415" t="str">
            <v>heal</v>
          </cell>
          <cell r="L1415" t="str">
            <v>回復タイプ</v>
          </cell>
          <cell r="M1415" t="str">
            <v>unknown</v>
          </cell>
        </row>
        <row r="1416">
          <cell r="A1416">
            <v>1422</v>
          </cell>
          <cell r="B1416" t="str">
            <v>ja</v>
          </cell>
          <cell r="C1416" t="str">
            <v>解錠放散性ニムダE</v>
          </cell>
          <cell r="H1416" t="str">
            <v>yellow</v>
          </cell>
          <cell r="I1416">
            <v>5</v>
          </cell>
          <cell r="J1416" t="str">
            <v>DropWizS</v>
          </cell>
          <cell r="K1416" t="str">
            <v>hp</v>
          </cell>
          <cell r="L1416" t="str">
            <v>体力タイプ</v>
          </cell>
          <cell r="M1416" t="str">
            <v>unknown</v>
          </cell>
        </row>
        <row r="1417">
          <cell r="A1417">
            <v>1423</v>
          </cell>
          <cell r="B1417" t="str">
            <v>ja</v>
          </cell>
          <cell r="C1417" t="str">
            <v>電播する環染 ニムダ</v>
          </cell>
          <cell r="H1417" t="str">
            <v>yellow</v>
          </cell>
          <cell r="I1417">
            <v>6</v>
          </cell>
          <cell r="J1417" t="str">
            <v>DropWizS</v>
          </cell>
          <cell r="K1417" t="str">
            <v>hp</v>
          </cell>
          <cell r="L1417" t="str">
            <v>体力タイプ</v>
          </cell>
          <cell r="M1417" t="str">
            <v>unknown</v>
          </cell>
        </row>
        <row r="1418">
          <cell r="A1418">
            <v>1424</v>
          </cell>
          <cell r="B1418" t="str">
            <v>ja</v>
          </cell>
          <cell r="C1418" t="str">
            <v>波打際の宴麗 フロイト</v>
          </cell>
          <cell r="H1418" t="str">
            <v>blue</v>
          </cell>
          <cell r="I1418">
            <v>6</v>
          </cell>
          <cell r="J1418" t="str">
            <v>PremiumSSS</v>
          </cell>
          <cell r="K1418" t="str">
            <v>balance</v>
          </cell>
          <cell r="L1418" t="str">
            <v>バランスタイプ</v>
          </cell>
          <cell r="M1418" t="str">
            <v>academia</v>
          </cell>
        </row>
        <row r="1419">
          <cell r="A1419">
            <v>1425</v>
          </cell>
          <cell r="B1419" t="str">
            <v>ja</v>
          </cell>
          <cell r="C1419" t="str">
            <v>ヴォルタ</v>
          </cell>
          <cell r="D1419" t="str">
            <v>未定</v>
          </cell>
          <cell r="E1419" t="str">
            <v>アリス</v>
          </cell>
          <cell r="F1419" t="str">
            <v>世界観</v>
          </cell>
          <cell r="G1419" t="str">
            <v>不明</v>
          </cell>
          <cell r="H1419" t="str">
            <v>red</v>
          </cell>
          <cell r="I1419">
            <v>5</v>
          </cell>
          <cell r="J1419" t="str">
            <v>PremiumSSS</v>
          </cell>
          <cell r="K1419" t="str">
            <v>attack</v>
          </cell>
          <cell r="L1419" t="str">
            <v>攻撃タイプ</v>
          </cell>
          <cell r="M1419" t="str">
            <v>academia</v>
          </cell>
        </row>
        <row r="1420">
          <cell r="A1420">
            <v>1426</v>
          </cell>
          <cell r="B1420" t="str">
            <v>ja</v>
          </cell>
          <cell r="C1420" t="str">
            <v>灼々たる電花 ヴォルタ</v>
          </cell>
          <cell r="D1420" t="str">
            <v>未定</v>
          </cell>
          <cell r="E1420" t="str">
            <v>アリス</v>
          </cell>
          <cell r="F1420" t="str">
            <v>世界観</v>
          </cell>
          <cell r="G1420" t="str">
            <v>不明</v>
          </cell>
          <cell r="H1420" t="str">
            <v>red</v>
          </cell>
          <cell r="I1420">
            <v>6</v>
          </cell>
          <cell r="J1420" t="str">
            <v>PremiumSSS</v>
          </cell>
          <cell r="K1420" t="str">
            <v>attack</v>
          </cell>
          <cell r="L1420" t="str">
            <v>攻撃タイプ</v>
          </cell>
          <cell r="M1420" t="str">
            <v>academia</v>
          </cell>
        </row>
        <row r="1421">
          <cell r="A1421">
            <v>1427</v>
          </cell>
          <cell r="B1421" t="str">
            <v>ja</v>
          </cell>
          <cell r="C1421" t="str">
            <v>プラトー</v>
          </cell>
          <cell r="D1421" t="str">
            <v>未定</v>
          </cell>
          <cell r="E1421" t="str">
            <v>アリス</v>
          </cell>
          <cell r="F1421" t="str">
            <v>世界観</v>
          </cell>
          <cell r="G1421" t="str">
            <v>不明</v>
          </cell>
          <cell r="H1421" t="str">
            <v>green</v>
          </cell>
          <cell r="I1421">
            <v>5</v>
          </cell>
          <cell r="J1421" t="str">
            <v>PremiumSSS</v>
          </cell>
          <cell r="K1421" t="str">
            <v>heal</v>
          </cell>
          <cell r="L1421" t="str">
            <v>回復タイプ</v>
          </cell>
          <cell r="M1421" t="str">
            <v>academia</v>
          </cell>
        </row>
        <row r="1422">
          <cell r="A1422">
            <v>1428</v>
          </cell>
          <cell r="B1422" t="str">
            <v>ja</v>
          </cell>
          <cell r="C1422" t="str">
            <v>幻影の泡沫 プラトー</v>
          </cell>
          <cell r="D1422" t="str">
            <v>未定</v>
          </cell>
          <cell r="E1422" t="str">
            <v>アリス</v>
          </cell>
          <cell r="F1422" t="str">
            <v>世界観</v>
          </cell>
          <cell r="G1422" t="str">
            <v>不明</v>
          </cell>
          <cell r="H1422" t="str">
            <v>green</v>
          </cell>
          <cell r="I1422">
            <v>6</v>
          </cell>
          <cell r="J1422" t="str">
            <v>PremiumSSS</v>
          </cell>
          <cell r="K1422" t="str">
            <v>heal</v>
          </cell>
          <cell r="L1422" t="str">
            <v>回復タイプ</v>
          </cell>
          <cell r="M1422" t="str">
            <v>academia</v>
          </cell>
        </row>
        <row r="1423">
          <cell r="A1423">
            <v>1431</v>
          </cell>
          <cell r="B1423" t="str">
            <v>ja</v>
          </cell>
          <cell r="C1423" t="str">
            <v>センコ</v>
          </cell>
          <cell r="D1423" t="str">
            <v>未定</v>
          </cell>
          <cell r="E1423" t="str">
            <v>アリス</v>
          </cell>
          <cell r="F1423" t="str">
            <v>世界観</v>
          </cell>
          <cell r="G1423" t="str">
            <v>不明</v>
          </cell>
          <cell r="H1423" t="str">
            <v>yellow</v>
          </cell>
          <cell r="I1423">
            <v>5</v>
          </cell>
          <cell r="J1423" t="str">
            <v>PremiumSS</v>
          </cell>
          <cell r="K1423" t="str">
            <v>hp</v>
          </cell>
          <cell r="L1423" t="str">
            <v>体力タイプ</v>
          </cell>
          <cell r="M1423" t="str">
            <v>god</v>
          </cell>
        </row>
        <row r="1424">
          <cell r="A1424">
            <v>1432</v>
          </cell>
          <cell r="B1424" t="str">
            <v>ja</v>
          </cell>
          <cell r="C1424" t="str">
            <v>華宴の千年狐 センコ</v>
          </cell>
          <cell r="D1424" t="str">
            <v>未定</v>
          </cell>
          <cell r="E1424" t="str">
            <v>アリス</v>
          </cell>
          <cell r="F1424" t="str">
            <v>世界観</v>
          </cell>
          <cell r="G1424" t="str">
            <v>不明</v>
          </cell>
          <cell r="H1424" t="str">
            <v>yellow</v>
          </cell>
          <cell r="I1424">
            <v>6</v>
          </cell>
          <cell r="J1424" t="str">
            <v>PremiumSS</v>
          </cell>
          <cell r="K1424" t="str">
            <v>hp</v>
          </cell>
          <cell r="L1424" t="str">
            <v>体力タイプ</v>
          </cell>
          <cell r="M1424" t="str">
            <v>god</v>
          </cell>
        </row>
        <row r="1425">
          <cell r="A1425">
            <v>1433</v>
          </cell>
          <cell r="B1425" t="str">
            <v>ja</v>
          </cell>
          <cell r="C1425" t="str">
            <v>超越の果実</v>
          </cell>
          <cell r="D1425" t="str">
            <v>スキル進化素材</v>
          </cell>
          <cell r="E1425" t="str">
            <v>アリス</v>
          </cell>
          <cell r="F1425" t="str">
            <v>世界観</v>
          </cell>
          <cell r="G1425" t="str">
            <v>不明</v>
          </cell>
          <cell r="H1425" t="str">
            <v>yellow</v>
          </cell>
          <cell r="I1425">
            <v>3</v>
          </cell>
          <cell r="J1425" t="str">
            <v>Material</v>
          </cell>
          <cell r="K1425" t="str">
            <v>limitbreak</v>
          </cell>
          <cell r="L1425" t="str">
            <v>限界突破素材</v>
          </cell>
          <cell r="M1425" t="str">
            <v>unknown</v>
          </cell>
        </row>
        <row r="1426">
          <cell r="A1426">
            <v>1434</v>
          </cell>
          <cell r="B1426" t="str">
            <v>ja</v>
          </cell>
          <cell r="C1426" t="str">
            <v>メガ超越の果実</v>
          </cell>
          <cell r="D1426" t="str">
            <v>スキル進化素材</v>
          </cell>
          <cell r="E1426" t="str">
            <v>アリス</v>
          </cell>
          <cell r="F1426" t="str">
            <v>世界観</v>
          </cell>
          <cell r="G1426" t="str">
            <v>不明</v>
          </cell>
          <cell r="H1426" t="str">
            <v>yellow</v>
          </cell>
          <cell r="I1426">
            <v>4</v>
          </cell>
          <cell r="J1426" t="str">
            <v>Material</v>
          </cell>
          <cell r="K1426" t="str">
            <v>limitbreak</v>
          </cell>
          <cell r="L1426" t="str">
            <v>限界突破素材</v>
          </cell>
          <cell r="M1426" t="str">
            <v>unknown</v>
          </cell>
        </row>
        <row r="1427">
          <cell r="A1427">
            <v>1435</v>
          </cell>
          <cell r="B1427" t="str">
            <v>ja</v>
          </cell>
          <cell r="C1427" t="str">
            <v>ギガ超越の果実</v>
          </cell>
          <cell r="D1427" t="str">
            <v>スキル進化素材</v>
          </cell>
          <cell r="E1427" t="str">
            <v>アリス</v>
          </cell>
          <cell r="F1427" t="str">
            <v>世界観</v>
          </cell>
          <cell r="G1427" t="str">
            <v>不明</v>
          </cell>
          <cell r="H1427" t="str">
            <v>yellow</v>
          </cell>
          <cell r="I1427">
            <v>5</v>
          </cell>
          <cell r="J1427" t="str">
            <v>DropWizSS</v>
          </cell>
          <cell r="K1427" t="str">
            <v>limitbreak</v>
          </cell>
          <cell r="L1427" t="str">
            <v>限界突破素材</v>
          </cell>
          <cell r="M1427" t="str">
            <v>unknown</v>
          </cell>
        </row>
        <row r="1428">
          <cell r="A1428">
            <v>1436</v>
          </cell>
          <cell r="B1428" t="str">
            <v>ja</v>
          </cell>
          <cell r="C1428" t="str">
            <v>スパルタR4</v>
          </cell>
          <cell r="H1428" t="str">
            <v>blue</v>
          </cell>
          <cell r="I1428">
            <v>4</v>
          </cell>
          <cell r="J1428" t="str">
            <v>DropWizSS</v>
          </cell>
          <cell r="K1428" t="str">
            <v>attack</v>
          </cell>
          <cell r="L1428" t="str">
            <v>攻撃タイプ</v>
          </cell>
          <cell r="M1428" t="str">
            <v>human</v>
          </cell>
        </row>
        <row r="1429">
          <cell r="A1429">
            <v>1437</v>
          </cell>
          <cell r="B1429" t="str">
            <v>ja</v>
          </cell>
          <cell r="C1429" t="str">
            <v>スパルタR5</v>
          </cell>
          <cell r="H1429" t="str">
            <v>blue</v>
          </cell>
          <cell r="I1429">
            <v>5</v>
          </cell>
          <cell r="J1429" t="str">
            <v>DropWizSS</v>
          </cell>
          <cell r="K1429" t="str">
            <v>attack</v>
          </cell>
          <cell r="L1429" t="str">
            <v>攻撃タイプ</v>
          </cell>
          <cell r="M1429" t="str">
            <v>human</v>
          </cell>
        </row>
        <row r="1430">
          <cell r="A1430">
            <v>1438</v>
          </cell>
          <cell r="B1430" t="str">
            <v>ja</v>
          </cell>
          <cell r="C1430" t="str">
            <v>ゼノビアR5</v>
          </cell>
          <cell r="H1430" t="str">
            <v>green</v>
          </cell>
          <cell r="I1430">
            <v>5</v>
          </cell>
          <cell r="J1430" t="str">
            <v>DropWizS</v>
          </cell>
          <cell r="K1430" t="str">
            <v>attack</v>
          </cell>
          <cell r="L1430" t="str">
            <v>攻撃タイプ</v>
          </cell>
          <cell r="M1430" t="str">
            <v>human</v>
          </cell>
        </row>
        <row r="1431">
          <cell r="A1431">
            <v>1439</v>
          </cell>
          <cell r="B1431" t="str">
            <v>ja</v>
          </cell>
          <cell r="C1431" t="str">
            <v>ゼノビアR6</v>
          </cell>
          <cell r="H1431" t="str">
            <v>green</v>
          </cell>
          <cell r="I1431">
            <v>6</v>
          </cell>
          <cell r="J1431" t="str">
            <v>DropWizS</v>
          </cell>
          <cell r="K1431" t="str">
            <v>attack</v>
          </cell>
          <cell r="L1431" t="str">
            <v>攻撃タイプ</v>
          </cell>
          <cell r="M1431" t="str">
            <v>human</v>
          </cell>
        </row>
        <row r="1432">
          <cell r="A1432">
            <v>1440</v>
          </cell>
          <cell r="B1432" t="str">
            <v>ja</v>
          </cell>
          <cell r="C1432" t="str">
            <v>ブルータスR5</v>
          </cell>
          <cell r="H1432" t="str">
            <v>yellow</v>
          </cell>
          <cell r="I1432">
            <v>5</v>
          </cell>
          <cell r="J1432" t="str">
            <v>DropWizSS</v>
          </cell>
          <cell r="K1432" t="str">
            <v>technical</v>
          </cell>
          <cell r="L1432" t="str">
            <v>テクニカルタイプ</v>
          </cell>
          <cell r="M1432" t="str">
            <v>human</v>
          </cell>
        </row>
        <row r="1433">
          <cell r="A1433">
            <v>1441</v>
          </cell>
          <cell r="B1433" t="str">
            <v>ja</v>
          </cell>
          <cell r="C1433" t="str">
            <v>ブルータスR6</v>
          </cell>
          <cell r="H1433" t="str">
            <v>yellow</v>
          </cell>
          <cell r="I1433">
            <v>6</v>
          </cell>
          <cell r="J1433" t="str">
            <v>DropWizSS</v>
          </cell>
          <cell r="K1433" t="str">
            <v>technical</v>
          </cell>
          <cell r="L1433" t="str">
            <v>テクニカルタイプ</v>
          </cell>
          <cell r="M1433" t="str">
            <v>human</v>
          </cell>
        </row>
        <row r="1434">
          <cell r="A1434">
            <v>1442</v>
          </cell>
          <cell r="B1434" t="str">
            <v>ja</v>
          </cell>
          <cell r="C1434" t="str">
            <v>アレキサンダーR5</v>
          </cell>
          <cell r="H1434" t="str">
            <v>red</v>
          </cell>
          <cell r="I1434">
            <v>5</v>
          </cell>
          <cell r="J1434" t="str">
            <v>DropWizSS</v>
          </cell>
          <cell r="K1434" t="str">
            <v>hp</v>
          </cell>
          <cell r="L1434" t="str">
            <v>体力タイプ</v>
          </cell>
          <cell r="M1434" t="str">
            <v>human</v>
          </cell>
        </row>
        <row r="1435">
          <cell r="A1435">
            <v>1443</v>
          </cell>
          <cell r="B1435" t="str">
            <v>ja</v>
          </cell>
          <cell r="C1435" t="str">
            <v>アレキサンダーR6</v>
          </cell>
          <cell r="H1435" t="str">
            <v>red</v>
          </cell>
          <cell r="I1435">
            <v>6</v>
          </cell>
          <cell r="J1435" t="str">
            <v>DropWizSS</v>
          </cell>
          <cell r="K1435" t="str">
            <v>hp</v>
          </cell>
          <cell r="L1435" t="str">
            <v>体力タイプ</v>
          </cell>
          <cell r="M1435" t="str">
            <v>human</v>
          </cell>
        </row>
        <row r="1436">
          <cell r="A1436">
            <v>1444</v>
          </cell>
          <cell r="B1436" t="str">
            <v>ja</v>
          </cell>
          <cell r="C1436" t="str">
            <v>クレオパトラR5</v>
          </cell>
          <cell r="H1436" t="str">
            <v>red</v>
          </cell>
          <cell r="I1436">
            <v>5</v>
          </cell>
          <cell r="J1436" t="str">
            <v>PremiumSSw</v>
          </cell>
          <cell r="K1436" t="str">
            <v>technical</v>
          </cell>
          <cell r="L1436" t="str">
            <v>テクニカルタイプ</v>
          </cell>
          <cell r="M1436" t="str">
            <v>human</v>
          </cell>
        </row>
        <row r="1437">
          <cell r="A1437">
            <v>1445</v>
          </cell>
          <cell r="B1437" t="str">
            <v>ja</v>
          </cell>
          <cell r="C1437" t="str">
            <v>クレオパトラR6</v>
          </cell>
          <cell r="H1437" t="str">
            <v>red</v>
          </cell>
          <cell r="I1437">
            <v>6</v>
          </cell>
          <cell r="J1437" t="str">
            <v>PremiumSSw</v>
          </cell>
          <cell r="K1437" t="str">
            <v>technical</v>
          </cell>
          <cell r="L1437" t="str">
            <v>テクニカルタイプ</v>
          </cell>
          <cell r="M1437" t="str">
            <v>human</v>
          </cell>
        </row>
        <row r="1438">
          <cell r="A1438">
            <v>1446</v>
          </cell>
          <cell r="B1438" t="str">
            <v>ja</v>
          </cell>
          <cell r="C1438" t="str">
            <v>カエサルR5</v>
          </cell>
          <cell r="H1438" t="str">
            <v>green</v>
          </cell>
          <cell r="I1438">
            <v>5</v>
          </cell>
          <cell r="J1438" t="str">
            <v>PremiumSS</v>
          </cell>
          <cell r="K1438" t="str">
            <v>technical</v>
          </cell>
          <cell r="L1438" t="str">
            <v>テクニカルタイプ</v>
          </cell>
          <cell r="M1438" t="str">
            <v>human</v>
          </cell>
        </row>
        <row r="1439">
          <cell r="A1439">
            <v>1447</v>
          </cell>
          <cell r="B1439" t="str">
            <v>ja</v>
          </cell>
          <cell r="C1439" t="str">
            <v>カエサルR6</v>
          </cell>
          <cell r="H1439" t="str">
            <v>green</v>
          </cell>
          <cell r="I1439">
            <v>6</v>
          </cell>
          <cell r="J1439" t="str">
            <v>PremiumSS</v>
          </cell>
          <cell r="K1439" t="str">
            <v>technical</v>
          </cell>
          <cell r="L1439" t="str">
            <v>テクニカルタイプ</v>
          </cell>
          <cell r="M1439" t="str">
            <v>human</v>
          </cell>
        </row>
        <row r="1440">
          <cell r="A1440">
            <v>1448</v>
          </cell>
          <cell r="B1440" t="str">
            <v>ja</v>
          </cell>
          <cell r="C1440" t="str">
            <v>ハンニバルR5</v>
          </cell>
          <cell r="H1440" t="str">
            <v>blue</v>
          </cell>
          <cell r="I1440">
            <v>5</v>
          </cell>
          <cell r="J1440" t="str">
            <v>PremiumSS</v>
          </cell>
          <cell r="K1440" t="str">
            <v>balance</v>
          </cell>
          <cell r="L1440" t="str">
            <v>バランスタイプ</v>
          </cell>
          <cell r="M1440" t="str">
            <v>hero</v>
          </cell>
        </row>
        <row r="1441">
          <cell r="A1441">
            <v>1449</v>
          </cell>
          <cell r="B1441" t="str">
            <v>ja</v>
          </cell>
          <cell r="C1441" t="str">
            <v>ハンニバルR6</v>
          </cell>
          <cell r="H1441" t="str">
            <v>blue</v>
          </cell>
          <cell r="I1441">
            <v>6</v>
          </cell>
          <cell r="J1441" t="str">
            <v>PremiumSS</v>
          </cell>
          <cell r="K1441" t="str">
            <v>balance</v>
          </cell>
          <cell r="L1441" t="str">
            <v>バランスタイプ</v>
          </cell>
          <cell r="M1441" t="str">
            <v>hero</v>
          </cell>
        </row>
        <row r="1442">
          <cell r="A1442">
            <v>1450</v>
          </cell>
          <cell r="B1442" t="str">
            <v>ja</v>
          </cell>
          <cell r="C1442" t="str">
            <v>ブーディカR4</v>
          </cell>
          <cell r="H1442" t="str">
            <v>yellow</v>
          </cell>
          <cell r="I1442">
            <v>4</v>
          </cell>
          <cell r="J1442" t="str">
            <v>DropWizSS</v>
          </cell>
          <cell r="K1442" t="str">
            <v>technical</v>
          </cell>
          <cell r="L1442" t="str">
            <v>テクニカルタイプ</v>
          </cell>
          <cell r="M1442" t="str">
            <v>unknown</v>
          </cell>
        </row>
        <row r="1443">
          <cell r="A1443">
            <v>1451</v>
          </cell>
          <cell r="B1443" t="str">
            <v>ja</v>
          </cell>
          <cell r="C1443" t="str">
            <v>ブーディカR5</v>
          </cell>
          <cell r="H1443" t="str">
            <v>yellow</v>
          </cell>
          <cell r="I1443">
            <v>5</v>
          </cell>
          <cell r="J1443" t="str">
            <v>DropWizSS</v>
          </cell>
          <cell r="K1443" t="str">
            <v>balance</v>
          </cell>
          <cell r="L1443" t="str">
            <v>バランスタイプ</v>
          </cell>
          <cell r="M1443" t="str">
            <v>unknown</v>
          </cell>
        </row>
        <row r="1444">
          <cell r="A1444">
            <v>1452</v>
          </cell>
          <cell r="B1444" t="str">
            <v>ja</v>
          </cell>
          <cell r="C1444" t="str">
            <v>メルセンヌ</v>
          </cell>
          <cell r="D1444" t="str">
            <v>未定</v>
          </cell>
          <cell r="E1444" t="str">
            <v>アリス</v>
          </cell>
          <cell r="F1444" t="str">
            <v>世界観</v>
          </cell>
          <cell r="G1444" t="str">
            <v>不明</v>
          </cell>
          <cell r="H1444" t="str">
            <v>yellow</v>
          </cell>
          <cell r="I1444">
            <v>5</v>
          </cell>
          <cell r="J1444" t="str">
            <v>PremiumSSS</v>
          </cell>
          <cell r="K1444" t="str">
            <v>hp</v>
          </cell>
          <cell r="L1444" t="str">
            <v>体力タイプ</v>
          </cell>
          <cell r="M1444" t="str">
            <v>academia</v>
          </cell>
        </row>
        <row r="1445">
          <cell r="A1445">
            <v>1453</v>
          </cell>
          <cell r="B1445" t="str">
            <v>ja</v>
          </cell>
          <cell r="C1445" t="str">
            <v>数解の自鳴琴 メルセンヌ</v>
          </cell>
          <cell r="D1445" t="str">
            <v>未定</v>
          </cell>
          <cell r="E1445" t="str">
            <v>アリス</v>
          </cell>
          <cell r="F1445" t="str">
            <v>世界観</v>
          </cell>
          <cell r="G1445" t="str">
            <v>不明</v>
          </cell>
          <cell r="H1445" t="str">
            <v>yellow</v>
          </cell>
          <cell r="I1445">
            <v>6</v>
          </cell>
          <cell r="J1445" t="str">
            <v>PremiumSSS</v>
          </cell>
          <cell r="K1445" t="str">
            <v>hp</v>
          </cell>
          <cell r="L1445" t="str">
            <v>体力タイプ</v>
          </cell>
          <cell r="M1445" t="str">
            <v>academia</v>
          </cell>
        </row>
        <row r="1446">
          <cell r="A1446">
            <v>1454</v>
          </cell>
          <cell r="B1446" t="str">
            <v>ja</v>
          </cell>
          <cell r="C1446" t="str">
            <v>ストレングス</v>
          </cell>
          <cell r="D1446" t="str">
            <v>未定</v>
          </cell>
          <cell r="E1446" t="str">
            <v>アリス</v>
          </cell>
          <cell r="F1446" t="str">
            <v>世界観</v>
          </cell>
          <cell r="G1446" t="str">
            <v>不明</v>
          </cell>
          <cell r="H1446" t="str">
            <v>red</v>
          </cell>
          <cell r="I1446">
            <v>5</v>
          </cell>
          <cell r="J1446" t="str">
            <v>PremiumSSS</v>
          </cell>
          <cell r="K1446" t="str">
            <v>balance</v>
          </cell>
          <cell r="L1446" t="str">
            <v>バランスタイプ</v>
          </cell>
          <cell r="M1446" t="str">
            <v>god</v>
          </cell>
        </row>
        <row r="1447">
          <cell r="A1447">
            <v>1455</v>
          </cell>
          <cell r="B1447" t="str">
            <v>ja</v>
          </cell>
          <cell r="C1447" t="str">
            <v>豪毅なる征獣師 ストレングス</v>
          </cell>
          <cell r="D1447" t="str">
            <v>未定</v>
          </cell>
          <cell r="E1447" t="str">
            <v>アリス</v>
          </cell>
          <cell r="F1447" t="str">
            <v>世界観</v>
          </cell>
          <cell r="G1447" t="str">
            <v>不明</v>
          </cell>
          <cell r="H1447" t="str">
            <v>red</v>
          </cell>
          <cell r="I1447">
            <v>6</v>
          </cell>
          <cell r="J1447" t="str">
            <v>PremiumSSS</v>
          </cell>
          <cell r="K1447" t="str">
            <v>balance</v>
          </cell>
          <cell r="L1447" t="str">
            <v>バランスタイプ</v>
          </cell>
          <cell r="M1447" t="str">
            <v>god</v>
          </cell>
        </row>
        <row r="1448">
          <cell r="A1448">
            <v>1456</v>
          </cell>
          <cell r="B1448" t="str">
            <v>ja</v>
          </cell>
          <cell r="C1448" t="str">
            <v>ネセバル</v>
          </cell>
          <cell r="H1448" t="str">
            <v>blue</v>
          </cell>
          <cell r="I1448">
            <v>5</v>
          </cell>
          <cell r="J1448" t="str">
            <v>PremiumSSw</v>
          </cell>
          <cell r="K1448" t="str">
            <v>attack</v>
          </cell>
          <cell r="L1448" t="str">
            <v>攻撃タイプ</v>
          </cell>
          <cell r="M1448" t="str">
            <v>hero</v>
          </cell>
        </row>
        <row r="1449">
          <cell r="A1449">
            <v>1457</v>
          </cell>
          <cell r="B1449" t="str">
            <v>ja</v>
          </cell>
          <cell r="C1449" t="str">
            <v>碧影の聖跡 ネセバル</v>
          </cell>
          <cell r="H1449" t="str">
            <v>blue</v>
          </cell>
          <cell r="I1449">
            <v>6</v>
          </cell>
          <cell r="J1449" t="str">
            <v>PremiumSSw</v>
          </cell>
          <cell r="K1449" t="str">
            <v>attack</v>
          </cell>
          <cell r="L1449" t="str">
            <v>攻撃タイプ</v>
          </cell>
          <cell r="M1449" t="str">
            <v>hero</v>
          </cell>
        </row>
        <row r="1450">
          <cell r="A1450">
            <v>1458</v>
          </cell>
          <cell r="B1450" t="str">
            <v>ja</v>
          </cell>
          <cell r="C1450" t="str">
            <v>diamond01</v>
          </cell>
          <cell r="H1450" t="str">
            <v>red</v>
          </cell>
          <cell r="I1450">
            <v>5</v>
          </cell>
          <cell r="J1450" t="str">
            <v>PremiumSS</v>
          </cell>
          <cell r="K1450" t="str">
            <v>attack</v>
          </cell>
          <cell r="L1450" t="str">
            <v>攻撃タイプ</v>
          </cell>
          <cell r="M1450" t="str">
            <v>human</v>
          </cell>
        </row>
        <row r="1451">
          <cell r="A1451">
            <v>1459</v>
          </cell>
          <cell r="B1451" t="str">
            <v>ja</v>
          </cell>
          <cell r="C1451" t="str">
            <v>diamond02</v>
          </cell>
          <cell r="H1451" t="str">
            <v>red</v>
          </cell>
          <cell r="I1451">
            <v>6</v>
          </cell>
          <cell r="J1451" t="str">
            <v>PremiumSS</v>
          </cell>
          <cell r="K1451" t="str">
            <v>attack</v>
          </cell>
          <cell r="L1451" t="str">
            <v>攻撃タイプ</v>
          </cell>
          <cell r="M1451" t="str">
            <v>human</v>
          </cell>
        </row>
        <row r="1452">
          <cell r="A1452">
            <v>1460</v>
          </cell>
          <cell r="B1452" t="str">
            <v>ja</v>
          </cell>
          <cell r="C1452" t="str">
            <v>opal01</v>
          </cell>
          <cell r="H1452" t="str">
            <v>blue</v>
          </cell>
          <cell r="I1452">
            <v>4</v>
          </cell>
          <cell r="J1452" t="str">
            <v>PremiumS</v>
          </cell>
          <cell r="K1452" t="str">
            <v>balance</v>
          </cell>
          <cell r="L1452" t="str">
            <v>バランスタイプ</v>
          </cell>
          <cell r="M1452" t="str">
            <v>human</v>
          </cell>
        </row>
        <row r="1453">
          <cell r="A1453">
            <v>1461</v>
          </cell>
          <cell r="B1453" t="str">
            <v>ja</v>
          </cell>
          <cell r="C1453" t="str">
            <v>opal02</v>
          </cell>
          <cell r="H1453" t="str">
            <v>blue</v>
          </cell>
          <cell r="I1453">
            <v>5</v>
          </cell>
          <cell r="J1453" t="str">
            <v>PremiumS</v>
          </cell>
          <cell r="K1453" t="str">
            <v>balance</v>
          </cell>
          <cell r="L1453" t="str">
            <v>バランスタイプ</v>
          </cell>
          <cell r="M1453" t="str">
            <v>human</v>
          </cell>
        </row>
        <row r="1454">
          <cell r="A1454">
            <v>1462</v>
          </cell>
          <cell r="B1454" t="str">
            <v>ja</v>
          </cell>
          <cell r="C1454" t="str">
            <v>ruby01</v>
          </cell>
          <cell r="H1454" t="str">
            <v>yellow</v>
          </cell>
          <cell r="I1454">
            <v>5</v>
          </cell>
          <cell r="J1454" t="str">
            <v>PremiumSS</v>
          </cell>
          <cell r="K1454" t="str">
            <v>technical</v>
          </cell>
          <cell r="L1454" t="str">
            <v>テクニカルタイプ</v>
          </cell>
          <cell r="M1454" t="str">
            <v>human</v>
          </cell>
        </row>
        <row r="1455">
          <cell r="A1455">
            <v>1463</v>
          </cell>
          <cell r="B1455" t="str">
            <v>ja</v>
          </cell>
          <cell r="C1455" t="str">
            <v>ruby02</v>
          </cell>
          <cell r="H1455" t="str">
            <v>yellow</v>
          </cell>
          <cell r="I1455">
            <v>6</v>
          </cell>
          <cell r="J1455" t="str">
            <v>PremiumSS</v>
          </cell>
          <cell r="K1455" t="str">
            <v>technical</v>
          </cell>
          <cell r="L1455" t="str">
            <v>テクニカルタイプ</v>
          </cell>
          <cell r="M1455" t="str">
            <v>human</v>
          </cell>
        </row>
        <row r="1456">
          <cell r="A1456">
            <v>1464</v>
          </cell>
          <cell r="B1456" t="str">
            <v>ja</v>
          </cell>
          <cell r="C1456" t="str">
            <v>garnet01</v>
          </cell>
          <cell r="H1456" t="str">
            <v>yellow</v>
          </cell>
          <cell r="I1456">
            <v>5</v>
          </cell>
          <cell r="J1456" t="str">
            <v>PremiumSS</v>
          </cell>
          <cell r="K1456" t="str">
            <v>hp</v>
          </cell>
          <cell r="L1456" t="str">
            <v>体力タイプ</v>
          </cell>
          <cell r="M1456" t="str">
            <v>human</v>
          </cell>
        </row>
        <row r="1457">
          <cell r="A1457">
            <v>1465</v>
          </cell>
          <cell r="B1457" t="str">
            <v>ja</v>
          </cell>
          <cell r="C1457" t="str">
            <v>garnet02</v>
          </cell>
          <cell r="H1457" t="str">
            <v>yellow</v>
          </cell>
          <cell r="I1457">
            <v>6</v>
          </cell>
          <cell r="J1457" t="str">
            <v>PremiumSS</v>
          </cell>
          <cell r="K1457" t="str">
            <v>hp</v>
          </cell>
          <cell r="L1457" t="str">
            <v>体力タイプ</v>
          </cell>
          <cell r="M1457" t="str">
            <v>human</v>
          </cell>
        </row>
        <row r="1458">
          <cell r="A1458">
            <v>1466</v>
          </cell>
          <cell r="B1458" t="str">
            <v>ja</v>
          </cell>
          <cell r="C1458" t="str">
            <v>sapphire01</v>
          </cell>
          <cell r="H1458" t="str">
            <v>blue</v>
          </cell>
          <cell r="I1458">
            <v>5</v>
          </cell>
          <cell r="J1458" t="str">
            <v>DropWizS</v>
          </cell>
          <cell r="K1458" t="str">
            <v>attack</v>
          </cell>
          <cell r="L1458" t="str">
            <v>攻撃タイプ</v>
          </cell>
          <cell r="M1458" t="str">
            <v>human</v>
          </cell>
        </row>
        <row r="1459">
          <cell r="A1459">
            <v>1467</v>
          </cell>
          <cell r="B1459" t="str">
            <v>ja</v>
          </cell>
          <cell r="C1459" t="str">
            <v>sapphire02</v>
          </cell>
          <cell r="H1459" t="str">
            <v>blue</v>
          </cell>
          <cell r="I1459">
            <v>6</v>
          </cell>
          <cell r="J1459" t="str">
            <v>DropWizS</v>
          </cell>
          <cell r="K1459" t="str">
            <v>attack</v>
          </cell>
          <cell r="L1459" t="str">
            <v>攻撃タイプ</v>
          </cell>
          <cell r="M1459" t="str">
            <v>human</v>
          </cell>
        </row>
        <row r="1460">
          <cell r="A1460">
            <v>1468</v>
          </cell>
          <cell r="B1460" t="str">
            <v>ja</v>
          </cell>
          <cell r="C1460" t="str">
            <v>emerald01</v>
          </cell>
          <cell r="H1460" t="str">
            <v>green</v>
          </cell>
          <cell r="I1460">
            <v>5</v>
          </cell>
          <cell r="J1460" t="str">
            <v>Drop2N</v>
          </cell>
          <cell r="K1460" t="str">
            <v>attack</v>
          </cell>
          <cell r="L1460" t="str">
            <v>攻撃タイプ</v>
          </cell>
          <cell r="M1460" t="str">
            <v>unknown</v>
          </cell>
        </row>
        <row r="1461">
          <cell r="A1461">
            <v>1469</v>
          </cell>
          <cell r="B1461" t="str">
            <v>ja</v>
          </cell>
          <cell r="C1461" t="str">
            <v>aquamarine01</v>
          </cell>
          <cell r="H1461" t="str">
            <v>yellow</v>
          </cell>
          <cell r="I1461">
            <v>5</v>
          </cell>
          <cell r="J1461" t="str">
            <v>Drop2N</v>
          </cell>
          <cell r="K1461" t="str">
            <v>technical</v>
          </cell>
          <cell r="L1461" t="str">
            <v>テクニカルタイプ</v>
          </cell>
          <cell r="M1461" t="str">
            <v>unknown</v>
          </cell>
        </row>
        <row r="1462">
          <cell r="A1462">
            <v>1470</v>
          </cell>
          <cell r="B1462" t="str">
            <v>ja</v>
          </cell>
          <cell r="C1462" t="str">
            <v>amethyst01</v>
          </cell>
          <cell r="H1462" t="str">
            <v>red</v>
          </cell>
          <cell r="I1462">
            <v>5</v>
          </cell>
          <cell r="J1462" t="str">
            <v>Drop2N</v>
          </cell>
          <cell r="K1462" t="str">
            <v>balance</v>
          </cell>
          <cell r="L1462" t="str">
            <v>バランスタイプ</v>
          </cell>
          <cell r="M1462" t="str">
            <v>unknown</v>
          </cell>
        </row>
        <row r="1463">
          <cell r="A1463">
            <v>1471</v>
          </cell>
          <cell r="B1463" t="str">
            <v>ja</v>
          </cell>
          <cell r="C1463" t="str">
            <v>エイプリルアーサー</v>
          </cell>
          <cell r="H1463" t="str">
            <v>red</v>
          </cell>
          <cell r="I1463">
            <v>6</v>
          </cell>
          <cell r="J1463" t="str">
            <v>DropWizS</v>
          </cell>
          <cell r="K1463" t="str">
            <v>balance</v>
          </cell>
          <cell r="L1463" t="str">
            <v>バランスタイプ</v>
          </cell>
          <cell r="M1463" t="str">
            <v>unknown</v>
          </cell>
        </row>
        <row r="1464">
          <cell r="A1464">
            <v>1488</v>
          </cell>
          <cell r="B1464" t="str">
            <v>ja</v>
          </cell>
          <cell r="C1464" t="str">
            <v>デカルトR5</v>
          </cell>
          <cell r="D1464" t="str">
            <v>未定</v>
          </cell>
          <cell r="E1464" t="str">
            <v>アリス</v>
          </cell>
          <cell r="F1464" t="str">
            <v>世界観</v>
          </cell>
          <cell r="G1464" t="str">
            <v>不明</v>
          </cell>
          <cell r="H1464" t="str">
            <v>red</v>
          </cell>
          <cell r="I1464">
            <v>5</v>
          </cell>
          <cell r="J1464" t="str">
            <v>PremiumSSS</v>
          </cell>
          <cell r="K1464" t="str">
            <v>hp</v>
          </cell>
          <cell r="L1464" t="str">
            <v>体力タイプ</v>
          </cell>
          <cell r="M1464" t="str">
            <v>academia</v>
          </cell>
        </row>
        <row r="1465">
          <cell r="A1465">
            <v>1489</v>
          </cell>
          <cell r="B1465" t="str">
            <v>ja</v>
          </cell>
          <cell r="C1465" t="str">
            <v>デカルトR6</v>
          </cell>
          <cell r="D1465" t="str">
            <v>未定</v>
          </cell>
          <cell r="E1465" t="str">
            <v>アリス</v>
          </cell>
          <cell r="F1465" t="str">
            <v>世界観</v>
          </cell>
          <cell r="G1465" t="str">
            <v>不明</v>
          </cell>
          <cell r="H1465" t="str">
            <v>red</v>
          </cell>
          <cell r="I1465">
            <v>6</v>
          </cell>
          <cell r="J1465" t="str">
            <v>PremiumSSS</v>
          </cell>
          <cell r="K1465" t="str">
            <v>hp</v>
          </cell>
          <cell r="L1465" t="str">
            <v>体力タイプ</v>
          </cell>
          <cell r="M1465" t="str">
            <v>academia</v>
          </cell>
        </row>
        <row r="1466">
          <cell r="A1466">
            <v>1490</v>
          </cell>
          <cell r="B1466" t="str">
            <v>ja</v>
          </cell>
          <cell r="C1466" t="str">
            <v>パラケルスス</v>
          </cell>
          <cell r="D1466" t="str">
            <v>未定</v>
          </cell>
          <cell r="E1466" t="str">
            <v>アリス</v>
          </cell>
          <cell r="F1466" t="str">
            <v>世界観</v>
          </cell>
          <cell r="G1466" t="str">
            <v>不明</v>
          </cell>
          <cell r="H1466" t="str">
            <v>red</v>
          </cell>
          <cell r="I1466">
            <v>5</v>
          </cell>
          <cell r="J1466" t="str">
            <v>PremiumSSS</v>
          </cell>
          <cell r="K1466" t="str">
            <v>heal</v>
          </cell>
          <cell r="L1466" t="str">
            <v>回復タイプ</v>
          </cell>
          <cell r="M1466" t="str">
            <v>academia</v>
          </cell>
        </row>
        <row r="1467">
          <cell r="A1467">
            <v>1491</v>
          </cell>
          <cell r="B1467" t="str">
            <v>ja</v>
          </cell>
          <cell r="C1467" t="str">
            <v>真緋の紅玉 パラケルスス</v>
          </cell>
          <cell r="D1467" t="str">
            <v>未定</v>
          </cell>
          <cell r="E1467" t="str">
            <v>アリス</v>
          </cell>
          <cell r="F1467" t="str">
            <v>世界観</v>
          </cell>
          <cell r="G1467" t="str">
            <v>不明</v>
          </cell>
          <cell r="H1467" t="str">
            <v>red</v>
          </cell>
          <cell r="I1467">
            <v>6</v>
          </cell>
          <cell r="J1467" t="str">
            <v>PremiumSSS</v>
          </cell>
          <cell r="K1467" t="str">
            <v>heal</v>
          </cell>
          <cell r="L1467" t="str">
            <v>回復タイプ</v>
          </cell>
          <cell r="M1467" t="str">
            <v>academia</v>
          </cell>
        </row>
        <row r="1468">
          <cell r="A1468">
            <v>1495</v>
          </cell>
          <cell r="B1468" t="str">
            <v>ja</v>
          </cell>
          <cell r="C1468" t="str">
            <v>桜乱の武奏術 牛若丸</v>
          </cell>
          <cell r="D1468" t="str">
            <v>未定</v>
          </cell>
          <cell r="E1468" t="str">
            <v>アリス</v>
          </cell>
          <cell r="F1468" t="str">
            <v>世界観</v>
          </cell>
          <cell r="G1468" t="str">
            <v>不明</v>
          </cell>
          <cell r="H1468" t="str">
            <v>yellow</v>
          </cell>
          <cell r="I1468">
            <v>6</v>
          </cell>
          <cell r="J1468" t="str">
            <v>PremiumSS</v>
          </cell>
          <cell r="K1468" t="str">
            <v>balance</v>
          </cell>
          <cell r="L1468" t="str">
            <v>バランスタイプ</v>
          </cell>
          <cell r="M1468" t="str">
            <v>samurai</v>
          </cell>
        </row>
        <row r="1469">
          <cell r="A1469">
            <v>1496</v>
          </cell>
          <cell r="B1469" t="str">
            <v>ja</v>
          </cell>
          <cell r="C1469" t="str">
            <v>晴眼桜花一文字 沖田総司</v>
          </cell>
          <cell r="D1469" t="str">
            <v>未定</v>
          </cell>
          <cell r="E1469" t="str">
            <v>アリス</v>
          </cell>
          <cell r="F1469" t="str">
            <v>世界観</v>
          </cell>
          <cell r="G1469" t="str">
            <v>不明</v>
          </cell>
          <cell r="H1469" t="str">
            <v>green</v>
          </cell>
          <cell r="I1469">
            <v>6</v>
          </cell>
          <cell r="J1469" t="str">
            <v>PremiumSS</v>
          </cell>
          <cell r="K1469" t="str">
            <v>hp</v>
          </cell>
          <cell r="L1469" t="str">
            <v>体力タイプ</v>
          </cell>
          <cell r="M1469" t="str">
            <v>samurai</v>
          </cell>
        </row>
        <row r="1470">
          <cell r="A1470">
            <v>1497</v>
          </cell>
          <cell r="B1470" t="str">
            <v>ja</v>
          </cell>
          <cell r="C1470" t="str">
            <v>ヨシノ</v>
          </cell>
          <cell r="H1470" t="str">
            <v>blue</v>
          </cell>
          <cell r="I1470">
            <v>5</v>
          </cell>
          <cell r="J1470" t="str">
            <v>DropWizS</v>
          </cell>
          <cell r="K1470" t="str">
            <v>heal</v>
          </cell>
          <cell r="L1470" t="str">
            <v>回復タイプ</v>
          </cell>
          <cell r="M1470" t="str">
            <v>fantasy</v>
          </cell>
        </row>
        <row r="1471">
          <cell r="A1471">
            <v>1498</v>
          </cell>
          <cell r="B1471" t="str">
            <v>ja</v>
          </cell>
          <cell r="C1471" t="str">
            <v>咲誇る夢見草 ヨシノ</v>
          </cell>
          <cell r="H1471" t="str">
            <v>blue</v>
          </cell>
          <cell r="I1471">
            <v>6</v>
          </cell>
          <cell r="J1471" t="str">
            <v>DropWizS</v>
          </cell>
          <cell r="K1471" t="str">
            <v>heal</v>
          </cell>
          <cell r="L1471" t="str">
            <v>回復タイプ</v>
          </cell>
          <cell r="M1471" t="str">
            <v>fantasy</v>
          </cell>
        </row>
        <row r="1472">
          <cell r="A1472">
            <v>1499</v>
          </cell>
          <cell r="B1472" t="str">
            <v>ja</v>
          </cell>
          <cell r="C1472" t="str">
            <v>コノハナサクヤ</v>
          </cell>
          <cell r="D1472" t="str">
            <v>未定</v>
          </cell>
          <cell r="E1472" t="str">
            <v>アリス</v>
          </cell>
          <cell r="F1472" t="str">
            <v>世界観</v>
          </cell>
          <cell r="G1472" t="str">
            <v>不明</v>
          </cell>
          <cell r="H1472" t="str">
            <v>yellow</v>
          </cell>
          <cell r="I1472">
            <v>5</v>
          </cell>
          <cell r="J1472" t="str">
            <v>PremiumSS</v>
          </cell>
          <cell r="K1472" t="str">
            <v>technical</v>
          </cell>
          <cell r="L1472" t="str">
            <v>テクニカルタイプ</v>
          </cell>
          <cell r="M1472" t="str">
            <v>god</v>
          </cell>
        </row>
        <row r="1473">
          <cell r="A1473">
            <v>1500</v>
          </cell>
          <cell r="B1473" t="str">
            <v>ja</v>
          </cell>
          <cell r="C1473" t="str">
            <v>櫻歌する開華 コノハナサクヤ</v>
          </cell>
          <cell r="D1473" t="str">
            <v>未定</v>
          </cell>
          <cell r="E1473" t="str">
            <v>アリス</v>
          </cell>
          <cell r="F1473" t="str">
            <v>世界観</v>
          </cell>
          <cell r="G1473" t="str">
            <v>不明</v>
          </cell>
          <cell r="H1473" t="str">
            <v>yellow</v>
          </cell>
          <cell r="I1473">
            <v>6</v>
          </cell>
          <cell r="J1473" t="str">
            <v>PremiumSS</v>
          </cell>
          <cell r="K1473" t="str">
            <v>technical</v>
          </cell>
          <cell r="L1473" t="str">
            <v>テクニカルタイプ</v>
          </cell>
          <cell r="M1473" t="str">
            <v>god</v>
          </cell>
        </row>
        <row r="1474">
          <cell r="A1474">
            <v>1501</v>
          </cell>
          <cell r="B1474" t="str">
            <v>ja</v>
          </cell>
          <cell r="C1474" t="str">
            <v>晴舞台の桜舞 ドガ</v>
          </cell>
          <cell r="H1474" t="str">
            <v>blue</v>
          </cell>
          <cell r="I1474">
            <v>6</v>
          </cell>
          <cell r="J1474" t="str">
            <v>PremiumSS</v>
          </cell>
          <cell r="K1474" t="str">
            <v>balance</v>
          </cell>
          <cell r="L1474" t="str">
            <v>バランスタイプ</v>
          </cell>
          <cell r="M1474" t="str">
            <v>animal</v>
          </cell>
        </row>
        <row r="1475">
          <cell r="A1475">
            <v>1502</v>
          </cell>
          <cell r="B1475" t="str">
            <v>ja</v>
          </cell>
          <cell r="C1475" t="str">
            <v>打咲かす桜花灯 トリスタン</v>
          </cell>
          <cell r="H1475" t="str">
            <v>red</v>
          </cell>
          <cell r="I1475">
            <v>5</v>
          </cell>
          <cell r="J1475" t="str">
            <v>PremiumS</v>
          </cell>
          <cell r="K1475" t="str">
            <v>attack</v>
          </cell>
          <cell r="L1475" t="str">
            <v>攻撃タイプ</v>
          </cell>
          <cell r="M1475" t="str">
            <v>human</v>
          </cell>
        </row>
        <row r="1476">
          <cell r="A1476">
            <v>1503</v>
          </cell>
          <cell r="B1476" t="str">
            <v>ja</v>
          </cell>
          <cell r="C1476" t="str">
            <v>春纏う蛇撫子 ヨルムンガンド</v>
          </cell>
          <cell r="H1476" t="str">
            <v>yellow</v>
          </cell>
          <cell r="I1476">
            <v>5</v>
          </cell>
          <cell r="J1476" t="str">
            <v>PremiumS</v>
          </cell>
          <cell r="K1476" t="str">
            <v>technical</v>
          </cell>
          <cell r="L1476" t="str">
            <v>テクニカルタイプ</v>
          </cell>
          <cell r="M1476" t="str">
            <v>dragon</v>
          </cell>
        </row>
        <row r="1477">
          <cell r="A1477">
            <v>1504</v>
          </cell>
          <cell r="B1477" t="str">
            <v>ja</v>
          </cell>
          <cell r="C1477" t="str">
            <v>ネコ</v>
          </cell>
          <cell r="H1477" t="str">
            <v>red</v>
          </cell>
          <cell r="I1477">
            <v>1</v>
          </cell>
          <cell r="J1477" t="str">
            <v>Drop1T</v>
          </cell>
          <cell r="K1477" t="str">
            <v>balance</v>
          </cell>
          <cell r="L1477" t="str">
            <v>バランスタイプ</v>
          </cell>
          <cell r="M1477" t="str">
            <v>unknown</v>
          </cell>
        </row>
        <row r="1478">
          <cell r="A1478">
            <v>1505</v>
          </cell>
          <cell r="B1478" t="str">
            <v>ja</v>
          </cell>
          <cell r="C1478" t="str">
            <v>タンクネコ</v>
          </cell>
          <cell r="H1478" t="str">
            <v>green</v>
          </cell>
          <cell r="I1478">
            <v>1</v>
          </cell>
          <cell r="J1478" t="str">
            <v>Drop1T</v>
          </cell>
          <cell r="K1478" t="str">
            <v>hp</v>
          </cell>
          <cell r="L1478" t="str">
            <v>体力タイプ</v>
          </cell>
          <cell r="M1478" t="str">
            <v>unknown</v>
          </cell>
        </row>
        <row r="1479">
          <cell r="A1479">
            <v>1506</v>
          </cell>
          <cell r="B1479" t="str">
            <v>ja</v>
          </cell>
          <cell r="C1479" t="str">
            <v>バトルネコ</v>
          </cell>
          <cell r="H1479" t="str">
            <v>yellow</v>
          </cell>
          <cell r="I1479">
            <v>2</v>
          </cell>
          <cell r="J1479" t="str">
            <v>Drop1S</v>
          </cell>
          <cell r="K1479" t="str">
            <v>attack</v>
          </cell>
          <cell r="L1479" t="str">
            <v>攻撃タイプ</v>
          </cell>
          <cell r="M1479" t="str">
            <v>unknown</v>
          </cell>
        </row>
        <row r="1480">
          <cell r="A1480">
            <v>1507</v>
          </cell>
          <cell r="B1480" t="str">
            <v>ja</v>
          </cell>
          <cell r="C1480" t="str">
            <v>キモネコ</v>
          </cell>
          <cell r="H1480" t="str">
            <v>blue</v>
          </cell>
          <cell r="I1480">
            <v>3</v>
          </cell>
          <cell r="J1480" t="str">
            <v>Drop2N</v>
          </cell>
          <cell r="K1480" t="str">
            <v>technical</v>
          </cell>
          <cell r="L1480" t="str">
            <v>テクニカルタイプ</v>
          </cell>
          <cell r="M1480" t="str">
            <v>unknown</v>
          </cell>
        </row>
        <row r="1481">
          <cell r="A1481">
            <v>1508</v>
          </cell>
          <cell r="B1481" t="str">
            <v>ja</v>
          </cell>
          <cell r="C1481" t="str">
            <v>ネコノトリ</v>
          </cell>
          <cell r="H1481" t="str">
            <v>red</v>
          </cell>
          <cell r="I1481">
            <v>4</v>
          </cell>
          <cell r="J1481" t="str">
            <v>Drop2N</v>
          </cell>
          <cell r="K1481" t="str">
            <v>balance</v>
          </cell>
          <cell r="L1481" t="str">
            <v>バランスタイプ</v>
          </cell>
          <cell r="M1481" t="str">
            <v>unknown</v>
          </cell>
        </row>
        <row r="1482">
          <cell r="A1482">
            <v>1509</v>
          </cell>
          <cell r="B1482" t="str">
            <v>ja</v>
          </cell>
          <cell r="C1482" t="str">
            <v>巨神ネコ</v>
          </cell>
          <cell r="H1482" t="str">
            <v>green</v>
          </cell>
          <cell r="I1482">
            <v>5</v>
          </cell>
          <cell r="J1482" t="str">
            <v>Drop2N</v>
          </cell>
          <cell r="K1482" t="str">
            <v>hp</v>
          </cell>
          <cell r="L1482" t="str">
            <v>体力タイプ</v>
          </cell>
          <cell r="M1482" t="str">
            <v>god</v>
          </cell>
        </row>
        <row r="1483">
          <cell r="A1483">
            <v>1510</v>
          </cell>
          <cell r="B1483" t="str">
            <v>ja</v>
          </cell>
          <cell r="C1483" t="str">
            <v>ネコヴァルキリー</v>
          </cell>
          <cell r="H1483" t="str">
            <v>yellow</v>
          </cell>
          <cell r="I1483">
            <v>4</v>
          </cell>
          <cell r="J1483" t="str">
            <v>DropWizS</v>
          </cell>
          <cell r="K1483" t="str">
            <v>balance</v>
          </cell>
          <cell r="L1483" t="str">
            <v>バランスタイプ</v>
          </cell>
          <cell r="M1483" t="str">
            <v>god</v>
          </cell>
        </row>
        <row r="1484">
          <cell r="A1484">
            <v>1511</v>
          </cell>
          <cell r="B1484" t="str">
            <v>ja</v>
          </cell>
          <cell r="C1484" t="str">
            <v>ネコヴァルキリー･真</v>
          </cell>
          <cell r="H1484" t="str">
            <v>yellow</v>
          </cell>
          <cell r="I1484">
            <v>5</v>
          </cell>
          <cell r="J1484" t="str">
            <v>DropWizS</v>
          </cell>
          <cell r="K1484" t="str">
            <v>balance</v>
          </cell>
          <cell r="L1484" t="str">
            <v>バランスタイプ</v>
          </cell>
          <cell r="M1484" t="str">
            <v>god</v>
          </cell>
        </row>
        <row r="1485">
          <cell r="A1485">
            <v>1512</v>
          </cell>
          <cell r="B1485" t="str">
            <v>ja</v>
          </cell>
          <cell r="C1485" t="str">
            <v>ネコヴァルキリー･聖</v>
          </cell>
          <cell r="H1485" t="str">
            <v>yellow</v>
          </cell>
          <cell r="I1485">
            <v>6</v>
          </cell>
          <cell r="J1485" t="str">
            <v>DropWizS</v>
          </cell>
          <cell r="K1485" t="str">
            <v>balance</v>
          </cell>
          <cell r="L1485" t="str">
            <v>バランスタイプ</v>
          </cell>
          <cell r="M1485" t="str">
            <v>god</v>
          </cell>
        </row>
        <row r="1486">
          <cell r="A1486">
            <v>1513</v>
          </cell>
          <cell r="B1486" t="str">
            <v>ja</v>
          </cell>
          <cell r="C1486" t="str">
            <v>金ネコ</v>
          </cell>
          <cell r="H1486" t="str">
            <v>yellow</v>
          </cell>
          <cell r="I1486">
            <v>4</v>
          </cell>
          <cell r="J1486" t="str">
            <v>Material</v>
          </cell>
          <cell r="K1486" t="str">
            <v>coin</v>
          </cell>
          <cell r="L1486" t="str">
            <v>コインタイプ</v>
          </cell>
          <cell r="M1486" t="str">
            <v>unknown</v>
          </cell>
        </row>
        <row r="1487">
          <cell r="A1487">
            <v>1514</v>
          </cell>
          <cell r="B1487" t="str">
            <v>ja</v>
          </cell>
          <cell r="C1487" t="str">
            <v>金ネコビルダー</v>
          </cell>
          <cell r="H1487" t="str">
            <v>yellow</v>
          </cell>
          <cell r="I1487">
            <v>5</v>
          </cell>
          <cell r="J1487" t="str">
            <v>Material</v>
          </cell>
          <cell r="K1487" t="str">
            <v>coin</v>
          </cell>
          <cell r="L1487" t="str">
            <v>コインタイプ</v>
          </cell>
          <cell r="M1487" t="str">
            <v>unknown</v>
          </cell>
        </row>
        <row r="1488">
          <cell r="A1488">
            <v>1515</v>
          </cell>
          <cell r="B1488" t="str">
            <v>ja</v>
          </cell>
          <cell r="C1488" t="str">
            <v>赤メタルネコ</v>
          </cell>
          <cell r="H1488" t="str">
            <v>red</v>
          </cell>
          <cell r="I1488">
            <v>4</v>
          </cell>
          <cell r="J1488" t="str">
            <v>Material</v>
          </cell>
          <cell r="K1488" t="str">
            <v>exp</v>
          </cell>
          <cell r="L1488" t="str">
            <v>強化素材タイプ</v>
          </cell>
          <cell r="M1488" t="str">
            <v>unknown</v>
          </cell>
        </row>
        <row r="1489">
          <cell r="A1489">
            <v>1516</v>
          </cell>
          <cell r="B1489" t="str">
            <v>ja</v>
          </cell>
          <cell r="C1489" t="str">
            <v>赤メタルネコビルダー</v>
          </cell>
          <cell r="H1489" t="str">
            <v>red</v>
          </cell>
          <cell r="I1489">
            <v>5</v>
          </cell>
          <cell r="J1489" t="str">
            <v>Material</v>
          </cell>
          <cell r="K1489" t="str">
            <v>exp</v>
          </cell>
          <cell r="L1489" t="str">
            <v>強化素材タイプ</v>
          </cell>
          <cell r="M1489" t="str">
            <v>unknown</v>
          </cell>
        </row>
        <row r="1490">
          <cell r="A1490">
            <v>1517</v>
          </cell>
          <cell r="B1490" t="str">
            <v>ja</v>
          </cell>
          <cell r="C1490" t="str">
            <v>青メタルネコ</v>
          </cell>
          <cell r="H1490" t="str">
            <v>blue</v>
          </cell>
          <cell r="I1490">
            <v>4</v>
          </cell>
          <cell r="J1490" t="str">
            <v>Material</v>
          </cell>
          <cell r="K1490" t="str">
            <v>exp</v>
          </cell>
          <cell r="L1490" t="str">
            <v>強化素材タイプ</v>
          </cell>
          <cell r="M1490" t="str">
            <v>unknown</v>
          </cell>
        </row>
        <row r="1491">
          <cell r="A1491">
            <v>1518</v>
          </cell>
          <cell r="B1491" t="str">
            <v>ja</v>
          </cell>
          <cell r="C1491" t="str">
            <v>青メタルネコビルダー</v>
          </cell>
          <cell r="H1491" t="str">
            <v>blue</v>
          </cell>
          <cell r="I1491">
            <v>5</v>
          </cell>
          <cell r="J1491" t="str">
            <v>Material</v>
          </cell>
          <cell r="K1491" t="str">
            <v>exp</v>
          </cell>
          <cell r="L1491" t="str">
            <v>強化素材タイプ</v>
          </cell>
          <cell r="M1491" t="str">
            <v>unknown</v>
          </cell>
        </row>
        <row r="1492">
          <cell r="A1492">
            <v>1519</v>
          </cell>
          <cell r="B1492" t="str">
            <v>ja</v>
          </cell>
          <cell r="C1492" t="str">
            <v>緑メタルネコ</v>
          </cell>
          <cell r="H1492" t="str">
            <v>green</v>
          </cell>
          <cell r="I1492">
            <v>4</v>
          </cell>
          <cell r="J1492" t="str">
            <v>Material</v>
          </cell>
          <cell r="K1492" t="str">
            <v>exp</v>
          </cell>
          <cell r="L1492" t="str">
            <v>強化素材タイプ</v>
          </cell>
          <cell r="M1492" t="str">
            <v>unknown</v>
          </cell>
        </row>
        <row r="1493">
          <cell r="A1493">
            <v>1520</v>
          </cell>
          <cell r="B1493" t="str">
            <v>ja</v>
          </cell>
          <cell r="C1493" t="str">
            <v>緑メタルネコビルダー</v>
          </cell>
          <cell r="H1493" t="str">
            <v>green</v>
          </cell>
          <cell r="I1493">
            <v>5</v>
          </cell>
          <cell r="J1493" t="str">
            <v>Material</v>
          </cell>
          <cell r="K1493" t="str">
            <v>exp</v>
          </cell>
          <cell r="L1493" t="str">
            <v>強化素材タイプ</v>
          </cell>
          <cell r="M1493" t="str">
            <v>unknown</v>
          </cell>
        </row>
        <row r="1494">
          <cell r="A1494">
            <v>1521</v>
          </cell>
          <cell r="B1494" t="str">
            <v>ja</v>
          </cell>
          <cell r="C1494" t="str">
            <v>黄メタルネコ</v>
          </cell>
          <cell r="H1494" t="str">
            <v>yellow</v>
          </cell>
          <cell r="I1494">
            <v>4</v>
          </cell>
          <cell r="J1494" t="str">
            <v>Material</v>
          </cell>
          <cell r="K1494" t="str">
            <v>exp</v>
          </cell>
          <cell r="L1494" t="str">
            <v>強化素材タイプ</v>
          </cell>
          <cell r="M1494" t="str">
            <v>unknown</v>
          </cell>
        </row>
        <row r="1495">
          <cell r="A1495">
            <v>1522</v>
          </cell>
          <cell r="B1495" t="str">
            <v>ja</v>
          </cell>
          <cell r="C1495" t="str">
            <v>黄メタルネコビルダー</v>
          </cell>
          <cell r="H1495" t="str">
            <v>yellow</v>
          </cell>
          <cell r="I1495">
            <v>5</v>
          </cell>
          <cell r="J1495" t="str">
            <v>Material</v>
          </cell>
          <cell r="K1495" t="str">
            <v>exp</v>
          </cell>
          <cell r="L1495" t="str">
            <v>強化素材タイプ</v>
          </cell>
          <cell r="M1495" t="str">
            <v>unknown</v>
          </cell>
        </row>
        <row r="1496">
          <cell r="A1496">
            <v>1523</v>
          </cell>
          <cell r="B1496" t="str">
            <v>ja</v>
          </cell>
          <cell r="C1496" t="str">
            <v>ネコムート</v>
          </cell>
          <cell r="H1496" t="str">
            <v>blue</v>
          </cell>
          <cell r="I1496">
            <v>5</v>
          </cell>
          <cell r="J1496" t="str">
            <v>DropWizS</v>
          </cell>
          <cell r="K1496" t="str">
            <v>technical</v>
          </cell>
          <cell r="L1496" t="str">
            <v>テクニカルタイプ</v>
          </cell>
          <cell r="M1496" t="str">
            <v>animal</v>
          </cell>
        </row>
        <row r="1497">
          <cell r="A1497">
            <v>1524</v>
          </cell>
          <cell r="B1497" t="str">
            <v>ja</v>
          </cell>
          <cell r="C1497" t="str">
            <v>狂乱のネコムート</v>
          </cell>
          <cell r="H1497" t="str">
            <v>blue</v>
          </cell>
          <cell r="I1497">
            <v>6</v>
          </cell>
          <cell r="J1497" t="str">
            <v>DropWizS</v>
          </cell>
          <cell r="K1497" t="str">
            <v>technical</v>
          </cell>
          <cell r="L1497" t="str">
            <v>テクニカルタイプ</v>
          </cell>
          <cell r="M1497" t="str">
            <v>animal</v>
          </cell>
        </row>
        <row r="1498">
          <cell r="A1498">
            <v>1525</v>
          </cell>
          <cell r="B1498" t="str">
            <v>ja</v>
          </cell>
          <cell r="C1498" t="str">
            <v>狂乱のネコ</v>
          </cell>
          <cell r="H1498" t="str">
            <v>red</v>
          </cell>
          <cell r="I1498">
            <v>5</v>
          </cell>
          <cell r="J1498" t="str">
            <v>DropWizSS</v>
          </cell>
          <cell r="K1498" t="str">
            <v>attack</v>
          </cell>
          <cell r="L1498" t="str">
            <v>攻撃タイプ</v>
          </cell>
          <cell r="M1498" t="str">
            <v>animal</v>
          </cell>
        </row>
        <row r="1499">
          <cell r="A1499">
            <v>1526</v>
          </cell>
          <cell r="B1499" t="str">
            <v>ja</v>
          </cell>
          <cell r="C1499" t="str">
            <v>狂乱のネコビルダー</v>
          </cell>
          <cell r="H1499" t="str">
            <v>red</v>
          </cell>
          <cell r="I1499">
            <v>6</v>
          </cell>
          <cell r="J1499" t="str">
            <v>DropWizSS</v>
          </cell>
          <cell r="K1499" t="str">
            <v>attack</v>
          </cell>
          <cell r="L1499" t="str">
            <v>攻撃タイプ</v>
          </cell>
          <cell r="M1499" t="str">
            <v>animal</v>
          </cell>
        </row>
        <row r="1500">
          <cell r="A1500">
            <v>1527</v>
          </cell>
          <cell r="B1500" t="str">
            <v>ja</v>
          </cell>
          <cell r="C1500" t="str">
            <v>ネコ魔剣士</v>
          </cell>
          <cell r="H1500" t="str">
            <v>red</v>
          </cell>
          <cell r="I1500">
            <v>4</v>
          </cell>
          <cell r="J1500" t="str">
            <v>PremiumS</v>
          </cell>
          <cell r="K1500" t="str">
            <v>attack</v>
          </cell>
          <cell r="L1500" t="str">
            <v>攻撃タイプ</v>
          </cell>
          <cell r="M1500" t="str">
            <v>animal</v>
          </cell>
        </row>
        <row r="1501">
          <cell r="A1501">
            <v>1528</v>
          </cell>
          <cell r="B1501" t="str">
            <v>ja</v>
          </cell>
          <cell r="C1501" t="str">
            <v>双剣ネコ魔剣士</v>
          </cell>
          <cell r="H1501" t="str">
            <v>red</v>
          </cell>
          <cell r="I1501">
            <v>5</v>
          </cell>
          <cell r="J1501" t="str">
            <v>PremiumS</v>
          </cell>
          <cell r="K1501" t="str">
            <v>attack</v>
          </cell>
          <cell r="L1501" t="str">
            <v>攻撃タイプ</v>
          </cell>
          <cell r="M1501" t="str">
            <v>animal</v>
          </cell>
        </row>
        <row r="1502">
          <cell r="A1502">
            <v>1529</v>
          </cell>
          <cell r="B1502" t="str">
            <v>ja</v>
          </cell>
          <cell r="C1502" t="str">
            <v>ねこ海賊</v>
          </cell>
          <cell r="H1502" t="str">
            <v>blue</v>
          </cell>
          <cell r="I1502">
            <v>4</v>
          </cell>
          <cell r="J1502" t="str">
            <v>PremiumS</v>
          </cell>
          <cell r="K1502" t="str">
            <v>balance</v>
          </cell>
          <cell r="L1502" t="str">
            <v>バランスタイプ</v>
          </cell>
          <cell r="M1502" t="str">
            <v>unknown</v>
          </cell>
        </row>
        <row r="1503">
          <cell r="A1503">
            <v>1530</v>
          </cell>
          <cell r="B1503" t="str">
            <v>ja</v>
          </cell>
          <cell r="C1503" t="str">
            <v>ニャーコック船長</v>
          </cell>
          <cell r="H1503" t="str">
            <v>blue</v>
          </cell>
          <cell r="I1503">
            <v>5</v>
          </cell>
          <cell r="J1503" t="str">
            <v>PremiumS</v>
          </cell>
          <cell r="K1503" t="str">
            <v>balance</v>
          </cell>
          <cell r="L1503" t="str">
            <v>バランスタイプ</v>
          </cell>
          <cell r="M1503" t="str">
            <v>unknown</v>
          </cell>
        </row>
        <row r="1504">
          <cell r="A1504">
            <v>1531</v>
          </cell>
          <cell r="B1504" t="str">
            <v>ja</v>
          </cell>
          <cell r="C1504" t="str">
            <v>ねこジュラ</v>
          </cell>
          <cell r="H1504" t="str">
            <v>green</v>
          </cell>
          <cell r="I1504">
            <v>4</v>
          </cell>
          <cell r="J1504" t="str">
            <v>PremiumS</v>
          </cell>
          <cell r="K1504" t="str">
            <v>technical</v>
          </cell>
          <cell r="L1504" t="str">
            <v>テクニカルタイプ</v>
          </cell>
          <cell r="M1504" t="str">
            <v>animal</v>
          </cell>
        </row>
        <row r="1505">
          <cell r="A1505">
            <v>1532</v>
          </cell>
          <cell r="B1505" t="str">
            <v>ja</v>
          </cell>
          <cell r="C1505" t="str">
            <v>ねこジュラシッター</v>
          </cell>
          <cell r="H1505" t="str">
            <v>green</v>
          </cell>
          <cell r="I1505">
            <v>5</v>
          </cell>
          <cell r="J1505" t="str">
            <v>PremiumS</v>
          </cell>
          <cell r="K1505" t="str">
            <v>technical</v>
          </cell>
          <cell r="L1505" t="str">
            <v>テクニカルタイプ</v>
          </cell>
          <cell r="M1505" t="str">
            <v>animal</v>
          </cell>
        </row>
        <row r="1506">
          <cell r="A1506">
            <v>1533</v>
          </cell>
          <cell r="B1506" t="str">
            <v>ja</v>
          </cell>
          <cell r="C1506" t="str">
            <v>ネコエステ</v>
          </cell>
          <cell r="H1506" t="str">
            <v>yellow</v>
          </cell>
          <cell r="I1506">
            <v>4</v>
          </cell>
          <cell r="J1506" t="str">
            <v>PremiumS</v>
          </cell>
          <cell r="K1506" t="str">
            <v>attack</v>
          </cell>
          <cell r="L1506" t="str">
            <v>攻撃タイプ</v>
          </cell>
          <cell r="M1506" t="str">
            <v>animal</v>
          </cell>
        </row>
        <row r="1507">
          <cell r="A1507">
            <v>1534</v>
          </cell>
          <cell r="B1507" t="str">
            <v>ja</v>
          </cell>
          <cell r="C1507" t="str">
            <v>ネコジェンヌ</v>
          </cell>
          <cell r="H1507" t="str">
            <v>yellow</v>
          </cell>
          <cell r="I1507">
            <v>5</v>
          </cell>
          <cell r="J1507" t="str">
            <v>PremiumS</v>
          </cell>
          <cell r="K1507" t="str">
            <v>attack</v>
          </cell>
          <cell r="L1507" t="str">
            <v>攻撃タイプ</v>
          </cell>
          <cell r="M1507" t="str">
            <v>animal</v>
          </cell>
        </row>
        <row r="1508">
          <cell r="A1508">
            <v>1535</v>
          </cell>
          <cell r="B1508" t="str">
            <v>ja</v>
          </cell>
          <cell r="C1508" t="str">
            <v>ねこナース</v>
          </cell>
          <cell r="H1508" t="str">
            <v>red</v>
          </cell>
          <cell r="I1508">
            <v>5</v>
          </cell>
          <cell r="J1508" t="str">
            <v>PremiumSS</v>
          </cell>
          <cell r="K1508" t="str">
            <v>technical</v>
          </cell>
          <cell r="L1508" t="str">
            <v>テクニカルタイプ</v>
          </cell>
          <cell r="M1508" t="str">
            <v>god</v>
          </cell>
        </row>
        <row r="1509">
          <cell r="A1509">
            <v>1536</v>
          </cell>
          <cell r="B1509" t="str">
            <v>ja</v>
          </cell>
          <cell r="C1509" t="str">
            <v>ハートフルねこナース</v>
          </cell>
          <cell r="H1509" t="str">
            <v>red</v>
          </cell>
          <cell r="I1509">
            <v>6</v>
          </cell>
          <cell r="J1509" t="str">
            <v>PremiumSS</v>
          </cell>
          <cell r="K1509" t="str">
            <v>technical</v>
          </cell>
          <cell r="L1509" t="str">
            <v>テクニカルタイプ</v>
          </cell>
          <cell r="M1509" t="str">
            <v>god</v>
          </cell>
        </row>
        <row r="1510">
          <cell r="A1510">
            <v>1537</v>
          </cell>
          <cell r="B1510" t="str">
            <v>ja</v>
          </cell>
          <cell r="C1510" t="str">
            <v>キャットマンダディ</v>
          </cell>
          <cell r="H1510" t="str">
            <v>blue</v>
          </cell>
          <cell r="I1510">
            <v>5</v>
          </cell>
          <cell r="J1510" t="str">
            <v>PremiumSSS</v>
          </cell>
          <cell r="K1510" t="str">
            <v>attack</v>
          </cell>
          <cell r="L1510" t="str">
            <v>攻撃タイプ</v>
          </cell>
          <cell r="M1510" t="str">
            <v>unknown</v>
          </cell>
        </row>
        <row r="1511">
          <cell r="A1511">
            <v>1538</v>
          </cell>
          <cell r="B1511" t="str">
            <v>ja</v>
          </cell>
          <cell r="C1511" t="str">
            <v>キャットマンダーク</v>
          </cell>
          <cell r="H1511" t="str">
            <v>blue</v>
          </cell>
          <cell r="I1511">
            <v>6</v>
          </cell>
          <cell r="J1511" t="str">
            <v>PremiumSSS</v>
          </cell>
          <cell r="K1511" t="str">
            <v>attack</v>
          </cell>
          <cell r="L1511" t="str">
            <v>攻撃タイプ</v>
          </cell>
          <cell r="M1511" t="str">
            <v>unknown</v>
          </cell>
        </row>
        <row r="1512">
          <cell r="A1512">
            <v>1539</v>
          </cell>
          <cell r="B1512" t="str">
            <v>ja</v>
          </cell>
          <cell r="C1512" t="str">
            <v>雷神のサンディア</v>
          </cell>
          <cell r="H1512" t="str">
            <v>yellow</v>
          </cell>
          <cell r="I1512">
            <v>5</v>
          </cell>
          <cell r="J1512" t="str">
            <v>PremiumSS</v>
          </cell>
          <cell r="K1512" t="str">
            <v>attack</v>
          </cell>
          <cell r="L1512" t="str">
            <v>攻撃タイプ</v>
          </cell>
          <cell r="M1512" t="str">
            <v>god</v>
          </cell>
        </row>
        <row r="1513">
          <cell r="A1513">
            <v>1540</v>
          </cell>
          <cell r="B1513" t="str">
            <v>ja</v>
          </cell>
          <cell r="C1513" t="str">
            <v>雷神のサンディアβ</v>
          </cell>
          <cell r="H1513" t="str">
            <v>yellow</v>
          </cell>
          <cell r="I1513">
            <v>6</v>
          </cell>
          <cell r="J1513" t="str">
            <v>PremiumSS</v>
          </cell>
          <cell r="K1513" t="str">
            <v>attack</v>
          </cell>
          <cell r="L1513" t="str">
            <v>攻撃タイプ</v>
          </cell>
          <cell r="M1513" t="str">
            <v>god</v>
          </cell>
        </row>
        <row r="1514">
          <cell r="A1514">
            <v>1541</v>
          </cell>
          <cell r="B1514" t="str">
            <v>ja</v>
          </cell>
          <cell r="C1514" t="str">
            <v>美女神アフロディーテ</v>
          </cell>
          <cell r="H1514" t="str">
            <v>red</v>
          </cell>
          <cell r="I1514">
            <v>5</v>
          </cell>
          <cell r="J1514" t="str">
            <v>PremiumSSS</v>
          </cell>
          <cell r="K1514" t="str">
            <v>technical</v>
          </cell>
          <cell r="L1514" t="str">
            <v>テクニカルタイプ</v>
          </cell>
          <cell r="M1514" t="str">
            <v>god</v>
          </cell>
        </row>
        <row r="1515">
          <cell r="A1515">
            <v>1542</v>
          </cell>
          <cell r="B1515" t="str">
            <v>ja</v>
          </cell>
          <cell r="C1515" t="str">
            <v>メガロディーテ</v>
          </cell>
          <cell r="H1515" t="str">
            <v>red</v>
          </cell>
          <cell r="I1515">
            <v>6</v>
          </cell>
          <cell r="J1515" t="str">
            <v>PremiumSSS</v>
          </cell>
          <cell r="K1515" t="str">
            <v>technical</v>
          </cell>
          <cell r="L1515" t="str">
            <v>テクニカルタイプ</v>
          </cell>
          <cell r="M1515" t="str">
            <v>god</v>
          </cell>
        </row>
        <row r="1516">
          <cell r="A1516">
            <v>1543</v>
          </cell>
          <cell r="B1516" t="str">
            <v>ja</v>
          </cell>
          <cell r="C1516" t="str">
            <v>ツルの恩返し</v>
          </cell>
          <cell r="H1516" t="str">
            <v>red</v>
          </cell>
          <cell r="I1516">
            <v>5</v>
          </cell>
          <cell r="J1516" t="str">
            <v>PremiumSS</v>
          </cell>
          <cell r="K1516" t="str">
            <v>balance</v>
          </cell>
          <cell r="L1516" t="str">
            <v>バランスタイプ</v>
          </cell>
          <cell r="M1516" t="str">
            <v>hero</v>
          </cell>
        </row>
        <row r="1517">
          <cell r="A1517">
            <v>1544</v>
          </cell>
          <cell r="B1517" t="str">
            <v>ja</v>
          </cell>
          <cell r="C1517" t="str">
            <v>銀河戦士コスモ</v>
          </cell>
          <cell r="H1517" t="str">
            <v>red</v>
          </cell>
          <cell r="I1517">
            <v>6</v>
          </cell>
          <cell r="J1517" t="str">
            <v>PremiumSS</v>
          </cell>
          <cell r="K1517" t="str">
            <v>balance</v>
          </cell>
          <cell r="L1517" t="str">
            <v>バランスタイプ</v>
          </cell>
          <cell r="M1517" t="str">
            <v>hero</v>
          </cell>
        </row>
        <row r="1518">
          <cell r="A1518">
            <v>1545</v>
          </cell>
          <cell r="B1518" t="str">
            <v>ja</v>
          </cell>
          <cell r="C1518" t="str">
            <v>ネコルガ</v>
          </cell>
          <cell r="H1518" t="str">
            <v>green</v>
          </cell>
          <cell r="I1518">
            <v>5</v>
          </cell>
          <cell r="J1518" t="str">
            <v>PremiumSS</v>
          </cell>
          <cell r="K1518" t="str">
            <v>hp</v>
          </cell>
          <cell r="L1518" t="str">
            <v>体力タイプ</v>
          </cell>
          <cell r="M1518" t="str">
            <v>unknown</v>
          </cell>
        </row>
        <row r="1519">
          <cell r="A1519">
            <v>1546</v>
          </cell>
          <cell r="B1519" t="str">
            <v>ja</v>
          </cell>
          <cell r="C1519" t="str">
            <v>ケサランパサラン</v>
          </cell>
          <cell r="H1519" t="str">
            <v>green</v>
          </cell>
          <cell r="I1519">
            <v>6</v>
          </cell>
          <cell r="J1519" t="str">
            <v>PremiumSS</v>
          </cell>
          <cell r="K1519" t="str">
            <v>hp</v>
          </cell>
          <cell r="L1519" t="str">
            <v>体力タイプ</v>
          </cell>
          <cell r="M1519" t="str">
            <v>unknown</v>
          </cell>
        </row>
        <row r="1520">
          <cell r="A1520">
            <v>1547</v>
          </cell>
          <cell r="B1520" t="str">
            <v>ja</v>
          </cell>
          <cell r="C1520" t="str">
            <v>ネコフラワー</v>
          </cell>
          <cell r="H1520" t="str">
            <v>green</v>
          </cell>
          <cell r="I1520">
            <v>4</v>
          </cell>
          <cell r="J1520" t="str">
            <v>Drop2N</v>
          </cell>
          <cell r="K1520" t="str">
            <v>hp</v>
          </cell>
          <cell r="L1520" t="str">
            <v>体力タイプ</v>
          </cell>
          <cell r="M1520" t="str">
            <v>animal</v>
          </cell>
        </row>
        <row r="1521">
          <cell r="A1521">
            <v>1548</v>
          </cell>
          <cell r="B1521" t="str">
            <v>ja</v>
          </cell>
          <cell r="C1521" t="str">
            <v>にゃんこ扇風</v>
          </cell>
          <cell r="H1521" t="str">
            <v>green</v>
          </cell>
          <cell r="I1521">
            <v>5</v>
          </cell>
          <cell r="J1521" t="str">
            <v>Drop2N</v>
          </cell>
          <cell r="K1521" t="str">
            <v>hp</v>
          </cell>
          <cell r="L1521" t="str">
            <v>体力タイプ</v>
          </cell>
          <cell r="M1521" t="str">
            <v>animal</v>
          </cell>
        </row>
        <row r="1522">
          <cell r="A1522">
            <v>1549</v>
          </cell>
          <cell r="B1522" t="str">
            <v>ja</v>
          </cell>
          <cell r="C1522" t="str">
            <v>ネコリンゴ</v>
          </cell>
          <cell r="H1522" t="str">
            <v>green</v>
          </cell>
          <cell r="I1522">
            <v>5</v>
          </cell>
          <cell r="J1522" t="str">
            <v>DropWizS</v>
          </cell>
          <cell r="K1522" t="str">
            <v>balance</v>
          </cell>
          <cell r="L1522" t="str">
            <v>バランスタイプ</v>
          </cell>
          <cell r="M1522" t="str">
            <v>unknown</v>
          </cell>
        </row>
        <row r="1523">
          <cell r="A1523">
            <v>1550</v>
          </cell>
          <cell r="B1523" t="str">
            <v>ja</v>
          </cell>
          <cell r="C1523" t="str">
            <v>カオルくん</v>
          </cell>
          <cell r="H1523" t="str">
            <v>green</v>
          </cell>
          <cell r="I1523">
            <v>6</v>
          </cell>
          <cell r="J1523" t="str">
            <v>DropWizS</v>
          </cell>
          <cell r="K1523" t="str">
            <v>balance</v>
          </cell>
          <cell r="L1523" t="str">
            <v>バランスタイプ</v>
          </cell>
          <cell r="M1523" t="str">
            <v>unknown</v>
          </cell>
        </row>
        <row r="1524">
          <cell r="A1524">
            <v>1551</v>
          </cell>
          <cell r="B1524" t="str">
            <v>ja</v>
          </cell>
          <cell r="C1524" t="str">
            <v>Leo01</v>
          </cell>
          <cell r="H1524" t="str">
            <v>red</v>
          </cell>
          <cell r="I1524">
            <v>5</v>
          </cell>
          <cell r="J1524" t="str">
            <v>PremiumSSS</v>
          </cell>
          <cell r="K1524" t="str">
            <v>attack</v>
          </cell>
          <cell r="L1524" t="str">
            <v>攻撃タイプ</v>
          </cell>
          <cell r="M1524" t="str">
            <v>human</v>
          </cell>
        </row>
        <row r="1525">
          <cell r="A1525">
            <v>1552</v>
          </cell>
          <cell r="B1525" t="str">
            <v>ja</v>
          </cell>
          <cell r="C1525" t="str">
            <v>Leo02</v>
          </cell>
          <cell r="H1525" t="str">
            <v>red</v>
          </cell>
          <cell r="I1525">
            <v>6</v>
          </cell>
          <cell r="J1525" t="str">
            <v>PremiumSSS</v>
          </cell>
          <cell r="K1525" t="str">
            <v>attack</v>
          </cell>
          <cell r="L1525" t="str">
            <v>攻撃タイプ</v>
          </cell>
          <cell r="M1525" t="str">
            <v>human</v>
          </cell>
        </row>
        <row r="1526">
          <cell r="A1526">
            <v>1553</v>
          </cell>
          <cell r="B1526" t="str">
            <v>ja</v>
          </cell>
          <cell r="C1526" t="str">
            <v>Andromeda01</v>
          </cell>
          <cell r="H1526" t="str">
            <v>yellow</v>
          </cell>
          <cell r="I1526">
            <v>5</v>
          </cell>
          <cell r="J1526" t="str">
            <v>PremiumSS</v>
          </cell>
          <cell r="K1526" t="str">
            <v>technical</v>
          </cell>
          <cell r="L1526" t="str">
            <v>テクニカルタイプ</v>
          </cell>
          <cell r="M1526" t="str">
            <v>human</v>
          </cell>
        </row>
        <row r="1527">
          <cell r="A1527">
            <v>1554</v>
          </cell>
          <cell r="B1527" t="str">
            <v>ja</v>
          </cell>
          <cell r="C1527" t="str">
            <v>Andromeda02</v>
          </cell>
          <cell r="H1527" t="str">
            <v>yellow</v>
          </cell>
          <cell r="I1527">
            <v>6</v>
          </cell>
          <cell r="J1527" t="str">
            <v>PremiumSS</v>
          </cell>
          <cell r="K1527" t="str">
            <v>technical</v>
          </cell>
          <cell r="L1527" t="str">
            <v>テクニカルタイプ</v>
          </cell>
          <cell r="M1527" t="str">
            <v>human</v>
          </cell>
        </row>
        <row r="1528">
          <cell r="A1528">
            <v>1555</v>
          </cell>
          <cell r="B1528" t="str">
            <v>ja</v>
          </cell>
          <cell r="C1528" t="str">
            <v>Taurus01</v>
          </cell>
          <cell r="H1528" t="str">
            <v>blue</v>
          </cell>
          <cell r="I1528">
            <v>5</v>
          </cell>
          <cell r="J1528" t="str">
            <v>PremiumS</v>
          </cell>
          <cell r="K1528" t="str">
            <v>hp</v>
          </cell>
          <cell r="L1528" t="str">
            <v>体力タイプ</v>
          </cell>
          <cell r="M1528" t="str">
            <v>human</v>
          </cell>
        </row>
        <row r="1529">
          <cell r="A1529">
            <v>1556</v>
          </cell>
          <cell r="B1529" t="str">
            <v>ja</v>
          </cell>
          <cell r="C1529" t="str">
            <v>Capricornus01</v>
          </cell>
          <cell r="H1529" t="str">
            <v>green</v>
          </cell>
          <cell r="I1529">
            <v>5</v>
          </cell>
          <cell r="J1529" t="str">
            <v>PremiumSS</v>
          </cell>
          <cell r="K1529" t="str">
            <v>balance</v>
          </cell>
          <cell r="L1529" t="str">
            <v>バランスタイプ</v>
          </cell>
          <cell r="M1529" t="str">
            <v>human</v>
          </cell>
        </row>
        <row r="1530">
          <cell r="A1530">
            <v>1557</v>
          </cell>
          <cell r="B1530" t="str">
            <v>ja</v>
          </cell>
          <cell r="C1530" t="str">
            <v>Capricornus02</v>
          </cell>
          <cell r="H1530" t="str">
            <v>green</v>
          </cell>
          <cell r="I1530">
            <v>6</v>
          </cell>
          <cell r="J1530" t="str">
            <v>PremiumSS</v>
          </cell>
          <cell r="K1530" t="str">
            <v>balance</v>
          </cell>
          <cell r="L1530" t="str">
            <v>バランスタイプ</v>
          </cell>
          <cell r="M1530" t="str">
            <v>human</v>
          </cell>
        </row>
        <row r="1531">
          <cell r="A1531">
            <v>1558</v>
          </cell>
          <cell r="B1531" t="str">
            <v>ja</v>
          </cell>
          <cell r="C1531" t="str">
            <v>Aries01</v>
          </cell>
          <cell r="H1531" t="str">
            <v>blue</v>
          </cell>
          <cell r="I1531">
            <v>5</v>
          </cell>
          <cell r="J1531" t="str">
            <v>PremiumSS</v>
          </cell>
          <cell r="K1531" t="str">
            <v>heal</v>
          </cell>
          <cell r="L1531" t="str">
            <v>回復タイプ</v>
          </cell>
          <cell r="M1531" t="str">
            <v>human</v>
          </cell>
        </row>
        <row r="1532">
          <cell r="A1532">
            <v>1559</v>
          </cell>
          <cell r="B1532" t="str">
            <v>ja</v>
          </cell>
          <cell r="C1532" t="str">
            <v>Aries02</v>
          </cell>
          <cell r="H1532" t="str">
            <v>blue</v>
          </cell>
          <cell r="I1532">
            <v>6</v>
          </cell>
          <cell r="J1532" t="str">
            <v>PremiumSS</v>
          </cell>
          <cell r="K1532" t="str">
            <v>heal</v>
          </cell>
          <cell r="L1532" t="str">
            <v>回復タイプ</v>
          </cell>
          <cell r="M1532" t="str">
            <v>human</v>
          </cell>
        </row>
        <row r="1533">
          <cell r="A1533">
            <v>1560</v>
          </cell>
          <cell r="B1533" t="str">
            <v>ja</v>
          </cell>
          <cell r="C1533" t="str">
            <v>Pisces01</v>
          </cell>
          <cell r="H1533" t="str">
            <v>red</v>
          </cell>
          <cell r="I1533">
            <v>5</v>
          </cell>
          <cell r="J1533" t="str">
            <v>PremiumS</v>
          </cell>
          <cell r="K1533" t="str">
            <v>technical</v>
          </cell>
          <cell r="L1533" t="str">
            <v>テクニカルタイプ</v>
          </cell>
          <cell r="M1533" t="str">
            <v>human</v>
          </cell>
        </row>
        <row r="1534">
          <cell r="A1534">
            <v>1561</v>
          </cell>
          <cell r="B1534" t="str">
            <v>ja</v>
          </cell>
          <cell r="C1534" t="str">
            <v>Sagittarius01</v>
          </cell>
          <cell r="H1534" t="str">
            <v>yellow</v>
          </cell>
          <cell r="I1534">
            <v>5</v>
          </cell>
          <cell r="J1534" t="str">
            <v>PremiumSS</v>
          </cell>
          <cell r="K1534" t="str">
            <v>balance</v>
          </cell>
          <cell r="L1534" t="str">
            <v>バランスタイプ</v>
          </cell>
          <cell r="M1534" t="str">
            <v>human</v>
          </cell>
        </row>
        <row r="1535">
          <cell r="A1535">
            <v>1562</v>
          </cell>
          <cell r="B1535" t="str">
            <v>ja</v>
          </cell>
          <cell r="C1535" t="str">
            <v>Sagittarius02</v>
          </cell>
          <cell r="H1535" t="str">
            <v>yellow</v>
          </cell>
          <cell r="I1535">
            <v>6</v>
          </cell>
          <cell r="J1535" t="str">
            <v>PremiumSS</v>
          </cell>
          <cell r="K1535" t="str">
            <v>balance</v>
          </cell>
          <cell r="L1535" t="str">
            <v>バランスタイプ</v>
          </cell>
          <cell r="M1535" t="str">
            <v>human</v>
          </cell>
        </row>
        <row r="1536">
          <cell r="A1536">
            <v>1563</v>
          </cell>
          <cell r="B1536" t="str">
            <v>ja</v>
          </cell>
          <cell r="C1536" t="str">
            <v>Cassiopeia01</v>
          </cell>
          <cell r="H1536" t="str">
            <v>blue</v>
          </cell>
          <cell r="I1536">
            <v>5</v>
          </cell>
          <cell r="J1536" t="str">
            <v>PremiumSS</v>
          </cell>
          <cell r="K1536" t="str">
            <v>technical</v>
          </cell>
          <cell r="L1536" t="str">
            <v>テクニカルタイプ</v>
          </cell>
          <cell r="M1536" t="str">
            <v>human</v>
          </cell>
        </row>
        <row r="1537">
          <cell r="A1537">
            <v>1564</v>
          </cell>
          <cell r="B1537" t="str">
            <v>ja</v>
          </cell>
          <cell r="C1537" t="str">
            <v>Cassiopeia02</v>
          </cell>
          <cell r="H1537" t="str">
            <v>blue</v>
          </cell>
          <cell r="I1537">
            <v>6</v>
          </cell>
          <cell r="J1537" t="str">
            <v>PremiumSS</v>
          </cell>
          <cell r="K1537" t="str">
            <v>technical</v>
          </cell>
          <cell r="L1537" t="str">
            <v>テクニカルタイプ</v>
          </cell>
          <cell r="M1537" t="str">
            <v>human</v>
          </cell>
        </row>
        <row r="1538">
          <cell r="A1538">
            <v>1565</v>
          </cell>
          <cell r="B1538" t="str">
            <v>ja</v>
          </cell>
          <cell r="C1538" t="str">
            <v>Aquila01</v>
          </cell>
          <cell r="H1538" t="str">
            <v>green</v>
          </cell>
          <cell r="I1538">
            <v>5</v>
          </cell>
          <cell r="J1538" t="str">
            <v>PremiumS</v>
          </cell>
          <cell r="K1538" t="str">
            <v>attack</v>
          </cell>
          <cell r="L1538" t="str">
            <v>攻撃タイプ</v>
          </cell>
          <cell r="M1538" t="str">
            <v>human</v>
          </cell>
        </row>
        <row r="1539">
          <cell r="A1539">
            <v>1566</v>
          </cell>
          <cell r="B1539" t="str">
            <v>ja</v>
          </cell>
          <cell r="C1539" t="str">
            <v>Phoenix01</v>
          </cell>
          <cell r="H1539" t="str">
            <v>red</v>
          </cell>
          <cell r="I1539">
            <v>5</v>
          </cell>
          <cell r="J1539" t="str">
            <v>PremiumSSS</v>
          </cell>
          <cell r="K1539" t="str">
            <v>heal</v>
          </cell>
          <cell r="L1539" t="str">
            <v>回復タイプ</v>
          </cell>
          <cell r="M1539" t="str">
            <v>human</v>
          </cell>
        </row>
        <row r="1540">
          <cell r="A1540">
            <v>1567</v>
          </cell>
          <cell r="B1540" t="str">
            <v>ja</v>
          </cell>
          <cell r="C1540" t="str">
            <v>Phoenix02</v>
          </cell>
          <cell r="H1540" t="str">
            <v>red</v>
          </cell>
          <cell r="I1540">
            <v>6</v>
          </cell>
          <cell r="J1540" t="str">
            <v>PremiumSSS</v>
          </cell>
          <cell r="K1540" t="str">
            <v>heal</v>
          </cell>
          <cell r="L1540" t="str">
            <v>回復タイプ</v>
          </cell>
          <cell r="M1540" t="str">
            <v>human</v>
          </cell>
        </row>
        <row r="1541">
          <cell r="A1541">
            <v>1568</v>
          </cell>
          <cell r="B1541" t="str">
            <v>ja</v>
          </cell>
          <cell r="C1541" t="str">
            <v>Orion01</v>
          </cell>
          <cell r="H1541" t="str">
            <v>green</v>
          </cell>
          <cell r="I1541">
            <v>5</v>
          </cell>
          <cell r="J1541" t="str">
            <v>PremiumSS</v>
          </cell>
          <cell r="K1541" t="str">
            <v>technical</v>
          </cell>
          <cell r="L1541" t="str">
            <v>テクニカルタイプ</v>
          </cell>
          <cell r="M1541" t="str">
            <v>human</v>
          </cell>
        </row>
        <row r="1542">
          <cell r="A1542">
            <v>1569</v>
          </cell>
          <cell r="B1542" t="str">
            <v>ja</v>
          </cell>
          <cell r="C1542" t="str">
            <v>Orion02</v>
          </cell>
          <cell r="H1542" t="str">
            <v>green</v>
          </cell>
          <cell r="I1542">
            <v>6</v>
          </cell>
          <cell r="J1542" t="str">
            <v>PremiumSS</v>
          </cell>
          <cell r="K1542" t="str">
            <v>technical</v>
          </cell>
          <cell r="L1542" t="str">
            <v>テクニカルタイプ</v>
          </cell>
          <cell r="M1542" t="str">
            <v>human</v>
          </cell>
        </row>
        <row r="1543">
          <cell r="A1543">
            <v>1570</v>
          </cell>
          <cell r="B1543" t="str">
            <v>ja</v>
          </cell>
          <cell r="C1543" t="str">
            <v>Centaurus01</v>
          </cell>
          <cell r="H1543" t="str">
            <v>yellow</v>
          </cell>
          <cell r="I1543">
            <v>5</v>
          </cell>
          <cell r="J1543" t="str">
            <v>PremiumS</v>
          </cell>
          <cell r="K1543" t="str">
            <v>balance</v>
          </cell>
          <cell r="L1543" t="str">
            <v>バランスタイプ</v>
          </cell>
          <cell r="M1543" t="str">
            <v>human</v>
          </cell>
        </row>
        <row r="1544">
          <cell r="A1544">
            <v>1571</v>
          </cell>
          <cell r="B1544" t="str">
            <v>ja</v>
          </cell>
          <cell r="C1544" t="str">
            <v>Lupus01</v>
          </cell>
          <cell r="H1544" t="str">
            <v>red</v>
          </cell>
          <cell r="I1544">
            <v>5</v>
          </cell>
          <cell r="J1544" t="str">
            <v>DropWizSS</v>
          </cell>
          <cell r="K1544" t="str">
            <v>attack</v>
          </cell>
          <cell r="L1544" t="str">
            <v>攻撃タイプ</v>
          </cell>
          <cell r="M1544" t="str">
            <v>human</v>
          </cell>
        </row>
        <row r="1545">
          <cell r="A1545">
            <v>1572</v>
          </cell>
          <cell r="B1545" t="str">
            <v>ja</v>
          </cell>
          <cell r="C1545" t="str">
            <v>Lupus02</v>
          </cell>
          <cell r="H1545" t="str">
            <v>red</v>
          </cell>
          <cell r="I1545">
            <v>6</v>
          </cell>
          <cell r="J1545" t="str">
            <v>DropWizSS</v>
          </cell>
          <cell r="K1545" t="str">
            <v>attack</v>
          </cell>
          <cell r="L1545" t="str">
            <v>攻撃タイプ</v>
          </cell>
          <cell r="M1545" t="str">
            <v>human</v>
          </cell>
        </row>
        <row r="1546">
          <cell r="A1546">
            <v>1573</v>
          </cell>
          <cell r="B1546" t="str">
            <v>ja</v>
          </cell>
          <cell r="C1546" t="str">
            <v>Scorpius01</v>
          </cell>
          <cell r="H1546" t="str">
            <v>green</v>
          </cell>
          <cell r="I1546">
            <v>5</v>
          </cell>
          <cell r="J1546" t="str">
            <v>PremiumS</v>
          </cell>
          <cell r="K1546" t="str">
            <v>hp</v>
          </cell>
          <cell r="L1546" t="str">
            <v>体力タイプ</v>
          </cell>
          <cell r="M1546" t="str">
            <v>orochi</v>
          </cell>
        </row>
        <row r="1547">
          <cell r="A1547">
            <v>1574</v>
          </cell>
          <cell r="B1547" t="str">
            <v>ja</v>
          </cell>
          <cell r="C1547" t="str">
            <v>Cancer01</v>
          </cell>
          <cell r="H1547" t="str">
            <v>yellow</v>
          </cell>
          <cell r="I1547">
            <v>5</v>
          </cell>
          <cell r="J1547" t="str">
            <v>PremiumS</v>
          </cell>
          <cell r="K1547" t="str">
            <v>technical</v>
          </cell>
          <cell r="L1547" t="str">
            <v>テクニカルタイプ</v>
          </cell>
          <cell r="M1547" t="str">
            <v>orochi</v>
          </cell>
        </row>
        <row r="1548">
          <cell r="A1548">
            <v>1575</v>
          </cell>
          <cell r="B1548" t="str">
            <v>ja</v>
          </cell>
          <cell r="C1548" t="str">
            <v>Aquarius01</v>
          </cell>
          <cell r="H1548" t="str">
            <v>blue</v>
          </cell>
          <cell r="I1548">
            <v>5</v>
          </cell>
          <cell r="J1548" t="str">
            <v>DropWizS</v>
          </cell>
          <cell r="K1548" t="str">
            <v>attack</v>
          </cell>
          <cell r="L1548" t="str">
            <v>攻撃タイプ</v>
          </cell>
          <cell r="M1548" t="str">
            <v>human</v>
          </cell>
        </row>
        <row r="1549">
          <cell r="A1549">
            <v>1576</v>
          </cell>
          <cell r="B1549" t="str">
            <v>ja</v>
          </cell>
          <cell r="C1549" t="str">
            <v>Aquarius02</v>
          </cell>
          <cell r="H1549" t="str">
            <v>blue</v>
          </cell>
          <cell r="I1549">
            <v>6</v>
          </cell>
          <cell r="J1549" t="str">
            <v>DropWizS</v>
          </cell>
          <cell r="K1549" t="str">
            <v>attack</v>
          </cell>
          <cell r="L1549" t="str">
            <v>攻撃タイプ</v>
          </cell>
          <cell r="M1549" t="str">
            <v>human</v>
          </cell>
        </row>
        <row r="1550">
          <cell r="A1550">
            <v>1577</v>
          </cell>
          <cell r="B1550" t="str">
            <v>ja</v>
          </cell>
          <cell r="C1550" t="str">
            <v>Perseus01</v>
          </cell>
          <cell r="H1550" t="str">
            <v>yellow</v>
          </cell>
          <cell r="I1550">
            <v>5</v>
          </cell>
          <cell r="J1550" t="str">
            <v>PremiumS</v>
          </cell>
          <cell r="K1550" t="str">
            <v>attack</v>
          </cell>
          <cell r="L1550" t="str">
            <v>攻撃タイプ</v>
          </cell>
          <cell r="M1550" t="str">
            <v>human</v>
          </cell>
        </row>
        <row r="1551">
          <cell r="A1551">
            <v>1578</v>
          </cell>
          <cell r="B1551" t="str">
            <v>ja</v>
          </cell>
          <cell r="C1551" t="str">
            <v>Hydra01</v>
          </cell>
          <cell r="H1551" t="str">
            <v>red</v>
          </cell>
          <cell r="I1551">
            <v>5</v>
          </cell>
          <cell r="J1551" t="str">
            <v>PremiumS</v>
          </cell>
          <cell r="K1551" t="str">
            <v>hp</v>
          </cell>
          <cell r="L1551" t="str">
            <v>体力タイプ</v>
          </cell>
          <cell r="M1551" t="str">
            <v>human</v>
          </cell>
        </row>
        <row r="1552">
          <cell r="A1552">
            <v>1579</v>
          </cell>
          <cell r="B1552" t="str">
            <v>ja</v>
          </cell>
          <cell r="C1552" t="str">
            <v>Lyra01</v>
          </cell>
          <cell r="H1552" t="str">
            <v>red</v>
          </cell>
          <cell r="I1552">
            <v>5</v>
          </cell>
          <cell r="J1552" t="str">
            <v>DropWizS</v>
          </cell>
          <cell r="K1552" t="str">
            <v>hp</v>
          </cell>
          <cell r="L1552" t="str">
            <v>体力タイプ</v>
          </cell>
          <cell r="M1552" t="str">
            <v>human</v>
          </cell>
        </row>
        <row r="1553">
          <cell r="A1553">
            <v>1580</v>
          </cell>
          <cell r="B1553" t="str">
            <v>ja</v>
          </cell>
          <cell r="C1553" t="str">
            <v>Lyra02</v>
          </cell>
          <cell r="H1553" t="str">
            <v>red</v>
          </cell>
          <cell r="I1553">
            <v>6</v>
          </cell>
          <cell r="J1553" t="str">
            <v>DropWizS</v>
          </cell>
          <cell r="K1553" t="str">
            <v>hp</v>
          </cell>
          <cell r="L1553" t="str">
            <v>体力タイプ</v>
          </cell>
          <cell r="M1553" t="str">
            <v>human</v>
          </cell>
        </row>
        <row r="1554">
          <cell r="A1554">
            <v>1581</v>
          </cell>
          <cell r="B1554" t="str">
            <v>ja</v>
          </cell>
          <cell r="C1554" t="str">
            <v>Gemini01</v>
          </cell>
          <cell r="H1554" t="str">
            <v>red</v>
          </cell>
          <cell r="I1554">
            <v>5</v>
          </cell>
          <cell r="J1554" t="str">
            <v>DropWizS</v>
          </cell>
          <cell r="K1554" t="str">
            <v>technical</v>
          </cell>
          <cell r="L1554" t="str">
            <v>テクニカルタイプ</v>
          </cell>
          <cell r="M1554" t="str">
            <v>orochi</v>
          </cell>
        </row>
        <row r="1555">
          <cell r="A1555">
            <v>1582</v>
          </cell>
          <cell r="B1555" t="str">
            <v>ja</v>
          </cell>
          <cell r="C1555" t="str">
            <v>Gemini02</v>
          </cell>
          <cell r="H1555" t="str">
            <v>red</v>
          </cell>
          <cell r="I1555">
            <v>6</v>
          </cell>
          <cell r="J1555" t="str">
            <v>DropWizS</v>
          </cell>
          <cell r="K1555" t="str">
            <v>technical</v>
          </cell>
          <cell r="L1555" t="str">
            <v>テクニカルタイプ</v>
          </cell>
          <cell r="M1555" t="str">
            <v>orochi</v>
          </cell>
        </row>
        <row r="1556">
          <cell r="A1556">
            <v>1583</v>
          </cell>
          <cell r="B1556" t="str">
            <v>ja</v>
          </cell>
          <cell r="C1556" t="str">
            <v>Corvus01</v>
          </cell>
          <cell r="H1556" t="str">
            <v>red</v>
          </cell>
          <cell r="I1556">
            <v>6</v>
          </cell>
          <cell r="J1556" t="str">
            <v>DropWizS</v>
          </cell>
          <cell r="K1556" t="str">
            <v>attack</v>
          </cell>
          <cell r="L1556" t="str">
            <v>攻撃タイプ</v>
          </cell>
          <cell r="M1556" t="str">
            <v>orochi</v>
          </cell>
        </row>
        <row r="1557">
          <cell r="A1557">
            <v>1584</v>
          </cell>
          <cell r="B1557" t="str">
            <v>ja</v>
          </cell>
          <cell r="C1557" t="str">
            <v>Sirius01</v>
          </cell>
          <cell r="H1557" t="str">
            <v>yellow</v>
          </cell>
          <cell r="I1557">
            <v>4</v>
          </cell>
          <cell r="J1557" t="str">
            <v>DropWizS</v>
          </cell>
          <cell r="K1557" t="str">
            <v>hp</v>
          </cell>
          <cell r="L1557" t="str">
            <v>体力タイプ</v>
          </cell>
          <cell r="M1557" t="str">
            <v>orochi</v>
          </cell>
        </row>
        <row r="1558">
          <cell r="A1558">
            <v>1585</v>
          </cell>
          <cell r="B1558" t="str">
            <v>ja</v>
          </cell>
          <cell r="C1558" t="str">
            <v>Sirius02</v>
          </cell>
          <cell r="H1558" t="str">
            <v>yellow</v>
          </cell>
          <cell r="I1558">
            <v>5</v>
          </cell>
          <cell r="J1558" t="str">
            <v>DropWizS</v>
          </cell>
          <cell r="K1558" t="str">
            <v>hp</v>
          </cell>
          <cell r="L1558" t="str">
            <v>体力タイプ</v>
          </cell>
          <cell r="M1558" t="str">
            <v>orochi</v>
          </cell>
        </row>
        <row r="1559">
          <cell r="A1559">
            <v>1586</v>
          </cell>
          <cell r="B1559" t="str">
            <v>ja</v>
          </cell>
          <cell r="C1559" t="str">
            <v>Sirius03</v>
          </cell>
          <cell r="H1559" t="str">
            <v>yellow</v>
          </cell>
          <cell r="I1559">
            <v>6</v>
          </cell>
          <cell r="J1559" t="str">
            <v>DropWizS</v>
          </cell>
          <cell r="K1559" t="str">
            <v>hp</v>
          </cell>
          <cell r="L1559" t="str">
            <v>体力タイプ</v>
          </cell>
          <cell r="M1559" t="str">
            <v>orochi</v>
          </cell>
        </row>
        <row r="1560">
          <cell r="A1560">
            <v>1587</v>
          </cell>
          <cell r="B1560" t="str">
            <v>ja</v>
          </cell>
          <cell r="C1560" t="str">
            <v>Virgo01</v>
          </cell>
          <cell r="H1560" t="str">
            <v>green</v>
          </cell>
          <cell r="I1560">
            <v>5</v>
          </cell>
          <cell r="J1560" t="str">
            <v>DropWizS</v>
          </cell>
          <cell r="K1560" t="str">
            <v>heal</v>
          </cell>
          <cell r="L1560" t="str">
            <v>回復タイプ</v>
          </cell>
          <cell r="M1560" t="str">
            <v>human</v>
          </cell>
        </row>
        <row r="1561">
          <cell r="A1561">
            <v>1588</v>
          </cell>
          <cell r="B1561" t="str">
            <v>ja</v>
          </cell>
          <cell r="C1561" t="str">
            <v>Virgo02</v>
          </cell>
          <cell r="H1561" t="str">
            <v>green</v>
          </cell>
          <cell r="I1561">
            <v>6</v>
          </cell>
          <cell r="J1561" t="str">
            <v>DropWizS</v>
          </cell>
          <cell r="K1561" t="str">
            <v>heal</v>
          </cell>
          <cell r="L1561" t="str">
            <v>回復タイプ</v>
          </cell>
          <cell r="M1561" t="str">
            <v>human</v>
          </cell>
        </row>
        <row r="1562">
          <cell r="A1562">
            <v>1613</v>
          </cell>
          <cell r="B1562" t="str">
            <v>ja</v>
          </cell>
          <cell r="C1562" t="str">
            <v>空欄</v>
          </cell>
          <cell r="D1562" t="str">
            <v>未定</v>
          </cell>
          <cell r="E1562" t="str">
            <v>アリス</v>
          </cell>
          <cell r="F1562" t="str">
            <v>世界観</v>
          </cell>
          <cell r="G1562" t="str">
            <v>不明</v>
          </cell>
          <cell r="H1562" t="str">
            <v>red</v>
          </cell>
          <cell r="I1562">
            <v>5</v>
          </cell>
          <cell r="J1562" t="str">
            <v>PremiumSSS</v>
          </cell>
          <cell r="K1562" t="str">
            <v>hp</v>
          </cell>
          <cell r="L1562" t="str">
            <v>体力タイプ</v>
          </cell>
          <cell r="M1562" t="str">
            <v>academia</v>
          </cell>
        </row>
        <row r="1563">
          <cell r="A1563">
            <v>1614</v>
          </cell>
          <cell r="B1563" t="str">
            <v>ja</v>
          </cell>
          <cell r="C1563" t="str">
            <v>空欄</v>
          </cell>
          <cell r="D1563" t="str">
            <v>未定</v>
          </cell>
          <cell r="E1563" t="str">
            <v>アリス</v>
          </cell>
          <cell r="F1563" t="str">
            <v>世界観</v>
          </cell>
          <cell r="G1563" t="str">
            <v>不明</v>
          </cell>
          <cell r="H1563" t="str">
            <v>red</v>
          </cell>
          <cell r="I1563">
            <v>6</v>
          </cell>
          <cell r="J1563" t="str">
            <v>PremiumSSS</v>
          </cell>
          <cell r="K1563" t="str">
            <v>hp</v>
          </cell>
          <cell r="L1563" t="str">
            <v>体力タイプ</v>
          </cell>
          <cell r="M1563" t="str">
            <v>academia</v>
          </cell>
        </row>
        <row r="1564">
          <cell r="A1564">
            <v>5001</v>
          </cell>
          <cell r="B1564" t="str">
            <v>ja</v>
          </cell>
          <cell r="C1564" t="str">
            <v>ガルーダ</v>
          </cell>
          <cell r="D1564" t="str">
            <v>ノーマルクエスト</v>
          </cell>
          <cell r="E1564" t="str">
            <v>QoH</v>
          </cell>
          <cell r="F1564" t="str">
            <v>世界観</v>
          </cell>
          <cell r="G1564" t="str">
            <v>不明</v>
          </cell>
          <cell r="H1564" t="str">
            <v>red</v>
          </cell>
          <cell r="I1564">
            <v>5</v>
          </cell>
          <cell r="J1564" t="str">
            <v>PremiumSSw</v>
          </cell>
          <cell r="K1564" t="str">
            <v>attack</v>
          </cell>
          <cell r="L1564" t="str">
            <v>攻撃タイプ</v>
          </cell>
          <cell r="M1564" t="str">
            <v>god</v>
          </cell>
        </row>
        <row r="1565">
          <cell r="A1565">
            <v>5002</v>
          </cell>
          <cell r="B1565" t="str">
            <v>ja</v>
          </cell>
          <cell r="C1565" t="str">
            <v>ガルーダ★６</v>
          </cell>
          <cell r="D1565" t="str">
            <v>ノーマルクエスト</v>
          </cell>
          <cell r="E1565" t="str">
            <v>アバター</v>
          </cell>
          <cell r="F1565" t="str">
            <v>世界観</v>
          </cell>
          <cell r="G1565" t="str">
            <v>男性</v>
          </cell>
          <cell r="H1565" t="str">
            <v>red</v>
          </cell>
          <cell r="I1565">
            <v>6</v>
          </cell>
          <cell r="J1565" t="str">
            <v>PremiumSSw</v>
          </cell>
          <cell r="K1565" t="str">
            <v>attack</v>
          </cell>
          <cell r="L1565" t="str">
            <v>攻撃タイプ</v>
          </cell>
          <cell r="M1565" t="str">
            <v>god</v>
          </cell>
        </row>
        <row r="1566">
          <cell r="A1566">
            <v>5003</v>
          </cell>
          <cell r="B1566" t="str">
            <v>ja</v>
          </cell>
          <cell r="C1566" t="str">
            <v>ナーガ</v>
          </cell>
          <cell r="D1566" t="str">
            <v>リンクガチャ:4神</v>
          </cell>
          <cell r="E1566" t="str">
            <v>守護神</v>
          </cell>
          <cell r="F1566" t="str">
            <v>格好いい</v>
          </cell>
          <cell r="G1566" t="str">
            <v>不明</v>
          </cell>
          <cell r="H1566" t="str">
            <v>green</v>
          </cell>
          <cell r="I1566">
            <v>5</v>
          </cell>
          <cell r="J1566" t="str">
            <v>DropWizS</v>
          </cell>
          <cell r="K1566" t="str">
            <v>technical</v>
          </cell>
          <cell r="L1566" t="str">
            <v>テクニカルタイプ</v>
          </cell>
          <cell r="M1566" t="str">
            <v>animal</v>
          </cell>
        </row>
        <row r="1567">
          <cell r="A1567">
            <v>5004</v>
          </cell>
          <cell r="B1567" t="str">
            <v>ja</v>
          </cell>
          <cell r="C1567" t="str">
            <v>ナーガ★６</v>
          </cell>
          <cell r="D1567" t="str">
            <v>ノーマルクエスト</v>
          </cell>
          <cell r="E1567" t="str">
            <v>アバター</v>
          </cell>
          <cell r="F1567" t="str">
            <v>世界観</v>
          </cell>
          <cell r="G1567" t="str">
            <v>不明</v>
          </cell>
          <cell r="H1567" t="str">
            <v>green</v>
          </cell>
          <cell r="I1567">
            <v>6</v>
          </cell>
          <cell r="J1567" t="str">
            <v>DropWizS</v>
          </cell>
          <cell r="K1567" t="str">
            <v>technical</v>
          </cell>
          <cell r="L1567" t="str">
            <v>テクニカルタイプ</v>
          </cell>
          <cell r="M1567" t="str">
            <v>animal</v>
          </cell>
        </row>
        <row r="1568">
          <cell r="A1568">
            <v>5005</v>
          </cell>
          <cell r="B1568" t="str">
            <v>ja</v>
          </cell>
          <cell r="C1568" t="str">
            <v>カーミラ</v>
          </cell>
          <cell r="D1568" t="str">
            <v>ノーマルクエスト</v>
          </cell>
          <cell r="E1568" t="str">
            <v>QoH</v>
          </cell>
          <cell r="F1568" t="str">
            <v>世界観</v>
          </cell>
          <cell r="G1568" t="str">
            <v>不明</v>
          </cell>
          <cell r="H1568" t="str">
            <v>green</v>
          </cell>
          <cell r="I1568">
            <v>5</v>
          </cell>
          <cell r="J1568" t="str">
            <v>PremiumSSw</v>
          </cell>
          <cell r="K1568" t="str">
            <v>balance</v>
          </cell>
          <cell r="L1568" t="str">
            <v>バランスタイプ</v>
          </cell>
          <cell r="M1568" t="str">
            <v>demon</v>
          </cell>
        </row>
        <row r="1569">
          <cell r="A1569">
            <v>5006</v>
          </cell>
          <cell r="B1569" t="str">
            <v>ja</v>
          </cell>
          <cell r="C1569" t="str">
            <v>カーミラ★６</v>
          </cell>
          <cell r="D1569" t="str">
            <v>ノーマルクエスト</v>
          </cell>
          <cell r="E1569" t="str">
            <v>アバター</v>
          </cell>
          <cell r="F1569" t="str">
            <v>世界観</v>
          </cell>
          <cell r="G1569" t="str">
            <v>男性</v>
          </cell>
          <cell r="H1569" t="str">
            <v>green</v>
          </cell>
          <cell r="I1569">
            <v>6</v>
          </cell>
          <cell r="J1569" t="str">
            <v>PremiumSSw</v>
          </cell>
          <cell r="K1569" t="str">
            <v>balance</v>
          </cell>
          <cell r="L1569" t="str">
            <v>バランスタイプ</v>
          </cell>
          <cell r="M1569" t="str">
            <v>demon</v>
          </cell>
        </row>
        <row r="1570">
          <cell r="A1570">
            <v>5007</v>
          </cell>
          <cell r="B1570" t="str">
            <v>ja</v>
          </cell>
          <cell r="C1570" t="str">
            <v>ヘルシング</v>
          </cell>
          <cell r="D1570" t="str">
            <v>リンクガチャ:4神</v>
          </cell>
          <cell r="E1570" t="str">
            <v>守護神</v>
          </cell>
          <cell r="F1570" t="str">
            <v>格好いい</v>
          </cell>
          <cell r="G1570" t="str">
            <v>不明</v>
          </cell>
          <cell r="H1570" t="str">
            <v>yellow</v>
          </cell>
          <cell r="I1570">
            <v>5</v>
          </cell>
          <cell r="J1570" t="str">
            <v>DropWizS</v>
          </cell>
          <cell r="K1570" t="str">
            <v>technical</v>
          </cell>
          <cell r="L1570" t="str">
            <v>テクニカルタイプ</v>
          </cell>
          <cell r="M1570" t="str">
            <v>human</v>
          </cell>
        </row>
        <row r="1571">
          <cell r="A1571">
            <v>5008</v>
          </cell>
          <cell r="B1571" t="str">
            <v>ja</v>
          </cell>
          <cell r="C1571" t="str">
            <v>ヘルシング★６</v>
          </cell>
          <cell r="D1571" t="str">
            <v>ノーマルクエスト</v>
          </cell>
          <cell r="E1571" t="str">
            <v>アバター</v>
          </cell>
          <cell r="F1571" t="str">
            <v>世界観</v>
          </cell>
          <cell r="G1571" t="str">
            <v>不明</v>
          </cell>
          <cell r="H1571" t="str">
            <v>yellow</v>
          </cell>
          <cell r="I1571">
            <v>6</v>
          </cell>
          <cell r="J1571" t="str">
            <v>DropWizS</v>
          </cell>
          <cell r="K1571" t="str">
            <v>technical</v>
          </cell>
          <cell r="L1571" t="str">
            <v>テクニカルタイプ</v>
          </cell>
          <cell r="M1571" t="str">
            <v>human</v>
          </cell>
        </row>
        <row r="1572">
          <cell r="A1572">
            <v>6001</v>
          </cell>
          <cell r="B1572" t="str">
            <v>ja</v>
          </cell>
          <cell r="C1572" t="str">
            <v>ジェリー</v>
          </cell>
          <cell r="D1572" t="str">
            <v>ノーマルクエスト</v>
          </cell>
          <cell r="E1572" t="str">
            <v>QoH</v>
          </cell>
          <cell r="F1572" t="str">
            <v>世界観</v>
          </cell>
          <cell r="G1572" t="str">
            <v>不明</v>
          </cell>
          <cell r="H1572" t="str">
            <v>red</v>
          </cell>
          <cell r="I1572">
            <v>1</v>
          </cell>
          <cell r="J1572" t="str">
            <v>Drop1T</v>
          </cell>
          <cell r="K1572" t="str">
            <v>ra</v>
          </cell>
          <cell r="L1572" t="str">
            <v>ラグランジュチャレンジ</v>
          </cell>
          <cell r="M1572" t="str">
            <v>unknown</v>
          </cell>
        </row>
        <row r="1573">
          <cell r="A1573">
            <v>6002</v>
          </cell>
          <cell r="B1573" t="str">
            <v>ja</v>
          </cell>
          <cell r="C1573" t="str">
            <v>ヨシタカ</v>
          </cell>
          <cell r="D1573" t="str">
            <v>ノーマルクエスト</v>
          </cell>
          <cell r="E1573" t="str">
            <v>アバター</v>
          </cell>
          <cell r="F1573" t="str">
            <v>世界観</v>
          </cell>
          <cell r="G1573" t="str">
            <v>男性</v>
          </cell>
          <cell r="H1573" t="str">
            <v>red</v>
          </cell>
          <cell r="I1573">
            <v>2</v>
          </cell>
          <cell r="J1573" t="str">
            <v>Drop1N</v>
          </cell>
          <cell r="K1573" t="str">
            <v>ra</v>
          </cell>
          <cell r="L1573" t="str">
            <v>ラグランジュチャレンジ</v>
          </cell>
          <cell r="M1573" t="str">
            <v>human</v>
          </cell>
        </row>
        <row r="1574">
          <cell r="A1574">
            <v>6003</v>
          </cell>
          <cell r="B1574" t="str">
            <v>ja</v>
          </cell>
          <cell r="C1574" t="str">
            <v>朱雀</v>
          </cell>
          <cell r="D1574" t="str">
            <v>リンクガチャ:4神</v>
          </cell>
          <cell r="E1574" t="str">
            <v>守護神</v>
          </cell>
          <cell r="F1574" t="str">
            <v>格好いい</v>
          </cell>
          <cell r="G1574" t="str">
            <v>不明</v>
          </cell>
          <cell r="H1574" t="str">
            <v>red</v>
          </cell>
          <cell r="I1574">
            <v>3</v>
          </cell>
          <cell r="J1574" t="str">
            <v>Drop2N</v>
          </cell>
          <cell r="K1574" t="str">
            <v>ra</v>
          </cell>
          <cell r="L1574" t="str">
            <v>ラグランジュチャレンジ</v>
          </cell>
          <cell r="M1574" t="str">
            <v>animal</v>
          </cell>
        </row>
        <row r="1575">
          <cell r="A1575">
            <v>6004</v>
          </cell>
          <cell r="B1575" t="str">
            <v>ja</v>
          </cell>
          <cell r="C1575" t="str">
            <v>ブレット</v>
          </cell>
          <cell r="D1575" t="str">
            <v>ノーマルクエスト</v>
          </cell>
          <cell r="E1575" t="str">
            <v>アバター</v>
          </cell>
          <cell r="F1575" t="str">
            <v>世界観</v>
          </cell>
          <cell r="G1575" t="str">
            <v>不明</v>
          </cell>
          <cell r="H1575" t="str">
            <v>red</v>
          </cell>
          <cell r="I1575">
            <v>1</v>
          </cell>
          <cell r="J1575" t="str">
            <v>Drop1W</v>
          </cell>
          <cell r="K1575" t="str">
            <v>ra</v>
          </cell>
          <cell r="L1575" t="str">
            <v>ラグランジュチャレンジ</v>
          </cell>
          <cell r="M1575" t="str">
            <v>animal</v>
          </cell>
        </row>
        <row r="1576">
          <cell r="A1576">
            <v>6005</v>
          </cell>
          <cell r="B1576" t="str">
            <v>ja</v>
          </cell>
          <cell r="C1576" t="str">
            <v>孤神 テティス</v>
          </cell>
          <cell r="D1576" t="str">
            <v>初期ガチャ</v>
          </cell>
          <cell r="E1576" t="str">
            <v>管理者</v>
          </cell>
          <cell r="F1576" t="str">
            <v>美しい</v>
          </cell>
          <cell r="G1576" t="str">
            <v>女性</v>
          </cell>
          <cell r="H1576" t="str">
            <v>blue</v>
          </cell>
          <cell r="I1576">
            <v>4</v>
          </cell>
          <cell r="J1576" t="str">
            <v>PremiumN</v>
          </cell>
          <cell r="K1576" t="str">
            <v>ra</v>
          </cell>
          <cell r="L1576" t="str">
            <v>ラグランジュチャレンジ</v>
          </cell>
          <cell r="M1576" t="str">
            <v>god</v>
          </cell>
        </row>
        <row r="1577">
          <cell r="A1577">
            <v>6006</v>
          </cell>
          <cell r="B1577" t="str">
            <v>ja</v>
          </cell>
          <cell r="C1577" t="str">
            <v>海底の孤高神 テティス</v>
          </cell>
          <cell r="D1577" t="str">
            <v>初期ガチャ</v>
          </cell>
          <cell r="E1577" t="str">
            <v>管理者</v>
          </cell>
          <cell r="F1577" t="str">
            <v>美しい</v>
          </cell>
          <cell r="G1577" t="str">
            <v>女性</v>
          </cell>
          <cell r="H1577" t="str">
            <v>blue</v>
          </cell>
          <cell r="I1577">
            <v>5</v>
          </cell>
          <cell r="J1577" t="str">
            <v>PremiumN</v>
          </cell>
          <cell r="K1577" t="str">
            <v>ra</v>
          </cell>
          <cell r="L1577" t="str">
            <v>ラグランジュチャレンジ</v>
          </cell>
          <cell r="M1577" t="str">
            <v>god</v>
          </cell>
        </row>
        <row r="1578">
          <cell r="A1578">
            <v>6007</v>
          </cell>
          <cell r="B1578" t="str">
            <v>ja</v>
          </cell>
          <cell r="C1578" t="str">
            <v>番犬 ケルベロス</v>
          </cell>
          <cell r="D1578" t="str">
            <v>初期ガチャ</v>
          </cell>
          <cell r="E1578" t="str">
            <v>破界者</v>
          </cell>
          <cell r="F1578" t="str">
            <v>可愛い</v>
          </cell>
          <cell r="G1578" t="str">
            <v>女性</v>
          </cell>
          <cell r="H1578" t="str">
            <v>red</v>
          </cell>
          <cell r="I1578">
            <v>4</v>
          </cell>
          <cell r="J1578" t="str">
            <v>PremiumN</v>
          </cell>
          <cell r="K1578" t="str">
            <v>ra</v>
          </cell>
          <cell r="L1578" t="str">
            <v>ラグランジュチャレンジ</v>
          </cell>
          <cell r="M1578" t="str">
            <v>animal</v>
          </cell>
        </row>
        <row r="1579">
          <cell r="A1579">
            <v>6008</v>
          </cell>
          <cell r="B1579" t="str">
            <v>ja</v>
          </cell>
          <cell r="C1579" t="str">
            <v>焔神 プロメテウス</v>
          </cell>
          <cell r="D1579" t="str">
            <v>初期ガチャ</v>
          </cell>
          <cell r="E1579" t="str">
            <v>管理者</v>
          </cell>
          <cell r="F1579" t="str">
            <v>格好いい</v>
          </cell>
          <cell r="G1579" t="str">
            <v>男性</v>
          </cell>
          <cell r="H1579" t="str">
            <v>red</v>
          </cell>
          <cell r="I1579">
            <v>4</v>
          </cell>
          <cell r="J1579" t="str">
            <v>PremiumN</v>
          </cell>
          <cell r="K1579" t="str">
            <v>ra</v>
          </cell>
          <cell r="L1579" t="str">
            <v>ラグランジュチャレンジ</v>
          </cell>
          <cell r="M1579" t="str">
            <v>god</v>
          </cell>
        </row>
        <row r="1580">
          <cell r="A1580">
            <v>6009</v>
          </cell>
          <cell r="B1580" t="str">
            <v>ja</v>
          </cell>
          <cell r="C1580" t="str">
            <v>超越自我 ラグランジュ</v>
          </cell>
          <cell r="D1580" t="str">
            <v>ガチャ:フィーバーフェス02</v>
          </cell>
          <cell r="E1580" t="str">
            <v>執行者</v>
          </cell>
          <cell r="F1580" t="str">
            <v>格好いい</v>
          </cell>
          <cell r="G1580" t="str">
            <v>女性</v>
          </cell>
          <cell r="H1580" t="str">
            <v>red</v>
          </cell>
          <cell r="I1580">
            <v>5</v>
          </cell>
          <cell r="J1580" t="str">
            <v>PremiumSSS</v>
          </cell>
          <cell r="K1580" t="str">
            <v>ra</v>
          </cell>
          <cell r="L1580" t="str">
            <v>ラグランジュチャレンジ</v>
          </cell>
          <cell r="M1580" t="str">
            <v>human</v>
          </cell>
        </row>
        <row r="1581">
          <cell r="A1581">
            <v>6010</v>
          </cell>
          <cell r="B1581" t="str">
            <v>ja</v>
          </cell>
          <cell r="C1581" t="str">
            <v>超越凌駕 ラグランジュ</v>
          </cell>
          <cell r="D1581" t="str">
            <v>ガチャ:フィーバーフェス02</v>
          </cell>
          <cell r="E1581" t="str">
            <v>執行者</v>
          </cell>
          <cell r="F1581" t="str">
            <v>格好いい</v>
          </cell>
          <cell r="G1581" t="str">
            <v>女性</v>
          </cell>
          <cell r="H1581" t="str">
            <v>red</v>
          </cell>
          <cell r="I1581">
            <v>6</v>
          </cell>
          <cell r="J1581" t="str">
            <v>PremiumSSS</v>
          </cell>
          <cell r="K1581" t="str">
            <v>ra</v>
          </cell>
          <cell r="L1581" t="str">
            <v>ラグランジュチャレンジ</v>
          </cell>
          <cell r="M1581" t="str">
            <v>human</v>
          </cell>
        </row>
        <row r="1582">
          <cell r="A1582">
            <v>6011</v>
          </cell>
          <cell r="B1582" t="str">
            <v>ja</v>
          </cell>
          <cell r="C1582" t="str">
            <v>パトドッグリーダー ポチ</v>
          </cell>
          <cell r="D1582" t="str">
            <v>ガチャ:フィーバーフェス02</v>
          </cell>
          <cell r="E1582" t="str">
            <v>執行者</v>
          </cell>
          <cell r="F1582" t="str">
            <v>格好いい</v>
          </cell>
          <cell r="G1582" t="str">
            <v>男性</v>
          </cell>
          <cell r="H1582" t="str">
            <v>blue</v>
          </cell>
          <cell r="I1582">
            <v>2</v>
          </cell>
          <cell r="J1582" t="str">
            <v>Drop1T</v>
          </cell>
          <cell r="K1582" t="str">
            <v>ra002</v>
          </cell>
          <cell r="L1582" t="str">
            <v>ユークリッドチャレンジ</v>
          </cell>
          <cell r="M1582" t="str">
            <v>unknown</v>
          </cell>
        </row>
        <row r="1583">
          <cell r="A1583">
            <v>6012</v>
          </cell>
          <cell r="B1583" t="str">
            <v>ja</v>
          </cell>
          <cell r="C1583" t="str">
            <v>ミミ</v>
          </cell>
          <cell r="D1583" t="str">
            <v>ガチャ:フィーバーフェス02</v>
          </cell>
          <cell r="E1583" t="str">
            <v>執行者</v>
          </cell>
          <cell r="F1583" t="str">
            <v>格好いい</v>
          </cell>
          <cell r="G1583" t="str">
            <v>男性</v>
          </cell>
          <cell r="H1583" t="str">
            <v>yellow</v>
          </cell>
          <cell r="I1583">
            <v>1</v>
          </cell>
          <cell r="J1583" t="str">
            <v>Drop1W</v>
          </cell>
          <cell r="K1583" t="str">
            <v>ra002</v>
          </cell>
          <cell r="L1583" t="str">
            <v>ユークリッドチャレンジ</v>
          </cell>
          <cell r="M1583" t="str">
            <v>animal</v>
          </cell>
        </row>
        <row r="1584">
          <cell r="A1584">
            <v>6013</v>
          </cell>
          <cell r="B1584" t="str">
            <v>ja</v>
          </cell>
          <cell r="C1584" t="str">
            <v>護衛機人 スケアクロウ</v>
          </cell>
          <cell r="D1584" t="str">
            <v>ガチャ:フィーバーフェス02</v>
          </cell>
          <cell r="E1584" t="str">
            <v>執行者</v>
          </cell>
          <cell r="F1584" t="str">
            <v>格好いい</v>
          </cell>
          <cell r="G1584" t="str">
            <v>男性</v>
          </cell>
          <cell r="H1584" t="str">
            <v>blue</v>
          </cell>
          <cell r="I1584">
            <v>2</v>
          </cell>
          <cell r="J1584" t="str">
            <v>Drop1N</v>
          </cell>
          <cell r="K1584" t="str">
            <v>ra002</v>
          </cell>
          <cell r="L1584" t="str">
            <v>ユークリッドチャレンジ</v>
          </cell>
          <cell r="M1584" t="str">
            <v>machine</v>
          </cell>
        </row>
        <row r="1585">
          <cell r="A1585">
            <v>6014</v>
          </cell>
          <cell r="B1585" t="str">
            <v>ja</v>
          </cell>
          <cell r="C1585" t="str">
            <v>月下の人狼 ローレンス</v>
          </cell>
          <cell r="D1585" t="str">
            <v>ガチャ:フィーバーフェス02</v>
          </cell>
          <cell r="E1585" t="str">
            <v>執行者</v>
          </cell>
          <cell r="F1585" t="str">
            <v>格好いい</v>
          </cell>
          <cell r="G1585" t="str">
            <v>男性</v>
          </cell>
          <cell r="H1585" t="str">
            <v>blue</v>
          </cell>
          <cell r="I1585">
            <v>4</v>
          </cell>
          <cell r="J1585" t="str">
            <v>PremiumW</v>
          </cell>
          <cell r="K1585" t="str">
            <v>ra002</v>
          </cell>
          <cell r="L1585" t="str">
            <v>ユークリッドチャレンジ</v>
          </cell>
          <cell r="M1585" t="str">
            <v>animal</v>
          </cell>
        </row>
        <row r="1586">
          <cell r="A1586">
            <v>6015</v>
          </cell>
          <cell r="B1586" t="str">
            <v>ja</v>
          </cell>
          <cell r="C1586" t="str">
            <v>フレイヤ</v>
          </cell>
          <cell r="D1586" t="str">
            <v>ガチャ:フィーバーフェス02</v>
          </cell>
          <cell r="E1586" t="str">
            <v>執行者</v>
          </cell>
          <cell r="F1586" t="str">
            <v>格好いい</v>
          </cell>
          <cell r="G1586" t="str">
            <v>男性</v>
          </cell>
          <cell r="H1586" t="str">
            <v>blue</v>
          </cell>
          <cell r="I1586">
            <v>4</v>
          </cell>
          <cell r="J1586" t="str">
            <v>PremiumSS</v>
          </cell>
          <cell r="K1586" t="str">
            <v>ra002</v>
          </cell>
          <cell r="L1586" t="str">
            <v>ユークリッドチャレンジ</v>
          </cell>
          <cell r="M1586" t="str">
            <v>animal</v>
          </cell>
        </row>
        <row r="1587">
          <cell r="A1587">
            <v>6016</v>
          </cell>
          <cell r="B1587" t="str">
            <v>ja</v>
          </cell>
          <cell r="C1587" t="str">
            <v>根原論理 ユークリッド</v>
          </cell>
          <cell r="D1587" t="str">
            <v>ガチャ:フィーバーフェス02</v>
          </cell>
          <cell r="E1587" t="str">
            <v>執行者</v>
          </cell>
          <cell r="F1587" t="str">
            <v>格好いい</v>
          </cell>
          <cell r="G1587" t="str">
            <v>男性</v>
          </cell>
          <cell r="H1587" t="str">
            <v>blue</v>
          </cell>
          <cell r="I1587">
            <v>5</v>
          </cell>
          <cell r="J1587" t="str">
            <v>PremiumSSS</v>
          </cell>
          <cell r="K1587" t="str">
            <v>ra002</v>
          </cell>
          <cell r="L1587" t="str">
            <v>ユークリッドチャレンジ</v>
          </cell>
          <cell r="M1587" t="str">
            <v>human</v>
          </cell>
        </row>
        <row r="1588">
          <cell r="A1588">
            <v>6017</v>
          </cell>
          <cell r="B1588" t="str">
            <v>ja</v>
          </cell>
          <cell r="C1588" t="str">
            <v>不朽の極論 ユークリッド</v>
          </cell>
          <cell r="D1588" t="str">
            <v>ガチャ:フィーバーフェス02</v>
          </cell>
          <cell r="E1588" t="str">
            <v>執行者</v>
          </cell>
          <cell r="F1588" t="str">
            <v>格好いい</v>
          </cell>
          <cell r="G1588" t="str">
            <v>男性</v>
          </cell>
          <cell r="H1588" t="str">
            <v>blue</v>
          </cell>
          <cell r="I1588">
            <v>6</v>
          </cell>
          <cell r="J1588" t="str">
            <v>PremiumSSS</v>
          </cell>
          <cell r="K1588" t="str">
            <v>ra002</v>
          </cell>
          <cell r="L1588" t="str">
            <v>ユークリッドチャレンジ</v>
          </cell>
          <cell r="M1588" t="str">
            <v>human</v>
          </cell>
        </row>
        <row r="1589">
          <cell r="A1589">
            <v>6018</v>
          </cell>
          <cell r="B1589" t="str">
            <v>ja</v>
          </cell>
          <cell r="C1589" t="str">
            <v>ハヅル</v>
          </cell>
          <cell r="D1589" t="str">
            <v>ガチャ:フィーバーフェス02</v>
          </cell>
          <cell r="E1589" t="str">
            <v>執行者</v>
          </cell>
          <cell r="F1589" t="str">
            <v>格好いい</v>
          </cell>
          <cell r="G1589" t="str">
            <v>男性</v>
          </cell>
          <cell r="H1589" t="str">
            <v>red</v>
          </cell>
          <cell r="I1589">
            <v>4</v>
          </cell>
          <cell r="J1589" t="str">
            <v>PremiumSS</v>
          </cell>
          <cell r="K1589" t="str">
            <v>ra002</v>
          </cell>
          <cell r="L1589" t="str">
            <v>ユークリッドチャレンジ</v>
          </cell>
          <cell r="M1589" t="str">
            <v>animal</v>
          </cell>
        </row>
        <row r="1590">
          <cell r="A1590">
            <v>6019</v>
          </cell>
          <cell r="B1590" t="str">
            <v>ja</v>
          </cell>
          <cell r="C1590" t="str">
            <v>天織羽鶴 ハヅル</v>
          </cell>
          <cell r="D1590" t="str">
            <v>ガチャ:フィーバーフェス02</v>
          </cell>
          <cell r="E1590" t="str">
            <v>執行者</v>
          </cell>
          <cell r="F1590" t="str">
            <v>格好いい</v>
          </cell>
          <cell r="G1590" t="str">
            <v>男性</v>
          </cell>
          <cell r="H1590" t="str">
            <v>red</v>
          </cell>
          <cell r="I1590">
            <v>5</v>
          </cell>
          <cell r="J1590" t="str">
            <v>PremiumSS</v>
          </cell>
          <cell r="K1590" t="str">
            <v>ra002</v>
          </cell>
          <cell r="L1590" t="str">
            <v>ユークリッドチャレンジ</v>
          </cell>
          <cell r="M1590" t="str">
            <v>animal</v>
          </cell>
        </row>
        <row r="1591">
          <cell r="A1591">
            <v>6020</v>
          </cell>
          <cell r="B1591" t="str">
            <v>ja</v>
          </cell>
          <cell r="C1591" t="str">
            <v>ミズチ</v>
          </cell>
          <cell r="D1591" t="str">
            <v>ガチャ:フィーバーフェス02</v>
          </cell>
          <cell r="E1591" t="str">
            <v>執行者</v>
          </cell>
          <cell r="F1591" t="str">
            <v>格好いい</v>
          </cell>
          <cell r="G1591" t="str">
            <v>男性</v>
          </cell>
          <cell r="H1591" t="str">
            <v>blue</v>
          </cell>
          <cell r="I1591">
            <v>4</v>
          </cell>
          <cell r="J1591" t="str">
            <v>PremiumS</v>
          </cell>
          <cell r="K1591" t="str">
            <v>ra002</v>
          </cell>
          <cell r="L1591" t="str">
            <v>ユークリッドチャレンジ</v>
          </cell>
          <cell r="M1591" t="str">
            <v>dragon</v>
          </cell>
        </row>
        <row r="1592">
          <cell r="A1592">
            <v>8001</v>
          </cell>
          <cell r="B1592" t="str">
            <v>ja</v>
          </cell>
          <cell r="C1592" t="str">
            <v>媽祖</v>
          </cell>
          <cell r="D1592" t="str">
            <v>イベント:ミクコラボ01</v>
          </cell>
          <cell r="E1592" t="str">
            <v>執行者</v>
          </cell>
          <cell r="F1592" t="str">
            <v>格好いい</v>
          </cell>
          <cell r="G1592" t="str">
            <v>女性</v>
          </cell>
          <cell r="H1592" t="str">
            <v>yellow</v>
          </cell>
          <cell r="I1592">
            <v>5</v>
          </cell>
          <cell r="J1592" t="str">
            <v>PremiumSS</v>
          </cell>
          <cell r="K1592" t="str">
            <v>attack</v>
          </cell>
          <cell r="L1592" t="str">
            <v>攻撃タイプ</v>
          </cell>
          <cell r="M1592" t="str">
            <v>god</v>
          </cell>
        </row>
        <row r="1593">
          <cell r="A1593">
            <v>8002</v>
          </cell>
          <cell r="B1593" t="str">
            <v>ja</v>
          </cell>
          <cell r="C1593" t="str">
            <v>宣導する天海妃 媽祖</v>
          </cell>
          <cell r="D1593" t="str">
            <v>イベント:ミクコラボ01</v>
          </cell>
          <cell r="E1593" t="str">
            <v>執行者</v>
          </cell>
          <cell r="F1593" t="str">
            <v>格好いい</v>
          </cell>
          <cell r="G1593" t="str">
            <v>女性</v>
          </cell>
          <cell r="H1593" t="str">
            <v>yellow</v>
          </cell>
          <cell r="I1593">
            <v>6</v>
          </cell>
          <cell r="J1593" t="str">
            <v>PremiumSS</v>
          </cell>
          <cell r="K1593" t="str">
            <v>attack</v>
          </cell>
          <cell r="L1593" t="str">
            <v>攻撃タイプ</v>
          </cell>
          <cell r="M1593" t="str">
            <v>god</v>
          </cell>
        </row>
        <row r="1594">
          <cell r="A1594">
            <v>8003</v>
          </cell>
          <cell r="B1594" t="str">
            <v>ja</v>
          </cell>
          <cell r="C1594" t="str">
            <v>蛟龍</v>
          </cell>
          <cell r="D1594" t="str">
            <v>イベント:ミクコラボ01</v>
          </cell>
          <cell r="E1594" t="str">
            <v>執行者</v>
          </cell>
          <cell r="F1594" t="str">
            <v>格好いい</v>
          </cell>
          <cell r="G1594" t="str">
            <v>不明</v>
          </cell>
          <cell r="H1594" t="str">
            <v>blue</v>
          </cell>
          <cell r="I1594">
            <v>5</v>
          </cell>
          <cell r="J1594" t="str">
            <v>DropWizS</v>
          </cell>
          <cell r="K1594" t="str">
            <v>hp</v>
          </cell>
          <cell r="L1594" t="str">
            <v>体力タイプ</v>
          </cell>
          <cell r="M1594" t="str">
            <v>dragon</v>
          </cell>
        </row>
        <row r="1595">
          <cell r="A1595">
            <v>8004</v>
          </cell>
          <cell r="B1595" t="str">
            <v>ja</v>
          </cell>
          <cell r="C1595" t="str">
            <v>呼嵐の蒼棲龍 蛟龍</v>
          </cell>
          <cell r="D1595" t="str">
            <v>イベント:ミクコラボ01</v>
          </cell>
          <cell r="E1595" t="str">
            <v>執行者</v>
          </cell>
          <cell r="F1595" t="str">
            <v>格好いい</v>
          </cell>
          <cell r="G1595" t="str">
            <v>不明</v>
          </cell>
          <cell r="H1595" t="str">
            <v>blue</v>
          </cell>
          <cell r="I1595">
            <v>6</v>
          </cell>
          <cell r="J1595" t="str">
            <v>DropWizS</v>
          </cell>
          <cell r="K1595" t="str">
            <v>hp</v>
          </cell>
          <cell r="L1595" t="str">
            <v>体力タイプ</v>
          </cell>
          <cell r="M1595" t="str">
            <v>dragon</v>
          </cell>
        </row>
        <row r="1596">
          <cell r="A1596">
            <v>8005</v>
          </cell>
          <cell r="B1596" t="str">
            <v>ja</v>
          </cell>
          <cell r="C1596" t="str">
            <v>三蔵法師</v>
          </cell>
          <cell r="D1596" t="str">
            <v>イベント:ミクコラボ01</v>
          </cell>
          <cell r="E1596" t="str">
            <v>執行者</v>
          </cell>
          <cell r="F1596" t="str">
            <v>格好いい</v>
          </cell>
          <cell r="G1596" t="str">
            <v>不明</v>
          </cell>
          <cell r="H1596" t="str">
            <v>blue</v>
          </cell>
          <cell r="I1596">
            <v>5</v>
          </cell>
          <cell r="J1596" t="str">
            <v>PremiumSS</v>
          </cell>
          <cell r="K1596" t="str">
            <v>balance</v>
          </cell>
          <cell r="L1596" t="str">
            <v>バランスタイプ</v>
          </cell>
          <cell r="M1596" t="str">
            <v>human</v>
          </cell>
        </row>
        <row r="1597">
          <cell r="A1597">
            <v>8006</v>
          </cell>
          <cell r="B1597" t="str">
            <v>ja</v>
          </cell>
          <cell r="C1597" t="str">
            <v>慈戒の呪封使 三蔵法師</v>
          </cell>
          <cell r="D1597" t="str">
            <v>イベント:ミクコラボ01</v>
          </cell>
          <cell r="E1597" t="str">
            <v>執行者</v>
          </cell>
          <cell r="F1597" t="str">
            <v>格好いい</v>
          </cell>
          <cell r="G1597" t="str">
            <v>不明</v>
          </cell>
          <cell r="H1597" t="str">
            <v>blue</v>
          </cell>
          <cell r="I1597">
            <v>6</v>
          </cell>
          <cell r="J1597" t="str">
            <v>PremiumSS</v>
          </cell>
          <cell r="K1597" t="str">
            <v>balance</v>
          </cell>
          <cell r="L1597" t="str">
            <v>バランスタイプ</v>
          </cell>
          <cell r="M1597" t="str">
            <v>human</v>
          </cell>
        </row>
        <row r="1598">
          <cell r="A1598">
            <v>8007</v>
          </cell>
          <cell r="B1598" t="str">
            <v>ja</v>
          </cell>
          <cell r="C1598" t="str">
            <v>孫悟空</v>
          </cell>
          <cell r="D1598" t="str">
            <v>イベント:ミクコラボ01</v>
          </cell>
          <cell r="E1598" t="str">
            <v>執行者</v>
          </cell>
          <cell r="F1598" t="str">
            <v>格好いい</v>
          </cell>
          <cell r="G1598" t="str">
            <v>不明</v>
          </cell>
          <cell r="H1598" t="str">
            <v>red</v>
          </cell>
          <cell r="I1598">
            <v>5</v>
          </cell>
          <cell r="J1598" t="str">
            <v>DropWizS</v>
          </cell>
          <cell r="K1598" t="str">
            <v>attack</v>
          </cell>
          <cell r="L1598" t="str">
            <v>攻撃タイプ</v>
          </cell>
          <cell r="M1598" t="str">
            <v>animal</v>
          </cell>
        </row>
        <row r="1599">
          <cell r="A1599">
            <v>8008</v>
          </cell>
          <cell r="B1599" t="str">
            <v>ja</v>
          </cell>
          <cell r="C1599" t="str">
            <v>花果の天猿仙人 孫悟空</v>
          </cell>
          <cell r="D1599" t="str">
            <v>イベント:ミクコラボ01</v>
          </cell>
          <cell r="E1599" t="str">
            <v>執行者</v>
          </cell>
          <cell r="F1599" t="str">
            <v>格好いい</v>
          </cell>
          <cell r="G1599" t="str">
            <v>不明</v>
          </cell>
          <cell r="H1599" t="str">
            <v>red</v>
          </cell>
          <cell r="I1599">
            <v>6</v>
          </cell>
          <cell r="J1599" t="str">
            <v>DropWizS</v>
          </cell>
          <cell r="K1599" t="str">
            <v>attack</v>
          </cell>
          <cell r="L1599" t="str">
            <v>攻撃タイプ</v>
          </cell>
          <cell r="M1599" t="str">
            <v>animal</v>
          </cell>
        </row>
        <row r="1600">
          <cell r="A1600">
            <v>8009</v>
          </cell>
          <cell r="B1600" t="str">
            <v>ja</v>
          </cell>
          <cell r="C1600" t="str">
            <v>西王娘娘</v>
          </cell>
          <cell r="D1600" t="str">
            <v>イベント:ミクコラボ01</v>
          </cell>
          <cell r="E1600" t="str">
            <v>執行者</v>
          </cell>
          <cell r="F1600" t="str">
            <v>格好いい</v>
          </cell>
          <cell r="G1600" t="str">
            <v>不明</v>
          </cell>
          <cell r="H1600" t="str">
            <v>green</v>
          </cell>
          <cell r="I1600">
            <v>5</v>
          </cell>
          <cell r="J1600" t="str">
            <v>PremiumSS</v>
          </cell>
          <cell r="K1600" t="str">
            <v>attack</v>
          </cell>
          <cell r="L1600" t="str">
            <v>攻撃タイプ</v>
          </cell>
          <cell r="M1600" t="str">
            <v>god</v>
          </cell>
        </row>
        <row r="1601">
          <cell r="A1601">
            <v>8010</v>
          </cell>
          <cell r="B1601" t="str">
            <v>ja</v>
          </cell>
          <cell r="C1601" t="str">
            <v>極楽瑶池の聖母 西王娘娘</v>
          </cell>
          <cell r="D1601" t="str">
            <v>イベント:ミクコラボ01</v>
          </cell>
          <cell r="E1601" t="str">
            <v>執行者</v>
          </cell>
          <cell r="F1601" t="str">
            <v>格好いい</v>
          </cell>
          <cell r="G1601" t="str">
            <v>不明</v>
          </cell>
          <cell r="H1601" t="str">
            <v>green</v>
          </cell>
          <cell r="I1601">
            <v>6</v>
          </cell>
          <cell r="J1601" t="str">
            <v>PremiumSS</v>
          </cell>
          <cell r="K1601" t="str">
            <v>attack</v>
          </cell>
          <cell r="L1601" t="str">
            <v>攻撃タイプ</v>
          </cell>
          <cell r="M1601" t="str">
            <v>god</v>
          </cell>
        </row>
        <row r="1602">
          <cell r="A1602">
            <v>8011</v>
          </cell>
          <cell r="B1602" t="str">
            <v>ja</v>
          </cell>
          <cell r="C1602" t="str">
            <v>月下老人</v>
          </cell>
          <cell r="D1602" t="str">
            <v>イベント:ミクコラボ01</v>
          </cell>
          <cell r="E1602" t="str">
            <v>執行者</v>
          </cell>
          <cell r="F1602" t="str">
            <v>格好いい</v>
          </cell>
          <cell r="G1602" t="str">
            <v>女性</v>
          </cell>
          <cell r="H1602" t="str">
            <v>yellow</v>
          </cell>
          <cell r="I1602">
            <v>5</v>
          </cell>
          <cell r="J1602" t="str">
            <v>DropWizS</v>
          </cell>
          <cell r="K1602" t="str">
            <v>balance</v>
          </cell>
          <cell r="L1602" t="str">
            <v>バランスタイプ</v>
          </cell>
          <cell r="M1602" t="str">
            <v>god</v>
          </cell>
        </row>
        <row r="1603">
          <cell r="A1603">
            <v>8012</v>
          </cell>
          <cell r="B1603" t="str">
            <v>ja</v>
          </cell>
          <cell r="C1603" t="str">
            <v>破戀斬る縁剣 月下老人</v>
          </cell>
          <cell r="D1603" t="str">
            <v>イベント:ミクコラボ01</v>
          </cell>
          <cell r="E1603" t="str">
            <v>執行者</v>
          </cell>
          <cell r="F1603" t="str">
            <v>格好いい</v>
          </cell>
          <cell r="G1603" t="str">
            <v>女性</v>
          </cell>
          <cell r="H1603" t="str">
            <v>yellow</v>
          </cell>
          <cell r="I1603">
            <v>6</v>
          </cell>
          <cell r="J1603" t="str">
            <v>DropWizS</v>
          </cell>
          <cell r="K1603" t="str">
            <v>balance</v>
          </cell>
          <cell r="L1603" t="str">
            <v>バランスタイプ</v>
          </cell>
          <cell r="M1603" t="str">
            <v>god</v>
          </cell>
        </row>
        <row r="1604">
          <cell r="A1604">
            <v>8013</v>
          </cell>
          <cell r="B1604" t="str">
            <v>ja</v>
          </cell>
          <cell r="C1604" t="str">
            <v>初音ミクV3</v>
          </cell>
          <cell r="D1604" t="str">
            <v>初音ミクV3</v>
          </cell>
          <cell r="E1604" t="str">
            <v>執行者</v>
          </cell>
          <cell r="F1604" t="str">
            <v>格好いい</v>
          </cell>
          <cell r="G1604" t="str">
            <v>女性</v>
          </cell>
          <cell r="H1604" t="str">
            <v>yellow</v>
          </cell>
          <cell r="I1604">
            <v>4</v>
          </cell>
          <cell r="J1604" t="str">
            <v>DropWizS</v>
          </cell>
          <cell r="K1604" t="str">
            <v>balance</v>
          </cell>
          <cell r="L1604" t="str">
            <v>バランスタイプ</v>
          </cell>
          <cell r="M1604" t="str">
            <v>unknown</v>
          </cell>
        </row>
        <row r="1605">
          <cell r="A1605">
            <v>8014</v>
          </cell>
          <cell r="B1605" t="str">
            <v>ja</v>
          </cell>
          <cell r="C1605" t="str">
            <v>初音ミクV3</v>
          </cell>
          <cell r="D1605" t="str">
            <v>初音ミクV3</v>
          </cell>
          <cell r="E1605" t="str">
            <v>執行者</v>
          </cell>
          <cell r="F1605" t="str">
            <v>格好いい</v>
          </cell>
          <cell r="G1605" t="str">
            <v>女性</v>
          </cell>
          <cell r="H1605" t="str">
            <v>yellow</v>
          </cell>
          <cell r="I1605">
            <v>5</v>
          </cell>
          <cell r="J1605" t="str">
            <v>DropWizS</v>
          </cell>
          <cell r="K1605" t="str">
            <v>balance</v>
          </cell>
          <cell r="L1605" t="str">
            <v>バランスタイプ</v>
          </cell>
          <cell r="M1605" t="str">
            <v>unknown</v>
          </cell>
        </row>
        <row r="1606">
          <cell r="A1606">
            <v>8015</v>
          </cell>
          <cell r="B1606" t="str">
            <v>ja</v>
          </cell>
          <cell r="C1606" t="str">
            <v>初音ミク・アペンド</v>
          </cell>
          <cell r="D1606" t="str">
            <v>初音ミク・アペンド</v>
          </cell>
          <cell r="E1606" t="str">
            <v>執行者</v>
          </cell>
          <cell r="F1606" t="str">
            <v>格好いい</v>
          </cell>
          <cell r="G1606" t="str">
            <v>女性</v>
          </cell>
          <cell r="H1606" t="str">
            <v>green</v>
          </cell>
          <cell r="I1606">
            <v>4</v>
          </cell>
          <cell r="J1606" t="str">
            <v>PremiumSSS</v>
          </cell>
          <cell r="K1606" t="str">
            <v>technical</v>
          </cell>
          <cell r="L1606" t="str">
            <v>テクニカルタイプ</v>
          </cell>
          <cell r="M1606" t="str">
            <v>unknown</v>
          </cell>
        </row>
        <row r="1607">
          <cell r="A1607">
            <v>8016</v>
          </cell>
          <cell r="B1607" t="str">
            <v>ja</v>
          </cell>
          <cell r="C1607" t="str">
            <v>初音ミク・アペンド</v>
          </cell>
          <cell r="D1607" t="str">
            <v>初音ミク・アペンド</v>
          </cell>
          <cell r="E1607" t="str">
            <v>執行者</v>
          </cell>
          <cell r="F1607" t="str">
            <v>格好いい</v>
          </cell>
          <cell r="G1607" t="str">
            <v>女性</v>
          </cell>
          <cell r="H1607" t="str">
            <v>green</v>
          </cell>
          <cell r="I1607">
            <v>5</v>
          </cell>
          <cell r="J1607" t="str">
            <v>PremiumSSS</v>
          </cell>
          <cell r="K1607" t="str">
            <v>technical</v>
          </cell>
          <cell r="L1607" t="str">
            <v>テクニカルタイプ</v>
          </cell>
          <cell r="M1607" t="str">
            <v>unknown</v>
          </cell>
        </row>
        <row r="1608">
          <cell r="A1608">
            <v>8017</v>
          </cell>
          <cell r="B1608" t="str">
            <v>ja</v>
          </cell>
          <cell r="C1608" t="str">
            <v>初音ミク</v>
          </cell>
          <cell r="D1608" t="str">
            <v>初音ミク</v>
          </cell>
          <cell r="E1608" t="str">
            <v>執行者</v>
          </cell>
          <cell r="F1608" t="str">
            <v>格好いい</v>
          </cell>
          <cell r="G1608" t="str">
            <v>女性</v>
          </cell>
          <cell r="H1608" t="str">
            <v>green</v>
          </cell>
          <cell r="I1608">
            <v>4</v>
          </cell>
          <cell r="J1608" t="str">
            <v>PremiumSSS</v>
          </cell>
          <cell r="K1608" t="str">
            <v>balance</v>
          </cell>
          <cell r="L1608" t="str">
            <v>バランスタイプ</v>
          </cell>
          <cell r="M1608" t="str">
            <v>unknown</v>
          </cell>
        </row>
        <row r="1609">
          <cell r="A1609">
            <v>8018</v>
          </cell>
          <cell r="B1609" t="str">
            <v>ja</v>
          </cell>
          <cell r="C1609" t="str">
            <v>初音ミク</v>
          </cell>
          <cell r="D1609" t="str">
            <v>初音ミク</v>
          </cell>
          <cell r="E1609" t="str">
            <v>執行者</v>
          </cell>
          <cell r="F1609" t="str">
            <v>格好いい</v>
          </cell>
          <cell r="G1609" t="str">
            <v>女性</v>
          </cell>
          <cell r="H1609" t="str">
            <v>green</v>
          </cell>
          <cell r="I1609">
            <v>5</v>
          </cell>
          <cell r="J1609" t="str">
            <v>PremiumSSS</v>
          </cell>
          <cell r="K1609" t="str">
            <v>balance</v>
          </cell>
          <cell r="L1609" t="str">
            <v>バランスタイプ</v>
          </cell>
          <cell r="M1609" t="str">
            <v>unknown</v>
          </cell>
        </row>
        <row r="1610">
          <cell r="A1610">
            <v>8019</v>
          </cell>
          <cell r="B1610" t="str">
            <v>ja</v>
          </cell>
          <cell r="C1610" t="str">
            <v>鏡音リン</v>
          </cell>
          <cell r="D1610" t="str">
            <v>鏡音リン</v>
          </cell>
          <cell r="E1610" t="str">
            <v>執行者</v>
          </cell>
          <cell r="F1610" t="str">
            <v>格好いい</v>
          </cell>
          <cell r="G1610" t="str">
            <v>男性</v>
          </cell>
          <cell r="H1610" t="str">
            <v>yellow</v>
          </cell>
          <cell r="I1610">
            <v>4</v>
          </cell>
          <cell r="J1610" t="str">
            <v>PremiumSS</v>
          </cell>
          <cell r="K1610" t="str">
            <v>balance</v>
          </cell>
          <cell r="L1610" t="str">
            <v>バランスタイプ</v>
          </cell>
          <cell r="M1610" t="str">
            <v>unknown</v>
          </cell>
        </row>
        <row r="1611">
          <cell r="A1611">
            <v>8020</v>
          </cell>
          <cell r="B1611" t="str">
            <v>ja</v>
          </cell>
          <cell r="C1611" t="str">
            <v>鏡音リン</v>
          </cell>
          <cell r="D1611" t="str">
            <v>鏡音リン</v>
          </cell>
          <cell r="E1611" t="str">
            <v>執行者</v>
          </cell>
          <cell r="F1611" t="str">
            <v>格好いい</v>
          </cell>
          <cell r="G1611" t="str">
            <v>男性</v>
          </cell>
          <cell r="H1611" t="str">
            <v>yellow</v>
          </cell>
          <cell r="I1611">
            <v>5</v>
          </cell>
          <cell r="J1611" t="str">
            <v>PremiumSS</v>
          </cell>
          <cell r="K1611" t="str">
            <v>balance</v>
          </cell>
          <cell r="L1611" t="str">
            <v>バランスタイプ</v>
          </cell>
          <cell r="M1611" t="str">
            <v>unknown</v>
          </cell>
        </row>
        <row r="1612">
          <cell r="A1612">
            <v>8021</v>
          </cell>
          <cell r="B1612" t="str">
            <v>ja</v>
          </cell>
          <cell r="C1612" t="str">
            <v>鏡音レン</v>
          </cell>
          <cell r="D1612" t="str">
            <v>鏡音レン</v>
          </cell>
          <cell r="E1612" t="str">
            <v>執行者</v>
          </cell>
          <cell r="F1612" t="str">
            <v>格好いい</v>
          </cell>
          <cell r="G1612" t="str">
            <v>女性</v>
          </cell>
          <cell r="H1612" t="str">
            <v>yellow</v>
          </cell>
          <cell r="I1612">
            <v>4</v>
          </cell>
          <cell r="J1612" t="str">
            <v>PremiumSS</v>
          </cell>
          <cell r="K1612" t="str">
            <v>heal</v>
          </cell>
          <cell r="L1612" t="str">
            <v>回復タイプ</v>
          </cell>
          <cell r="M1612" t="str">
            <v>unknown</v>
          </cell>
        </row>
        <row r="1613">
          <cell r="A1613">
            <v>8022</v>
          </cell>
          <cell r="B1613" t="str">
            <v>ja</v>
          </cell>
          <cell r="C1613" t="str">
            <v>鏡音レン</v>
          </cell>
          <cell r="D1613" t="str">
            <v>鏡音レン</v>
          </cell>
          <cell r="E1613" t="str">
            <v>執行者</v>
          </cell>
          <cell r="F1613" t="str">
            <v>格好いい</v>
          </cell>
          <cell r="G1613" t="str">
            <v>女性</v>
          </cell>
          <cell r="H1613" t="str">
            <v>yellow</v>
          </cell>
          <cell r="I1613">
            <v>5</v>
          </cell>
          <cell r="J1613" t="str">
            <v>PremiumSS</v>
          </cell>
          <cell r="K1613" t="str">
            <v>heal</v>
          </cell>
          <cell r="L1613" t="str">
            <v>回復タイプ</v>
          </cell>
          <cell r="M1613" t="str">
            <v>unknown</v>
          </cell>
        </row>
        <row r="1614">
          <cell r="A1614">
            <v>8023</v>
          </cell>
          <cell r="B1614" t="str">
            <v>ja</v>
          </cell>
          <cell r="C1614" t="str">
            <v>巡音ルカ</v>
          </cell>
          <cell r="D1614" t="str">
            <v>巡音ルカ</v>
          </cell>
          <cell r="E1614" t="str">
            <v>執行者</v>
          </cell>
          <cell r="F1614" t="str">
            <v>格好いい</v>
          </cell>
          <cell r="G1614" t="str">
            <v>女性</v>
          </cell>
          <cell r="H1614" t="str">
            <v>red</v>
          </cell>
          <cell r="I1614">
            <v>3</v>
          </cell>
          <cell r="J1614" t="str">
            <v>PremiumS</v>
          </cell>
          <cell r="K1614" t="str">
            <v>attack</v>
          </cell>
          <cell r="L1614" t="str">
            <v>攻撃タイプ</v>
          </cell>
          <cell r="M1614" t="str">
            <v>unknown</v>
          </cell>
        </row>
        <row r="1615">
          <cell r="A1615">
            <v>8024</v>
          </cell>
          <cell r="B1615" t="str">
            <v>ja</v>
          </cell>
          <cell r="C1615" t="str">
            <v>巡音ルカ</v>
          </cell>
          <cell r="D1615" t="str">
            <v>巡音ルカ</v>
          </cell>
          <cell r="E1615" t="str">
            <v>執行者</v>
          </cell>
          <cell r="F1615" t="str">
            <v>格好いい</v>
          </cell>
          <cell r="G1615" t="str">
            <v>女性</v>
          </cell>
          <cell r="H1615" t="str">
            <v>red</v>
          </cell>
          <cell r="I1615">
            <v>4</v>
          </cell>
          <cell r="J1615" t="str">
            <v>PremiumS</v>
          </cell>
          <cell r="K1615" t="str">
            <v>attack</v>
          </cell>
          <cell r="L1615" t="str">
            <v>攻撃タイプ</v>
          </cell>
          <cell r="M1615" t="str">
            <v>unknown</v>
          </cell>
        </row>
        <row r="1616">
          <cell r="A1616">
            <v>8025</v>
          </cell>
          <cell r="B1616" t="str">
            <v>ja</v>
          </cell>
          <cell r="C1616" t="str">
            <v>MEIKO</v>
          </cell>
          <cell r="D1616" t="str">
            <v>MEIKO</v>
          </cell>
          <cell r="E1616" t="str">
            <v>執行者</v>
          </cell>
          <cell r="F1616" t="str">
            <v>格好いい</v>
          </cell>
          <cell r="G1616" t="str">
            <v>男性</v>
          </cell>
          <cell r="H1616" t="str">
            <v>red</v>
          </cell>
          <cell r="I1616">
            <v>3</v>
          </cell>
          <cell r="J1616" t="str">
            <v>PremiumS</v>
          </cell>
          <cell r="K1616" t="str">
            <v>hp</v>
          </cell>
          <cell r="L1616" t="str">
            <v>体力タイプ</v>
          </cell>
          <cell r="M1616" t="str">
            <v>unknown</v>
          </cell>
        </row>
        <row r="1617">
          <cell r="A1617">
            <v>8026</v>
          </cell>
          <cell r="B1617" t="str">
            <v>ja</v>
          </cell>
          <cell r="C1617" t="str">
            <v>MEIKO</v>
          </cell>
          <cell r="D1617" t="str">
            <v>MEIKO</v>
          </cell>
          <cell r="E1617" t="str">
            <v>執行者</v>
          </cell>
          <cell r="F1617" t="str">
            <v>格好いい</v>
          </cell>
          <cell r="G1617" t="str">
            <v>男性</v>
          </cell>
          <cell r="H1617" t="str">
            <v>red</v>
          </cell>
          <cell r="I1617">
            <v>4</v>
          </cell>
          <cell r="J1617" t="str">
            <v>PremiumS</v>
          </cell>
          <cell r="K1617" t="str">
            <v>hp</v>
          </cell>
          <cell r="L1617" t="str">
            <v>体力タイプ</v>
          </cell>
          <cell r="M1617" t="str">
            <v>unknown</v>
          </cell>
        </row>
        <row r="1618">
          <cell r="A1618">
            <v>8027</v>
          </cell>
          <cell r="B1618" t="str">
            <v>ja</v>
          </cell>
          <cell r="C1618" t="str">
            <v>KAITO</v>
          </cell>
          <cell r="D1618" t="str">
            <v>KAITO</v>
          </cell>
          <cell r="E1618" t="str">
            <v>執行者</v>
          </cell>
          <cell r="F1618" t="str">
            <v>格好いい</v>
          </cell>
          <cell r="G1618" t="str">
            <v>女性</v>
          </cell>
          <cell r="H1618" t="str">
            <v>blue</v>
          </cell>
          <cell r="I1618">
            <v>3</v>
          </cell>
          <cell r="J1618" t="str">
            <v>PremiumS</v>
          </cell>
          <cell r="K1618" t="str">
            <v>technical</v>
          </cell>
          <cell r="L1618" t="str">
            <v>テクニカルタイプ</v>
          </cell>
          <cell r="M1618" t="str">
            <v>unknown</v>
          </cell>
        </row>
        <row r="1619">
          <cell r="A1619">
            <v>8028</v>
          </cell>
          <cell r="B1619" t="str">
            <v>ja</v>
          </cell>
          <cell r="C1619" t="str">
            <v>KAITO</v>
          </cell>
          <cell r="D1619" t="str">
            <v>KAITO</v>
          </cell>
          <cell r="E1619" t="str">
            <v>執行者</v>
          </cell>
          <cell r="F1619" t="str">
            <v>格好いい</v>
          </cell>
          <cell r="G1619" t="str">
            <v>女性</v>
          </cell>
          <cell r="H1619" t="str">
            <v>blue</v>
          </cell>
          <cell r="I1619">
            <v>4</v>
          </cell>
          <cell r="J1619" t="str">
            <v>PremiumS</v>
          </cell>
          <cell r="K1619" t="str">
            <v>technical</v>
          </cell>
          <cell r="L1619" t="str">
            <v>テクニカルタイプ</v>
          </cell>
          <cell r="M1619" t="str">
            <v>unknown</v>
          </cell>
        </row>
        <row r="1620">
          <cell r="A1620">
            <v>8029</v>
          </cell>
          <cell r="B1620" t="str">
            <v>ja</v>
          </cell>
          <cell r="C1620" t="str">
            <v>Expoミク</v>
          </cell>
          <cell r="D1620" t="str">
            <v>Expoミク</v>
          </cell>
          <cell r="E1620" t="str">
            <v>執行者</v>
          </cell>
          <cell r="F1620" t="str">
            <v>格好いい</v>
          </cell>
          <cell r="G1620" t="str">
            <v>女性</v>
          </cell>
          <cell r="H1620" t="str">
            <v>blue</v>
          </cell>
          <cell r="I1620">
            <v>4</v>
          </cell>
          <cell r="J1620" t="str">
            <v>Drop2N</v>
          </cell>
          <cell r="K1620" t="str">
            <v>heal</v>
          </cell>
          <cell r="L1620" t="str">
            <v>回復タイプ</v>
          </cell>
          <cell r="M1620" t="str">
            <v>unknown</v>
          </cell>
        </row>
        <row r="1621">
          <cell r="A1621">
            <v>8030</v>
          </cell>
          <cell r="B1621" t="str">
            <v>ja</v>
          </cell>
          <cell r="C1621" t="str">
            <v>Expoミク</v>
          </cell>
          <cell r="D1621" t="str">
            <v>Expoミク</v>
          </cell>
          <cell r="E1621" t="str">
            <v>執行者</v>
          </cell>
          <cell r="F1621" t="str">
            <v>格好いい</v>
          </cell>
          <cell r="G1621" t="str">
            <v>女性</v>
          </cell>
          <cell r="H1621" t="str">
            <v>blue</v>
          </cell>
          <cell r="I1621">
            <v>5</v>
          </cell>
          <cell r="J1621" t="str">
            <v>Drop2N</v>
          </cell>
          <cell r="K1621" t="str">
            <v>heal</v>
          </cell>
          <cell r="L1621" t="str">
            <v>回復タイプ</v>
          </cell>
          <cell r="M1621" t="str">
            <v>unknown</v>
          </cell>
        </row>
        <row r="1622">
          <cell r="A1622">
            <v>8031</v>
          </cell>
          <cell r="B1622" t="str">
            <v>ja</v>
          </cell>
          <cell r="C1622" t="str">
            <v>閻羅王</v>
          </cell>
          <cell r="D1622" t="str">
            <v>Expoミク</v>
          </cell>
          <cell r="E1622" t="str">
            <v>執行者</v>
          </cell>
          <cell r="F1622" t="str">
            <v>格好いい</v>
          </cell>
          <cell r="G1622" t="str">
            <v>女性</v>
          </cell>
          <cell r="H1622" t="str">
            <v>red</v>
          </cell>
          <cell r="I1622">
            <v>5</v>
          </cell>
          <cell r="J1622" t="str">
            <v>PremiumSS</v>
          </cell>
          <cell r="K1622" t="str">
            <v>balance</v>
          </cell>
          <cell r="L1622" t="str">
            <v>バランスタイプ</v>
          </cell>
          <cell r="M1622" t="str">
            <v>god</v>
          </cell>
        </row>
        <row r="1623">
          <cell r="A1623">
            <v>8032</v>
          </cell>
          <cell r="B1623" t="str">
            <v>ja</v>
          </cell>
          <cell r="C1623" t="str">
            <v>六道輪廻の絶獄 閻羅王</v>
          </cell>
          <cell r="D1623" t="str">
            <v>Expoミク</v>
          </cell>
          <cell r="E1623" t="str">
            <v>執行者</v>
          </cell>
          <cell r="F1623" t="str">
            <v>格好いい</v>
          </cell>
          <cell r="G1623" t="str">
            <v>女性</v>
          </cell>
          <cell r="H1623" t="str">
            <v>red</v>
          </cell>
          <cell r="I1623">
            <v>6</v>
          </cell>
          <cell r="J1623" t="str">
            <v>PremiumSS</v>
          </cell>
          <cell r="K1623" t="str">
            <v>balance</v>
          </cell>
          <cell r="L1623" t="str">
            <v>バランスタイプ</v>
          </cell>
          <cell r="M1623" t="str">
            <v>god</v>
          </cell>
        </row>
        <row r="1624">
          <cell r="A1624">
            <v>8033</v>
          </cell>
          <cell r="B1624" t="str">
            <v>ja</v>
          </cell>
          <cell r="C1624" t="str">
            <v>牛頭馬面</v>
          </cell>
          <cell r="D1624" t="str">
            <v>Expoミク</v>
          </cell>
          <cell r="E1624" t="str">
            <v>執行者</v>
          </cell>
          <cell r="F1624" t="str">
            <v>格好いい</v>
          </cell>
          <cell r="G1624" t="str">
            <v>女性</v>
          </cell>
          <cell r="H1624" t="str">
            <v>green</v>
          </cell>
          <cell r="I1624">
            <v>5</v>
          </cell>
          <cell r="J1624" t="str">
            <v>DropWizS</v>
          </cell>
          <cell r="K1624" t="str">
            <v>attack</v>
          </cell>
          <cell r="L1624" t="str">
            <v>攻撃タイプ</v>
          </cell>
          <cell r="M1624" t="str">
            <v>god</v>
          </cell>
        </row>
        <row r="1625">
          <cell r="A1625">
            <v>8034</v>
          </cell>
          <cell r="B1625" t="str">
            <v>ja</v>
          </cell>
          <cell r="C1625" t="str">
            <v>冥府狩る魂使 牛頭馬面</v>
          </cell>
          <cell r="D1625" t="str">
            <v>Expoミク</v>
          </cell>
          <cell r="E1625" t="str">
            <v>執行者</v>
          </cell>
          <cell r="F1625" t="str">
            <v>格好いい</v>
          </cell>
          <cell r="G1625" t="str">
            <v>女性</v>
          </cell>
          <cell r="H1625" t="str">
            <v>green</v>
          </cell>
          <cell r="I1625">
            <v>6</v>
          </cell>
          <cell r="J1625" t="str">
            <v>DropWizS</v>
          </cell>
          <cell r="K1625" t="str">
            <v>attack</v>
          </cell>
          <cell r="L1625" t="str">
            <v>攻撃タイプ</v>
          </cell>
          <cell r="M1625" t="str">
            <v>god</v>
          </cell>
        </row>
        <row r="1626">
          <cell r="A1626">
            <v>8035</v>
          </cell>
          <cell r="B1626" t="str">
            <v>ja</v>
          </cell>
          <cell r="C1626" t="str">
            <v>飛衛</v>
          </cell>
          <cell r="D1626" t="str">
            <v>Expoミク</v>
          </cell>
          <cell r="E1626" t="str">
            <v>執行者</v>
          </cell>
          <cell r="F1626" t="str">
            <v>格好いい</v>
          </cell>
          <cell r="G1626" t="str">
            <v>女性</v>
          </cell>
          <cell r="H1626" t="str">
            <v>blue</v>
          </cell>
          <cell r="I1626">
            <v>5</v>
          </cell>
          <cell r="J1626" t="str">
            <v>PremiumSS</v>
          </cell>
          <cell r="K1626" t="str">
            <v>heal</v>
          </cell>
          <cell r="L1626" t="str">
            <v>回復タイプ</v>
          </cell>
          <cell r="M1626" t="str">
            <v>human</v>
          </cell>
        </row>
        <row r="1627">
          <cell r="A1627">
            <v>8036</v>
          </cell>
          <cell r="B1627" t="str">
            <v>ja</v>
          </cell>
          <cell r="C1627" t="str">
            <v>レア６飛衛</v>
          </cell>
          <cell r="D1627" t="str">
            <v>Expoミク</v>
          </cell>
          <cell r="E1627" t="str">
            <v>執行者</v>
          </cell>
          <cell r="F1627" t="str">
            <v>格好いい</v>
          </cell>
          <cell r="G1627" t="str">
            <v>女性</v>
          </cell>
          <cell r="H1627" t="str">
            <v>blue</v>
          </cell>
          <cell r="I1627">
            <v>6</v>
          </cell>
          <cell r="J1627" t="str">
            <v>PremiumSS</v>
          </cell>
          <cell r="K1627" t="str">
            <v>heal</v>
          </cell>
          <cell r="L1627" t="str">
            <v>回復タイプ</v>
          </cell>
          <cell r="M1627" t="str">
            <v>human</v>
          </cell>
        </row>
        <row r="1628">
          <cell r="A1628">
            <v>8037</v>
          </cell>
          <cell r="B1628" t="str">
            <v>ja</v>
          </cell>
          <cell r="C1628" t="str">
            <v>紀昌</v>
          </cell>
          <cell r="D1628" t="str">
            <v>Expoミク</v>
          </cell>
          <cell r="E1628" t="str">
            <v>執行者</v>
          </cell>
          <cell r="F1628" t="str">
            <v>格好いい</v>
          </cell>
          <cell r="G1628" t="str">
            <v>女性</v>
          </cell>
          <cell r="H1628" t="str">
            <v>red</v>
          </cell>
          <cell r="I1628">
            <v>5</v>
          </cell>
          <cell r="J1628" t="str">
            <v>DropWizS</v>
          </cell>
          <cell r="K1628" t="str">
            <v>attack</v>
          </cell>
          <cell r="L1628" t="str">
            <v>攻撃タイプ</v>
          </cell>
          <cell r="M1628" t="str">
            <v>human</v>
          </cell>
        </row>
        <row r="1629">
          <cell r="A1629">
            <v>8038</v>
          </cell>
          <cell r="B1629" t="str">
            <v>ja</v>
          </cell>
          <cell r="C1629" t="str">
            <v>レア６紀昌</v>
          </cell>
          <cell r="D1629" t="str">
            <v>Expoミク</v>
          </cell>
          <cell r="E1629" t="str">
            <v>執行者</v>
          </cell>
          <cell r="F1629" t="str">
            <v>格好いい</v>
          </cell>
          <cell r="G1629" t="str">
            <v>女性</v>
          </cell>
          <cell r="H1629" t="str">
            <v>red</v>
          </cell>
          <cell r="I1629">
            <v>6</v>
          </cell>
          <cell r="J1629" t="str">
            <v>DropWizS</v>
          </cell>
          <cell r="K1629" t="str">
            <v>attack</v>
          </cell>
          <cell r="L1629" t="str">
            <v>攻撃タイプ</v>
          </cell>
          <cell r="M1629" t="str">
            <v>human</v>
          </cell>
        </row>
        <row r="1630">
          <cell r="A1630">
            <v>8039</v>
          </cell>
          <cell r="B1630" t="str">
            <v>ja</v>
          </cell>
          <cell r="C1630" t="str">
            <v>何仙姑</v>
          </cell>
          <cell r="D1630" t="str">
            <v>Expoミク</v>
          </cell>
          <cell r="E1630" t="str">
            <v>執行者</v>
          </cell>
          <cell r="F1630" t="str">
            <v>格好いい</v>
          </cell>
          <cell r="G1630" t="str">
            <v>女性</v>
          </cell>
          <cell r="H1630" t="str">
            <v>yellow</v>
          </cell>
          <cell r="I1630">
            <v>5</v>
          </cell>
          <cell r="J1630" t="str">
            <v>PremiumSSw</v>
          </cell>
          <cell r="K1630" t="str">
            <v>hp</v>
          </cell>
          <cell r="L1630" t="str">
            <v>体力タイプ</v>
          </cell>
          <cell r="M1630" t="str">
            <v>god</v>
          </cell>
        </row>
        <row r="1631">
          <cell r="A1631">
            <v>8040</v>
          </cell>
          <cell r="B1631" t="str">
            <v>ja</v>
          </cell>
          <cell r="C1631" t="str">
            <v>レア６何仙姑</v>
          </cell>
          <cell r="D1631" t="str">
            <v>Expoミク</v>
          </cell>
          <cell r="E1631" t="str">
            <v>執行者</v>
          </cell>
          <cell r="F1631" t="str">
            <v>格好いい</v>
          </cell>
          <cell r="G1631" t="str">
            <v>女性</v>
          </cell>
          <cell r="H1631" t="str">
            <v>yellow</v>
          </cell>
          <cell r="I1631">
            <v>6</v>
          </cell>
          <cell r="J1631" t="str">
            <v>PremiumSSw</v>
          </cell>
          <cell r="K1631" t="str">
            <v>hp</v>
          </cell>
          <cell r="L1631" t="str">
            <v>体力タイプ</v>
          </cell>
          <cell r="M1631" t="str">
            <v>god</v>
          </cell>
        </row>
        <row r="1632">
          <cell r="A1632">
            <v>8041</v>
          </cell>
          <cell r="B1632" t="str">
            <v>ja</v>
          </cell>
          <cell r="C1632" t="str">
            <v>藍采和</v>
          </cell>
          <cell r="D1632" t="str">
            <v>Expoミク</v>
          </cell>
          <cell r="E1632" t="str">
            <v>執行者</v>
          </cell>
          <cell r="F1632" t="str">
            <v>格好いい</v>
          </cell>
          <cell r="G1632" t="str">
            <v>女性</v>
          </cell>
          <cell r="H1632" t="str">
            <v>blue</v>
          </cell>
          <cell r="I1632">
            <v>5</v>
          </cell>
          <cell r="J1632" t="str">
            <v>DropWizS</v>
          </cell>
          <cell r="K1632" t="str">
            <v>balance</v>
          </cell>
          <cell r="L1632" t="str">
            <v>バランスタイプ</v>
          </cell>
          <cell r="M1632" t="str">
            <v>god</v>
          </cell>
        </row>
        <row r="1633">
          <cell r="A1633">
            <v>8042</v>
          </cell>
          <cell r="B1633" t="str">
            <v>ja</v>
          </cell>
          <cell r="C1633" t="str">
            <v>レア６藍采和</v>
          </cell>
          <cell r="D1633" t="str">
            <v>Expoミク</v>
          </cell>
          <cell r="E1633" t="str">
            <v>執行者</v>
          </cell>
          <cell r="F1633" t="str">
            <v>格好いい</v>
          </cell>
          <cell r="G1633" t="str">
            <v>女性</v>
          </cell>
          <cell r="H1633" t="str">
            <v>blue</v>
          </cell>
          <cell r="I1633">
            <v>6</v>
          </cell>
          <cell r="J1633" t="str">
            <v>DropWizS</v>
          </cell>
          <cell r="K1633" t="str">
            <v>balance</v>
          </cell>
          <cell r="L1633" t="str">
            <v>バランスタイプ</v>
          </cell>
          <cell r="M1633" t="str">
            <v>god</v>
          </cell>
        </row>
        <row r="1634">
          <cell r="A1634">
            <v>8043</v>
          </cell>
          <cell r="B1634" t="str">
            <v>ja</v>
          </cell>
          <cell r="C1634" t="str">
            <v>サンリオキャラ大集合+アザゼル</v>
          </cell>
          <cell r="D1634" t="str">
            <v>サンリオキャラ大集合+アザゼル</v>
          </cell>
          <cell r="E1634" t="str">
            <v>執行者</v>
          </cell>
          <cell r="F1634" t="str">
            <v>格好いい</v>
          </cell>
          <cell r="G1634" t="str">
            <v>女性</v>
          </cell>
          <cell r="H1634" t="str">
            <v>green</v>
          </cell>
          <cell r="I1634">
            <v>5</v>
          </cell>
          <cell r="J1634" t="str">
            <v>DropWizS</v>
          </cell>
          <cell r="K1634" t="str">
            <v>technical</v>
          </cell>
          <cell r="L1634" t="str">
            <v>テクニカルタイプ</v>
          </cell>
          <cell r="M1634" t="str">
            <v>ss</v>
          </cell>
        </row>
        <row r="1635">
          <cell r="A1635">
            <v>8044</v>
          </cell>
          <cell r="B1635" t="str">
            <v>ja</v>
          </cell>
          <cell r="C1635" t="str">
            <v>サンリオキャラ大集合+アザゼル</v>
          </cell>
          <cell r="D1635" t="str">
            <v>サンリオキャラ大集合+アザゼル</v>
          </cell>
          <cell r="E1635" t="str">
            <v>執行者</v>
          </cell>
          <cell r="F1635" t="str">
            <v>格好いい</v>
          </cell>
          <cell r="G1635" t="str">
            <v>女性</v>
          </cell>
          <cell r="H1635" t="str">
            <v>green</v>
          </cell>
          <cell r="I1635">
            <v>6</v>
          </cell>
          <cell r="J1635" t="str">
            <v>DropWizS</v>
          </cell>
          <cell r="K1635" t="str">
            <v>technical</v>
          </cell>
          <cell r="L1635" t="str">
            <v>テクニカルタイプ</v>
          </cell>
          <cell r="M1635" t="str">
            <v>ss</v>
          </cell>
        </row>
        <row r="1636">
          <cell r="A1636">
            <v>8045</v>
          </cell>
          <cell r="B1636" t="str">
            <v>ja</v>
          </cell>
          <cell r="C1636" t="str">
            <v>ニムダ_サンリオキャラ混じり</v>
          </cell>
          <cell r="D1636" t="str">
            <v>ニムダ_サンリオキャラ混じり</v>
          </cell>
          <cell r="E1636" t="str">
            <v>執行者</v>
          </cell>
          <cell r="F1636" t="str">
            <v>格好いい</v>
          </cell>
          <cell r="G1636" t="str">
            <v>女性</v>
          </cell>
          <cell r="H1636" t="str">
            <v>yellow</v>
          </cell>
          <cell r="I1636">
            <v>4</v>
          </cell>
          <cell r="J1636" t="str">
            <v>Drop2N</v>
          </cell>
          <cell r="K1636" t="str">
            <v>technical</v>
          </cell>
          <cell r="L1636" t="str">
            <v>テクニカルタイプ</v>
          </cell>
          <cell r="M1636" t="str">
            <v>ss</v>
          </cell>
        </row>
        <row r="1637">
          <cell r="A1637">
            <v>8046</v>
          </cell>
          <cell r="B1637" t="str">
            <v>ja</v>
          </cell>
          <cell r="C1637" t="str">
            <v>ニムダ_サンリオキャラ混じり</v>
          </cell>
          <cell r="D1637" t="str">
            <v>ニムダ_サンリオキャラ混じり</v>
          </cell>
          <cell r="E1637" t="str">
            <v>執行者</v>
          </cell>
          <cell r="F1637" t="str">
            <v>格好いい</v>
          </cell>
          <cell r="G1637" t="str">
            <v>女性</v>
          </cell>
          <cell r="H1637" t="str">
            <v>yellow</v>
          </cell>
          <cell r="I1637">
            <v>5</v>
          </cell>
          <cell r="J1637" t="str">
            <v>Drop2N</v>
          </cell>
          <cell r="K1637" t="str">
            <v>technical</v>
          </cell>
          <cell r="L1637" t="str">
            <v>テクニカルタイプ</v>
          </cell>
          <cell r="M1637" t="str">
            <v>ss</v>
          </cell>
        </row>
        <row r="1638">
          <cell r="A1638">
            <v>8047</v>
          </cell>
          <cell r="B1638" t="str">
            <v>ja</v>
          </cell>
          <cell r="C1638" t="str">
            <v>ハローキティ</v>
          </cell>
          <cell r="D1638" t="str">
            <v>ハローキティ</v>
          </cell>
          <cell r="E1638" t="str">
            <v>執行者</v>
          </cell>
          <cell r="F1638" t="str">
            <v>格好いい</v>
          </cell>
          <cell r="G1638" t="str">
            <v>女性</v>
          </cell>
          <cell r="H1638" t="str">
            <v>red</v>
          </cell>
          <cell r="I1638">
            <v>4</v>
          </cell>
          <cell r="J1638" t="str">
            <v>Drop2N</v>
          </cell>
          <cell r="K1638" t="str">
            <v>balance</v>
          </cell>
          <cell r="L1638" t="str">
            <v>バランスタイプ</v>
          </cell>
          <cell r="M1638" t="str">
            <v>ss</v>
          </cell>
        </row>
        <row r="1639">
          <cell r="A1639">
            <v>8048</v>
          </cell>
          <cell r="B1639" t="str">
            <v>ja</v>
          </cell>
          <cell r="C1639" t="str">
            <v>ハローキティ</v>
          </cell>
          <cell r="D1639" t="str">
            <v>ハローキティ</v>
          </cell>
          <cell r="E1639" t="str">
            <v>執行者</v>
          </cell>
          <cell r="F1639" t="str">
            <v>格好いい</v>
          </cell>
          <cell r="G1639" t="str">
            <v>女性</v>
          </cell>
          <cell r="H1639" t="str">
            <v>red</v>
          </cell>
          <cell r="I1639">
            <v>5</v>
          </cell>
          <cell r="J1639" t="str">
            <v>Drop2N</v>
          </cell>
          <cell r="K1639" t="str">
            <v>balance</v>
          </cell>
          <cell r="L1639" t="str">
            <v>バランスタイプ</v>
          </cell>
          <cell r="M1639" t="str">
            <v>ss</v>
          </cell>
        </row>
        <row r="1640">
          <cell r="A1640">
            <v>8049</v>
          </cell>
          <cell r="B1640" t="str">
            <v>ja</v>
          </cell>
          <cell r="C1640" t="str">
            <v>KIRIMIちゃん</v>
          </cell>
          <cell r="D1640" t="str">
            <v>KIRIMIちゃん</v>
          </cell>
          <cell r="E1640" t="str">
            <v>執行者</v>
          </cell>
          <cell r="F1640" t="str">
            <v>格好いい</v>
          </cell>
          <cell r="G1640" t="str">
            <v>女性</v>
          </cell>
          <cell r="H1640" t="str">
            <v>red</v>
          </cell>
          <cell r="I1640">
            <v>4</v>
          </cell>
          <cell r="J1640" t="str">
            <v>Drop2N</v>
          </cell>
          <cell r="K1640" t="str">
            <v>hp</v>
          </cell>
          <cell r="L1640" t="str">
            <v>体力タイプ</v>
          </cell>
          <cell r="M1640" t="str">
            <v>ss</v>
          </cell>
        </row>
        <row r="1641">
          <cell r="A1641">
            <v>8050</v>
          </cell>
          <cell r="B1641" t="str">
            <v>ja</v>
          </cell>
          <cell r="C1641" t="str">
            <v>KIRIMIちゃん</v>
          </cell>
          <cell r="D1641" t="str">
            <v>KIRIMIちゃん</v>
          </cell>
          <cell r="E1641" t="str">
            <v>執行者</v>
          </cell>
          <cell r="F1641" t="str">
            <v>格好いい</v>
          </cell>
          <cell r="G1641" t="str">
            <v>女性</v>
          </cell>
          <cell r="H1641" t="str">
            <v>red</v>
          </cell>
          <cell r="I1641">
            <v>5</v>
          </cell>
          <cell r="J1641" t="str">
            <v>Drop2N</v>
          </cell>
          <cell r="K1641" t="str">
            <v>hp</v>
          </cell>
          <cell r="L1641" t="str">
            <v>体力タイプ</v>
          </cell>
          <cell r="M1641" t="str">
            <v>ss</v>
          </cell>
        </row>
        <row r="1642">
          <cell r="A1642">
            <v>8051</v>
          </cell>
          <cell r="B1642" t="str">
            <v>ja</v>
          </cell>
          <cell r="C1642" t="str">
            <v>ハローキティのリボン</v>
          </cell>
          <cell r="D1642" t="str">
            <v>ハローキティのリボン</v>
          </cell>
          <cell r="E1642" t="str">
            <v>執行者</v>
          </cell>
          <cell r="F1642" t="str">
            <v>格好いい</v>
          </cell>
          <cell r="G1642" t="str">
            <v>女性</v>
          </cell>
          <cell r="H1642" t="str">
            <v>red</v>
          </cell>
          <cell r="I1642">
            <v>5</v>
          </cell>
          <cell r="J1642" t="str">
            <v>Drop2N</v>
          </cell>
          <cell r="K1642" t="str">
            <v>evolution</v>
          </cell>
          <cell r="L1642" t="str">
            <v>覚醒素材タイプ</v>
          </cell>
          <cell r="M1642" t="str">
            <v>ss</v>
          </cell>
        </row>
        <row r="1643">
          <cell r="A1643">
            <v>8052</v>
          </cell>
          <cell r="B1643" t="str">
            <v>ja</v>
          </cell>
          <cell r="C1643" t="str">
            <v>ママの作ったアップルパイ</v>
          </cell>
          <cell r="D1643" t="str">
            <v>ママの作ったアップルパイ</v>
          </cell>
          <cell r="E1643" t="str">
            <v>執行者</v>
          </cell>
          <cell r="F1643" t="str">
            <v>格好いい</v>
          </cell>
          <cell r="G1643" t="str">
            <v>女性</v>
          </cell>
          <cell r="H1643" t="str">
            <v>red</v>
          </cell>
          <cell r="I1643">
            <v>4</v>
          </cell>
          <cell r="J1643" t="str">
            <v>Drop2N</v>
          </cell>
          <cell r="K1643" t="str">
            <v>evolution</v>
          </cell>
          <cell r="L1643" t="str">
            <v>覚醒素材タイプ</v>
          </cell>
          <cell r="M1643" t="str">
            <v>ss</v>
          </cell>
        </row>
        <row r="1644">
          <cell r="A1644">
            <v>8053</v>
          </cell>
          <cell r="B1644" t="str">
            <v>ja</v>
          </cell>
          <cell r="C1644" t="str">
            <v>D.R.T.H__キティコスプレ</v>
          </cell>
          <cell r="D1644" t="str">
            <v>D.R.T.H__キティコスプレ</v>
          </cell>
          <cell r="E1644" t="str">
            <v>執行者</v>
          </cell>
          <cell r="F1644" t="str">
            <v>格好いい</v>
          </cell>
          <cell r="G1644" t="str">
            <v>女性</v>
          </cell>
          <cell r="H1644" t="str">
            <v>red</v>
          </cell>
          <cell r="I1644">
            <v>5</v>
          </cell>
          <cell r="J1644" t="str">
            <v>PremiumSS</v>
          </cell>
          <cell r="K1644" t="str">
            <v>balance</v>
          </cell>
          <cell r="L1644" t="str">
            <v>バランスタイプ</v>
          </cell>
          <cell r="M1644" t="str">
            <v>ss</v>
          </cell>
        </row>
        <row r="1645">
          <cell r="A1645">
            <v>8054</v>
          </cell>
          <cell r="B1645" t="str">
            <v>ja</v>
          </cell>
          <cell r="C1645" t="str">
            <v>D.R.T.H__キティコスプレ</v>
          </cell>
          <cell r="D1645" t="str">
            <v>D.R.T.H__キティコスプレ</v>
          </cell>
          <cell r="E1645" t="str">
            <v>執行者</v>
          </cell>
          <cell r="F1645" t="str">
            <v>格好いい</v>
          </cell>
          <cell r="G1645" t="str">
            <v>女性</v>
          </cell>
          <cell r="H1645" t="str">
            <v>red</v>
          </cell>
          <cell r="I1645">
            <v>6</v>
          </cell>
          <cell r="J1645" t="str">
            <v>PremiumSS</v>
          </cell>
          <cell r="K1645" t="str">
            <v>balance</v>
          </cell>
          <cell r="L1645" t="str">
            <v>バランスタイプ</v>
          </cell>
          <cell r="M1645" t="str">
            <v>ss</v>
          </cell>
        </row>
        <row r="1646">
          <cell r="A1646">
            <v>8055</v>
          </cell>
          <cell r="B1646" t="str">
            <v>ja</v>
          </cell>
          <cell r="C1646" t="str">
            <v>マイメロディ</v>
          </cell>
          <cell r="D1646" t="str">
            <v>マイメロディ</v>
          </cell>
          <cell r="E1646" t="str">
            <v>執行者</v>
          </cell>
          <cell r="F1646" t="str">
            <v>格好いい</v>
          </cell>
          <cell r="G1646" t="str">
            <v>女性</v>
          </cell>
          <cell r="H1646" t="str">
            <v>red</v>
          </cell>
          <cell r="I1646">
            <v>4</v>
          </cell>
          <cell r="J1646" t="str">
            <v>PremiumS</v>
          </cell>
          <cell r="K1646" t="str">
            <v>attack</v>
          </cell>
          <cell r="L1646" t="str">
            <v>攻撃タイプ</v>
          </cell>
          <cell r="M1646" t="str">
            <v>ss</v>
          </cell>
        </row>
        <row r="1647">
          <cell r="A1647">
            <v>8056</v>
          </cell>
          <cell r="B1647" t="str">
            <v>ja</v>
          </cell>
          <cell r="C1647" t="str">
            <v>マイメロディ</v>
          </cell>
          <cell r="D1647" t="str">
            <v>マイメロディ</v>
          </cell>
          <cell r="E1647" t="str">
            <v>執行者</v>
          </cell>
          <cell r="F1647" t="str">
            <v>格好いい</v>
          </cell>
          <cell r="G1647" t="str">
            <v>女性</v>
          </cell>
          <cell r="H1647" t="str">
            <v>red</v>
          </cell>
          <cell r="I1647">
            <v>5</v>
          </cell>
          <cell r="J1647" t="str">
            <v>PremiumS</v>
          </cell>
          <cell r="K1647" t="str">
            <v>attack</v>
          </cell>
          <cell r="L1647" t="str">
            <v>攻撃タイプ</v>
          </cell>
          <cell r="M1647" t="str">
            <v>ss</v>
          </cell>
        </row>
        <row r="1648">
          <cell r="A1648">
            <v>8057</v>
          </cell>
          <cell r="B1648" t="str">
            <v>ja</v>
          </cell>
          <cell r="C1648" t="str">
            <v>ニーベルゲン_シナモロールコスプレ</v>
          </cell>
          <cell r="D1648" t="str">
            <v>ニーベルゲン_シナモロールコスプレ</v>
          </cell>
          <cell r="E1648" t="str">
            <v>執行者</v>
          </cell>
          <cell r="F1648" t="str">
            <v>格好いい</v>
          </cell>
          <cell r="G1648" t="str">
            <v>女性</v>
          </cell>
          <cell r="H1648" t="str">
            <v>green</v>
          </cell>
          <cell r="I1648">
            <v>4</v>
          </cell>
          <cell r="J1648" t="str">
            <v>PremiumS</v>
          </cell>
          <cell r="K1648" t="str">
            <v>balance</v>
          </cell>
          <cell r="L1648" t="str">
            <v>バランスタイプ</v>
          </cell>
          <cell r="M1648" t="str">
            <v>ss</v>
          </cell>
        </row>
        <row r="1649">
          <cell r="A1649">
            <v>8058</v>
          </cell>
          <cell r="B1649" t="str">
            <v>ja</v>
          </cell>
          <cell r="C1649" t="str">
            <v>ニーベルゲン_シナモロールコスプレ</v>
          </cell>
          <cell r="D1649" t="str">
            <v>ニーベルゲン_シナモロールコスプレ</v>
          </cell>
          <cell r="E1649" t="str">
            <v>執行者</v>
          </cell>
          <cell r="F1649" t="str">
            <v>格好いい</v>
          </cell>
          <cell r="G1649" t="str">
            <v>女性</v>
          </cell>
          <cell r="H1649" t="str">
            <v>green</v>
          </cell>
          <cell r="I1649">
            <v>5</v>
          </cell>
          <cell r="J1649" t="str">
            <v>PremiumS</v>
          </cell>
          <cell r="K1649" t="str">
            <v>balance</v>
          </cell>
          <cell r="L1649" t="str">
            <v>バランスタイプ</v>
          </cell>
          <cell r="M1649" t="str">
            <v>ss</v>
          </cell>
        </row>
        <row r="1650">
          <cell r="A1650">
            <v>8059</v>
          </cell>
          <cell r="B1650" t="str">
            <v>ja</v>
          </cell>
          <cell r="C1650" t="str">
            <v>カカシ_マイメロディコスプレ</v>
          </cell>
          <cell r="D1650" t="str">
            <v>カカシ_マイメロディコスプレ</v>
          </cell>
          <cell r="E1650" t="str">
            <v>執行者</v>
          </cell>
          <cell r="F1650" t="str">
            <v>格好いい</v>
          </cell>
          <cell r="G1650" t="str">
            <v>女性</v>
          </cell>
          <cell r="H1650" t="str">
            <v>green</v>
          </cell>
          <cell r="I1650">
            <v>4</v>
          </cell>
          <cell r="J1650" t="str">
            <v>PremiumS</v>
          </cell>
          <cell r="K1650" t="str">
            <v>technical</v>
          </cell>
          <cell r="L1650" t="str">
            <v>テクニカルタイプ</v>
          </cell>
          <cell r="M1650" t="str">
            <v>ss</v>
          </cell>
        </row>
        <row r="1651">
          <cell r="A1651">
            <v>8060</v>
          </cell>
          <cell r="B1651" t="str">
            <v>ja</v>
          </cell>
          <cell r="C1651" t="str">
            <v>カカシ_マイメロディコスプレ</v>
          </cell>
          <cell r="D1651" t="str">
            <v>カカシ_マイメロディコスプレ</v>
          </cell>
          <cell r="E1651" t="str">
            <v>執行者</v>
          </cell>
          <cell r="F1651" t="str">
            <v>格好いい</v>
          </cell>
          <cell r="G1651" t="str">
            <v>女性</v>
          </cell>
          <cell r="H1651" t="str">
            <v>green</v>
          </cell>
          <cell r="I1651">
            <v>5</v>
          </cell>
          <cell r="J1651" t="str">
            <v>PremiumS</v>
          </cell>
          <cell r="K1651" t="str">
            <v>technical</v>
          </cell>
          <cell r="L1651" t="str">
            <v>テクニカルタイプ</v>
          </cell>
          <cell r="M1651" t="str">
            <v>ss</v>
          </cell>
        </row>
        <row r="1652">
          <cell r="A1652">
            <v>8061</v>
          </cell>
          <cell r="B1652" t="str">
            <v>ja</v>
          </cell>
          <cell r="C1652" t="str">
            <v>ケロケロけろっぴ</v>
          </cell>
          <cell r="D1652" t="str">
            <v>ケロケロけろっぴ</v>
          </cell>
          <cell r="E1652" t="str">
            <v>執行者</v>
          </cell>
          <cell r="F1652" t="str">
            <v>格好いい</v>
          </cell>
          <cell r="G1652" t="str">
            <v>女性</v>
          </cell>
          <cell r="H1652" t="str">
            <v>green</v>
          </cell>
          <cell r="I1652">
            <v>3</v>
          </cell>
          <cell r="J1652" t="str">
            <v>PremiumS</v>
          </cell>
          <cell r="K1652" t="str">
            <v>balance</v>
          </cell>
          <cell r="L1652" t="str">
            <v>バランスタイプ</v>
          </cell>
          <cell r="M1652" t="str">
            <v>ss</v>
          </cell>
        </row>
        <row r="1653">
          <cell r="A1653">
            <v>8062</v>
          </cell>
          <cell r="B1653" t="str">
            <v>ja</v>
          </cell>
          <cell r="C1653" t="str">
            <v>ケロケロけろっぴ</v>
          </cell>
          <cell r="D1653" t="str">
            <v>ケロケロけろっぴ</v>
          </cell>
          <cell r="E1653" t="str">
            <v>執行者</v>
          </cell>
          <cell r="F1653" t="str">
            <v>格好いい</v>
          </cell>
          <cell r="G1653" t="str">
            <v>女性</v>
          </cell>
          <cell r="H1653" t="str">
            <v>green</v>
          </cell>
          <cell r="I1653">
            <v>4</v>
          </cell>
          <cell r="J1653" t="str">
            <v>PremiumS</v>
          </cell>
          <cell r="K1653" t="str">
            <v>balance</v>
          </cell>
          <cell r="L1653" t="str">
            <v>バランスタイプ</v>
          </cell>
          <cell r="M1653" t="str">
            <v>ss</v>
          </cell>
        </row>
        <row r="1654">
          <cell r="A1654">
            <v>8063</v>
          </cell>
          <cell r="B1654" t="str">
            <v>ja</v>
          </cell>
          <cell r="C1654" t="str">
            <v>モルドレッド_ポムポムプリンコスプレ</v>
          </cell>
          <cell r="D1654" t="str">
            <v>モルドレッド_ポムポムプリンコスプレ</v>
          </cell>
          <cell r="E1654" t="str">
            <v>執行者</v>
          </cell>
          <cell r="F1654" t="str">
            <v>格好いい</v>
          </cell>
          <cell r="G1654" t="str">
            <v>女性</v>
          </cell>
          <cell r="H1654" t="str">
            <v>blue</v>
          </cell>
          <cell r="I1654">
            <v>5</v>
          </cell>
          <cell r="J1654" t="str">
            <v>PremiumSS</v>
          </cell>
          <cell r="K1654" t="str">
            <v>heal</v>
          </cell>
          <cell r="L1654" t="str">
            <v>回復タイプ</v>
          </cell>
          <cell r="M1654" t="str">
            <v>ss</v>
          </cell>
        </row>
        <row r="1655">
          <cell r="A1655">
            <v>8064</v>
          </cell>
          <cell r="B1655" t="str">
            <v>ja</v>
          </cell>
          <cell r="C1655" t="str">
            <v>モルドレッド_ポムポムプリンコスプレ</v>
          </cell>
          <cell r="D1655" t="str">
            <v>モルドレッド_ポムポムプリンコスプレ</v>
          </cell>
          <cell r="E1655" t="str">
            <v>執行者</v>
          </cell>
          <cell r="F1655" t="str">
            <v>格好いい</v>
          </cell>
          <cell r="G1655" t="str">
            <v>女性</v>
          </cell>
          <cell r="H1655" t="str">
            <v>blue</v>
          </cell>
          <cell r="I1655">
            <v>6</v>
          </cell>
          <cell r="J1655" t="str">
            <v>PremiumSS</v>
          </cell>
          <cell r="K1655" t="str">
            <v>heal</v>
          </cell>
          <cell r="L1655" t="str">
            <v>回復タイプ</v>
          </cell>
          <cell r="M1655" t="str">
            <v>ss</v>
          </cell>
        </row>
        <row r="1656">
          <cell r="A1656">
            <v>8065</v>
          </cell>
          <cell r="B1656" t="str">
            <v>ja</v>
          </cell>
          <cell r="C1656" t="str">
            <v>クロミ</v>
          </cell>
          <cell r="D1656" t="str">
            <v>クロミ</v>
          </cell>
          <cell r="E1656" t="str">
            <v>執行者</v>
          </cell>
          <cell r="F1656" t="str">
            <v>格好いい</v>
          </cell>
          <cell r="G1656" t="str">
            <v>女性</v>
          </cell>
          <cell r="H1656" t="str">
            <v>blue</v>
          </cell>
          <cell r="I1656">
            <v>3</v>
          </cell>
          <cell r="J1656" t="str">
            <v>PremiumS</v>
          </cell>
          <cell r="K1656" t="str">
            <v>technical</v>
          </cell>
          <cell r="L1656" t="str">
            <v>テクニカルタイプ</v>
          </cell>
          <cell r="M1656" t="str">
            <v>ss</v>
          </cell>
        </row>
        <row r="1657">
          <cell r="A1657">
            <v>8066</v>
          </cell>
          <cell r="B1657" t="str">
            <v>ja</v>
          </cell>
          <cell r="C1657" t="str">
            <v>クロミ</v>
          </cell>
          <cell r="D1657" t="str">
            <v>クロミ</v>
          </cell>
          <cell r="E1657" t="str">
            <v>執行者</v>
          </cell>
          <cell r="F1657" t="str">
            <v>格好いい</v>
          </cell>
          <cell r="G1657" t="str">
            <v>女性</v>
          </cell>
          <cell r="H1657" t="str">
            <v>blue</v>
          </cell>
          <cell r="I1657">
            <v>4</v>
          </cell>
          <cell r="J1657" t="str">
            <v>PremiumS</v>
          </cell>
          <cell r="K1657" t="str">
            <v>technical</v>
          </cell>
          <cell r="L1657" t="str">
            <v>テクニカルタイプ</v>
          </cell>
          <cell r="M1657" t="str">
            <v>ss</v>
          </cell>
        </row>
        <row r="1658">
          <cell r="A1658">
            <v>8067</v>
          </cell>
          <cell r="B1658" t="str">
            <v>ja</v>
          </cell>
          <cell r="C1658" t="str">
            <v>バッドばつ丸</v>
          </cell>
          <cell r="D1658" t="str">
            <v>バッドばつ丸</v>
          </cell>
          <cell r="E1658" t="str">
            <v>執行者</v>
          </cell>
          <cell r="F1658" t="str">
            <v>格好いい</v>
          </cell>
          <cell r="G1658" t="str">
            <v>女性</v>
          </cell>
          <cell r="H1658" t="str">
            <v>blue</v>
          </cell>
          <cell r="I1658">
            <v>3</v>
          </cell>
          <cell r="J1658" t="str">
            <v>PremiumS</v>
          </cell>
          <cell r="K1658" t="str">
            <v>attack</v>
          </cell>
          <cell r="L1658" t="str">
            <v>攻撃タイプ</v>
          </cell>
          <cell r="M1658" t="str">
            <v>ss</v>
          </cell>
        </row>
        <row r="1659">
          <cell r="A1659">
            <v>8068</v>
          </cell>
          <cell r="B1659" t="str">
            <v>ja</v>
          </cell>
          <cell r="C1659" t="str">
            <v>バッドばつ丸</v>
          </cell>
          <cell r="D1659" t="str">
            <v>バッドばつ丸</v>
          </cell>
          <cell r="E1659" t="str">
            <v>執行者</v>
          </cell>
          <cell r="F1659" t="str">
            <v>格好いい</v>
          </cell>
          <cell r="G1659" t="str">
            <v>女性</v>
          </cell>
          <cell r="H1659" t="str">
            <v>blue</v>
          </cell>
          <cell r="I1659">
            <v>4</v>
          </cell>
          <cell r="J1659" t="str">
            <v>PremiumS</v>
          </cell>
          <cell r="K1659" t="str">
            <v>attack</v>
          </cell>
          <cell r="L1659" t="str">
            <v>攻撃タイプ</v>
          </cell>
          <cell r="M1659" t="str">
            <v>ss</v>
          </cell>
        </row>
        <row r="1660">
          <cell r="A1660">
            <v>8069</v>
          </cell>
          <cell r="B1660" t="str">
            <v>ja</v>
          </cell>
          <cell r="C1660" t="str">
            <v>シナモロール</v>
          </cell>
          <cell r="D1660" t="str">
            <v>シナモロール</v>
          </cell>
          <cell r="E1660" t="str">
            <v>執行者</v>
          </cell>
          <cell r="F1660" t="str">
            <v>格好いい</v>
          </cell>
          <cell r="G1660" t="str">
            <v>女性</v>
          </cell>
          <cell r="H1660" t="str">
            <v>yellow</v>
          </cell>
          <cell r="I1660">
            <v>4</v>
          </cell>
          <cell r="J1660" t="str">
            <v>PremiumS</v>
          </cell>
          <cell r="K1660" t="str">
            <v>heal</v>
          </cell>
          <cell r="L1660" t="str">
            <v>回復タイプ</v>
          </cell>
          <cell r="M1660" t="str">
            <v>ss</v>
          </cell>
        </row>
        <row r="1661">
          <cell r="A1661">
            <v>8070</v>
          </cell>
          <cell r="B1661" t="str">
            <v>ja</v>
          </cell>
          <cell r="C1661" t="str">
            <v>シナモロール</v>
          </cell>
          <cell r="D1661" t="str">
            <v>シナモロール</v>
          </cell>
          <cell r="E1661" t="str">
            <v>執行者</v>
          </cell>
          <cell r="F1661" t="str">
            <v>格好いい</v>
          </cell>
          <cell r="G1661" t="str">
            <v>女性</v>
          </cell>
          <cell r="H1661" t="str">
            <v>yellow</v>
          </cell>
          <cell r="I1661">
            <v>5</v>
          </cell>
          <cell r="J1661" t="str">
            <v>PremiumS</v>
          </cell>
          <cell r="K1661" t="str">
            <v>heal</v>
          </cell>
          <cell r="L1661" t="str">
            <v>回復タイプ</v>
          </cell>
          <cell r="M1661" t="str">
            <v>ss</v>
          </cell>
        </row>
        <row r="1662">
          <cell r="A1662">
            <v>8071</v>
          </cell>
          <cell r="B1662" t="str">
            <v>ja</v>
          </cell>
          <cell r="C1662" t="str">
            <v>ポムポムプリン</v>
          </cell>
          <cell r="D1662" t="str">
            <v>ポムポムプリン</v>
          </cell>
          <cell r="E1662" t="str">
            <v>執行者</v>
          </cell>
          <cell r="F1662" t="str">
            <v>格好いい</v>
          </cell>
          <cell r="G1662" t="str">
            <v>女性</v>
          </cell>
          <cell r="H1662" t="str">
            <v>yellow</v>
          </cell>
          <cell r="I1662">
            <v>3</v>
          </cell>
          <cell r="J1662" t="str">
            <v>PremiumS</v>
          </cell>
          <cell r="K1662" t="str">
            <v>hp</v>
          </cell>
          <cell r="L1662" t="str">
            <v>体力タイプ</v>
          </cell>
          <cell r="M1662" t="str">
            <v>ss</v>
          </cell>
        </row>
        <row r="1663">
          <cell r="A1663">
            <v>8072</v>
          </cell>
          <cell r="B1663" t="str">
            <v>ja</v>
          </cell>
          <cell r="C1663" t="str">
            <v>ポムポムプリン</v>
          </cell>
          <cell r="D1663" t="str">
            <v>ポムポムプリン</v>
          </cell>
          <cell r="E1663" t="str">
            <v>執行者</v>
          </cell>
          <cell r="F1663" t="str">
            <v>格好いい</v>
          </cell>
          <cell r="G1663" t="str">
            <v>女性</v>
          </cell>
          <cell r="H1663" t="str">
            <v>yellow</v>
          </cell>
          <cell r="I1663">
            <v>4</v>
          </cell>
          <cell r="J1663" t="str">
            <v>PremiumS</v>
          </cell>
          <cell r="K1663" t="str">
            <v>hp</v>
          </cell>
          <cell r="L1663" t="str">
            <v>体力タイプ</v>
          </cell>
          <cell r="M1663" t="str">
            <v>ss</v>
          </cell>
        </row>
        <row r="1664">
          <cell r="A1664">
            <v>8073</v>
          </cell>
          <cell r="B1664" t="str">
            <v>ja</v>
          </cell>
          <cell r="C1664" t="str">
            <v>星海祈る天光妃 媽祖</v>
          </cell>
          <cell r="D1664" t="str">
            <v>Expoミク</v>
          </cell>
          <cell r="E1664" t="str">
            <v>執行者</v>
          </cell>
          <cell r="F1664" t="str">
            <v>格好いい</v>
          </cell>
          <cell r="G1664" t="str">
            <v>女性</v>
          </cell>
          <cell r="H1664" t="str">
            <v>yellow</v>
          </cell>
          <cell r="I1664">
            <v>6</v>
          </cell>
          <cell r="J1664" t="str">
            <v>PremiumSS</v>
          </cell>
          <cell r="K1664" t="str">
            <v>attack</v>
          </cell>
          <cell r="L1664" t="str">
            <v>攻撃タイプ</v>
          </cell>
          <cell r="M1664" t="str">
            <v>human</v>
          </cell>
        </row>
        <row r="1665">
          <cell r="A1665">
            <v>8074</v>
          </cell>
          <cell r="B1665" t="str">
            <v>ja</v>
          </cell>
          <cell r="C1665" t="str">
            <v>海戀の絶龍姫 蛟龍</v>
          </cell>
          <cell r="D1665" t="str">
            <v>Expoミク</v>
          </cell>
          <cell r="E1665" t="str">
            <v>執行者</v>
          </cell>
          <cell r="F1665" t="str">
            <v>格好いい</v>
          </cell>
          <cell r="G1665" t="str">
            <v>女性</v>
          </cell>
          <cell r="H1665" t="str">
            <v>blue</v>
          </cell>
          <cell r="I1665">
            <v>6</v>
          </cell>
          <cell r="J1665" t="str">
            <v>DropWizS</v>
          </cell>
          <cell r="K1665" t="str">
            <v>hp</v>
          </cell>
          <cell r="L1665" t="str">
            <v>体力タイプ</v>
          </cell>
          <cell r="M1665" t="str">
            <v>dragon</v>
          </cell>
        </row>
        <row r="1666">
          <cell r="A1666">
            <v>8075</v>
          </cell>
          <cell r="B1666" t="str">
            <v>ja</v>
          </cell>
          <cell r="C1666" t="str">
            <v>解脱天の知徳 三蔵法師</v>
          </cell>
          <cell r="D1666" t="str">
            <v>Expoミク</v>
          </cell>
          <cell r="E1666" t="str">
            <v>執行者</v>
          </cell>
          <cell r="F1666" t="str">
            <v>格好いい</v>
          </cell>
          <cell r="G1666" t="str">
            <v>女性</v>
          </cell>
          <cell r="H1666" t="str">
            <v>blue</v>
          </cell>
          <cell r="I1666">
            <v>6</v>
          </cell>
          <cell r="J1666" t="str">
            <v>PremiumSS</v>
          </cell>
          <cell r="K1666" t="str">
            <v>balance</v>
          </cell>
          <cell r="L1666" t="str">
            <v>バランスタイプ</v>
          </cell>
          <cell r="M1666" t="str">
            <v>god</v>
          </cell>
        </row>
        <row r="1667">
          <cell r="A1667">
            <v>8076</v>
          </cell>
          <cell r="B1667" t="str">
            <v>ja</v>
          </cell>
          <cell r="C1667" t="str">
            <v>天暴の斉天大聖 孫悟空</v>
          </cell>
          <cell r="D1667" t="str">
            <v>Expoミク</v>
          </cell>
          <cell r="E1667" t="str">
            <v>執行者</v>
          </cell>
          <cell r="F1667" t="str">
            <v>格好いい</v>
          </cell>
          <cell r="G1667" t="str">
            <v>女性</v>
          </cell>
          <cell r="H1667" t="str">
            <v>red</v>
          </cell>
          <cell r="I1667">
            <v>6</v>
          </cell>
          <cell r="J1667" t="str">
            <v>DropWizS</v>
          </cell>
          <cell r="K1667" t="str">
            <v>attack</v>
          </cell>
          <cell r="L1667" t="str">
            <v>攻撃タイプ</v>
          </cell>
          <cell r="M1667" t="str">
            <v>unknown</v>
          </cell>
        </row>
        <row r="1668">
          <cell r="A1668">
            <v>8077</v>
          </cell>
          <cell r="B1668" t="str">
            <v>ja</v>
          </cell>
          <cell r="C1668" t="str">
            <v>鄭成功</v>
          </cell>
          <cell r="D1668" t="str">
            <v>ポムポムプリン</v>
          </cell>
          <cell r="E1668" t="str">
            <v>執行者</v>
          </cell>
          <cell r="F1668" t="str">
            <v>格好いい</v>
          </cell>
          <cell r="G1668" t="str">
            <v>女性</v>
          </cell>
          <cell r="H1668" t="str">
            <v>blue</v>
          </cell>
          <cell r="I1668">
            <v>5</v>
          </cell>
          <cell r="J1668" t="str">
            <v>PremiumSS</v>
          </cell>
          <cell r="K1668" t="str">
            <v>attack</v>
          </cell>
          <cell r="L1668" t="str">
            <v>攻撃タイプ</v>
          </cell>
          <cell r="M1668" t="str">
            <v>human</v>
          </cell>
        </row>
        <row r="1669">
          <cell r="A1669">
            <v>8078</v>
          </cell>
          <cell r="B1669" t="str">
            <v>ja</v>
          </cell>
          <cell r="C1669" t="str">
            <v>レア６鄭成功</v>
          </cell>
          <cell r="D1669" t="str">
            <v>ポムポムプリン</v>
          </cell>
          <cell r="E1669" t="str">
            <v>執行者</v>
          </cell>
          <cell r="F1669" t="str">
            <v>格好いい</v>
          </cell>
          <cell r="G1669" t="str">
            <v>女性</v>
          </cell>
          <cell r="H1669" t="str">
            <v>blue</v>
          </cell>
          <cell r="I1669">
            <v>6</v>
          </cell>
          <cell r="J1669" t="str">
            <v>PremiumSS</v>
          </cell>
          <cell r="K1669" t="str">
            <v>attack</v>
          </cell>
          <cell r="L1669" t="str">
            <v>攻撃タイプ</v>
          </cell>
          <cell r="M1669" t="str">
            <v>human</v>
          </cell>
        </row>
        <row r="1670">
          <cell r="A1670">
            <v>8079</v>
          </cell>
          <cell r="B1670" t="str">
            <v>ja</v>
          </cell>
          <cell r="C1670" t="str">
            <v>赤鬼</v>
          </cell>
          <cell r="D1670" t="str">
            <v>ポムポムプリン</v>
          </cell>
          <cell r="E1670" t="str">
            <v>執行者</v>
          </cell>
          <cell r="F1670" t="str">
            <v>格好いい</v>
          </cell>
          <cell r="G1670" t="str">
            <v>女性</v>
          </cell>
          <cell r="H1670" t="str">
            <v>red</v>
          </cell>
          <cell r="I1670">
            <v>5</v>
          </cell>
          <cell r="J1670" t="str">
            <v>DropWizS</v>
          </cell>
          <cell r="K1670" t="str">
            <v>hp</v>
          </cell>
          <cell r="L1670" t="str">
            <v>体力タイプ</v>
          </cell>
          <cell r="M1670" t="str">
            <v>dragon</v>
          </cell>
        </row>
        <row r="1671">
          <cell r="A1671">
            <v>8080</v>
          </cell>
          <cell r="B1671" t="str">
            <v>ja</v>
          </cell>
          <cell r="C1671" t="str">
            <v>レア６赤鬼</v>
          </cell>
          <cell r="D1671" t="str">
            <v>ポムポムプリン</v>
          </cell>
          <cell r="E1671" t="str">
            <v>執行者</v>
          </cell>
          <cell r="F1671" t="str">
            <v>格好いい</v>
          </cell>
          <cell r="G1671" t="str">
            <v>女性</v>
          </cell>
          <cell r="H1671" t="str">
            <v>red</v>
          </cell>
          <cell r="I1671">
            <v>6</v>
          </cell>
          <cell r="J1671" t="str">
            <v>DropWizS</v>
          </cell>
          <cell r="K1671" t="str">
            <v>hp</v>
          </cell>
          <cell r="L1671" t="str">
            <v>体力タイプ</v>
          </cell>
          <cell r="M1671" t="str">
            <v>dragon</v>
          </cell>
        </row>
        <row r="1672">
          <cell r="A1672">
            <v>8081</v>
          </cell>
          <cell r="B1672" t="str">
            <v>ja</v>
          </cell>
          <cell r="C1672" t="str">
            <v>関羽</v>
          </cell>
          <cell r="H1672" t="str">
            <v>green</v>
          </cell>
          <cell r="I1672">
            <v>5</v>
          </cell>
          <cell r="J1672" t="str">
            <v>PremiumSSS</v>
          </cell>
          <cell r="K1672" t="str">
            <v>balance</v>
          </cell>
          <cell r="L1672" t="str">
            <v>バランスタイプ</v>
          </cell>
          <cell r="M1672" t="str">
            <v>samurai</v>
          </cell>
        </row>
        <row r="1673">
          <cell r="A1673">
            <v>8082</v>
          </cell>
          <cell r="B1673" t="str">
            <v>ja</v>
          </cell>
          <cell r="C1673" t="str">
            <v>★６関羽</v>
          </cell>
          <cell r="H1673" t="str">
            <v>green</v>
          </cell>
          <cell r="I1673">
            <v>6</v>
          </cell>
          <cell r="J1673" t="str">
            <v>PremiumSSS</v>
          </cell>
          <cell r="K1673" t="str">
            <v>balance</v>
          </cell>
          <cell r="L1673" t="str">
            <v>バランスタイプ</v>
          </cell>
          <cell r="M1673" t="str">
            <v>samurai</v>
          </cell>
        </row>
        <row r="1674">
          <cell r="A1674">
            <v>8083</v>
          </cell>
          <cell r="B1674" t="str">
            <v>ja</v>
          </cell>
          <cell r="C1674" t="str">
            <v>曹操</v>
          </cell>
          <cell r="H1674" t="str">
            <v>yellow</v>
          </cell>
          <cell r="I1674">
            <v>5</v>
          </cell>
          <cell r="J1674" t="str">
            <v>DropWizSS</v>
          </cell>
          <cell r="K1674" t="str">
            <v>technical</v>
          </cell>
          <cell r="L1674" t="str">
            <v>テクニカルタイプ</v>
          </cell>
          <cell r="M1674" t="str">
            <v>samurai</v>
          </cell>
        </row>
        <row r="1675">
          <cell r="A1675">
            <v>8084</v>
          </cell>
          <cell r="B1675" t="str">
            <v>ja</v>
          </cell>
          <cell r="C1675" t="str">
            <v>★６曹操</v>
          </cell>
          <cell r="H1675" t="str">
            <v>yellow</v>
          </cell>
          <cell r="I1675">
            <v>6</v>
          </cell>
          <cell r="J1675" t="str">
            <v>DropWizSS</v>
          </cell>
          <cell r="K1675" t="str">
            <v>technical</v>
          </cell>
          <cell r="L1675" t="str">
            <v>テクニカルタイプ</v>
          </cell>
          <cell r="M1675" t="str">
            <v>samurai</v>
          </cell>
        </row>
        <row r="1676">
          <cell r="A1676">
            <v>8085</v>
          </cell>
          <cell r="B1676" t="str">
            <v>ja</v>
          </cell>
          <cell r="C1676" t="str">
            <v>九霊無上の聖母 西王娘娘</v>
          </cell>
          <cell r="H1676" t="str">
            <v>green</v>
          </cell>
          <cell r="I1676">
            <v>6</v>
          </cell>
          <cell r="J1676" t="str">
            <v>PremiumSS</v>
          </cell>
          <cell r="K1676" t="str">
            <v>attack</v>
          </cell>
          <cell r="L1676" t="str">
            <v>攻撃タイプ</v>
          </cell>
          <cell r="M1676" t="str">
            <v>god</v>
          </cell>
        </row>
        <row r="1677">
          <cell r="A1677">
            <v>8086</v>
          </cell>
          <cell r="B1677" t="str">
            <v>ja</v>
          </cell>
          <cell r="C1677" t="str">
            <v>砕縁の情滅剣 月下老人</v>
          </cell>
          <cell r="H1677" t="str">
            <v>yellow</v>
          </cell>
          <cell r="I1677">
            <v>6</v>
          </cell>
          <cell r="J1677" t="str">
            <v>DropWizS</v>
          </cell>
          <cell r="K1677" t="str">
            <v>attack</v>
          </cell>
          <cell r="L1677" t="str">
            <v>攻撃タイプ</v>
          </cell>
          <cell r="M1677" t="str">
            <v>god</v>
          </cell>
        </row>
        <row r="1678">
          <cell r="A1678">
            <v>8087</v>
          </cell>
          <cell r="B1678" t="str">
            <v>ja</v>
          </cell>
          <cell r="C1678" t="str">
            <v>財神</v>
          </cell>
          <cell r="H1678" t="str">
            <v>red</v>
          </cell>
          <cell r="I1678">
            <v>5</v>
          </cell>
          <cell r="J1678" t="str">
            <v>PremiumSSS</v>
          </cell>
          <cell r="K1678" t="str">
            <v>technical</v>
          </cell>
          <cell r="L1678" t="str">
            <v>テクニカルタイプ</v>
          </cell>
          <cell r="M1678" t="str">
            <v>god</v>
          </cell>
        </row>
        <row r="1679">
          <cell r="A1679">
            <v>8088</v>
          </cell>
          <cell r="B1679" t="str">
            <v>ja</v>
          </cell>
          <cell r="C1679" t="str">
            <v>★６財神</v>
          </cell>
          <cell r="H1679" t="str">
            <v>red</v>
          </cell>
          <cell r="I1679">
            <v>6</v>
          </cell>
          <cell r="J1679" t="str">
            <v>PremiumSSS</v>
          </cell>
          <cell r="K1679" t="str">
            <v>technical</v>
          </cell>
          <cell r="L1679" t="str">
            <v>テクニカルタイプ</v>
          </cell>
          <cell r="M1679" t="str">
            <v>god</v>
          </cell>
        </row>
        <row r="1680">
          <cell r="A1680">
            <v>8089</v>
          </cell>
          <cell r="B1680" t="str">
            <v>ja</v>
          </cell>
          <cell r="C1680" t="str">
            <v>年獣</v>
          </cell>
          <cell r="H1680" t="str">
            <v>green</v>
          </cell>
          <cell r="I1680">
            <v>5</v>
          </cell>
          <cell r="J1680" t="str">
            <v>DropWizS</v>
          </cell>
          <cell r="K1680" t="str">
            <v>attack</v>
          </cell>
          <cell r="L1680" t="str">
            <v>攻撃タイプ</v>
          </cell>
          <cell r="M1680" t="str">
            <v>animal</v>
          </cell>
        </row>
        <row r="1681">
          <cell r="A1681">
            <v>8090</v>
          </cell>
          <cell r="B1681" t="str">
            <v>ja</v>
          </cell>
          <cell r="C1681" t="str">
            <v>★６年獣</v>
          </cell>
          <cell r="H1681" t="str">
            <v>green</v>
          </cell>
          <cell r="I1681">
            <v>6</v>
          </cell>
          <cell r="J1681" t="str">
            <v>DropWizS</v>
          </cell>
          <cell r="K1681" t="str">
            <v>attack</v>
          </cell>
          <cell r="L1681" t="str">
            <v>攻撃タイプ</v>
          </cell>
          <cell r="M1681" t="str">
            <v>animal</v>
          </cell>
        </row>
        <row r="1682">
          <cell r="A1682">
            <v>8095</v>
          </cell>
          <cell r="B1682" t="str">
            <v>ja</v>
          </cell>
          <cell r="C1682" t="str">
            <v>バハムートダック赤</v>
          </cell>
          <cell r="D1682" t="str">
            <v>ポムポムプリン</v>
          </cell>
          <cell r="E1682" t="str">
            <v>執行者</v>
          </cell>
          <cell r="F1682" t="str">
            <v>格好いい</v>
          </cell>
          <cell r="G1682" t="str">
            <v>女性</v>
          </cell>
          <cell r="H1682" t="str">
            <v>red</v>
          </cell>
          <cell r="I1682">
            <v>6</v>
          </cell>
          <cell r="J1682" t="str">
            <v>Material</v>
          </cell>
          <cell r="K1682" t="str">
            <v>exp</v>
          </cell>
          <cell r="L1682" t="str">
            <v>強化素材タイプ</v>
          </cell>
          <cell r="M1682" t="str">
            <v>unknown</v>
          </cell>
        </row>
        <row r="1683">
          <cell r="A1683">
            <v>8096</v>
          </cell>
          <cell r="B1683" t="str">
            <v>ja</v>
          </cell>
          <cell r="C1683" t="str">
            <v>バハムートダック緑</v>
          </cell>
          <cell r="D1683" t="str">
            <v>ポムポムプリン</v>
          </cell>
          <cell r="E1683" t="str">
            <v>執行者</v>
          </cell>
          <cell r="F1683" t="str">
            <v>格好いい</v>
          </cell>
          <cell r="G1683" t="str">
            <v>女性</v>
          </cell>
          <cell r="H1683" t="str">
            <v>green</v>
          </cell>
          <cell r="I1683">
            <v>6</v>
          </cell>
          <cell r="J1683" t="str">
            <v>Material</v>
          </cell>
          <cell r="K1683" t="str">
            <v>exp</v>
          </cell>
          <cell r="L1683" t="str">
            <v>強化素材タイプ</v>
          </cell>
          <cell r="M1683" t="str">
            <v>unknown</v>
          </cell>
        </row>
        <row r="1684">
          <cell r="A1684">
            <v>8097</v>
          </cell>
          <cell r="B1684" t="str">
            <v>ja</v>
          </cell>
          <cell r="C1684" t="str">
            <v>バハムートダック青</v>
          </cell>
          <cell r="D1684" t="str">
            <v>ポムポムプリン</v>
          </cell>
          <cell r="E1684" t="str">
            <v>執行者</v>
          </cell>
          <cell r="F1684" t="str">
            <v>格好いい</v>
          </cell>
          <cell r="G1684" t="str">
            <v>女性</v>
          </cell>
          <cell r="H1684" t="str">
            <v>blue</v>
          </cell>
          <cell r="I1684">
            <v>6</v>
          </cell>
          <cell r="J1684" t="str">
            <v>Material</v>
          </cell>
          <cell r="K1684" t="str">
            <v>exp</v>
          </cell>
          <cell r="L1684" t="str">
            <v>強化素材タイプ</v>
          </cell>
          <cell r="M1684" t="str">
            <v>unknown</v>
          </cell>
        </row>
        <row r="1685">
          <cell r="A1685">
            <v>8098</v>
          </cell>
          <cell r="B1685" t="str">
            <v>ja</v>
          </cell>
          <cell r="C1685" t="str">
            <v>バハムートダック黄</v>
          </cell>
          <cell r="D1685" t="str">
            <v>ポムポムプリン</v>
          </cell>
          <cell r="E1685" t="str">
            <v>執行者</v>
          </cell>
          <cell r="F1685" t="str">
            <v>格好いい</v>
          </cell>
          <cell r="G1685" t="str">
            <v>女性</v>
          </cell>
          <cell r="H1685" t="str">
            <v>yellow</v>
          </cell>
          <cell r="I1685">
            <v>6</v>
          </cell>
          <cell r="J1685" t="str">
            <v>Material</v>
          </cell>
          <cell r="K1685" t="str">
            <v>exp</v>
          </cell>
          <cell r="L1685" t="str">
            <v>強化素材タイプ</v>
          </cell>
          <cell r="M1685" t="str">
            <v>unknown</v>
          </cell>
        </row>
        <row r="1686">
          <cell r="A1686">
            <v>8099</v>
          </cell>
          <cell r="B1686" t="str">
            <v>ja</v>
          </cell>
          <cell r="C1686" t="str">
            <v>韓湘子</v>
          </cell>
          <cell r="D1686" t="str">
            <v>ポムポムプリン</v>
          </cell>
          <cell r="E1686" t="str">
            <v>執行者</v>
          </cell>
          <cell r="F1686" t="str">
            <v>格好いい</v>
          </cell>
          <cell r="G1686" t="str">
            <v>女性</v>
          </cell>
          <cell r="H1686" t="str">
            <v>green</v>
          </cell>
          <cell r="I1686">
            <v>5</v>
          </cell>
          <cell r="J1686" t="str">
            <v>PremiumSSw</v>
          </cell>
          <cell r="K1686" t="str">
            <v>balance</v>
          </cell>
          <cell r="L1686" t="str">
            <v>バランスタイプ</v>
          </cell>
          <cell r="M1686" t="str">
            <v>god</v>
          </cell>
        </row>
        <row r="1687">
          <cell r="A1687">
            <v>8100</v>
          </cell>
          <cell r="B1687" t="str">
            <v>ja</v>
          </cell>
          <cell r="C1687" t="str">
            <v>韓湘子★６</v>
          </cell>
          <cell r="D1687" t="str">
            <v>ポムポムプリン</v>
          </cell>
          <cell r="E1687" t="str">
            <v>執行者</v>
          </cell>
          <cell r="F1687" t="str">
            <v>格好いい</v>
          </cell>
          <cell r="G1687" t="str">
            <v>女性</v>
          </cell>
          <cell r="H1687" t="str">
            <v>green</v>
          </cell>
          <cell r="I1687">
            <v>6</v>
          </cell>
          <cell r="J1687" t="str">
            <v>PremiumSSw</v>
          </cell>
          <cell r="K1687" t="str">
            <v>balance</v>
          </cell>
          <cell r="L1687" t="str">
            <v>バランスタイプ</v>
          </cell>
          <cell r="M1687" t="str">
            <v>god</v>
          </cell>
        </row>
        <row r="1688">
          <cell r="A1688">
            <v>8101</v>
          </cell>
          <cell r="B1688" t="str">
            <v>ja</v>
          </cell>
          <cell r="C1688" t="str">
            <v>張果老</v>
          </cell>
          <cell r="D1688" t="str">
            <v>ポムポムプリン</v>
          </cell>
          <cell r="E1688" t="str">
            <v>執行者</v>
          </cell>
          <cell r="F1688" t="str">
            <v>格好いい</v>
          </cell>
          <cell r="G1688" t="str">
            <v>女性</v>
          </cell>
          <cell r="H1688" t="str">
            <v>yellow</v>
          </cell>
          <cell r="I1688">
            <v>5</v>
          </cell>
          <cell r="J1688" t="str">
            <v>DropWizS</v>
          </cell>
          <cell r="K1688" t="str">
            <v>attack</v>
          </cell>
          <cell r="L1688" t="str">
            <v>攻撃タイプ</v>
          </cell>
          <cell r="M1688" t="str">
            <v>god</v>
          </cell>
        </row>
        <row r="1689">
          <cell r="A1689">
            <v>8102</v>
          </cell>
          <cell r="B1689" t="str">
            <v>ja</v>
          </cell>
          <cell r="C1689" t="str">
            <v>張果老★６</v>
          </cell>
          <cell r="D1689" t="str">
            <v>各属性相性良3・黄・R455</v>
          </cell>
          <cell r="E1689" t="str">
            <v>執行者</v>
          </cell>
          <cell r="F1689" t="str">
            <v>格好いい</v>
          </cell>
          <cell r="G1689" t="str">
            <v>男性</v>
          </cell>
          <cell r="H1689" t="str">
            <v>yellow</v>
          </cell>
          <cell r="I1689">
            <v>6</v>
          </cell>
          <cell r="J1689" t="str">
            <v>DropWizS</v>
          </cell>
          <cell r="K1689" t="str">
            <v>attack</v>
          </cell>
          <cell r="L1689" t="str">
            <v>攻撃タイプ</v>
          </cell>
          <cell r="M1689" t="str">
            <v>god</v>
          </cell>
        </row>
        <row r="1690">
          <cell r="A1690">
            <v>8103</v>
          </cell>
          <cell r="B1690" t="str">
            <v>ja</v>
          </cell>
          <cell r="C1690" t="str">
            <v>李鐵拐</v>
          </cell>
          <cell r="D1690" t="str">
            <v>ポムポムプリン</v>
          </cell>
          <cell r="E1690" t="str">
            <v>執行者</v>
          </cell>
          <cell r="F1690" t="str">
            <v>格好いい</v>
          </cell>
          <cell r="G1690" t="str">
            <v>女性</v>
          </cell>
          <cell r="H1690" t="str">
            <v>red</v>
          </cell>
          <cell r="I1690">
            <v>5</v>
          </cell>
          <cell r="J1690" t="str">
            <v>PremiumSSw</v>
          </cell>
          <cell r="K1690" t="str">
            <v>technical</v>
          </cell>
          <cell r="L1690" t="str">
            <v>テクニカルタイプ</v>
          </cell>
          <cell r="M1690" t="str">
            <v>god</v>
          </cell>
        </row>
        <row r="1691">
          <cell r="A1691">
            <v>8104</v>
          </cell>
          <cell r="B1691" t="str">
            <v>ja</v>
          </cell>
          <cell r="C1691" t="str">
            <v>李鐵拐★６</v>
          </cell>
          <cell r="D1691" t="str">
            <v>各属性相性良3・黄・R455</v>
          </cell>
          <cell r="E1691" t="str">
            <v>執行者</v>
          </cell>
          <cell r="F1691" t="str">
            <v>格好いい</v>
          </cell>
          <cell r="G1691" t="str">
            <v>男性</v>
          </cell>
          <cell r="H1691" t="str">
            <v>red</v>
          </cell>
          <cell r="I1691">
            <v>6</v>
          </cell>
          <cell r="J1691" t="str">
            <v>PremiumSSw</v>
          </cell>
          <cell r="K1691" t="str">
            <v>technical</v>
          </cell>
          <cell r="L1691" t="str">
            <v>テクニカルタイプ</v>
          </cell>
          <cell r="M1691" t="str">
            <v>god</v>
          </cell>
        </row>
        <row r="1692">
          <cell r="A1692">
            <v>8105</v>
          </cell>
          <cell r="B1692" t="str">
            <v>ja</v>
          </cell>
          <cell r="C1692" t="str">
            <v>曹國舅</v>
          </cell>
          <cell r="D1692" t="str">
            <v>ポムポムプリン</v>
          </cell>
          <cell r="E1692" t="str">
            <v>執行者</v>
          </cell>
          <cell r="F1692" t="str">
            <v>格好いい</v>
          </cell>
          <cell r="G1692" t="str">
            <v>女性</v>
          </cell>
          <cell r="H1692" t="str">
            <v>green</v>
          </cell>
          <cell r="I1692">
            <v>5</v>
          </cell>
          <cell r="J1692" t="str">
            <v>DropWizS</v>
          </cell>
          <cell r="K1692" t="str">
            <v>hp</v>
          </cell>
          <cell r="L1692" t="str">
            <v>体力タイプ</v>
          </cell>
          <cell r="M1692" t="str">
            <v>god</v>
          </cell>
        </row>
        <row r="1693">
          <cell r="A1693">
            <v>8106</v>
          </cell>
          <cell r="B1693" t="str">
            <v>ja</v>
          </cell>
          <cell r="C1693" t="str">
            <v>曹國舅★６</v>
          </cell>
          <cell r="D1693" t="str">
            <v>各属性相性良3・黄・R455</v>
          </cell>
          <cell r="E1693" t="str">
            <v>執行者</v>
          </cell>
          <cell r="F1693" t="str">
            <v>格好いい</v>
          </cell>
          <cell r="G1693" t="str">
            <v>男性</v>
          </cell>
          <cell r="H1693" t="str">
            <v>green</v>
          </cell>
          <cell r="I1693">
            <v>6</v>
          </cell>
          <cell r="J1693" t="str">
            <v>DropWizS</v>
          </cell>
          <cell r="K1693" t="str">
            <v>hp</v>
          </cell>
          <cell r="L1693" t="str">
            <v>体力タイプ</v>
          </cell>
          <cell r="M1693" t="str">
            <v>god</v>
          </cell>
        </row>
        <row r="1694">
          <cell r="A1694">
            <v>8111</v>
          </cell>
          <cell r="B1694" t="str">
            <v>ja</v>
          </cell>
          <cell r="C1694" t="str">
            <v>福德正神</v>
          </cell>
          <cell r="H1694" t="str">
            <v>blue</v>
          </cell>
          <cell r="I1694">
            <v>5</v>
          </cell>
          <cell r="J1694" t="str">
            <v>Drop2N</v>
          </cell>
          <cell r="K1694" t="str">
            <v>heal</v>
          </cell>
          <cell r="L1694" t="str">
            <v>回復タイプ</v>
          </cell>
          <cell r="M1694" t="str">
            <v>god</v>
          </cell>
        </row>
        <row r="1695">
          <cell r="A1695">
            <v>8112</v>
          </cell>
          <cell r="B1695" t="str">
            <v>ja</v>
          </cell>
          <cell r="C1695" t="str">
            <v>福德正神★６</v>
          </cell>
          <cell r="H1695" t="str">
            <v>blue</v>
          </cell>
          <cell r="I1695">
            <v>6</v>
          </cell>
          <cell r="J1695" t="str">
            <v>Drop2N</v>
          </cell>
          <cell r="K1695" t="str">
            <v>heal</v>
          </cell>
          <cell r="L1695" t="str">
            <v>回復タイプ</v>
          </cell>
          <cell r="M1695" t="str">
            <v>god</v>
          </cell>
        </row>
        <row r="1696">
          <cell r="A1696">
            <v>8113</v>
          </cell>
          <cell r="B1696" t="str">
            <v>ja</v>
          </cell>
          <cell r="C1696" t="str">
            <v>孔子</v>
          </cell>
          <cell r="H1696" t="str">
            <v>yellow</v>
          </cell>
          <cell r="I1696">
            <v>5</v>
          </cell>
          <cell r="J1696" t="str">
            <v>PremiumSSS</v>
          </cell>
          <cell r="K1696" t="str">
            <v>attack</v>
          </cell>
          <cell r="L1696" t="str">
            <v>攻撃タイプ</v>
          </cell>
          <cell r="M1696" t="str">
            <v>academia</v>
          </cell>
        </row>
        <row r="1697">
          <cell r="A1697">
            <v>8114</v>
          </cell>
          <cell r="B1697" t="str">
            <v>ja</v>
          </cell>
          <cell r="C1697" t="str">
            <v>孔子★６</v>
          </cell>
          <cell r="H1697" t="str">
            <v>yellow</v>
          </cell>
          <cell r="I1697">
            <v>6</v>
          </cell>
          <cell r="J1697" t="str">
            <v>PremiumSSS</v>
          </cell>
          <cell r="K1697" t="str">
            <v>attack</v>
          </cell>
          <cell r="L1697" t="str">
            <v>攻撃タイプ</v>
          </cell>
          <cell r="M1697" t="str">
            <v>academia</v>
          </cell>
        </row>
        <row r="1698">
          <cell r="A1698">
            <v>8115</v>
          </cell>
          <cell r="B1698" t="str">
            <v>ja</v>
          </cell>
          <cell r="C1698" t="str">
            <v>贏政</v>
          </cell>
          <cell r="H1698" t="str">
            <v>blue</v>
          </cell>
          <cell r="I1698">
            <v>5</v>
          </cell>
          <cell r="J1698" t="str">
            <v>DropWizSS</v>
          </cell>
          <cell r="K1698" t="str">
            <v>attack</v>
          </cell>
          <cell r="L1698" t="str">
            <v>攻撃タイプ</v>
          </cell>
          <cell r="M1698" t="str">
            <v>human</v>
          </cell>
        </row>
        <row r="1699">
          <cell r="A1699">
            <v>8116</v>
          </cell>
          <cell r="B1699" t="str">
            <v>ja</v>
          </cell>
          <cell r="C1699" t="str">
            <v>贏政★６</v>
          </cell>
          <cell r="H1699" t="str">
            <v>blue</v>
          </cell>
          <cell r="I1699">
            <v>6</v>
          </cell>
          <cell r="J1699" t="str">
            <v>DropWizSS</v>
          </cell>
          <cell r="K1699" t="str">
            <v>attack</v>
          </cell>
          <cell r="L1699" t="str">
            <v>攻撃タイプ</v>
          </cell>
          <cell r="M1699" t="str">
            <v>human</v>
          </cell>
        </row>
        <row r="1700">
          <cell r="A1700">
            <v>8117</v>
          </cell>
          <cell r="B1700" t="str">
            <v>ja</v>
          </cell>
          <cell r="C1700" t="str">
            <v>白娘子</v>
          </cell>
          <cell r="D1700" t="str">
            <v>ポムポムプリン</v>
          </cell>
          <cell r="E1700" t="str">
            <v>執行者</v>
          </cell>
          <cell r="F1700" t="str">
            <v>格好いい</v>
          </cell>
          <cell r="G1700" t="str">
            <v>女性</v>
          </cell>
          <cell r="H1700" t="str">
            <v>green</v>
          </cell>
          <cell r="I1700">
            <v>5</v>
          </cell>
          <cell r="J1700" t="str">
            <v>PremiumSSw</v>
          </cell>
          <cell r="K1700" t="str">
            <v>heal</v>
          </cell>
          <cell r="L1700" t="str">
            <v>回復タイプ</v>
          </cell>
          <cell r="M1700" t="str">
            <v>dragon</v>
          </cell>
        </row>
        <row r="1701">
          <cell r="A1701">
            <v>8118</v>
          </cell>
          <cell r="B1701" t="str">
            <v>ja</v>
          </cell>
          <cell r="C1701" t="str">
            <v>白娘子★６</v>
          </cell>
          <cell r="D1701" t="str">
            <v>ポムポムプリン</v>
          </cell>
          <cell r="E1701" t="str">
            <v>執行者</v>
          </cell>
          <cell r="F1701" t="str">
            <v>格好いい</v>
          </cell>
          <cell r="G1701" t="str">
            <v>女性</v>
          </cell>
          <cell r="H1701" t="str">
            <v>green</v>
          </cell>
          <cell r="I1701">
            <v>6</v>
          </cell>
          <cell r="J1701" t="str">
            <v>PremiumSSw</v>
          </cell>
          <cell r="K1701" t="str">
            <v>heal</v>
          </cell>
          <cell r="L1701" t="str">
            <v>回復タイプ</v>
          </cell>
          <cell r="M1701" t="str">
            <v>dragon</v>
          </cell>
        </row>
        <row r="1702">
          <cell r="A1702">
            <v>8119</v>
          </cell>
          <cell r="B1702" t="str">
            <v>ja</v>
          </cell>
          <cell r="C1702" t="str">
            <v>小青</v>
          </cell>
          <cell r="D1702" t="str">
            <v>ポムポムプリン</v>
          </cell>
          <cell r="E1702" t="str">
            <v>執行者</v>
          </cell>
          <cell r="F1702" t="str">
            <v>格好いい</v>
          </cell>
          <cell r="G1702" t="str">
            <v>女性</v>
          </cell>
          <cell r="H1702" t="str">
            <v>green</v>
          </cell>
          <cell r="I1702">
            <v>5</v>
          </cell>
          <cell r="J1702" t="str">
            <v>PremiumSSw</v>
          </cell>
          <cell r="K1702" t="str">
            <v>attack</v>
          </cell>
          <cell r="L1702" t="str">
            <v>攻撃タイプ</v>
          </cell>
          <cell r="M1702" t="str">
            <v>dragon</v>
          </cell>
        </row>
        <row r="1703">
          <cell r="A1703">
            <v>8120</v>
          </cell>
          <cell r="B1703" t="str">
            <v>ja</v>
          </cell>
          <cell r="C1703" t="str">
            <v>小青★６</v>
          </cell>
          <cell r="D1703" t="str">
            <v>ポムポムプリン</v>
          </cell>
          <cell r="E1703" t="str">
            <v>執行者</v>
          </cell>
          <cell r="F1703" t="str">
            <v>格好いい</v>
          </cell>
          <cell r="G1703" t="str">
            <v>女性</v>
          </cell>
          <cell r="H1703" t="str">
            <v>green</v>
          </cell>
          <cell r="I1703">
            <v>6</v>
          </cell>
          <cell r="J1703" t="str">
            <v>PremiumSSw</v>
          </cell>
          <cell r="K1703" t="str">
            <v>attack</v>
          </cell>
          <cell r="L1703" t="str">
            <v>攻撃タイプ</v>
          </cell>
          <cell r="M1703" t="str">
            <v>dragon</v>
          </cell>
        </row>
        <row r="1704">
          <cell r="A1704">
            <v>8121</v>
          </cell>
          <cell r="B1704" t="str">
            <v>ja</v>
          </cell>
          <cell r="C1704" t="str">
            <v>法海</v>
          </cell>
          <cell r="D1704" t="str">
            <v>ポムポムプリン</v>
          </cell>
          <cell r="E1704" t="str">
            <v>執行者</v>
          </cell>
          <cell r="F1704" t="str">
            <v>格好いい</v>
          </cell>
          <cell r="G1704" t="str">
            <v>女性</v>
          </cell>
          <cell r="H1704" t="str">
            <v>yellow</v>
          </cell>
          <cell r="I1704">
            <v>5</v>
          </cell>
          <cell r="J1704" t="str">
            <v>DropWizS</v>
          </cell>
          <cell r="K1704" t="str">
            <v>attack</v>
          </cell>
          <cell r="L1704" t="str">
            <v>攻撃タイプ</v>
          </cell>
          <cell r="M1704" t="str">
            <v>human</v>
          </cell>
        </row>
        <row r="1705">
          <cell r="A1705">
            <v>8122</v>
          </cell>
          <cell r="B1705" t="str">
            <v>ja</v>
          </cell>
          <cell r="C1705" t="str">
            <v>法海★６</v>
          </cell>
          <cell r="D1705" t="str">
            <v>各属性相性良3・黄・R455</v>
          </cell>
          <cell r="E1705" t="str">
            <v>執行者</v>
          </cell>
          <cell r="F1705" t="str">
            <v>格好いい</v>
          </cell>
          <cell r="G1705" t="str">
            <v>男性</v>
          </cell>
          <cell r="H1705" t="str">
            <v>yellow</v>
          </cell>
          <cell r="I1705">
            <v>6</v>
          </cell>
          <cell r="J1705" t="str">
            <v>DropWizS</v>
          </cell>
          <cell r="K1705" t="str">
            <v>attack</v>
          </cell>
          <cell r="L1705" t="str">
            <v>攻撃タイプ</v>
          </cell>
          <cell r="M1705" t="str">
            <v>human</v>
          </cell>
        </row>
        <row r="1706">
          <cell r="A1706">
            <v>9001</v>
          </cell>
          <cell r="B1706" t="str">
            <v>ja</v>
          </cell>
          <cell r="C1706" t="str">
            <v>春香</v>
          </cell>
          <cell r="D1706" t="str">
            <v>ポムポムプリン</v>
          </cell>
          <cell r="E1706" t="str">
            <v>執行者</v>
          </cell>
          <cell r="F1706" t="str">
            <v>格好いい</v>
          </cell>
          <cell r="G1706" t="str">
            <v>女性</v>
          </cell>
          <cell r="H1706" t="str">
            <v>red</v>
          </cell>
          <cell r="I1706">
            <v>5</v>
          </cell>
          <cell r="J1706" t="str">
            <v>PremiumSSw</v>
          </cell>
          <cell r="K1706" t="str">
            <v>attack</v>
          </cell>
          <cell r="L1706" t="str">
            <v>攻撃タイプ</v>
          </cell>
          <cell r="M1706" t="str">
            <v>human</v>
          </cell>
        </row>
        <row r="1707">
          <cell r="A1707">
            <v>9002</v>
          </cell>
          <cell r="B1707" t="str">
            <v>ja</v>
          </cell>
          <cell r="C1707" t="str">
            <v>春香★６</v>
          </cell>
          <cell r="D1707" t="str">
            <v>ポムポムプリン</v>
          </cell>
          <cell r="E1707" t="str">
            <v>執行者</v>
          </cell>
          <cell r="F1707" t="str">
            <v>格好いい</v>
          </cell>
          <cell r="G1707" t="str">
            <v>女性</v>
          </cell>
          <cell r="H1707" t="str">
            <v>red</v>
          </cell>
          <cell r="I1707">
            <v>6</v>
          </cell>
          <cell r="J1707" t="str">
            <v>PremiumSSw</v>
          </cell>
          <cell r="K1707" t="str">
            <v>attack</v>
          </cell>
          <cell r="L1707" t="str">
            <v>攻撃タイプ</v>
          </cell>
          <cell r="M1707" t="str">
            <v>human</v>
          </cell>
        </row>
        <row r="1708">
          <cell r="A1708">
            <v>9003</v>
          </cell>
          <cell r="B1708" t="str">
            <v>ja</v>
          </cell>
          <cell r="C1708" t="str">
            <v>夢龍</v>
          </cell>
          <cell r="D1708" t="str">
            <v>ポムポムプリン</v>
          </cell>
          <cell r="E1708" t="str">
            <v>執行者</v>
          </cell>
          <cell r="F1708" t="str">
            <v>格好いい</v>
          </cell>
          <cell r="G1708" t="str">
            <v>女性</v>
          </cell>
          <cell r="H1708" t="str">
            <v>green</v>
          </cell>
          <cell r="I1708">
            <v>5</v>
          </cell>
          <cell r="J1708" t="str">
            <v>DropWizS</v>
          </cell>
          <cell r="K1708" t="str">
            <v>heal</v>
          </cell>
          <cell r="L1708" t="str">
            <v>回復タイプ</v>
          </cell>
          <cell r="M1708" t="str">
            <v>dragon</v>
          </cell>
        </row>
        <row r="1709">
          <cell r="A1709">
            <v>9004</v>
          </cell>
          <cell r="B1709" t="str">
            <v>ja</v>
          </cell>
          <cell r="C1709" t="str">
            <v>夢龍★６</v>
          </cell>
          <cell r="D1709" t="str">
            <v>各属性相性良3・黄・R455</v>
          </cell>
          <cell r="E1709" t="str">
            <v>執行者</v>
          </cell>
          <cell r="F1709" t="str">
            <v>格好いい</v>
          </cell>
          <cell r="G1709" t="str">
            <v>男性</v>
          </cell>
          <cell r="H1709" t="str">
            <v>green</v>
          </cell>
          <cell r="I1709">
            <v>6</v>
          </cell>
          <cell r="J1709" t="str">
            <v>DropWizS</v>
          </cell>
          <cell r="K1709" t="str">
            <v>heal</v>
          </cell>
          <cell r="L1709" t="str">
            <v>回復タイプ</v>
          </cell>
          <cell r="M1709" t="str">
            <v>dragon</v>
          </cell>
        </row>
        <row r="1710">
          <cell r="A1710">
            <v>9005</v>
          </cell>
          <cell r="B1710" t="str">
            <v>ja</v>
          </cell>
          <cell r="C1710" t="str">
            <v>降臨</v>
          </cell>
          <cell r="D1710" t="str">
            <v>ポムポムプリン</v>
          </cell>
          <cell r="E1710" t="str">
            <v>執行者</v>
          </cell>
          <cell r="F1710" t="str">
            <v>格好いい</v>
          </cell>
          <cell r="G1710" t="str">
            <v>女性</v>
          </cell>
          <cell r="H1710" t="str">
            <v>blue</v>
          </cell>
          <cell r="I1710">
            <v>5</v>
          </cell>
          <cell r="J1710" t="str">
            <v>PremiumSSw</v>
          </cell>
          <cell r="K1710" t="str">
            <v>hp</v>
          </cell>
          <cell r="L1710" t="str">
            <v>体力タイプ</v>
          </cell>
          <cell r="M1710" t="str">
            <v>demon</v>
          </cell>
        </row>
        <row r="1711">
          <cell r="A1711">
            <v>9006</v>
          </cell>
          <cell r="B1711" t="str">
            <v>ja</v>
          </cell>
          <cell r="C1711" t="str">
            <v>降臨★６</v>
          </cell>
          <cell r="D1711" t="str">
            <v>ポムポムプリン</v>
          </cell>
          <cell r="E1711" t="str">
            <v>執行者</v>
          </cell>
          <cell r="F1711" t="str">
            <v>格好いい</v>
          </cell>
          <cell r="G1711" t="str">
            <v>女性</v>
          </cell>
          <cell r="H1711" t="str">
            <v>blue</v>
          </cell>
          <cell r="I1711">
            <v>6</v>
          </cell>
          <cell r="J1711" t="str">
            <v>PremiumSSw</v>
          </cell>
          <cell r="K1711" t="str">
            <v>hp</v>
          </cell>
          <cell r="L1711" t="str">
            <v>体力タイプ</v>
          </cell>
          <cell r="M1711" t="str">
            <v>demon</v>
          </cell>
        </row>
        <row r="1712">
          <cell r="A1712">
            <v>9007</v>
          </cell>
          <cell r="B1712" t="str">
            <v>ja</v>
          </cell>
          <cell r="C1712" t="str">
            <v>田禹治</v>
          </cell>
          <cell r="D1712" t="str">
            <v>ポムポムプリン</v>
          </cell>
          <cell r="E1712" t="str">
            <v>執行者</v>
          </cell>
          <cell r="F1712" t="str">
            <v>格好いい</v>
          </cell>
          <cell r="G1712" t="str">
            <v>女性</v>
          </cell>
          <cell r="H1712" t="str">
            <v>red</v>
          </cell>
          <cell r="I1712">
            <v>5</v>
          </cell>
          <cell r="J1712" t="str">
            <v>DropWizS</v>
          </cell>
          <cell r="K1712" t="str">
            <v>technical</v>
          </cell>
          <cell r="L1712" t="str">
            <v>テクニカルタイプ</v>
          </cell>
          <cell r="M1712" t="str">
            <v>hero</v>
          </cell>
        </row>
        <row r="1713">
          <cell r="A1713">
            <v>9008</v>
          </cell>
          <cell r="B1713" t="str">
            <v>ja</v>
          </cell>
          <cell r="C1713" t="str">
            <v>田禹治★６</v>
          </cell>
          <cell r="D1713" t="str">
            <v>各属性相性良3・黄・R455</v>
          </cell>
          <cell r="E1713" t="str">
            <v>執行者</v>
          </cell>
          <cell r="F1713" t="str">
            <v>格好いい</v>
          </cell>
          <cell r="G1713" t="str">
            <v>男性</v>
          </cell>
          <cell r="H1713" t="str">
            <v>red</v>
          </cell>
          <cell r="I1713">
            <v>6</v>
          </cell>
          <cell r="J1713" t="str">
            <v>DropWizS</v>
          </cell>
          <cell r="K1713" t="str">
            <v>technical</v>
          </cell>
          <cell r="L1713" t="str">
            <v>テクニカルタイプ</v>
          </cell>
          <cell r="M1713" t="str">
            <v>hero</v>
          </cell>
        </row>
        <row r="1714">
          <cell r="A1714">
            <v>10001</v>
          </cell>
          <cell r="B1714" t="str">
            <v>ja</v>
          </cell>
          <cell r="C1714" t="str">
            <v>テストユニット01</v>
          </cell>
          <cell r="H1714" t="str">
            <v>yellow</v>
          </cell>
          <cell r="I1714">
            <v>6</v>
          </cell>
          <cell r="J1714" t="str">
            <v>DropWizS</v>
          </cell>
          <cell r="K1714" t="str">
            <v>heal</v>
          </cell>
          <cell r="L1714" t="str">
            <v>回復タイプ</v>
          </cell>
          <cell r="M1714" t="str">
            <v>human</v>
          </cell>
        </row>
        <row r="1715">
          <cell r="A1715">
            <v>10002</v>
          </cell>
          <cell r="B1715" t="str">
            <v>ja</v>
          </cell>
          <cell r="C1715" t="str">
            <v>テストユニット02</v>
          </cell>
          <cell r="H1715" t="str">
            <v>yellow</v>
          </cell>
          <cell r="I1715">
            <v>6</v>
          </cell>
          <cell r="J1715" t="str">
            <v>PremiumSS</v>
          </cell>
          <cell r="K1715" t="str">
            <v>technical</v>
          </cell>
          <cell r="L1715" t="str">
            <v>テクニカルタイプ</v>
          </cell>
          <cell r="M1715" t="str">
            <v>animal</v>
          </cell>
        </row>
        <row r="1716">
          <cell r="A1716">
            <v>10003</v>
          </cell>
          <cell r="B1716" t="str">
            <v>ja</v>
          </cell>
          <cell r="C1716" t="str">
            <v>テストユニット03</v>
          </cell>
          <cell r="H1716" t="str">
            <v>red</v>
          </cell>
          <cell r="I1716">
            <v>5</v>
          </cell>
          <cell r="J1716" t="str">
            <v>PremiumSSS</v>
          </cell>
          <cell r="K1716" t="str">
            <v>technical</v>
          </cell>
          <cell r="L1716" t="str">
            <v>テクニカルタイプ</v>
          </cell>
          <cell r="M1716" t="str">
            <v>academia</v>
          </cell>
        </row>
        <row r="1717">
          <cell r="A1717">
            <v>10004</v>
          </cell>
          <cell r="B1717" t="str">
            <v>ja</v>
          </cell>
          <cell r="C1717" t="str">
            <v>テストユニット04</v>
          </cell>
          <cell r="H1717" t="str">
            <v>red</v>
          </cell>
          <cell r="I1717">
            <v>6</v>
          </cell>
          <cell r="J1717" t="str">
            <v>PremiumSSS</v>
          </cell>
          <cell r="K1717" t="str">
            <v>technical</v>
          </cell>
          <cell r="L1717" t="str">
            <v>テクニカルタイプ</v>
          </cell>
          <cell r="M1717" t="str">
            <v>academia</v>
          </cell>
        </row>
        <row r="1718">
          <cell r="A1718">
            <v>10005</v>
          </cell>
          <cell r="B1718" t="str">
            <v>ja</v>
          </cell>
          <cell r="C1718" t="str">
            <v>テストユニット05</v>
          </cell>
          <cell r="H1718" t="str">
            <v>yellow</v>
          </cell>
          <cell r="I1718">
            <v>6</v>
          </cell>
          <cell r="J1718" t="str">
            <v>PremiumSS</v>
          </cell>
          <cell r="K1718" t="str">
            <v>technical</v>
          </cell>
          <cell r="L1718" t="str">
            <v>テクニカルタイプ</v>
          </cell>
          <cell r="M1718" t="str">
            <v>human</v>
          </cell>
        </row>
        <row r="1719">
          <cell r="A1719">
            <v>10006</v>
          </cell>
          <cell r="B1719" t="str">
            <v>ja</v>
          </cell>
          <cell r="C1719" t="str">
            <v>テストユニット06</v>
          </cell>
          <cell r="H1719" t="str">
            <v>yellow</v>
          </cell>
          <cell r="I1719">
            <v>6</v>
          </cell>
          <cell r="J1719" t="str">
            <v>PremiumSS</v>
          </cell>
          <cell r="K1719" t="str">
            <v>attack</v>
          </cell>
          <cell r="L1719" t="str">
            <v>攻撃タイプ</v>
          </cell>
          <cell r="M1719" t="str">
            <v>animal</v>
          </cell>
        </row>
        <row r="1720">
          <cell r="A1720">
            <v>10007</v>
          </cell>
          <cell r="B1720" t="str">
            <v>ja</v>
          </cell>
          <cell r="C1720" t="str">
            <v>テストユニット07</v>
          </cell>
          <cell r="H1720" t="str">
            <v>yellow</v>
          </cell>
          <cell r="I1720">
            <v>5</v>
          </cell>
          <cell r="J1720" t="str">
            <v>PremiumSSS</v>
          </cell>
          <cell r="K1720" t="str">
            <v>technical</v>
          </cell>
          <cell r="L1720" t="str">
            <v>テクニカルタイプ</v>
          </cell>
          <cell r="M1720" t="str">
            <v>machine</v>
          </cell>
        </row>
        <row r="1721">
          <cell r="A1721">
            <v>10008</v>
          </cell>
          <cell r="B1721" t="str">
            <v>ja</v>
          </cell>
          <cell r="C1721" t="str">
            <v>テストユニット08</v>
          </cell>
          <cell r="H1721" t="str">
            <v>yellow</v>
          </cell>
          <cell r="I1721">
            <v>6</v>
          </cell>
          <cell r="J1721" t="str">
            <v>PremiumSSS</v>
          </cell>
          <cell r="K1721" t="str">
            <v>technical</v>
          </cell>
          <cell r="L1721" t="str">
            <v>テクニカルタイプ</v>
          </cell>
          <cell r="M1721" t="str">
            <v>machine</v>
          </cell>
        </row>
        <row r="1722">
          <cell r="A1722">
            <v>10009</v>
          </cell>
          <cell r="B1722" t="str">
            <v>ja</v>
          </cell>
          <cell r="C1722" t="str">
            <v>青テスト01</v>
          </cell>
          <cell r="H1722" t="str">
            <v>blue</v>
          </cell>
          <cell r="I1722">
            <v>6</v>
          </cell>
          <cell r="J1722" t="str">
            <v>DropWizS</v>
          </cell>
          <cell r="K1722" t="str">
            <v>heal</v>
          </cell>
          <cell r="L1722" t="str">
            <v>回復タイプ</v>
          </cell>
          <cell r="M1722" t="str">
            <v>human</v>
          </cell>
        </row>
        <row r="1723">
          <cell r="A1723">
            <v>10010</v>
          </cell>
          <cell r="B1723" t="str">
            <v>ja</v>
          </cell>
          <cell r="C1723" t="str">
            <v>赤テスト01</v>
          </cell>
          <cell r="H1723" t="str">
            <v>red</v>
          </cell>
          <cell r="I1723">
            <v>6</v>
          </cell>
          <cell r="J1723" t="str">
            <v>PremiumSSS</v>
          </cell>
          <cell r="K1723" t="str">
            <v>technical</v>
          </cell>
          <cell r="L1723" t="str">
            <v>テクニカルタイプ</v>
          </cell>
          <cell r="M1723" t="str">
            <v>human</v>
          </cell>
        </row>
        <row r="1724">
          <cell r="A1724">
            <v>10011</v>
          </cell>
          <cell r="B1724" t="str">
            <v>ja</v>
          </cell>
          <cell r="C1724" t="str">
            <v>テストユニット11</v>
          </cell>
          <cell r="H1724" t="str">
            <v>yellow</v>
          </cell>
          <cell r="I1724">
            <v>5</v>
          </cell>
          <cell r="J1724" t="str">
            <v>PremiumSS</v>
          </cell>
          <cell r="K1724" t="str">
            <v>balance</v>
          </cell>
          <cell r="L1724" t="str">
            <v>バランスタイプ</v>
          </cell>
          <cell r="M1724" t="str">
            <v>human</v>
          </cell>
        </row>
        <row r="1725">
          <cell r="A1725">
            <v>10012</v>
          </cell>
          <cell r="B1725" t="str">
            <v>ja</v>
          </cell>
          <cell r="C1725" t="str">
            <v>テストユニット12</v>
          </cell>
          <cell r="H1725" t="str">
            <v>yellow</v>
          </cell>
          <cell r="I1725">
            <v>6</v>
          </cell>
          <cell r="J1725" t="str">
            <v>PremiumSS</v>
          </cell>
          <cell r="K1725" t="str">
            <v>balance</v>
          </cell>
          <cell r="L1725" t="str">
            <v>バランスタイプ</v>
          </cell>
          <cell r="M1725" t="str">
            <v>human</v>
          </cell>
        </row>
        <row r="1726">
          <cell r="A1726">
            <v>10013</v>
          </cell>
          <cell r="B1726" t="str">
            <v>ja</v>
          </cell>
          <cell r="C1726" t="str">
            <v>テストユニット13</v>
          </cell>
          <cell r="H1726" t="str">
            <v>yellow</v>
          </cell>
          <cell r="I1726">
            <v>5</v>
          </cell>
          <cell r="J1726" t="str">
            <v>PremiumSSw</v>
          </cell>
          <cell r="K1726" t="str">
            <v>hp</v>
          </cell>
          <cell r="L1726" t="str">
            <v>体力タイプ</v>
          </cell>
          <cell r="M1726" t="str">
            <v>dragon</v>
          </cell>
        </row>
        <row r="1727">
          <cell r="A1727">
            <v>10014</v>
          </cell>
          <cell r="B1727" t="str">
            <v>ja</v>
          </cell>
          <cell r="C1727" t="str">
            <v>テストユニット14</v>
          </cell>
          <cell r="H1727" t="str">
            <v>yellow</v>
          </cell>
          <cell r="I1727">
            <v>6</v>
          </cell>
          <cell r="J1727" t="str">
            <v>PremiumSSw</v>
          </cell>
          <cell r="K1727" t="str">
            <v>hp</v>
          </cell>
          <cell r="L1727" t="str">
            <v>体力タイプ</v>
          </cell>
          <cell r="M1727" t="str">
            <v>dragon</v>
          </cell>
        </row>
        <row r="1728">
          <cell r="A1728">
            <v>10015</v>
          </cell>
          <cell r="B1728" t="str">
            <v>ja</v>
          </cell>
          <cell r="C1728" t="str">
            <v>テストユニット15</v>
          </cell>
          <cell r="H1728" t="str">
            <v>green</v>
          </cell>
          <cell r="I1728">
            <v>5</v>
          </cell>
          <cell r="J1728" t="str">
            <v>DropWizS</v>
          </cell>
          <cell r="K1728" t="str">
            <v>heal</v>
          </cell>
          <cell r="L1728" t="str">
            <v>回復タイプ</v>
          </cell>
          <cell r="M1728" t="str">
            <v>human</v>
          </cell>
        </row>
        <row r="1729">
          <cell r="A1729">
            <v>10016</v>
          </cell>
          <cell r="B1729" t="str">
            <v>ja</v>
          </cell>
          <cell r="C1729" t="str">
            <v>テストユニット16</v>
          </cell>
          <cell r="H1729" t="str">
            <v>green</v>
          </cell>
          <cell r="I1729">
            <v>6</v>
          </cell>
          <cell r="J1729" t="str">
            <v>DropWizS</v>
          </cell>
          <cell r="K1729" t="str">
            <v>heal</v>
          </cell>
          <cell r="L1729" t="str">
            <v>回復タイプ</v>
          </cell>
          <cell r="M1729" t="str">
            <v>human</v>
          </cell>
        </row>
        <row r="1730">
          <cell r="A1730">
            <v>10017</v>
          </cell>
          <cell r="B1730" t="str">
            <v>ja</v>
          </cell>
          <cell r="C1730" t="str">
            <v>テストユニット17</v>
          </cell>
          <cell r="H1730" t="str">
            <v>red</v>
          </cell>
          <cell r="I1730">
            <v>6</v>
          </cell>
          <cell r="J1730" t="str">
            <v>PremiumSS</v>
          </cell>
          <cell r="K1730" t="str">
            <v>balance</v>
          </cell>
          <cell r="L1730" t="str">
            <v>バランスタイプ</v>
          </cell>
          <cell r="M1730" t="str">
            <v>unknown</v>
          </cell>
        </row>
        <row r="1731">
          <cell r="A1731">
            <v>10018</v>
          </cell>
          <cell r="B1731" t="str">
            <v>ja</v>
          </cell>
          <cell r="C1731" t="str">
            <v>テストユニット18</v>
          </cell>
          <cell r="H1731" t="str">
            <v>blue</v>
          </cell>
          <cell r="I1731">
            <v>6</v>
          </cell>
          <cell r="J1731" t="str">
            <v>PremiumSS</v>
          </cell>
          <cell r="K1731" t="str">
            <v>balance</v>
          </cell>
          <cell r="L1731" t="str">
            <v>バランスタイプ</v>
          </cell>
          <cell r="M1731" t="str">
            <v>unknown</v>
          </cell>
        </row>
        <row r="1732">
          <cell r="A1732">
            <v>10019</v>
          </cell>
          <cell r="B1732" t="str">
            <v>ja</v>
          </cell>
          <cell r="C1732" t="str">
            <v>テストユニット19</v>
          </cell>
          <cell r="H1732" t="str">
            <v>green</v>
          </cell>
          <cell r="I1732">
            <v>6</v>
          </cell>
          <cell r="J1732" t="str">
            <v>PremiumSS</v>
          </cell>
          <cell r="K1732" t="str">
            <v>balance</v>
          </cell>
          <cell r="L1732" t="str">
            <v>バランスタイプ</v>
          </cell>
          <cell r="M1732" t="str">
            <v>unknown</v>
          </cell>
        </row>
        <row r="1733">
          <cell r="A1733">
            <v>10020</v>
          </cell>
          <cell r="B1733" t="str">
            <v>ja</v>
          </cell>
          <cell r="C1733" t="str">
            <v>テストユニット20</v>
          </cell>
          <cell r="H1733" t="str">
            <v>yellow</v>
          </cell>
          <cell r="I1733">
            <v>6</v>
          </cell>
          <cell r="J1733" t="str">
            <v>PremiumSS</v>
          </cell>
          <cell r="K1733" t="str">
            <v>balance</v>
          </cell>
          <cell r="L1733" t="str">
            <v>バランスタイプ</v>
          </cell>
          <cell r="M1733" t="str">
            <v>unknown</v>
          </cell>
        </row>
        <row r="1734">
          <cell r="A1734">
            <v>10021</v>
          </cell>
          <cell r="B1734" t="str">
            <v>ja</v>
          </cell>
          <cell r="C1734" t="str">
            <v>テストユニット21</v>
          </cell>
          <cell r="H1734" t="str">
            <v>blue</v>
          </cell>
          <cell r="I1734">
            <v>5</v>
          </cell>
          <cell r="J1734" t="str">
            <v>PremiumSSw</v>
          </cell>
          <cell r="K1734" t="str">
            <v>hp</v>
          </cell>
          <cell r="L1734" t="str">
            <v>体力タイプ</v>
          </cell>
          <cell r="M1734" t="str">
            <v>demon</v>
          </cell>
        </row>
        <row r="1735">
          <cell r="A1735">
            <v>10022</v>
          </cell>
          <cell r="B1735" t="str">
            <v>ja</v>
          </cell>
          <cell r="C1735" t="str">
            <v>テストユニット22</v>
          </cell>
          <cell r="H1735" t="str">
            <v>blue</v>
          </cell>
          <cell r="I1735">
            <v>6</v>
          </cell>
          <cell r="J1735" t="str">
            <v>PremiumSSw</v>
          </cell>
          <cell r="K1735" t="str">
            <v>hp</v>
          </cell>
          <cell r="L1735" t="str">
            <v>体力タイプ</v>
          </cell>
          <cell r="M1735" t="str">
            <v>demon</v>
          </cell>
        </row>
        <row r="1736">
          <cell r="A1736">
            <v>10023</v>
          </cell>
          <cell r="B1736" t="str">
            <v>ja</v>
          </cell>
          <cell r="C1736" t="str">
            <v>テストユニット23</v>
          </cell>
          <cell r="H1736" t="str">
            <v>green</v>
          </cell>
          <cell r="I1736">
            <v>5</v>
          </cell>
          <cell r="J1736" t="str">
            <v>PremiumSSw</v>
          </cell>
          <cell r="K1736" t="str">
            <v>heal</v>
          </cell>
          <cell r="L1736" t="str">
            <v>回復タイプ</v>
          </cell>
          <cell r="M1736" t="str">
            <v>dragon</v>
          </cell>
        </row>
        <row r="1737">
          <cell r="A1737">
            <v>10024</v>
          </cell>
          <cell r="B1737" t="str">
            <v>ja</v>
          </cell>
          <cell r="C1737" t="str">
            <v>テストユニット24</v>
          </cell>
          <cell r="H1737" t="str">
            <v>green</v>
          </cell>
          <cell r="I1737">
            <v>6</v>
          </cell>
          <cell r="J1737" t="str">
            <v>PremiumSSw</v>
          </cell>
          <cell r="K1737" t="str">
            <v>hp</v>
          </cell>
          <cell r="L1737" t="str">
            <v>体力タイプ</v>
          </cell>
          <cell r="M1737" t="str">
            <v>dragon</v>
          </cell>
        </row>
        <row r="1738">
          <cell r="A1738">
            <v>10025</v>
          </cell>
          <cell r="B1738" t="str">
            <v>ja</v>
          </cell>
          <cell r="C1738" t="str">
            <v>テストユニット25</v>
          </cell>
          <cell r="H1738" t="str">
            <v>red</v>
          </cell>
          <cell r="I1738">
            <v>5</v>
          </cell>
          <cell r="J1738" t="str">
            <v>PremiumSSw</v>
          </cell>
          <cell r="K1738" t="str">
            <v>hp</v>
          </cell>
          <cell r="L1738" t="str">
            <v>体力タイプ</v>
          </cell>
          <cell r="M1738" t="str">
            <v>dragon</v>
          </cell>
        </row>
        <row r="1739">
          <cell r="A1739">
            <v>10026</v>
          </cell>
          <cell r="B1739" t="str">
            <v>ja</v>
          </cell>
          <cell r="C1739" t="str">
            <v>テストユニット26</v>
          </cell>
          <cell r="H1739" t="str">
            <v>red</v>
          </cell>
          <cell r="I1739">
            <v>6</v>
          </cell>
          <cell r="J1739" t="str">
            <v>PremiumSSw</v>
          </cell>
          <cell r="K1739" t="str">
            <v>hp</v>
          </cell>
          <cell r="L1739" t="str">
            <v>体力タイプ</v>
          </cell>
          <cell r="M1739" t="str">
            <v>dragon</v>
          </cell>
        </row>
        <row r="1740">
          <cell r="A1740">
            <v>10027</v>
          </cell>
          <cell r="B1740" t="str">
            <v>ja</v>
          </cell>
          <cell r="C1740" t="str">
            <v>テストユニット27</v>
          </cell>
          <cell r="H1740" t="str">
            <v>green</v>
          </cell>
          <cell r="I1740">
            <v>6</v>
          </cell>
          <cell r="J1740" t="str">
            <v>PremiumSS</v>
          </cell>
          <cell r="K1740" t="str">
            <v>balance</v>
          </cell>
          <cell r="L1740" t="str">
            <v>バランスタイプ</v>
          </cell>
          <cell r="M1740" t="str">
            <v>unknown</v>
          </cell>
        </row>
        <row r="1741">
          <cell r="A1741">
            <v>10028</v>
          </cell>
          <cell r="B1741" t="str">
            <v>ja</v>
          </cell>
          <cell r="C1741" t="str">
            <v>テストユニット28</v>
          </cell>
          <cell r="H1741" t="str">
            <v>yellow</v>
          </cell>
          <cell r="I1741">
            <v>6</v>
          </cell>
          <cell r="J1741" t="str">
            <v>PremiumSS</v>
          </cell>
          <cell r="K1741" t="str">
            <v>balance</v>
          </cell>
          <cell r="L1741" t="str">
            <v>バランスタイプ</v>
          </cell>
          <cell r="M1741" t="str">
            <v>unknown</v>
          </cell>
        </row>
        <row r="1742">
          <cell r="A1742">
            <v>10029</v>
          </cell>
          <cell r="B1742" t="str">
            <v>ja</v>
          </cell>
          <cell r="C1742" t="str">
            <v>テストユニット29</v>
          </cell>
          <cell r="H1742" t="str">
            <v>red</v>
          </cell>
          <cell r="I1742">
            <v>6</v>
          </cell>
          <cell r="J1742" t="str">
            <v>PremiumSS</v>
          </cell>
          <cell r="K1742" t="str">
            <v>balance</v>
          </cell>
          <cell r="L1742" t="str">
            <v>バランスタイプ</v>
          </cell>
          <cell r="M1742" t="str">
            <v>unknown</v>
          </cell>
        </row>
        <row r="1743">
          <cell r="A1743">
            <v>10030</v>
          </cell>
          <cell r="B1743" t="str">
            <v>ja</v>
          </cell>
          <cell r="C1743" t="str">
            <v>テストユニット30</v>
          </cell>
          <cell r="H1743" t="str">
            <v>blue</v>
          </cell>
          <cell r="I1743">
            <v>6</v>
          </cell>
          <cell r="J1743" t="str">
            <v>PremiumSS</v>
          </cell>
          <cell r="K1743" t="str">
            <v>balance</v>
          </cell>
          <cell r="L1743" t="str">
            <v>バランスタイプ</v>
          </cell>
          <cell r="M1743" t="str">
            <v>unknown</v>
          </cell>
        </row>
        <row r="1744">
          <cell r="A1744">
            <v>10031</v>
          </cell>
          <cell r="B1744" t="str">
            <v>ja</v>
          </cell>
          <cell r="C1744" t="str">
            <v>テストユニット31</v>
          </cell>
          <cell r="H1744" t="str">
            <v>green</v>
          </cell>
          <cell r="I1744">
            <v>6</v>
          </cell>
          <cell r="J1744" t="str">
            <v>PremiumSS</v>
          </cell>
          <cell r="K1744" t="str">
            <v>balance</v>
          </cell>
          <cell r="L1744" t="str">
            <v>バランスタイプ</v>
          </cell>
          <cell r="M1744" t="str">
            <v>unknown</v>
          </cell>
        </row>
        <row r="1745">
          <cell r="A1745">
            <v>10032</v>
          </cell>
          <cell r="B1745" t="str">
            <v>ja</v>
          </cell>
          <cell r="C1745" t="str">
            <v>テストユニット32</v>
          </cell>
          <cell r="H1745" t="str">
            <v>yellow</v>
          </cell>
          <cell r="I1745">
            <v>6</v>
          </cell>
          <cell r="J1745" t="str">
            <v>PremiumSS</v>
          </cell>
          <cell r="K1745" t="str">
            <v>balance</v>
          </cell>
          <cell r="L1745" t="str">
            <v>バランスタイプ</v>
          </cell>
          <cell r="M1745" t="str">
            <v>unknown</v>
          </cell>
        </row>
        <row r="1746">
          <cell r="A1746">
            <v>10033</v>
          </cell>
          <cell r="B1746" t="str">
            <v>ja</v>
          </cell>
          <cell r="C1746" t="str">
            <v>テストユニット33</v>
          </cell>
          <cell r="H1746" t="str">
            <v>red</v>
          </cell>
          <cell r="I1746">
            <v>6</v>
          </cell>
          <cell r="J1746" t="str">
            <v>PremiumSS</v>
          </cell>
          <cell r="K1746" t="str">
            <v>balance</v>
          </cell>
          <cell r="L1746" t="str">
            <v>バランスタイプ</v>
          </cell>
          <cell r="M1746" t="str">
            <v>unknown</v>
          </cell>
        </row>
        <row r="1747">
          <cell r="A1747">
            <v>10034</v>
          </cell>
          <cell r="B1747" t="str">
            <v>ja</v>
          </cell>
          <cell r="C1747" t="str">
            <v>テストユニット34</v>
          </cell>
          <cell r="H1747" t="str">
            <v>blue</v>
          </cell>
          <cell r="I1747">
            <v>6</v>
          </cell>
          <cell r="J1747" t="str">
            <v>PremiumSS</v>
          </cell>
          <cell r="K1747" t="str">
            <v>balance</v>
          </cell>
          <cell r="L1747" t="str">
            <v>バランスタイプ</v>
          </cell>
          <cell r="M1747" t="str">
            <v>unknown</v>
          </cell>
        </row>
        <row r="1748">
          <cell r="A1748">
            <v>10035</v>
          </cell>
          <cell r="B1748" t="str">
            <v>ja</v>
          </cell>
          <cell r="C1748" t="str">
            <v>テストユニット35</v>
          </cell>
          <cell r="H1748" t="str">
            <v>green</v>
          </cell>
          <cell r="I1748">
            <v>6</v>
          </cell>
          <cell r="J1748" t="str">
            <v>PremiumSS</v>
          </cell>
          <cell r="K1748" t="str">
            <v>balance</v>
          </cell>
          <cell r="L1748" t="str">
            <v>バランスタイプ</v>
          </cell>
          <cell r="M1748" t="str">
            <v>unknown</v>
          </cell>
        </row>
        <row r="1749">
          <cell r="A1749">
            <v>10036</v>
          </cell>
          <cell r="B1749" t="str">
            <v>ja</v>
          </cell>
          <cell r="C1749" t="str">
            <v>テストユニット36</v>
          </cell>
          <cell r="H1749" t="str">
            <v>yellow</v>
          </cell>
          <cell r="I1749">
            <v>6</v>
          </cell>
          <cell r="J1749" t="str">
            <v>PremiumSS</v>
          </cell>
          <cell r="K1749" t="str">
            <v>balance</v>
          </cell>
          <cell r="L1749" t="str">
            <v>バランスタイプ</v>
          </cell>
          <cell r="M1749" t="str">
            <v>unknown</v>
          </cell>
        </row>
        <row r="1750">
          <cell r="A1750">
            <v>10037</v>
          </cell>
          <cell r="B1750" t="str">
            <v>ja</v>
          </cell>
          <cell r="C1750" t="str">
            <v>テストユニット37</v>
          </cell>
          <cell r="H1750" t="str">
            <v>red</v>
          </cell>
          <cell r="I1750">
            <v>6</v>
          </cell>
          <cell r="J1750" t="str">
            <v>PremiumSS</v>
          </cell>
          <cell r="K1750" t="str">
            <v>balance</v>
          </cell>
          <cell r="L1750" t="str">
            <v>バランスタイプ</v>
          </cell>
          <cell r="M1750" t="str">
            <v>unknown</v>
          </cell>
        </row>
        <row r="1751">
          <cell r="A1751">
            <v>10038</v>
          </cell>
          <cell r="B1751" t="str">
            <v>ja</v>
          </cell>
          <cell r="C1751" t="str">
            <v>テストユニット38</v>
          </cell>
          <cell r="H1751" t="str">
            <v>blue</v>
          </cell>
          <cell r="I1751">
            <v>6</v>
          </cell>
          <cell r="J1751" t="str">
            <v>PremiumSS</v>
          </cell>
          <cell r="K1751" t="str">
            <v>balance</v>
          </cell>
          <cell r="L1751" t="str">
            <v>バランスタイプ</v>
          </cell>
          <cell r="M1751" t="str">
            <v>unknown</v>
          </cell>
        </row>
        <row r="1752">
          <cell r="A1752">
            <v>10039</v>
          </cell>
          <cell r="B1752" t="str">
            <v>ja</v>
          </cell>
          <cell r="C1752" t="str">
            <v>テストユニット39</v>
          </cell>
          <cell r="H1752" t="str">
            <v>green</v>
          </cell>
          <cell r="I1752">
            <v>6</v>
          </cell>
          <cell r="J1752" t="str">
            <v>PremiumSS</v>
          </cell>
          <cell r="K1752" t="str">
            <v>balance</v>
          </cell>
          <cell r="L1752" t="str">
            <v>バランスタイプ</v>
          </cell>
          <cell r="M1752" t="str">
            <v>unknown</v>
          </cell>
        </row>
        <row r="1753">
          <cell r="A1753">
            <v>10040</v>
          </cell>
          <cell r="B1753" t="str">
            <v>ja</v>
          </cell>
          <cell r="C1753" t="str">
            <v>テストユニット40</v>
          </cell>
          <cell r="H1753" t="str">
            <v>yellow</v>
          </cell>
          <cell r="I1753">
            <v>6</v>
          </cell>
          <cell r="J1753" t="str">
            <v>PremiumSS</v>
          </cell>
          <cell r="K1753" t="str">
            <v>balance</v>
          </cell>
          <cell r="L1753" t="str">
            <v>バランスタイプ</v>
          </cell>
          <cell r="M1753" t="str">
            <v>unknown</v>
          </cell>
        </row>
        <row r="1754">
          <cell r="A1754">
            <v>10041</v>
          </cell>
          <cell r="B1754" t="str">
            <v>ja</v>
          </cell>
          <cell r="C1754" t="str">
            <v>テストユニット41</v>
          </cell>
          <cell r="H1754" t="str">
            <v>red</v>
          </cell>
          <cell r="I1754">
            <v>6</v>
          </cell>
          <cell r="J1754" t="str">
            <v>PremiumSS</v>
          </cell>
          <cell r="K1754" t="str">
            <v>balance</v>
          </cell>
          <cell r="L1754" t="str">
            <v>バランスタイプ</v>
          </cell>
          <cell r="M1754" t="str">
            <v>unknown</v>
          </cell>
        </row>
        <row r="1755">
          <cell r="A1755">
            <v>10042</v>
          </cell>
          <cell r="B1755" t="str">
            <v>ja</v>
          </cell>
          <cell r="C1755" t="str">
            <v>テストユニット42</v>
          </cell>
          <cell r="H1755" t="str">
            <v>blue</v>
          </cell>
          <cell r="I1755">
            <v>6</v>
          </cell>
          <cell r="J1755" t="str">
            <v>PremiumSS</v>
          </cell>
          <cell r="K1755" t="str">
            <v>balance</v>
          </cell>
          <cell r="L1755" t="str">
            <v>バランスタイプ</v>
          </cell>
          <cell r="M1755" t="str">
            <v>unknown</v>
          </cell>
        </row>
        <row r="1756">
          <cell r="A1756">
            <v>10043</v>
          </cell>
          <cell r="B1756" t="str">
            <v>ja</v>
          </cell>
          <cell r="C1756" t="str">
            <v>テストユニット43</v>
          </cell>
          <cell r="H1756" t="str">
            <v>green</v>
          </cell>
          <cell r="I1756">
            <v>6</v>
          </cell>
          <cell r="J1756" t="str">
            <v>PremiumSS</v>
          </cell>
          <cell r="K1756" t="str">
            <v>balance</v>
          </cell>
          <cell r="L1756" t="str">
            <v>バランスタイプ</v>
          </cell>
          <cell r="M1756" t="str">
            <v>unknown</v>
          </cell>
        </row>
        <row r="1757">
          <cell r="A1757">
            <v>10044</v>
          </cell>
          <cell r="B1757" t="str">
            <v>ja</v>
          </cell>
          <cell r="C1757" t="str">
            <v>テストユニット44</v>
          </cell>
          <cell r="H1757" t="str">
            <v>yellow</v>
          </cell>
          <cell r="I1757">
            <v>6</v>
          </cell>
          <cell r="J1757" t="str">
            <v>PremiumSS</v>
          </cell>
          <cell r="K1757" t="str">
            <v>balance</v>
          </cell>
          <cell r="L1757" t="str">
            <v>バランスタイプ</v>
          </cell>
          <cell r="M1757" t="str">
            <v>unknown</v>
          </cell>
        </row>
        <row r="1758">
          <cell r="A1758">
            <v>10045</v>
          </cell>
          <cell r="B1758" t="str">
            <v>ja</v>
          </cell>
          <cell r="C1758" t="str">
            <v>テストユニット45</v>
          </cell>
          <cell r="H1758" t="str">
            <v>red</v>
          </cell>
          <cell r="I1758">
            <v>6</v>
          </cell>
          <cell r="J1758" t="str">
            <v>PremiumSS</v>
          </cell>
          <cell r="K1758" t="str">
            <v>balance</v>
          </cell>
          <cell r="L1758" t="str">
            <v>バランスタイプ</v>
          </cell>
          <cell r="M1758" t="str">
            <v>unknown</v>
          </cell>
        </row>
        <row r="1759">
          <cell r="A1759">
            <v>10046</v>
          </cell>
          <cell r="B1759" t="str">
            <v>ja</v>
          </cell>
          <cell r="C1759" t="str">
            <v>テストユニット46</v>
          </cell>
          <cell r="H1759" t="str">
            <v>blue</v>
          </cell>
          <cell r="I1759">
            <v>6</v>
          </cell>
          <cell r="J1759" t="str">
            <v>PremiumSS</v>
          </cell>
          <cell r="K1759" t="str">
            <v>balance</v>
          </cell>
          <cell r="L1759" t="str">
            <v>バランスタイプ</v>
          </cell>
          <cell r="M1759" t="str">
            <v>unknown</v>
          </cell>
        </row>
        <row r="1760">
          <cell r="A1760">
            <v>10047</v>
          </cell>
          <cell r="B1760" t="str">
            <v>ja</v>
          </cell>
          <cell r="C1760" t="str">
            <v>テストユニット47</v>
          </cell>
          <cell r="H1760" t="str">
            <v>green</v>
          </cell>
          <cell r="I1760">
            <v>6</v>
          </cell>
          <cell r="J1760" t="str">
            <v>PremiumSS</v>
          </cell>
          <cell r="K1760" t="str">
            <v>balance</v>
          </cell>
          <cell r="L1760" t="str">
            <v>バランスタイプ</v>
          </cell>
          <cell r="M1760" t="str">
            <v>unknown</v>
          </cell>
        </row>
        <row r="1761">
          <cell r="A1761">
            <v>10048</v>
          </cell>
          <cell r="B1761" t="str">
            <v>ja</v>
          </cell>
          <cell r="C1761" t="str">
            <v>テストユニット48</v>
          </cell>
          <cell r="H1761" t="str">
            <v>yellow</v>
          </cell>
          <cell r="I1761">
            <v>6</v>
          </cell>
          <cell r="J1761" t="str">
            <v>PremiumSS</v>
          </cell>
          <cell r="K1761" t="str">
            <v>balance</v>
          </cell>
          <cell r="L1761" t="str">
            <v>バランスタイプ</v>
          </cell>
          <cell r="M1761" t="str">
            <v>unknown</v>
          </cell>
        </row>
        <row r="1762">
          <cell r="A1762">
            <v>10049</v>
          </cell>
          <cell r="B1762" t="str">
            <v>ja</v>
          </cell>
          <cell r="C1762" t="str">
            <v>テストユニット49</v>
          </cell>
          <cell r="H1762" t="str">
            <v>red</v>
          </cell>
          <cell r="I1762">
            <v>6</v>
          </cell>
          <cell r="J1762" t="str">
            <v>PremiumSS</v>
          </cell>
          <cell r="K1762" t="str">
            <v>balance</v>
          </cell>
          <cell r="L1762" t="str">
            <v>バランスタイプ</v>
          </cell>
          <cell r="M1762" t="str">
            <v>unknown</v>
          </cell>
        </row>
        <row r="1763">
          <cell r="A1763">
            <v>10050</v>
          </cell>
          <cell r="B1763" t="str">
            <v>ja</v>
          </cell>
          <cell r="C1763" t="str">
            <v>テストユニット50</v>
          </cell>
          <cell r="H1763" t="str">
            <v>blue</v>
          </cell>
          <cell r="I1763">
            <v>6</v>
          </cell>
          <cell r="J1763" t="str">
            <v>PremiumSS</v>
          </cell>
          <cell r="K1763" t="str">
            <v>balance</v>
          </cell>
          <cell r="L1763" t="str">
            <v>バランスタイプ</v>
          </cell>
          <cell r="M1763" t="str">
            <v>unknown</v>
          </cell>
        </row>
        <row r="1764">
          <cell r="A1764">
            <v>10051</v>
          </cell>
          <cell r="B1764" t="str">
            <v>ja</v>
          </cell>
          <cell r="C1764" t="str">
            <v>テストユニット51</v>
          </cell>
          <cell r="H1764" t="str">
            <v>green</v>
          </cell>
          <cell r="I1764">
            <v>6</v>
          </cell>
          <cell r="J1764" t="str">
            <v>PremiumSS</v>
          </cell>
          <cell r="K1764" t="str">
            <v>balance</v>
          </cell>
          <cell r="L1764" t="str">
            <v>バランスタイプ</v>
          </cell>
          <cell r="M1764" t="str">
            <v>unknown</v>
          </cell>
        </row>
        <row r="1765">
          <cell r="A1765">
            <v>10052</v>
          </cell>
          <cell r="B1765" t="str">
            <v>ja</v>
          </cell>
          <cell r="C1765" t="str">
            <v>テストユニット52</v>
          </cell>
          <cell r="H1765" t="str">
            <v>yellow</v>
          </cell>
          <cell r="I1765">
            <v>6</v>
          </cell>
          <cell r="J1765" t="str">
            <v>PremiumSS</v>
          </cell>
          <cell r="K1765" t="str">
            <v>balance</v>
          </cell>
          <cell r="L1765" t="str">
            <v>バランスタイプ</v>
          </cell>
          <cell r="M1765" t="str">
            <v>unknown</v>
          </cell>
        </row>
        <row r="1766">
          <cell r="A1766">
            <v>10053</v>
          </cell>
          <cell r="B1766" t="str">
            <v>ja</v>
          </cell>
          <cell r="C1766" t="str">
            <v>テストユニット53</v>
          </cell>
          <cell r="H1766" t="str">
            <v>red</v>
          </cell>
          <cell r="I1766">
            <v>6</v>
          </cell>
          <cell r="J1766" t="str">
            <v>PremiumSS</v>
          </cell>
          <cell r="K1766" t="str">
            <v>balance</v>
          </cell>
          <cell r="L1766" t="str">
            <v>バランスタイプ</v>
          </cell>
          <cell r="M1766" t="str">
            <v>unknown</v>
          </cell>
        </row>
        <row r="1767">
          <cell r="A1767">
            <v>10054</v>
          </cell>
          <cell r="B1767" t="str">
            <v>ja</v>
          </cell>
          <cell r="C1767" t="str">
            <v>テストユニット54</v>
          </cell>
          <cell r="H1767" t="str">
            <v>blue</v>
          </cell>
          <cell r="I1767">
            <v>6</v>
          </cell>
          <cell r="J1767" t="str">
            <v>PremiumSS</v>
          </cell>
          <cell r="K1767" t="str">
            <v>balance</v>
          </cell>
          <cell r="L1767" t="str">
            <v>バランスタイプ</v>
          </cell>
          <cell r="M1767" t="str">
            <v>unknown</v>
          </cell>
        </row>
        <row r="1768">
          <cell r="A1768">
            <v>10055</v>
          </cell>
          <cell r="B1768" t="str">
            <v>ja</v>
          </cell>
          <cell r="C1768" t="str">
            <v>テストユニット55</v>
          </cell>
          <cell r="H1768" t="str">
            <v>green</v>
          </cell>
          <cell r="I1768">
            <v>6</v>
          </cell>
          <cell r="J1768" t="str">
            <v>PremiumSS</v>
          </cell>
          <cell r="K1768" t="str">
            <v>balance</v>
          </cell>
          <cell r="L1768" t="str">
            <v>バランスタイプ</v>
          </cell>
          <cell r="M1768" t="str">
            <v>unknown</v>
          </cell>
        </row>
        <row r="1769">
          <cell r="A1769">
            <v>10056</v>
          </cell>
          <cell r="B1769" t="str">
            <v>ja</v>
          </cell>
          <cell r="C1769" t="str">
            <v>テストユニット56</v>
          </cell>
          <cell r="H1769" t="str">
            <v>yellow</v>
          </cell>
          <cell r="I1769">
            <v>6</v>
          </cell>
          <cell r="J1769" t="str">
            <v>PremiumSS</v>
          </cell>
          <cell r="K1769" t="str">
            <v>balance</v>
          </cell>
          <cell r="L1769" t="str">
            <v>バランスタイプ</v>
          </cell>
          <cell r="M1769" t="str">
            <v>unknown</v>
          </cell>
        </row>
        <row r="1770">
          <cell r="A1770">
            <v>10057</v>
          </cell>
          <cell r="B1770" t="str">
            <v>ja</v>
          </cell>
          <cell r="C1770" t="str">
            <v>テストユニット57</v>
          </cell>
          <cell r="H1770" t="str">
            <v>red</v>
          </cell>
          <cell r="I1770">
            <v>6</v>
          </cell>
          <cell r="J1770" t="str">
            <v>PremiumSS</v>
          </cell>
          <cell r="K1770" t="str">
            <v>balance</v>
          </cell>
          <cell r="L1770" t="str">
            <v>バランスタイプ</v>
          </cell>
          <cell r="M1770" t="str">
            <v>unknown</v>
          </cell>
        </row>
        <row r="1771">
          <cell r="A1771">
            <v>10058</v>
          </cell>
          <cell r="B1771" t="str">
            <v>ja</v>
          </cell>
          <cell r="C1771" t="str">
            <v>テストユニット58</v>
          </cell>
          <cell r="H1771" t="str">
            <v>blue</v>
          </cell>
          <cell r="I1771">
            <v>6</v>
          </cell>
          <cell r="J1771" t="str">
            <v>PremiumSS</v>
          </cell>
          <cell r="K1771" t="str">
            <v>balance</v>
          </cell>
          <cell r="L1771" t="str">
            <v>バランスタイプ</v>
          </cell>
          <cell r="M1771" t="str">
            <v>unknown</v>
          </cell>
        </row>
        <row r="1772">
          <cell r="A1772">
            <v>10059</v>
          </cell>
          <cell r="B1772" t="str">
            <v>ja</v>
          </cell>
          <cell r="C1772" t="str">
            <v>テストユニット59</v>
          </cell>
          <cell r="H1772" t="str">
            <v>green</v>
          </cell>
          <cell r="I1772">
            <v>6</v>
          </cell>
          <cell r="J1772" t="str">
            <v>PremiumSS</v>
          </cell>
          <cell r="K1772" t="str">
            <v>balance</v>
          </cell>
          <cell r="L1772" t="str">
            <v>バランスタイプ</v>
          </cell>
          <cell r="M1772" t="str">
            <v>unknown</v>
          </cell>
        </row>
        <row r="1773">
          <cell r="A1773">
            <v>10060</v>
          </cell>
          <cell r="B1773" t="str">
            <v>ja</v>
          </cell>
          <cell r="C1773" t="str">
            <v>テストユニット60</v>
          </cell>
          <cell r="H1773" t="str">
            <v>yellow</v>
          </cell>
          <cell r="I1773">
            <v>6</v>
          </cell>
          <cell r="J1773" t="str">
            <v>PremiumSS</v>
          </cell>
          <cell r="K1773" t="str">
            <v>balance</v>
          </cell>
          <cell r="L1773" t="str">
            <v>バランスタイプ</v>
          </cell>
          <cell r="M1773" t="str">
            <v>unknown</v>
          </cell>
        </row>
        <row r="1774">
          <cell r="A1774">
            <v>10061</v>
          </cell>
          <cell r="B1774" t="str">
            <v>ja</v>
          </cell>
          <cell r="C1774" t="str">
            <v>テストユニット61</v>
          </cell>
          <cell r="H1774" t="str">
            <v>red</v>
          </cell>
          <cell r="I1774">
            <v>6</v>
          </cell>
          <cell r="J1774" t="str">
            <v>PremiumSS</v>
          </cell>
          <cell r="K1774" t="str">
            <v>balance</v>
          </cell>
          <cell r="L1774" t="str">
            <v>バランスタイプ</v>
          </cell>
          <cell r="M1774" t="str">
            <v>unknown</v>
          </cell>
        </row>
        <row r="1775">
          <cell r="A1775">
            <v>10062</v>
          </cell>
          <cell r="B1775" t="str">
            <v>ja</v>
          </cell>
          <cell r="C1775" t="str">
            <v>テストユニット62</v>
          </cell>
          <cell r="H1775" t="str">
            <v>blue</v>
          </cell>
          <cell r="I1775">
            <v>6</v>
          </cell>
          <cell r="J1775" t="str">
            <v>PremiumSS</v>
          </cell>
          <cell r="K1775" t="str">
            <v>balance</v>
          </cell>
          <cell r="L1775" t="str">
            <v>バランスタイプ</v>
          </cell>
          <cell r="M1775" t="str">
            <v>unknown</v>
          </cell>
        </row>
        <row r="1776">
          <cell r="A1776">
            <v>10063</v>
          </cell>
          <cell r="B1776" t="str">
            <v>ja</v>
          </cell>
          <cell r="C1776" t="str">
            <v>テストユニット63</v>
          </cell>
          <cell r="H1776" t="str">
            <v>green</v>
          </cell>
          <cell r="I1776">
            <v>6</v>
          </cell>
          <cell r="J1776" t="str">
            <v>PremiumSS</v>
          </cell>
          <cell r="K1776" t="str">
            <v>balance</v>
          </cell>
          <cell r="L1776" t="str">
            <v>バランスタイプ</v>
          </cell>
          <cell r="M1776" t="str">
            <v>unknown</v>
          </cell>
        </row>
        <row r="1777">
          <cell r="A1777">
            <v>10064</v>
          </cell>
          <cell r="B1777" t="str">
            <v>ja</v>
          </cell>
          <cell r="C1777" t="str">
            <v>テストユニット64</v>
          </cell>
          <cell r="H1777" t="str">
            <v>yellow</v>
          </cell>
          <cell r="I1777">
            <v>6</v>
          </cell>
          <cell r="J1777" t="str">
            <v>PremiumSS</v>
          </cell>
          <cell r="K1777" t="str">
            <v>balance</v>
          </cell>
          <cell r="L1777" t="str">
            <v>バランスタイプ</v>
          </cell>
          <cell r="M1777" t="str">
            <v>unknown</v>
          </cell>
        </row>
        <row r="1778">
          <cell r="A1778">
            <v>10065</v>
          </cell>
          <cell r="B1778" t="str">
            <v>ja</v>
          </cell>
          <cell r="C1778" t="str">
            <v>テストユニット65</v>
          </cell>
          <cell r="H1778" t="str">
            <v>red</v>
          </cell>
          <cell r="I1778">
            <v>6</v>
          </cell>
          <cell r="J1778" t="str">
            <v>PremiumSS</v>
          </cell>
          <cell r="K1778" t="str">
            <v>balance</v>
          </cell>
          <cell r="L1778" t="str">
            <v>バランスタイプ</v>
          </cell>
          <cell r="M1778" t="str">
            <v>unknown</v>
          </cell>
        </row>
        <row r="1779">
          <cell r="A1779">
            <v>10066</v>
          </cell>
          <cell r="B1779" t="str">
            <v>ja</v>
          </cell>
          <cell r="C1779" t="str">
            <v>テストユニット66</v>
          </cell>
          <cell r="H1779" t="str">
            <v>blue</v>
          </cell>
          <cell r="I1779">
            <v>6</v>
          </cell>
          <cell r="J1779" t="str">
            <v>PremiumSS</v>
          </cell>
          <cell r="K1779" t="str">
            <v>balance</v>
          </cell>
          <cell r="L1779" t="str">
            <v>バランスタイプ</v>
          </cell>
          <cell r="M1779" t="str">
            <v>unknown</v>
          </cell>
        </row>
        <row r="1780">
          <cell r="A1780">
            <v>10067</v>
          </cell>
          <cell r="B1780" t="str">
            <v>ja</v>
          </cell>
          <cell r="C1780" t="str">
            <v>テストユニット67</v>
          </cell>
          <cell r="H1780" t="str">
            <v>green</v>
          </cell>
          <cell r="I1780">
            <v>6</v>
          </cell>
          <cell r="J1780" t="str">
            <v>PremiumSS</v>
          </cell>
          <cell r="K1780" t="str">
            <v>balance</v>
          </cell>
          <cell r="L1780" t="str">
            <v>バランスタイプ</v>
          </cell>
          <cell r="M1780" t="str">
            <v>unknown</v>
          </cell>
        </row>
        <row r="1781">
          <cell r="A1781">
            <v>10068</v>
          </cell>
          <cell r="B1781" t="str">
            <v>ja</v>
          </cell>
          <cell r="C1781" t="str">
            <v>テストユニット68</v>
          </cell>
          <cell r="H1781" t="str">
            <v>yellow</v>
          </cell>
          <cell r="I1781">
            <v>6</v>
          </cell>
          <cell r="J1781" t="str">
            <v>PremiumSS</v>
          </cell>
          <cell r="K1781" t="str">
            <v>balance</v>
          </cell>
          <cell r="L1781" t="str">
            <v>バランスタイプ</v>
          </cell>
          <cell r="M1781" t="str">
            <v>unknown</v>
          </cell>
        </row>
        <row r="1782">
          <cell r="A1782">
            <v>10069</v>
          </cell>
          <cell r="B1782" t="str">
            <v>ja</v>
          </cell>
          <cell r="C1782" t="str">
            <v>テストユニット69</v>
          </cell>
          <cell r="H1782" t="str">
            <v>red</v>
          </cell>
          <cell r="I1782">
            <v>6</v>
          </cell>
          <cell r="J1782" t="str">
            <v>PremiumSS</v>
          </cell>
          <cell r="K1782" t="str">
            <v>balance</v>
          </cell>
          <cell r="L1782" t="str">
            <v>バランスタイプ</v>
          </cell>
          <cell r="M1782" t="str">
            <v>unknown</v>
          </cell>
        </row>
        <row r="1783">
          <cell r="A1783">
            <v>10070</v>
          </cell>
          <cell r="B1783" t="str">
            <v>ja</v>
          </cell>
          <cell r="C1783" t="str">
            <v>覚醒元(R5)</v>
          </cell>
          <cell r="H1783" t="str">
            <v>blue</v>
          </cell>
          <cell r="I1783">
            <v>5</v>
          </cell>
          <cell r="J1783" t="str">
            <v>Drop2N</v>
          </cell>
          <cell r="K1783" t="str">
            <v>technical</v>
          </cell>
          <cell r="L1783" t="str">
            <v>テクニカルタイプ</v>
          </cell>
          <cell r="M1783" t="str">
            <v>human</v>
          </cell>
        </row>
        <row r="1784">
          <cell r="A1784">
            <v>10071</v>
          </cell>
          <cell r="B1784" t="str">
            <v>ja</v>
          </cell>
          <cell r="C1784" t="str">
            <v>通常覚醒(R6)</v>
          </cell>
          <cell r="H1784" t="str">
            <v>red</v>
          </cell>
          <cell r="I1784">
            <v>6</v>
          </cell>
          <cell r="J1784" t="str">
            <v>PremiumSSS</v>
          </cell>
          <cell r="K1784" t="str">
            <v>hp</v>
          </cell>
          <cell r="L1784" t="str">
            <v>体力タイプ</v>
          </cell>
          <cell r="M1784" t="str">
            <v>demon</v>
          </cell>
        </row>
        <row r="1785">
          <cell r="A1785">
            <v>10072</v>
          </cell>
          <cell r="B1785" t="str">
            <v>ja</v>
          </cell>
          <cell r="C1785" t="str">
            <v>超覚醒A(R6)</v>
          </cell>
          <cell r="H1785" t="str">
            <v>green</v>
          </cell>
          <cell r="I1785">
            <v>6</v>
          </cell>
          <cell r="J1785" t="str">
            <v>PremiumSSS</v>
          </cell>
          <cell r="K1785" t="str">
            <v>heal</v>
          </cell>
          <cell r="L1785" t="str">
            <v>回復タイプ</v>
          </cell>
          <cell r="M1785" t="str">
            <v>unknown</v>
          </cell>
        </row>
        <row r="1786">
          <cell r="A1786">
            <v>10073</v>
          </cell>
          <cell r="B1786" t="str">
            <v>ja</v>
          </cell>
          <cell r="C1786" t="str">
            <v>超覚醒B(R6)</v>
          </cell>
          <cell r="H1786" t="str">
            <v>green</v>
          </cell>
          <cell r="I1786">
            <v>6</v>
          </cell>
          <cell r="J1786" t="str">
            <v>PremiumSSS</v>
          </cell>
          <cell r="K1786" t="str">
            <v>attack</v>
          </cell>
          <cell r="L1786" t="str">
            <v>攻撃タイプ</v>
          </cell>
          <cell r="M1786" t="str">
            <v>samurai</v>
          </cell>
        </row>
        <row r="1787">
          <cell r="A1787">
            <v>10074</v>
          </cell>
          <cell r="B1787" t="str">
            <v>ja</v>
          </cell>
          <cell r="C1787" t="str">
            <v>超覚醒C(R6)</v>
          </cell>
          <cell r="H1787" t="str">
            <v>blue</v>
          </cell>
          <cell r="I1787">
            <v>6</v>
          </cell>
          <cell r="J1787" t="str">
            <v>PremiumSSS</v>
          </cell>
          <cell r="K1787" t="str">
            <v>balance</v>
          </cell>
          <cell r="L1787" t="str">
            <v>バランスタイプ</v>
          </cell>
          <cell r="M1787" t="str">
            <v>fantasy</v>
          </cell>
        </row>
        <row r="1788">
          <cell r="A1788">
            <v>10075</v>
          </cell>
          <cell r="B1788" t="str">
            <v>ja</v>
          </cell>
          <cell r="C1788" t="str">
            <v>テストユニット75</v>
          </cell>
          <cell r="H1788" t="str">
            <v>blue</v>
          </cell>
          <cell r="I1788">
            <v>6</v>
          </cell>
          <cell r="J1788" t="str">
            <v>PremiumSSS</v>
          </cell>
          <cell r="K1788" t="str">
            <v>balance</v>
          </cell>
          <cell r="L1788" t="str">
            <v>バランスタイプ</v>
          </cell>
          <cell r="M1788" t="str">
            <v>human</v>
          </cell>
        </row>
        <row r="1789">
          <cell r="A1789">
            <v>10076</v>
          </cell>
          <cell r="B1789" t="str">
            <v>ja</v>
          </cell>
          <cell r="C1789" t="str">
            <v>テストユニット76</v>
          </cell>
          <cell r="H1789" t="str">
            <v>green</v>
          </cell>
          <cell r="I1789">
            <v>6</v>
          </cell>
          <cell r="J1789" t="str">
            <v>PremiumSS</v>
          </cell>
          <cell r="K1789" t="str">
            <v>attack</v>
          </cell>
          <cell r="L1789" t="str">
            <v>攻撃タイプ</v>
          </cell>
          <cell r="M1789" t="str">
            <v>dragon</v>
          </cell>
        </row>
        <row r="1790">
          <cell r="A1790">
            <v>10077</v>
          </cell>
          <cell r="B1790" t="str">
            <v>ja</v>
          </cell>
          <cell r="C1790" t="str">
            <v>テストユニット77</v>
          </cell>
          <cell r="H1790" t="str">
            <v>green</v>
          </cell>
          <cell r="I1790">
            <v>6</v>
          </cell>
          <cell r="J1790" t="str">
            <v>PremiumSSw</v>
          </cell>
          <cell r="K1790" t="str">
            <v>heal</v>
          </cell>
          <cell r="L1790" t="str">
            <v>回復タイプ</v>
          </cell>
          <cell r="M1790" t="str">
            <v>dragon</v>
          </cell>
        </row>
        <row r="1791">
          <cell r="A1791">
            <v>10078</v>
          </cell>
          <cell r="B1791" t="str">
            <v>ja</v>
          </cell>
          <cell r="C1791" t="str">
            <v>テストユニット78</v>
          </cell>
          <cell r="H1791" t="str">
            <v>yellow</v>
          </cell>
          <cell r="I1791">
            <v>6</v>
          </cell>
          <cell r="J1791" t="str">
            <v>PremiumSSS</v>
          </cell>
          <cell r="K1791" t="str">
            <v>attack</v>
          </cell>
          <cell r="L1791" t="str">
            <v>攻撃タイプ</v>
          </cell>
          <cell r="M1791" t="str">
            <v>academia</v>
          </cell>
        </row>
        <row r="1792">
          <cell r="A1792">
            <v>10079</v>
          </cell>
          <cell r="B1792" t="str">
            <v>ja</v>
          </cell>
          <cell r="C1792" t="str">
            <v>テストユニット79</v>
          </cell>
          <cell r="H1792" t="str">
            <v>yellow</v>
          </cell>
          <cell r="I1792">
            <v>6</v>
          </cell>
          <cell r="J1792" t="str">
            <v>PremiumSSS</v>
          </cell>
          <cell r="K1792" t="str">
            <v>technical</v>
          </cell>
          <cell r="L1792" t="str">
            <v>テクニカルタイプ</v>
          </cell>
          <cell r="M1792" t="str">
            <v>animal</v>
          </cell>
        </row>
        <row r="1793">
          <cell r="A1793">
            <v>10080</v>
          </cell>
          <cell r="B1793" t="str">
            <v>ja</v>
          </cell>
          <cell r="C1793" t="str">
            <v>テストユニット80</v>
          </cell>
          <cell r="H1793" t="str">
            <v>yellow</v>
          </cell>
          <cell r="I1793">
            <v>6</v>
          </cell>
          <cell r="J1793" t="str">
            <v>PremiumSS</v>
          </cell>
          <cell r="K1793" t="str">
            <v>balance</v>
          </cell>
          <cell r="L1793" t="str">
            <v>バランスタイプ</v>
          </cell>
          <cell r="M1793" t="str">
            <v>unknown</v>
          </cell>
        </row>
        <row r="1794">
          <cell r="A1794">
            <v>10081</v>
          </cell>
          <cell r="B1794" t="str">
            <v>ja</v>
          </cell>
          <cell r="C1794" t="str">
            <v>テストユニット81</v>
          </cell>
          <cell r="H1794" t="str">
            <v>red</v>
          </cell>
          <cell r="I1794">
            <v>6</v>
          </cell>
          <cell r="J1794" t="str">
            <v>PremiumSS</v>
          </cell>
          <cell r="K1794" t="str">
            <v>balance</v>
          </cell>
          <cell r="L1794" t="str">
            <v>バランスタイプ</v>
          </cell>
          <cell r="M1794" t="str">
            <v>unknown</v>
          </cell>
        </row>
        <row r="1795">
          <cell r="A1795">
            <v>10082</v>
          </cell>
          <cell r="B1795" t="str">
            <v>ja</v>
          </cell>
          <cell r="C1795" t="str">
            <v>テストユニット82</v>
          </cell>
          <cell r="H1795" t="str">
            <v>blue</v>
          </cell>
          <cell r="I1795">
            <v>6</v>
          </cell>
          <cell r="J1795" t="str">
            <v>PremiumSS</v>
          </cell>
          <cell r="K1795" t="str">
            <v>balance</v>
          </cell>
          <cell r="L1795" t="str">
            <v>バランスタイプ</v>
          </cell>
          <cell r="M1795" t="str">
            <v>unknown</v>
          </cell>
        </row>
        <row r="1796">
          <cell r="A1796">
            <v>10083</v>
          </cell>
          <cell r="B1796" t="str">
            <v>ja</v>
          </cell>
          <cell r="C1796" t="str">
            <v>テストユニット83</v>
          </cell>
          <cell r="H1796" t="str">
            <v>green</v>
          </cell>
          <cell r="I1796">
            <v>6</v>
          </cell>
          <cell r="J1796" t="str">
            <v>PremiumSS</v>
          </cell>
          <cell r="K1796" t="str">
            <v>balance</v>
          </cell>
          <cell r="L1796" t="str">
            <v>バランスタイプ</v>
          </cell>
          <cell r="M1796" t="str">
            <v>unknown</v>
          </cell>
        </row>
        <row r="1797">
          <cell r="A1797">
            <v>10084</v>
          </cell>
          <cell r="B1797" t="str">
            <v>ja</v>
          </cell>
          <cell r="C1797" t="str">
            <v>テストユニット84</v>
          </cell>
          <cell r="H1797" t="str">
            <v>yellow</v>
          </cell>
          <cell r="I1797">
            <v>6</v>
          </cell>
          <cell r="J1797" t="str">
            <v>PremiumSS</v>
          </cell>
          <cell r="K1797" t="str">
            <v>balance</v>
          </cell>
          <cell r="L1797" t="str">
            <v>バランスタイプ</v>
          </cell>
          <cell r="M1797" t="str">
            <v>unknown</v>
          </cell>
        </row>
        <row r="1798">
          <cell r="A1798">
            <v>10085</v>
          </cell>
          <cell r="B1798" t="str">
            <v>ja</v>
          </cell>
          <cell r="C1798" t="str">
            <v>テストユニット85</v>
          </cell>
          <cell r="H1798" t="str">
            <v>red</v>
          </cell>
          <cell r="I1798">
            <v>6</v>
          </cell>
          <cell r="J1798" t="str">
            <v>PremiumSS</v>
          </cell>
          <cell r="K1798" t="str">
            <v>balance</v>
          </cell>
          <cell r="L1798" t="str">
            <v>バランスタイプ</v>
          </cell>
          <cell r="M1798" t="str">
            <v>unknown</v>
          </cell>
        </row>
        <row r="1799">
          <cell r="A1799">
            <v>10086</v>
          </cell>
          <cell r="B1799" t="str">
            <v>ja</v>
          </cell>
          <cell r="C1799" t="str">
            <v>テストユニット86</v>
          </cell>
          <cell r="H1799" t="str">
            <v>blue</v>
          </cell>
          <cell r="I1799">
            <v>6</v>
          </cell>
          <cell r="J1799" t="str">
            <v>PremiumSS</v>
          </cell>
          <cell r="K1799" t="str">
            <v>balance</v>
          </cell>
          <cell r="L1799" t="str">
            <v>バランスタイプ</v>
          </cell>
          <cell r="M1799" t="str">
            <v>unknown</v>
          </cell>
        </row>
        <row r="1800">
          <cell r="A1800">
            <v>10087</v>
          </cell>
          <cell r="B1800" t="str">
            <v>ja</v>
          </cell>
          <cell r="C1800" t="str">
            <v>テストユニット87</v>
          </cell>
          <cell r="H1800" t="str">
            <v>green</v>
          </cell>
          <cell r="I1800">
            <v>6</v>
          </cell>
          <cell r="J1800" t="str">
            <v>PremiumSS</v>
          </cell>
          <cell r="K1800" t="str">
            <v>balance</v>
          </cell>
          <cell r="L1800" t="str">
            <v>バランスタイプ</v>
          </cell>
          <cell r="M1800" t="str">
            <v>unknown</v>
          </cell>
        </row>
        <row r="1801">
          <cell r="A1801">
            <v>10088</v>
          </cell>
          <cell r="B1801" t="str">
            <v>ja</v>
          </cell>
          <cell r="C1801" t="str">
            <v>テストユニット88</v>
          </cell>
          <cell r="H1801" t="str">
            <v>yellow</v>
          </cell>
          <cell r="I1801">
            <v>6</v>
          </cell>
          <cell r="J1801" t="str">
            <v>PremiumSS</v>
          </cell>
          <cell r="K1801" t="str">
            <v>balance</v>
          </cell>
          <cell r="L1801" t="str">
            <v>バランスタイプ</v>
          </cell>
          <cell r="M1801" t="str">
            <v>unknown</v>
          </cell>
        </row>
        <row r="1802">
          <cell r="A1802">
            <v>10089</v>
          </cell>
          <cell r="B1802" t="str">
            <v>ja</v>
          </cell>
          <cell r="C1802" t="str">
            <v>テストユニット89</v>
          </cell>
          <cell r="H1802" t="str">
            <v>red</v>
          </cell>
          <cell r="I1802">
            <v>6</v>
          </cell>
          <cell r="J1802" t="str">
            <v>PremiumSS</v>
          </cell>
          <cell r="K1802" t="str">
            <v>balance</v>
          </cell>
          <cell r="L1802" t="str">
            <v>バランスタイプ</v>
          </cell>
          <cell r="M1802" t="str">
            <v>unknown</v>
          </cell>
        </row>
        <row r="1803">
          <cell r="A1803">
            <v>10090</v>
          </cell>
          <cell r="B1803" t="str">
            <v>ja</v>
          </cell>
          <cell r="C1803" t="str">
            <v>テストユニット90</v>
          </cell>
          <cell r="H1803" t="str">
            <v>blue</v>
          </cell>
          <cell r="I1803">
            <v>6</v>
          </cell>
          <cell r="J1803" t="str">
            <v>PremiumSS</v>
          </cell>
          <cell r="K1803" t="str">
            <v>balance</v>
          </cell>
          <cell r="L1803" t="str">
            <v>バランスタイプ</v>
          </cell>
          <cell r="M1803" t="str">
            <v>unknown</v>
          </cell>
        </row>
        <row r="1804">
          <cell r="A1804">
            <v>10101</v>
          </cell>
          <cell r="B1804" t="str">
            <v>ja</v>
          </cell>
          <cell r="C1804" t="str">
            <v>Usagi-kun</v>
          </cell>
          <cell r="H1804" t="str">
            <v>blue</v>
          </cell>
          <cell r="I1804">
            <v>6</v>
          </cell>
          <cell r="J1804" t="str">
            <v>DropWizS</v>
          </cell>
          <cell r="K1804" t="str">
            <v>balance</v>
          </cell>
          <cell r="L1804" t="str">
            <v>バランスタイプ</v>
          </cell>
          <cell r="M1804" t="str">
            <v>unknown</v>
          </cell>
        </row>
        <row r="1805">
          <cell r="A1805">
            <v>10102</v>
          </cell>
          <cell r="B1805" t="str">
            <v>ja</v>
          </cell>
          <cell r="C1805" t="str">
            <v>ローズ</v>
          </cell>
          <cell r="D1805" t="str">
            <v>未定</v>
          </cell>
          <cell r="E1805" t="str">
            <v>執行者</v>
          </cell>
          <cell r="F1805" t="str">
            <v>格好いい</v>
          </cell>
          <cell r="G1805" t="str">
            <v>不明</v>
          </cell>
          <cell r="H1805" t="str">
            <v>red</v>
          </cell>
          <cell r="I1805">
            <v>3</v>
          </cell>
          <cell r="J1805" t="str">
            <v>DropWizSSS</v>
          </cell>
          <cell r="K1805" t="str">
            <v>attack</v>
          </cell>
          <cell r="L1805" t="str">
            <v>攻撃タイプ</v>
          </cell>
          <cell r="M1805" t="str">
            <v>queen</v>
          </cell>
        </row>
        <row r="1806">
          <cell r="A1806">
            <v>10103</v>
          </cell>
          <cell r="B1806" t="str">
            <v>ja</v>
          </cell>
          <cell r="C1806" t="str">
            <v>ローズ</v>
          </cell>
          <cell r="D1806" t="str">
            <v>未定</v>
          </cell>
          <cell r="E1806" t="str">
            <v>執行者</v>
          </cell>
          <cell r="F1806" t="str">
            <v>格好いい</v>
          </cell>
          <cell r="G1806" t="str">
            <v>不明</v>
          </cell>
          <cell r="H1806" t="str">
            <v>red</v>
          </cell>
          <cell r="I1806">
            <v>4</v>
          </cell>
          <cell r="J1806" t="str">
            <v>DropWizSSS</v>
          </cell>
          <cell r="K1806" t="str">
            <v>attack</v>
          </cell>
          <cell r="L1806" t="str">
            <v>攻撃タイプ</v>
          </cell>
          <cell r="M1806" t="str">
            <v>queen</v>
          </cell>
        </row>
      </sheetData>
      <sheetData sheetId="4"/>
      <sheetData sheetId="5"/>
      <sheetData sheetId="6"/>
    </sheetDataSet>
  </externalBook>
</externalLink>
</file>

<file path=xl/theme/theme1.xml><?xml version="1.0" encoding="utf-8"?>
<a:theme xmlns:a="http://schemas.openxmlformats.org/drawingml/2006/main" name="ホワイト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="" xmlns:a14="http://schemas.microsoft.com/office/drawing/2010/main">
              <a:effectLst>
                <a:outerShdw blurRad="63500" dist="38099" dir="2700000" algn="ctr" rotWithShape="0">
                  <a:srgbClr val="000000">
                    <a:alpha val="74998"/>
                  </a:srgbClr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="" xmlns:a14="http://schemas.microsoft.com/office/drawing/2010/main">
              <a:effectLst>
                <a:outerShdw blurRad="63500" dist="38099" dir="2700000" algn="ctr" rotWithShape="0">
                  <a:srgbClr val="000000">
                    <a:alpha val="74998"/>
                  </a:srgbClr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lnDef>
  </a:objectDefaults>
  <a:extraClrSchemeLst/>
</a:theme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1.vml"/><Relationship Id="rId2" Type="http://schemas.openxmlformats.org/officeDocument/2006/relationships/comments" Target="../comments1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2.vml"/><Relationship Id="rId2" Type="http://schemas.openxmlformats.org/officeDocument/2006/relationships/comments" Target="../comments2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3.vml"/><Relationship Id="rId2" Type="http://schemas.openxmlformats.org/officeDocument/2006/relationships/comments" Target="../comments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 enableFormatConditionsCalculation="0"/>
  <dimension ref="A1:M53"/>
  <sheetViews>
    <sheetView zoomScale="75" zoomScaleNormal="75" zoomScalePageLayoutView="75" workbookViewId="0">
      <selection activeCell="B9" sqref="B9"/>
    </sheetView>
  </sheetViews>
  <sheetFormatPr baseColWidth="12" defaultRowHeight="15" x14ac:dyDescent="0.15"/>
  <cols>
    <col min="1" max="1" width="45" style="64" customWidth="1"/>
    <col min="2" max="16384" width="13" style="64"/>
  </cols>
  <sheetData>
    <row r="1" spans="1:13" x14ac:dyDescent="0.15">
      <c r="A1" s="64" t="s">
        <v>111</v>
      </c>
      <c r="B1" s="64" t="s">
        <v>112</v>
      </c>
    </row>
    <row r="2" spans="1:13" x14ac:dyDescent="0.15">
      <c r="A2" s="64" t="s">
        <v>113</v>
      </c>
      <c r="B2" s="64" t="s">
        <v>114</v>
      </c>
      <c r="C2" s="64" t="s">
        <v>115</v>
      </c>
      <c r="D2" s="64" t="s">
        <v>116</v>
      </c>
      <c r="E2" s="64" t="s">
        <v>117</v>
      </c>
      <c r="F2" s="64" t="s">
        <v>118</v>
      </c>
      <c r="G2" s="64" t="s">
        <v>119</v>
      </c>
      <c r="H2" s="64" t="s">
        <v>120</v>
      </c>
    </row>
    <row r="3" spans="1:13" x14ac:dyDescent="0.15">
      <c r="A3" s="64">
        <v>3</v>
      </c>
      <c r="B3" s="65" t="s">
        <v>121</v>
      </c>
      <c r="C3" s="65" t="s">
        <v>122</v>
      </c>
      <c r="D3" s="64">
        <v>0</v>
      </c>
      <c r="E3" s="65" t="s">
        <v>123</v>
      </c>
      <c r="F3" s="64">
        <v>0</v>
      </c>
      <c r="G3" s="64">
        <v>0</v>
      </c>
      <c r="H3" s="66">
        <v>0.5</v>
      </c>
    </row>
    <row r="4" spans="1:13" x14ac:dyDescent="0.15">
      <c r="A4" s="64">
        <v>4</v>
      </c>
      <c r="B4" s="65" t="s">
        <v>124</v>
      </c>
      <c r="C4" s="65" t="s">
        <v>125</v>
      </c>
      <c r="D4" s="65" t="s">
        <v>126</v>
      </c>
      <c r="E4" s="65" t="s">
        <v>127</v>
      </c>
      <c r="F4" s="65" t="s">
        <v>128</v>
      </c>
      <c r="G4" s="64">
        <v>0</v>
      </c>
      <c r="H4" s="66">
        <v>0.45</v>
      </c>
    </row>
    <row r="5" spans="1:13" x14ac:dyDescent="0.15">
      <c r="A5" s="64">
        <v>5</v>
      </c>
      <c r="B5" s="67">
        <v>0</v>
      </c>
      <c r="C5" s="65" t="s">
        <v>129</v>
      </c>
      <c r="D5" s="65" t="s">
        <v>130</v>
      </c>
      <c r="E5" s="65" t="s">
        <v>131</v>
      </c>
      <c r="F5" s="65" t="s">
        <v>132</v>
      </c>
      <c r="G5" s="65" t="s">
        <v>133</v>
      </c>
      <c r="H5" s="66">
        <v>0.05</v>
      </c>
    </row>
    <row r="6" spans="1:13" x14ac:dyDescent="0.15">
      <c r="B6" s="66" t="s">
        <v>134</v>
      </c>
      <c r="C6" s="66" t="s">
        <v>134</v>
      </c>
      <c r="D6" s="66" t="s">
        <v>135</v>
      </c>
      <c r="E6" s="66" t="s">
        <v>134</v>
      </c>
      <c r="F6" s="66" t="s">
        <v>134</v>
      </c>
      <c r="G6" s="68" t="s">
        <v>136</v>
      </c>
      <c r="H6" s="66">
        <v>1</v>
      </c>
    </row>
    <row r="7" spans="1:13" x14ac:dyDescent="0.15">
      <c r="B7" s="66"/>
      <c r="C7" s="66"/>
      <c r="D7" s="66"/>
      <c r="E7" s="66"/>
      <c r="F7" s="66"/>
      <c r="G7" s="68"/>
      <c r="H7" s="66"/>
    </row>
    <row r="8" spans="1:13" x14ac:dyDescent="0.15">
      <c r="A8" s="64" t="s">
        <v>137</v>
      </c>
      <c r="B8" s="66"/>
      <c r="C8" s="66"/>
      <c r="D8" s="66"/>
      <c r="E8" s="66"/>
      <c r="F8" s="66"/>
      <c r="G8" s="68"/>
      <c r="H8" s="66"/>
    </row>
    <row r="9" spans="1:13" x14ac:dyDescent="0.15">
      <c r="A9" s="64" t="s">
        <v>138</v>
      </c>
      <c r="B9" s="66"/>
      <c r="C9" s="66"/>
      <c r="D9" s="66"/>
      <c r="E9" s="66"/>
      <c r="F9" s="66"/>
      <c r="G9" s="68"/>
      <c r="H9" s="66"/>
    </row>
    <row r="10" spans="1:13" x14ac:dyDescent="0.15">
      <c r="A10" s="64" t="s">
        <v>139</v>
      </c>
      <c r="B10" s="66"/>
      <c r="C10" s="66"/>
      <c r="D10" s="66"/>
      <c r="E10" s="66"/>
      <c r="F10" s="66"/>
      <c r="G10" s="68"/>
      <c r="H10" s="66"/>
    </row>
    <row r="11" spans="1:13" x14ac:dyDescent="0.15">
      <c r="A11" s="64" t="s">
        <v>140</v>
      </c>
      <c r="B11" s="66"/>
      <c r="C11" s="66"/>
      <c r="D11" s="66"/>
      <c r="E11" s="66"/>
      <c r="F11" s="66"/>
      <c r="G11" s="68"/>
      <c r="H11" s="66"/>
    </row>
    <row r="12" spans="1:13" x14ac:dyDescent="0.15">
      <c r="A12" s="64" t="s">
        <v>133</v>
      </c>
      <c r="B12" s="66" t="s">
        <v>141</v>
      </c>
      <c r="C12" s="66" t="s">
        <v>142</v>
      </c>
      <c r="D12" s="66"/>
      <c r="E12" s="66"/>
      <c r="F12" s="66"/>
      <c r="G12" s="68"/>
      <c r="H12" s="66"/>
    </row>
    <row r="13" spans="1:13" x14ac:dyDescent="0.15">
      <c r="A13" s="64" t="s">
        <v>143</v>
      </c>
      <c r="B13" s="64" t="s">
        <v>144</v>
      </c>
      <c r="C13" s="64" t="s">
        <v>145</v>
      </c>
    </row>
    <row r="14" spans="1:13" x14ac:dyDescent="0.15">
      <c r="A14" s="64" t="s">
        <v>146</v>
      </c>
      <c r="B14" s="64" t="s">
        <v>141</v>
      </c>
      <c r="C14" s="67" t="s">
        <v>147</v>
      </c>
      <c r="E14" s="67"/>
      <c r="F14" s="67"/>
      <c r="M14" s="66"/>
    </row>
    <row r="15" spans="1:13" x14ac:dyDescent="0.15">
      <c r="A15" s="64" t="s">
        <v>123</v>
      </c>
      <c r="B15" s="66" t="s">
        <v>141</v>
      </c>
      <c r="C15" s="66" t="s">
        <v>148</v>
      </c>
      <c r="H15" s="69"/>
      <c r="M15" s="66"/>
    </row>
    <row r="16" spans="1:13" x14ac:dyDescent="0.15">
      <c r="A16" s="64" t="s">
        <v>127</v>
      </c>
      <c r="B16" s="66" t="s">
        <v>141</v>
      </c>
      <c r="C16" s="66" t="s">
        <v>149</v>
      </c>
      <c r="M16" s="66"/>
    </row>
    <row r="17" spans="1:13" x14ac:dyDescent="0.15">
      <c r="A17" s="64" t="s">
        <v>150</v>
      </c>
      <c r="B17" s="66" t="s">
        <v>141</v>
      </c>
      <c r="C17" s="66" t="s">
        <v>151</v>
      </c>
      <c r="M17" s="66"/>
    </row>
    <row r="18" spans="1:13" x14ac:dyDescent="0.15">
      <c r="B18" s="66"/>
      <c r="C18" s="66"/>
    </row>
    <row r="19" spans="1:13" x14ac:dyDescent="0.15">
      <c r="A19" s="64" t="s">
        <v>152</v>
      </c>
    </row>
    <row r="20" spans="1:13" x14ac:dyDescent="0.15">
      <c r="A20" s="64" t="s">
        <v>153</v>
      </c>
      <c r="B20" s="66"/>
      <c r="C20" s="66"/>
    </row>
    <row r="21" spans="1:13" x14ac:dyDescent="0.15">
      <c r="A21" s="64" t="s">
        <v>154</v>
      </c>
      <c r="B21" s="66" t="s">
        <v>155</v>
      </c>
      <c r="C21" s="66" t="s">
        <v>156</v>
      </c>
      <c r="D21" s="64" t="s">
        <v>157</v>
      </c>
    </row>
    <row r="22" spans="1:13" x14ac:dyDescent="0.15">
      <c r="A22" s="64" t="s">
        <v>158</v>
      </c>
      <c r="B22" s="66" t="s">
        <v>141</v>
      </c>
      <c r="C22" s="66" t="s">
        <v>159</v>
      </c>
      <c r="D22" s="64" t="s">
        <v>160</v>
      </c>
    </row>
    <row r="23" spans="1:13" x14ac:dyDescent="0.15">
      <c r="A23" s="64" t="s">
        <v>161</v>
      </c>
      <c r="B23" s="66" t="s">
        <v>141</v>
      </c>
      <c r="C23" s="64" t="s">
        <v>162</v>
      </c>
      <c r="D23" s="64" t="s">
        <v>163</v>
      </c>
    </row>
    <row r="24" spans="1:13" x14ac:dyDescent="0.15">
      <c r="A24" s="64" t="s">
        <v>164</v>
      </c>
      <c r="B24" s="66" t="s">
        <v>141</v>
      </c>
      <c r="C24" s="66" t="s">
        <v>165</v>
      </c>
      <c r="D24" s="64" t="s">
        <v>166</v>
      </c>
    </row>
    <row r="25" spans="1:13" x14ac:dyDescent="0.15">
      <c r="A25" s="64" t="s">
        <v>167</v>
      </c>
      <c r="B25" s="66" t="s">
        <v>141</v>
      </c>
      <c r="C25" s="66" t="s">
        <v>168</v>
      </c>
      <c r="D25" s="64" t="s">
        <v>169</v>
      </c>
    </row>
    <row r="26" spans="1:13" x14ac:dyDescent="0.15">
      <c r="A26" s="64" t="s">
        <v>170</v>
      </c>
      <c r="B26" s="66" t="s">
        <v>141</v>
      </c>
      <c r="C26" s="66" t="s">
        <v>171</v>
      </c>
      <c r="D26" s="64" t="s">
        <v>172</v>
      </c>
    </row>
    <row r="27" spans="1:13" x14ac:dyDescent="0.15">
      <c r="A27" s="64" t="s">
        <v>173</v>
      </c>
      <c r="B27" s="66" t="s">
        <v>141</v>
      </c>
      <c r="C27" s="66" t="s">
        <v>135</v>
      </c>
      <c r="D27" s="64" t="s">
        <v>174</v>
      </c>
      <c r="E27" s="64" t="s">
        <v>175</v>
      </c>
    </row>
    <row r="28" spans="1:13" x14ac:dyDescent="0.15">
      <c r="A28" s="64" t="s">
        <v>122</v>
      </c>
      <c r="B28" s="66" t="s">
        <v>141</v>
      </c>
      <c r="C28" s="66" t="s">
        <v>176</v>
      </c>
      <c r="E28" s="64" t="s">
        <v>177</v>
      </c>
    </row>
    <row r="29" spans="1:13" x14ac:dyDescent="0.15">
      <c r="A29" s="64" t="s">
        <v>125</v>
      </c>
      <c r="B29" s="66" t="s">
        <v>141</v>
      </c>
      <c r="C29" s="66" t="s">
        <v>178</v>
      </c>
    </row>
    <row r="30" spans="1:13" x14ac:dyDescent="0.15">
      <c r="B30" s="66"/>
    </row>
    <row r="31" spans="1:13" x14ac:dyDescent="0.15">
      <c r="A31" s="64" t="s">
        <v>179</v>
      </c>
    </row>
    <row r="32" spans="1:13" x14ac:dyDescent="0.15">
      <c r="A32" s="64" t="s">
        <v>180</v>
      </c>
      <c r="B32" s="66" t="s">
        <v>141</v>
      </c>
      <c r="C32" s="66" t="s">
        <v>181</v>
      </c>
    </row>
    <row r="33" spans="1:13" x14ac:dyDescent="0.15">
      <c r="A33" s="64" t="s">
        <v>125</v>
      </c>
      <c r="B33" s="66" t="s">
        <v>141</v>
      </c>
      <c r="C33" s="66" t="s">
        <v>182</v>
      </c>
    </row>
    <row r="34" spans="1:13" x14ac:dyDescent="0.15">
      <c r="A34" s="64" t="s">
        <v>122</v>
      </c>
      <c r="B34" s="66" t="s">
        <v>141</v>
      </c>
      <c r="C34" s="66" t="s">
        <v>183</v>
      </c>
    </row>
    <row r="35" spans="1:13" x14ac:dyDescent="0.15">
      <c r="A35" s="64" t="s">
        <v>121</v>
      </c>
      <c r="B35" s="66" t="s">
        <v>141</v>
      </c>
      <c r="C35" s="66" t="s">
        <v>184</v>
      </c>
    </row>
    <row r="36" spans="1:13" x14ac:dyDescent="0.15">
      <c r="A36" s="64" t="s">
        <v>124</v>
      </c>
      <c r="B36" s="66" t="s">
        <v>141</v>
      </c>
      <c r="C36" s="66" t="s">
        <v>185</v>
      </c>
    </row>
    <row r="37" spans="1:13" x14ac:dyDescent="0.15">
      <c r="A37" s="64" t="s">
        <v>130</v>
      </c>
      <c r="B37" s="66" t="s">
        <v>141</v>
      </c>
      <c r="C37" s="66" t="s">
        <v>186</v>
      </c>
    </row>
    <row r="38" spans="1:13" x14ac:dyDescent="0.15">
      <c r="A38" s="64" t="s">
        <v>126</v>
      </c>
      <c r="B38" s="66" t="s">
        <v>141</v>
      </c>
      <c r="C38" s="66" t="s">
        <v>187</v>
      </c>
    </row>
    <row r="40" spans="1:13" x14ac:dyDescent="0.15">
      <c r="J40" s="82" t="s">
        <v>213</v>
      </c>
      <c r="K40" s="82" t="s">
        <v>190</v>
      </c>
      <c r="M40" s="82" t="s">
        <v>238</v>
      </c>
    </row>
    <row r="41" spans="1:13" x14ac:dyDescent="0.15">
      <c r="J41" s="82" t="s">
        <v>214</v>
      </c>
      <c r="K41" s="82" t="s">
        <v>215</v>
      </c>
      <c r="M41" s="66" t="s">
        <v>185</v>
      </c>
    </row>
    <row r="42" spans="1:13" x14ac:dyDescent="0.15">
      <c r="J42" s="82" t="s">
        <v>216</v>
      </c>
      <c r="K42" s="82" t="s">
        <v>217</v>
      </c>
    </row>
    <row r="43" spans="1:13" x14ac:dyDescent="0.15">
      <c r="J43" s="82" t="s">
        <v>218</v>
      </c>
      <c r="K43" s="82" t="s">
        <v>219</v>
      </c>
    </row>
    <row r="44" spans="1:13" x14ac:dyDescent="0.15">
      <c r="J44" s="82" t="s">
        <v>220</v>
      </c>
      <c r="K44" s="82" t="s">
        <v>221</v>
      </c>
    </row>
    <row r="45" spans="1:13" x14ac:dyDescent="0.15">
      <c r="J45" s="82" t="s">
        <v>222</v>
      </c>
      <c r="K45" s="82" t="s">
        <v>223</v>
      </c>
    </row>
    <row r="46" spans="1:13" x14ac:dyDescent="0.15">
      <c r="J46" s="82" t="s">
        <v>224</v>
      </c>
      <c r="K46" s="82" t="s">
        <v>225</v>
      </c>
    </row>
    <row r="47" spans="1:13" x14ac:dyDescent="0.15">
      <c r="J47" s="82" t="s">
        <v>226</v>
      </c>
      <c r="K47" s="82" t="s">
        <v>230</v>
      </c>
    </row>
    <row r="48" spans="1:13" x14ac:dyDescent="0.15">
      <c r="J48" s="82" t="s">
        <v>227</v>
      </c>
      <c r="K48" s="82" t="s">
        <v>231</v>
      </c>
    </row>
    <row r="49" spans="10:11" x14ac:dyDescent="0.15">
      <c r="J49" s="82" t="s">
        <v>228</v>
      </c>
      <c r="K49" s="82" t="s">
        <v>232</v>
      </c>
    </row>
    <row r="50" spans="10:11" x14ac:dyDescent="0.15">
      <c r="J50" s="82" t="s">
        <v>229</v>
      </c>
      <c r="K50" s="82" t="s">
        <v>233</v>
      </c>
    </row>
    <row r="51" spans="10:11" x14ac:dyDescent="0.15">
      <c r="J51" s="82" t="s">
        <v>235</v>
      </c>
      <c r="K51" s="82" t="s">
        <v>234</v>
      </c>
    </row>
    <row r="52" spans="10:11" x14ac:dyDescent="0.15">
      <c r="J52" s="82" t="s">
        <v>236</v>
      </c>
      <c r="K52" s="82" t="s">
        <v>237</v>
      </c>
    </row>
    <row r="53" spans="10:11" x14ac:dyDescent="0.15">
      <c r="J53" s="82"/>
    </row>
  </sheetData>
  <phoneticPr fontId="22"/>
  <pageMargins left="0.7" right="0.7" top="0.75" bottom="0.75" header="0.3" footer="0.3"/>
  <pageSetup paperSize="9" orientation="portrait" horizontalDpi="0" verticalDpi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 enableFormatConditionsCalculation="0"/>
  <dimension ref="A1:A4"/>
  <sheetViews>
    <sheetView workbookViewId="0">
      <selection activeCell="E33" sqref="E33"/>
    </sheetView>
  </sheetViews>
  <sheetFormatPr baseColWidth="12" defaultRowHeight="14" x14ac:dyDescent="0.15"/>
  <sheetData>
    <row r="1" spans="1:1" x14ac:dyDescent="0.15">
      <c r="A1" t="s">
        <v>78</v>
      </c>
    </row>
    <row r="2" spans="1:1" x14ac:dyDescent="0.15">
      <c r="A2" t="s">
        <v>79</v>
      </c>
    </row>
    <row r="3" spans="1:1" x14ac:dyDescent="0.15">
      <c r="A3" t="s">
        <v>80</v>
      </c>
    </row>
    <row r="4" spans="1:1" x14ac:dyDescent="0.15">
      <c r="A4" t="s">
        <v>81</v>
      </c>
    </row>
  </sheetData>
  <phoneticPr fontId="22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 enableFormatConditionsCalculation="0">
    <tabColor rgb="FF0000FF"/>
  </sheetPr>
  <dimension ref="A1:U10"/>
  <sheetViews>
    <sheetView workbookViewId="0"/>
  </sheetViews>
  <sheetFormatPr baseColWidth="12" defaultRowHeight="15" x14ac:dyDescent="0.15"/>
  <cols>
    <col min="1" max="1" width="13" style="18"/>
    <col min="2" max="2" width="14.796875" style="18" bestFit="1" customWidth="1"/>
    <col min="3" max="4" width="13" style="18"/>
    <col min="5" max="5" width="17.59765625" style="18" bestFit="1" customWidth="1"/>
    <col min="6" max="6" width="22.19921875" style="18" bestFit="1" customWidth="1"/>
    <col min="7" max="16384" width="13" style="18"/>
  </cols>
  <sheetData>
    <row r="1" spans="1:21" x14ac:dyDescent="0.15">
      <c r="A1" s="28" t="s">
        <v>51</v>
      </c>
      <c r="B1" s="16" t="s">
        <v>39</v>
      </c>
      <c r="C1" s="16" t="s">
        <v>40</v>
      </c>
      <c r="D1" s="16" t="s">
        <v>41</v>
      </c>
      <c r="E1" s="16" t="s">
        <v>42</v>
      </c>
      <c r="F1" s="16" t="s">
        <v>43</v>
      </c>
      <c r="G1" s="16" t="s">
        <v>44</v>
      </c>
      <c r="H1" s="16"/>
      <c r="I1" s="16"/>
      <c r="J1" s="16"/>
      <c r="K1" s="16"/>
      <c r="L1" s="17"/>
      <c r="M1" s="17"/>
      <c r="N1" s="17"/>
      <c r="O1" s="17"/>
    </row>
    <row r="2" spans="1:21" x14ac:dyDescent="0.15">
      <c r="A2" s="94" t="s">
        <v>249</v>
      </c>
      <c r="B2" s="61" t="s">
        <v>110</v>
      </c>
      <c r="C2" s="50" t="str">
        <f t="shared" ref="C2" si="0">RIGHT(F2,6)</f>
        <v>586100</v>
      </c>
      <c r="D2" s="19" t="s">
        <v>45</v>
      </c>
      <c r="E2" s="17" t="str">
        <f t="shared" ref="E2" si="1">B2&amp;C2&amp;D2</f>
        <v>gacha_select_tables_586100.tmp</v>
      </c>
      <c r="F2" s="99" t="s">
        <v>254</v>
      </c>
      <c r="G2" s="49" t="s">
        <v>85</v>
      </c>
      <c r="H2" s="22" t="s">
        <v>0</v>
      </c>
      <c r="I2" s="22" t="s">
        <v>3</v>
      </c>
      <c r="J2" s="22" t="s">
        <v>4</v>
      </c>
      <c r="K2" s="22" t="s">
        <v>5</v>
      </c>
      <c r="L2" s="22" t="s">
        <v>6</v>
      </c>
      <c r="M2" s="22" t="s">
        <v>7</v>
      </c>
      <c r="N2" s="22" t="s">
        <v>8</v>
      </c>
      <c r="O2" s="22" t="s">
        <v>9</v>
      </c>
    </row>
    <row r="3" spans="1:21" x14ac:dyDescent="0.15">
      <c r="A3" s="85" t="s">
        <v>241</v>
      </c>
      <c r="B3" s="61" t="s">
        <v>110</v>
      </c>
      <c r="C3" s="50" t="str">
        <f t="shared" ref="C3:C7" si="2">RIGHT(F3,6)</f>
        <v>560010</v>
      </c>
      <c r="D3" s="19" t="s">
        <v>45</v>
      </c>
      <c r="E3" s="17" t="str">
        <f t="shared" ref="E3:E10" si="3">B3&amp;C3&amp;D3</f>
        <v>gacha_select_tables_560010.tmp</v>
      </c>
      <c r="F3" s="97" t="s">
        <v>251</v>
      </c>
      <c r="G3" s="49" t="s">
        <v>85</v>
      </c>
      <c r="H3" s="22" t="s">
        <v>0</v>
      </c>
      <c r="I3" s="22" t="s">
        <v>3</v>
      </c>
      <c r="J3" s="22" t="s">
        <v>4</v>
      </c>
      <c r="K3" s="22" t="s">
        <v>5</v>
      </c>
      <c r="L3" s="22" t="s">
        <v>6</v>
      </c>
      <c r="M3" s="22" t="s">
        <v>7</v>
      </c>
      <c r="N3" s="22" t="s">
        <v>8</v>
      </c>
      <c r="O3" s="22" t="s">
        <v>9</v>
      </c>
    </row>
    <row r="4" spans="1:21" x14ac:dyDescent="0.15">
      <c r="A4" s="94" t="s">
        <v>249</v>
      </c>
      <c r="B4" s="91" t="s">
        <v>246</v>
      </c>
      <c r="C4" s="92" t="str">
        <f t="shared" si="2"/>
        <v>586100</v>
      </c>
      <c r="D4" s="19" t="s">
        <v>247</v>
      </c>
      <c r="E4" s="17" t="str">
        <f t="shared" si="3"/>
        <v>gacha_settle_tables_586100.tmp</v>
      </c>
      <c r="F4" s="99" t="s">
        <v>255</v>
      </c>
      <c r="G4" s="49" t="s">
        <v>85</v>
      </c>
      <c r="H4" s="22" t="s">
        <v>0</v>
      </c>
      <c r="I4" s="22" t="s">
        <v>3</v>
      </c>
      <c r="J4" s="22" t="s">
        <v>4</v>
      </c>
      <c r="K4" s="22" t="s">
        <v>5</v>
      </c>
      <c r="L4" s="22" t="s">
        <v>6</v>
      </c>
      <c r="M4" s="22" t="s">
        <v>7</v>
      </c>
      <c r="N4" s="22" t="s">
        <v>8</v>
      </c>
      <c r="O4" s="22" t="s">
        <v>9</v>
      </c>
    </row>
    <row r="5" spans="1:21" x14ac:dyDescent="0.15">
      <c r="A5" s="85" t="s">
        <v>241</v>
      </c>
      <c r="B5" s="61" t="s">
        <v>110</v>
      </c>
      <c r="C5" s="50" t="str">
        <f t="shared" si="2"/>
        <v>363104</v>
      </c>
      <c r="D5" s="19" t="s">
        <v>45</v>
      </c>
      <c r="E5" s="17" t="str">
        <f t="shared" ref="E5:E7" si="4">B5&amp;C5&amp;D5</f>
        <v>gacha_select_tables_363104.tmp</v>
      </c>
      <c r="F5" s="88" t="s">
        <v>243</v>
      </c>
      <c r="G5" s="49" t="s">
        <v>84</v>
      </c>
      <c r="H5" s="22" t="s">
        <v>0</v>
      </c>
      <c r="I5" s="22" t="s">
        <v>3</v>
      </c>
      <c r="J5" s="22" t="s">
        <v>4</v>
      </c>
      <c r="K5" s="22" t="s">
        <v>5</v>
      </c>
      <c r="L5" s="22" t="s">
        <v>6</v>
      </c>
      <c r="M5" s="22" t="s">
        <v>7</v>
      </c>
      <c r="N5" s="22" t="s">
        <v>8</v>
      </c>
      <c r="O5" s="22" t="s">
        <v>9</v>
      </c>
    </row>
    <row r="6" spans="1:21" x14ac:dyDescent="0.15">
      <c r="A6" s="85" t="s">
        <v>241</v>
      </c>
      <c r="B6" s="61" t="s">
        <v>110</v>
      </c>
      <c r="C6" s="50" t="str">
        <f t="shared" ref="C6" si="5">RIGHT(F6,6)</f>
        <v>363105</v>
      </c>
      <c r="D6" s="19" t="s">
        <v>45</v>
      </c>
      <c r="E6" s="17" t="str">
        <f t="shared" ref="E6" si="6">B6&amp;C6&amp;D6</f>
        <v>gacha_select_tables_363105.tmp</v>
      </c>
      <c r="F6" s="88" t="s">
        <v>244</v>
      </c>
      <c r="G6" s="49" t="s">
        <v>84</v>
      </c>
      <c r="H6" s="22" t="s">
        <v>0</v>
      </c>
      <c r="I6" s="22" t="s">
        <v>3</v>
      </c>
      <c r="J6" s="22" t="s">
        <v>4</v>
      </c>
      <c r="K6" s="22" t="s">
        <v>5</v>
      </c>
      <c r="L6" s="22" t="s">
        <v>6</v>
      </c>
      <c r="M6" s="22" t="s">
        <v>7</v>
      </c>
      <c r="N6" s="22" t="s">
        <v>8</v>
      </c>
      <c r="O6" s="22" t="s">
        <v>9</v>
      </c>
    </row>
    <row r="7" spans="1:21" x14ac:dyDescent="0.15">
      <c r="A7" s="85" t="s">
        <v>241</v>
      </c>
      <c r="B7" s="61" t="s">
        <v>110</v>
      </c>
      <c r="C7" s="50" t="str">
        <f t="shared" si="2"/>
        <v>363100</v>
      </c>
      <c r="D7" s="19" t="s">
        <v>45</v>
      </c>
      <c r="E7" s="17" t="str">
        <f t="shared" si="4"/>
        <v>gacha_select_tables_363100.tmp</v>
      </c>
      <c r="F7" s="88" t="s">
        <v>245</v>
      </c>
      <c r="G7" s="49" t="s">
        <v>84</v>
      </c>
      <c r="H7" s="22" t="s">
        <v>0</v>
      </c>
      <c r="I7" s="22" t="s">
        <v>3</v>
      </c>
      <c r="J7" s="22" t="s">
        <v>4</v>
      </c>
      <c r="K7" s="22" t="s">
        <v>5</v>
      </c>
      <c r="L7" s="22" t="s">
        <v>6</v>
      </c>
      <c r="M7" s="22" t="s">
        <v>7</v>
      </c>
      <c r="N7" s="22" t="s">
        <v>8</v>
      </c>
      <c r="O7" s="22" t="s">
        <v>9</v>
      </c>
    </row>
    <row r="8" spans="1:21" x14ac:dyDescent="0.15">
      <c r="A8" s="85" t="s">
        <v>241</v>
      </c>
      <c r="B8" s="27" t="s">
        <v>50</v>
      </c>
      <c r="C8" s="32">
        <v>363</v>
      </c>
      <c r="D8" s="19" t="s">
        <v>46</v>
      </c>
      <c r="E8" s="17" t="str">
        <f t="shared" si="3"/>
        <v>gacha_bonus_tables_363.tmp</v>
      </c>
      <c r="F8" s="19" t="s">
        <v>47</v>
      </c>
      <c r="G8" s="21" t="s">
        <v>11</v>
      </c>
      <c r="H8" s="23" t="s">
        <v>14</v>
      </c>
      <c r="I8" s="21" t="s">
        <v>12</v>
      </c>
      <c r="J8" s="20"/>
      <c r="K8" s="20"/>
      <c r="L8" s="20"/>
      <c r="M8" s="20"/>
      <c r="N8" s="20"/>
      <c r="O8" s="20"/>
    </row>
    <row r="9" spans="1:21" x14ac:dyDescent="0.15">
      <c r="A9" s="85" t="s">
        <v>241</v>
      </c>
      <c r="B9" s="19" t="s">
        <v>48</v>
      </c>
      <c r="C9" s="32">
        <v>363</v>
      </c>
      <c r="D9" s="19" t="s">
        <v>46</v>
      </c>
      <c r="E9" s="17" t="str">
        <f t="shared" si="3"/>
        <v>gifts_tmp_363.tmp</v>
      </c>
      <c r="F9" s="19" t="s">
        <v>47</v>
      </c>
      <c r="G9" s="23" t="s">
        <v>22</v>
      </c>
      <c r="H9" s="24" t="s">
        <v>30</v>
      </c>
      <c r="I9" s="23" t="s">
        <v>23</v>
      </c>
      <c r="J9" s="23" t="s">
        <v>24</v>
      </c>
      <c r="K9" s="23" t="s">
        <v>24</v>
      </c>
      <c r="L9" s="23" t="s">
        <v>25</v>
      </c>
      <c r="M9" s="23" t="s">
        <v>25</v>
      </c>
      <c r="N9" s="23" t="s">
        <v>25</v>
      </c>
      <c r="O9" s="51" t="s">
        <v>7</v>
      </c>
      <c r="P9" s="51" t="s">
        <v>9</v>
      </c>
      <c r="Q9" s="51" t="s">
        <v>6</v>
      </c>
      <c r="R9" s="51" t="s">
        <v>86</v>
      </c>
      <c r="S9" s="51" t="s">
        <v>8</v>
      </c>
      <c r="T9" s="51" t="s">
        <v>87</v>
      </c>
      <c r="U9" s="51" t="s">
        <v>5</v>
      </c>
    </row>
    <row r="10" spans="1:21" x14ac:dyDescent="0.15">
      <c r="A10" s="85" t="s">
        <v>241</v>
      </c>
      <c r="B10" s="19" t="s">
        <v>49</v>
      </c>
      <c r="C10" s="32">
        <v>363</v>
      </c>
      <c r="D10" s="19" t="s">
        <v>46</v>
      </c>
      <c r="E10" s="17" t="str">
        <f t="shared" si="3"/>
        <v>gifts_i18n_363.tmp</v>
      </c>
      <c r="F10" s="19" t="s">
        <v>47</v>
      </c>
      <c r="G10" s="23" t="s">
        <v>13</v>
      </c>
      <c r="H10" s="25" t="s">
        <v>26</v>
      </c>
      <c r="I10" s="25" t="s">
        <v>27</v>
      </c>
      <c r="J10" s="25" t="s">
        <v>28</v>
      </c>
      <c r="K10" s="25" t="s">
        <v>29</v>
      </c>
      <c r="L10" s="26"/>
      <c r="M10" s="23"/>
      <c r="N10" s="23"/>
      <c r="O10" s="19"/>
    </row>
  </sheetData>
  <phoneticPr fontId="22"/>
  <pageMargins left="0.7" right="0.7" top="0.75" bottom="0.75" header="0.3" footer="0.3"/>
  <pageSetup paperSize="9" orientation="portrait" horizontalDpi="4294967292" verticalDpi="429496729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 enableFormatConditionsCalculation="0">
    <tabColor theme="5"/>
  </sheetPr>
  <dimension ref="A1:V50"/>
  <sheetViews>
    <sheetView tabSelected="1" workbookViewId="0">
      <selection activeCell="I5" sqref="I5"/>
    </sheetView>
  </sheetViews>
  <sheetFormatPr baseColWidth="12" defaultRowHeight="14" x14ac:dyDescent="0.15"/>
  <cols>
    <col min="1" max="2" width="24.19921875" bestFit="1" customWidth="1"/>
    <col min="13" max="13" width="20.796875" bestFit="1" customWidth="1"/>
    <col min="17" max="17" width="13" customWidth="1"/>
  </cols>
  <sheetData>
    <row r="1" spans="1:22" x14ac:dyDescent="0.15">
      <c r="A1" s="48" t="s">
        <v>82</v>
      </c>
      <c r="B1" s="48"/>
      <c r="L1" s="38" t="s">
        <v>61</v>
      </c>
      <c r="M1" s="38"/>
      <c r="U1" t="s">
        <v>61</v>
      </c>
    </row>
    <row r="2" spans="1:22" x14ac:dyDescent="0.15">
      <c r="A2" t="str">
        <f ca="1">RIGHT(RIGHT(CELL("filename",A2),LEN(CELL("filename",A2))-FIND("]",CELL("filename",A2))),6)</f>
        <v>586100</v>
      </c>
      <c r="L2" s="33" t="s">
        <v>1</v>
      </c>
      <c r="M2" s="37" t="s">
        <v>65</v>
      </c>
      <c r="N2" s="33" t="s">
        <v>63</v>
      </c>
      <c r="O2" s="37" t="s">
        <v>66</v>
      </c>
      <c r="P2" s="37" t="s">
        <v>67</v>
      </c>
      <c r="Q2" s="37" t="s">
        <v>64</v>
      </c>
      <c r="R2" s="44" t="s">
        <v>73</v>
      </c>
      <c r="U2" s="33" t="s">
        <v>190</v>
      </c>
      <c r="V2" s="54">
        <f t="shared" ref="V2:V16" si="0">SUMIF(Q:Q,U2,N:N)</f>
        <v>0</v>
      </c>
    </row>
    <row r="3" spans="1:22" x14ac:dyDescent="0.15">
      <c r="H3" s="73" t="s">
        <v>211</v>
      </c>
      <c r="L3" s="95">
        <v>1039</v>
      </c>
      <c r="M3" s="37" t="str">
        <f>VLOOKUP(L3,[1]characters!$A:$C,3,FALSE)</f>
        <v>ディラック</v>
      </c>
      <c r="N3" s="76">
        <v>3.7499999999999999E-3</v>
      </c>
      <c r="O3" s="37">
        <f>VLOOKUP(L3,[1]characters!$A:$I,9,FALSE)</f>
        <v>5</v>
      </c>
      <c r="P3" s="37" t="str">
        <f>VLOOKUP(L3,[1]characters!$A:$J,10,FALSE)</f>
        <v>PremiumSSS</v>
      </c>
      <c r="Q3" s="37" t="str">
        <f>VLOOKUP(L3,tables_586100!B:C,2,FALSE)</f>
        <v>PremiumSSS5R3less</v>
      </c>
      <c r="R3" s="62">
        <f t="shared" ref="R3:R20" si="1">N3*A$36</f>
        <v>482400</v>
      </c>
      <c r="S3">
        <v>190</v>
      </c>
      <c r="U3" s="33" t="s">
        <v>191</v>
      </c>
      <c r="V3" s="54">
        <f t="shared" si="0"/>
        <v>0</v>
      </c>
    </row>
    <row r="4" spans="1:22" x14ac:dyDescent="0.15">
      <c r="A4" s="34" t="s">
        <v>53</v>
      </c>
      <c r="B4" s="34"/>
      <c r="D4" t="s">
        <v>200</v>
      </c>
      <c r="F4" t="s">
        <v>203</v>
      </c>
      <c r="H4" t="s">
        <v>209</v>
      </c>
      <c r="I4" t="s">
        <v>210</v>
      </c>
      <c r="L4" s="95">
        <v>1090</v>
      </c>
      <c r="M4" s="37" t="str">
        <f>VLOOKUP(L4,[1]characters!$A:$C,3,FALSE)</f>
        <v>ラプラス</v>
      </c>
      <c r="N4" s="76">
        <v>3.7499999999999999E-3</v>
      </c>
      <c r="O4" s="37">
        <f>VLOOKUP(L4,[1]characters!$A:$I,9,FALSE)</f>
        <v>5</v>
      </c>
      <c r="P4" s="37" t="str">
        <f>VLOOKUP(L4,[1]characters!$A:$J,10,FALSE)</f>
        <v>PremiumSSS</v>
      </c>
      <c r="Q4" s="37" t="str">
        <f>VLOOKUP(L4,tables_586100!B:C,2,FALSE)</f>
        <v>PremiumSSS5R3less</v>
      </c>
      <c r="R4" s="62">
        <f t="shared" si="1"/>
        <v>482400</v>
      </c>
      <c r="S4">
        <v>191</v>
      </c>
      <c r="U4" s="33" t="s">
        <v>97</v>
      </c>
      <c r="V4" s="54">
        <f t="shared" si="0"/>
        <v>0</v>
      </c>
    </row>
    <row r="5" spans="1:22" x14ac:dyDescent="0.15">
      <c r="A5" s="33" t="s">
        <v>68</v>
      </c>
      <c r="B5" s="72">
        <v>0</v>
      </c>
      <c r="D5" t="s">
        <v>201</v>
      </c>
      <c r="E5" s="43">
        <f>(B11-H5)/(F5-I5)</f>
        <v>8.955223880597015E-4</v>
      </c>
      <c r="F5">
        <f>(COUNTIF(tables_586100!C:C,input_586100!A28)+COUNTIF(tables_586100!C:C,input_586100!A29))</f>
        <v>72</v>
      </c>
      <c r="H5" s="83">
        <v>1.4999999999999999E-2</v>
      </c>
      <c r="I5" s="31">
        <v>5</v>
      </c>
      <c r="L5" s="95">
        <v>484</v>
      </c>
      <c r="M5" s="37" t="str">
        <f>VLOOKUP(L5,[1]characters!$A:$C,3,FALSE)</f>
        <v>ラグランジュ</v>
      </c>
      <c r="N5" s="76">
        <f t="shared" ref="N5:N6" si="2">(0.375/2)%</f>
        <v>1.8749999999999999E-3</v>
      </c>
      <c r="O5" s="37">
        <f>VLOOKUP(L5,[1]characters!$A:$I,9,FALSE)</f>
        <v>4</v>
      </c>
      <c r="P5" s="37" t="str">
        <f>VLOOKUP(L5,[1]characters!$A:$J,10,FALSE)</f>
        <v>PremiumSSS</v>
      </c>
      <c r="Q5" s="37" t="str">
        <f>VLOOKUP(L5,tables_586100!B:C,2,FALSE)</f>
        <v>PremiumSSS4R3less</v>
      </c>
      <c r="R5" s="62">
        <f t="shared" si="1"/>
        <v>241200</v>
      </c>
      <c r="S5">
        <v>192</v>
      </c>
      <c r="U5" s="33" t="s">
        <v>98</v>
      </c>
      <c r="V5" s="54">
        <f t="shared" si="0"/>
        <v>0</v>
      </c>
    </row>
    <row r="6" spans="1:22" x14ac:dyDescent="0.15">
      <c r="A6" s="33" t="s">
        <v>69</v>
      </c>
      <c r="B6" s="72">
        <v>0.9</v>
      </c>
      <c r="D6" t="s">
        <v>202</v>
      </c>
      <c r="E6" s="76">
        <f>(B10-H6)/(F6-I6)</f>
        <v>9.479166666666667E-3</v>
      </c>
      <c r="F6">
        <f>(COUNTIF(tables_586100!C:C,input_586100!A25)+COUNTIF(tables_586100!C:C,input_586100!A18)+COUNTIF(tables_586100!C:C,input_586100!A20)+COUNTIF(tables_586100!C:C,input_586100!A22))</f>
        <v>96</v>
      </c>
      <c r="H6" s="87">
        <v>0</v>
      </c>
      <c r="I6" s="31">
        <v>0</v>
      </c>
      <c r="L6" s="95">
        <v>485</v>
      </c>
      <c r="M6" s="37" t="str">
        <f>VLOOKUP(L6,[1]characters!$A:$C,3,FALSE)</f>
        <v>超越自我 ラグランジュ</v>
      </c>
      <c r="N6" s="76">
        <f t="shared" si="2"/>
        <v>1.8749999999999999E-3</v>
      </c>
      <c r="O6" s="37">
        <f>VLOOKUP(L6,[1]characters!$A:$I,9,FALSE)</f>
        <v>5</v>
      </c>
      <c r="P6" s="37" t="str">
        <f>VLOOKUP(L6,[1]characters!$A:$J,10,FALSE)</f>
        <v>PremiumSSS</v>
      </c>
      <c r="Q6" s="37" t="str">
        <f>VLOOKUP(L6,tables_586100!B:C,2,FALSE)</f>
        <v>PremiumSSS5R3less</v>
      </c>
      <c r="R6" s="62">
        <f t="shared" si="1"/>
        <v>241200</v>
      </c>
      <c r="S6">
        <v>596</v>
      </c>
      <c r="U6" s="33" t="s">
        <v>99</v>
      </c>
      <c r="V6" s="54">
        <f t="shared" si="0"/>
        <v>0</v>
      </c>
    </row>
    <row r="7" spans="1:22" x14ac:dyDescent="0.15">
      <c r="A7" s="33" t="s">
        <v>70</v>
      </c>
      <c r="B7" s="72">
        <v>0.1</v>
      </c>
      <c r="L7" s="95">
        <v>1159</v>
      </c>
      <c r="M7" s="37" t="str">
        <f>VLOOKUP(L7,[1]characters!$A:$C,3,FALSE)</f>
        <v>ガロア</v>
      </c>
      <c r="N7" s="76">
        <v>3.7499999999999999E-3</v>
      </c>
      <c r="O7" s="37">
        <f>VLOOKUP(L7,[1]characters!$A:$I,9,FALSE)</f>
        <v>5</v>
      </c>
      <c r="P7" s="37" t="str">
        <f>VLOOKUP(L7,[1]characters!$A:$J,10,FALSE)</f>
        <v>PremiumSSS</v>
      </c>
      <c r="Q7" s="37" t="str">
        <f>VLOOKUP(L7,tables_586100!B:C,2,FALSE)</f>
        <v>PremiumSSS5R3less</v>
      </c>
      <c r="R7" s="62">
        <f t="shared" si="1"/>
        <v>482400</v>
      </c>
      <c r="S7">
        <v>597</v>
      </c>
      <c r="U7" s="33" t="s">
        <v>196</v>
      </c>
      <c r="V7" s="54">
        <f t="shared" si="0"/>
        <v>0</v>
      </c>
    </row>
    <row r="8" spans="1:22" x14ac:dyDescent="0.15">
      <c r="A8" s="57"/>
      <c r="B8" s="71"/>
      <c r="E8" s="76"/>
      <c r="L8" s="95"/>
      <c r="M8" s="37" t="e">
        <f>VLOOKUP(L8,[1]characters!$A:$C,3,FALSE)</f>
        <v>#N/A</v>
      </c>
      <c r="N8" s="76"/>
      <c r="O8" s="37" t="e">
        <f>VLOOKUP(L8,[1]characters!$A:$I,9,FALSE)</f>
        <v>#N/A</v>
      </c>
      <c r="P8" s="37" t="e">
        <f>VLOOKUP(L8,[1]characters!$A:$J,10,FALSE)</f>
        <v>#N/A</v>
      </c>
      <c r="Q8" s="37" t="e">
        <f>VLOOKUP(L8,tables_586100!B:C,2,FALSE)</f>
        <v>#N/A</v>
      </c>
      <c r="R8" s="62">
        <f t="shared" si="1"/>
        <v>0</v>
      </c>
      <c r="S8">
        <v>598</v>
      </c>
      <c r="U8" s="33" t="s">
        <v>197</v>
      </c>
      <c r="V8" s="54">
        <f t="shared" si="0"/>
        <v>0</v>
      </c>
    </row>
    <row r="9" spans="1:22" x14ac:dyDescent="0.15">
      <c r="A9" s="35" t="s">
        <v>54</v>
      </c>
      <c r="B9" s="35"/>
      <c r="L9" s="86"/>
      <c r="M9" s="37" t="e">
        <f>VLOOKUP(L9,[1]characters!$A:$C,3,FALSE)</f>
        <v>#N/A</v>
      </c>
      <c r="N9" s="63"/>
      <c r="O9" s="37" t="e">
        <f>VLOOKUP(L9,[1]characters!$A:$I,9,FALSE)</f>
        <v>#N/A</v>
      </c>
      <c r="P9" s="37" t="e">
        <f>VLOOKUP(L9,[1]characters!$A:$J,10,FALSE)</f>
        <v>#N/A</v>
      </c>
      <c r="Q9" s="37" t="e">
        <f>VLOOKUP(L9,tables_586100!B:C,2,FALSE)</f>
        <v>#N/A</v>
      </c>
      <c r="R9" s="62">
        <f t="shared" si="1"/>
        <v>0</v>
      </c>
      <c r="S9">
        <v>390</v>
      </c>
      <c r="U9" s="33" t="s">
        <v>193</v>
      </c>
      <c r="V9" s="54">
        <f t="shared" si="0"/>
        <v>0</v>
      </c>
    </row>
    <row r="10" spans="1:22" x14ac:dyDescent="0.15">
      <c r="A10" s="33" t="s">
        <v>96</v>
      </c>
      <c r="B10" s="72">
        <f>1-B11-B12</f>
        <v>0.91</v>
      </c>
      <c r="C10" t="s">
        <v>208</v>
      </c>
      <c r="L10" s="86"/>
      <c r="M10" s="37" t="e">
        <f>VLOOKUP(L10,[1]characters!$A:$C,3,FALSE)</f>
        <v>#N/A</v>
      </c>
      <c r="N10" s="63"/>
      <c r="O10" s="37" t="e">
        <f>VLOOKUP(L10,[1]characters!$A:$I,9,FALSE)</f>
        <v>#N/A</v>
      </c>
      <c r="P10" s="37" t="e">
        <f>VLOOKUP(L10,[1]characters!$A:$J,10,FALSE)</f>
        <v>#N/A</v>
      </c>
      <c r="Q10" s="37" t="e">
        <f>VLOOKUP(L10,tables_586100!B:C,2,FALSE)</f>
        <v>#N/A</v>
      </c>
      <c r="R10" s="62">
        <f t="shared" si="1"/>
        <v>0</v>
      </c>
      <c r="S10">
        <v>391</v>
      </c>
      <c r="U10" s="33" t="s">
        <v>194</v>
      </c>
      <c r="V10" s="54">
        <f t="shared" si="0"/>
        <v>0</v>
      </c>
    </row>
    <row r="11" spans="1:22" x14ac:dyDescent="0.15">
      <c r="A11" s="33" t="s">
        <v>56</v>
      </c>
      <c r="B11" s="77">
        <v>7.4999999999999997E-2</v>
      </c>
      <c r="C11" t="s">
        <v>242</v>
      </c>
      <c r="L11" s="86"/>
      <c r="M11" s="37" t="e">
        <f>VLOOKUP(L11,[1]characters!$A:$C,3,FALSE)</f>
        <v>#N/A</v>
      </c>
      <c r="N11" s="63"/>
      <c r="O11" s="37" t="e">
        <f>VLOOKUP(L11,[1]characters!$A:$I,9,FALSE)</f>
        <v>#N/A</v>
      </c>
      <c r="P11" s="37" t="e">
        <f>VLOOKUP(L11,[1]characters!$A:$J,10,FALSE)</f>
        <v>#N/A</v>
      </c>
      <c r="Q11" s="37" t="e">
        <f>VLOOKUP(L11,tables_586100!B:C,2,FALSE)</f>
        <v>#N/A</v>
      </c>
      <c r="R11" s="62">
        <f t="shared" si="1"/>
        <v>0</v>
      </c>
      <c r="S11">
        <v>811</v>
      </c>
      <c r="U11" s="33" t="s">
        <v>195</v>
      </c>
      <c r="V11" s="54">
        <f t="shared" si="0"/>
        <v>0</v>
      </c>
    </row>
    <row r="12" spans="1:22" x14ac:dyDescent="0.15">
      <c r="A12" s="33" t="s">
        <v>55</v>
      </c>
      <c r="B12" s="72">
        <v>1.4999999999999999E-2</v>
      </c>
      <c r="M12" s="37" t="e">
        <f>VLOOKUP(L12,[1]characters!$A:$C,3,FALSE)</f>
        <v>#N/A</v>
      </c>
      <c r="N12" s="63"/>
      <c r="O12" s="37" t="e">
        <f>VLOOKUP(L12,[1]characters!$A:$I,9,FALSE)</f>
        <v>#N/A</v>
      </c>
      <c r="P12" s="37" t="e">
        <f>VLOOKUP(L12,[1]characters!$A:$J,10,FALSE)</f>
        <v>#N/A</v>
      </c>
      <c r="Q12" s="37" t="e">
        <f>VLOOKUP(L12,tables_586100!B:C,2,FALSE)</f>
        <v>#N/A</v>
      </c>
      <c r="R12" s="62">
        <f t="shared" si="1"/>
        <v>0</v>
      </c>
      <c r="S12">
        <v>496</v>
      </c>
      <c r="U12" s="33" t="s">
        <v>106</v>
      </c>
      <c r="V12" s="54">
        <f t="shared" si="0"/>
        <v>0</v>
      </c>
    </row>
    <row r="13" spans="1:22" x14ac:dyDescent="0.15">
      <c r="M13" s="37" t="e">
        <f>VLOOKUP(L13,[1]characters!$A:$C,3,FALSE)</f>
        <v>#N/A</v>
      </c>
      <c r="N13" s="63"/>
      <c r="O13" s="37" t="e">
        <f>VLOOKUP(L13,[1]characters!$A:$I,9,FALSE)</f>
        <v>#N/A</v>
      </c>
      <c r="P13" s="37" t="e">
        <f>VLOOKUP(L13,[1]characters!$A:$J,10,FALSE)</f>
        <v>#N/A</v>
      </c>
      <c r="Q13" s="37" t="e">
        <f>VLOOKUP(L13,tables_586100!B:C,2,FALSE)</f>
        <v>#N/A</v>
      </c>
      <c r="R13" s="62">
        <f t="shared" si="1"/>
        <v>0</v>
      </c>
      <c r="S13">
        <v>497</v>
      </c>
      <c r="U13" s="33" t="s">
        <v>107</v>
      </c>
      <c r="V13" s="54">
        <f t="shared" si="0"/>
        <v>0</v>
      </c>
    </row>
    <row r="14" spans="1:22" x14ac:dyDescent="0.15">
      <c r="M14" s="37" t="e">
        <f>VLOOKUP(L14,[1]characters!$A:$C,3,FALSE)</f>
        <v>#N/A</v>
      </c>
      <c r="N14" s="63"/>
      <c r="O14" s="37" t="e">
        <f>VLOOKUP(L14,[1]characters!$A:$I,9,FALSE)</f>
        <v>#N/A</v>
      </c>
      <c r="P14" s="37" t="e">
        <f>VLOOKUP(L14,[1]characters!$A:$J,10,FALSE)</f>
        <v>#N/A</v>
      </c>
      <c r="Q14" s="37" t="e">
        <f>VLOOKUP(L14,tables_586100!B:C,2,FALSE)</f>
        <v>#N/A</v>
      </c>
      <c r="R14" s="62">
        <f t="shared" si="1"/>
        <v>0</v>
      </c>
      <c r="S14">
        <v>498</v>
      </c>
      <c r="U14" s="33" t="s">
        <v>199</v>
      </c>
      <c r="V14" s="54">
        <f t="shared" si="0"/>
        <v>0</v>
      </c>
    </row>
    <row r="15" spans="1:22" x14ac:dyDescent="0.15">
      <c r="A15" s="36" t="s">
        <v>57</v>
      </c>
      <c r="B15" s="36"/>
      <c r="C15" t="s">
        <v>83</v>
      </c>
      <c r="M15" s="37" t="e">
        <f>VLOOKUP(L15,[1]characters!$A:$C,3,FALSE)</f>
        <v>#N/A</v>
      </c>
      <c r="N15" s="63"/>
      <c r="O15" s="37" t="e">
        <f>VLOOKUP(L15,[1]characters!$A:$I,9,FALSE)</f>
        <v>#N/A</v>
      </c>
      <c r="P15" s="37" t="e">
        <f>VLOOKUP(L15,[1]characters!$A:$J,10,FALSE)</f>
        <v>#N/A</v>
      </c>
      <c r="Q15" s="37" t="e">
        <f>VLOOKUP(L15,tables_586100!B:C,2,FALSE)</f>
        <v>#N/A</v>
      </c>
      <c r="R15" s="62">
        <f t="shared" si="1"/>
        <v>0</v>
      </c>
      <c r="S15">
        <v>395</v>
      </c>
      <c r="U15" s="33" t="s">
        <v>198</v>
      </c>
      <c r="V15" s="54">
        <f t="shared" si="0"/>
        <v>0</v>
      </c>
    </row>
    <row r="16" spans="1:22" x14ac:dyDescent="0.15">
      <c r="A16" s="33" t="s">
        <v>60</v>
      </c>
      <c r="B16" s="33" t="s">
        <v>192</v>
      </c>
      <c r="C16" s="37" t="s">
        <v>61</v>
      </c>
      <c r="D16" s="37" t="s">
        <v>62</v>
      </c>
      <c r="E16" t="s">
        <v>72</v>
      </c>
      <c r="F16" t="s">
        <v>71</v>
      </c>
      <c r="G16" t="s">
        <v>74</v>
      </c>
      <c r="H16" t="s">
        <v>212</v>
      </c>
      <c r="I16" t="s">
        <v>75</v>
      </c>
      <c r="J16" t="s">
        <v>77</v>
      </c>
      <c r="M16" s="37" t="e">
        <f>VLOOKUP(L16,[1]characters!$A:$C,3,FALSE)</f>
        <v>#N/A</v>
      </c>
      <c r="N16" s="63"/>
      <c r="O16" s="37" t="e">
        <f>VLOOKUP(L16,[1]characters!$A:$I,9,FALSE)</f>
        <v>#N/A</v>
      </c>
      <c r="P16" s="37" t="e">
        <f>VLOOKUP(L16,[1]characters!$A:$J,10,FALSE)</f>
        <v>#N/A</v>
      </c>
      <c r="Q16" s="37" t="e">
        <f>VLOOKUP(L16,tables_586100!B:C,2,FALSE)</f>
        <v>#N/A</v>
      </c>
      <c r="R16" s="62">
        <f t="shared" si="1"/>
        <v>0</v>
      </c>
      <c r="S16">
        <v>396</v>
      </c>
      <c r="U16" s="33" t="s">
        <v>108</v>
      </c>
      <c r="V16" s="54">
        <f t="shared" si="0"/>
        <v>0</v>
      </c>
    </row>
    <row r="17" spans="1:19" x14ac:dyDescent="0.15">
      <c r="A17" s="33" t="s">
        <v>190</v>
      </c>
      <c r="B17" s="81">
        <f>B$5-B19-B24</f>
        <v>0</v>
      </c>
      <c r="C17" s="98">
        <f t="shared" ref="C17:C31" si="3">SUMIF(Q:Q,A17,N:N)</f>
        <v>0</v>
      </c>
      <c r="D17" s="74">
        <f t="shared" ref="D17:D32" si="4">B17-C17</f>
        <v>0</v>
      </c>
      <c r="E17">
        <f>COUNTIF(tables_586100!C:C,input_586100!A17)-COUNTIF(Q:Q,A17)</f>
        <v>20</v>
      </c>
      <c r="F17" s="43">
        <f>IFERROR(B17/E17,0)</f>
        <v>0</v>
      </c>
      <c r="G17">
        <f t="shared" ref="G17:G31" si="5">A$36*B17</f>
        <v>0</v>
      </c>
      <c r="H17">
        <f t="shared" ref="H17:H31" si="6">IFERROR(ROUND(G17/E17,5),0)</f>
        <v>0</v>
      </c>
      <c r="I17">
        <f t="shared" ref="I17:I31" si="7">MOD(H17,1)</f>
        <v>0</v>
      </c>
      <c r="J17">
        <f t="shared" ref="J17:J31" si="8">IFERROR(1/I17,1)</f>
        <v>1</v>
      </c>
      <c r="M17" s="37" t="e">
        <f>VLOOKUP(L17,[1]characters!$A:$C,3,FALSE)</f>
        <v>#N/A</v>
      </c>
      <c r="N17" s="63"/>
      <c r="O17" s="37" t="e">
        <f>VLOOKUP(L17,[1]characters!$A:$I,9,FALSE)</f>
        <v>#N/A</v>
      </c>
      <c r="P17" s="37" t="e">
        <f>VLOOKUP(L17,[1]characters!$A:$J,10,FALSE)</f>
        <v>#N/A</v>
      </c>
      <c r="Q17" s="37" t="e">
        <f>VLOOKUP(L17,tables_586100!B:C,2,FALSE)</f>
        <v>#N/A</v>
      </c>
      <c r="R17" s="62">
        <f t="shared" si="1"/>
        <v>0</v>
      </c>
      <c r="S17">
        <v>397</v>
      </c>
    </row>
    <row r="18" spans="1:19" x14ac:dyDescent="0.15">
      <c r="A18" s="33" t="s">
        <v>191</v>
      </c>
      <c r="B18" s="56">
        <f>B6-SUM(B20,B22,B25,B27,B30)-C30</f>
        <v>0.21793750000000009</v>
      </c>
      <c r="C18" s="98">
        <f t="shared" si="3"/>
        <v>0</v>
      </c>
      <c r="D18" s="74">
        <f t="shared" si="4"/>
        <v>0.21793750000000009</v>
      </c>
      <c r="E18">
        <f>COUNTIF(tables_586100!C:C,input_586100!A18)-COUNTIF(Q:Q,A18)</f>
        <v>20</v>
      </c>
      <c r="F18" s="43">
        <f>IFERROR(B18/E18,0)</f>
        <v>1.0896875000000004E-2</v>
      </c>
      <c r="G18">
        <f t="shared" si="5"/>
        <v>28035480.000000011</v>
      </c>
      <c r="H18">
        <f t="shared" si="6"/>
        <v>1401774</v>
      </c>
      <c r="I18">
        <f t="shared" si="7"/>
        <v>0</v>
      </c>
      <c r="J18">
        <f t="shared" si="8"/>
        <v>1</v>
      </c>
      <c r="M18" s="37" t="e">
        <f>VLOOKUP(L18,[1]characters!$A:$C,3,FALSE)</f>
        <v>#N/A</v>
      </c>
      <c r="N18" s="63"/>
      <c r="O18" s="37" t="e">
        <f>VLOOKUP(L18,[1]characters!$A:$I,9,FALSE)</f>
        <v>#N/A</v>
      </c>
      <c r="P18" s="37" t="e">
        <f>VLOOKUP(L18,[1]characters!$A:$J,10,FALSE)</f>
        <v>#N/A</v>
      </c>
      <c r="Q18" s="37" t="e">
        <f>VLOOKUP(L18,tables_586100!B:C,2,FALSE)</f>
        <v>#N/A</v>
      </c>
      <c r="R18" s="62">
        <f t="shared" si="1"/>
        <v>0</v>
      </c>
      <c r="S18">
        <v>324</v>
      </c>
    </row>
    <row r="19" spans="1:19" x14ac:dyDescent="0.15">
      <c r="A19" s="33" t="s">
        <v>97</v>
      </c>
      <c r="B19" s="56">
        <f>E$6*E19*B$5</f>
        <v>0</v>
      </c>
      <c r="C19" s="98">
        <f t="shared" si="3"/>
        <v>0</v>
      </c>
      <c r="D19" s="74">
        <f t="shared" si="4"/>
        <v>0</v>
      </c>
      <c r="E19">
        <f>COUNTIF(tables_586100!C:C,input_586100!A19)-COUNTIF(Q:Q,A19)</f>
        <v>52</v>
      </c>
      <c r="F19" s="43">
        <f t="shared" ref="F19:F31" si="9">IFERROR(B19/E19,0)</f>
        <v>0</v>
      </c>
      <c r="G19">
        <f t="shared" si="5"/>
        <v>0</v>
      </c>
      <c r="H19">
        <f t="shared" si="6"/>
        <v>0</v>
      </c>
      <c r="I19">
        <f t="shared" si="7"/>
        <v>0</v>
      </c>
      <c r="J19">
        <f t="shared" si="8"/>
        <v>1</v>
      </c>
      <c r="M19" s="37" t="e">
        <f>VLOOKUP(L19,[1]characters!$A:$C,3,FALSE)</f>
        <v>#N/A</v>
      </c>
      <c r="N19" s="63"/>
      <c r="O19" s="37" t="e">
        <f>VLOOKUP(L19,[1]characters!$A:$I,9,FALSE)</f>
        <v>#N/A</v>
      </c>
      <c r="P19" s="37" t="e">
        <f>VLOOKUP(L19,[1]characters!$A:$J,10,FALSE)</f>
        <v>#N/A</v>
      </c>
      <c r="Q19" s="37" t="e">
        <f>VLOOKUP(L19,tables_586100!B:C,2,FALSE)</f>
        <v>#N/A</v>
      </c>
      <c r="R19" s="62">
        <f t="shared" si="1"/>
        <v>0</v>
      </c>
      <c r="S19">
        <v>325</v>
      </c>
    </row>
    <row r="20" spans="1:19" x14ac:dyDescent="0.15">
      <c r="A20" s="33" t="s">
        <v>98</v>
      </c>
      <c r="B20" s="90">
        <f>E$6*E20*B$6</f>
        <v>0.44362499999999999</v>
      </c>
      <c r="C20" s="98">
        <f t="shared" si="3"/>
        <v>0</v>
      </c>
      <c r="D20" s="74">
        <f t="shared" si="4"/>
        <v>0.44362499999999999</v>
      </c>
      <c r="E20">
        <f>COUNTIF(tables_586100!C:C,input_586100!A20)-COUNTIF(Q:Q,A20)</f>
        <v>52</v>
      </c>
      <c r="F20" s="43">
        <f t="shared" si="9"/>
        <v>8.5312500000000006E-3</v>
      </c>
      <c r="G20">
        <f t="shared" si="5"/>
        <v>57067920</v>
      </c>
      <c r="H20">
        <f t="shared" si="6"/>
        <v>1097460</v>
      </c>
      <c r="I20">
        <f t="shared" si="7"/>
        <v>0</v>
      </c>
      <c r="J20">
        <f t="shared" si="8"/>
        <v>1</v>
      </c>
      <c r="M20" s="37" t="e">
        <f>VLOOKUP(L20,[1]characters!$A:$C,3,FALSE)</f>
        <v>#N/A</v>
      </c>
      <c r="N20" s="63"/>
      <c r="O20" s="37" t="e">
        <f>VLOOKUP(L20,[1]characters!$A:$I,9,FALSE)</f>
        <v>#N/A</v>
      </c>
      <c r="P20" s="37" t="e">
        <f>VLOOKUP(L20,[1]characters!$A:$J,10,FALSE)</f>
        <v>#N/A</v>
      </c>
      <c r="Q20" s="37" t="e">
        <f>VLOOKUP(L20,tables_586100!B:C,2,FALSE)</f>
        <v>#N/A</v>
      </c>
      <c r="R20" s="62">
        <f t="shared" si="1"/>
        <v>0</v>
      </c>
      <c r="S20">
        <v>809</v>
      </c>
    </row>
    <row r="21" spans="1:19" x14ac:dyDescent="0.15">
      <c r="A21" s="33" t="s">
        <v>99</v>
      </c>
      <c r="B21" s="56">
        <f>B7-B23-B26-B28-B29-C31</f>
        <v>2.0937499999999998E-2</v>
      </c>
      <c r="C21" s="98">
        <f t="shared" si="3"/>
        <v>0</v>
      </c>
      <c r="D21" s="74">
        <f t="shared" si="4"/>
        <v>2.0937499999999998E-2</v>
      </c>
      <c r="E21">
        <f>COUNTIF(tables_586100!C:C,input_586100!A21)-COUNTIF(Q:Q,A21)</f>
        <v>52</v>
      </c>
      <c r="F21" s="43">
        <f t="shared" si="9"/>
        <v>4.0264423076923073E-4</v>
      </c>
      <c r="G21">
        <f t="shared" si="5"/>
        <v>2693399.9999999995</v>
      </c>
      <c r="H21">
        <f t="shared" si="6"/>
        <v>51796.153850000002</v>
      </c>
      <c r="I21">
        <f t="shared" si="7"/>
        <v>0.15385000000242144</v>
      </c>
      <c r="J21">
        <f t="shared" si="8"/>
        <v>6.499837503960098</v>
      </c>
      <c r="L21" s="57"/>
      <c r="M21" s="57"/>
      <c r="N21" s="58"/>
      <c r="O21" s="57"/>
      <c r="P21" s="57"/>
      <c r="Q21" s="57"/>
      <c r="R21" s="59"/>
    </row>
    <row r="22" spans="1:19" x14ac:dyDescent="0.15">
      <c r="A22" s="33" t="s">
        <v>196</v>
      </c>
      <c r="B22" s="75">
        <f>E$6*E22-B23</f>
        <v>0.16493749999999999</v>
      </c>
      <c r="C22" s="98">
        <f t="shared" si="3"/>
        <v>0</v>
      </c>
      <c r="D22" s="74">
        <f t="shared" si="4"/>
        <v>0.16493749999999999</v>
      </c>
      <c r="E22">
        <f>COUNTIF(tables_586100!C:C,input_586100!A22)-COUNTIF(Q:Q,A22)</f>
        <v>20</v>
      </c>
      <c r="F22" s="43">
        <f t="shared" si="9"/>
        <v>8.246874999999999E-3</v>
      </c>
      <c r="G22">
        <f t="shared" si="5"/>
        <v>21217560</v>
      </c>
      <c r="H22">
        <f t="shared" si="6"/>
        <v>1060878</v>
      </c>
      <c r="I22">
        <f t="shared" si="7"/>
        <v>0</v>
      </c>
      <c r="J22">
        <f t="shared" si="8"/>
        <v>1</v>
      </c>
      <c r="L22" s="57"/>
      <c r="M22" s="57"/>
      <c r="N22" s="58"/>
      <c r="O22" s="57"/>
      <c r="P22" s="57"/>
      <c r="Q22" s="57"/>
      <c r="R22" s="59"/>
    </row>
    <row r="23" spans="1:19" x14ac:dyDescent="0.15">
      <c r="A23" s="33" t="s">
        <v>197</v>
      </c>
      <c r="B23" s="70">
        <f>E23*E6*B7</f>
        <v>2.4645833333333336E-2</v>
      </c>
      <c r="C23" s="98">
        <f t="shared" si="3"/>
        <v>0</v>
      </c>
      <c r="D23" s="74">
        <f t="shared" si="4"/>
        <v>2.4645833333333336E-2</v>
      </c>
      <c r="E23">
        <f>COUNTIF(tables_586100!C:C,input_586100!A23)-COUNTIF(Q:Q,A23)</f>
        <v>26</v>
      </c>
      <c r="F23" s="43">
        <f t="shared" si="9"/>
        <v>9.4791666666666679E-4</v>
      </c>
      <c r="G23">
        <f t="shared" si="5"/>
        <v>3170440.0000000005</v>
      </c>
      <c r="H23">
        <f t="shared" si="6"/>
        <v>121940</v>
      </c>
      <c r="I23">
        <f t="shared" si="7"/>
        <v>0</v>
      </c>
      <c r="J23">
        <f t="shared" si="8"/>
        <v>1</v>
      </c>
      <c r="L23" s="57"/>
      <c r="M23" s="57"/>
      <c r="N23" s="58"/>
      <c r="O23" s="57"/>
      <c r="P23" s="57"/>
      <c r="Q23" s="57"/>
      <c r="R23" s="59"/>
    </row>
    <row r="24" spans="1:19" x14ac:dyDescent="0.15">
      <c r="A24" s="33" t="s">
        <v>193</v>
      </c>
      <c r="B24" s="56">
        <f>E$6*E24*B$5</f>
        <v>0</v>
      </c>
      <c r="C24" s="98">
        <f t="shared" si="3"/>
        <v>0</v>
      </c>
      <c r="D24" s="74">
        <f t="shared" si="4"/>
        <v>0</v>
      </c>
      <c r="E24">
        <f>COUNTIF(tables_586100!C:C,input_586100!A24)-COUNTIF(Q:Q,A24)</f>
        <v>4</v>
      </c>
      <c r="F24" s="43">
        <f t="shared" si="9"/>
        <v>0</v>
      </c>
      <c r="G24">
        <f t="shared" si="5"/>
        <v>0</v>
      </c>
      <c r="H24">
        <f t="shared" si="6"/>
        <v>0</v>
      </c>
      <c r="I24">
        <f t="shared" si="7"/>
        <v>0</v>
      </c>
      <c r="J24">
        <f t="shared" si="8"/>
        <v>1</v>
      </c>
      <c r="L24" s="57"/>
      <c r="M24" s="57"/>
      <c r="N24" s="58"/>
      <c r="O24" s="57"/>
      <c r="P24" s="57"/>
      <c r="Q24" s="57"/>
      <c r="R24" s="59"/>
    </row>
    <row r="25" spans="1:19" x14ac:dyDescent="0.15">
      <c r="A25" s="33" t="s">
        <v>194</v>
      </c>
      <c r="B25" s="56">
        <f>E$6*B$6*E25</f>
        <v>3.4125000000000003E-2</v>
      </c>
      <c r="C25" s="98">
        <f t="shared" si="3"/>
        <v>0</v>
      </c>
      <c r="D25" s="74">
        <f t="shared" si="4"/>
        <v>3.4125000000000003E-2</v>
      </c>
      <c r="E25">
        <f>COUNTIF(tables_586100!C:C,input_586100!A25)-COUNTIF(Q:Q,A25)</f>
        <v>4</v>
      </c>
      <c r="F25" s="43">
        <f t="shared" si="9"/>
        <v>8.5312500000000006E-3</v>
      </c>
      <c r="G25">
        <f t="shared" si="5"/>
        <v>4389840</v>
      </c>
      <c r="H25">
        <f t="shared" si="6"/>
        <v>1097460</v>
      </c>
      <c r="I25">
        <f t="shared" si="7"/>
        <v>0</v>
      </c>
      <c r="J25">
        <f t="shared" si="8"/>
        <v>1</v>
      </c>
      <c r="L25" s="57"/>
      <c r="M25" s="57"/>
      <c r="N25" s="58"/>
      <c r="O25" s="57"/>
      <c r="P25" s="57"/>
      <c r="Q25" s="57"/>
      <c r="R25" s="59"/>
    </row>
    <row r="26" spans="1:19" x14ac:dyDescent="0.15">
      <c r="A26" s="33" t="s">
        <v>195</v>
      </c>
      <c r="B26" s="56">
        <f>E$6*B$7*E26</f>
        <v>3.7916666666666671E-3</v>
      </c>
      <c r="C26" s="98">
        <f t="shared" si="3"/>
        <v>0</v>
      </c>
      <c r="D26" s="74">
        <f t="shared" si="4"/>
        <v>3.7916666666666671E-3</v>
      </c>
      <c r="E26">
        <f>COUNTIF(tables_586100!C:C,input_586100!A26)-COUNTIF(Q:Q,A26)</f>
        <v>4</v>
      </c>
      <c r="F26" s="43">
        <f t="shared" si="9"/>
        <v>9.4791666666666679E-4</v>
      </c>
      <c r="G26">
        <f t="shared" si="5"/>
        <v>487760.00000000006</v>
      </c>
      <c r="H26">
        <f t="shared" si="6"/>
        <v>121940</v>
      </c>
      <c r="I26">
        <f t="shared" si="7"/>
        <v>0</v>
      </c>
      <c r="J26">
        <f t="shared" si="8"/>
        <v>1</v>
      </c>
      <c r="L26" s="57"/>
      <c r="M26" s="57"/>
      <c r="N26" s="58"/>
      <c r="O26" s="57"/>
      <c r="P26" s="57"/>
      <c r="Q26" s="57"/>
      <c r="R26" s="59"/>
    </row>
    <row r="27" spans="1:19" x14ac:dyDescent="0.15">
      <c r="A27" s="33" t="s">
        <v>106</v>
      </c>
      <c r="B27" s="96">
        <f>B11-B28-B29-C28-C27</f>
        <v>3.7499999999999992E-2</v>
      </c>
      <c r="C27" s="98">
        <f t="shared" si="3"/>
        <v>0</v>
      </c>
      <c r="D27" s="74">
        <f t="shared" si="4"/>
        <v>3.7499999999999992E-2</v>
      </c>
      <c r="E27">
        <f>COUNTIF(tables_586100!C:C,input_586100!A27)-COUNTIF(Q:Q,A27)</f>
        <v>28</v>
      </c>
      <c r="F27" s="43">
        <f>IFERROR(B27/E27,0)</f>
        <v>1.3392857142857141E-3</v>
      </c>
      <c r="G27">
        <f t="shared" si="5"/>
        <v>4823999.9999999991</v>
      </c>
      <c r="H27">
        <f t="shared" si="6"/>
        <v>172285.71429</v>
      </c>
      <c r="I27">
        <f t="shared" si="7"/>
        <v>0.71429000000352971</v>
      </c>
      <c r="J27">
        <f t="shared" si="8"/>
        <v>1.3999916000434816</v>
      </c>
      <c r="L27" s="57"/>
      <c r="M27" s="57"/>
      <c r="N27" s="58"/>
      <c r="O27" s="57"/>
      <c r="P27" s="57"/>
      <c r="Q27" s="57"/>
      <c r="R27" s="59"/>
    </row>
    <row r="28" spans="1:19" x14ac:dyDescent="0.15">
      <c r="A28" s="33" t="s">
        <v>107</v>
      </c>
      <c r="B28" s="56">
        <f>B11/2*E28/(SUM(E28:E29))</f>
        <v>1.4583333333333334E-2</v>
      </c>
      <c r="C28" s="98">
        <f t="shared" si="3"/>
        <v>0</v>
      </c>
      <c r="D28" s="74">
        <f t="shared" si="4"/>
        <v>1.4583333333333334E-2</v>
      </c>
      <c r="E28">
        <f>COUNTIF(tables_586100!C:C,input_586100!A28)-COUNTIF(Q:Q,A28)</f>
        <v>28</v>
      </c>
      <c r="F28" s="43">
        <f t="shared" si="9"/>
        <v>5.2083333333333333E-4</v>
      </c>
      <c r="G28">
        <f t="shared" si="5"/>
        <v>1876000</v>
      </c>
      <c r="H28">
        <f t="shared" si="6"/>
        <v>67000</v>
      </c>
      <c r="I28">
        <f t="shared" si="7"/>
        <v>0</v>
      </c>
      <c r="J28">
        <f t="shared" si="8"/>
        <v>1</v>
      </c>
      <c r="L28" s="57"/>
      <c r="M28" s="57"/>
      <c r="N28" s="58"/>
      <c r="O28" s="57"/>
      <c r="P28" s="57"/>
      <c r="Q28" s="57"/>
      <c r="R28" s="59"/>
    </row>
    <row r="29" spans="1:19" x14ac:dyDescent="0.15">
      <c r="A29" s="33" t="s">
        <v>199</v>
      </c>
      <c r="B29" s="56">
        <f>B11/2*E29/(SUM(E28:E29))</f>
        <v>2.2916666666666665E-2</v>
      </c>
      <c r="C29" s="98">
        <f t="shared" si="3"/>
        <v>0</v>
      </c>
      <c r="D29" s="74">
        <f t="shared" si="4"/>
        <v>2.2916666666666665E-2</v>
      </c>
      <c r="E29">
        <f>COUNTIF(tables_586100!C:C,input_586100!A29)-COUNTIF(Q:Q,A29)</f>
        <v>44</v>
      </c>
      <c r="F29" s="43">
        <f t="shared" si="9"/>
        <v>5.2083333333333333E-4</v>
      </c>
      <c r="G29">
        <f t="shared" si="5"/>
        <v>2948000</v>
      </c>
      <c r="H29">
        <f t="shared" si="6"/>
        <v>67000</v>
      </c>
      <c r="I29">
        <f t="shared" si="7"/>
        <v>0</v>
      </c>
      <c r="J29">
        <f t="shared" si="8"/>
        <v>1</v>
      </c>
      <c r="L29" s="57"/>
      <c r="M29" s="57"/>
      <c r="N29" s="58"/>
      <c r="O29" s="57"/>
      <c r="P29" s="57"/>
      <c r="Q29" s="57"/>
      <c r="R29" s="59"/>
    </row>
    <row r="30" spans="1:19" x14ac:dyDescent="0.15">
      <c r="A30" s="33" t="s">
        <v>239</v>
      </c>
      <c r="B30" s="56">
        <f>0</f>
        <v>0</v>
      </c>
      <c r="C30" s="98">
        <f t="shared" si="3"/>
        <v>1.8749999999999999E-3</v>
      </c>
      <c r="D30" s="74">
        <f t="shared" si="4"/>
        <v>-1.8749999999999999E-3</v>
      </c>
      <c r="E30">
        <f>COUNTIF(tables_586100!C:C,input_586100!A30)-COUNTIF(Q:Q,A30)</f>
        <v>0</v>
      </c>
      <c r="F30" s="43">
        <f t="shared" si="9"/>
        <v>0</v>
      </c>
      <c r="G30">
        <f t="shared" si="5"/>
        <v>0</v>
      </c>
      <c r="H30">
        <f t="shared" si="6"/>
        <v>0</v>
      </c>
      <c r="I30">
        <f t="shared" si="7"/>
        <v>0</v>
      </c>
      <c r="J30">
        <f t="shared" si="8"/>
        <v>1</v>
      </c>
      <c r="L30" s="57"/>
      <c r="M30" s="57"/>
      <c r="N30" s="58"/>
      <c r="O30" s="57"/>
      <c r="P30" s="57"/>
      <c r="Q30" s="57"/>
      <c r="R30" s="59"/>
    </row>
    <row r="31" spans="1:19" x14ac:dyDescent="0.15">
      <c r="A31" s="33" t="s">
        <v>240</v>
      </c>
      <c r="B31" s="56">
        <v>0</v>
      </c>
      <c r="C31" s="98">
        <f t="shared" si="3"/>
        <v>1.3125E-2</v>
      </c>
      <c r="D31" s="74">
        <f t="shared" si="4"/>
        <v>-1.3125E-2</v>
      </c>
      <c r="E31">
        <f>COUNTIF(tables_586100!C:C,input_586100!A31)-COUNTIF(Q:Q,A31)</f>
        <v>0</v>
      </c>
      <c r="F31" s="43">
        <f t="shared" si="9"/>
        <v>0</v>
      </c>
      <c r="G31">
        <f t="shared" si="5"/>
        <v>0</v>
      </c>
      <c r="H31">
        <f t="shared" si="6"/>
        <v>0</v>
      </c>
      <c r="I31">
        <f t="shared" si="7"/>
        <v>0</v>
      </c>
      <c r="J31">
        <f t="shared" si="8"/>
        <v>1</v>
      </c>
      <c r="L31" s="57"/>
      <c r="M31" s="57"/>
      <c r="N31" s="58"/>
      <c r="O31" s="57"/>
      <c r="P31" s="57"/>
      <c r="Q31" s="57"/>
      <c r="R31" s="59"/>
    </row>
    <row r="32" spans="1:19" x14ac:dyDescent="0.15">
      <c r="A32" s="39" t="s">
        <v>59</v>
      </c>
      <c r="B32" s="40">
        <f>SUM(B17:B31)</f>
        <v>0.98499999999999999</v>
      </c>
      <c r="C32" s="41">
        <f>SUM(C19:C31)</f>
        <v>1.4999999999999999E-2</v>
      </c>
      <c r="D32" s="42">
        <f t="shared" si="4"/>
        <v>0.97</v>
      </c>
      <c r="L32" s="57"/>
      <c r="M32" s="57"/>
      <c r="N32" s="57"/>
      <c r="O32" s="57"/>
      <c r="P32" s="57"/>
      <c r="Q32" s="57"/>
      <c r="R32" s="59"/>
    </row>
    <row r="34" spans="1:7" x14ac:dyDescent="0.15">
      <c r="E34" s="55"/>
      <c r="F34" s="55"/>
    </row>
    <row r="35" spans="1:7" x14ac:dyDescent="0.15">
      <c r="A35" t="s">
        <v>73</v>
      </c>
      <c r="F35" s="93"/>
    </row>
    <row r="36" spans="1:7" x14ac:dyDescent="0.15">
      <c r="A36" s="31">
        <f>LCM(F5-I5,F6-I6)*1000*2*2*5</f>
        <v>128640000</v>
      </c>
    </row>
    <row r="38" spans="1:7" x14ac:dyDescent="0.15">
      <c r="A38" s="47" t="s">
        <v>76</v>
      </c>
    </row>
    <row r="39" spans="1:7" x14ac:dyDescent="0.15">
      <c r="A39" s="33" t="s">
        <v>60</v>
      </c>
      <c r="B39" t="s">
        <v>74</v>
      </c>
      <c r="C39" t="s">
        <v>100</v>
      </c>
      <c r="E39" t="s">
        <v>101</v>
      </c>
      <c r="F39" t="s">
        <v>2</v>
      </c>
      <c r="G39" t="s">
        <v>63</v>
      </c>
    </row>
    <row r="40" spans="1:7" x14ac:dyDescent="0.15">
      <c r="A40" s="33" t="s">
        <v>103</v>
      </c>
      <c r="B40">
        <f ca="1">SUMIF(tables_586100!C:C,input_586100!A40,tables_586100!O:O)</f>
        <v>0</v>
      </c>
      <c r="C40" s="54">
        <f t="shared" ref="C40:C46" ca="1" si="10">B40/B$47</f>
        <v>0</v>
      </c>
      <c r="E40">
        <v>3</v>
      </c>
      <c r="F40">
        <f ca="1">SUMIF(tables_586100!J:J,input_586100!E40,tables_586100!O:O)</f>
        <v>0</v>
      </c>
      <c r="G40">
        <f ca="1">F40/A36</f>
        <v>0</v>
      </c>
    </row>
    <row r="41" spans="1:7" x14ac:dyDescent="0.15">
      <c r="A41" s="33" t="s">
        <v>104</v>
      </c>
      <c r="B41">
        <f ca="1">SUMIF(tables_586100!C:C,input_586100!A41,tables_586100!O:O)</f>
        <v>57067920</v>
      </c>
      <c r="C41" s="54">
        <f t="shared" ca="1" si="10"/>
        <v>0.85866365578843806</v>
      </c>
      <c r="E41">
        <v>4</v>
      </c>
      <c r="F41">
        <f ca="1">SUMIF(tables_586100!J:J,input_586100!E41,tables_586100!O:O)</f>
        <v>115776000.00011986</v>
      </c>
      <c r="G41">
        <f ca="1">F41/A36</f>
        <v>0.90000000000093183</v>
      </c>
    </row>
    <row r="42" spans="1:7" x14ac:dyDescent="0.15">
      <c r="A42" s="33" t="s">
        <v>106</v>
      </c>
      <c r="B42">
        <f ca="1">SUMIF(tables_586100!C:C,input_586100!A42,tables_586100!O:O)</f>
        <v>4824000.0001199991</v>
      </c>
      <c r="C42" s="54">
        <f t="shared" ca="1" si="10"/>
        <v>7.2583571919678583E-2</v>
      </c>
      <c r="E42">
        <v>5</v>
      </c>
      <c r="F42">
        <f ca="1">SUMIF(tables_586100!J:J,input_586100!E42,tables_586100!O:O)</f>
        <v>12864000.000200002</v>
      </c>
      <c r="G42">
        <f ca="1">F42/A36</f>
        <v>0.10000000000155473</v>
      </c>
    </row>
    <row r="43" spans="1:7" x14ac:dyDescent="0.15">
      <c r="A43" s="33" t="s">
        <v>109</v>
      </c>
      <c r="B43">
        <f>SUMIF(tables_586100!C:C,input_586100!A43,tables_586100!O:O)</f>
        <v>0</v>
      </c>
      <c r="C43" s="54">
        <f t="shared" ca="1" si="10"/>
        <v>0</v>
      </c>
      <c r="F43" s="55"/>
    </row>
    <row r="44" spans="1:7" x14ac:dyDescent="0.15">
      <c r="A44" s="33" t="s">
        <v>105</v>
      </c>
      <c r="B44">
        <f ca="1">SUMIF(tables_586100!C:C,input_586100!A44,tables_586100!O:O)</f>
        <v>2693400.0001999964</v>
      </c>
      <c r="C44" s="54">
        <f t="shared" ca="1" si="10"/>
        <v>4.0525827657154991E-2</v>
      </c>
      <c r="E44" t="s">
        <v>54</v>
      </c>
      <c r="F44" s="55"/>
    </row>
    <row r="45" spans="1:7" x14ac:dyDescent="0.15">
      <c r="A45" s="33" t="s">
        <v>107</v>
      </c>
      <c r="B45">
        <f ca="1">SUMIF(tables_586100!C:C,input_586100!A45,tables_586100!O:O)</f>
        <v>1876000</v>
      </c>
      <c r="C45" s="54">
        <f t="shared" ca="1" si="10"/>
        <v>2.8226944634728402E-2</v>
      </c>
      <c r="E45" t="s">
        <v>204</v>
      </c>
      <c r="F45" s="55">
        <f ca="1">SUMIF(tables_586100!I:I,input_586100!E45,tables_586100!P:P)</f>
        <v>0.22362499999944399</v>
      </c>
    </row>
    <row r="46" spans="1:7" x14ac:dyDescent="0.15">
      <c r="A46" s="33" t="s">
        <v>108</v>
      </c>
      <c r="B46">
        <f>SUMIF(tables_586100!C:C,input_586100!A46,tables_586100!O:O)</f>
        <v>0</v>
      </c>
      <c r="C46" s="54">
        <f t="shared" ca="1" si="10"/>
        <v>0</v>
      </c>
      <c r="E46" t="s">
        <v>205</v>
      </c>
      <c r="F46" s="55">
        <f ca="1">SUMIF(tables_586100!I:I,input_586100!E46,tables_586100!P:P)</f>
        <v>0.18031370192313689</v>
      </c>
    </row>
    <row r="47" spans="1:7" x14ac:dyDescent="0.15">
      <c r="A47" s="39" t="s">
        <v>59</v>
      </c>
      <c r="B47">
        <f ca="1">SUM(B40:B46)</f>
        <v>66461320.000319995</v>
      </c>
      <c r="C47" s="55">
        <f ca="1">SUM(C40:C46)</f>
        <v>1</v>
      </c>
      <c r="E47" t="s">
        <v>206</v>
      </c>
      <c r="F47" s="55">
        <f ca="1">SUMIF(tables_586100!I:I,input_586100!E47,tables_586100!P:P)</f>
        <v>0.50606129807671163</v>
      </c>
    </row>
    <row r="48" spans="1:7" x14ac:dyDescent="0.15">
      <c r="E48" t="s">
        <v>207</v>
      </c>
      <c r="F48" s="55">
        <f ca="1">SUMIF(tables_586100!I:I,input_586100!E48,tables_586100!P:P)</f>
        <v>7.0312500000758116E-2</v>
      </c>
      <c r="G48" s="55"/>
    </row>
    <row r="49" spans="5:6" x14ac:dyDescent="0.15">
      <c r="E49" t="s">
        <v>248</v>
      </c>
      <c r="F49" s="55">
        <f ca="1">SUMIF(tables_586100!I:I,input_586100!E49,tables_586100!P:P)</f>
        <v>4.6874999999883451E-3</v>
      </c>
    </row>
    <row r="50" spans="5:6" x14ac:dyDescent="0.15">
      <c r="E50" t="s">
        <v>250</v>
      </c>
      <c r="F50" s="55">
        <f ca="1">SUMIF(tables_586100!I:I,input_586100!E50,tables_586100!P:P)</f>
        <v>1.4999999999962705E-2</v>
      </c>
    </row>
  </sheetData>
  <phoneticPr fontId="22"/>
  <pageMargins left="0.7" right="0.7" top="0.75" bottom="0.75" header="0.3" footer="0.3"/>
  <pageSetup paperSize="9" orientation="portrait" horizontalDpi="4294967292" verticalDpi="4294967292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0" enableFormatConditionsCalculation="0">
    <tabColor rgb="FF0000FF"/>
    <outlinePr summaryBelow="0" summaryRight="0"/>
  </sheetPr>
  <dimension ref="A1:V360"/>
  <sheetViews>
    <sheetView showGridLines="0" zoomScale="75" zoomScaleNormal="75" zoomScalePageLayoutView="75" workbookViewId="0">
      <pane ySplit="1" topLeftCell="A319" activePane="bottomLeft" state="frozen"/>
      <selection activeCell="H276" sqref="H276"/>
      <selection pane="bottomLeft" activeCell="B356" sqref="B356:B360"/>
    </sheetView>
  </sheetViews>
  <sheetFormatPr baseColWidth="12" defaultRowHeight="21" customHeight="1" outlineLevelCol="1" x14ac:dyDescent="0.15"/>
  <cols>
    <col min="1" max="1" width="12.59765625" style="1" bestFit="1" customWidth="1"/>
    <col min="2" max="2" width="10.3984375" style="1" customWidth="1"/>
    <col min="3" max="3" width="17.59765625" style="1" bestFit="1" customWidth="1" outlineLevel="1"/>
    <col min="4" max="7" width="17.59765625" style="1" customWidth="1" outlineLevel="1"/>
    <col min="8" max="8" width="23.3984375" style="1" customWidth="1" outlineLevel="1"/>
    <col min="9" max="9" width="13.59765625" style="1" customWidth="1" outlineLevel="1"/>
    <col min="10" max="10" width="9.59765625" style="1" customWidth="1" outlineLevel="1"/>
    <col min="11" max="11" width="10.3984375" style="4" customWidth="1" outlineLevel="1"/>
    <col min="12" max="12" width="18.796875" style="1" customWidth="1" outlineLevel="1"/>
    <col min="13" max="14" width="19" style="1" customWidth="1" outlineLevel="1"/>
    <col min="15" max="15" width="11.3984375" style="1" bestFit="1" customWidth="1"/>
    <col min="16" max="16" width="11.3984375" style="1" customWidth="1"/>
    <col min="17" max="17" width="13.19921875" style="1" bestFit="1" customWidth="1"/>
    <col min="18" max="16384" width="13" style="1"/>
  </cols>
  <sheetData>
    <row r="1" spans="1:22" ht="21" customHeight="1" x14ac:dyDescent="0.15">
      <c r="A1" s="13" t="s">
        <v>84</v>
      </c>
      <c r="B1" s="15" t="s">
        <v>1</v>
      </c>
      <c r="C1" s="3" t="s">
        <v>31</v>
      </c>
      <c r="D1" s="3" t="s">
        <v>95</v>
      </c>
      <c r="E1" s="3" t="s">
        <v>188</v>
      </c>
      <c r="F1" s="3" t="s">
        <v>189</v>
      </c>
      <c r="G1" s="3" t="s">
        <v>102</v>
      </c>
      <c r="H1" s="3" t="s">
        <v>33</v>
      </c>
      <c r="I1" s="3" t="s">
        <v>34</v>
      </c>
      <c r="J1" s="3" t="s">
        <v>35</v>
      </c>
      <c r="K1" s="3" t="s">
        <v>52</v>
      </c>
      <c r="L1" s="3" t="s">
        <v>36</v>
      </c>
      <c r="M1" s="3" t="s">
        <v>37</v>
      </c>
      <c r="N1" s="3" t="s">
        <v>58</v>
      </c>
      <c r="O1" s="15" t="s">
        <v>2</v>
      </c>
      <c r="P1" s="3" t="s">
        <v>63</v>
      </c>
      <c r="Q1" s="15" t="s">
        <v>38</v>
      </c>
      <c r="R1" s="29" t="s">
        <v>5</v>
      </c>
      <c r="S1" s="29" t="s">
        <v>6</v>
      </c>
      <c r="T1" s="29" t="s">
        <v>7</v>
      </c>
      <c r="U1" s="29" t="s">
        <v>8</v>
      </c>
      <c r="V1" s="29" t="s">
        <v>9</v>
      </c>
    </row>
    <row r="2" spans="1:22" ht="21" customHeight="1" x14ac:dyDescent="0.15">
      <c r="A2" s="2" t="str">
        <f ca="1">input_586100!A$2</f>
        <v>586100</v>
      </c>
      <c r="B2" s="6">
        <v>126</v>
      </c>
      <c r="C2" s="7" t="str">
        <f t="shared" ref="C2:C65" si="0">D2&amp;J2&amp;E2&amp;F2&amp;G2</f>
        <v>PremiumW3</v>
      </c>
      <c r="D2" s="7" t="str">
        <f>IF(OR(I2="PremiumSS",I2="PremiumSSw"),"PremiumSS",IF(I2="PremiumSSS",I2,IF(I2="PremiumW",IF(J2=5,"premium",I2),"Premium")))</f>
        <v>PremiumW</v>
      </c>
      <c r="E2" s="7" t="str">
        <f>IF(COUNTIF('R6追加前'!A:A,B2)=0,IF(OR(I2="PremiumSS",I2="PremiumSSw"),"R5only","R3less"),"")</f>
        <v/>
      </c>
      <c r="F2" s="7" t="str">
        <f>IF(COUNTIF('R6開放'!A:A,B2)&gt;0,"R6release","")</f>
        <v/>
      </c>
      <c r="G2" s="7"/>
      <c r="H2" s="7" t="str">
        <f>VLOOKUP(B2,[1]characters!$A:$C,3,FALSE)</f>
        <v>骨器使い ユノ</v>
      </c>
      <c r="I2" s="7" t="str">
        <f>VLOOKUP(B2,[1]characters!$A:$J,10,FALSE)</f>
        <v>PremiumW</v>
      </c>
      <c r="J2" s="7">
        <f>VLOOKUP(B2,[1]characters!$A:$I,9,FALSE)</f>
        <v>3</v>
      </c>
      <c r="K2" s="7" t="str">
        <f>VLOOKUP(B2,[1]characters!$A:$H,8,FALSE)</f>
        <v>red</v>
      </c>
      <c r="L2" s="7" t="str">
        <f>VLOOKUP(B2,[1]characters!$A:$K,11,FALSE)</f>
        <v>attack</v>
      </c>
      <c r="M2" s="7" t="str">
        <f>VLOOKUP(B2,[1]characters!$A:$M,13,FALSE)</f>
        <v>human</v>
      </c>
      <c r="N2" s="7" t="str">
        <f>VLOOKUP(B2,[1]characters!$A:$G,7,FALSE)</f>
        <v>女性</v>
      </c>
      <c r="O2" s="45">
        <f ca="1">IFERROR(VLOOKUP(B2,input_586100!L:R,7,FALSE),VLOOKUP(tables_586100!C2,input_586100!A:H,8,FALSE))</f>
        <v>0</v>
      </c>
      <c r="P2" s="46">
        <f t="shared" ref="P2:P65" ca="1" si="1">O2/SUM(O:O)</f>
        <v>0</v>
      </c>
      <c r="Q2" s="30">
        <v>1</v>
      </c>
      <c r="R2" s="30">
        <v>0</v>
      </c>
      <c r="S2" s="30">
        <v>0</v>
      </c>
      <c r="T2" s="30">
        <v>0</v>
      </c>
      <c r="U2" s="30">
        <v>0</v>
      </c>
      <c r="V2" s="30">
        <v>1</v>
      </c>
    </row>
    <row r="3" spans="1:22" ht="21" customHeight="1" x14ac:dyDescent="0.15">
      <c r="A3" s="2" t="str">
        <f ca="1">input_586100!A$2</f>
        <v>586100</v>
      </c>
      <c r="B3" s="6">
        <v>127</v>
      </c>
      <c r="C3" s="7" t="str">
        <f t="shared" si="0"/>
        <v>PremiumW4</v>
      </c>
      <c r="D3" s="7" t="str">
        <f t="shared" ref="D3:D66" si="2">IF(OR(I3="PremiumSS",I3="PremiumSSw"),"PremiumSS",IF(I3="PremiumSSS",I3,IF(I3="PremiumW",IF(J3=5,"premium",I3),"Premium")))</f>
        <v>PremiumW</v>
      </c>
      <c r="E3" s="7" t="str">
        <f>IF(COUNTIF('R6追加前'!A:A,B3)=0,IF(OR(I3="PremiumSS",I3="PremiumSSw"),"R5only","R3less"),"")</f>
        <v/>
      </c>
      <c r="F3" s="7" t="str">
        <f>IF(COUNTIF('R6開放'!A:A,B3)&gt;0,"R6release","")</f>
        <v/>
      </c>
      <c r="G3" s="7"/>
      <c r="H3" s="7" t="str">
        <f>VLOOKUP(B3,[1]characters!$A:$C,3,FALSE)</f>
        <v>狂喜の賢者 ユノ</v>
      </c>
      <c r="I3" s="7" t="str">
        <f>VLOOKUP(B3,[1]characters!$A:$J,10,FALSE)</f>
        <v>PremiumW</v>
      </c>
      <c r="J3" s="7">
        <f>VLOOKUP(B3,[1]characters!$A:$I,9,FALSE)</f>
        <v>4</v>
      </c>
      <c r="K3" s="7" t="str">
        <f>VLOOKUP(B3,[1]characters!$A:$H,8,FALSE)</f>
        <v>red</v>
      </c>
      <c r="L3" s="7" t="str">
        <f>VLOOKUP(B3,[1]characters!$A:$K,11,FALSE)</f>
        <v>attack</v>
      </c>
      <c r="M3" s="7" t="str">
        <f>VLOOKUP(B3,[1]characters!$A:$M,13,FALSE)</f>
        <v>human</v>
      </c>
      <c r="N3" s="7" t="str">
        <f>VLOOKUP(B3,[1]characters!$A:$G,7,FALSE)</f>
        <v>女性</v>
      </c>
      <c r="O3" s="45">
        <f ca="1">IFERROR(VLOOKUP(B3,input_586100!L:R,7,FALSE),VLOOKUP(tables_586100!C3,input_586100!A:H,8,FALSE))</f>
        <v>1401774</v>
      </c>
      <c r="P3" s="46">
        <f t="shared" ca="1" si="1"/>
        <v>1.0896874999972907E-2</v>
      </c>
      <c r="Q3" s="30">
        <v>1</v>
      </c>
      <c r="R3" s="30">
        <v>0</v>
      </c>
      <c r="S3" s="30">
        <v>0</v>
      </c>
      <c r="T3" s="30">
        <v>0</v>
      </c>
      <c r="U3" s="30">
        <v>0</v>
      </c>
      <c r="V3" s="30">
        <v>1</v>
      </c>
    </row>
    <row r="4" spans="1:22" ht="21" customHeight="1" x14ac:dyDescent="0.15">
      <c r="A4" s="2" t="str">
        <f ca="1">input_586100!A$2</f>
        <v>586100</v>
      </c>
      <c r="B4" s="6">
        <v>128</v>
      </c>
      <c r="C4" s="7" t="str">
        <f t="shared" si="0"/>
        <v>PremiumW3</v>
      </c>
      <c r="D4" s="7" t="str">
        <f t="shared" si="2"/>
        <v>PremiumW</v>
      </c>
      <c r="E4" s="7" t="str">
        <f>IF(COUNTIF('R6追加前'!A:A,B4)=0,IF(OR(I4="PremiumSS",I4="PremiumSSw"),"R5only","R3less"),"")</f>
        <v/>
      </c>
      <c r="F4" s="7" t="str">
        <f>IF(COUNTIF('R6開放'!A:A,B4)&gt;0,"R6release","")</f>
        <v/>
      </c>
      <c r="G4" s="7"/>
      <c r="H4" s="7" t="str">
        <f>VLOOKUP(B4,[1]characters!$A:$C,3,FALSE)</f>
        <v>野生児 アマラ</v>
      </c>
      <c r="I4" s="7" t="str">
        <f>VLOOKUP(B4,[1]characters!$A:$J,10,FALSE)</f>
        <v>PremiumW</v>
      </c>
      <c r="J4" s="7">
        <f>VLOOKUP(B4,[1]characters!$A:$I,9,FALSE)</f>
        <v>3</v>
      </c>
      <c r="K4" s="7" t="str">
        <f>VLOOKUP(B4,[1]characters!$A:$H,8,FALSE)</f>
        <v>green</v>
      </c>
      <c r="L4" s="7" t="str">
        <f>VLOOKUP(B4,[1]characters!$A:$K,11,FALSE)</f>
        <v>attack</v>
      </c>
      <c r="M4" s="7" t="str">
        <f>VLOOKUP(B4,[1]characters!$A:$M,13,FALSE)</f>
        <v>human</v>
      </c>
      <c r="N4" s="7" t="str">
        <f>VLOOKUP(B4,[1]characters!$A:$G,7,FALSE)</f>
        <v>女性</v>
      </c>
      <c r="O4" s="45">
        <f ca="1">IFERROR(VLOOKUP(B4,input_586100!L:R,7,FALSE),VLOOKUP(tables_586100!C4,input_586100!A:H,8,FALSE))</f>
        <v>0</v>
      </c>
      <c r="P4" s="46">
        <f t="shared" ca="1" si="1"/>
        <v>0</v>
      </c>
      <c r="Q4" s="30">
        <v>1</v>
      </c>
      <c r="R4" s="30">
        <v>0</v>
      </c>
      <c r="S4" s="30">
        <v>0</v>
      </c>
      <c r="T4" s="30">
        <v>0</v>
      </c>
      <c r="U4" s="30">
        <v>0</v>
      </c>
      <c r="V4" s="30">
        <v>1</v>
      </c>
    </row>
    <row r="5" spans="1:22" ht="21" customHeight="1" x14ac:dyDescent="0.15">
      <c r="A5" s="2" t="str">
        <f ca="1">input_586100!A$2</f>
        <v>586100</v>
      </c>
      <c r="B5" s="6">
        <v>129</v>
      </c>
      <c r="C5" s="7" t="str">
        <f t="shared" si="0"/>
        <v>PremiumW4</v>
      </c>
      <c r="D5" s="7" t="str">
        <f t="shared" si="2"/>
        <v>PremiumW</v>
      </c>
      <c r="E5" s="7" t="str">
        <f>IF(COUNTIF('R6追加前'!A:A,B5)=0,IF(OR(I5="PremiumSS",I5="PremiumSSw"),"R5only","R3less"),"")</f>
        <v/>
      </c>
      <c r="F5" s="7" t="str">
        <f>IF(COUNTIF('R6開放'!A:A,B5)&gt;0,"R6release","")</f>
        <v/>
      </c>
      <c r="G5" s="7"/>
      <c r="H5" s="7" t="str">
        <f>VLOOKUP(B5,[1]characters!$A:$C,3,FALSE)</f>
        <v>孤高の狼憑き アマラ</v>
      </c>
      <c r="I5" s="7" t="str">
        <f>VLOOKUP(B5,[1]characters!$A:$J,10,FALSE)</f>
        <v>PremiumW</v>
      </c>
      <c r="J5" s="7">
        <f>VLOOKUP(B5,[1]characters!$A:$I,9,FALSE)</f>
        <v>4</v>
      </c>
      <c r="K5" s="7" t="str">
        <f>VLOOKUP(B5,[1]characters!$A:$H,8,FALSE)</f>
        <v>green</v>
      </c>
      <c r="L5" s="7" t="str">
        <f>VLOOKUP(B5,[1]characters!$A:$K,11,FALSE)</f>
        <v>attack</v>
      </c>
      <c r="M5" s="7" t="str">
        <f>VLOOKUP(B5,[1]characters!$A:$M,13,FALSE)</f>
        <v>human</v>
      </c>
      <c r="N5" s="7" t="str">
        <f>VLOOKUP(B5,[1]characters!$A:$G,7,FALSE)</f>
        <v>女性</v>
      </c>
      <c r="O5" s="45">
        <f ca="1">IFERROR(VLOOKUP(B5,input_586100!L:R,7,FALSE),VLOOKUP(tables_586100!C5,input_586100!A:H,8,FALSE))</f>
        <v>1401774</v>
      </c>
      <c r="P5" s="46">
        <f t="shared" ca="1" si="1"/>
        <v>1.0896874999972907E-2</v>
      </c>
      <c r="Q5" s="30">
        <v>1</v>
      </c>
      <c r="R5" s="30">
        <v>0</v>
      </c>
      <c r="S5" s="30">
        <v>0</v>
      </c>
      <c r="T5" s="30">
        <v>0</v>
      </c>
      <c r="U5" s="30">
        <v>0</v>
      </c>
      <c r="V5" s="30">
        <v>1</v>
      </c>
    </row>
    <row r="6" spans="1:22" ht="21" customHeight="1" x14ac:dyDescent="0.15">
      <c r="A6" s="2" t="str">
        <f ca="1">input_586100!A$2</f>
        <v>586100</v>
      </c>
      <c r="B6" s="6">
        <v>130</v>
      </c>
      <c r="C6" s="7" t="str">
        <f t="shared" si="0"/>
        <v>PremiumW3</v>
      </c>
      <c r="D6" s="7" t="str">
        <f t="shared" si="2"/>
        <v>PremiumW</v>
      </c>
      <c r="E6" s="7" t="str">
        <f>IF(COUNTIF('R6追加前'!A:A,B6)=0,IF(OR(I6="PremiumSS",I6="PremiumSSw"),"R5only","R3less"),"")</f>
        <v/>
      </c>
      <c r="F6" s="7" t="str">
        <f>IF(COUNTIF('R6開放'!A:A,B6)&gt;0,"R6release","")</f>
        <v/>
      </c>
      <c r="G6" s="7"/>
      <c r="H6" s="7" t="str">
        <f>VLOOKUP(B6,[1]characters!$A:$C,3,FALSE)</f>
        <v>狼男 ローレンス</v>
      </c>
      <c r="I6" s="7" t="str">
        <f>VLOOKUP(B6,[1]characters!$A:$J,10,FALSE)</f>
        <v>PremiumW</v>
      </c>
      <c r="J6" s="7">
        <f>VLOOKUP(B6,[1]characters!$A:$I,9,FALSE)</f>
        <v>3</v>
      </c>
      <c r="K6" s="7" t="str">
        <f>VLOOKUP(B6,[1]characters!$A:$H,8,FALSE)</f>
        <v>blue</v>
      </c>
      <c r="L6" s="7" t="str">
        <f>VLOOKUP(B6,[1]characters!$A:$K,11,FALSE)</f>
        <v>attack</v>
      </c>
      <c r="M6" s="7" t="str">
        <f>VLOOKUP(B6,[1]characters!$A:$M,13,FALSE)</f>
        <v>animal</v>
      </c>
      <c r="N6" s="7" t="str">
        <f>VLOOKUP(B6,[1]characters!$A:$G,7,FALSE)</f>
        <v>不明</v>
      </c>
      <c r="O6" s="45">
        <f ca="1">IFERROR(VLOOKUP(B6,input_586100!L:R,7,FALSE),VLOOKUP(tables_586100!C6,input_586100!A:H,8,FALSE))</f>
        <v>0</v>
      </c>
      <c r="P6" s="46">
        <f t="shared" ca="1" si="1"/>
        <v>0</v>
      </c>
      <c r="Q6" s="30">
        <v>1</v>
      </c>
      <c r="R6" s="30">
        <v>0</v>
      </c>
      <c r="S6" s="30">
        <v>0</v>
      </c>
      <c r="T6" s="30">
        <v>0</v>
      </c>
      <c r="U6" s="30">
        <v>0</v>
      </c>
      <c r="V6" s="30">
        <v>1</v>
      </c>
    </row>
    <row r="7" spans="1:22" ht="21" customHeight="1" x14ac:dyDescent="0.15">
      <c r="A7" s="2" t="str">
        <f ca="1">input_586100!A$2</f>
        <v>586100</v>
      </c>
      <c r="B7" s="6">
        <v>131</v>
      </c>
      <c r="C7" s="7" t="str">
        <f t="shared" si="0"/>
        <v>PremiumW4</v>
      </c>
      <c r="D7" s="7" t="str">
        <f t="shared" si="2"/>
        <v>PremiumW</v>
      </c>
      <c r="E7" s="7" t="str">
        <f>IF(COUNTIF('R6追加前'!A:A,B7)=0,IF(OR(I7="PremiumSS",I7="PremiumSSw"),"R5only","R3less"),"")</f>
        <v/>
      </c>
      <c r="F7" s="7" t="str">
        <f>IF(COUNTIF('R6開放'!A:A,B7)&gt;0,"R6release","")</f>
        <v/>
      </c>
      <c r="G7" s="7"/>
      <c r="H7" s="7" t="str">
        <f>VLOOKUP(B7,[1]characters!$A:$C,3,FALSE)</f>
        <v>月下の人狼 ローレンス</v>
      </c>
      <c r="I7" s="7" t="str">
        <f>VLOOKUP(B7,[1]characters!$A:$J,10,FALSE)</f>
        <v>PremiumW</v>
      </c>
      <c r="J7" s="7">
        <f>VLOOKUP(B7,[1]characters!$A:$I,9,FALSE)</f>
        <v>4</v>
      </c>
      <c r="K7" s="7" t="str">
        <f>VLOOKUP(B7,[1]characters!$A:$H,8,FALSE)</f>
        <v>blue</v>
      </c>
      <c r="L7" s="7" t="str">
        <f>VLOOKUP(B7,[1]characters!$A:$K,11,FALSE)</f>
        <v>attack</v>
      </c>
      <c r="M7" s="7" t="str">
        <f>VLOOKUP(B7,[1]characters!$A:$M,13,FALSE)</f>
        <v>animal</v>
      </c>
      <c r="N7" s="7" t="str">
        <f>VLOOKUP(B7,[1]characters!$A:$G,7,FALSE)</f>
        <v>不明</v>
      </c>
      <c r="O7" s="45">
        <f ca="1">IFERROR(VLOOKUP(B7,input_586100!L:R,7,FALSE),VLOOKUP(tables_586100!C7,input_586100!A:H,8,FALSE))</f>
        <v>1401774</v>
      </c>
      <c r="P7" s="46">
        <f t="shared" ca="1" si="1"/>
        <v>1.0896874999972907E-2</v>
      </c>
      <c r="Q7" s="30">
        <v>1</v>
      </c>
      <c r="R7" s="30">
        <v>0</v>
      </c>
      <c r="S7" s="30">
        <v>0</v>
      </c>
      <c r="T7" s="30">
        <v>0</v>
      </c>
      <c r="U7" s="30">
        <v>0</v>
      </c>
      <c r="V7" s="30">
        <v>1</v>
      </c>
    </row>
    <row r="8" spans="1:22" ht="21" customHeight="1" x14ac:dyDescent="0.15">
      <c r="A8" s="2" t="str">
        <f ca="1">input_586100!A$2</f>
        <v>586100</v>
      </c>
      <c r="B8" s="6">
        <v>132</v>
      </c>
      <c r="C8" s="7" t="str">
        <f t="shared" si="0"/>
        <v>PremiumW3</v>
      </c>
      <c r="D8" s="7" t="str">
        <f t="shared" si="2"/>
        <v>PremiumW</v>
      </c>
      <c r="E8" s="7" t="str">
        <f>IF(COUNTIF('R6追加前'!A:A,B8)=0,IF(OR(I8="PremiumSS",I8="PremiumSSw"),"R5only","R3less"),"")</f>
        <v/>
      </c>
      <c r="F8" s="7" t="str">
        <f>IF(COUNTIF('R6開放'!A:A,B8)&gt;0,"R6release","")</f>
        <v/>
      </c>
      <c r="G8" s="7"/>
      <c r="H8" s="7" t="str">
        <f>VLOOKUP(B8,[1]characters!$A:$C,3,FALSE)</f>
        <v>鳥人ハヤト</v>
      </c>
      <c r="I8" s="7" t="str">
        <f>VLOOKUP(B8,[1]characters!$A:$J,10,FALSE)</f>
        <v>PremiumW</v>
      </c>
      <c r="J8" s="7">
        <f>VLOOKUP(B8,[1]characters!$A:$I,9,FALSE)</f>
        <v>3</v>
      </c>
      <c r="K8" s="7" t="str">
        <f>VLOOKUP(B8,[1]characters!$A:$H,8,FALSE)</f>
        <v>yellow</v>
      </c>
      <c r="L8" s="7" t="str">
        <f>VLOOKUP(B8,[1]characters!$A:$K,11,FALSE)</f>
        <v>attack</v>
      </c>
      <c r="M8" s="7" t="str">
        <f>VLOOKUP(B8,[1]characters!$A:$M,13,FALSE)</f>
        <v>human</v>
      </c>
      <c r="N8" s="7" t="str">
        <f>VLOOKUP(B8,[1]characters!$A:$G,7,FALSE)</f>
        <v>男性</v>
      </c>
      <c r="O8" s="45">
        <f ca="1">IFERROR(VLOOKUP(B8,input_586100!L:R,7,FALSE),VLOOKUP(tables_586100!C8,input_586100!A:H,8,FALSE))</f>
        <v>0</v>
      </c>
      <c r="P8" s="46">
        <f t="shared" ca="1" si="1"/>
        <v>0</v>
      </c>
      <c r="Q8" s="30">
        <v>1</v>
      </c>
      <c r="R8" s="30">
        <v>0</v>
      </c>
      <c r="S8" s="30">
        <v>0</v>
      </c>
      <c r="T8" s="30">
        <v>0</v>
      </c>
      <c r="U8" s="30">
        <v>0</v>
      </c>
      <c r="V8" s="30">
        <v>1</v>
      </c>
    </row>
    <row r="9" spans="1:22" ht="21" customHeight="1" x14ac:dyDescent="0.15">
      <c r="A9" s="2" t="str">
        <f ca="1">input_586100!A$2</f>
        <v>586100</v>
      </c>
      <c r="B9" s="6">
        <v>133</v>
      </c>
      <c r="C9" s="7" t="str">
        <f t="shared" si="0"/>
        <v>PremiumW4</v>
      </c>
      <c r="D9" s="7" t="str">
        <f t="shared" si="2"/>
        <v>PremiumW</v>
      </c>
      <c r="E9" s="7" t="str">
        <f>IF(COUNTIF('R6追加前'!A:A,B9)=0,IF(OR(I9="PremiumSS",I9="PremiumSSw"),"R5only","R3less"),"")</f>
        <v/>
      </c>
      <c r="F9" s="7" t="str">
        <f>IF(COUNTIF('R6開放'!A:A,B9)&gt;0,"R6release","")</f>
        <v/>
      </c>
      <c r="G9" s="7"/>
      <c r="H9" s="7" t="str">
        <f>VLOOKUP(B9,[1]characters!$A:$C,3,FALSE)</f>
        <v>迅雷の刀剣 ハヤト</v>
      </c>
      <c r="I9" s="7" t="str">
        <f>VLOOKUP(B9,[1]characters!$A:$J,10,FALSE)</f>
        <v>PremiumW</v>
      </c>
      <c r="J9" s="7">
        <f>VLOOKUP(B9,[1]characters!$A:$I,9,FALSE)</f>
        <v>4</v>
      </c>
      <c r="K9" s="7" t="str">
        <f>VLOOKUP(B9,[1]characters!$A:$H,8,FALSE)</f>
        <v>yellow</v>
      </c>
      <c r="L9" s="7" t="str">
        <f>VLOOKUP(B9,[1]characters!$A:$K,11,FALSE)</f>
        <v>attack</v>
      </c>
      <c r="M9" s="7" t="str">
        <f>VLOOKUP(B9,[1]characters!$A:$M,13,FALSE)</f>
        <v>human</v>
      </c>
      <c r="N9" s="7" t="str">
        <f>VLOOKUP(B9,[1]characters!$A:$G,7,FALSE)</f>
        <v>男性</v>
      </c>
      <c r="O9" s="45">
        <f ca="1">IFERROR(VLOOKUP(B9,input_586100!L:R,7,FALSE),VLOOKUP(tables_586100!C9,input_586100!A:H,8,FALSE))</f>
        <v>1401774</v>
      </c>
      <c r="P9" s="46">
        <f t="shared" ca="1" si="1"/>
        <v>1.0896874999972907E-2</v>
      </c>
      <c r="Q9" s="30">
        <v>1</v>
      </c>
      <c r="R9" s="30">
        <v>0</v>
      </c>
      <c r="S9" s="30">
        <v>0</v>
      </c>
      <c r="T9" s="30">
        <v>0</v>
      </c>
      <c r="U9" s="30">
        <v>0</v>
      </c>
      <c r="V9" s="30">
        <v>1</v>
      </c>
    </row>
    <row r="10" spans="1:22" ht="21" customHeight="1" x14ac:dyDescent="0.15">
      <c r="A10" s="2" t="str">
        <f ca="1">input_586100!A$2</f>
        <v>586100</v>
      </c>
      <c r="B10" s="6">
        <v>134</v>
      </c>
      <c r="C10" s="7" t="str">
        <f t="shared" si="0"/>
        <v>PremiumW3</v>
      </c>
      <c r="D10" s="7" t="str">
        <f t="shared" si="2"/>
        <v>PremiumW</v>
      </c>
      <c r="E10" s="7" t="str">
        <f>IF(COUNTIF('R6追加前'!A:A,B10)=0,IF(OR(I10="PremiumSS",I10="PremiumSSw"),"R5only","R3less"),"")</f>
        <v/>
      </c>
      <c r="F10" s="7" t="str">
        <f>IF(COUNTIF('R6開放'!A:A,B10)&gt;0,"R6release","")</f>
        <v/>
      </c>
      <c r="G10" s="7"/>
      <c r="H10" s="7" t="str">
        <f>VLOOKUP(B10,[1]characters!$A:$C,3,FALSE)</f>
        <v>妖炎の夕霧</v>
      </c>
      <c r="I10" s="7" t="str">
        <f>VLOOKUP(B10,[1]characters!$A:$J,10,FALSE)</f>
        <v>PremiumW</v>
      </c>
      <c r="J10" s="7">
        <f>VLOOKUP(B10,[1]characters!$A:$I,9,FALSE)</f>
        <v>3</v>
      </c>
      <c r="K10" s="7" t="str">
        <f>VLOOKUP(B10,[1]characters!$A:$H,8,FALSE)</f>
        <v>red</v>
      </c>
      <c r="L10" s="7" t="str">
        <f>VLOOKUP(B10,[1]characters!$A:$K,11,FALSE)</f>
        <v>balance</v>
      </c>
      <c r="M10" s="7" t="str">
        <f>VLOOKUP(B10,[1]characters!$A:$M,13,FALSE)</f>
        <v>human</v>
      </c>
      <c r="N10" s="7" t="str">
        <f>VLOOKUP(B10,[1]characters!$A:$G,7,FALSE)</f>
        <v>女性</v>
      </c>
      <c r="O10" s="45">
        <f ca="1">IFERROR(VLOOKUP(B10,input_586100!L:R,7,FALSE),VLOOKUP(tables_586100!C10,input_586100!A:H,8,FALSE))</f>
        <v>0</v>
      </c>
      <c r="P10" s="46">
        <f t="shared" ca="1" si="1"/>
        <v>0</v>
      </c>
      <c r="Q10" s="30">
        <v>1</v>
      </c>
      <c r="R10" s="30">
        <v>0</v>
      </c>
      <c r="S10" s="30">
        <v>0</v>
      </c>
      <c r="T10" s="30">
        <v>0</v>
      </c>
      <c r="U10" s="30">
        <v>0</v>
      </c>
      <c r="V10" s="30">
        <v>1</v>
      </c>
    </row>
    <row r="11" spans="1:22" ht="21" customHeight="1" x14ac:dyDescent="0.15">
      <c r="A11" s="2" t="str">
        <f ca="1">input_586100!A$2</f>
        <v>586100</v>
      </c>
      <c r="B11" s="6">
        <v>135</v>
      </c>
      <c r="C11" s="7" t="str">
        <f t="shared" si="0"/>
        <v>PremiumW4</v>
      </c>
      <c r="D11" s="7" t="str">
        <f t="shared" si="2"/>
        <v>PremiumW</v>
      </c>
      <c r="E11" s="7" t="str">
        <f>IF(COUNTIF('R6追加前'!A:A,B11)=0,IF(OR(I11="PremiumSS",I11="PremiumSSw"),"R5only","R3less"),"")</f>
        <v/>
      </c>
      <c r="F11" s="7" t="str">
        <f>IF(COUNTIF('R6開放'!A:A,B11)&gt;0,"R6release","")</f>
        <v/>
      </c>
      <c r="G11" s="7"/>
      <c r="H11" s="7" t="str">
        <f>VLOOKUP(B11,[1]characters!$A:$C,3,FALSE)</f>
        <v>京の炎華夕霧</v>
      </c>
      <c r="I11" s="7" t="str">
        <f>VLOOKUP(B11,[1]characters!$A:$J,10,FALSE)</f>
        <v>PremiumW</v>
      </c>
      <c r="J11" s="7">
        <f>VLOOKUP(B11,[1]characters!$A:$I,9,FALSE)</f>
        <v>4</v>
      </c>
      <c r="K11" s="7" t="str">
        <f>VLOOKUP(B11,[1]characters!$A:$H,8,FALSE)</f>
        <v>red</v>
      </c>
      <c r="L11" s="7" t="str">
        <f>VLOOKUP(B11,[1]characters!$A:$K,11,FALSE)</f>
        <v>balance</v>
      </c>
      <c r="M11" s="7" t="str">
        <f>VLOOKUP(B11,[1]characters!$A:$M,13,FALSE)</f>
        <v>human</v>
      </c>
      <c r="N11" s="7" t="str">
        <f>VLOOKUP(B11,[1]characters!$A:$G,7,FALSE)</f>
        <v>女性</v>
      </c>
      <c r="O11" s="45">
        <f ca="1">IFERROR(VLOOKUP(B11,input_586100!L:R,7,FALSE),VLOOKUP(tables_586100!C11,input_586100!A:H,8,FALSE))</f>
        <v>1401774</v>
      </c>
      <c r="P11" s="46">
        <f t="shared" ca="1" si="1"/>
        <v>1.0896874999972907E-2</v>
      </c>
      <c r="Q11" s="30">
        <v>1</v>
      </c>
      <c r="R11" s="30">
        <v>0</v>
      </c>
      <c r="S11" s="30">
        <v>0</v>
      </c>
      <c r="T11" s="30">
        <v>0</v>
      </c>
      <c r="U11" s="30">
        <v>0</v>
      </c>
      <c r="V11" s="30">
        <v>1</v>
      </c>
    </row>
    <row r="12" spans="1:22" ht="21" customHeight="1" x14ac:dyDescent="0.15">
      <c r="A12" s="2" t="str">
        <f ca="1">input_586100!A$2</f>
        <v>586100</v>
      </c>
      <c r="B12" s="8">
        <v>136</v>
      </c>
      <c r="C12" s="7" t="str">
        <f t="shared" si="0"/>
        <v>PremiumW3</v>
      </c>
      <c r="D12" s="7" t="str">
        <f t="shared" si="2"/>
        <v>PremiumW</v>
      </c>
      <c r="E12" s="7" t="str">
        <f>IF(COUNTIF('R6追加前'!A:A,B12)=0,IF(OR(I12="PremiumSS",I12="PremiumSSw"),"R5only","R3less"),"")</f>
        <v/>
      </c>
      <c r="F12" s="7" t="str">
        <f>IF(COUNTIF('R6開放'!A:A,B12)&gt;0,"R6release","")</f>
        <v/>
      </c>
      <c r="G12" s="7"/>
      <c r="H12" s="7" t="str">
        <f>VLOOKUP(B12,[1]characters!$A:$C,3,FALSE)</f>
        <v>お針子チハヤ</v>
      </c>
      <c r="I12" s="7" t="str">
        <f>VLOOKUP(B12,[1]characters!$A:$J,10,FALSE)</f>
        <v>PremiumW</v>
      </c>
      <c r="J12" s="7">
        <f>VLOOKUP(B12,[1]characters!$A:$I,9,FALSE)</f>
        <v>3</v>
      </c>
      <c r="K12" s="7" t="str">
        <f>VLOOKUP(B12,[1]characters!$A:$H,8,FALSE)</f>
        <v>green</v>
      </c>
      <c r="L12" s="7" t="str">
        <f>VLOOKUP(B12,[1]characters!$A:$K,11,FALSE)</f>
        <v>balance</v>
      </c>
      <c r="M12" s="7" t="str">
        <f>VLOOKUP(B12,[1]characters!$A:$M,13,FALSE)</f>
        <v>human</v>
      </c>
      <c r="N12" s="7" t="str">
        <f>VLOOKUP(B12,[1]characters!$A:$G,7,FALSE)</f>
        <v>女性</v>
      </c>
      <c r="O12" s="45">
        <f ca="1">IFERROR(VLOOKUP(B12,input_586100!L:R,7,FALSE),VLOOKUP(tables_586100!C12,input_586100!A:H,8,FALSE))</f>
        <v>0</v>
      </c>
      <c r="P12" s="46">
        <f t="shared" ca="1" si="1"/>
        <v>0</v>
      </c>
      <c r="Q12" s="30">
        <v>1</v>
      </c>
      <c r="R12" s="30">
        <v>0</v>
      </c>
      <c r="S12" s="30">
        <v>0</v>
      </c>
      <c r="T12" s="30">
        <v>0</v>
      </c>
      <c r="U12" s="30">
        <v>0</v>
      </c>
      <c r="V12" s="30">
        <v>1</v>
      </c>
    </row>
    <row r="13" spans="1:22" ht="21" customHeight="1" x14ac:dyDescent="0.15">
      <c r="A13" s="2" t="str">
        <f ca="1">input_586100!A$2</f>
        <v>586100</v>
      </c>
      <c r="B13" s="8">
        <v>137</v>
      </c>
      <c r="C13" s="7" t="str">
        <f t="shared" si="0"/>
        <v>PremiumW4</v>
      </c>
      <c r="D13" s="7" t="str">
        <f t="shared" si="2"/>
        <v>PremiumW</v>
      </c>
      <c r="E13" s="7" t="str">
        <f>IF(COUNTIF('R6追加前'!A:A,B13)=0,IF(OR(I13="PremiumSS",I13="PremiumSSw"),"R5only","R3less"),"")</f>
        <v/>
      </c>
      <c r="F13" s="7" t="str">
        <f>IF(COUNTIF('R6開放'!A:A,B13)&gt;0,"R6release","")</f>
        <v/>
      </c>
      <c r="G13" s="7"/>
      <c r="H13" s="7" t="str">
        <f>VLOOKUP(B13,[1]characters!$A:$C,3,FALSE)</f>
        <v>清福の仕立屋 チハヤ</v>
      </c>
      <c r="I13" s="7" t="str">
        <f>VLOOKUP(B13,[1]characters!$A:$J,10,FALSE)</f>
        <v>PremiumW</v>
      </c>
      <c r="J13" s="7">
        <f>VLOOKUP(B13,[1]characters!$A:$I,9,FALSE)</f>
        <v>4</v>
      </c>
      <c r="K13" s="7" t="str">
        <f>VLOOKUP(B13,[1]characters!$A:$H,8,FALSE)</f>
        <v>green</v>
      </c>
      <c r="L13" s="7" t="str">
        <f>VLOOKUP(B13,[1]characters!$A:$K,11,FALSE)</f>
        <v>balance</v>
      </c>
      <c r="M13" s="7" t="str">
        <f>VLOOKUP(B13,[1]characters!$A:$M,13,FALSE)</f>
        <v>human</v>
      </c>
      <c r="N13" s="7" t="str">
        <f>VLOOKUP(B13,[1]characters!$A:$G,7,FALSE)</f>
        <v>女性</v>
      </c>
      <c r="O13" s="45">
        <f ca="1">IFERROR(VLOOKUP(B13,input_586100!L:R,7,FALSE),VLOOKUP(tables_586100!C13,input_586100!A:H,8,FALSE))</f>
        <v>1401774</v>
      </c>
      <c r="P13" s="46">
        <f t="shared" ca="1" si="1"/>
        <v>1.0896874999972907E-2</v>
      </c>
      <c r="Q13" s="30">
        <v>1</v>
      </c>
      <c r="R13" s="30">
        <v>0</v>
      </c>
      <c r="S13" s="30">
        <v>0</v>
      </c>
      <c r="T13" s="30">
        <v>0</v>
      </c>
      <c r="U13" s="30">
        <v>0</v>
      </c>
      <c r="V13" s="30">
        <v>1</v>
      </c>
    </row>
    <row r="14" spans="1:22" ht="21" customHeight="1" x14ac:dyDescent="0.15">
      <c r="A14" s="2" t="str">
        <f ca="1">input_586100!A$2</f>
        <v>586100</v>
      </c>
      <c r="B14" s="6">
        <v>138</v>
      </c>
      <c r="C14" s="7" t="str">
        <f t="shared" si="0"/>
        <v>PremiumW3</v>
      </c>
      <c r="D14" s="7" t="str">
        <f t="shared" si="2"/>
        <v>PremiumW</v>
      </c>
      <c r="E14" s="7" t="str">
        <f>IF(COUNTIF('R6追加前'!A:A,B14)=0,IF(OR(I14="PremiumSS",I14="PremiumSSw"),"R5only","R3less"),"")</f>
        <v/>
      </c>
      <c r="F14" s="7" t="str">
        <f>IF(COUNTIF('R6開放'!A:A,B14)&gt;0,"R6release","")</f>
        <v/>
      </c>
      <c r="G14" s="7"/>
      <c r="H14" s="7" t="str">
        <f>VLOOKUP(B14,[1]characters!$A:$C,3,FALSE)</f>
        <v>蒼薙のトモエ</v>
      </c>
      <c r="I14" s="7" t="str">
        <f>VLOOKUP(B14,[1]characters!$A:$J,10,FALSE)</f>
        <v>PremiumW</v>
      </c>
      <c r="J14" s="7">
        <f>VLOOKUP(B14,[1]characters!$A:$I,9,FALSE)</f>
        <v>3</v>
      </c>
      <c r="K14" s="7" t="str">
        <f>VLOOKUP(B14,[1]characters!$A:$H,8,FALSE)</f>
        <v>blue</v>
      </c>
      <c r="L14" s="7" t="str">
        <f>VLOOKUP(B14,[1]characters!$A:$K,11,FALSE)</f>
        <v>balance</v>
      </c>
      <c r="M14" s="7" t="str">
        <f>VLOOKUP(B14,[1]characters!$A:$M,13,FALSE)</f>
        <v>human</v>
      </c>
      <c r="N14" s="7" t="str">
        <f>VLOOKUP(B14,[1]characters!$A:$G,7,FALSE)</f>
        <v>女性</v>
      </c>
      <c r="O14" s="45">
        <f ca="1">IFERROR(VLOOKUP(B14,input_586100!L:R,7,FALSE),VLOOKUP(tables_586100!C14,input_586100!A:H,8,FALSE))</f>
        <v>0</v>
      </c>
      <c r="P14" s="46">
        <f t="shared" ca="1" si="1"/>
        <v>0</v>
      </c>
      <c r="Q14" s="30">
        <v>1</v>
      </c>
      <c r="R14" s="30">
        <v>0</v>
      </c>
      <c r="S14" s="30">
        <v>0</v>
      </c>
      <c r="T14" s="30">
        <v>0</v>
      </c>
      <c r="U14" s="30">
        <v>0</v>
      </c>
      <c r="V14" s="30">
        <v>1</v>
      </c>
    </row>
    <row r="15" spans="1:22" ht="21" customHeight="1" x14ac:dyDescent="0.15">
      <c r="A15" s="2" t="str">
        <f ca="1">input_586100!A$2</f>
        <v>586100</v>
      </c>
      <c r="B15" s="6">
        <v>139</v>
      </c>
      <c r="C15" s="7" t="str">
        <f t="shared" si="0"/>
        <v>PremiumW4</v>
      </c>
      <c r="D15" s="7" t="str">
        <f t="shared" si="2"/>
        <v>PremiumW</v>
      </c>
      <c r="E15" s="7" t="str">
        <f>IF(COUNTIF('R6追加前'!A:A,B15)=0,IF(OR(I15="PremiumSS",I15="PremiumSSw"),"R5only","R3less"),"")</f>
        <v/>
      </c>
      <c r="F15" s="7" t="str">
        <f>IF(COUNTIF('R6開放'!A:A,B15)&gt;0,"R6release","")</f>
        <v/>
      </c>
      <c r="G15" s="7"/>
      <c r="H15" s="7" t="str">
        <f>VLOOKUP(B15,[1]characters!$A:$C,3,FALSE)</f>
        <v>蒼昇刃姫 トモエ</v>
      </c>
      <c r="I15" s="7" t="str">
        <f>VLOOKUP(B15,[1]characters!$A:$J,10,FALSE)</f>
        <v>PremiumW</v>
      </c>
      <c r="J15" s="7">
        <f>VLOOKUP(B15,[1]characters!$A:$I,9,FALSE)</f>
        <v>4</v>
      </c>
      <c r="K15" s="7" t="str">
        <f>VLOOKUP(B15,[1]characters!$A:$H,8,FALSE)</f>
        <v>blue</v>
      </c>
      <c r="L15" s="7" t="str">
        <f>VLOOKUP(B15,[1]characters!$A:$K,11,FALSE)</f>
        <v>balance</v>
      </c>
      <c r="M15" s="7" t="str">
        <f>VLOOKUP(B15,[1]characters!$A:$M,13,FALSE)</f>
        <v>human</v>
      </c>
      <c r="N15" s="7" t="str">
        <f>VLOOKUP(B15,[1]characters!$A:$G,7,FALSE)</f>
        <v>女性</v>
      </c>
      <c r="O15" s="45">
        <f ca="1">IFERROR(VLOOKUP(B15,input_586100!L:R,7,FALSE),VLOOKUP(tables_586100!C15,input_586100!A:H,8,FALSE))</f>
        <v>1401774</v>
      </c>
      <c r="P15" s="46">
        <f t="shared" ca="1" si="1"/>
        <v>1.0896874999972907E-2</v>
      </c>
      <c r="Q15" s="30">
        <v>1</v>
      </c>
      <c r="R15" s="30">
        <v>0</v>
      </c>
      <c r="S15" s="30">
        <v>0</v>
      </c>
      <c r="T15" s="30">
        <v>0</v>
      </c>
      <c r="U15" s="30">
        <v>0</v>
      </c>
      <c r="V15" s="30">
        <v>1</v>
      </c>
    </row>
    <row r="16" spans="1:22" ht="21" customHeight="1" x14ac:dyDescent="0.15">
      <c r="A16" s="2" t="str">
        <f ca="1">input_586100!A$2</f>
        <v>586100</v>
      </c>
      <c r="B16" s="6">
        <v>140</v>
      </c>
      <c r="C16" s="7" t="str">
        <f t="shared" si="0"/>
        <v>PremiumW3</v>
      </c>
      <c r="D16" s="7" t="str">
        <f t="shared" si="2"/>
        <v>PremiumW</v>
      </c>
      <c r="E16" s="7" t="str">
        <f>IF(COUNTIF('R6追加前'!A:A,B16)=0,IF(OR(I16="PremiumSS",I16="PremiumSSw"),"R5only","R3less"),"")</f>
        <v/>
      </c>
      <c r="F16" s="7" t="str">
        <f>IF(COUNTIF('R6開放'!A:A,B16)&gt;0,"R6release","")</f>
        <v/>
      </c>
      <c r="G16" s="7"/>
      <c r="H16" s="7" t="str">
        <f>VLOOKUP(B16,[1]characters!$A:$C,3,FALSE)</f>
        <v>秋祭のタマモ</v>
      </c>
      <c r="I16" s="7" t="str">
        <f>VLOOKUP(B16,[1]characters!$A:$J,10,FALSE)</f>
        <v>PremiumW</v>
      </c>
      <c r="J16" s="7">
        <f>VLOOKUP(B16,[1]characters!$A:$I,9,FALSE)</f>
        <v>3</v>
      </c>
      <c r="K16" s="7" t="str">
        <f>VLOOKUP(B16,[1]characters!$A:$H,8,FALSE)</f>
        <v>yellow</v>
      </c>
      <c r="L16" s="7" t="str">
        <f>VLOOKUP(B16,[1]characters!$A:$K,11,FALSE)</f>
        <v>balance</v>
      </c>
      <c r="M16" s="7" t="str">
        <f>VLOOKUP(B16,[1]characters!$A:$M,13,FALSE)</f>
        <v>animal</v>
      </c>
      <c r="N16" s="7" t="str">
        <f>VLOOKUP(B16,[1]characters!$A:$G,7,FALSE)</f>
        <v>女性</v>
      </c>
      <c r="O16" s="45">
        <f ca="1">IFERROR(VLOOKUP(B16,input_586100!L:R,7,FALSE),VLOOKUP(tables_586100!C16,input_586100!A:H,8,FALSE))</f>
        <v>0</v>
      </c>
      <c r="P16" s="46">
        <f t="shared" ca="1" si="1"/>
        <v>0</v>
      </c>
      <c r="Q16" s="30">
        <v>1</v>
      </c>
      <c r="R16" s="30">
        <v>0</v>
      </c>
      <c r="S16" s="30">
        <v>0</v>
      </c>
      <c r="T16" s="30">
        <v>0</v>
      </c>
      <c r="U16" s="30">
        <v>0</v>
      </c>
      <c r="V16" s="30">
        <v>1</v>
      </c>
    </row>
    <row r="17" spans="1:22" ht="21" customHeight="1" x14ac:dyDescent="0.15">
      <c r="A17" s="2" t="str">
        <f ca="1">input_586100!A$2</f>
        <v>586100</v>
      </c>
      <c r="B17" s="6">
        <v>141</v>
      </c>
      <c r="C17" s="7" t="str">
        <f t="shared" si="0"/>
        <v>PremiumW4</v>
      </c>
      <c r="D17" s="7" t="str">
        <f t="shared" si="2"/>
        <v>PremiumW</v>
      </c>
      <c r="E17" s="7" t="str">
        <f>IF(COUNTIF('R6追加前'!A:A,B17)=0,IF(OR(I17="PremiumSS",I17="PremiumSSw"),"R5only","R3less"),"")</f>
        <v/>
      </c>
      <c r="F17" s="7" t="str">
        <f>IF(COUNTIF('R6開放'!A:A,B17)&gt;0,"R6release","")</f>
        <v/>
      </c>
      <c r="G17" s="7"/>
      <c r="H17" s="7" t="str">
        <f>VLOOKUP(B17,[1]characters!$A:$C,3,FALSE)</f>
        <v>妖狐演舞 タマモ</v>
      </c>
      <c r="I17" s="7" t="str">
        <f>VLOOKUP(B17,[1]characters!$A:$J,10,FALSE)</f>
        <v>PremiumW</v>
      </c>
      <c r="J17" s="7">
        <f>VLOOKUP(B17,[1]characters!$A:$I,9,FALSE)</f>
        <v>4</v>
      </c>
      <c r="K17" s="7" t="str">
        <f>VLOOKUP(B17,[1]characters!$A:$H,8,FALSE)</f>
        <v>yellow</v>
      </c>
      <c r="L17" s="7" t="str">
        <f>VLOOKUP(B17,[1]characters!$A:$K,11,FALSE)</f>
        <v>balance</v>
      </c>
      <c r="M17" s="7" t="str">
        <f>VLOOKUP(B17,[1]characters!$A:$M,13,FALSE)</f>
        <v>animal</v>
      </c>
      <c r="N17" s="7" t="str">
        <f>VLOOKUP(B17,[1]characters!$A:$G,7,FALSE)</f>
        <v>女性</v>
      </c>
      <c r="O17" s="45">
        <f ca="1">IFERROR(VLOOKUP(B17,input_586100!L:R,7,FALSE),VLOOKUP(tables_586100!C17,input_586100!A:H,8,FALSE))</f>
        <v>1401774</v>
      </c>
      <c r="P17" s="46">
        <f t="shared" ca="1" si="1"/>
        <v>1.0896874999972907E-2</v>
      </c>
      <c r="Q17" s="30">
        <v>1</v>
      </c>
      <c r="R17" s="30">
        <v>0</v>
      </c>
      <c r="S17" s="30">
        <v>0</v>
      </c>
      <c r="T17" s="30">
        <v>0</v>
      </c>
      <c r="U17" s="30">
        <v>0</v>
      </c>
      <c r="V17" s="30">
        <v>1</v>
      </c>
    </row>
    <row r="18" spans="1:22" ht="21" customHeight="1" x14ac:dyDescent="0.15">
      <c r="A18" s="2" t="str">
        <f ca="1">input_586100!A$2</f>
        <v>586100</v>
      </c>
      <c r="B18" s="6">
        <v>142</v>
      </c>
      <c r="C18" s="7" t="str">
        <f t="shared" si="0"/>
        <v>PremiumW3</v>
      </c>
      <c r="D18" s="7" t="str">
        <f t="shared" si="2"/>
        <v>PremiumW</v>
      </c>
      <c r="E18" s="7" t="str">
        <f>IF(COUNTIF('R6追加前'!A:A,B18)=0,IF(OR(I18="PremiumSS",I18="PremiumSSw"),"R5only","R3less"),"")</f>
        <v/>
      </c>
      <c r="F18" s="7" t="str">
        <f>IF(COUNTIF('R6開放'!A:A,B18)&gt;0,"R6release","")</f>
        <v/>
      </c>
      <c r="G18" s="7"/>
      <c r="H18" s="7" t="str">
        <f>VLOOKUP(B18,[1]characters!$A:$C,3,FALSE)</f>
        <v>赤ずきん</v>
      </c>
      <c r="I18" s="7" t="str">
        <f>VLOOKUP(B18,[1]characters!$A:$J,10,FALSE)</f>
        <v>PremiumW</v>
      </c>
      <c r="J18" s="7">
        <f>VLOOKUP(B18,[1]characters!$A:$I,9,FALSE)</f>
        <v>3</v>
      </c>
      <c r="K18" s="7" t="str">
        <f>VLOOKUP(B18,[1]characters!$A:$H,8,FALSE)</f>
        <v>red</v>
      </c>
      <c r="L18" s="7" t="str">
        <f>VLOOKUP(B18,[1]characters!$A:$K,11,FALSE)</f>
        <v>balance</v>
      </c>
      <c r="M18" s="7" t="str">
        <f>VLOOKUP(B18,[1]characters!$A:$M,13,FALSE)</f>
        <v>human</v>
      </c>
      <c r="N18" s="7" t="str">
        <f>VLOOKUP(B18,[1]characters!$A:$G,7,FALSE)</f>
        <v>女性</v>
      </c>
      <c r="O18" s="45">
        <f ca="1">IFERROR(VLOOKUP(B18,input_586100!L:R,7,FALSE),VLOOKUP(tables_586100!C18,input_586100!A:H,8,FALSE))</f>
        <v>0</v>
      </c>
      <c r="P18" s="46">
        <f t="shared" ca="1" si="1"/>
        <v>0</v>
      </c>
      <c r="Q18" s="30">
        <v>1</v>
      </c>
      <c r="R18" s="30">
        <v>0</v>
      </c>
      <c r="S18" s="30">
        <v>0</v>
      </c>
      <c r="T18" s="30">
        <v>0</v>
      </c>
      <c r="U18" s="30">
        <v>0</v>
      </c>
      <c r="V18" s="30">
        <v>1</v>
      </c>
    </row>
    <row r="19" spans="1:22" s="12" customFormat="1" ht="21" customHeight="1" thickBot="1" x14ac:dyDescent="0.2">
      <c r="A19" s="2" t="str">
        <f ca="1">input_586100!A$2</f>
        <v>586100</v>
      </c>
      <c r="B19" s="6">
        <v>143</v>
      </c>
      <c r="C19" s="7" t="str">
        <f t="shared" si="0"/>
        <v>PremiumW4</v>
      </c>
      <c r="D19" s="7" t="str">
        <f t="shared" si="2"/>
        <v>PremiumW</v>
      </c>
      <c r="E19" s="7" t="str">
        <f>IF(COUNTIF('R6追加前'!A:A,B19)=0,IF(OR(I19="PremiumSS",I19="PremiumSSw"),"R5only","R3less"),"")</f>
        <v/>
      </c>
      <c r="F19" s="7" t="str">
        <f>IF(COUNTIF('R6開放'!A:A,B19)&gt;0,"R6release","")</f>
        <v/>
      </c>
      <c r="G19" s="7"/>
      <c r="H19" s="7" t="str">
        <f>VLOOKUP(B19,[1]characters!$A:$C,3,FALSE)</f>
        <v>深紅の死神 赤ずきん</v>
      </c>
      <c r="I19" s="7" t="str">
        <f>VLOOKUP(B19,[1]characters!$A:$J,10,FALSE)</f>
        <v>PremiumW</v>
      </c>
      <c r="J19" s="7">
        <f>VLOOKUP(B19,[1]characters!$A:$I,9,FALSE)</f>
        <v>4</v>
      </c>
      <c r="K19" s="7" t="str">
        <f>VLOOKUP(B19,[1]characters!$A:$H,8,FALSE)</f>
        <v>red</v>
      </c>
      <c r="L19" s="7" t="str">
        <f>VLOOKUP(B19,[1]characters!$A:$K,11,FALSE)</f>
        <v>balance</v>
      </c>
      <c r="M19" s="7" t="str">
        <f>VLOOKUP(B19,[1]characters!$A:$M,13,FALSE)</f>
        <v>human</v>
      </c>
      <c r="N19" s="7" t="str">
        <f>VLOOKUP(B19,[1]characters!$A:$G,7,FALSE)</f>
        <v>女性</v>
      </c>
      <c r="O19" s="45">
        <f ca="1">IFERROR(VLOOKUP(B19,input_586100!L:R,7,FALSE),VLOOKUP(tables_586100!C19,input_586100!A:H,8,FALSE))</f>
        <v>1401774</v>
      </c>
      <c r="P19" s="46">
        <f t="shared" ca="1" si="1"/>
        <v>1.0896874999972907E-2</v>
      </c>
      <c r="Q19" s="30">
        <v>1</v>
      </c>
      <c r="R19" s="30">
        <v>0</v>
      </c>
      <c r="S19" s="30">
        <v>0</v>
      </c>
      <c r="T19" s="30">
        <v>0</v>
      </c>
      <c r="U19" s="30">
        <v>0</v>
      </c>
      <c r="V19" s="30">
        <v>1</v>
      </c>
    </row>
    <row r="20" spans="1:22" ht="21" customHeight="1" x14ac:dyDescent="0.15">
      <c r="A20" s="2" t="str">
        <f ca="1">input_586100!A$2</f>
        <v>586100</v>
      </c>
      <c r="B20" s="6">
        <v>144</v>
      </c>
      <c r="C20" s="7" t="str">
        <f t="shared" si="0"/>
        <v>PremiumW3</v>
      </c>
      <c r="D20" s="7" t="str">
        <f t="shared" si="2"/>
        <v>PremiumW</v>
      </c>
      <c r="E20" s="7" t="str">
        <f>IF(COUNTIF('R6追加前'!A:A,B20)=0,IF(OR(I20="PremiumSS",I20="PremiumSSw"),"R5only","R3less"),"")</f>
        <v/>
      </c>
      <c r="F20" s="7" t="str">
        <f>IF(COUNTIF('R6開放'!A:A,B20)&gt;0,"R6release","")</f>
        <v/>
      </c>
      <c r="G20" s="7"/>
      <c r="H20" s="7" t="str">
        <f>VLOOKUP(B20,[1]characters!$A:$C,3,FALSE)</f>
        <v>かぐや</v>
      </c>
      <c r="I20" s="7" t="str">
        <f>VLOOKUP(B20,[1]characters!$A:$J,10,FALSE)</f>
        <v>PremiumW</v>
      </c>
      <c r="J20" s="7">
        <f>VLOOKUP(B20,[1]characters!$A:$I,9,FALSE)</f>
        <v>3</v>
      </c>
      <c r="K20" s="7" t="str">
        <f>VLOOKUP(B20,[1]characters!$A:$H,8,FALSE)</f>
        <v>green</v>
      </c>
      <c r="L20" s="7" t="str">
        <f>VLOOKUP(B20,[1]characters!$A:$K,11,FALSE)</f>
        <v>hp</v>
      </c>
      <c r="M20" s="7" t="str">
        <f>VLOOKUP(B20,[1]characters!$A:$M,13,FALSE)</f>
        <v>human</v>
      </c>
      <c r="N20" s="7" t="str">
        <f>VLOOKUP(B20,[1]characters!$A:$G,7,FALSE)</f>
        <v>女性</v>
      </c>
      <c r="O20" s="45">
        <f ca="1">IFERROR(VLOOKUP(B20,input_586100!L:R,7,FALSE),VLOOKUP(tables_586100!C20,input_586100!A:H,8,FALSE))</f>
        <v>0</v>
      </c>
      <c r="P20" s="46">
        <f t="shared" ca="1" si="1"/>
        <v>0</v>
      </c>
      <c r="Q20" s="30">
        <v>1</v>
      </c>
      <c r="R20" s="30">
        <v>0</v>
      </c>
      <c r="S20" s="30">
        <v>0</v>
      </c>
      <c r="T20" s="30">
        <v>0</v>
      </c>
      <c r="U20" s="30">
        <v>0</v>
      </c>
      <c r="V20" s="30">
        <v>1</v>
      </c>
    </row>
    <row r="21" spans="1:22" ht="21" customHeight="1" x14ac:dyDescent="0.15">
      <c r="A21" s="2" t="str">
        <f ca="1">input_586100!A$2</f>
        <v>586100</v>
      </c>
      <c r="B21" s="6">
        <v>145</v>
      </c>
      <c r="C21" s="7" t="str">
        <f t="shared" si="0"/>
        <v>PremiumW4</v>
      </c>
      <c r="D21" s="7" t="str">
        <f t="shared" si="2"/>
        <v>PremiumW</v>
      </c>
      <c r="E21" s="7" t="str">
        <f>IF(COUNTIF('R6追加前'!A:A,B21)=0,IF(OR(I21="PremiumSS",I21="PremiumSSw"),"R5only","R3less"),"")</f>
        <v/>
      </c>
      <c r="F21" s="7" t="str">
        <f>IF(COUNTIF('R6開放'!A:A,B21)&gt;0,"R6release","")</f>
        <v/>
      </c>
      <c r="G21" s="7"/>
      <c r="H21" s="7" t="str">
        <f>VLOOKUP(B21,[1]characters!$A:$C,3,FALSE)</f>
        <v>魔性妖艶 かぐや</v>
      </c>
      <c r="I21" s="7" t="str">
        <f>VLOOKUP(B21,[1]characters!$A:$J,10,FALSE)</f>
        <v>PremiumW</v>
      </c>
      <c r="J21" s="7">
        <f>VLOOKUP(B21,[1]characters!$A:$I,9,FALSE)</f>
        <v>4</v>
      </c>
      <c r="K21" s="7" t="str">
        <f>VLOOKUP(B21,[1]characters!$A:$H,8,FALSE)</f>
        <v>green</v>
      </c>
      <c r="L21" s="7" t="str">
        <f>VLOOKUP(B21,[1]characters!$A:$K,11,FALSE)</f>
        <v>hp</v>
      </c>
      <c r="M21" s="7" t="str">
        <f>VLOOKUP(B21,[1]characters!$A:$M,13,FALSE)</f>
        <v>human</v>
      </c>
      <c r="N21" s="7" t="str">
        <f>VLOOKUP(B21,[1]characters!$A:$G,7,FALSE)</f>
        <v>女性</v>
      </c>
      <c r="O21" s="45">
        <f ca="1">IFERROR(VLOOKUP(B21,input_586100!L:R,7,FALSE),VLOOKUP(tables_586100!C21,input_586100!A:H,8,FALSE))</f>
        <v>1401774</v>
      </c>
      <c r="P21" s="46">
        <f t="shared" ca="1" si="1"/>
        <v>1.0896874999972907E-2</v>
      </c>
      <c r="Q21" s="30">
        <v>1</v>
      </c>
      <c r="R21" s="30">
        <v>0</v>
      </c>
      <c r="S21" s="30">
        <v>0</v>
      </c>
      <c r="T21" s="30">
        <v>0</v>
      </c>
      <c r="U21" s="30">
        <v>0</v>
      </c>
      <c r="V21" s="30">
        <v>1</v>
      </c>
    </row>
    <row r="22" spans="1:22" ht="21" customHeight="1" x14ac:dyDescent="0.15">
      <c r="A22" s="2" t="str">
        <f ca="1">input_586100!A$2</f>
        <v>586100</v>
      </c>
      <c r="B22" s="6">
        <v>146</v>
      </c>
      <c r="C22" s="7" t="str">
        <f t="shared" si="0"/>
        <v>PremiumW3</v>
      </c>
      <c r="D22" s="7" t="str">
        <f t="shared" si="2"/>
        <v>PremiumW</v>
      </c>
      <c r="E22" s="7" t="str">
        <f>IF(COUNTIF('R6追加前'!A:A,B22)=0,IF(OR(I22="PremiumSS",I22="PremiumSSw"),"R5only","R3less"),"")</f>
        <v/>
      </c>
      <c r="F22" s="7" t="str">
        <f>IF(COUNTIF('R6開放'!A:A,B22)&gt;0,"R6release","")</f>
        <v/>
      </c>
      <c r="G22" s="7"/>
      <c r="H22" s="7" t="str">
        <f>VLOOKUP(B22,[1]characters!$A:$C,3,FALSE)</f>
        <v>マーメイド</v>
      </c>
      <c r="I22" s="7" t="str">
        <f>VLOOKUP(B22,[1]characters!$A:$J,10,FALSE)</f>
        <v>PremiumW</v>
      </c>
      <c r="J22" s="7">
        <f>VLOOKUP(B22,[1]characters!$A:$I,9,FALSE)</f>
        <v>3</v>
      </c>
      <c r="K22" s="7" t="str">
        <f>VLOOKUP(B22,[1]characters!$A:$H,8,FALSE)</f>
        <v>blue</v>
      </c>
      <c r="L22" s="7" t="str">
        <f>VLOOKUP(B22,[1]characters!$A:$K,11,FALSE)</f>
        <v>hp</v>
      </c>
      <c r="M22" s="7" t="str">
        <f>VLOOKUP(B22,[1]characters!$A:$M,13,FALSE)</f>
        <v>human</v>
      </c>
      <c r="N22" s="7" t="str">
        <f>VLOOKUP(B22,[1]characters!$A:$G,7,FALSE)</f>
        <v>女性</v>
      </c>
      <c r="O22" s="45">
        <f ca="1">IFERROR(VLOOKUP(B22,input_586100!L:R,7,FALSE),VLOOKUP(tables_586100!C22,input_586100!A:H,8,FALSE))</f>
        <v>0</v>
      </c>
      <c r="P22" s="46">
        <f t="shared" ca="1" si="1"/>
        <v>0</v>
      </c>
      <c r="Q22" s="30">
        <v>1</v>
      </c>
      <c r="R22" s="30">
        <v>0</v>
      </c>
      <c r="S22" s="30">
        <v>0</v>
      </c>
      <c r="T22" s="30">
        <v>0</v>
      </c>
      <c r="U22" s="30">
        <v>0</v>
      </c>
      <c r="V22" s="30">
        <v>1</v>
      </c>
    </row>
    <row r="23" spans="1:22" ht="21" customHeight="1" x14ac:dyDescent="0.15">
      <c r="A23" s="2" t="str">
        <f ca="1">input_586100!A$2</f>
        <v>586100</v>
      </c>
      <c r="B23" s="6">
        <v>147</v>
      </c>
      <c r="C23" s="7" t="str">
        <f t="shared" si="0"/>
        <v>PremiumW4</v>
      </c>
      <c r="D23" s="7" t="str">
        <f t="shared" si="2"/>
        <v>PremiumW</v>
      </c>
      <c r="E23" s="7" t="str">
        <f>IF(COUNTIF('R6追加前'!A:A,B23)=0,IF(OR(I23="PremiumSS",I23="PremiumSSw"),"R5only","R3less"),"")</f>
        <v/>
      </c>
      <c r="F23" s="7" t="str">
        <f>IF(COUNTIF('R6開放'!A:A,B23)&gt;0,"R6release","")</f>
        <v/>
      </c>
      <c r="G23" s="7"/>
      <c r="H23" s="7" t="str">
        <f>VLOOKUP(B23,[1]characters!$A:$C,3,FALSE)</f>
        <v>蒼き閃光 元マーメイド</v>
      </c>
      <c r="I23" s="7" t="str">
        <f>VLOOKUP(B23,[1]characters!$A:$J,10,FALSE)</f>
        <v>PremiumW</v>
      </c>
      <c r="J23" s="7">
        <f>VLOOKUP(B23,[1]characters!$A:$I,9,FALSE)</f>
        <v>4</v>
      </c>
      <c r="K23" s="7" t="str">
        <f>VLOOKUP(B23,[1]characters!$A:$H,8,FALSE)</f>
        <v>blue</v>
      </c>
      <c r="L23" s="7" t="str">
        <f>VLOOKUP(B23,[1]characters!$A:$K,11,FALSE)</f>
        <v>hp</v>
      </c>
      <c r="M23" s="7" t="str">
        <f>VLOOKUP(B23,[1]characters!$A:$M,13,FALSE)</f>
        <v>human</v>
      </c>
      <c r="N23" s="7" t="str">
        <f>VLOOKUP(B23,[1]characters!$A:$G,7,FALSE)</f>
        <v>女性</v>
      </c>
      <c r="O23" s="45">
        <f ca="1">IFERROR(VLOOKUP(B23,input_586100!L:R,7,FALSE),VLOOKUP(tables_586100!C23,input_586100!A:H,8,FALSE))</f>
        <v>1401774</v>
      </c>
      <c r="P23" s="46">
        <f t="shared" ca="1" si="1"/>
        <v>1.0896874999972907E-2</v>
      </c>
      <c r="Q23" s="30">
        <v>1</v>
      </c>
      <c r="R23" s="30">
        <v>0</v>
      </c>
      <c r="S23" s="30">
        <v>0</v>
      </c>
      <c r="T23" s="30">
        <v>0</v>
      </c>
      <c r="U23" s="30">
        <v>0</v>
      </c>
      <c r="V23" s="30">
        <v>1</v>
      </c>
    </row>
    <row r="24" spans="1:22" ht="21" customHeight="1" x14ac:dyDescent="0.15">
      <c r="A24" s="2" t="str">
        <f ca="1">input_586100!A$2</f>
        <v>586100</v>
      </c>
      <c r="B24" s="6">
        <v>148</v>
      </c>
      <c r="C24" s="7" t="str">
        <f t="shared" si="0"/>
        <v>PremiumW3</v>
      </c>
      <c r="D24" s="7" t="str">
        <f t="shared" si="2"/>
        <v>PremiumW</v>
      </c>
      <c r="E24" s="7" t="str">
        <f>IF(COUNTIF('R6追加前'!A:A,B24)=0,IF(OR(I24="PremiumSS",I24="PremiumSSw"),"R5only","R3less"),"")</f>
        <v/>
      </c>
      <c r="F24" s="7" t="str">
        <f>IF(COUNTIF('R6開放'!A:A,B24)&gt;0,"R6release","")</f>
        <v/>
      </c>
      <c r="G24" s="7"/>
      <c r="H24" s="7" t="str">
        <f>VLOOKUP(B24,[1]characters!$A:$C,3,FALSE)</f>
        <v>シンデレラ</v>
      </c>
      <c r="I24" s="7" t="str">
        <f>VLOOKUP(B24,[1]characters!$A:$J,10,FALSE)</f>
        <v>PremiumW</v>
      </c>
      <c r="J24" s="7">
        <f>VLOOKUP(B24,[1]characters!$A:$I,9,FALSE)</f>
        <v>3</v>
      </c>
      <c r="K24" s="7" t="str">
        <f>VLOOKUP(B24,[1]characters!$A:$H,8,FALSE)</f>
        <v>yellow</v>
      </c>
      <c r="L24" s="7" t="str">
        <f>VLOOKUP(B24,[1]characters!$A:$K,11,FALSE)</f>
        <v>balance</v>
      </c>
      <c r="M24" s="7" t="str">
        <f>VLOOKUP(B24,[1]characters!$A:$M,13,FALSE)</f>
        <v>human</v>
      </c>
      <c r="N24" s="7" t="str">
        <f>VLOOKUP(B24,[1]characters!$A:$G,7,FALSE)</f>
        <v>女性</v>
      </c>
      <c r="O24" s="45">
        <f ca="1">IFERROR(VLOOKUP(B24,input_586100!L:R,7,FALSE),VLOOKUP(tables_586100!C24,input_586100!A:H,8,FALSE))</f>
        <v>0</v>
      </c>
      <c r="P24" s="46">
        <f t="shared" ca="1" si="1"/>
        <v>0</v>
      </c>
      <c r="Q24" s="30">
        <v>1</v>
      </c>
      <c r="R24" s="30">
        <v>0</v>
      </c>
      <c r="S24" s="30">
        <v>0</v>
      </c>
      <c r="T24" s="30">
        <v>0</v>
      </c>
      <c r="U24" s="30">
        <v>0</v>
      </c>
      <c r="V24" s="30">
        <v>1</v>
      </c>
    </row>
    <row r="25" spans="1:22" ht="21" customHeight="1" x14ac:dyDescent="0.15">
      <c r="A25" s="2" t="str">
        <f ca="1">input_586100!A$2</f>
        <v>586100</v>
      </c>
      <c r="B25" s="6">
        <v>149</v>
      </c>
      <c r="C25" s="7" t="str">
        <f t="shared" si="0"/>
        <v>PremiumW4</v>
      </c>
      <c r="D25" s="7" t="str">
        <f t="shared" si="2"/>
        <v>PremiumW</v>
      </c>
      <c r="E25" s="7" t="str">
        <f>IF(COUNTIF('R6追加前'!A:A,B25)=0,IF(OR(I25="PremiumSS",I25="PremiumSSw"),"R5only","R3less"),"")</f>
        <v/>
      </c>
      <c r="F25" s="7" t="str">
        <f>IF(COUNTIF('R6開放'!A:A,B25)&gt;0,"R6release","")</f>
        <v/>
      </c>
      <c r="G25" s="7"/>
      <c r="H25" s="7" t="str">
        <f>VLOOKUP(B25,[1]characters!$A:$C,3,FALSE)</f>
        <v>雷撃蹴技を極めし者 シンデレラ</v>
      </c>
      <c r="I25" s="7" t="str">
        <f>VLOOKUP(B25,[1]characters!$A:$J,10,FALSE)</f>
        <v>PremiumW</v>
      </c>
      <c r="J25" s="7">
        <f>VLOOKUP(B25,[1]characters!$A:$I,9,FALSE)</f>
        <v>4</v>
      </c>
      <c r="K25" s="7" t="str">
        <f>VLOOKUP(B25,[1]characters!$A:$H,8,FALSE)</f>
        <v>yellow</v>
      </c>
      <c r="L25" s="7" t="str">
        <f>VLOOKUP(B25,[1]characters!$A:$K,11,FALSE)</f>
        <v>balance</v>
      </c>
      <c r="M25" s="7" t="str">
        <f>VLOOKUP(B25,[1]characters!$A:$M,13,FALSE)</f>
        <v>human</v>
      </c>
      <c r="N25" s="7" t="str">
        <f>VLOOKUP(B25,[1]characters!$A:$G,7,FALSE)</f>
        <v>女性</v>
      </c>
      <c r="O25" s="45">
        <f ca="1">IFERROR(VLOOKUP(B25,input_586100!L:R,7,FALSE),VLOOKUP(tables_586100!C25,input_586100!A:H,8,FALSE))</f>
        <v>1401774</v>
      </c>
      <c r="P25" s="46">
        <f t="shared" ca="1" si="1"/>
        <v>1.0896874999972907E-2</v>
      </c>
      <c r="Q25" s="30">
        <v>1</v>
      </c>
      <c r="R25" s="30">
        <v>0</v>
      </c>
      <c r="S25" s="30">
        <v>0</v>
      </c>
      <c r="T25" s="30">
        <v>0</v>
      </c>
      <c r="U25" s="30">
        <v>0</v>
      </c>
      <c r="V25" s="30">
        <v>1</v>
      </c>
    </row>
    <row r="26" spans="1:22" ht="21" customHeight="1" x14ac:dyDescent="0.15">
      <c r="A26" s="2" t="str">
        <f ca="1">input_586100!A$2</f>
        <v>586100</v>
      </c>
      <c r="B26" s="6">
        <v>150</v>
      </c>
      <c r="C26" s="7" t="str">
        <f t="shared" si="0"/>
        <v>PremiumW3</v>
      </c>
      <c r="D26" s="7" t="str">
        <f t="shared" si="2"/>
        <v>PremiumW</v>
      </c>
      <c r="E26" s="7" t="str">
        <f>IF(COUNTIF('R6追加前'!A:A,B26)=0,IF(OR(I26="PremiumSS",I26="PremiumSSw"),"R5only","R3less"),"")</f>
        <v/>
      </c>
      <c r="F26" s="7" t="str">
        <f>IF(COUNTIF('R6開放'!A:A,B26)&gt;0,"R6release","")</f>
        <v/>
      </c>
      <c r="G26" s="7"/>
      <c r="H26" s="7" t="str">
        <f>VLOOKUP(B26,[1]characters!$A:$C,3,FALSE)</f>
        <v>ポイズンマスターサキ</v>
      </c>
      <c r="I26" s="7" t="str">
        <f>VLOOKUP(B26,[1]characters!$A:$J,10,FALSE)</f>
        <v>PremiumW</v>
      </c>
      <c r="J26" s="7">
        <f>VLOOKUP(B26,[1]characters!$A:$I,9,FALSE)</f>
        <v>3</v>
      </c>
      <c r="K26" s="7" t="str">
        <f>VLOOKUP(B26,[1]characters!$A:$H,8,FALSE)</f>
        <v>red</v>
      </c>
      <c r="L26" s="7" t="str">
        <f>VLOOKUP(B26,[1]characters!$A:$K,11,FALSE)</f>
        <v>technical</v>
      </c>
      <c r="M26" s="7" t="str">
        <f>VLOOKUP(B26,[1]characters!$A:$M,13,FALSE)</f>
        <v>human</v>
      </c>
      <c r="N26" s="7" t="str">
        <f>VLOOKUP(B26,[1]characters!$A:$G,7,FALSE)</f>
        <v>女性</v>
      </c>
      <c r="O26" s="45">
        <f ca="1">IFERROR(VLOOKUP(B26,input_586100!L:R,7,FALSE),VLOOKUP(tables_586100!C26,input_586100!A:H,8,FALSE))</f>
        <v>0</v>
      </c>
      <c r="P26" s="46">
        <f t="shared" ca="1" si="1"/>
        <v>0</v>
      </c>
      <c r="Q26" s="30">
        <v>1</v>
      </c>
      <c r="R26" s="30">
        <v>0</v>
      </c>
      <c r="S26" s="30">
        <v>0</v>
      </c>
      <c r="T26" s="30">
        <v>0</v>
      </c>
      <c r="U26" s="30">
        <v>0</v>
      </c>
      <c r="V26" s="30">
        <v>1</v>
      </c>
    </row>
    <row r="27" spans="1:22" ht="21" customHeight="1" x14ac:dyDescent="0.15">
      <c r="A27" s="2" t="str">
        <f ca="1">input_586100!A$2</f>
        <v>586100</v>
      </c>
      <c r="B27" s="6">
        <v>151</v>
      </c>
      <c r="C27" s="7" t="str">
        <f t="shared" si="0"/>
        <v>PremiumW4</v>
      </c>
      <c r="D27" s="7" t="str">
        <f t="shared" si="2"/>
        <v>PremiumW</v>
      </c>
      <c r="E27" s="7" t="str">
        <f>IF(COUNTIF('R6追加前'!A:A,B27)=0,IF(OR(I27="PremiumSS",I27="PremiumSSw"),"R5only","R3less"),"")</f>
        <v/>
      </c>
      <c r="F27" s="7" t="str">
        <f>IF(COUNTIF('R6開放'!A:A,B27)&gt;0,"R6release","")</f>
        <v/>
      </c>
      <c r="G27" s="7"/>
      <c r="H27" s="7" t="str">
        <f>VLOOKUP(B27,[1]characters!$A:$C,3,FALSE)</f>
        <v>毒煙の処刑人サキ</v>
      </c>
      <c r="I27" s="7" t="str">
        <f>VLOOKUP(B27,[1]characters!$A:$J,10,FALSE)</f>
        <v>PremiumW</v>
      </c>
      <c r="J27" s="7">
        <f>VLOOKUP(B27,[1]characters!$A:$I,9,FALSE)</f>
        <v>4</v>
      </c>
      <c r="K27" s="7" t="str">
        <f>VLOOKUP(B27,[1]characters!$A:$H,8,FALSE)</f>
        <v>red</v>
      </c>
      <c r="L27" s="7" t="str">
        <f>VLOOKUP(B27,[1]characters!$A:$K,11,FALSE)</f>
        <v>technical</v>
      </c>
      <c r="M27" s="7" t="str">
        <f>VLOOKUP(B27,[1]characters!$A:$M,13,FALSE)</f>
        <v>human</v>
      </c>
      <c r="N27" s="7" t="str">
        <f>VLOOKUP(B27,[1]characters!$A:$G,7,FALSE)</f>
        <v>女性</v>
      </c>
      <c r="O27" s="45">
        <f ca="1">IFERROR(VLOOKUP(B27,input_586100!L:R,7,FALSE),VLOOKUP(tables_586100!C27,input_586100!A:H,8,FALSE))</f>
        <v>1401774</v>
      </c>
      <c r="P27" s="46">
        <f t="shared" ca="1" si="1"/>
        <v>1.0896874999972907E-2</v>
      </c>
      <c r="Q27" s="30">
        <v>1</v>
      </c>
      <c r="R27" s="30">
        <v>0</v>
      </c>
      <c r="S27" s="30">
        <v>0</v>
      </c>
      <c r="T27" s="30">
        <v>0</v>
      </c>
      <c r="U27" s="30">
        <v>0</v>
      </c>
      <c r="V27" s="30">
        <v>1</v>
      </c>
    </row>
    <row r="28" spans="1:22" ht="21" customHeight="1" x14ac:dyDescent="0.15">
      <c r="A28" s="2" t="str">
        <f ca="1">input_586100!A$2</f>
        <v>586100</v>
      </c>
      <c r="B28" s="6">
        <v>152</v>
      </c>
      <c r="C28" s="7" t="str">
        <f t="shared" si="0"/>
        <v>PremiumW3</v>
      </c>
      <c r="D28" s="7" t="str">
        <f t="shared" si="2"/>
        <v>PremiumW</v>
      </c>
      <c r="E28" s="7" t="str">
        <f>IF(COUNTIF('R6追加前'!A:A,B28)=0,IF(OR(I28="PremiumSS",I28="PremiumSSw"),"R5only","R3less"),"")</f>
        <v/>
      </c>
      <c r="F28" s="7" t="str">
        <f>IF(COUNTIF('R6開放'!A:A,B28)&gt;0,"R6release","")</f>
        <v/>
      </c>
      <c r="G28" s="7"/>
      <c r="H28" s="7" t="str">
        <f>VLOOKUP(B28,[1]characters!$A:$C,3,FALSE)</f>
        <v>功夫少女ランラン</v>
      </c>
      <c r="I28" s="7" t="str">
        <f>VLOOKUP(B28,[1]characters!$A:$J,10,FALSE)</f>
        <v>PremiumW</v>
      </c>
      <c r="J28" s="7">
        <f>VLOOKUP(B28,[1]characters!$A:$I,9,FALSE)</f>
        <v>3</v>
      </c>
      <c r="K28" s="7" t="str">
        <f>VLOOKUP(B28,[1]characters!$A:$H,8,FALSE)</f>
        <v>green</v>
      </c>
      <c r="L28" s="7" t="str">
        <f>VLOOKUP(B28,[1]characters!$A:$K,11,FALSE)</f>
        <v>heal</v>
      </c>
      <c r="M28" s="7" t="str">
        <f>VLOOKUP(B28,[1]characters!$A:$M,13,FALSE)</f>
        <v>human</v>
      </c>
      <c r="N28" s="7" t="str">
        <f>VLOOKUP(B28,[1]characters!$A:$G,7,FALSE)</f>
        <v>女性</v>
      </c>
      <c r="O28" s="45">
        <f ca="1">IFERROR(VLOOKUP(B28,input_586100!L:R,7,FALSE),VLOOKUP(tables_586100!C28,input_586100!A:H,8,FALSE))</f>
        <v>0</v>
      </c>
      <c r="P28" s="46">
        <f t="shared" ca="1" si="1"/>
        <v>0</v>
      </c>
      <c r="Q28" s="30">
        <v>1</v>
      </c>
      <c r="R28" s="30">
        <v>0</v>
      </c>
      <c r="S28" s="30">
        <v>0</v>
      </c>
      <c r="T28" s="30">
        <v>0</v>
      </c>
      <c r="U28" s="30">
        <v>0</v>
      </c>
      <c r="V28" s="30">
        <v>1</v>
      </c>
    </row>
    <row r="29" spans="1:22" ht="21" customHeight="1" x14ac:dyDescent="0.15">
      <c r="A29" s="2" t="str">
        <f ca="1">input_586100!A$2</f>
        <v>586100</v>
      </c>
      <c r="B29" s="6">
        <v>153</v>
      </c>
      <c r="C29" s="7" t="str">
        <f t="shared" si="0"/>
        <v>PremiumW4</v>
      </c>
      <c r="D29" s="7" t="str">
        <f t="shared" si="2"/>
        <v>PremiumW</v>
      </c>
      <c r="E29" s="7" t="str">
        <f>IF(COUNTIF('R6追加前'!A:A,B29)=0,IF(OR(I29="PremiumSS",I29="PremiumSSw"),"R5only","R3less"),"")</f>
        <v/>
      </c>
      <c r="F29" s="7" t="str">
        <f>IF(COUNTIF('R6開放'!A:A,B29)&gt;0,"R6release","")</f>
        <v/>
      </c>
      <c r="G29" s="7"/>
      <c r="H29" s="7" t="str">
        <f>VLOOKUP(B29,[1]characters!$A:$C,3,FALSE)</f>
        <v>拳聖ランラン</v>
      </c>
      <c r="I29" s="7" t="str">
        <f>VLOOKUP(B29,[1]characters!$A:$J,10,FALSE)</f>
        <v>PremiumW</v>
      </c>
      <c r="J29" s="7">
        <f>VLOOKUP(B29,[1]characters!$A:$I,9,FALSE)</f>
        <v>4</v>
      </c>
      <c r="K29" s="7" t="str">
        <f>VLOOKUP(B29,[1]characters!$A:$H,8,FALSE)</f>
        <v>green</v>
      </c>
      <c r="L29" s="7" t="str">
        <f>VLOOKUP(B29,[1]characters!$A:$K,11,FALSE)</f>
        <v>heal</v>
      </c>
      <c r="M29" s="7" t="str">
        <f>VLOOKUP(B29,[1]characters!$A:$M,13,FALSE)</f>
        <v>human</v>
      </c>
      <c r="N29" s="7" t="str">
        <f>VLOOKUP(B29,[1]characters!$A:$G,7,FALSE)</f>
        <v>女性</v>
      </c>
      <c r="O29" s="45">
        <f ca="1">IFERROR(VLOOKUP(B29,input_586100!L:R,7,FALSE),VLOOKUP(tables_586100!C29,input_586100!A:H,8,FALSE))</f>
        <v>1401774</v>
      </c>
      <c r="P29" s="46">
        <f t="shared" ca="1" si="1"/>
        <v>1.0896874999972907E-2</v>
      </c>
      <c r="Q29" s="30">
        <v>1</v>
      </c>
      <c r="R29" s="30">
        <v>0</v>
      </c>
      <c r="S29" s="30">
        <v>0</v>
      </c>
      <c r="T29" s="30">
        <v>0</v>
      </c>
      <c r="U29" s="30">
        <v>0</v>
      </c>
      <c r="V29" s="30">
        <v>1</v>
      </c>
    </row>
    <row r="30" spans="1:22" ht="21" customHeight="1" x14ac:dyDescent="0.15">
      <c r="A30" s="2" t="str">
        <f ca="1">input_586100!A$2</f>
        <v>586100</v>
      </c>
      <c r="B30" s="6">
        <v>154</v>
      </c>
      <c r="C30" s="7" t="str">
        <f t="shared" si="0"/>
        <v>PremiumW3</v>
      </c>
      <c r="D30" s="7" t="str">
        <f t="shared" si="2"/>
        <v>PremiumW</v>
      </c>
      <c r="E30" s="7" t="str">
        <f>IF(COUNTIF('R6追加前'!A:A,B30)=0,IF(OR(I30="PremiumSS",I30="PremiumSSw"),"R5only","R3less"),"")</f>
        <v/>
      </c>
      <c r="F30" s="7" t="str">
        <f>IF(COUNTIF('R6開放'!A:A,B30)&gt;0,"R6release","")</f>
        <v/>
      </c>
      <c r="G30" s="7"/>
      <c r="H30" s="7" t="str">
        <f>VLOOKUP(B30,[1]characters!$A:$C,3,FALSE)</f>
        <v>始末屋 ハンナ</v>
      </c>
      <c r="I30" s="7" t="str">
        <f>VLOOKUP(B30,[1]characters!$A:$J,10,FALSE)</f>
        <v>PremiumW</v>
      </c>
      <c r="J30" s="7">
        <f>VLOOKUP(B30,[1]characters!$A:$I,9,FALSE)</f>
        <v>3</v>
      </c>
      <c r="K30" s="7" t="str">
        <f>VLOOKUP(B30,[1]characters!$A:$H,8,FALSE)</f>
        <v>blue</v>
      </c>
      <c r="L30" s="7" t="str">
        <f>VLOOKUP(B30,[1]characters!$A:$K,11,FALSE)</f>
        <v>heal</v>
      </c>
      <c r="M30" s="7" t="str">
        <f>VLOOKUP(B30,[1]characters!$A:$M,13,FALSE)</f>
        <v>human</v>
      </c>
      <c r="N30" s="7" t="str">
        <f>VLOOKUP(B30,[1]characters!$A:$G,7,FALSE)</f>
        <v>女性</v>
      </c>
      <c r="O30" s="45">
        <f ca="1">IFERROR(VLOOKUP(B30,input_586100!L:R,7,FALSE),VLOOKUP(tables_586100!C30,input_586100!A:H,8,FALSE))</f>
        <v>0</v>
      </c>
      <c r="P30" s="46">
        <f t="shared" ca="1" si="1"/>
        <v>0</v>
      </c>
      <c r="Q30" s="30">
        <v>1</v>
      </c>
      <c r="R30" s="30">
        <v>0</v>
      </c>
      <c r="S30" s="30">
        <v>0</v>
      </c>
      <c r="T30" s="30">
        <v>0</v>
      </c>
      <c r="U30" s="30">
        <v>0</v>
      </c>
      <c r="V30" s="30">
        <v>1</v>
      </c>
    </row>
    <row r="31" spans="1:22" ht="21" customHeight="1" x14ac:dyDescent="0.15">
      <c r="A31" s="2" t="str">
        <f ca="1">input_586100!A$2</f>
        <v>586100</v>
      </c>
      <c r="B31" s="6">
        <v>155</v>
      </c>
      <c r="C31" s="7" t="str">
        <f t="shared" si="0"/>
        <v>PremiumW4</v>
      </c>
      <c r="D31" s="7" t="str">
        <f t="shared" si="2"/>
        <v>PremiumW</v>
      </c>
      <c r="E31" s="7" t="str">
        <f>IF(COUNTIF('R6追加前'!A:A,B31)=0,IF(OR(I31="PremiumSS",I31="PremiumSSw"),"R5only","R3less"),"")</f>
        <v/>
      </c>
      <c r="F31" s="7" t="str">
        <f>IF(COUNTIF('R6開放'!A:A,B31)&gt;0,"R6release","")</f>
        <v/>
      </c>
      <c r="G31" s="7"/>
      <c r="H31" s="7" t="str">
        <f>VLOOKUP(B31,[1]characters!$A:$C,3,FALSE)</f>
        <v>隻眼の掃除屋 ハンナ</v>
      </c>
      <c r="I31" s="7" t="str">
        <f>VLOOKUP(B31,[1]characters!$A:$J,10,FALSE)</f>
        <v>PremiumW</v>
      </c>
      <c r="J31" s="7">
        <f>VLOOKUP(B31,[1]characters!$A:$I,9,FALSE)</f>
        <v>4</v>
      </c>
      <c r="K31" s="7" t="str">
        <f>VLOOKUP(B31,[1]characters!$A:$H,8,FALSE)</f>
        <v>blue</v>
      </c>
      <c r="L31" s="7" t="str">
        <f>VLOOKUP(B31,[1]characters!$A:$K,11,FALSE)</f>
        <v>heal</v>
      </c>
      <c r="M31" s="7" t="str">
        <f>VLOOKUP(B31,[1]characters!$A:$M,13,FALSE)</f>
        <v>human</v>
      </c>
      <c r="N31" s="7" t="str">
        <f>VLOOKUP(B31,[1]characters!$A:$G,7,FALSE)</f>
        <v>女性</v>
      </c>
      <c r="O31" s="45">
        <f ca="1">IFERROR(VLOOKUP(B31,input_586100!L:R,7,FALSE),VLOOKUP(tables_586100!C31,input_586100!A:H,8,FALSE))</f>
        <v>1401774</v>
      </c>
      <c r="P31" s="46">
        <f t="shared" ca="1" si="1"/>
        <v>1.0896874999972907E-2</v>
      </c>
      <c r="Q31" s="30">
        <v>1</v>
      </c>
      <c r="R31" s="30">
        <v>0</v>
      </c>
      <c r="S31" s="30">
        <v>0</v>
      </c>
      <c r="T31" s="30">
        <v>0</v>
      </c>
      <c r="U31" s="30">
        <v>0</v>
      </c>
      <c r="V31" s="30">
        <v>1</v>
      </c>
    </row>
    <row r="32" spans="1:22" ht="21" customHeight="1" x14ac:dyDescent="0.15">
      <c r="A32" s="2" t="str">
        <f ca="1">input_586100!A$2</f>
        <v>586100</v>
      </c>
      <c r="B32" s="6">
        <v>156</v>
      </c>
      <c r="C32" s="7" t="str">
        <f t="shared" si="0"/>
        <v>PremiumW3</v>
      </c>
      <c r="D32" s="7" t="str">
        <f t="shared" si="2"/>
        <v>PremiumW</v>
      </c>
      <c r="E32" s="7" t="str">
        <f>IF(COUNTIF('R6追加前'!A:A,B32)=0,IF(OR(I32="PremiumSS",I32="PremiumSSw"),"R5only","R3less"),"")</f>
        <v/>
      </c>
      <c r="F32" s="7" t="str">
        <f>IF(COUNTIF('R6開放'!A:A,B32)&gt;0,"R6release","")</f>
        <v/>
      </c>
      <c r="G32" s="7"/>
      <c r="H32" s="7" t="str">
        <f>VLOOKUP(B32,[1]characters!$A:$C,3,FALSE)</f>
        <v>踊り子 エレナ</v>
      </c>
      <c r="I32" s="7" t="str">
        <f>VLOOKUP(B32,[1]characters!$A:$J,10,FALSE)</f>
        <v>PremiumW</v>
      </c>
      <c r="J32" s="7">
        <f>VLOOKUP(B32,[1]characters!$A:$I,9,FALSE)</f>
        <v>3</v>
      </c>
      <c r="K32" s="7" t="str">
        <f>VLOOKUP(B32,[1]characters!$A:$H,8,FALSE)</f>
        <v>yellow</v>
      </c>
      <c r="L32" s="7" t="str">
        <f>VLOOKUP(B32,[1]characters!$A:$K,11,FALSE)</f>
        <v>heal</v>
      </c>
      <c r="M32" s="7" t="str">
        <f>VLOOKUP(B32,[1]characters!$A:$M,13,FALSE)</f>
        <v>human</v>
      </c>
      <c r="N32" s="7" t="str">
        <f>VLOOKUP(B32,[1]characters!$A:$G,7,FALSE)</f>
        <v>女性</v>
      </c>
      <c r="O32" s="45">
        <f ca="1">IFERROR(VLOOKUP(B32,input_586100!L:R,7,FALSE),VLOOKUP(tables_586100!C32,input_586100!A:H,8,FALSE))</f>
        <v>0</v>
      </c>
      <c r="P32" s="46">
        <f t="shared" ca="1" si="1"/>
        <v>0</v>
      </c>
      <c r="Q32" s="30">
        <v>1</v>
      </c>
      <c r="R32" s="30">
        <v>0</v>
      </c>
      <c r="S32" s="30">
        <v>0</v>
      </c>
      <c r="T32" s="30">
        <v>0</v>
      </c>
      <c r="U32" s="30">
        <v>0</v>
      </c>
      <c r="V32" s="30">
        <v>1</v>
      </c>
    </row>
    <row r="33" spans="1:22" ht="21" customHeight="1" x14ac:dyDescent="0.15">
      <c r="A33" s="2" t="str">
        <f ca="1">input_586100!A$2</f>
        <v>586100</v>
      </c>
      <c r="B33" s="6">
        <v>157</v>
      </c>
      <c r="C33" s="7" t="str">
        <f t="shared" si="0"/>
        <v>PremiumW4</v>
      </c>
      <c r="D33" s="7" t="str">
        <f t="shared" si="2"/>
        <v>PremiumW</v>
      </c>
      <c r="E33" s="7" t="str">
        <f>IF(COUNTIF('R6追加前'!A:A,B33)=0,IF(OR(I33="PremiumSS",I33="PremiumSSw"),"R5only","R3less"),"")</f>
        <v/>
      </c>
      <c r="F33" s="7" t="str">
        <f>IF(COUNTIF('R6開放'!A:A,B33)&gt;0,"R6release","")</f>
        <v/>
      </c>
      <c r="G33" s="7"/>
      <c r="H33" s="7" t="str">
        <f>VLOOKUP(B33,[1]characters!$A:$C,3,FALSE)</f>
        <v>雷光舞姫 エレナ</v>
      </c>
      <c r="I33" s="7" t="str">
        <f>VLOOKUP(B33,[1]characters!$A:$J,10,FALSE)</f>
        <v>PremiumW</v>
      </c>
      <c r="J33" s="7">
        <f>VLOOKUP(B33,[1]characters!$A:$I,9,FALSE)</f>
        <v>4</v>
      </c>
      <c r="K33" s="7" t="str">
        <f>VLOOKUP(B33,[1]characters!$A:$H,8,FALSE)</f>
        <v>yellow</v>
      </c>
      <c r="L33" s="7" t="str">
        <f>VLOOKUP(B33,[1]characters!$A:$K,11,FALSE)</f>
        <v>heal</v>
      </c>
      <c r="M33" s="7" t="str">
        <f>VLOOKUP(B33,[1]characters!$A:$M,13,FALSE)</f>
        <v>human</v>
      </c>
      <c r="N33" s="7" t="str">
        <f>VLOOKUP(B33,[1]characters!$A:$G,7,FALSE)</f>
        <v>女性</v>
      </c>
      <c r="O33" s="45">
        <f ca="1">IFERROR(VLOOKUP(B33,input_586100!L:R,7,FALSE),VLOOKUP(tables_586100!C33,input_586100!A:H,8,FALSE))</f>
        <v>1401774</v>
      </c>
      <c r="P33" s="46">
        <f t="shared" ca="1" si="1"/>
        <v>1.0896874999972907E-2</v>
      </c>
      <c r="Q33" s="30">
        <v>1</v>
      </c>
      <c r="R33" s="30">
        <v>0</v>
      </c>
      <c r="S33" s="30">
        <v>0</v>
      </c>
      <c r="T33" s="30">
        <v>0</v>
      </c>
      <c r="U33" s="30">
        <v>0</v>
      </c>
      <c r="V33" s="30">
        <v>1</v>
      </c>
    </row>
    <row r="34" spans="1:22" ht="21" customHeight="1" x14ac:dyDescent="0.15">
      <c r="A34" s="2" t="str">
        <f ca="1">input_586100!A$2</f>
        <v>586100</v>
      </c>
      <c r="B34" s="6">
        <v>158</v>
      </c>
      <c r="C34" s="7" t="str">
        <f t="shared" si="0"/>
        <v>PremiumW3</v>
      </c>
      <c r="D34" s="7" t="str">
        <f t="shared" si="2"/>
        <v>PremiumW</v>
      </c>
      <c r="E34" s="7" t="str">
        <f>IF(COUNTIF('R6追加前'!A:A,B34)=0,IF(OR(I34="PremiumSS",I34="PremiumSSw"),"R5only","R3less"),"")</f>
        <v/>
      </c>
      <c r="F34" s="7" t="str">
        <f>IF(COUNTIF('R6開放'!A:A,B34)&gt;0,"R6release","")</f>
        <v/>
      </c>
      <c r="G34" s="7"/>
      <c r="H34" s="7" t="str">
        <f>VLOOKUP(B34,[1]characters!$A:$C,3,FALSE)</f>
        <v>シスター シャルロッテ</v>
      </c>
      <c r="I34" s="7" t="str">
        <f>VLOOKUP(B34,[1]characters!$A:$J,10,FALSE)</f>
        <v>PremiumW</v>
      </c>
      <c r="J34" s="7">
        <f>VLOOKUP(B34,[1]characters!$A:$I,9,FALSE)</f>
        <v>3</v>
      </c>
      <c r="K34" s="7" t="str">
        <f>VLOOKUP(B34,[1]characters!$A:$H,8,FALSE)</f>
        <v>red</v>
      </c>
      <c r="L34" s="7" t="str">
        <f>VLOOKUP(B34,[1]characters!$A:$K,11,FALSE)</f>
        <v>heal</v>
      </c>
      <c r="M34" s="7" t="str">
        <f>VLOOKUP(B34,[1]characters!$A:$M,13,FALSE)</f>
        <v>human</v>
      </c>
      <c r="N34" s="7" t="str">
        <f>VLOOKUP(B34,[1]characters!$A:$G,7,FALSE)</f>
        <v>女性</v>
      </c>
      <c r="O34" s="45">
        <f ca="1">IFERROR(VLOOKUP(B34,input_586100!L:R,7,FALSE),VLOOKUP(tables_586100!C34,input_586100!A:H,8,FALSE))</f>
        <v>0</v>
      </c>
      <c r="P34" s="46">
        <f t="shared" ca="1" si="1"/>
        <v>0</v>
      </c>
      <c r="Q34" s="30">
        <v>1</v>
      </c>
      <c r="R34" s="30">
        <v>0</v>
      </c>
      <c r="S34" s="30">
        <v>0</v>
      </c>
      <c r="T34" s="30">
        <v>0</v>
      </c>
      <c r="U34" s="30">
        <v>0</v>
      </c>
      <c r="V34" s="30">
        <v>1</v>
      </c>
    </row>
    <row r="35" spans="1:22" ht="21" customHeight="1" x14ac:dyDescent="0.15">
      <c r="A35" s="2" t="str">
        <f ca="1">input_586100!A$2</f>
        <v>586100</v>
      </c>
      <c r="B35" s="6">
        <v>159</v>
      </c>
      <c r="C35" s="7" t="str">
        <f t="shared" si="0"/>
        <v>PremiumW4</v>
      </c>
      <c r="D35" s="7" t="str">
        <f t="shared" si="2"/>
        <v>PremiumW</v>
      </c>
      <c r="E35" s="7" t="str">
        <f>IF(COUNTIF('R6追加前'!A:A,B35)=0,IF(OR(I35="PremiumSS",I35="PremiumSSw"),"R5only","R3less"),"")</f>
        <v/>
      </c>
      <c r="F35" s="7" t="str">
        <f>IF(COUNTIF('R6開放'!A:A,B35)&gt;0,"R6release","")</f>
        <v/>
      </c>
      <c r="G35" s="7"/>
      <c r="H35" s="7" t="str">
        <f>VLOOKUP(B35,[1]characters!$A:$C,3,FALSE)</f>
        <v>邪を狩りし者 シャルロッテ</v>
      </c>
      <c r="I35" s="7" t="str">
        <f>VLOOKUP(B35,[1]characters!$A:$J,10,FALSE)</f>
        <v>PremiumW</v>
      </c>
      <c r="J35" s="7">
        <f>VLOOKUP(B35,[1]characters!$A:$I,9,FALSE)</f>
        <v>4</v>
      </c>
      <c r="K35" s="7" t="str">
        <f>VLOOKUP(B35,[1]characters!$A:$H,8,FALSE)</f>
        <v>red</v>
      </c>
      <c r="L35" s="7" t="str">
        <f>VLOOKUP(B35,[1]characters!$A:$K,11,FALSE)</f>
        <v>heal</v>
      </c>
      <c r="M35" s="7" t="str">
        <f>VLOOKUP(B35,[1]characters!$A:$M,13,FALSE)</f>
        <v>human</v>
      </c>
      <c r="N35" s="7" t="str">
        <f>VLOOKUP(B35,[1]characters!$A:$G,7,FALSE)</f>
        <v>女性</v>
      </c>
      <c r="O35" s="45">
        <f ca="1">IFERROR(VLOOKUP(B35,input_586100!L:R,7,FALSE),VLOOKUP(tables_586100!C35,input_586100!A:H,8,FALSE))</f>
        <v>1401774</v>
      </c>
      <c r="P35" s="46">
        <f t="shared" ca="1" si="1"/>
        <v>1.0896874999972907E-2</v>
      </c>
      <c r="Q35" s="30">
        <v>1</v>
      </c>
      <c r="R35" s="30">
        <v>0</v>
      </c>
      <c r="S35" s="30">
        <v>0</v>
      </c>
      <c r="T35" s="30">
        <v>0</v>
      </c>
      <c r="U35" s="30">
        <v>0</v>
      </c>
      <c r="V35" s="30">
        <v>1</v>
      </c>
    </row>
    <row r="36" spans="1:22" ht="21" customHeight="1" x14ac:dyDescent="0.15">
      <c r="A36" s="2" t="str">
        <f ca="1">input_586100!A$2</f>
        <v>586100</v>
      </c>
      <c r="B36" s="6">
        <v>160</v>
      </c>
      <c r="C36" s="7" t="str">
        <f t="shared" si="0"/>
        <v>PremiumW3</v>
      </c>
      <c r="D36" s="7" t="str">
        <f t="shared" si="2"/>
        <v>PremiumW</v>
      </c>
      <c r="E36" s="7" t="str">
        <f>IF(COUNTIF('R6追加前'!A:A,B36)=0,IF(OR(I36="PremiumSS",I36="PremiumSSw"),"R5only","R3less"),"")</f>
        <v/>
      </c>
      <c r="F36" s="7" t="str">
        <f>IF(COUNTIF('R6開放'!A:A,B36)&gt;0,"R6release","")</f>
        <v/>
      </c>
      <c r="G36" s="7"/>
      <c r="H36" s="7" t="str">
        <f>VLOOKUP(B36,[1]characters!$A:$C,3,FALSE)</f>
        <v>反逆者 クリエ</v>
      </c>
      <c r="I36" s="7" t="str">
        <f>VLOOKUP(B36,[1]characters!$A:$J,10,FALSE)</f>
        <v>PremiumW</v>
      </c>
      <c r="J36" s="7">
        <f>VLOOKUP(B36,[1]characters!$A:$I,9,FALSE)</f>
        <v>3</v>
      </c>
      <c r="K36" s="7" t="str">
        <f>VLOOKUP(B36,[1]characters!$A:$H,8,FALSE)</f>
        <v>green</v>
      </c>
      <c r="L36" s="7" t="str">
        <f>VLOOKUP(B36,[1]characters!$A:$K,11,FALSE)</f>
        <v>balance</v>
      </c>
      <c r="M36" s="7" t="str">
        <f>VLOOKUP(B36,[1]characters!$A:$M,13,FALSE)</f>
        <v>human</v>
      </c>
      <c r="N36" s="7" t="str">
        <f>VLOOKUP(B36,[1]characters!$A:$G,7,FALSE)</f>
        <v>女性</v>
      </c>
      <c r="O36" s="45">
        <f ca="1">IFERROR(VLOOKUP(B36,input_586100!L:R,7,FALSE),VLOOKUP(tables_586100!C36,input_586100!A:H,8,FALSE))</f>
        <v>0</v>
      </c>
      <c r="P36" s="46">
        <f t="shared" ca="1" si="1"/>
        <v>0</v>
      </c>
      <c r="Q36" s="30">
        <v>1</v>
      </c>
      <c r="R36" s="30">
        <v>0</v>
      </c>
      <c r="S36" s="30">
        <v>0</v>
      </c>
      <c r="T36" s="30">
        <v>0</v>
      </c>
      <c r="U36" s="30">
        <v>0</v>
      </c>
      <c r="V36" s="30">
        <v>1</v>
      </c>
    </row>
    <row r="37" spans="1:22" ht="21" customHeight="1" x14ac:dyDescent="0.15">
      <c r="A37" s="2" t="str">
        <f ca="1">input_586100!A$2</f>
        <v>586100</v>
      </c>
      <c r="B37" s="6">
        <v>161</v>
      </c>
      <c r="C37" s="7" t="str">
        <f t="shared" si="0"/>
        <v>PremiumW4</v>
      </c>
      <c r="D37" s="7" t="str">
        <f t="shared" si="2"/>
        <v>PremiumW</v>
      </c>
      <c r="E37" s="7" t="str">
        <f>IF(COUNTIF('R6追加前'!A:A,B37)=0,IF(OR(I37="PremiumSS",I37="PremiumSSw"),"R5only","R3less"),"")</f>
        <v/>
      </c>
      <c r="F37" s="7" t="str">
        <f>IF(COUNTIF('R6開放'!A:A,B37)&gt;0,"R6release","")</f>
        <v/>
      </c>
      <c r="G37" s="7"/>
      <c r="H37" s="7" t="str">
        <f>VLOOKUP(B37,[1]characters!$A:$C,3,FALSE)</f>
        <v>咆哮の先導者 クリエ</v>
      </c>
      <c r="I37" s="7" t="str">
        <f>VLOOKUP(B37,[1]characters!$A:$J,10,FALSE)</f>
        <v>PremiumW</v>
      </c>
      <c r="J37" s="7">
        <f>VLOOKUP(B37,[1]characters!$A:$I,9,FALSE)</f>
        <v>4</v>
      </c>
      <c r="K37" s="7" t="str">
        <f>VLOOKUP(B37,[1]characters!$A:$H,8,FALSE)</f>
        <v>green</v>
      </c>
      <c r="L37" s="7" t="str">
        <f>VLOOKUP(B37,[1]characters!$A:$K,11,FALSE)</f>
        <v>balance</v>
      </c>
      <c r="M37" s="7" t="str">
        <f>VLOOKUP(B37,[1]characters!$A:$M,13,FALSE)</f>
        <v>human</v>
      </c>
      <c r="N37" s="7" t="str">
        <f>VLOOKUP(B37,[1]characters!$A:$G,7,FALSE)</f>
        <v>女性</v>
      </c>
      <c r="O37" s="45">
        <f ca="1">IFERROR(VLOOKUP(B37,input_586100!L:R,7,FALSE),VLOOKUP(tables_586100!C37,input_586100!A:H,8,FALSE))</f>
        <v>1401774</v>
      </c>
      <c r="P37" s="46">
        <f t="shared" ca="1" si="1"/>
        <v>1.0896874999972907E-2</v>
      </c>
      <c r="Q37" s="30">
        <v>1</v>
      </c>
      <c r="R37" s="30">
        <v>0</v>
      </c>
      <c r="S37" s="30">
        <v>0</v>
      </c>
      <c r="T37" s="30">
        <v>0</v>
      </c>
      <c r="U37" s="30">
        <v>0</v>
      </c>
      <c r="V37" s="30">
        <v>1</v>
      </c>
    </row>
    <row r="38" spans="1:22" ht="21" customHeight="1" x14ac:dyDescent="0.15">
      <c r="A38" s="2" t="str">
        <f ca="1">input_586100!A$2</f>
        <v>586100</v>
      </c>
      <c r="B38" s="6">
        <v>162</v>
      </c>
      <c r="C38" s="7" t="str">
        <f t="shared" si="0"/>
        <v>PremiumW3</v>
      </c>
      <c r="D38" s="7" t="str">
        <f t="shared" si="2"/>
        <v>PremiumW</v>
      </c>
      <c r="E38" s="7" t="str">
        <f>IF(COUNTIF('R6追加前'!A:A,B38)=0,IF(OR(I38="PremiumSS",I38="PremiumSSw"),"R5only","R3less"),"")</f>
        <v/>
      </c>
      <c r="F38" s="7" t="str">
        <f>IF(COUNTIF('R6開放'!A:A,B38)&gt;0,"R6release","")</f>
        <v/>
      </c>
      <c r="G38" s="7"/>
      <c r="H38" s="7" t="str">
        <f>VLOOKUP(B38,[1]characters!$A:$C,3,FALSE)</f>
        <v>狂女 クララ</v>
      </c>
      <c r="I38" s="7" t="str">
        <f>VLOOKUP(B38,[1]characters!$A:$J,10,FALSE)</f>
        <v>PremiumW</v>
      </c>
      <c r="J38" s="7">
        <f>VLOOKUP(B38,[1]characters!$A:$I,9,FALSE)</f>
        <v>3</v>
      </c>
      <c r="K38" s="7" t="str">
        <f>VLOOKUP(B38,[1]characters!$A:$H,8,FALSE)</f>
        <v>blue</v>
      </c>
      <c r="L38" s="7" t="str">
        <f>VLOOKUP(B38,[1]characters!$A:$K,11,FALSE)</f>
        <v>attack</v>
      </c>
      <c r="M38" s="7" t="str">
        <f>VLOOKUP(B38,[1]characters!$A:$M,13,FALSE)</f>
        <v>human</v>
      </c>
      <c r="N38" s="7" t="str">
        <f>VLOOKUP(B38,[1]characters!$A:$G,7,FALSE)</f>
        <v>女性</v>
      </c>
      <c r="O38" s="45">
        <f ca="1">IFERROR(VLOOKUP(B38,input_586100!L:R,7,FALSE),VLOOKUP(tables_586100!C38,input_586100!A:H,8,FALSE))</f>
        <v>0</v>
      </c>
      <c r="P38" s="46">
        <f t="shared" ca="1" si="1"/>
        <v>0</v>
      </c>
      <c r="Q38" s="30">
        <v>1</v>
      </c>
      <c r="R38" s="30">
        <v>0</v>
      </c>
      <c r="S38" s="30">
        <v>0</v>
      </c>
      <c r="T38" s="30">
        <v>0</v>
      </c>
      <c r="U38" s="30">
        <v>0</v>
      </c>
      <c r="V38" s="30">
        <v>1</v>
      </c>
    </row>
    <row r="39" spans="1:22" ht="21" customHeight="1" x14ac:dyDescent="0.15">
      <c r="A39" s="2" t="str">
        <f ca="1">input_586100!A$2</f>
        <v>586100</v>
      </c>
      <c r="B39" s="6">
        <v>163</v>
      </c>
      <c r="C39" s="7" t="str">
        <f t="shared" si="0"/>
        <v>PremiumW4</v>
      </c>
      <c r="D39" s="7" t="str">
        <f t="shared" si="2"/>
        <v>PremiumW</v>
      </c>
      <c r="E39" s="7" t="str">
        <f>IF(COUNTIF('R6追加前'!A:A,B39)=0,IF(OR(I39="PremiumSS",I39="PremiumSSw"),"R5only","R3less"),"")</f>
        <v/>
      </c>
      <c r="F39" s="7" t="str">
        <f>IF(COUNTIF('R6開放'!A:A,B39)&gt;0,"R6release","")</f>
        <v/>
      </c>
      <c r="G39" s="7"/>
      <c r="H39" s="7" t="str">
        <f>VLOOKUP(B39,[1]characters!$A:$C,3,FALSE)</f>
        <v>冷酷な狂嬢 クララ</v>
      </c>
      <c r="I39" s="7" t="str">
        <f>VLOOKUP(B39,[1]characters!$A:$J,10,FALSE)</f>
        <v>PremiumW</v>
      </c>
      <c r="J39" s="7">
        <f>VLOOKUP(B39,[1]characters!$A:$I,9,FALSE)</f>
        <v>4</v>
      </c>
      <c r="K39" s="7" t="str">
        <f>VLOOKUP(B39,[1]characters!$A:$H,8,FALSE)</f>
        <v>blue</v>
      </c>
      <c r="L39" s="7" t="str">
        <f>VLOOKUP(B39,[1]characters!$A:$K,11,FALSE)</f>
        <v>attack</v>
      </c>
      <c r="M39" s="7" t="str">
        <f>VLOOKUP(B39,[1]characters!$A:$M,13,FALSE)</f>
        <v>human</v>
      </c>
      <c r="N39" s="7" t="str">
        <f>VLOOKUP(B39,[1]characters!$A:$G,7,FALSE)</f>
        <v>女性</v>
      </c>
      <c r="O39" s="45">
        <f ca="1">IFERROR(VLOOKUP(B39,input_586100!L:R,7,FALSE),VLOOKUP(tables_586100!C39,input_586100!A:H,8,FALSE))</f>
        <v>1401774</v>
      </c>
      <c r="P39" s="46">
        <f t="shared" ca="1" si="1"/>
        <v>1.0896874999972907E-2</v>
      </c>
      <c r="Q39" s="30">
        <v>1</v>
      </c>
      <c r="R39" s="30">
        <v>0</v>
      </c>
      <c r="S39" s="30">
        <v>0</v>
      </c>
      <c r="T39" s="30">
        <v>0</v>
      </c>
      <c r="U39" s="30">
        <v>0</v>
      </c>
      <c r="V39" s="30">
        <v>1</v>
      </c>
    </row>
    <row r="40" spans="1:22" ht="21" customHeight="1" x14ac:dyDescent="0.15">
      <c r="A40" s="2" t="str">
        <f ca="1">input_586100!A$2</f>
        <v>586100</v>
      </c>
      <c r="B40" s="6">
        <v>164</v>
      </c>
      <c r="C40" s="7" t="str">
        <f t="shared" si="0"/>
        <v>PremiumW3</v>
      </c>
      <c r="D40" s="7" t="str">
        <f t="shared" si="2"/>
        <v>PremiumW</v>
      </c>
      <c r="E40" s="7" t="str">
        <f>IF(COUNTIF('R6追加前'!A:A,B40)=0,IF(OR(I40="PremiumSS",I40="PremiumSSw"),"R5only","R3less"),"")</f>
        <v/>
      </c>
      <c r="F40" s="7" t="str">
        <f>IF(COUNTIF('R6開放'!A:A,B40)&gt;0,"R6release","")</f>
        <v/>
      </c>
      <c r="G40" s="7"/>
      <c r="H40" s="7" t="str">
        <f>VLOOKUP(B40,[1]characters!$A:$C,3,FALSE)</f>
        <v>イブとトモダチ</v>
      </c>
      <c r="I40" s="7" t="str">
        <f>VLOOKUP(B40,[1]characters!$A:$J,10,FALSE)</f>
        <v>PremiumW</v>
      </c>
      <c r="J40" s="7">
        <f>VLOOKUP(B40,[1]characters!$A:$I,9,FALSE)</f>
        <v>3</v>
      </c>
      <c r="K40" s="7" t="str">
        <f>VLOOKUP(B40,[1]characters!$A:$H,8,FALSE)</f>
        <v>yellow</v>
      </c>
      <c r="L40" s="7" t="str">
        <f>VLOOKUP(B40,[1]characters!$A:$K,11,FALSE)</f>
        <v>technical</v>
      </c>
      <c r="M40" s="7" t="str">
        <f>VLOOKUP(B40,[1]characters!$A:$M,13,FALSE)</f>
        <v>human</v>
      </c>
      <c r="N40" s="7" t="str">
        <f>VLOOKUP(B40,[1]characters!$A:$G,7,FALSE)</f>
        <v>女性</v>
      </c>
      <c r="O40" s="45">
        <f ca="1">IFERROR(VLOOKUP(B40,input_586100!L:R,7,FALSE),VLOOKUP(tables_586100!C40,input_586100!A:H,8,FALSE))</f>
        <v>0</v>
      </c>
      <c r="P40" s="46">
        <f t="shared" ca="1" si="1"/>
        <v>0</v>
      </c>
      <c r="Q40" s="30">
        <v>1</v>
      </c>
      <c r="R40" s="30">
        <v>0</v>
      </c>
      <c r="S40" s="30">
        <v>0</v>
      </c>
      <c r="T40" s="30">
        <v>0</v>
      </c>
      <c r="U40" s="30">
        <v>0</v>
      </c>
      <c r="V40" s="30">
        <v>1</v>
      </c>
    </row>
    <row r="41" spans="1:22" ht="21" customHeight="1" x14ac:dyDescent="0.15">
      <c r="A41" s="2" t="str">
        <f ca="1">input_586100!A$2</f>
        <v>586100</v>
      </c>
      <c r="B41" s="6">
        <v>165</v>
      </c>
      <c r="C41" s="7" t="str">
        <f t="shared" si="0"/>
        <v>PremiumW4</v>
      </c>
      <c r="D41" s="7" t="str">
        <f t="shared" si="2"/>
        <v>PremiumW</v>
      </c>
      <c r="E41" s="7" t="str">
        <f>IF(COUNTIF('R6追加前'!A:A,B41)=0,IF(OR(I41="PremiumSS",I41="PremiumSSw"),"R5only","R3less"),"")</f>
        <v/>
      </c>
      <c r="F41" s="7" t="str">
        <f>IF(COUNTIF('R6開放'!A:A,B41)&gt;0,"R6release","")</f>
        <v/>
      </c>
      <c r="G41" s="7"/>
      <c r="H41" s="7" t="str">
        <f>VLOOKUP(B41,[1]characters!$A:$C,3,FALSE)</f>
        <v>イブとたったひとりのトモダチ</v>
      </c>
      <c r="I41" s="7" t="str">
        <f>VLOOKUP(B41,[1]characters!$A:$J,10,FALSE)</f>
        <v>PremiumW</v>
      </c>
      <c r="J41" s="7">
        <f>VLOOKUP(B41,[1]characters!$A:$I,9,FALSE)</f>
        <v>4</v>
      </c>
      <c r="K41" s="7" t="str">
        <f>VLOOKUP(B41,[1]characters!$A:$H,8,FALSE)</f>
        <v>yellow</v>
      </c>
      <c r="L41" s="7" t="str">
        <f>VLOOKUP(B41,[1]characters!$A:$K,11,FALSE)</f>
        <v>technical</v>
      </c>
      <c r="M41" s="7" t="str">
        <f>VLOOKUP(B41,[1]characters!$A:$M,13,FALSE)</f>
        <v>human</v>
      </c>
      <c r="N41" s="7" t="str">
        <f>VLOOKUP(B41,[1]characters!$A:$G,7,FALSE)</f>
        <v>女性</v>
      </c>
      <c r="O41" s="45">
        <f ca="1">IFERROR(VLOOKUP(B41,input_586100!L:R,7,FALSE),VLOOKUP(tables_586100!C41,input_586100!A:H,8,FALSE))</f>
        <v>1401774</v>
      </c>
      <c r="P41" s="46">
        <f t="shared" ca="1" si="1"/>
        <v>1.0896874999972907E-2</v>
      </c>
      <c r="Q41" s="30">
        <v>1</v>
      </c>
      <c r="R41" s="30">
        <v>0</v>
      </c>
      <c r="S41" s="30">
        <v>0</v>
      </c>
      <c r="T41" s="30">
        <v>0</v>
      </c>
      <c r="U41" s="30">
        <v>0</v>
      </c>
      <c r="V41" s="30">
        <v>1</v>
      </c>
    </row>
    <row r="42" spans="1:22" ht="21" customHeight="1" x14ac:dyDescent="0.15">
      <c r="A42" s="2" t="str">
        <f ca="1">input_586100!A$2</f>
        <v>586100</v>
      </c>
      <c r="B42" s="6">
        <v>166</v>
      </c>
      <c r="C42" s="7" t="str">
        <f t="shared" si="0"/>
        <v>Premium3R6release</v>
      </c>
      <c r="D42" s="7" t="str">
        <f t="shared" si="2"/>
        <v>Premium</v>
      </c>
      <c r="E42" s="7" t="str">
        <f>IF(COUNTIF('R6追加前'!A:A,B42)=0,IF(OR(I42="PremiumSS",I42="PremiumSSw"),"R5only","R3less"),"")</f>
        <v/>
      </c>
      <c r="F42" s="7" t="str">
        <f>IF(COUNTIF('R6開放'!A:A,B42)&gt;0,"R6release","")</f>
        <v>R6release</v>
      </c>
      <c r="G42" s="7"/>
      <c r="H42" s="7" t="str">
        <f>VLOOKUP(B42,[1]characters!$A:$C,3,FALSE)</f>
        <v>ベリアル</v>
      </c>
      <c r="I42" s="7" t="str">
        <f>VLOOKUP(B42,[1]characters!$A:$J,10,FALSE)</f>
        <v>PremiumN</v>
      </c>
      <c r="J42" s="7">
        <f>VLOOKUP(B42,[1]characters!$A:$I,9,FALSE)</f>
        <v>3</v>
      </c>
      <c r="K42" s="7" t="str">
        <f>VLOOKUP(B42,[1]characters!$A:$H,8,FALSE)</f>
        <v>red</v>
      </c>
      <c r="L42" s="7" t="str">
        <f>VLOOKUP(B42,[1]characters!$A:$K,11,FALSE)</f>
        <v>attack</v>
      </c>
      <c r="M42" s="7" t="str">
        <f>VLOOKUP(B42,[1]characters!$A:$M,13,FALSE)</f>
        <v>god</v>
      </c>
      <c r="N42" s="7" t="str">
        <f>VLOOKUP(B42,[1]characters!$A:$G,7,FALSE)</f>
        <v>男性</v>
      </c>
      <c r="O42" s="45">
        <f ca="1">IFERROR(VLOOKUP(B42,input_586100!L:R,7,FALSE),VLOOKUP(tables_586100!C42,input_586100!A:H,8,FALSE))</f>
        <v>0</v>
      </c>
      <c r="P42" s="46">
        <f t="shared" ca="1" si="1"/>
        <v>0</v>
      </c>
      <c r="Q42" s="30">
        <v>1</v>
      </c>
      <c r="R42" s="30">
        <v>0</v>
      </c>
      <c r="S42" s="30">
        <v>0</v>
      </c>
      <c r="T42" s="30">
        <v>0</v>
      </c>
      <c r="U42" s="30">
        <v>0</v>
      </c>
      <c r="V42" s="30">
        <v>1</v>
      </c>
    </row>
    <row r="43" spans="1:22" ht="21" customHeight="1" x14ac:dyDescent="0.15">
      <c r="A43" s="2" t="str">
        <f ca="1">input_586100!A$2</f>
        <v>586100</v>
      </c>
      <c r="B43" s="6">
        <v>167</v>
      </c>
      <c r="C43" s="7" t="str">
        <f t="shared" si="0"/>
        <v>Premium4R6release</v>
      </c>
      <c r="D43" s="7" t="str">
        <f t="shared" si="2"/>
        <v>Premium</v>
      </c>
      <c r="E43" s="7" t="str">
        <f>IF(COUNTIF('R6追加前'!A:A,B43)=0,IF(OR(I43="PremiumSS",I43="PremiumSSw"),"R5only","R3less"),"")</f>
        <v/>
      </c>
      <c r="F43" s="7" t="str">
        <f>IF(COUNTIF('R6開放'!A:A,B43)&gt;0,"R6release","")</f>
        <v>R6release</v>
      </c>
      <c r="G43" s="7"/>
      <c r="H43" s="7" t="str">
        <f>VLOOKUP(B43,[1]characters!$A:$C,3,FALSE)</f>
        <v>逆徒 ベリアル</v>
      </c>
      <c r="I43" s="7" t="str">
        <f>VLOOKUP(B43,[1]characters!$A:$J,10,FALSE)</f>
        <v>PremiumN</v>
      </c>
      <c r="J43" s="7">
        <f>VLOOKUP(B43,[1]characters!$A:$I,9,FALSE)</f>
        <v>4</v>
      </c>
      <c r="K43" s="7" t="str">
        <f>VLOOKUP(B43,[1]characters!$A:$H,8,FALSE)</f>
        <v>red</v>
      </c>
      <c r="L43" s="7" t="str">
        <f>VLOOKUP(B43,[1]characters!$A:$K,11,FALSE)</f>
        <v>attack</v>
      </c>
      <c r="M43" s="7" t="str">
        <f>VLOOKUP(B43,[1]characters!$A:$M,13,FALSE)</f>
        <v>god</v>
      </c>
      <c r="N43" s="7" t="str">
        <f>VLOOKUP(B43,[1]characters!$A:$G,7,FALSE)</f>
        <v>男性</v>
      </c>
      <c r="O43" s="45">
        <f ca="1">IFERROR(VLOOKUP(B43,input_586100!L:R,7,FALSE),VLOOKUP(tables_586100!C43,input_586100!A:H,8,FALSE))</f>
        <v>1097460</v>
      </c>
      <c r="P43" s="46">
        <f t="shared" ca="1" si="1"/>
        <v>8.5312499999787884E-3</v>
      </c>
      <c r="Q43" s="30">
        <v>1</v>
      </c>
      <c r="R43" s="30">
        <v>0</v>
      </c>
      <c r="S43" s="30">
        <v>0</v>
      </c>
      <c r="T43" s="30">
        <v>0</v>
      </c>
      <c r="U43" s="30">
        <v>0</v>
      </c>
      <c r="V43" s="30">
        <v>1</v>
      </c>
    </row>
    <row r="44" spans="1:22" ht="22" customHeight="1" x14ac:dyDescent="0.15">
      <c r="A44" s="2" t="str">
        <f ca="1">input_586100!A$2</f>
        <v>586100</v>
      </c>
      <c r="B44" s="6">
        <v>168</v>
      </c>
      <c r="C44" s="7" t="str">
        <f t="shared" si="0"/>
        <v>Premium5R6release</v>
      </c>
      <c r="D44" s="7" t="str">
        <f t="shared" si="2"/>
        <v>Premium</v>
      </c>
      <c r="E44" s="7" t="str">
        <f>IF(COUNTIF('R6追加前'!A:A,B44)=0,IF(OR(I44="PremiumSS",I44="PremiumSSw"),"R5only","R3less"),"")</f>
        <v/>
      </c>
      <c r="F44" s="7" t="str">
        <f>IF(COUNTIF('R6開放'!A:A,B44)&gt;0,"R6release","")</f>
        <v>R6release</v>
      </c>
      <c r="G44" s="7"/>
      <c r="H44" s="7" t="str">
        <f>VLOOKUP(B44,[1]characters!$A:$C,3,FALSE)</f>
        <v>猛進の大逆者 ベリアル</v>
      </c>
      <c r="I44" s="7" t="str">
        <f>VLOOKUP(B44,[1]characters!$A:$J,10,FALSE)</f>
        <v>PremiumN</v>
      </c>
      <c r="J44" s="7">
        <f>VLOOKUP(B44,[1]characters!$A:$I,9,FALSE)</f>
        <v>5</v>
      </c>
      <c r="K44" s="7" t="str">
        <f>VLOOKUP(B44,[1]characters!$A:$H,8,FALSE)</f>
        <v>red</v>
      </c>
      <c r="L44" s="7" t="str">
        <f>VLOOKUP(B44,[1]characters!$A:$K,11,FALSE)</f>
        <v>attack</v>
      </c>
      <c r="M44" s="7" t="str">
        <f>VLOOKUP(B44,[1]characters!$A:$M,13,FALSE)</f>
        <v>god</v>
      </c>
      <c r="N44" s="7" t="str">
        <f>VLOOKUP(B44,[1]characters!$A:$G,7,FALSE)</f>
        <v>男性</v>
      </c>
      <c r="O44" s="45">
        <f ca="1">IFERROR(VLOOKUP(B44,input_586100!L:R,7,FALSE),VLOOKUP(tables_586100!C44,input_586100!A:H,8,FALSE))</f>
        <v>121940</v>
      </c>
      <c r="P44" s="46">
        <f t="shared" ca="1" si="1"/>
        <v>9.4791666666430984E-4</v>
      </c>
      <c r="Q44" s="30">
        <v>1</v>
      </c>
      <c r="R44" s="30">
        <v>0</v>
      </c>
      <c r="S44" s="30">
        <v>0</v>
      </c>
      <c r="T44" s="30">
        <v>0</v>
      </c>
      <c r="U44" s="30">
        <v>0</v>
      </c>
      <c r="V44" s="30">
        <v>1</v>
      </c>
    </row>
    <row r="45" spans="1:22" ht="21" customHeight="1" x14ac:dyDescent="0.15">
      <c r="A45" s="2" t="str">
        <f ca="1">input_586100!A$2</f>
        <v>586100</v>
      </c>
      <c r="B45" s="6">
        <v>169</v>
      </c>
      <c r="C45" s="7" t="str">
        <f t="shared" si="0"/>
        <v>Premium3R6release</v>
      </c>
      <c r="D45" s="7" t="str">
        <f t="shared" si="2"/>
        <v>Premium</v>
      </c>
      <c r="E45" s="7" t="str">
        <f>IF(COUNTIF('R6追加前'!A:A,B45)=0,IF(OR(I45="PremiumSS",I45="PremiumSSw"),"R5only","R3less"),"")</f>
        <v/>
      </c>
      <c r="F45" s="7" t="str">
        <f>IF(COUNTIF('R6開放'!A:A,B45)&gt;0,"R6release","")</f>
        <v>R6release</v>
      </c>
      <c r="G45" s="7"/>
      <c r="H45" s="7" t="str">
        <f>VLOOKUP(B45,[1]characters!$A:$C,3,FALSE)</f>
        <v>オセ</v>
      </c>
      <c r="I45" s="7" t="str">
        <f>VLOOKUP(B45,[1]characters!$A:$J,10,FALSE)</f>
        <v>PremiumN</v>
      </c>
      <c r="J45" s="7">
        <f>VLOOKUP(B45,[1]characters!$A:$I,9,FALSE)</f>
        <v>3</v>
      </c>
      <c r="K45" s="7" t="str">
        <f>VLOOKUP(B45,[1]characters!$A:$H,8,FALSE)</f>
        <v>green</v>
      </c>
      <c r="L45" s="7" t="str">
        <f>VLOOKUP(B45,[1]characters!$A:$K,11,FALSE)</f>
        <v>attack</v>
      </c>
      <c r="M45" s="7" t="str">
        <f>VLOOKUP(B45,[1]characters!$A:$M,13,FALSE)</f>
        <v>god</v>
      </c>
      <c r="N45" s="7" t="str">
        <f>VLOOKUP(B45,[1]characters!$A:$G,7,FALSE)</f>
        <v>女性</v>
      </c>
      <c r="O45" s="45">
        <f ca="1">IFERROR(VLOOKUP(B45,input_586100!L:R,7,FALSE),VLOOKUP(tables_586100!C45,input_586100!A:H,8,FALSE))</f>
        <v>0</v>
      </c>
      <c r="P45" s="46">
        <f t="shared" ca="1" si="1"/>
        <v>0</v>
      </c>
      <c r="Q45" s="30">
        <v>1</v>
      </c>
      <c r="R45" s="30">
        <v>0</v>
      </c>
      <c r="S45" s="30">
        <v>0</v>
      </c>
      <c r="T45" s="30">
        <v>0</v>
      </c>
      <c r="U45" s="30">
        <v>0</v>
      </c>
      <c r="V45" s="30">
        <v>1</v>
      </c>
    </row>
    <row r="46" spans="1:22" ht="21" customHeight="1" x14ac:dyDescent="0.15">
      <c r="A46" s="2" t="str">
        <f ca="1">input_586100!A$2</f>
        <v>586100</v>
      </c>
      <c r="B46" s="6">
        <v>170</v>
      </c>
      <c r="C46" s="7" t="str">
        <f t="shared" si="0"/>
        <v>Premium4R6release</v>
      </c>
      <c r="D46" s="7" t="str">
        <f t="shared" si="2"/>
        <v>Premium</v>
      </c>
      <c r="E46" s="7" t="str">
        <f>IF(COUNTIF('R6追加前'!A:A,B46)=0,IF(OR(I46="PremiumSS",I46="PremiumSSw"),"R5only","R3less"),"")</f>
        <v/>
      </c>
      <c r="F46" s="7" t="str">
        <f>IF(COUNTIF('R6開放'!A:A,B46)&gt;0,"R6release","")</f>
        <v>R6release</v>
      </c>
      <c r="G46" s="7"/>
      <c r="H46" s="7" t="str">
        <f>VLOOKUP(B46,[1]characters!$A:$C,3,FALSE)</f>
        <v>識徒 オセ</v>
      </c>
      <c r="I46" s="7" t="str">
        <f>VLOOKUP(B46,[1]characters!$A:$J,10,FALSE)</f>
        <v>PremiumN</v>
      </c>
      <c r="J46" s="7">
        <f>VLOOKUP(B46,[1]characters!$A:$I,9,FALSE)</f>
        <v>4</v>
      </c>
      <c r="K46" s="7" t="str">
        <f>VLOOKUP(B46,[1]characters!$A:$H,8,FALSE)</f>
        <v>green</v>
      </c>
      <c r="L46" s="7" t="str">
        <f>VLOOKUP(B46,[1]characters!$A:$K,11,FALSE)</f>
        <v>attack</v>
      </c>
      <c r="M46" s="7" t="str">
        <f>VLOOKUP(B46,[1]characters!$A:$M,13,FALSE)</f>
        <v>god</v>
      </c>
      <c r="N46" s="7" t="str">
        <f>VLOOKUP(B46,[1]characters!$A:$G,7,FALSE)</f>
        <v>女性</v>
      </c>
      <c r="O46" s="45">
        <f ca="1">IFERROR(VLOOKUP(B46,input_586100!L:R,7,FALSE),VLOOKUP(tables_586100!C46,input_586100!A:H,8,FALSE))</f>
        <v>1097460</v>
      </c>
      <c r="P46" s="46">
        <f t="shared" ca="1" si="1"/>
        <v>8.5312499999787884E-3</v>
      </c>
      <c r="Q46" s="30">
        <v>1</v>
      </c>
      <c r="R46" s="30">
        <v>0</v>
      </c>
      <c r="S46" s="30">
        <v>0</v>
      </c>
      <c r="T46" s="30">
        <v>0</v>
      </c>
      <c r="U46" s="30">
        <v>0</v>
      </c>
      <c r="V46" s="30">
        <v>1</v>
      </c>
    </row>
    <row r="47" spans="1:22" ht="21" customHeight="1" x14ac:dyDescent="0.15">
      <c r="A47" s="2" t="str">
        <f ca="1">input_586100!A$2</f>
        <v>586100</v>
      </c>
      <c r="B47" s="6">
        <v>171</v>
      </c>
      <c r="C47" s="7" t="str">
        <f t="shared" si="0"/>
        <v>Premium5R6release</v>
      </c>
      <c r="D47" s="7" t="str">
        <f t="shared" si="2"/>
        <v>Premium</v>
      </c>
      <c r="E47" s="7" t="str">
        <f>IF(COUNTIF('R6追加前'!A:A,B47)=0,IF(OR(I47="PremiumSS",I47="PremiumSSw"),"R5only","R3less"),"")</f>
        <v/>
      </c>
      <c r="F47" s="7" t="str">
        <f>IF(COUNTIF('R6開放'!A:A,B47)&gt;0,"R6release","")</f>
        <v>R6release</v>
      </c>
      <c r="G47" s="7"/>
      <c r="H47" s="7" t="str">
        <f>VLOOKUP(B47,[1]characters!$A:$C,3,FALSE)</f>
        <v>精解の預知者 オセ</v>
      </c>
      <c r="I47" s="7" t="str">
        <f>VLOOKUP(B47,[1]characters!$A:$J,10,FALSE)</f>
        <v>PremiumN</v>
      </c>
      <c r="J47" s="7">
        <f>VLOOKUP(B47,[1]characters!$A:$I,9,FALSE)</f>
        <v>5</v>
      </c>
      <c r="K47" s="7" t="str">
        <f>VLOOKUP(B47,[1]characters!$A:$H,8,FALSE)</f>
        <v>green</v>
      </c>
      <c r="L47" s="7" t="str">
        <f>VLOOKUP(B47,[1]characters!$A:$K,11,FALSE)</f>
        <v>attack</v>
      </c>
      <c r="M47" s="7" t="str">
        <f>VLOOKUP(B47,[1]characters!$A:$M,13,FALSE)</f>
        <v>god</v>
      </c>
      <c r="N47" s="7" t="str">
        <f>VLOOKUP(B47,[1]characters!$A:$G,7,FALSE)</f>
        <v>女性</v>
      </c>
      <c r="O47" s="45">
        <f ca="1">IFERROR(VLOOKUP(B47,input_586100!L:R,7,FALSE),VLOOKUP(tables_586100!C47,input_586100!A:H,8,FALSE))</f>
        <v>121940</v>
      </c>
      <c r="P47" s="46">
        <f t="shared" ca="1" si="1"/>
        <v>9.4791666666430984E-4</v>
      </c>
      <c r="Q47" s="30">
        <v>1</v>
      </c>
      <c r="R47" s="30">
        <v>0</v>
      </c>
      <c r="S47" s="30">
        <v>0</v>
      </c>
      <c r="T47" s="30">
        <v>0</v>
      </c>
      <c r="U47" s="30">
        <v>0</v>
      </c>
      <c r="V47" s="30">
        <v>1</v>
      </c>
    </row>
    <row r="48" spans="1:22" ht="21" customHeight="1" x14ac:dyDescent="0.15">
      <c r="A48" s="2" t="str">
        <f ca="1">input_586100!A$2</f>
        <v>586100</v>
      </c>
      <c r="B48" s="6">
        <v>172</v>
      </c>
      <c r="C48" s="7" t="str">
        <f t="shared" si="0"/>
        <v>Premium3R6release</v>
      </c>
      <c r="D48" s="7" t="str">
        <f t="shared" si="2"/>
        <v>Premium</v>
      </c>
      <c r="E48" s="7" t="str">
        <f>IF(COUNTIF('R6追加前'!A:A,B48)=0,IF(OR(I48="PremiumSS",I48="PremiumSSw"),"R5only","R3less"),"")</f>
        <v/>
      </c>
      <c r="F48" s="7" t="str">
        <f>IF(COUNTIF('R6開放'!A:A,B48)&gt;0,"R6release","")</f>
        <v>R6release</v>
      </c>
      <c r="G48" s="7"/>
      <c r="H48" s="7" t="str">
        <f>VLOOKUP(B48,[1]characters!$A:$C,3,FALSE)</f>
        <v>フォルネウス</v>
      </c>
      <c r="I48" s="7" t="str">
        <f>VLOOKUP(B48,[1]characters!$A:$J,10,FALSE)</f>
        <v>PremiumN</v>
      </c>
      <c r="J48" s="7">
        <f>VLOOKUP(B48,[1]characters!$A:$I,9,FALSE)</f>
        <v>3</v>
      </c>
      <c r="K48" s="7" t="str">
        <f>VLOOKUP(B48,[1]characters!$A:$H,8,FALSE)</f>
        <v>blue</v>
      </c>
      <c r="L48" s="7" t="str">
        <f>VLOOKUP(B48,[1]characters!$A:$K,11,FALSE)</f>
        <v>attack</v>
      </c>
      <c r="M48" s="7" t="str">
        <f>VLOOKUP(B48,[1]characters!$A:$M,13,FALSE)</f>
        <v>god</v>
      </c>
      <c r="N48" s="7" t="str">
        <f>VLOOKUP(B48,[1]characters!$A:$G,7,FALSE)</f>
        <v>女性</v>
      </c>
      <c r="O48" s="45">
        <f ca="1">IFERROR(VLOOKUP(B48,input_586100!L:R,7,FALSE),VLOOKUP(tables_586100!C48,input_586100!A:H,8,FALSE))</f>
        <v>0</v>
      </c>
      <c r="P48" s="46">
        <f t="shared" ca="1" si="1"/>
        <v>0</v>
      </c>
      <c r="Q48" s="30">
        <v>1</v>
      </c>
      <c r="R48" s="30">
        <v>0</v>
      </c>
      <c r="S48" s="30">
        <v>0</v>
      </c>
      <c r="T48" s="30">
        <v>0</v>
      </c>
      <c r="U48" s="30">
        <v>0</v>
      </c>
      <c r="V48" s="30">
        <v>1</v>
      </c>
    </row>
    <row r="49" spans="1:22" ht="21" customHeight="1" x14ac:dyDescent="0.15">
      <c r="A49" s="2" t="str">
        <f ca="1">input_586100!A$2</f>
        <v>586100</v>
      </c>
      <c r="B49" s="6">
        <v>173</v>
      </c>
      <c r="C49" s="7" t="str">
        <f t="shared" si="0"/>
        <v>Premium4R6release</v>
      </c>
      <c r="D49" s="7" t="str">
        <f t="shared" si="2"/>
        <v>Premium</v>
      </c>
      <c r="E49" s="7" t="str">
        <f>IF(COUNTIF('R6追加前'!A:A,B49)=0,IF(OR(I49="PremiumSS",I49="PremiumSSw"),"R5only","R3less"),"")</f>
        <v/>
      </c>
      <c r="F49" s="7" t="str">
        <f>IF(COUNTIF('R6開放'!A:A,B49)&gt;0,"R6release","")</f>
        <v>R6release</v>
      </c>
      <c r="G49" s="7"/>
      <c r="H49" s="7" t="str">
        <f>VLOOKUP(B49,[1]characters!$A:$C,3,FALSE)</f>
        <v>公爵 フォルネウス</v>
      </c>
      <c r="I49" s="7" t="str">
        <f>VLOOKUP(B49,[1]characters!$A:$J,10,FALSE)</f>
        <v>PremiumN</v>
      </c>
      <c r="J49" s="7">
        <f>VLOOKUP(B49,[1]characters!$A:$I,9,FALSE)</f>
        <v>4</v>
      </c>
      <c r="K49" s="7" t="str">
        <f>VLOOKUP(B49,[1]characters!$A:$H,8,FALSE)</f>
        <v>blue</v>
      </c>
      <c r="L49" s="7" t="str">
        <f>VLOOKUP(B49,[1]characters!$A:$K,11,FALSE)</f>
        <v>attack</v>
      </c>
      <c r="M49" s="7" t="str">
        <f>VLOOKUP(B49,[1]characters!$A:$M,13,FALSE)</f>
        <v>god</v>
      </c>
      <c r="N49" s="7" t="str">
        <f>VLOOKUP(B49,[1]characters!$A:$G,7,FALSE)</f>
        <v>女性</v>
      </c>
      <c r="O49" s="45">
        <f ca="1">IFERROR(VLOOKUP(B49,input_586100!L:R,7,FALSE),VLOOKUP(tables_586100!C49,input_586100!A:H,8,FALSE))</f>
        <v>1097460</v>
      </c>
      <c r="P49" s="46">
        <f t="shared" ca="1" si="1"/>
        <v>8.5312499999787884E-3</v>
      </c>
      <c r="Q49" s="30">
        <v>1</v>
      </c>
      <c r="R49" s="30">
        <v>0</v>
      </c>
      <c r="S49" s="30">
        <v>0</v>
      </c>
      <c r="T49" s="30">
        <v>0</v>
      </c>
      <c r="U49" s="30">
        <v>0</v>
      </c>
      <c r="V49" s="30">
        <v>1</v>
      </c>
    </row>
    <row r="50" spans="1:22" ht="21" customHeight="1" x14ac:dyDescent="0.15">
      <c r="A50" s="2" t="str">
        <f ca="1">input_586100!A$2</f>
        <v>586100</v>
      </c>
      <c r="B50" s="6">
        <v>174</v>
      </c>
      <c r="C50" s="7" t="str">
        <f t="shared" si="0"/>
        <v>Premium5R6release</v>
      </c>
      <c r="D50" s="7" t="str">
        <f t="shared" si="2"/>
        <v>Premium</v>
      </c>
      <c r="E50" s="7" t="str">
        <f>IF(COUNTIF('R6追加前'!A:A,B50)=0,IF(OR(I50="PremiumSS",I50="PremiumSSw"),"R5only","R3less"),"")</f>
        <v/>
      </c>
      <c r="F50" s="7" t="str">
        <f>IF(COUNTIF('R6開放'!A:A,B50)&gt;0,"R6release","")</f>
        <v>R6release</v>
      </c>
      <c r="G50" s="7"/>
      <c r="H50" s="7" t="str">
        <f>VLOOKUP(B50,[1]characters!$A:$C,3,FALSE)</f>
        <v>偽愛の大公爵 フォルネウス</v>
      </c>
      <c r="I50" s="7" t="str">
        <f>VLOOKUP(B50,[1]characters!$A:$J,10,FALSE)</f>
        <v>PremiumN</v>
      </c>
      <c r="J50" s="7">
        <f>VLOOKUP(B50,[1]characters!$A:$I,9,FALSE)</f>
        <v>5</v>
      </c>
      <c r="K50" s="7" t="str">
        <f>VLOOKUP(B50,[1]characters!$A:$H,8,FALSE)</f>
        <v>blue</v>
      </c>
      <c r="L50" s="7" t="str">
        <f>VLOOKUP(B50,[1]characters!$A:$K,11,FALSE)</f>
        <v>attack</v>
      </c>
      <c r="M50" s="7" t="str">
        <f>VLOOKUP(B50,[1]characters!$A:$M,13,FALSE)</f>
        <v>god</v>
      </c>
      <c r="N50" s="7" t="str">
        <f>VLOOKUP(B50,[1]characters!$A:$G,7,FALSE)</f>
        <v>女性</v>
      </c>
      <c r="O50" s="45">
        <f ca="1">IFERROR(VLOOKUP(B50,input_586100!L:R,7,FALSE),VLOOKUP(tables_586100!C50,input_586100!A:H,8,FALSE))</f>
        <v>121940</v>
      </c>
      <c r="P50" s="46">
        <f t="shared" ca="1" si="1"/>
        <v>9.4791666666430984E-4</v>
      </c>
      <c r="Q50" s="30">
        <v>1</v>
      </c>
      <c r="R50" s="30">
        <v>0</v>
      </c>
      <c r="S50" s="30">
        <v>0</v>
      </c>
      <c r="T50" s="30">
        <v>0</v>
      </c>
      <c r="U50" s="30">
        <v>0</v>
      </c>
      <c r="V50" s="30">
        <v>1</v>
      </c>
    </row>
    <row r="51" spans="1:22" ht="21" customHeight="1" x14ac:dyDescent="0.15">
      <c r="A51" s="2" t="str">
        <f ca="1">input_586100!A$2</f>
        <v>586100</v>
      </c>
      <c r="B51" s="6">
        <v>175</v>
      </c>
      <c r="C51" s="7" t="str">
        <f t="shared" si="0"/>
        <v>Premium3</v>
      </c>
      <c r="D51" s="7" t="str">
        <f t="shared" si="2"/>
        <v>Premium</v>
      </c>
      <c r="E51" s="7" t="str">
        <f>IF(COUNTIF('R6追加前'!A:A,B51)=0,IF(OR(I51="PremiumSS",I51="PremiumSSw"),"R5only","R3less"),"")</f>
        <v/>
      </c>
      <c r="F51" s="7" t="str">
        <f>IF(COUNTIF('R6開放'!A:A,B51)&gt;0,"R6release","")</f>
        <v/>
      </c>
      <c r="G51" s="7"/>
      <c r="H51" s="7" t="str">
        <f>VLOOKUP(B51,[1]characters!$A:$C,3,FALSE)</f>
        <v>バフォメット</v>
      </c>
      <c r="I51" s="7" t="str">
        <f>VLOOKUP(B51,[1]characters!$A:$J,10,FALSE)</f>
        <v>PremiumN</v>
      </c>
      <c r="J51" s="7">
        <f>VLOOKUP(B51,[1]characters!$A:$I,9,FALSE)</f>
        <v>3</v>
      </c>
      <c r="K51" s="7" t="str">
        <f>VLOOKUP(B51,[1]characters!$A:$H,8,FALSE)</f>
        <v>yellow</v>
      </c>
      <c r="L51" s="7" t="str">
        <f>VLOOKUP(B51,[1]characters!$A:$K,11,FALSE)</f>
        <v>attack</v>
      </c>
      <c r="M51" s="7" t="str">
        <f>VLOOKUP(B51,[1]characters!$A:$M,13,FALSE)</f>
        <v>god</v>
      </c>
      <c r="N51" s="7" t="str">
        <f>VLOOKUP(B51,[1]characters!$A:$G,7,FALSE)</f>
        <v>女性</v>
      </c>
      <c r="O51" s="45">
        <f ca="1">IFERROR(VLOOKUP(B51,input_586100!L:R,7,FALSE),VLOOKUP(tables_586100!C51,input_586100!A:H,8,FALSE))</f>
        <v>0</v>
      </c>
      <c r="P51" s="46">
        <f t="shared" ca="1" si="1"/>
        <v>0</v>
      </c>
      <c r="Q51" s="30">
        <v>1</v>
      </c>
      <c r="R51" s="30">
        <v>0</v>
      </c>
      <c r="S51" s="30">
        <v>0</v>
      </c>
      <c r="T51" s="30">
        <v>0</v>
      </c>
      <c r="U51" s="30">
        <v>0</v>
      </c>
      <c r="V51" s="30">
        <v>1</v>
      </c>
    </row>
    <row r="52" spans="1:22" ht="21" customHeight="1" x14ac:dyDescent="0.15">
      <c r="A52" s="2" t="str">
        <f ca="1">input_586100!A$2</f>
        <v>586100</v>
      </c>
      <c r="B52" s="6">
        <v>176</v>
      </c>
      <c r="C52" s="7" t="str">
        <f t="shared" si="0"/>
        <v>Premium4</v>
      </c>
      <c r="D52" s="7" t="str">
        <f t="shared" si="2"/>
        <v>Premium</v>
      </c>
      <c r="E52" s="7" t="str">
        <f>IF(COUNTIF('R6追加前'!A:A,B52)=0,IF(OR(I52="PremiumSS",I52="PremiumSSw"),"R5only","R3less"),"")</f>
        <v/>
      </c>
      <c r="F52" s="7" t="str">
        <f>IF(COUNTIF('R6開放'!A:A,B52)&gt;0,"R6release","")</f>
        <v/>
      </c>
      <c r="G52" s="7"/>
      <c r="H52" s="7" t="str">
        <f>VLOOKUP(B52,[1]characters!$A:$C,3,FALSE)</f>
        <v>異教徒 バフォメット</v>
      </c>
      <c r="I52" s="7" t="str">
        <f>VLOOKUP(B52,[1]characters!$A:$J,10,FALSE)</f>
        <v>PremiumN</v>
      </c>
      <c r="J52" s="7">
        <f>VLOOKUP(B52,[1]characters!$A:$I,9,FALSE)</f>
        <v>4</v>
      </c>
      <c r="K52" s="7" t="str">
        <f>VLOOKUP(B52,[1]characters!$A:$H,8,FALSE)</f>
        <v>yellow</v>
      </c>
      <c r="L52" s="7" t="str">
        <f>VLOOKUP(B52,[1]characters!$A:$K,11,FALSE)</f>
        <v>attack</v>
      </c>
      <c r="M52" s="7" t="str">
        <f>VLOOKUP(B52,[1]characters!$A:$M,13,FALSE)</f>
        <v>god</v>
      </c>
      <c r="N52" s="7" t="str">
        <f>VLOOKUP(B52,[1]characters!$A:$G,7,FALSE)</f>
        <v>女性</v>
      </c>
      <c r="O52" s="45">
        <f ca="1">IFERROR(VLOOKUP(B52,input_586100!L:R,7,FALSE),VLOOKUP(tables_586100!C52,input_586100!A:H,8,FALSE))</f>
        <v>1097460</v>
      </c>
      <c r="P52" s="46">
        <f t="shared" ca="1" si="1"/>
        <v>8.5312499999787884E-3</v>
      </c>
      <c r="Q52" s="30">
        <v>1</v>
      </c>
      <c r="R52" s="30">
        <v>0</v>
      </c>
      <c r="S52" s="30">
        <v>0</v>
      </c>
      <c r="T52" s="30">
        <v>0</v>
      </c>
      <c r="U52" s="30">
        <v>0</v>
      </c>
      <c r="V52" s="30">
        <v>1</v>
      </c>
    </row>
    <row r="53" spans="1:22" ht="21" customHeight="1" x14ac:dyDescent="0.15">
      <c r="A53" s="2" t="str">
        <f ca="1">input_586100!A$2</f>
        <v>586100</v>
      </c>
      <c r="B53" s="6">
        <v>177</v>
      </c>
      <c r="C53" s="7" t="str">
        <f t="shared" si="0"/>
        <v>Premium5</v>
      </c>
      <c r="D53" s="7" t="str">
        <f t="shared" si="2"/>
        <v>Premium</v>
      </c>
      <c r="E53" s="7" t="str">
        <f>IF(COUNTIF('R6追加前'!A:A,B53)=0,IF(OR(I53="PremiumSS",I53="PremiumSSw"),"R5only","R3less"),"")</f>
        <v/>
      </c>
      <c r="F53" s="7" t="str">
        <f>IF(COUNTIF('R6開放'!A:A,B53)&gt;0,"R6release","")</f>
        <v/>
      </c>
      <c r="G53" s="7"/>
      <c r="H53" s="7" t="str">
        <f>VLOOKUP(B53,[1]characters!$A:$C,3,FALSE)</f>
        <v>黒魔の異端師 バフォメット</v>
      </c>
      <c r="I53" s="7" t="str">
        <f>VLOOKUP(B53,[1]characters!$A:$J,10,FALSE)</f>
        <v>PremiumN</v>
      </c>
      <c r="J53" s="7">
        <f>VLOOKUP(B53,[1]characters!$A:$I,9,FALSE)</f>
        <v>5</v>
      </c>
      <c r="K53" s="7" t="str">
        <f>VLOOKUP(B53,[1]characters!$A:$H,8,FALSE)</f>
        <v>yellow</v>
      </c>
      <c r="L53" s="7" t="str">
        <f>VLOOKUP(B53,[1]characters!$A:$K,11,FALSE)</f>
        <v>attack</v>
      </c>
      <c r="M53" s="7" t="str">
        <f>VLOOKUP(B53,[1]characters!$A:$M,13,FALSE)</f>
        <v>god</v>
      </c>
      <c r="N53" s="7" t="str">
        <f>VLOOKUP(B53,[1]characters!$A:$G,7,FALSE)</f>
        <v>女性</v>
      </c>
      <c r="O53" s="45">
        <f ca="1">IFERROR(VLOOKUP(B53,input_586100!L:R,7,FALSE),VLOOKUP(tables_586100!C53,input_586100!A:H,8,FALSE))</f>
        <v>51796.153850000002</v>
      </c>
      <c r="P53" s="46">
        <f t="shared" ca="1" si="1"/>
        <v>4.0264423079812829E-4</v>
      </c>
      <c r="Q53" s="30">
        <v>1</v>
      </c>
      <c r="R53" s="30">
        <v>0</v>
      </c>
      <c r="S53" s="30">
        <v>0</v>
      </c>
      <c r="T53" s="30">
        <v>0</v>
      </c>
      <c r="U53" s="30">
        <v>0</v>
      </c>
      <c r="V53" s="30">
        <v>1</v>
      </c>
    </row>
    <row r="54" spans="1:22" ht="21" customHeight="1" x14ac:dyDescent="0.15">
      <c r="A54" s="2" t="str">
        <f ca="1">input_586100!A$2</f>
        <v>586100</v>
      </c>
      <c r="B54" s="6">
        <v>178</v>
      </c>
      <c r="C54" s="7" t="str">
        <f t="shared" si="0"/>
        <v>Premium3</v>
      </c>
      <c r="D54" s="7" t="str">
        <f t="shared" si="2"/>
        <v>Premium</v>
      </c>
      <c r="E54" s="7" t="str">
        <f>IF(COUNTIF('R6追加前'!A:A,B54)=0,IF(OR(I54="PremiumSS",I54="PremiumSSw"),"R5only","R3less"),"")</f>
        <v/>
      </c>
      <c r="F54" s="7" t="str">
        <f>IF(COUNTIF('R6開放'!A:A,B54)&gt;0,"R6release","")</f>
        <v/>
      </c>
      <c r="G54" s="7"/>
      <c r="H54" s="7" t="str">
        <f>VLOOKUP(B54,[1]characters!$A:$C,3,FALSE)</f>
        <v>ケルベロス</v>
      </c>
      <c r="I54" s="7" t="str">
        <f>VLOOKUP(B54,[1]characters!$A:$J,10,FALSE)</f>
        <v>PremiumN</v>
      </c>
      <c r="J54" s="7">
        <f>VLOOKUP(B54,[1]characters!$A:$I,9,FALSE)</f>
        <v>3</v>
      </c>
      <c r="K54" s="7" t="str">
        <f>VLOOKUP(B54,[1]characters!$A:$H,8,FALSE)</f>
        <v>red</v>
      </c>
      <c r="L54" s="7" t="str">
        <f>VLOOKUP(B54,[1]characters!$A:$K,11,FALSE)</f>
        <v>balance</v>
      </c>
      <c r="M54" s="7" t="str">
        <f>VLOOKUP(B54,[1]characters!$A:$M,13,FALSE)</f>
        <v>animal</v>
      </c>
      <c r="N54" s="7" t="str">
        <f>VLOOKUP(B54,[1]characters!$A:$G,7,FALSE)</f>
        <v>女性</v>
      </c>
      <c r="O54" s="45">
        <f ca="1">IFERROR(VLOOKUP(B54,input_586100!L:R,7,FALSE),VLOOKUP(tables_586100!C54,input_586100!A:H,8,FALSE))</f>
        <v>0</v>
      </c>
      <c r="P54" s="46">
        <f t="shared" ca="1" si="1"/>
        <v>0</v>
      </c>
      <c r="Q54" s="30">
        <v>1</v>
      </c>
      <c r="R54" s="30">
        <v>0</v>
      </c>
      <c r="S54" s="30">
        <v>0</v>
      </c>
      <c r="T54" s="30">
        <v>0</v>
      </c>
      <c r="U54" s="30">
        <v>0</v>
      </c>
      <c r="V54" s="30">
        <v>1</v>
      </c>
    </row>
    <row r="55" spans="1:22" ht="21" customHeight="1" x14ac:dyDescent="0.15">
      <c r="A55" s="2" t="str">
        <f ca="1">input_586100!A$2</f>
        <v>586100</v>
      </c>
      <c r="B55" s="6">
        <v>179</v>
      </c>
      <c r="C55" s="7" t="str">
        <f t="shared" si="0"/>
        <v>Premium4</v>
      </c>
      <c r="D55" s="7" t="str">
        <f t="shared" si="2"/>
        <v>Premium</v>
      </c>
      <c r="E55" s="7" t="str">
        <f>IF(COUNTIF('R6追加前'!A:A,B55)=0,IF(OR(I55="PremiumSS",I55="PremiumSSw"),"R5only","R3less"),"")</f>
        <v/>
      </c>
      <c r="F55" s="7" t="str">
        <f>IF(COUNTIF('R6開放'!A:A,B55)&gt;0,"R6release","")</f>
        <v/>
      </c>
      <c r="G55" s="7"/>
      <c r="H55" s="7" t="str">
        <f>VLOOKUP(B55,[1]characters!$A:$C,3,FALSE)</f>
        <v>番犬 ケルベロス</v>
      </c>
      <c r="I55" s="7" t="str">
        <f>VLOOKUP(B55,[1]characters!$A:$J,10,FALSE)</f>
        <v>PremiumN</v>
      </c>
      <c r="J55" s="7">
        <f>VLOOKUP(B55,[1]characters!$A:$I,9,FALSE)</f>
        <v>4</v>
      </c>
      <c r="K55" s="7" t="str">
        <f>VLOOKUP(B55,[1]characters!$A:$H,8,FALSE)</f>
        <v>red</v>
      </c>
      <c r="L55" s="7" t="str">
        <f>VLOOKUP(B55,[1]characters!$A:$K,11,FALSE)</f>
        <v>balance</v>
      </c>
      <c r="M55" s="7" t="str">
        <f>VLOOKUP(B55,[1]characters!$A:$M,13,FALSE)</f>
        <v>animal</v>
      </c>
      <c r="N55" s="7" t="str">
        <f>VLOOKUP(B55,[1]characters!$A:$G,7,FALSE)</f>
        <v>女性</v>
      </c>
      <c r="O55" s="45">
        <f ca="1">IFERROR(VLOOKUP(B55,input_586100!L:R,7,FALSE),VLOOKUP(tables_586100!C55,input_586100!A:H,8,FALSE))</f>
        <v>1097460</v>
      </c>
      <c r="P55" s="46">
        <f t="shared" ca="1" si="1"/>
        <v>8.5312499999787884E-3</v>
      </c>
      <c r="Q55" s="30">
        <v>1</v>
      </c>
      <c r="R55" s="30">
        <v>0</v>
      </c>
      <c r="S55" s="30">
        <v>0</v>
      </c>
      <c r="T55" s="30">
        <v>0</v>
      </c>
      <c r="U55" s="30">
        <v>0</v>
      </c>
      <c r="V55" s="30">
        <v>1</v>
      </c>
    </row>
    <row r="56" spans="1:22" ht="21" customHeight="1" x14ac:dyDescent="0.15">
      <c r="A56" s="2" t="str">
        <f ca="1">input_586100!A$2</f>
        <v>586100</v>
      </c>
      <c r="B56" s="6">
        <v>180</v>
      </c>
      <c r="C56" s="7" t="str">
        <f t="shared" si="0"/>
        <v>Premium5</v>
      </c>
      <c r="D56" s="7" t="str">
        <f t="shared" si="2"/>
        <v>Premium</v>
      </c>
      <c r="E56" s="7" t="str">
        <f>IF(COUNTIF('R6追加前'!A:A,B56)=0,IF(OR(I56="PremiumSS",I56="PremiumSSw"),"R5only","R3less"),"")</f>
        <v/>
      </c>
      <c r="F56" s="7" t="str">
        <f>IF(COUNTIF('R6開放'!A:A,B56)&gt;0,"R6release","")</f>
        <v/>
      </c>
      <c r="G56" s="7"/>
      <c r="H56" s="7" t="str">
        <f>VLOOKUP(B56,[1]characters!$A:$C,3,FALSE)</f>
        <v>地獄の大門番 ケルベロス</v>
      </c>
      <c r="I56" s="7" t="str">
        <f>VLOOKUP(B56,[1]characters!$A:$J,10,FALSE)</f>
        <v>PremiumN</v>
      </c>
      <c r="J56" s="7">
        <f>VLOOKUP(B56,[1]characters!$A:$I,9,FALSE)</f>
        <v>5</v>
      </c>
      <c r="K56" s="7" t="str">
        <f>VLOOKUP(B56,[1]characters!$A:$H,8,FALSE)</f>
        <v>red</v>
      </c>
      <c r="L56" s="7" t="str">
        <f>VLOOKUP(B56,[1]characters!$A:$K,11,FALSE)</f>
        <v>balance</v>
      </c>
      <c r="M56" s="7" t="str">
        <f>VLOOKUP(B56,[1]characters!$A:$M,13,FALSE)</f>
        <v>animal</v>
      </c>
      <c r="N56" s="7" t="str">
        <f>VLOOKUP(B56,[1]characters!$A:$G,7,FALSE)</f>
        <v>女性</v>
      </c>
      <c r="O56" s="45">
        <f ca="1">IFERROR(VLOOKUP(B56,input_586100!L:R,7,FALSE),VLOOKUP(tables_586100!C56,input_586100!A:H,8,FALSE))</f>
        <v>51796.153850000002</v>
      </c>
      <c r="P56" s="46">
        <f t="shared" ca="1" si="1"/>
        <v>4.0264423079812829E-4</v>
      </c>
      <c r="Q56" s="30">
        <v>1</v>
      </c>
      <c r="R56" s="30">
        <v>0</v>
      </c>
      <c r="S56" s="30">
        <v>0</v>
      </c>
      <c r="T56" s="30">
        <v>0</v>
      </c>
      <c r="U56" s="30">
        <v>0</v>
      </c>
      <c r="V56" s="30">
        <v>1</v>
      </c>
    </row>
    <row r="57" spans="1:22" ht="21" customHeight="1" x14ac:dyDescent="0.15">
      <c r="A57" s="2" t="str">
        <f ca="1">input_586100!A$2</f>
        <v>586100</v>
      </c>
      <c r="B57" s="6">
        <v>181</v>
      </c>
      <c r="C57" s="7" t="str">
        <f t="shared" si="0"/>
        <v>Premium3</v>
      </c>
      <c r="D57" s="7" t="str">
        <f t="shared" si="2"/>
        <v>Premium</v>
      </c>
      <c r="E57" s="7" t="str">
        <f>IF(COUNTIF('R6追加前'!A:A,B57)=0,IF(OR(I57="PremiumSS",I57="PremiumSSw"),"R5only","R3less"),"")</f>
        <v/>
      </c>
      <c r="F57" s="7" t="str">
        <f>IF(COUNTIF('R6開放'!A:A,B57)&gt;0,"R6release","")</f>
        <v/>
      </c>
      <c r="G57" s="7"/>
      <c r="H57" s="7" t="str">
        <f>VLOOKUP(B57,[1]characters!$A:$C,3,FALSE)</f>
        <v>ベヒモス</v>
      </c>
      <c r="I57" s="7" t="str">
        <f>VLOOKUP(B57,[1]characters!$A:$J,10,FALSE)</f>
        <v>PremiumN</v>
      </c>
      <c r="J57" s="7">
        <f>VLOOKUP(B57,[1]characters!$A:$I,9,FALSE)</f>
        <v>3</v>
      </c>
      <c r="K57" s="7" t="str">
        <f>VLOOKUP(B57,[1]characters!$A:$H,8,FALSE)</f>
        <v>green</v>
      </c>
      <c r="L57" s="7" t="str">
        <f>VLOOKUP(B57,[1]characters!$A:$K,11,FALSE)</f>
        <v>hp</v>
      </c>
      <c r="M57" s="7" t="str">
        <f>VLOOKUP(B57,[1]characters!$A:$M,13,FALSE)</f>
        <v>animal</v>
      </c>
      <c r="N57" s="7" t="str">
        <f>VLOOKUP(B57,[1]characters!$A:$G,7,FALSE)</f>
        <v>女性</v>
      </c>
      <c r="O57" s="45">
        <f ca="1">IFERROR(VLOOKUP(B57,input_586100!L:R,7,FALSE),VLOOKUP(tables_586100!C57,input_586100!A:H,8,FALSE))</f>
        <v>0</v>
      </c>
      <c r="P57" s="46">
        <f t="shared" ca="1" si="1"/>
        <v>0</v>
      </c>
      <c r="Q57" s="30">
        <v>1</v>
      </c>
      <c r="R57" s="30">
        <v>0</v>
      </c>
      <c r="S57" s="30">
        <v>0</v>
      </c>
      <c r="T57" s="30">
        <v>0</v>
      </c>
      <c r="U57" s="30">
        <v>0</v>
      </c>
      <c r="V57" s="30">
        <v>1</v>
      </c>
    </row>
    <row r="58" spans="1:22" ht="21" customHeight="1" x14ac:dyDescent="0.15">
      <c r="A58" s="2" t="str">
        <f ca="1">input_586100!A$2</f>
        <v>586100</v>
      </c>
      <c r="B58" s="6">
        <v>182</v>
      </c>
      <c r="C58" s="7" t="str">
        <f t="shared" si="0"/>
        <v>Premium4</v>
      </c>
      <c r="D58" s="7" t="str">
        <f t="shared" si="2"/>
        <v>Premium</v>
      </c>
      <c r="E58" s="7" t="str">
        <f>IF(COUNTIF('R6追加前'!A:A,B58)=0,IF(OR(I58="PremiumSS",I58="PremiumSSw"),"R5only","R3less"),"")</f>
        <v/>
      </c>
      <c r="F58" s="7" t="str">
        <f>IF(COUNTIF('R6開放'!A:A,B58)&gt;0,"R6release","")</f>
        <v/>
      </c>
      <c r="G58" s="7"/>
      <c r="H58" s="7" t="str">
        <f>VLOOKUP(B58,[1]characters!$A:$C,3,FALSE)</f>
        <v>放蕩者 ベヒモス</v>
      </c>
      <c r="I58" s="7" t="str">
        <f>VLOOKUP(B58,[1]characters!$A:$J,10,FALSE)</f>
        <v>PremiumN</v>
      </c>
      <c r="J58" s="7">
        <f>VLOOKUP(B58,[1]characters!$A:$I,9,FALSE)</f>
        <v>4</v>
      </c>
      <c r="K58" s="7" t="str">
        <f>VLOOKUP(B58,[1]characters!$A:$H,8,FALSE)</f>
        <v>green</v>
      </c>
      <c r="L58" s="7" t="str">
        <f>VLOOKUP(B58,[1]characters!$A:$K,11,FALSE)</f>
        <v>hp</v>
      </c>
      <c r="M58" s="7" t="str">
        <f>VLOOKUP(B58,[1]characters!$A:$M,13,FALSE)</f>
        <v>animal</v>
      </c>
      <c r="N58" s="7" t="str">
        <f>VLOOKUP(B58,[1]characters!$A:$G,7,FALSE)</f>
        <v>女性</v>
      </c>
      <c r="O58" s="45">
        <f ca="1">IFERROR(VLOOKUP(B58,input_586100!L:R,7,FALSE),VLOOKUP(tables_586100!C58,input_586100!A:H,8,FALSE))</f>
        <v>1097460</v>
      </c>
      <c r="P58" s="46">
        <f t="shared" ca="1" si="1"/>
        <v>8.5312499999787884E-3</v>
      </c>
      <c r="Q58" s="30">
        <v>1</v>
      </c>
      <c r="R58" s="30">
        <v>0</v>
      </c>
      <c r="S58" s="30">
        <v>0</v>
      </c>
      <c r="T58" s="30">
        <v>0</v>
      </c>
      <c r="U58" s="30">
        <v>0</v>
      </c>
      <c r="V58" s="30">
        <v>1</v>
      </c>
    </row>
    <row r="59" spans="1:22" ht="21" customHeight="1" x14ac:dyDescent="0.15">
      <c r="A59" s="2" t="str">
        <f ca="1">input_586100!A$2</f>
        <v>586100</v>
      </c>
      <c r="B59" s="6">
        <v>183</v>
      </c>
      <c r="C59" s="7" t="str">
        <f t="shared" si="0"/>
        <v>Premium5</v>
      </c>
      <c r="D59" s="7" t="str">
        <f t="shared" si="2"/>
        <v>Premium</v>
      </c>
      <c r="E59" s="7" t="str">
        <f>IF(COUNTIF('R6追加前'!A:A,B59)=0,IF(OR(I59="PremiumSS",I59="PremiumSSw"),"R5only","R3less"),"")</f>
        <v/>
      </c>
      <c r="F59" s="7" t="str">
        <f>IF(COUNTIF('R6開放'!A:A,B59)&gt;0,"R6release","")</f>
        <v/>
      </c>
      <c r="G59" s="7"/>
      <c r="H59" s="7" t="str">
        <f>VLOOKUP(B59,[1]characters!$A:$C,3,FALSE)</f>
        <v>鈍重な彷徨者 ベヒモス</v>
      </c>
      <c r="I59" s="7" t="str">
        <f>VLOOKUP(B59,[1]characters!$A:$J,10,FALSE)</f>
        <v>PremiumN</v>
      </c>
      <c r="J59" s="7">
        <f>VLOOKUP(B59,[1]characters!$A:$I,9,FALSE)</f>
        <v>5</v>
      </c>
      <c r="K59" s="7" t="str">
        <f>VLOOKUP(B59,[1]characters!$A:$H,8,FALSE)</f>
        <v>green</v>
      </c>
      <c r="L59" s="7" t="str">
        <f>VLOOKUP(B59,[1]characters!$A:$K,11,FALSE)</f>
        <v>hp</v>
      </c>
      <c r="M59" s="7" t="str">
        <f>VLOOKUP(B59,[1]characters!$A:$M,13,FALSE)</f>
        <v>animal</v>
      </c>
      <c r="N59" s="7" t="str">
        <f>VLOOKUP(B59,[1]characters!$A:$G,7,FALSE)</f>
        <v>女性</v>
      </c>
      <c r="O59" s="45">
        <f ca="1">IFERROR(VLOOKUP(B59,input_586100!L:R,7,FALSE),VLOOKUP(tables_586100!C59,input_586100!A:H,8,FALSE))</f>
        <v>51796.153850000002</v>
      </c>
      <c r="P59" s="46">
        <f t="shared" ca="1" si="1"/>
        <v>4.0264423079812829E-4</v>
      </c>
      <c r="Q59" s="30">
        <v>1</v>
      </c>
      <c r="R59" s="30">
        <v>0</v>
      </c>
      <c r="S59" s="30">
        <v>0</v>
      </c>
      <c r="T59" s="30">
        <v>0</v>
      </c>
      <c r="U59" s="30">
        <v>0</v>
      </c>
      <c r="V59" s="30">
        <v>1</v>
      </c>
    </row>
    <row r="60" spans="1:22" ht="21" customHeight="1" x14ac:dyDescent="0.15">
      <c r="A60" s="2" t="str">
        <f ca="1">input_586100!A$2</f>
        <v>586100</v>
      </c>
      <c r="B60" s="6">
        <v>184</v>
      </c>
      <c r="C60" s="7" t="str">
        <f t="shared" si="0"/>
        <v>Premium3</v>
      </c>
      <c r="D60" s="7" t="str">
        <f t="shared" si="2"/>
        <v>Premium</v>
      </c>
      <c r="E60" s="7" t="str">
        <f>IF(COUNTIF('R6追加前'!A:A,B60)=0,IF(OR(I60="PremiumSS",I60="PremiumSSw"),"R5only","R3less"),"")</f>
        <v/>
      </c>
      <c r="F60" s="7" t="str">
        <f>IF(COUNTIF('R6開放'!A:A,B60)&gt;0,"R6release","")</f>
        <v/>
      </c>
      <c r="G60" s="7"/>
      <c r="H60" s="7" t="str">
        <f>VLOOKUP(B60,[1]characters!$A:$C,3,FALSE)</f>
        <v>クラーケン</v>
      </c>
      <c r="I60" s="7" t="str">
        <f>VLOOKUP(B60,[1]characters!$A:$J,10,FALSE)</f>
        <v>PremiumN</v>
      </c>
      <c r="J60" s="7">
        <f>VLOOKUP(B60,[1]characters!$A:$I,9,FALSE)</f>
        <v>3</v>
      </c>
      <c r="K60" s="7" t="str">
        <f>VLOOKUP(B60,[1]characters!$A:$H,8,FALSE)</f>
        <v>blue</v>
      </c>
      <c r="L60" s="7" t="str">
        <f>VLOOKUP(B60,[1]characters!$A:$K,11,FALSE)</f>
        <v>heal</v>
      </c>
      <c r="M60" s="7" t="str">
        <f>VLOOKUP(B60,[1]characters!$A:$M,13,FALSE)</f>
        <v>animal</v>
      </c>
      <c r="N60" s="7" t="str">
        <f>VLOOKUP(B60,[1]characters!$A:$G,7,FALSE)</f>
        <v>女性</v>
      </c>
      <c r="O60" s="45">
        <f ca="1">IFERROR(VLOOKUP(B60,input_586100!L:R,7,FALSE),VLOOKUP(tables_586100!C60,input_586100!A:H,8,FALSE))</f>
        <v>0</v>
      </c>
      <c r="P60" s="46">
        <f t="shared" ca="1" si="1"/>
        <v>0</v>
      </c>
      <c r="Q60" s="30">
        <v>1</v>
      </c>
      <c r="R60" s="30">
        <v>0</v>
      </c>
      <c r="S60" s="30">
        <v>0</v>
      </c>
      <c r="T60" s="30">
        <v>0</v>
      </c>
      <c r="U60" s="30">
        <v>0</v>
      </c>
      <c r="V60" s="30">
        <v>1</v>
      </c>
    </row>
    <row r="61" spans="1:22" ht="21" customHeight="1" x14ac:dyDescent="0.15">
      <c r="A61" s="2" t="str">
        <f ca="1">input_586100!A$2</f>
        <v>586100</v>
      </c>
      <c r="B61" s="6">
        <v>185</v>
      </c>
      <c r="C61" s="7" t="str">
        <f t="shared" si="0"/>
        <v>Premium4</v>
      </c>
      <c r="D61" s="7" t="str">
        <f t="shared" si="2"/>
        <v>Premium</v>
      </c>
      <c r="E61" s="7" t="str">
        <f>IF(COUNTIF('R6追加前'!A:A,B61)=0,IF(OR(I61="PremiumSS",I61="PremiumSSw"),"R5only","R3less"),"")</f>
        <v/>
      </c>
      <c r="F61" s="7" t="str">
        <f>IF(COUNTIF('R6開放'!A:A,B61)&gt;0,"R6release","")</f>
        <v/>
      </c>
      <c r="G61" s="7"/>
      <c r="H61" s="7" t="str">
        <f>VLOOKUP(B61,[1]characters!$A:$C,3,FALSE)</f>
        <v>海姫 クラーケン</v>
      </c>
      <c r="I61" s="7" t="str">
        <f>VLOOKUP(B61,[1]characters!$A:$J,10,FALSE)</f>
        <v>PremiumN</v>
      </c>
      <c r="J61" s="7">
        <f>VLOOKUP(B61,[1]characters!$A:$I,9,FALSE)</f>
        <v>4</v>
      </c>
      <c r="K61" s="7" t="str">
        <f>VLOOKUP(B61,[1]characters!$A:$H,8,FALSE)</f>
        <v>blue</v>
      </c>
      <c r="L61" s="7" t="str">
        <f>VLOOKUP(B61,[1]characters!$A:$K,11,FALSE)</f>
        <v>heal</v>
      </c>
      <c r="M61" s="7" t="str">
        <f>VLOOKUP(B61,[1]characters!$A:$M,13,FALSE)</f>
        <v>animal</v>
      </c>
      <c r="N61" s="7" t="str">
        <f>VLOOKUP(B61,[1]characters!$A:$G,7,FALSE)</f>
        <v>女性</v>
      </c>
      <c r="O61" s="45">
        <f ca="1">IFERROR(VLOOKUP(B61,input_586100!L:R,7,FALSE),VLOOKUP(tables_586100!C61,input_586100!A:H,8,FALSE))</f>
        <v>1097460</v>
      </c>
      <c r="P61" s="46">
        <f t="shared" ca="1" si="1"/>
        <v>8.5312499999787884E-3</v>
      </c>
      <c r="Q61" s="30">
        <v>1</v>
      </c>
      <c r="R61" s="30">
        <v>0</v>
      </c>
      <c r="S61" s="30">
        <v>0</v>
      </c>
      <c r="T61" s="30">
        <v>0</v>
      </c>
      <c r="U61" s="30">
        <v>0</v>
      </c>
      <c r="V61" s="30">
        <v>1</v>
      </c>
    </row>
    <row r="62" spans="1:22" ht="21" customHeight="1" x14ac:dyDescent="0.15">
      <c r="A62" s="2" t="str">
        <f ca="1">input_586100!A$2</f>
        <v>586100</v>
      </c>
      <c r="B62" s="8">
        <v>186</v>
      </c>
      <c r="C62" s="7" t="str">
        <f t="shared" si="0"/>
        <v>Premium5</v>
      </c>
      <c r="D62" s="7" t="str">
        <f t="shared" si="2"/>
        <v>Premium</v>
      </c>
      <c r="E62" s="7" t="str">
        <f>IF(COUNTIF('R6追加前'!A:A,B62)=0,IF(OR(I62="PremiumSS",I62="PremiumSSw"),"R5only","R3less"),"")</f>
        <v/>
      </c>
      <c r="F62" s="7" t="str">
        <f>IF(COUNTIF('R6開放'!A:A,B62)&gt;0,"R6release","")</f>
        <v/>
      </c>
      <c r="G62" s="7"/>
      <c r="H62" s="7" t="str">
        <f>VLOOKUP(B62,[1]characters!$A:$C,3,FALSE)</f>
        <v>誇り高き多触姫・クラーケン</v>
      </c>
      <c r="I62" s="7" t="str">
        <f>VLOOKUP(B62,[1]characters!$A:$J,10,FALSE)</f>
        <v>PremiumN</v>
      </c>
      <c r="J62" s="7">
        <f>VLOOKUP(B62,[1]characters!$A:$I,9,FALSE)</f>
        <v>5</v>
      </c>
      <c r="K62" s="7" t="str">
        <f>VLOOKUP(B62,[1]characters!$A:$H,8,FALSE)</f>
        <v>blue</v>
      </c>
      <c r="L62" s="7" t="str">
        <f>VLOOKUP(B62,[1]characters!$A:$K,11,FALSE)</f>
        <v>heal</v>
      </c>
      <c r="M62" s="7" t="str">
        <f>VLOOKUP(B62,[1]characters!$A:$M,13,FALSE)</f>
        <v>animal</v>
      </c>
      <c r="N62" s="7" t="str">
        <f>VLOOKUP(B62,[1]characters!$A:$G,7,FALSE)</f>
        <v>女性</v>
      </c>
      <c r="O62" s="45">
        <f ca="1">IFERROR(VLOOKUP(B62,input_586100!L:R,7,FALSE),VLOOKUP(tables_586100!C62,input_586100!A:H,8,FALSE))</f>
        <v>51796.153850000002</v>
      </c>
      <c r="P62" s="46">
        <f t="shared" ca="1" si="1"/>
        <v>4.0264423079812829E-4</v>
      </c>
      <c r="Q62" s="30">
        <v>1</v>
      </c>
      <c r="R62" s="30">
        <v>0</v>
      </c>
      <c r="S62" s="30">
        <v>0</v>
      </c>
      <c r="T62" s="30">
        <v>0</v>
      </c>
      <c r="U62" s="30">
        <v>0</v>
      </c>
      <c r="V62" s="30">
        <v>1</v>
      </c>
    </row>
    <row r="63" spans="1:22" ht="21" customHeight="1" x14ac:dyDescent="0.15">
      <c r="A63" s="2" t="str">
        <f ca="1">input_586100!A$2</f>
        <v>586100</v>
      </c>
      <c r="B63" s="8">
        <v>187</v>
      </c>
      <c r="C63" s="7" t="str">
        <f t="shared" si="0"/>
        <v>Premium3</v>
      </c>
      <c r="D63" s="7" t="str">
        <f t="shared" si="2"/>
        <v>Premium</v>
      </c>
      <c r="E63" s="7" t="str">
        <f>IF(COUNTIF('R6追加前'!A:A,B63)=0,IF(OR(I63="PremiumSS",I63="PremiumSSw"),"R5only","R3less"),"")</f>
        <v/>
      </c>
      <c r="F63" s="7" t="str">
        <f>IF(COUNTIF('R6開放'!A:A,B63)&gt;0,"R6release","")</f>
        <v/>
      </c>
      <c r="G63" s="7"/>
      <c r="H63" s="7" t="str">
        <f>VLOOKUP(B63,[1]characters!$A:$C,3,FALSE)</f>
        <v>ホルス</v>
      </c>
      <c r="I63" s="7" t="str">
        <f>VLOOKUP(B63,[1]characters!$A:$J,10,FALSE)</f>
        <v>PremiumN</v>
      </c>
      <c r="J63" s="7">
        <f>VLOOKUP(B63,[1]characters!$A:$I,9,FALSE)</f>
        <v>3</v>
      </c>
      <c r="K63" s="7" t="str">
        <f>VLOOKUP(B63,[1]characters!$A:$H,8,FALSE)</f>
        <v>yellow</v>
      </c>
      <c r="L63" s="7" t="str">
        <f>VLOOKUP(B63,[1]characters!$A:$K,11,FALSE)</f>
        <v>attack</v>
      </c>
      <c r="M63" s="7" t="str">
        <f>VLOOKUP(B63,[1]characters!$A:$M,13,FALSE)</f>
        <v>animal</v>
      </c>
      <c r="N63" s="7" t="str">
        <f>VLOOKUP(B63,[1]characters!$A:$G,7,FALSE)</f>
        <v>女性</v>
      </c>
      <c r="O63" s="45">
        <f ca="1">IFERROR(VLOOKUP(B63,input_586100!L:R,7,FALSE),VLOOKUP(tables_586100!C63,input_586100!A:H,8,FALSE))</f>
        <v>0</v>
      </c>
      <c r="P63" s="46">
        <f t="shared" ca="1" si="1"/>
        <v>0</v>
      </c>
      <c r="Q63" s="30">
        <v>1</v>
      </c>
      <c r="R63" s="30">
        <v>0</v>
      </c>
      <c r="S63" s="30">
        <v>0</v>
      </c>
      <c r="T63" s="30">
        <v>0</v>
      </c>
      <c r="U63" s="30">
        <v>0</v>
      </c>
      <c r="V63" s="30">
        <v>1</v>
      </c>
    </row>
    <row r="64" spans="1:22" ht="21" customHeight="1" x14ac:dyDescent="0.15">
      <c r="A64" s="2" t="str">
        <f ca="1">input_586100!A$2</f>
        <v>586100</v>
      </c>
      <c r="B64" s="8">
        <v>188</v>
      </c>
      <c r="C64" s="7" t="str">
        <f t="shared" si="0"/>
        <v>Premium4</v>
      </c>
      <c r="D64" s="7" t="str">
        <f t="shared" si="2"/>
        <v>Premium</v>
      </c>
      <c r="E64" s="7" t="str">
        <f>IF(COUNTIF('R6追加前'!A:A,B64)=0,IF(OR(I64="PremiumSS",I64="PremiumSSw"),"R5only","R3less"),"")</f>
        <v/>
      </c>
      <c r="F64" s="7" t="str">
        <f>IF(COUNTIF('R6開放'!A:A,B64)&gt;0,"R6release","")</f>
        <v/>
      </c>
      <c r="G64" s="7"/>
      <c r="H64" s="7" t="str">
        <f>VLOOKUP(B64,[1]characters!$A:$C,3,FALSE)</f>
        <v>猛禽 ホルス</v>
      </c>
      <c r="I64" s="7" t="str">
        <f>VLOOKUP(B64,[1]characters!$A:$J,10,FALSE)</f>
        <v>PremiumN</v>
      </c>
      <c r="J64" s="7">
        <f>VLOOKUP(B64,[1]characters!$A:$I,9,FALSE)</f>
        <v>4</v>
      </c>
      <c r="K64" s="7" t="str">
        <f>VLOOKUP(B64,[1]characters!$A:$H,8,FALSE)</f>
        <v>yellow</v>
      </c>
      <c r="L64" s="7" t="str">
        <f>VLOOKUP(B64,[1]characters!$A:$K,11,FALSE)</f>
        <v>attack</v>
      </c>
      <c r="M64" s="7" t="str">
        <f>VLOOKUP(B64,[1]characters!$A:$M,13,FALSE)</f>
        <v>animal</v>
      </c>
      <c r="N64" s="7" t="str">
        <f>VLOOKUP(B64,[1]characters!$A:$G,7,FALSE)</f>
        <v>女性</v>
      </c>
      <c r="O64" s="45">
        <f ca="1">IFERROR(VLOOKUP(B64,input_586100!L:R,7,FALSE),VLOOKUP(tables_586100!C64,input_586100!A:H,8,FALSE))</f>
        <v>1097460</v>
      </c>
      <c r="P64" s="46">
        <f t="shared" ca="1" si="1"/>
        <v>8.5312499999787884E-3</v>
      </c>
      <c r="Q64" s="30">
        <v>1</v>
      </c>
      <c r="R64" s="30">
        <v>0</v>
      </c>
      <c r="S64" s="30">
        <v>0</v>
      </c>
      <c r="T64" s="30">
        <v>0</v>
      </c>
      <c r="U64" s="30">
        <v>0</v>
      </c>
      <c r="V64" s="30">
        <v>1</v>
      </c>
    </row>
    <row r="65" spans="1:22" ht="21" customHeight="1" x14ac:dyDescent="0.15">
      <c r="A65" s="2" t="str">
        <f ca="1">input_586100!A$2</f>
        <v>586100</v>
      </c>
      <c r="B65" s="8">
        <v>189</v>
      </c>
      <c r="C65" s="7" t="str">
        <f t="shared" si="0"/>
        <v>Premium5</v>
      </c>
      <c r="D65" s="7" t="str">
        <f t="shared" si="2"/>
        <v>Premium</v>
      </c>
      <c r="E65" s="7" t="str">
        <f>IF(COUNTIF('R6追加前'!A:A,B65)=0,IF(OR(I65="PremiumSS",I65="PremiumSSw"),"R5only","R3less"),"")</f>
        <v/>
      </c>
      <c r="F65" s="7" t="str">
        <f>IF(COUNTIF('R6開放'!A:A,B65)&gt;0,"R6release","")</f>
        <v/>
      </c>
      <c r="G65" s="7"/>
      <c r="H65" s="7" t="str">
        <f>VLOOKUP(B65,[1]characters!$A:$C,3,FALSE)</f>
        <v>迅雷の王禽 ホルス</v>
      </c>
      <c r="I65" s="7" t="str">
        <f>VLOOKUP(B65,[1]characters!$A:$J,10,FALSE)</f>
        <v>PremiumN</v>
      </c>
      <c r="J65" s="7">
        <f>VLOOKUP(B65,[1]characters!$A:$I,9,FALSE)</f>
        <v>5</v>
      </c>
      <c r="K65" s="7" t="str">
        <f>VLOOKUP(B65,[1]characters!$A:$H,8,FALSE)</f>
        <v>yellow</v>
      </c>
      <c r="L65" s="7" t="str">
        <f>VLOOKUP(B65,[1]characters!$A:$K,11,FALSE)</f>
        <v>attack</v>
      </c>
      <c r="M65" s="7" t="str">
        <f>VLOOKUP(B65,[1]characters!$A:$M,13,FALSE)</f>
        <v>animal</v>
      </c>
      <c r="N65" s="7" t="str">
        <f>VLOOKUP(B65,[1]characters!$A:$G,7,FALSE)</f>
        <v>女性</v>
      </c>
      <c r="O65" s="45">
        <f ca="1">IFERROR(VLOOKUP(B65,input_586100!L:R,7,FALSE),VLOOKUP(tables_586100!C65,input_586100!A:H,8,FALSE))</f>
        <v>51796.153850000002</v>
      </c>
      <c r="P65" s="46">
        <f t="shared" ca="1" si="1"/>
        <v>4.0264423079812829E-4</v>
      </c>
      <c r="Q65" s="30">
        <v>1</v>
      </c>
      <c r="R65" s="30">
        <v>0</v>
      </c>
      <c r="S65" s="30">
        <v>0</v>
      </c>
      <c r="T65" s="30">
        <v>0</v>
      </c>
      <c r="U65" s="30">
        <v>0</v>
      </c>
      <c r="V65" s="30">
        <v>1</v>
      </c>
    </row>
    <row r="66" spans="1:22" s="9" customFormat="1" ht="21" customHeight="1" thickBot="1" x14ac:dyDescent="0.2">
      <c r="A66" s="2" t="str">
        <f ca="1">input_586100!A$2</f>
        <v>586100</v>
      </c>
      <c r="B66" s="6">
        <v>190</v>
      </c>
      <c r="C66" s="7" t="str">
        <f t="shared" ref="C66:C69" si="3">D66&amp;J66&amp;E66&amp;F66&amp;G66</f>
        <v>Premium3</v>
      </c>
      <c r="D66" s="7" t="str">
        <f t="shared" si="2"/>
        <v>Premium</v>
      </c>
      <c r="E66" s="7" t="str">
        <f>IF(COUNTIF('R6追加前'!A:A,B66)=0,IF(OR(I66="PremiumSS",I66="PremiumSSw"),"R5only","R3less"),"")</f>
        <v/>
      </c>
      <c r="F66" s="7" t="str">
        <f>IF(COUNTIF('R6開放'!A:A,B66)&gt;0,"R6release","")</f>
        <v/>
      </c>
      <c r="G66" s="7"/>
      <c r="H66" s="7" t="str">
        <f>VLOOKUP(B66,[1]characters!$A:$C,3,FALSE)</f>
        <v>卑弥呼</v>
      </c>
      <c r="I66" s="7" t="str">
        <f>VLOOKUP(B66,[1]characters!$A:$J,10,FALSE)</f>
        <v>PremiumN</v>
      </c>
      <c r="J66" s="7">
        <f>VLOOKUP(B66,[1]characters!$A:$I,9,FALSE)</f>
        <v>3</v>
      </c>
      <c r="K66" s="7" t="str">
        <f>VLOOKUP(B66,[1]characters!$A:$H,8,FALSE)</f>
        <v>red</v>
      </c>
      <c r="L66" s="7" t="str">
        <f>VLOOKUP(B66,[1]characters!$A:$K,11,FALSE)</f>
        <v>balance</v>
      </c>
      <c r="M66" s="7" t="str">
        <f>VLOOKUP(B66,[1]characters!$A:$M,13,FALSE)</f>
        <v>human</v>
      </c>
      <c r="N66" s="7" t="str">
        <f>VLOOKUP(B66,[1]characters!$A:$G,7,FALSE)</f>
        <v>女性</v>
      </c>
      <c r="O66" s="45">
        <f ca="1">IFERROR(VLOOKUP(B66,input_586100!L:R,7,FALSE),VLOOKUP(tables_586100!C66,input_586100!A:H,8,FALSE))</f>
        <v>0</v>
      </c>
      <c r="P66" s="46">
        <f t="shared" ref="P66:P129" ca="1" si="4">O66/SUM(O:O)</f>
        <v>0</v>
      </c>
      <c r="Q66" s="30">
        <v>1</v>
      </c>
      <c r="R66" s="30">
        <v>0</v>
      </c>
      <c r="S66" s="30">
        <v>0</v>
      </c>
      <c r="T66" s="30">
        <v>0</v>
      </c>
      <c r="U66" s="30">
        <v>0</v>
      </c>
      <c r="V66" s="30">
        <v>1</v>
      </c>
    </row>
    <row r="67" spans="1:22" ht="21" customHeight="1" x14ac:dyDescent="0.15">
      <c r="A67" s="2" t="str">
        <f ca="1">input_586100!A$2</f>
        <v>586100</v>
      </c>
      <c r="B67" s="6">
        <v>191</v>
      </c>
      <c r="C67" s="7" t="str">
        <f t="shared" si="3"/>
        <v>Premium4</v>
      </c>
      <c r="D67" s="7" t="str">
        <f t="shared" ref="D67:D69" si="5">IF(OR(I67="PremiumSS",I67="PremiumSSw"),"PremiumSS",IF(I67="PremiumSSS",I67,IF(I67="PremiumW",IF(J67=5,"premium",I67),"Premium")))</f>
        <v>Premium</v>
      </c>
      <c r="E67" s="7" t="str">
        <f>IF(COUNTIF('R6追加前'!A:A,B67)=0,IF(OR(I67="PremiumSS",I67="PremiumSSw"),"R5only","R3less"),"")</f>
        <v/>
      </c>
      <c r="F67" s="7" t="str">
        <f>IF(COUNTIF('R6開放'!A:A,B67)&gt;0,"R6release","")</f>
        <v/>
      </c>
      <c r="G67" s="7"/>
      <c r="H67" s="7" t="str">
        <f>VLOOKUP(B67,[1]characters!$A:$C,3,FALSE)</f>
        <v>始祖 卑弥呼</v>
      </c>
      <c r="I67" s="7" t="str">
        <f>VLOOKUP(B67,[1]characters!$A:$J,10,FALSE)</f>
        <v>PremiumN</v>
      </c>
      <c r="J67" s="7">
        <f>VLOOKUP(B67,[1]characters!$A:$I,9,FALSE)</f>
        <v>4</v>
      </c>
      <c r="K67" s="7" t="str">
        <f>VLOOKUP(B67,[1]characters!$A:$H,8,FALSE)</f>
        <v>red</v>
      </c>
      <c r="L67" s="7" t="str">
        <f>VLOOKUP(B67,[1]characters!$A:$K,11,FALSE)</f>
        <v>balance</v>
      </c>
      <c r="M67" s="7" t="str">
        <f>VLOOKUP(B67,[1]characters!$A:$M,13,FALSE)</f>
        <v>human</v>
      </c>
      <c r="N67" s="7" t="str">
        <f>VLOOKUP(B67,[1]characters!$A:$G,7,FALSE)</f>
        <v>女性</v>
      </c>
      <c r="O67" s="45">
        <f ca="1">IFERROR(VLOOKUP(B67,input_586100!L:R,7,FALSE),VLOOKUP(tables_586100!C67,input_586100!A:H,8,FALSE))</f>
        <v>1097460</v>
      </c>
      <c r="P67" s="46">
        <f t="shared" ca="1" si="4"/>
        <v>8.5312499999787884E-3</v>
      </c>
      <c r="Q67" s="30">
        <v>1</v>
      </c>
      <c r="R67" s="30">
        <v>0</v>
      </c>
      <c r="S67" s="30">
        <v>0</v>
      </c>
      <c r="T67" s="30">
        <v>0</v>
      </c>
      <c r="U67" s="30">
        <v>0</v>
      </c>
      <c r="V67" s="30">
        <v>1</v>
      </c>
    </row>
    <row r="68" spans="1:22" ht="21" customHeight="1" x14ac:dyDescent="0.15">
      <c r="A68" s="2" t="str">
        <f ca="1">input_586100!A$2</f>
        <v>586100</v>
      </c>
      <c r="B68" s="6">
        <v>192</v>
      </c>
      <c r="C68" s="7" t="str">
        <f t="shared" si="3"/>
        <v>Premium5</v>
      </c>
      <c r="D68" s="7" t="str">
        <f t="shared" si="5"/>
        <v>Premium</v>
      </c>
      <c r="E68" s="7" t="str">
        <f>IF(COUNTIF('R6追加前'!A:A,B68)=0,IF(OR(I68="PremiumSS",I68="PremiumSSw"),"R5only","R3less"),"")</f>
        <v/>
      </c>
      <c r="F68" s="7" t="str">
        <f>IF(COUNTIF('R6開放'!A:A,B68)&gt;0,"R6release","")</f>
        <v/>
      </c>
      <c r="G68" s="7"/>
      <c r="H68" s="7" t="str">
        <f>VLOOKUP(B68,[1]characters!$A:$C,3,FALSE)</f>
        <v>荘厳なる始祖帝 卑弥呼</v>
      </c>
      <c r="I68" s="7" t="str">
        <f>VLOOKUP(B68,[1]characters!$A:$J,10,FALSE)</f>
        <v>PremiumN</v>
      </c>
      <c r="J68" s="7">
        <f>VLOOKUP(B68,[1]characters!$A:$I,9,FALSE)</f>
        <v>5</v>
      </c>
      <c r="K68" s="7" t="str">
        <f>VLOOKUP(B68,[1]characters!$A:$H,8,FALSE)</f>
        <v>red</v>
      </c>
      <c r="L68" s="7" t="str">
        <f>VLOOKUP(B68,[1]characters!$A:$K,11,FALSE)</f>
        <v>balance</v>
      </c>
      <c r="M68" s="7" t="str">
        <f>VLOOKUP(B68,[1]characters!$A:$M,13,FALSE)</f>
        <v>human</v>
      </c>
      <c r="N68" s="7" t="str">
        <f>VLOOKUP(B68,[1]characters!$A:$G,7,FALSE)</f>
        <v>女性</v>
      </c>
      <c r="O68" s="45">
        <f ca="1">IFERROR(VLOOKUP(B68,input_586100!L:R,7,FALSE),VLOOKUP(tables_586100!C68,input_586100!A:H,8,FALSE))</f>
        <v>51796.153850000002</v>
      </c>
      <c r="P68" s="46">
        <f t="shared" ca="1" si="4"/>
        <v>4.0264423079812829E-4</v>
      </c>
      <c r="Q68" s="30">
        <v>1</v>
      </c>
      <c r="R68" s="30">
        <v>0</v>
      </c>
      <c r="S68" s="30">
        <v>0</v>
      </c>
      <c r="T68" s="30">
        <v>0</v>
      </c>
      <c r="U68" s="30">
        <v>0</v>
      </c>
      <c r="V68" s="30">
        <v>1</v>
      </c>
    </row>
    <row r="69" spans="1:22" ht="21" customHeight="1" x14ac:dyDescent="0.15">
      <c r="A69" s="2" t="str">
        <f ca="1">input_586100!A$2</f>
        <v>586100</v>
      </c>
      <c r="B69" s="6">
        <v>193</v>
      </c>
      <c r="C69" s="7" t="str">
        <f t="shared" si="3"/>
        <v>Premium3</v>
      </c>
      <c r="D69" s="7" t="str">
        <f t="shared" si="5"/>
        <v>Premium</v>
      </c>
      <c r="E69" s="7" t="str">
        <f>IF(COUNTIF('R6追加前'!A:A,B69)=0,IF(OR(I69="PremiumSS",I69="PremiumSSw"),"R5only","R3less"),"")</f>
        <v/>
      </c>
      <c r="F69" s="7" t="str">
        <f>IF(COUNTIF('R6開放'!A:A,B69)&gt;0,"R6release","")</f>
        <v/>
      </c>
      <c r="G69" s="7"/>
      <c r="H69" s="7" t="str">
        <f>VLOOKUP(B69,[1]characters!$A:$C,3,FALSE)</f>
        <v>ロビンフッド</v>
      </c>
      <c r="I69" s="7" t="str">
        <f>VLOOKUP(B69,[1]characters!$A:$J,10,FALSE)</f>
        <v>PremiumN</v>
      </c>
      <c r="J69" s="7">
        <f>VLOOKUP(B69,[1]characters!$A:$I,9,FALSE)</f>
        <v>3</v>
      </c>
      <c r="K69" s="7" t="str">
        <f>VLOOKUP(B69,[1]characters!$A:$H,8,FALSE)</f>
        <v>green</v>
      </c>
      <c r="L69" s="7" t="str">
        <f>VLOOKUP(B69,[1]characters!$A:$K,11,FALSE)</f>
        <v>balance</v>
      </c>
      <c r="M69" s="7" t="str">
        <f>VLOOKUP(B69,[1]characters!$A:$M,13,FALSE)</f>
        <v>human</v>
      </c>
      <c r="N69" s="7" t="str">
        <f>VLOOKUP(B69,[1]characters!$A:$G,7,FALSE)</f>
        <v>女性</v>
      </c>
      <c r="O69" s="45">
        <f ca="1">IFERROR(VLOOKUP(B69,input_586100!L:R,7,FALSE),VLOOKUP(tables_586100!C69,input_586100!A:H,8,FALSE))</f>
        <v>0</v>
      </c>
      <c r="P69" s="46">
        <f t="shared" ca="1" si="4"/>
        <v>0</v>
      </c>
      <c r="Q69" s="30">
        <v>1</v>
      </c>
      <c r="R69" s="30">
        <v>0</v>
      </c>
      <c r="S69" s="30">
        <v>0</v>
      </c>
      <c r="T69" s="30">
        <v>0</v>
      </c>
      <c r="U69" s="30">
        <v>0</v>
      </c>
      <c r="V69" s="30">
        <v>1</v>
      </c>
    </row>
    <row r="70" spans="1:22" ht="21" customHeight="1" x14ac:dyDescent="0.15">
      <c r="A70" s="2" t="str">
        <f ca="1">input_586100!A$2</f>
        <v>586100</v>
      </c>
      <c r="B70" s="6">
        <v>194</v>
      </c>
      <c r="C70" s="7" t="str">
        <f t="shared" ref="C70:C73" si="6">D70&amp;J70&amp;E70&amp;F70&amp;G70</f>
        <v>Premium4</v>
      </c>
      <c r="D70" s="7" t="str">
        <f t="shared" ref="D70:D73" si="7">IF(OR(I70="PremiumSS",I70="PremiumSSw"),"PremiumSS",IF(I70="PremiumSSS",I70,IF(I70="PremiumW",IF(J70=5,"premium",I70),"Premium")))</f>
        <v>Premium</v>
      </c>
      <c r="E70" s="7" t="str">
        <f>IF(COUNTIF('R6追加前'!A:A,B70)=0,IF(OR(I70="PremiumSS",I70="PremiumSSw"),"R5only","R3less"),"")</f>
        <v/>
      </c>
      <c r="F70" s="7" t="str">
        <f>IF(COUNTIF('R6開放'!A:A,B70)&gt;0,"R6release","")</f>
        <v/>
      </c>
      <c r="G70" s="7"/>
      <c r="H70" s="7" t="str">
        <f>VLOOKUP(B70,[1]characters!$A:$C,3,FALSE)</f>
        <v>スナイパー ロビンフッド</v>
      </c>
      <c r="I70" s="7" t="str">
        <f>VLOOKUP(B70,[1]characters!$A:$J,10,FALSE)</f>
        <v>PremiumN</v>
      </c>
      <c r="J70" s="7">
        <f>VLOOKUP(B70,[1]characters!$A:$I,9,FALSE)</f>
        <v>4</v>
      </c>
      <c r="K70" s="7" t="str">
        <f>VLOOKUP(B70,[1]characters!$A:$H,8,FALSE)</f>
        <v>green</v>
      </c>
      <c r="L70" s="7" t="str">
        <f>VLOOKUP(B70,[1]characters!$A:$K,11,FALSE)</f>
        <v>balance</v>
      </c>
      <c r="M70" s="7" t="str">
        <f>VLOOKUP(B70,[1]characters!$A:$M,13,FALSE)</f>
        <v>human</v>
      </c>
      <c r="N70" s="7" t="str">
        <f>VLOOKUP(B70,[1]characters!$A:$G,7,FALSE)</f>
        <v>女性</v>
      </c>
      <c r="O70" s="45">
        <f ca="1">IFERROR(VLOOKUP(B70,input_586100!L:R,7,FALSE),VLOOKUP(tables_586100!C70,input_586100!A:H,8,FALSE))</f>
        <v>1097460</v>
      </c>
      <c r="P70" s="46">
        <f t="shared" ca="1" si="4"/>
        <v>8.5312499999787884E-3</v>
      </c>
      <c r="Q70" s="30">
        <v>1</v>
      </c>
      <c r="R70" s="30">
        <v>0</v>
      </c>
      <c r="S70" s="30">
        <v>0</v>
      </c>
      <c r="T70" s="30">
        <v>0</v>
      </c>
      <c r="U70" s="30">
        <v>0</v>
      </c>
      <c r="V70" s="30">
        <v>1</v>
      </c>
    </row>
    <row r="71" spans="1:22" ht="21" customHeight="1" x14ac:dyDescent="0.15">
      <c r="A71" s="2" t="str">
        <f ca="1">input_586100!A$2</f>
        <v>586100</v>
      </c>
      <c r="B71" s="6">
        <v>195</v>
      </c>
      <c r="C71" s="7" t="str">
        <f t="shared" si="6"/>
        <v>Premium5</v>
      </c>
      <c r="D71" s="7" t="str">
        <f t="shared" si="7"/>
        <v>Premium</v>
      </c>
      <c r="E71" s="7" t="str">
        <f>IF(COUNTIF('R6追加前'!A:A,B71)=0,IF(OR(I71="PremiumSS",I71="PremiumSSw"),"R5only","R3less"),"")</f>
        <v/>
      </c>
      <c r="F71" s="7" t="str">
        <f>IF(COUNTIF('R6開放'!A:A,B71)&gt;0,"R6release","")</f>
        <v/>
      </c>
      <c r="G71" s="7"/>
      <c r="H71" s="7" t="str">
        <f>VLOOKUP(B71,[1]characters!$A:$C,3,FALSE)</f>
        <v>グランドハンター ロビンフッド</v>
      </c>
      <c r="I71" s="7" t="str">
        <f>VLOOKUP(B71,[1]characters!$A:$J,10,FALSE)</f>
        <v>PremiumN</v>
      </c>
      <c r="J71" s="7">
        <f>VLOOKUP(B71,[1]characters!$A:$I,9,FALSE)</f>
        <v>5</v>
      </c>
      <c r="K71" s="7" t="str">
        <f>VLOOKUP(B71,[1]characters!$A:$H,8,FALSE)</f>
        <v>green</v>
      </c>
      <c r="L71" s="7" t="str">
        <f>VLOOKUP(B71,[1]characters!$A:$K,11,FALSE)</f>
        <v>balance</v>
      </c>
      <c r="M71" s="7" t="str">
        <f>VLOOKUP(B71,[1]characters!$A:$M,13,FALSE)</f>
        <v>human</v>
      </c>
      <c r="N71" s="7" t="str">
        <f>VLOOKUP(B71,[1]characters!$A:$G,7,FALSE)</f>
        <v>女性</v>
      </c>
      <c r="O71" s="45">
        <f ca="1">IFERROR(VLOOKUP(B71,input_586100!L:R,7,FALSE),VLOOKUP(tables_586100!C71,input_586100!A:H,8,FALSE))</f>
        <v>51796.153850000002</v>
      </c>
      <c r="P71" s="46">
        <f t="shared" ca="1" si="4"/>
        <v>4.0264423079812829E-4</v>
      </c>
      <c r="Q71" s="30">
        <v>1</v>
      </c>
      <c r="R71" s="30">
        <v>0</v>
      </c>
      <c r="S71" s="30">
        <v>0</v>
      </c>
      <c r="T71" s="30">
        <v>0</v>
      </c>
      <c r="U71" s="30">
        <v>0</v>
      </c>
      <c r="V71" s="30">
        <v>1</v>
      </c>
    </row>
    <row r="72" spans="1:22" ht="21" customHeight="1" x14ac:dyDescent="0.15">
      <c r="A72" s="2" t="str">
        <f ca="1">input_586100!A$2</f>
        <v>586100</v>
      </c>
      <c r="B72" s="6">
        <v>196</v>
      </c>
      <c r="C72" s="7" t="str">
        <f t="shared" si="6"/>
        <v>Premium3</v>
      </c>
      <c r="D72" s="7" t="str">
        <f t="shared" si="7"/>
        <v>Premium</v>
      </c>
      <c r="E72" s="7" t="str">
        <f>IF(COUNTIF('R6追加前'!A:A,B72)=0,IF(OR(I72="PremiumSS",I72="PremiumSSw"),"R5only","R3less"),"")</f>
        <v/>
      </c>
      <c r="F72" s="7" t="str">
        <f>IF(COUNTIF('R6開放'!A:A,B72)&gt;0,"R6release","")</f>
        <v/>
      </c>
      <c r="G72" s="7"/>
      <c r="H72" s="7" t="str">
        <f>VLOOKUP(B72,[1]characters!$A:$C,3,FALSE)</f>
        <v>アキレス</v>
      </c>
      <c r="I72" s="7" t="str">
        <f>VLOOKUP(B72,[1]characters!$A:$J,10,FALSE)</f>
        <v>PremiumN</v>
      </c>
      <c r="J72" s="7">
        <f>VLOOKUP(B72,[1]characters!$A:$I,9,FALSE)</f>
        <v>3</v>
      </c>
      <c r="K72" s="7" t="str">
        <f>VLOOKUP(B72,[1]characters!$A:$H,8,FALSE)</f>
        <v>yellow</v>
      </c>
      <c r="L72" s="7" t="str">
        <f>VLOOKUP(B72,[1]characters!$A:$K,11,FALSE)</f>
        <v>balance</v>
      </c>
      <c r="M72" s="7" t="str">
        <f>VLOOKUP(B72,[1]characters!$A:$M,13,FALSE)</f>
        <v>human</v>
      </c>
      <c r="N72" s="7" t="str">
        <f>VLOOKUP(B72,[1]characters!$A:$G,7,FALSE)</f>
        <v>女性</v>
      </c>
      <c r="O72" s="45">
        <f ca="1">IFERROR(VLOOKUP(B72,input_586100!L:R,7,FALSE),VLOOKUP(tables_586100!C72,input_586100!A:H,8,FALSE))</f>
        <v>0</v>
      </c>
      <c r="P72" s="46">
        <f t="shared" ca="1" si="4"/>
        <v>0</v>
      </c>
      <c r="Q72" s="30">
        <v>1</v>
      </c>
      <c r="R72" s="30">
        <v>0</v>
      </c>
      <c r="S72" s="30">
        <v>0</v>
      </c>
      <c r="T72" s="30">
        <v>0</v>
      </c>
      <c r="U72" s="30">
        <v>0</v>
      </c>
      <c r="V72" s="30">
        <v>1</v>
      </c>
    </row>
    <row r="73" spans="1:22" ht="21" customHeight="1" x14ac:dyDescent="0.15">
      <c r="A73" s="2" t="str">
        <f ca="1">input_586100!A$2</f>
        <v>586100</v>
      </c>
      <c r="B73" s="8">
        <v>197</v>
      </c>
      <c r="C73" s="7" t="str">
        <f t="shared" si="6"/>
        <v>Premium4</v>
      </c>
      <c r="D73" s="7" t="str">
        <f t="shared" si="7"/>
        <v>Premium</v>
      </c>
      <c r="E73" s="7" t="str">
        <f>IF(COUNTIF('R6追加前'!A:A,B73)=0,IF(OR(I73="PremiumSS",I73="PremiumSSw"),"R5only","R3less"),"")</f>
        <v/>
      </c>
      <c r="F73" s="7" t="str">
        <f>IF(COUNTIF('R6開放'!A:A,B73)&gt;0,"R6release","")</f>
        <v/>
      </c>
      <c r="G73" s="7"/>
      <c r="H73" s="7" t="str">
        <f>VLOOKUP(B73,[1]characters!$A:$C,3,FALSE)</f>
        <v>鉄腕 アキレス</v>
      </c>
      <c r="I73" s="7" t="str">
        <f>VLOOKUP(B73,[1]characters!$A:$J,10,FALSE)</f>
        <v>PremiumN</v>
      </c>
      <c r="J73" s="7">
        <f>VLOOKUP(B73,[1]characters!$A:$I,9,FALSE)</f>
        <v>4</v>
      </c>
      <c r="K73" s="7" t="str">
        <f>VLOOKUP(B73,[1]characters!$A:$H,8,FALSE)</f>
        <v>yellow</v>
      </c>
      <c r="L73" s="7" t="str">
        <f>VLOOKUP(B73,[1]characters!$A:$K,11,FALSE)</f>
        <v>balance</v>
      </c>
      <c r="M73" s="7" t="str">
        <f>VLOOKUP(B73,[1]characters!$A:$M,13,FALSE)</f>
        <v>human</v>
      </c>
      <c r="N73" s="7" t="str">
        <f>VLOOKUP(B73,[1]characters!$A:$G,7,FALSE)</f>
        <v>女性</v>
      </c>
      <c r="O73" s="45">
        <f ca="1">IFERROR(VLOOKUP(B73,input_586100!L:R,7,FALSE),VLOOKUP(tables_586100!C73,input_586100!A:H,8,FALSE))</f>
        <v>1097460</v>
      </c>
      <c r="P73" s="46">
        <f t="shared" ca="1" si="4"/>
        <v>8.5312499999787884E-3</v>
      </c>
      <c r="Q73" s="30">
        <v>1</v>
      </c>
      <c r="R73" s="30">
        <v>0</v>
      </c>
      <c r="S73" s="30">
        <v>0</v>
      </c>
      <c r="T73" s="30">
        <v>0</v>
      </c>
      <c r="U73" s="30">
        <v>0</v>
      </c>
      <c r="V73" s="30">
        <v>1</v>
      </c>
    </row>
    <row r="74" spans="1:22" ht="21" customHeight="1" x14ac:dyDescent="0.15">
      <c r="A74" s="2" t="str">
        <f ca="1">input_586100!A$2</f>
        <v>586100</v>
      </c>
      <c r="B74" s="5">
        <v>198</v>
      </c>
      <c r="C74" s="7" t="str">
        <f t="shared" ref="C74:C137" si="8">D74&amp;J74&amp;E74&amp;F74&amp;G74</f>
        <v>Premium5</v>
      </c>
      <c r="D74" s="7" t="str">
        <f t="shared" ref="D74:D137" si="9">IF(OR(I74="PremiumSS",I74="PremiumSSw"),"PremiumSS",IF(I74="PremiumSSS",I74,IF(I74="PremiumW",IF(J74=5,"premium",I74),"Premium")))</f>
        <v>Premium</v>
      </c>
      <c r="E74" s="7" t="str">
        <f>IF(COUNTIF('R6追加前'!A:A,B74)=0,IF(OR(I74="PremiumSS",I74="PremiumSSw"),"R5only","R3less"),"")</f>
        <v/>
      </c>
      <c r="F74" s="7" t="str">
        <f>IF(COUNTIF('R6開放'!A:A,B74)&gt;0,"R6release","")</f>
        <v/>
      </c>
      <c r="G74" s="7"/>
      <c r="H74" s="7" t="str">
        <f>VLOOKUP(B74,[1]characters!$A:$C,3,FALSE)</f>
        <v>砕骨の剛腕 アキレス</v>
      </c>
      <c r="I74" s="7" t="str">
        <f>VLOOKUP(B74,[1]characters!$A:$J,10,FALSE)</f>
        <v>PremiumN</v>
      </c>
      <c r="J74" s="7">
        <f>VLOOKUP(B74,[1]characters!$A:$I,9,FALSE)</f>
        <v>5</v>
      </c>
      <c r="K74" s="7" t="str">
        <f>VLOOKUP(B74,[1]characters!$A:$H,8,FALSE)</f>
        <v>yellow</v>
      </c>
      <c r="L74" s="7" t="str">
        <f>VLOOKUP(B74,[1]characters!$A:$K,11,FALSE)</f>
        <v>balance</v>
      </c>
      <c r="M74" s="7" t="str">
        <f>VLOOKUP(B74,[1]characters!$A:$M,13,FALSE)</f>
        <v>human</v>
      </c>
      <c r="N74" s="7" t="str">
        <f>VLOOKUP(B74,[1]characters!$A:$G,7,FALSE)</f>
        <v>女性</v>
      </c>
      <c r="O74" s="45">
        <f ca="1">IFERROR(VLOOKUP(B74,input_586100!L:R,7,FALSE),VLOOKUP(tables_586100!C74,input_586100!A:H,8,FALSE))</f>
        <v>51796.153850000002</v>
      </c>
      <c r="P74" s="46">
        <f t="shared" ca="1" si="4"/>
        <v>4.0264423079812829E-4</v>
      </c>
      <c r="Q74" s="30">
        <v>1</v>
      </c>
      <c r="R74" s="30">
        <v>0</v>
      </c>
      <c r="S74" s="30">
        <v>0</v>
      </c>
      <c r="T74" s="30">
        <v>0</v>
      </c>
      <c r="U74" s="30">
        <v>0</v>
      </c>
      <c r="V74" s="30">
        <v>1</v>
      </c>
    </row>
    <row r="75" spans="1:22" ht="21" customHeight="1" x14ac:dyDescent="0.15">
      <c r="A75" s="2" t="str">
        <f ca="1">input_586100!A$2</f>
        <v>586100</v>
      </c>
      <c r="B75" s="5">
        <v>199</v>
      </c>
      <c r="C75" s="7" t="str">
        <f t="shared" si="8"/>
        <v>Premium3</v>
      </c>
      <c r="D75" s="7" t="str">
        <f t="shared" si="9"/>
        <v>Premium</v>
      </c>
      <c r="E75" s="7" t="str">
        <f>IF(COUNTIF('R6追加前'!A:A,B75)=0,IF(OR(I75="PremiumSS",I75="PremiumSSw"),"R5only","R3less"),"")</f>
        <v/>
      </c>
      <c r="F75" s="7" t="str">
        <f>IF(COUNTIF('R6開放'!A:A,B75)&gt;0,"R6release","")</f>
        <v/>
      </c>
      <c r="G75" s="7"/>
      <c r="H75" s="7" t="str">
        <f>VLOOKUP(B75,[1]characters!$A:$C,3,FALSE)</f>
        <v>ジークフリート</v>
      </c>
      <c r="I75" s="7" t="str">
        <f>VLOOKUP(B75,[1]characters!$A:$J,10,FALSE)</f>
        <v>PremiumN</v>
      </c>
      <c r="J75" s="7">
        <f>VLOOKUP(B75,[1]characters!$A:$I,9,FALSE)</f>
        <v>3</v>
      </c>
      <c r="K75" s="7" t="str">
        <f>VLOOKUP(B75,[1]characters!$A:$H,8,FALSE)</f>
        <v>blue</v>
      </c>
      <c r="L75" s="7" t="str">
        <f>VLOOKUP(B75,[1]characters!$A:$K,11,FALSE)</f>
        <v>balance</v>
      </c>
      <c r="M75" s="7" t="str">
        <f>VLOOKUP(B75,[1]characters!$A:$M,13,FALSE)</f>
        <v>human</v>
      </c>
      <c r="N75" s="7" t="str">
        <f>VLOOKUP(B75,[1]characters!$A:$G,7,FALSE)</f>
        <v>男性</v>
      </c>
      <c r="O75" s="45">
        <f ca="1">IFERROR(VLOOKUP(B75,input_586100!L:R,7,FALSE),VLOOKUP(tables_586100!C75,input_586100!A:H,8,FALSE))</f>
        <v>0</v>
      </c>
      <c r="P75" s="46">
        <f t="shared" ca="1" si="4"/>
        <v>0</v>
      </c>
      <c r="Q75" s="30">
        <v>1</v>
      </c>
      <c r="R75" s="30">
        <v>0</v>
      </c>
      <c r="S75" s="30">
        <v>0</v>
      </c>
      <c r="T75" s="30">
        <v>0</v>
      </c>
      <c r="U75" s="30">
        <v>0</v>
      </c>
      <c r="V75" s="30">
        <v>1</v>
      </c>
    </row>
    <row r="76" spans="1:22" ht="21" customHeight="1" x14ac:dyDescent="0.15">
      <c r="A76" s="2" t="str">
        <f ca="1">input_586100!A$2</f>
        <v>586100</v>
      </c>
      <c r="B76" s="5">
        <v>200</v>
      </c>
      <c r="C76" s="7" t="str">
        <f t="shared" si="8"/>
        <v>Premium4</v>
      </c>
      <c r="D76" s="7" t="str">
        <f t="shared" si="9"/>
        <v>Premium</v>
      </c>
      <c r="E76" s="7" t="str">
        <f>IF(COUNTIF('R6追加前'!A:A,B76)=0,IF(OR(I76="PremiumSS",I76="PremiumSSw"),"R5only","R3less"),"")</f>
        <v/>
      </c>
      <c r="F76" s="7" t="str">
        <f>IF(COUNTIF('R6開放'!A:A,B76)&gt;0,"R6release","")</f>
        <v/>
      </c>
      <c r="G76" s="7"/>
      <c r="H76" s="7" t="str">
        <f>VLOOKUP(B76,[1]characters!$A:$C,3,FALSE)</f>
        <v>大剣士 ジークフリート</v>
      </c>
      <c r="I76" s="7" t="str">
        <f>VLOOKUP(B76,[1]characters!$A:$J,10,FALSE)</f>
        <v>PremiumN</v>
      </c>
      <c r="J76" s="7">
        <f>VLOOKUP(B76,[1]characters!$A:$I,9,FALSE)</f>
        <v>4</v>
      </c>
      <c r="K76" s="7" t="str">
        <f>VLOOKUP(B76,[1]characters!$A:$H,8,FALSE)</f>
        <v>blue</v>
      </c>
      <c r="L76" s="7" t="str">
        <f>VLOOKUP(B76,[1]characters!$A:$K,11,FALSE)</f>
        <v>balance</v>
      </c>
      <c r="M76" s="7" t="str">
        <f>VLOOKUP(B76,[1]characters!$A:$M,13,FALSE)</f>
        <v>human</v>
      </c>
      <c r="N76" s="7" t="str">
        <f>VLOOKUP(B76,[1]characters!$A:$G,7,FALSE)</f>
        <v>男性</v>
      </c>
      <c r="O76" s="45">
        <f ca="1">IFERROR(VLOOKUP(B76,input_586100!L:R,7,FALSE),VLOOKUP(tables_586100!C76,input_586100!A:H,8,FALSE))</f>
        <v>1097460</v>
      </c>
      <c r="P76" s="46">
        <f t="shared" ca="1" si="4"/>
        <v>8.5312499999787884E-3</v>
      </c>
      <c r="Q76" s="30">
        <v>1</v>
      </c>
      <c r="R76" s="30">
        <v>0</v>
      </c>
      <c r="S76" s="30">
        <v>0</v>
      </c>
      <c r="T76" s="30">
        <v>0</v>
      </c>
      <c r="U76" s="30">
        <v>0</v>
      </c>
      <c r="V76" s="30">
        <v>1</v>
      </c>
    </row>
    <row r="77" spans="1:22" ht="21" customHeight="1" x14ac:dyDescent="0.15">
      <c r="A77" s="2" t="str">
        <f ca="1">input_586100!A$2</f>
        <v>586100</v>
      </c>
      <c r="B77" s="5">
        <v>201</v>
      </c>
      <c r="C77" s="7" t="str">
        <f t="shared" si="8"/>
        <v>Premium5</v>
      </c>
      <c r="D77" s="7" t="str">
        <f t="shared" si="9"/>
        <v>Premium</v>
      </c>
      <c r="E77" s="7" t="str">
        <f>IF(COUNTIF('R6追加前'!A:A,B77)=0,IF(OR(I77="PremiumSS",I77="PremiumSSw"),"R5only","R3less"),"")</f>
        <v/>
      </c>
      <c r="F77" s="7" t="str">
        <f>IF(COUNTIF('R6開放'!A:A,B77)&gt;0,"R6release","")</f>
        <v/>
      </c>
      <c r="G77" s="7"/>
      <c r="H77" s="7" t="str">
        <f>VLOOKUP(B77,[1]characters!$A:$C,3,FALSE)</f>
        <v>斬空の大破剣 ジークフリート</v>
      </c>
      <c r="I77" s="7" t="str">
        <f>VLOOKUP(B77,[1]characters!$A:$J,10,FALSE)</f>
        <v>PremiumN</v>
      </c>
      <c r="J77" s="7">
        <f>VLOOKUP(B77,[1]characters!$A:$I,9,FALSE)</f>
        <v>5</v>
      </c>
      <c r="K77" s="7" t="str">
        <f>VLOOKUP(B77,[1]characters!$A:$H,8,FALSE)</f>
        <v>blue</v>
      </c>
      <c r="L77" s="7" t="str">
        <f>VLOOKUP(B77,[1]characters!$A:$K,11,FALSE)</f>
        <v>balance</v>
      </c>
      <c r="M77" s="7" t="str">
        <f>VLOOKUP(B77,[1]characters!$A:$M,13,FALSE)</f>
        <v>human</v>
      </c>
      <c r="N77" s="7" t="str">
        <f>VLOOKUP(B77,[1]characters!$A:$G,7,FALSE)</f>
        <v>男性</v>
      </c>
      <c r="O77" s="45">
        <f ca="1">IFERROR(VLOOKUP(B77,input_586100!L:R,7,FALSE),VLOOKUP(tables_586100!C77,input_586100!A:H,8,FALSE))</f>
        <v>51796.153850000002</v>
      </c>
      <c r="P77" s="46">
        <f t="shared" ca="1" si="4"/>
        <v>4.0264423079812829E-4</v>
      </c>
      <c r="Q77" s="30">
        <v>1</v>
      </c>
      <c r="R77" s="30">
        <v>0</v>
      </c>
      <c r="S77" s="30">
        <v>0</v>
      </c>
      <c r="T77" s="30">
        <v>0</v>
      </c>
      <c r="U77" s="30">
        <v>0</v>
      </c>
      <c r="V77" s="30">
        <v>1</v>
      </c>
    </row>
    <row r="78" spans="1:22" ht="21" customHeight="1" x14ac:dyDescent="0.15">
      <c r="A78" s="2" t="str">
        <f ca="1">input_586100!A$2</f>
        <v>586100</v>
      </c>
      <c r="B78" s="5">
        <v>202</v>
      </c>
      <c r="C78" s="7" t="str">
        <f t="shared" si="8"/>
        <v>Premium3</v>
      </c>
      <c r="D78" s="7" t="str">
        <f t="shared" si="9"/>
        <v>Premium</v>
      </c>
      <c r="E78" s="7" t="str">
        <f>IF(COUNTIF('R6追加前'!A:A,B78)=0,IF(OR(I78="PremiumSS",I78="PremiumSSw"),"R5only","R3less"),"")</f>
        <v/>
      </c>
      <c r="F78" s="7" t="str">
        <f>IF(COUNTIF('R6開放'!A:A,B78)&gt;0,"R6release","")</f>
        <v/>
      </c>
      <c r="G78" s="7"/>
      <c r="H78" s="7" t="str">
        <f>VLOOKUP(B78,[1]characters!$A:$C,3,FALSE)</f>
        <v>プロメテウス</v>
      </c>
      <c r="I78" s="7" t="str">
        <f>VLOOKUP(B78,[1]characters!$A:$J,10,FALSE)</f>
        <v>PremiumN</v>
      </c>
      <c r="J78" s="7">
        <f>VLOOKUP(B78,[1]characters!$A:$I,9,FALSE)</f>
        <v>3</v>
      </c>
      <c r="K78" s="7" t="str">
        <f>VLOOKUP(B78,[1]characters!$A:$H,8,FALSE)</f>
        <v>red</v>
      </c>
      <c r="L78" s="7" t="str">
        <f>VLOOKUP(B78,[1]characters!$A:$K,11,FALSE)</f>
        <v>hp</v>
      </c>
      <c r="M78" s="7" t="str">
        <f>VLOOKUP(B78,[1]characters!$A:$M,13,FALSE)</f>
        <v>god</v>
      </c>
      <c r="N78" s="7" t="str">
        <f>VLOOKUP(B78,[1]characters!$A:$G,7,FALSE)</f>
        <v>男性</v>
      </c>
      <c r="O78" s="45">
        <f ca="1">IFERROR(VLOOKUP(B78,input_586100!L:R,7,FALSE),VLOOKUP(tables_586100!C78,input_586100!A:H,8,FALSE))</f>
        <v>0</v>
      </c>
      <c r="P78" s="46">
        <f t="shared" ca="1" si="4"/>
        <v>0</v>
      </c>
      <c r="Q78" s="30">
        <v>1</v>
      </c>
      <c r="R78" s="30">
        <v>0</v>
      </c>
      <c r="S78" s="30">
        <v>0</v>
      </c>
      <c r="T78" s="30">
        <v>0</v>
      </c>
      <c r="U78" s="30">
        <v>0</v>
      </c>
      <c r="V78" s="30">
        <v>1</v>
      </c>
    </row>
    <row r="79" spans="1:22" ht="21" customHeight="1" x14ac:dyDescent="0.15">
      <c r="A79" s="2" t="str">
        <f ca="1">input_586100!A$2</f>
        <v>586100</v>
      </c>
      <c r="B79" s="5">
        <v>203</v>
      </c>
      <c r="C79" s="7" t="str">
        <f t="shared" si="8"/>
        <v>Premium4</v>
      </c>
      <c r="D79" s="7" t="str">
        <f t="shared" si="9"/>
        <v>Premium</v>
      </c>
      <c r="E79" s="7" t="str">
        <f>IF(COUNTIF('R6追加前'!A:A,B79)=0,IF(OR(I79="PremiumSS",I79="PremiumSSw"),"R5only","R3less"),"")</f>
        <v/>
      </c>
      <c r="F79" s="7" t="str">
        <f>IF(COUNTIF('R6開放'!A:A,B79)&gt;0,"R6release","")</f>
        <v/>
      </c>
      <c r="G79" s="7"/>
      <c r="H79" s="7" t="str">
        <f>VLOOKUP(B79,[1]characters!$A:$C,3,FALSE)</f>
        <v>焔神 プロメテウス</v>
      </c>
      <c r="I79" s="7" t="str">
        <f>VLOOKUP(B79,[1]characters!$A:$J,10,FALSE)</f>
        <v>PremiumN</v>
      </c>
      <c r="J79" s="7">
        <f>VLOOKUP(B79,[1]characters!$A:$I,9,FALSE)</f>
        <v>4</v>
      </c>
      <c r="K79" s="7" t="str">
        <f>VLOOKUP(B79,[1]characters!$A:$H,8,FALSE)</f>
        <v>red</v>
      </c>
      <c r="L79" s="7" t="str">
        <f>VLOOKUP(B79,[1]characters!$A:$K,11,FALSE)</f>
        <v>hp</v>
      </c>
      <c r="M79" s="7" t="str">
        <f>VLOOKUP(B79,[1]characters!$A:$M,13,FALSE)</f>
        <v>god</v>
      </c>
      <c r="N79" s="7" t="str">
        <f>VLOOKUP(B79,[1]characters!$A:$G,7,FALSE)</f>
        <v>男性</v>
      </c>
      <c r="O79" s="45">
        <f ca="1">IFERROR(VLOOKUP(B79,input_586100!L:R,7,FALSE),VLOOKUP(tables_586100!C79,input_586100!A:H,8,FALSE))</f>
        <v>1097460</v>
      </c>
      <c r="P79" s="46">
        <f t="shared" ca="1" si="4"/>
        <v>8.5312499999787884E-3</v>
      </c>
      <c r="Q79" s="30">
        <v>1</v>
      </c>
      <c r="R79" s="30">
        <v>0</v>
      </c>
      <c r="S79" s="30">
        <v>0</v>
      </c>
      <c r="T79" s="30">
        <v>0</v>
      </c>
      <c r="U79" s="30">
        <v>0</v>
      </c>
      <c r="V79" s="30">
        <v>1</v>
      </c>
    </row>
    <row r="80" spans="1:22" ht="21" customHeight="1" x14ac:dyDescent="0.15">
      <c r="A80" s="2" t="str">
        <f ca="1">input_586100!A$2</f>
        <v>586100</v>
      </c>
      <c r="B80" s="5">
        <v>204</v>
      </c>
      <c r="C80" s="7" t="str">
        <f t="shared" si="8"/>
        <v>Premium5</v>
      </c>
      <c r="D80" s="7" t="str">
        <f t="shared" si="9"/>
        <v>Premium</v>
      </c>
      <c r="E80" s="7" t="str">
        <f>IF(COUNTIF('R6追加前'!A:A,B80)=0,IF(OR(I80="PremiumSS",I80="PremiumSSw"),"R5only","R3less"),"")</f>
        <v/>
      </c>
      <c r="F80" s="7" t="str">
        <f>IF(COUNTIF('R6開放'!A:A,B80)&gt;0,"R6release","")</f>
        <v/>
      </c>
      <c r="G80" s="7"/>
      <c r="H80" s="7" t="str">
        <f>VLOOKUP(B80,[1]characters!$A:$C,3,FALSE)</f>
        <v>慟哭の巨焔 プロメテウス</v>
      </c>
      <c r="I80" s="7" t="str">
        <f>VLOOKUP(B80,[1]characters!$A:$J,10,FALSE)</f>
        <v>PremiumN</v>
      </c>
      <c r="J80" s="7">
        <f>VLOOKUP(B80,[1]characters!$A:$I,9,FALSE)</f>
        <v>5</v>
      </c>
      <c r="K80" s="7" t="str">
        <f>VLOOKUP(B80,[1]characters!$A:$H,8,FALSE)</f>
        <v>red</v>
      </c>
      <c r="L80" s="7" t="str">
        <f>VLOOKUP(B80,[1]characters!$A:$K,11,FALSE)</f>
        <v>hp</v>
      </c>
      <c r="M80" s="7" t="str">
        <f>VLOOKUP(B80,[1]characters!$A:$M,13,FALSE)</f>
        <v>god</v>
      </c>
      <c r="N80" s="7" t="str">
        <f>VLOOKUP(B80,[1]characters!$A:$G,7,FALSE)</f>
        <v>男性</v>
      </c>
      <c r="O80" s="45">
        <f ca="1">IFERROR(VLOOKUP(B80,input_586100!L:R,7,FALSE),VLOOKUP(tables_586100!C80,input_586100!A:H,8,FALSE))</f>
        <v>51796.153850000002</v>
      </c>
      <c r="P80" s="46">
        <f t="shared" ca="1" si="4"/>
        <v>4.0264423079812829E-4</v>
      </c>
      <c r="Q80" s="30">
        <v>1</v>
      </c>
      <c r="R80" s="30">
        <v>0</v>
      </c>
      <c r="S80" s="30">
        <v>0</v>
      </c>
      <c r="T80" s="30">
        <v>0</v>
      </c>
      <c r="U80" s="30">
        <v>0</v>
      </c>
      <c r="V80" s="30">
        <v>1</v>
      </c>
    </row>
    <row r="81" spans="1:22" ht="21" customHeight="1" x14ac:dyDescent="0.15">
      <c r="A81" s="2" t="str">
        <f ca="1">input_586100!A$2</f>
        <v>586100</v>
      </c>
      <c r="B81" s="5">
        <v>205</v>
      </c>
      <c r="C81" s="7" t="str">
        <f t="shared" si="8"/>
        <v>Premium3</v>
      </c>
      <c r="D81" s="7" t="str">
        <f t="shared" si="9"/>
        <v>Premium</v>
      </c>
      <c r="E81" s="7" t="str">
        <f>IF(COUNTIF('R6追加前'!A:A,B81)=0,IF(OR(I81="PremiumSS",I81="PremiumSSw"),"R5only","R3less"),"")</f>
        <v/>
      </c>
      <c r="F81" s="7" t="str">
        <f>IF(COUNTIF('R6開放'!A:A,B81)&gt;0,"R6release","")</f>
        <v/>
      </c>
      <c r="G81" s="7"/>
      <c r="H81" s="7" t="str">
        <f>VLOOKUP(B81,[1]characters!$A:$C,3,FALSE)</f>
        <v>アフロディーテ</v>
      </c>
      <c r="I81" s="7" t="str">
        <f>VLOOKUP(B81,[1]characters!$A:$J,10,FALSE)</f>
        <v>PremiumN</v>
      </c>
      <c r="J81" s="7">
        <f>VLOOKUP(B81,[1]characters!$A:$I,9,FALSE)</f>
        <v>3</v>
      </c>
      <c r="K81" s="7" t="str">
        <f>VLOOKUP(B81,[1]characters!$A:$H,8,FALSE)</f>
        <v>green</v>
      </c>
      <c r="L81" s="7" t="str">
        <f>VLOOKUP(B81,[1]characters!$A:$K,11,FALSE)</f>
        <v>hp</v>
      </c>
      <c r="M81" s="7" t="str">
        <f>VLOOKUP(B81,[1]characters!$A:$M,13,FALSE)</f>
        <v>god</v>
      </c>
      <c r="N81" s="7" t="str">
        <f>VLOOKUP(B81,[1]characters!$A:$G,7,FALSE)</f>
        <v>女性</v>
      </c>
      <c r="O81" s="45">
        <f ca="1">IFERROR(VLOOKUP(B81,input_586100!L:R,7,FALSE),VLOOKUP(tables_586100!C81,input_586100!A:H,8,FALSE))</f>
        <v>0</v>
      </c>
      <c r="P81" s="46">
        <f t="shared" ca="1" si="4"/>
        <v>0</v>
      </c>
      <c r="Q81" s="30">
        <v>1</v>
      </c>
      <c r="R81" s="30">
        <v>0</v>
      </c>
      <c r="S81" s="30">
        <v>0</v>
      </c>
      <c r="T81" s="30">
        <v>0</v>
      </c>
      <c r="U81" s="30">
        <v>0</v>
      </c>
      <c r="V81" s="30">
        <v>1</v>
      </c>
    </row>
    <row r="82" spans="1:22" ht="21" customHeight="1" x14ac:dyDescent="0.15">
      <c r="A82" s="2" t="str">
        <f ca="1">input_586100!A$2</f>
        <v>586100</v>
      </c>
      <c r="B82" s="5">
        <v>206</v>
      </c>
      <c r="C82" s="7" t="str">
        <f t="shared" si="8"/>
        <v>Premium4</v>
      </c>
      <c r="D82" s="7" t="str">
        <f t="shared" si="9"/>
        <v>Premium</v>
      </c>
      <c r="E82" s="7" t="str">
        <f>IF(COUNTIF('R6追加前'!A:A,B82)=0,IF(OR(I82="PremiumSS",I82="PremiumSSw"),"R5only","R3less"),"")</f>
        <v/>
      </c>
      <c r="F82" s="7" t="str">
        <f>IF(COUNTIF('R6開放'!A:A,B82)&gt;0,"R6release","")</f>
        <v/>
      </c>
      <c r="G82" s="7"/>
      <c r="H82" s="7" t="str">
        <f>VLOOKUP(B82,[1]characters!$A:$C,3,FALSE)</f>
        <v>美神 アフロディーテ</v>
      </c>
      <c r="I82" s="7" t="str">
        <f>VLOOKUP(B82,[1]characters!$A:$J,10,FALSE)</f>
        <v>PremiumN</v>
      </c>
      <c r="J82" s="7">
        <f>VLOOKUP(B82,[1]characters!$A:$I,9,FALSE)</f>
        <v>4</v>
      </c>
      <c r="K82" s="7" t="str">
        <f>VLOOKUP(B82,[1]characters!$A:$H,8,FALSE)</f>
        <v>green</v>
      </c>
      <c r="L82" s="7" t="str">
        <f>VLOOKUP(B82,[1]characters!$A:$K,11,FALSE)</f>
        <v>hp</v>
      </c>
      <c r="M82" s="7" t="str">
        <f>VLOOKUP(B82,[1]characters!$A:$M,13,FALSE)</f>
        <v>god</v>
      </c>
      <c r="N82" s="7" t="str">
        <f>VLOOKUP(B82,[1]characters!$A:$G,7,FALSE)</f>
        <v>女性</v>
      </c>
      <c r="O82" s="45">
        <f ca="1">IFERROR(VLOOKUP(B82,input_586100!L:R,7,FALSE),VLOOKUP(tables_586100!C82,input_586100!A:H,8,FALSE))</f>
        <v>1097460</v>
      </c>
      <c r="P82" s="46">
        <f t="shared" ca="1" si="4"/>
        <v>8.5312499999787884E-3</v>
      </c>
      <c r="Q82" s="30">
        <v>1</v>
      </c>
      <c r="R82" s="30">
        <v>0</v>
      </c>
      <c r="S82" s="30">
        <v>0</v>
      </c>
      <c r="T82" s="30">
        <v>0</v>
      </c>
      <c r="U82" s="30">
        <v>0</v>
      </c>
      <c r="V82" s="30">
        <v>1</v>
      </c>
    </row>
    <row r="83" spans="1:22" ht="21" customHeight="1" x14ac:dyDescent="0.15">
      <c r="A83" s="2" t="str">
        <f ca="1">input_586100!A$2</f>
        <v>586100</v>
      </c>
      <c r="B83" s="5">
        <v>207</v>
      </c>
      <c r="C83" s="7" t="str">
        <f t="shared" si="8"/>
        <v>Premium5</v>
      </c>
      <c r="D83" s="7" t="str">
        <f t="shared" si="9"/>
        <v>Premium</v>
      </c>
      <c r="E83" s="7" t="str">
        <f>IF(COUNTIF('R6追加前'!A:A,B83)=0,IF(OR(I83="PremiumSS",I83="PremiumSSw"),"R5only","R3less"),"")</f>
        <v/>
      </c>
      <c r="F83" s="7" t="str">
        <f>IF(COUNTIF('R6開放'!A:A,B83)&gt;0,"R6release","")</f>
        <v/>
      </c>
      <c r="G83" s="7"/>
      <c r="H83" s="7" t="str">
        <f>VLOOKUP(B83,[1]characters!$A:$C,3,FALSE)</f>
        <v>豊穣の麗神・アフロディーテ</v>
      </c>
      <c r="I83" s="7" t="str">
        <f>VLOOKUP(B83,[1]characters!$A:$J,10,FALSE)</f>
        <v>PremiumN</v>
      </c>
      <c r="J83" s="7">
        <f>VLOOKUP(B83,[1]characters!$A:$I,9,FALSE)</f>
        <v>5</v>
      </c>
      <c r="K83" s="7" t="str">
        <f>VLOOKUP(B83,[1]characters!$A:$H,8,FALSE)</f>
        <v>green</v>
      </c>
      <c r="L83" s="7" t="str">
        <f>VLOOKUP(B83,[1]characters!$A:$K,11,FALSE)</f>
        <v>hp</v>
      </c>
      <c r="M83" s="7" t="str">
        <f>VLOOKUP(B83,[1]characters!$A:$M,13,FALSE)</f>
        <v>god</v>
      </c>
      <c r="N83" s="7" t="str">
        <f>VLOOKUP(B83,[1]characters!$A:$G,7,FALSE)</f>
        <v>女性</v>
      </c>
      <c r="O83" s="45">
        <f ca="1">IFERROR(VLOOKUP(B83,input_586100!L:R,7,FALSE),VLOOKUP(tables_586100!C83,input_586100!A:H,8,FALSE))</f>
        <v>51796.153850000002</v>
      </c>
      <c r="P83" s="46">
        <f t="shared" ca="1" si="4"/>
        <v>4.0264423079812829E-4</v>
      </c>
      <c r="Q83" s="30">
        <v>1</v>
      </c>
      <c r="R83" s="30">
        <v>0</v>
      </c>
      <c r="S83" s="30">
        <v>0</v>
      </c>
      <c r="T83" s="30">
        <v>0</v>
      </c>
      <c r="U83" s="30">
        <v>0</v>
      </c>
      <c r="V83" s="30">
        <v>1</v>
      </c>
    </row>
    <row r="84" spans="1:22" ht="21" customHeight="1" x14ac:dyDescent="0.15">
      <c r="A84" s="2" t="str">
        <f ca="1">input_586100!A$2</f>
        <v>586100</v>
      </c>
      <c r="B84" s="5">
        <v>208</v>
      </c>
      <c r="C84" s="7" t="str">
        <f t="shared" si="8"/>
        <v>Premium3</v>
      </c>
      <c r="D84" s="7" t="str">
        <f t="shared" si="9"/>
        <v>Premium</v>
      </c>
      <c r="E84" s="7" t="str">
        <f>IF(COUNTIF('R6追加前'!A:A,B84)=0,IF(OR(I84="PremiumSS",I84="PremiumSSw"),"R5only","R3less"),"")</f>
        <v/>
      </c>
      <c r="F84" s="7" t="str">
        <f>IF(COUNTIF('R6開放'!A:A,B84)&gt;0,"R6release","")</f>
        <v/>
      </c>
      <c r="G84" s="7"/>
      <c r="H84" s="7" t="str">
        <f>VLOOKUP(B84,[1]characters!$A:$C,3,FALSE)</f>
        <v>テティス</v>
      </c>
      <c r="I84" s="7" t="str">
        <f>VLOOKUP(B84,[1]characters!$A:$J,10,FALSE)</f>
        <v>PremiumN</v>
      </c>
      <c r="J84" s="7">
        <f>VLOOKUP(B84,[1]characters!$A:$I,9,FALSE)</f>
        <v>3</v>
      </c>
      <c r="K84" s="7" t="str">
        <f>VLOOKUP(B84,[1]characters!$A:$H,8,FALSE)</f>
        <v>blue</v>
      </c>
      <c r="L84" s="7" t="str">
        <f>VLOOKUP(B84,[1]characters!$A:$K,11,FALSE)</f>
        <v>hp</v>
      </c>
      <c r="M84" s="7" t="str">
        <f>VLOOKUP(B84,[1]characters!$A:$M,13,FALSE)</f>
        <v>god</v>
      </c>
      <c r="N84" s="7" t="str">
        <f>VLOOKUP(B84,[1]characters!$A:$G,7,FALSE)</f>
        <v>女性</v>
      </c>
      <c r="O84" s="45">
        <f ca="1">IFERROR(VLOOKUP(B84,input_586100!L:R,7,FALSE),VLOOKUP(tables_586100!C84,input_586100!A:H,8,FALSE))</f>
        <v>0</v>
      </c>
      <c r="P84" s="46">
        <f t="shared" ca="1" si="4"/>
        <v>0</v>
      </c>
      <c r="Q84" s="30">
        <v>1</v>
      </c>
      <c r="R84" s="30">
        <v>0</v>
      </c>
      <c r="S84" s="30">
        <v>0</v>
      </c>
      <c r="T84" s="30">
        <v>0</v>
      </c>
      <c r="U84" s="30">
        <v>0</v>
      </c>
      <c r="V84" s="30">
        <v>1</v>
      </c>
    </row>
    <row r="85" spans="1:22" ht="21" customHeight="1" x14ac:dyDescent="0.15">
      <c r="A85" s="2" t="str">
        <f ca="1">input_586100!A$2</f>
        <v>586100</v>
      </c>
      <c r="B85" s="5">
        <v>209</v>
      </c>
      <c r="C85" s="7" t="str">
        <f t="shared" si="8"/>
        <v>Premium4</v>
      </c>
      <c r="D85" s="7" t="str">
        <f t="shared" si="9"/>
        <v>Premium</v>
      </c>
      <c r="E85" s="7" t="str">
        <f>IF(COUNTIF('R6追加前'!A:A,B85)=0,IF(OR(I85="PremiumSS",I85="PremiumSSw"),"R5only","R3less"),"")</f>
        <v/>
      </c>
      <c r="F85" s="7" t="str">
        <f>IF(COUNTIF('R6開放'!A:A,B85)&gt;0,"R6release","")</f>
        <v/>
      </c>
      <c r="G85" s="7"/>
      <c r="H85" s="7" t="str">
        <f>VLOOKUP(B85,[1]characters!$A:$C,3,FALSE)</f>
        <v>孤神 テティス</v>
      </c>
      <c r="I85" s="7" t="str">
        <f>VLOOKUP(B85,[1]characters!$A:$J,10,FALSE)</f>
        <v>PremiumN</v>
      </c>
      <c r="J85" s="7">
        <f>VLOOKUP(B85,[1]characters!$A:$I,9,FALSE)</f>
        <v>4</v>
      </c>
      <c r="K85" s="7" t="str">
        <f>VLOOKUP(B85,[1]characters!$A:$H,8,FALSE)</f>
        <v>blue</v>
      </c>
      <c r="L85" s="7" t="str">
        <f>VLOOKUP(B85,[1]characters!$A:$K,11,FALSE)</f>
        <v>hp</v>
      </c>
      <c r="M85" s="7" t="str">
        <f>VLOOKUP(B85,[1]characters!$A:$M,13,FALSE)</f>
        <v>god</v>
      </c>
      <c r="N85" s="7" t="str">
        <f>VLOOKUP(B85,[1]characters!$A:$G,7,FALSE)</f>
        <v>女性</v>
      </c>
      <c r="O85" s="45">
        <f ca="1">IFERROR(VLOOKUP(B85,input_586100!L:R,7,FALSE),VLOOKUP(tables_586100!C85,input_586100!A:H,8,FALSE))</f>
        <v>1097460</v>
      </c>
      <c r="P85" s="46">
        <f t="shared" ca="1" si="4"/>
        <v>8.5312499999787884E-3</v>
      </c>
      <c r="Q85" s="30">
        <v>1</v>
      </c>
      <c r="R85" s="30">
        <v>0</v>
      </c>
      <c r="S85" s="30">
        <v>0</v>
      </c>
      <c r="T85" s="30">
        <v>0</v>
      </c>
      <c r="U85" s="30">
        <v>0</v>
      </c>
      <c r="V85" s="30">
        <v>1</v>
      </c>
    </row>
    <row r="86" spans="1:22" ht="21" customHeight="1" x14ac:dyDescent="0.15">
      <c r="A86" s="2" t="str">
        <f ca="1">input_586100!A$2</f>
        <v>586100</v>
      </c>
      <c r="B86" s="5">
        <v>210</v>
      </c>
      <c r="C86" s="7" t="str">
        <f t="shared" si="8"/>
        <v>Premium5</v>
      </c>
      <c r="D86" s="7" t="str">
        <f t="shared" si="9"/>
        <v>Premium</v>
      </c>
      <c r="E86" s="7" t="str">
        <f>IF(COUNTIF('R6追加前'!A:A,B86)=0,IF(OR(I86="PremiumSS",I86="PremiumSSw"),"R5only","R3less"),"")</f>
        <v/>
      </c>
      <c r="F86" s="7" t="str">
        <f>IF(COUNTIF('R6開放'!A:A,B86)&gt;0,"R6release","")</f>
        <v/>
      </c>
      <c r="G86" s="7"/>
      <c r="H86" s="7" t="str">
        <f>VLOOKUP(B86,[1]characters!$A:$C,3,FALSE)</f>
        <v>海底の孤高神 テティス</v>
      </c>
      <c r="I86" s="7" t="str">
        <f>VLOOKUP(B86,[1]characters!$A:$J,10,FALSE)</f>
        <v>PremiumN</v>
      </c>
      <c r="J86" s="7">
        <f>VLOOKUP(B86,[1]characters!$A:$I,9,FALSE)</f>
        <v>5</v>
      </c>
      <c r="K86" s="7" t="str">
        <f>VLOOKUP(B86,[1]characters!$A:$H,8,FALSE)</f>
        <v>blue</v>
      </c>
      <c r="L86" s="7" t="str">
        <f>VLOOKUP(B86,[1]characters!$A:$K,11,FALSE)</f>
        <v>hp</v>
      </c>
      <c r="M86" s="7" t="str">
        <f>VLOOKUP(B86,[1]characters!$A:$M,13,FALSE)</f>
        <v>god</v>
      </c>
      <c r="N86" s="7" t="str">
        <f>VLOOKUP(B86,[1]characters!$A:$G,7,FALSE)</f>
        <v>女性</v>
      </c>
      <c r="O86" s="45">
        <f ca="1">IFERROR(VLOOKUP(B86,input_586100!L:R,7,FALSE),VLOOKUP(tables_586100!C86,input_586100!A:H,8,FALSE))</f>
        <v>51796.153850000002</v>
      </c>
      <c r="P86" s="46">
        <f t="shared" ca="1" si="4"/>
        <v>4.0264423079812829E-4</v>
      </c>
      <c r="Q86" s="30">
        <v>1</v>
      </c>
      <c r="R86" s="30">
        <v>0</v>
      </c>
      <c r="S86" s="30">
        <v>0</v>
      </c>
      <c r="T86" s="30">
        <v>0</v>
      </c>
      <c r="U86" s="30">
        <v>0</v>
      </c>
      <c r="V86" s="30">
        <v>1</v>
      </c>
    </row>
    <row r="87" spans="1:22" ht="21" customHeight="1" x14ac:dyDescent="0.15">
      <c r="A87" s="2" t="str">
        <f ca="1">input_586100!A$2</f>
        <v>586100</v>
      </c>
      <c r="B87" s="5">
        <v>211</v>
      </c>
      <c r="C87" s="7" t="str">
        <f t="shared" si="8"/>
        <v>Premium3</v>
      </c>
      <c r="D87" s="7" t="str">
        <f t="shared" si="9"/>
        <v>Premium</v>
      </c>
      <c r="E87" s="7" t="str">
        <f>IF(COUNTIF('R6追加前'!A:A,B87)=0,IF(OR(I87="PremiumSS",I87="PremiumSSw"),"R5only","R3less"),"")</f>
        <v/>
      </c>
      <c r="F87" s="7" t="str">
        <f>IF(COUNTIF('R6開放'!A:A,B87)&gt;0,"R6release","")</f>
        <v/>
      </c>
      <c r="G87" s="7"/>
      <c r="H87" s="7" t="str">
        <f>VLOOKUP(B87,[1]characters!$A:$C,3,FALSE)</f>
        <v>アストライアー</v>
      </c>
      <c r="I87" s="7" t="str">
        <f>VLOOKUP(B87,[1]characters!$A:$J,10,FALSE)</f>
        <v>PremiumN</v>
      </c>
      <c r="J87" s="7">
        <f>VLOOKUP(B87,[1]characters!$A:$I,9,FALSE)</f>
        <v>3</v>
      </c>
      <c r="K87" s="7" t="str">
        <f>VLOOKUP(B87,[1]characters!$A:$H,8,FALSE)</f>
        <v>yellow</v>
      </c>
      <c r="L87" s="7" t="str">
        <f>VLOOKUP(B87,[1]characters!$A:$K,11,FALSE)</f>
        <v>balance</v>
      </c>
      <c r="M87" s="7" t="str">
        <f>VLOOKUP(B87,[1]characters!$A:$M,13,FALSE)</f>
        <v>god</v>
      </c>
      <c r="N87" s="7" t="str">
        <f>VLOOKUP(B87,[1]characters!$A:$G,7,FALSE)</f>
        <v>女性</v>
      </c>
      <c r="O87" s="45">
        <f ca="1">IFERROR(VLOOKUP(B87,input_586100!L:R,7,FALSE),VLOOKUP(tables_586100!C87,input_586100!A:H,8,FALSE))</f>
        <v>0</v>
      </c>
      <c r="P87" s="46">
        <f t="shared" ca="1" si="4"/>
        <v>0</v>
      </c>
      <c r="Q87" s="30">
        <v>1</v>
      </c>
      <c r="R87" s="30">
        <v>0</v>
      </c>
      <c r="S87" s="30">
        <v>0</v>
      </c>
      <c r="T87" s="30">
        <v>0</v>
      </c>
      <c r="U87" s="30">
        <v>0</v>
      </c>
      <c r="V87" s="30">
        <v>1</v>
      </c>
    </row>
    <row r="88" spans="1:22" ht="21" customHeight="1" x14ac:dyDescent="0.15">
      <c r="A88" s="2" t="str">
        <f ca="1">input_586100!A$2</f>
        <v>586100</v>
      </c>
      <c r="B88" s="5">
        <v>212</v>
      </c>
      <c r="C88" s="7" t="str">
        <f t="shared" si="8"/>
        <v>Premium4</v>
      </c>
      <c r="D88" s="7" t="str">
        <f t="shared" si="9"/>
        <v>Premium</v>
      </c>
      <c r="E88" s="7" t="str">
        <f>IF(COUNTIF('R6追加前'!A:A,B88)=0,IF(OR(I88="PremiumSS",I88="PremiumSSw"),"R5only","R3less"),"")</f>
        <v/>
      </c>
      <c r="F88" s="7" t="str">
        <f>IF(COUNTIF('R6開放'!A:A,B88)&gt;0,"R6release","")</f>
        <v/>
      </c>
      <c r="G88" s="7"/>
      <c r="H88" s="7" t="str">
        <f>VLOOKUP(B88,[1]characters!$A:$C,3,FALSE)</f>
        <v>星神 アストライアー</v>
      </c>
      <c r="I88" s="7" t="str">
        <f>VLOOKUP(B88,[1]characters!$A:$J,10,FALSE)</f>
        <v>PremiumN</v>
      </c>
      <c r="J88" s="7">
        <f>VLOOKUP(B88,[1]characters!$A:$I,9,FALSE)</f>
        <v>4</v>
      </c>
      <c r="K88" s="7" t="str">
        <f>VLOOKUP(B88,[1]characters!$A:$H,8,FALSE)</f>
        <v>yellow</v>
      </c>
      <c r="L88" s="7" t="str">
        <f>VLOOKUP(B88,[1]characters!$A:$K,11,FALSE)</f>
        <v>balance</v>
      </c>
      <c r="M88" s="7" t="str">
        <f>VLOOKUP(B88,[1]characters!$A:$M,13,FALSE)</f>
        <v>god</v>
      </c>
      <c r="N88" s="7" t="str">
        <f>VLOOKUP(B88,[1]characters!$A:$G,7,FALSE)</f>
        <v>女性</v>
      </c>
      <c r="O88" s="45">
        <f ca="1">IFERROR(VLOOKUP(B88,input_586100!L:R,7,FALSE),VLOOKUP(tables_586100!C88,input_586100!A:H,8,FALSE))</f>
        <v>1097460</v>
      </c>
      <c r="P88" s="46">
        <f t="shared" ca="1" si="4"/>
        <v>8.5312499999787884E-3</v>
      </c>
      <c r="Q88" s="30">
        <v>1</v>
      </c>
      <c r="R88" s="30">
        <v>0</v>
      </c>
      <c r="S88" s="30">
        <v>0</v>
      </c>
      <c r="T88" s="30">
        <v>0</v>
      </c>
      <c r="U88" s="30">
        <v>0</v>
      </c>
      <c r="V88" s="30">
        <v>1</v>
      </c>
    </row>
    <row r="89" spans="1:22" ht="21" customHeight="1" x14ac:dyDescent="0.15">
      <c r="A89" s="2" t="str">
        <f ca="1">input_586100!A$2</f>
        <v>586100</v>
      </c>
      <c r="B89" s="5">
        <v>213</v>
      </c>
      <c r="C89" s="7" t="str">
        <f t="shared" si="8"/>
        <v>Premium5</v>
      </c>
      <c r="D89" s="7" t="str">
        <f t="shared" si="9"/>
        <v>Premium</v>
      </c>
      <c r="E89" s="7" t="str">
        <f>IF(COUNTIF('R6追加前'!A:A,B89)=0,IF(OR(I89="PremiumSS",I89="PremiumSSw"),"R5only","R3less"),"")</f>
        <v/>
      </c>
      <c r="F89" s="7" t="str">
        <f>IF(COUNTIF('R6開放'!A:A,B89)&gt;0,"R6release","")</f>
        <v/>
      </c>
      <c r="G89" s="7"/>
      <c r="H89" s="7" t="str">
        <f>VLOOKUP(B89,[1]characters!$A:$C,3,FALSE)</f>
        <v>満天の星降神 アストライアー</v>
      </c>
      <c r="I89" s="7" t="str">
        <f>VLOOKUP(B89,[1]characters!$A:$J,10,FALSE)</f>
        <v>PremiumN</v>
      </c>
      <c r="J89" s="7">
        <f>VLOOKUP(B89,[1]characters!$A:$I,9,FALSE)</f>
        <v>5</v>
      </c>
      <c r="K89" s="7" t="str">
        <f>VLOOKUP(B89,[1]characters!$A:$H,8,FALSE)</f>
        <v>yellow</v>
      </c>
      <c r="L89" s="7" t="str">
        <f>VLOOKUP(B89,[1]characters!$A:$K,11,FALSE)</f>
        <v>balance</v>
      </c>
      <c r="M89" s="7" t="str">
        <f>VLOOKUP(B89,[1]characters!$A:$M,13,FALSE)</f>
        <v>god</v>
      </c>
      <c r="N89" s="7" t="str">
        <f>VLOOKUP(B89,[1]characters!$A:$G,7,FALSE)</f>
        <v>女性</v>
      </c>
      <c r="O89" s="45">
        <f ca="1">IFERROR(VLOOKUP(B89,input_586100!L:R,7,FALSE),VLOOKUP(tables_586100!C89,input_586100!A:H,8,FALSE))</f>
        <v>51796.153850000002</v>
      </c>
      <c r="P89" s="46">
        <f t="shared" ca="1" si="4"/>
        <v>4.0264423079812829E-4</v>
      </c>
      <c r="Q89" s="30">
        <v>1</v>
      </c>
      <c r="R89" s="30">
        <v>0</v>
      </c>
      <c r="S89" s="30">
        <v>0</v>
      </c>
      <c r="T89" s="30">
        <v>0</v>
      </c>
      <c r="U89" s="30">
        <v>0</v>
      </c>
      <c r="V89" s="30">
        <v>1</v>
      </c>
    </row>
    <row r="90" spans="1:22" ht="21" customHeight="1" x14ac:dyDescent="0.15">
      <c r="A90" s="2" t="str">
        <f ca="1">input_586100!A$2</f>
        <v>586100</v>
      </c>
      <c r="B90" s="5">
        <v>214</v>
      </c>
      <c r="C90" s="7" t="str">
        <f t="shared" si="8"/>
        <v>Premium3</v>
      </c>
      <c r="D90" s="7" t="str">
        <f t="shared" si="9"/>
        <v>Premium</v>
      </c>
      <c r="E90" s="7" t="str">
        <f>IF(COUNTIF('R6追加前'!A:A,B90)=0,IF(OR(I90="PremiumSS",I90="PremiumSSw"),"R5only","R3less"),"")</f>
        <v/>
      </c>
      <c r="F90" s="7" t="str">
        <f>IF(COUNTIF('R6開放'!A:A,B90)&gt;0,"R6release","")</f>
        <v/>
      </c>
      <c r="G90" s="7"/>
      <c r="H90" s="7" t="str">
        <f>VLOOKUP(B90,[1]characters!$A:$C,3,FALSE)</f>
        <v>アズラエル</v>
      </c>
      <c r="I90" s="7" t="str">
        <f>VLOOKUP(B90,[1]characters!$A:$J,10,FALSE)</f>
        <v>PremiumN</v>
      </c>
      <c r="J90" s="7">
        <f>VLOOKUP(B90,[1]characters!$A:$I,9,FALSE)</f>
        <v>3</v>
      </c>
      <c r="K90" s="7" t="str">
        <f>VLOOKUP(B90,[1]characters!$A:$H,8,FALSE)</f>
        <v>red</v>
      </c>
      <c r="L90" s="7" t="str">
        <f>VLOOKUP(B90,[1]characters!$A:$K,11,FALSE)</f>
        <v>balance</v>
      </c>
      <c r="M90" s="7" t="str">
        <f>VLOOKUP(B90,[1]characters!$A:$M,13,FALSE)</f>
        <v>god</v>
      </c>
      <c r="N90" s="7" t="str">
        <f>VLOOKUP(B90,[1]characters!$A:$G,7,FALSE)</f>
        <v>女性</v>
      </c>
      <c r="O90" s="45">
        <f ca="1">IFERROR(VLOOKUP(B90,input_586100!L:R,7,FALSE),VLOOKUP(tables_586100!C90,input_586100!A:H,8,FALSE))</f>
        <v>0</v>
      </c>
      <c r="P90" s="46">
        <f t="shared" ca="1" si="4"/>
        <v>0</v>
      </c>
      <c r="Q90" s="30">
        <v>1</v>
      </c>
      <c r="R90" s="30">
        <v>0</v>
      </c>
      <c r="S90" s="30">
        <v>0</v>
      </c>
      <c r="T90" s="30">
        <v>0</v>
      </c>
      <c r="U90" s="30">
        <v>0</v>
      </c>
      <c r="V90" s="30">
        <v>1</v>
      </c>
    </row>
    <row r="91" spans="1:22" ht="21" customHeight="1" x14ac:dyDescent="0.15">
      <c r="A91" s="2" t="str">
        <f ca="1">input_586100!A$2</f>
        <v>586100</v>
      </c>
      <c r="B91" s="5">
        <v>215</v>
      </c>
      <c r="C91" s="7" t="str">
        <f t="shared" si="8"/>
        <v>Premium4</v>
      </c>
      <c r="D91" s="7" t="str">
        <f t="shared" si="9"/>
        <v>Premium</v>
      </c>
      <c r="E91" s="7" t="str">
        <f>IF(COUNTIF('R6追加前'!A:A,B91)=0,IF(OR(I91="PremiumSS",I91="PremiumSSw"),"R5only","R3less"),"")</f>
        <v/>
      </c>
      <c r="F91" s="7" t="str">
        <f>IF(COUNTIF('R6開放'!A:A,B91)&gt;0,"R6release","")</f>
        <v/>
      </c>
      <c r="G91" s="7"/>
      <c r="H91" s="7" t="str">
        <f>VLOOKUP(B91,[1]characters!$A:$C,3,FALSE)</f>
        <v>死導者 アズラエル</v>
      </c>
      <c r="I91" s="7" t="str">
        <f>VLOOKUP(B91,[1]characters!$A:$J,10,FALSE)</f>
        <v>PremiumN</v>
      </c>
      <c r="J91" s="7">
        <f>VLOOKUP(B91,[1]characters!$A:$I,9,FALSE)</f>
        <v>4</v>
      </c>
      <c r="K91" s="7" t="str">
        <f>VLOOKUP(B91,[1]characters!$A:$H,8,FALSE)</f>
        <v>red</v>
      </c>
      <c r="L91" s="7" t="str">
        <f>VLOOKUP(B91,[1]characters!$A:$K,11,FALSE)</f>
        <v>balance</v>
      </c>
      <c r="M91" s="7" t="str">
        <f>VLOOKUP(B91,[1]characters!$A:$M,13,FALSE)</f>
        <v>god</v>
      </c>
      <c r="N91" s="7" t="str">
        <f>VLOOKUP(B91,[1]characters!$A:$G,7,FALSE)</f>
        <v>女性</v>
      </c>
      <c r="O91" s="45">
        <f ca="1">IFERROR(VLOOKUP(B91,input_586100!L:R,7,FALSE),VLOOKUP(tables_586100!C91,input_586100!A:H,8,FALSE))</f>
        <v>1097460</v>
      </c>
      <c r="P91" s="46">
        <f t="shared" ca="1" si="4"/>
        <v>8.5312499999787884E-3</v>
      </c>
      <c r="Q91" s="30">
        <v>1</v>
      </c>
      <c r="R91" s="30">
        <v>0</v>
      </c>
      <c r="S91" s="30">
        <v>0</v>
      </c>
      <c r="T91" s="30">
        <v>0</v>
      </c>
      <c r="U91" s="30">
        <v>0</v>
      </c>
      <c r="V91" s="30">
        <v>1</v>
      </c>
    </row>
    <row r="92" spans="1:22" ht="21" customHeight="1" x14ac:dyDescent="0.15">
      <c r="A92" s="2" t="str">
        <f ca="1">input_586100!A$2</f>
        <v>586100</v>
      </c>
      <c r="B92" s="5">
        <v>216</v>
      </c>
      <c r="C92" s="7" t="str">
        <f t="shared" si="8"/>
        <v>Premium5</v>
      </c>
      <c r="D92" s="7" t="str">
        <f t="shared" si="9"/>
        <v>Premium</v>
      </c>
      <c r="E92" s="7" t="str">
        <f>IF(COUNTIF('R6追加前'!A:A,B92)=0,IF(OR(I92="PremiumSS",I92="PremiumSSw"),"R5only","R3less"),"")</f>
        <v/>
      </c>
      <c r="F92" s="7" t="str">
        <f>IF(COUNTIF('R6開放'!A:A,B92)&gt;0,"R6release","")</f>
        <v/>
      </c>
      <c r="G92" s="7"/>
      <c r="H92" s="7" t="str">
        <f>VLOOKUP(B92,[1]characters!$A:$C,3,FALSE)</f>
        <v>百読の死導司書 アズラエル</v>
      </c>
      <c r="I92" s="7" t="str">
        <f>VLOOKUP(B92,[1]characters!$A:$J,10,FALSE)</f>
        <v>PremiumN</v>
      </c>
      <c r="J92" s="7">
        <f>VLOOKUP(B92,[1]characters!$A:$I,9,FALSE)</f>
        <v>5</v>
      </c>
      <c r="K92" s="7" t="str">
        <f>VLOOKUP(B92,[1]characters!$A:$H,8,FALSE)</f>
        <v>red</v>
      </c>
      <c r="L92" s="7" t="str">
        <f>VLOOKUP(B92,[1]characters!$A:$K,11,FALSE)</f>
        <v>balance</v>
      </c>
      <c r="M92" s="7" t="str">
        <f>VLOOKUP(B92,[1]characters!$A:$M,13,FALSE)</f>
        <v>god</v>
      </c>
      <c r="N92" s="7" t="str">
        <f>VLOOKUP(B92,[1]characters!$A:$G,7,FALSE)</f>
        <v>女性</v>
      </c>
      <c r="O92" s="45">
        <f ca="1">IFERROR(VLOOKUP(B92,input_586100!L:R,7,FALSE),VLOOKUP(tables_586100!C92,input_586100!A:H,8,FALSE))</f>
        <v>51796.153850000002</v>
      </c>
      <c r="P92" s="46">
        <f t="shared" ca="1" si="4"/>
        <v>4.0264423079812829E-4</v>
      </c>
      <c r="Q92" s="30">
        <v>1</v>
      </c>
      <c r="R92" s="30">
        <v>0</v>
      </c>
      <c r="S92" s="30">
        <v>0</v>
      </c>
      <c r="T92" s="30">
        <v>0</v>
      </c>
      <c r="U92" s="30">
        <v>0</v>
      </c>
      <c r="V92" s="30">
        <v>1</v>
      </c>
    </row>
    <row r="93" spans="1:22" ht="21" customHeight="1" x14ac:dyDescent="0.15">
      <c r="A93" s="2" t="str">
        <f ca="1">input_586100!A$2</f>
        <v>586100</v>
      </c>
      <c r="B93" s="5">
        <v>217</v>
      </c>
      <c r="C93" s="7" t="str">
        <f t="shared" si="8"/>
        <v>Premium3</v>
      </c>
      <c r="D93" s="7" t="str">
        <f t="shared" si="9"/>
        <v>Premium</v>
      </c>
      <c r="E93" s="7" t="str">
        <f>IF(COUNTIF('R6追加前'!A:A,B93)=0,IF(OR(I93="PremiumSS",I93="PremiumSSw"),"R5only","R3less"),"")</f>
        <v/>
      </c>
      <c r="F93" s="7" t="str">
        <f>IF(COUNTIF('R6開放'!A:A,B93)&gt;0,"R6release","")</f>
        <v/>
      </c>
      <c r="G93" s="7"/>
      <c r="H93" s="7" t="str">
        <f>VLOOKUP(B93,[1]characters!$A:$C,3,FALSE)</f>
        <v>ケツァクアトル</v>
      </c>
      <c r="I93" s="7" t="str">
        <f>VLOOKUP(B93,[1]characters!$A:$J,10,FALSE)</f>
        <v>PremiumN</v>
      </c>
      <c r="J93" s="7">
        <f>VLOOKUP(B93,[1]characters!$A:$I,9,FALSE)</f>
        <v>3</v>
      </c>
      <c r="K93" s="7" t="str">
        <f>VLOOKUP(B93,[1]characters!$A:$H,8,FALSE)</f>
        <v>green</v>
      </c>
      <c r="L93" s="7" t="str">
        <f>VLOOKUP(B93,[1]characters!$A:$K,11,FALSE)</f>
        <v>hp</v>
      </c>
      <c r="M93" s="7" t="str">
        <f>VLOOKUP(B93,[1]characters!$A:$M,13,FALSE)</f>
        <v>dragon</v>
      </c>
      <c r="N93" s="7" t="str">
        <f>VLOOKUP(B93,[1]characters!$A:$G,7,FALSE)</f>
        <v>女性</v>
      </c>
      <c r="O93" s="45">
        <f ca="1">IFERROR(VLOOKUP(B93,input_586100!L:R,7,FALSE),VLOOKUP(tables_586100!C93,input_586100!A:H,8,FALSE))</f>
        <v>0</v>
      </c>
      <c r="P93" s="46">
        <f t="shared" ca="1" si="4"/>
        <v>0</v>
      </c>
      <c r="Q93" s="30">
        <v>1</v>
      </c>
      <c r="R93" s="30">
        <v>0</v>
      </c>
      <c r="S93" s="30">
        <v>0</v>
      </c>
      <c r="T93" s="30">
        <v>0</v>
      </c>
      <c r="U93" s="30">
        <v>0</v>
      </c>
      <c r="V93" s="30">
        <v>1</v>
      </c>
    </row>
    <row r="94" spans="1:22" ht="21" customHeight="1" x14ac:dyDescent="0.15">
      <c r="A94" s="2" t="str">
        <f ca="1">input_586100!A$2</f>
        <v>586100</v>
      </c>
      <c r="B94" s="5">
        <v>218</v>
      </c>
      <c r="C94" s="7" t="str">
        <f t="shared" si="8"/>
        <v>Premium4</v>
      </c>
      <c r="D94" s="7" t="str">
        <f t="shared" si="9"/>
        <v>Premium</v>
      </c>
      <c r="E94" s="7" t="str">
        <f>IF(COUNTIF('R6追加前'!A:A,B94)=0,IF(OR(I94="PremiumSS",I94="PremiumSSw"),"R5only","R3less"),"")</f>
        <v/>
      </c>
      <c r="F94" s="7" t="str">
        <f>IF(COUNTIF('R6開放'!A:A,B94)&gt;0,"R6release","")</f>
        <v/>
      </c>
      <c r="G94" s="7"/>
      <c r="H94" s="7" t="str">
        <f>VLOOKUP(B94,[1]characters!$A:$C,3,FALSE)</f>
        <v>聖蛇 ケツァクアトル</v>
      </c>
      <c r="I94" s="7" t="str">
        <f>VLOOKUP(B94,[1]characters!$A:$J,10,FALSE)</f>
        <v>PremiumN</v>
      </c>
      <c r="J94" s="7">
        <f>VLOOKUP(B94,[1]characters!$A:$I,9,FALSE)</f>
        <v>4</v>
      </c>
      <c r="K94" s="7" t="str">
        <f>VLOOKUP(B94,[1]characters!$A:$H,8,FALSE)</f>
        <v>green</v>
      </c>
      <c r="L94" s="7" t="str">
        <f>VLOOKUP(B94,[1]characters!$A:$K,11,FALSE)</f>
        <v>hp</v>
      </c>
      <c r="M94" s="7" t="str">
        <f>VLOOKUP(B94,[1]characters!$A:$M,13,FALSE)</f>
        <v>dragon</v>
      </c>
      <c r="N94" s="7" t="str">
        <f>VLOOKUP(B94,[1]characters!$A:$G,7,FALSE)</f>
        <v>女性</v>
      </c>
      <c r="O94" s="45">
        <f ca="1">IFERROR(VLOOKUP(B94,input_586100!L:R,7,FALSE),VLOOKUP(tables_586100!C94,input_586100!A:H,8,FALSE))</f>
        <v>1097460</v>
      </c>
      <c r="P94" s="46">
        <f t="shared" ca="1" si="4"/>
        <v>8.5312499999787884E-3</v>
      </c>
      <c r="Q94" s="30">
        <v>1</v>
      </c>
      <c r="R94" s="30">
        <v>0</v>
      </c>
      <c r="S94" s="30">
        <v>0</v>
      </c>
      <c r="T94" s="30">
        <v>0</v>
      </c>
      <c r="U94" s="30">
        <v>0</v>
      </c>
      <c r="V94" s="30">
        <v>1</v>
      </c>
    </row>
    <row r="95" spans="1:22" ht="21" customHeight="1" x14ac:dyDescent="0.15">
      <c r="A95" s="2" t="str">
        <f ca="1">input_586100!A$2</f>
        <v>586100</v>
      </c>
      <c r="B95" s="5">
        <v>219</v>
      </c>
      <c r="C95" s="7" t="str">
        <f t="shared" si="8"/>
        <v>Premium5</v>
      </c>
      <c r="D95" s="7" t="str">
        <f t="shared" si="9"/>
        <v>Premium</v>
      </c>
      <c r="E95" s="7" t="str">
        <f>IF(COUNTIF('R6追加前'!A:A,B95)=0,IF(OR(I95="PremiumSS",I95="PremiumSSw"),"R5only","R3less"),"")</f>
        <v/>
      </c>
      <c r="F95" s="7" t="str">
        <f>IF(COUNTIF('R6開放'!A:A,B95)&gt;0,"R6release","")</f>
        <v/>
      </c>
      <c r="G95" s="7"/>
      <c r="H95" s="7" t="str">
        <f>VLOOKUP(B95,[1]characters!$A:$C,3,FALSE)</f>
        <v>覇翼の聖蛇竜 ケツァクアトル</v>
      </c>
      <c r="I95" s="7" t="str">
        <f>VLOOKUP(B95,[1]characters!$A:$J,10,FALSE)</f>
        <v>PremiumN</v>
      </c>
      <c r="J95" s="7">
        <f>VLOOKUP(B95,[1]characters!$A:$I,9,FALSE)</f>
        <v>5</v>
      </c>
      <c r="K95" s="7" t="str">
        <f>VLOOKUP(B95,[1]characters!$A:$H,8,FALSE)</f>
        <v>green</v>
      </c>
      <c r="L95" s="7" t="str">
        <f>VLOOKUP(B95,[1]characters!$A:$K,11,FALSE)</f>
        <v>hp</v>
      </c>
      <c r="M95" s="7" t="str">
        <f>VLOOKUP(B95,[1]characters!$A:$M,13,FALSE)</f>
        <v>dragon</v>
      </c>
      <c r="N95" s="7" t="str">
        <f>VLOOKUP(B95,[1]characters!$A:$G,7,FALSE)</f>
        <v>女性</v>
      </c>
      <c r="O95" s="45">
        <f ca="1">IFERROR(VLOOKUP(B95,input_586100!L:R,7,FALSE),VLOOKUP(tables_586100!C95,input_586100!A:H,8,FALSE))</f>
        <v>51796.153850000002</v>
      </c>
      <c r="P95" s="46">
        <f t="shared" ca="1" si="4"/>
        <v>4.0264423079812829E-4</v>
      </c>
      <c r="Q95" s="30">
        <v>1</v>
      </c>
      <c r="R95" s="30">
        <v>0</v>
      </c>
      <c r="S95" s="30">
        <v>0</v>
      </c>
      <c r="T95" s="30">
        <v>0</v>
      </c>
      <c r="U95" s="30">
        <v>0</v>
      </c>
      <c r="V95" s="30">
        <v>1</v>
      </c>
    </row>
    <row r="96" spans="1:22" ht="21" customHeight="1" x14ac:dyDescent="0.15">
      <c r="A96" s="2" t="str">
        <f ca="1">input_586100!A$2</f>
        <v>586100</v>
      </c>
      <c r="B96" s="5">
        <v>220</v>
      </c>
      <c r="C96" s="7" t="str">
        <f t="shared" si="8"/>
        <v>Premium3</v>
      </c>
      <c r="D96" s="7" t="str">
        <f t="shared" si="9"/>
        <v>Premium</v>
      </c>
      <c r="E96" s="7" t="str">
        <f>IF(COUNTIF('R6追加前'!A:A,B96)=0,IF(OR(I96="PremiumSS",I96="PremiumSSw"),"R5only","R3less"),"")</f>
        <v/>
      </c>
      <c r="F96" s="7" t="str">
        <f>IF(COUNTIF('R6開放'!A:A,B96)&gt;0,"R6release","")</f>
        <v/>
      </c>
      <c r="G96" s="7"/>
      <c r="H96" s="7" t="str">
        <f>VLOOKUP(B96,[1]characters!$A:$C,3,FALSE)</f>
        <v>ルキフグス</v>
      </c>
      <c r="I96" s="7" t="str">
        <f>VLOOKUP(B96,[1]characters!$A:$J,10,FALSE)</f>
        <v>PremiumN</v>
      </c>
      <c r="J96" s="7">
        <f>VLOOKUP(B96,[1]characters!$A:$I,9,FALSE)</f>
        <v>3</v>
      </c>
      <c r="K96" s="7" t="str">
        <f>VLOOKUP(B96,[1]characters!$A:$H,8,FALSE)</f>
        <v>blue</v>
      </c>
      <c r="L96" s="7" t="str">
        <f>VLOOKUP(B96,[1]characters!$A:$K,11,FALSE)</f>
        <v>balance</v>
      </c>
      <c r="M96" s="7" t="str">
        <f>VLOOKUP(B96,[1]characters!$A:$M,13,FALSE)</f>
        <v>god</v>
      </c>
      <c r="N96" s="7" t="str">
        <f>VLOOKUP(B96,[1]characters!$A:$G,7,FALSE)</f>
        <v>女性</v>
      </c>
      <c r="O96" s="45">
        <f ca="1">IFERROR(VLOOKUP(B96,input_586100!L:R,7,FALSE),VLOOKUP(tables_586100!C96,input_586100!A:H,8,FALSE))</f>
        <v>0</v>
      </c>
      <c r="P96" s="46">
        <f t="shared" ca="1" si="4"/>
        <v>0</v>
      </c>
      <c r="Q96" s="30">
        <v>1</v>
      </c>
      <c r="R96" s="30">
        <v>0</v>
      </c>
      <c r="S96" s="30">
        <v>0</v>
      </c>
      <c r="T96" s="30">
        <v>0</v>
      </c>
      <c r="U96" s="30">
        <v>0</v>
      </c>
      <c r="V96" s="30">
        <v>1</v>
      </c>
    </row>
    <row r="97" spans="1:22" ht="21" customHeight="1" x14ac:dyDescent="0.15">
      <c r="A97" s="2" t="str">
        <f ca="1">input_586100!A$2</f>
        <v>586100</v>
      </c>
      <c r="B97" s="5">
        <v>221</v>
      </c>
      <c r="C97" s="7" t="str">
        <f t="shared" si="8"/>
        <v>Premium4</v>
      </c>
      <c r="D97" s="7" t="str">
        <f t="shared" si="9"/>
        <v>Premium</v>
      </c>
      <c r="E97" s="7" t="str">
        <f>IF(COUNTIF('R6追加前'!A:A,B97)=0,IF(OR(I97="PremiumSS",I97="PremiumSSw"),"R5only","R3less"),"")</f>
        <v/>
      </c>
      <c r="F97" s="7" t="str">
        <f>IF(COUNTIF('R6開放'!A:A,B97)&gt;0,"R6release","")</f>
        <v/>
      </c>
      <c r="G97" s="7"/>
      <c r="H97" s="7" t="str">
        <f>VLOOKUP(B97,[1]characters!$A:$C,3,FALSE)</f>
        <v>宰相 ルキフグス</v>
      </c>
      <c r="I97" s="7" t="str">
        <f>VLOOKUP(B97,[1]characters!$A:$J,10,FALSE)</f>
        <v>PremiumN</v>
      </c>
      <c r="J97" s="7">
        <f>VLOOKUP(B97,[1]characters!$A:$I,9,FALSE)</f>
        <v>4</v>
      </c>
      <c r="K97" s="7" t="str">
        <f>VLOOKUP(B97,[1]characters!$A:$H,8,FALSE)</f>
        <v>blue</v>
      </c>
      <c r="L97" s="7" t="str">
        <f>VLOOKUP(B97,[1]characters!$A:$K,11,FALSE)</f>
        <v>balance</v>
      </c>
      <c r="M97" s="7" t="str">
        <f>VLOOKUP(B97,[1]characters!$A:$M,13,FALSE)</f>
        <v>god</v>
      </c>
      <c r="N97" s="7" t="str">
        <f>VLOOKUP(B97,[1]characters!$A:$G,7,FALSE)</f>
        <v>女性</v>
      </c>
      <c r="O97" s="45">
        <f ca="1">IFERROR(VLOOKUP(B97,input_586100!L:R,7,FALSE),VLOOKUP(tables_586100!C97,input_586100!A:H,8,FALSE))</f>
        <v>1097460</v>
      </c>
      <c r="P97" s="46">
        <f t="shared" ca="1" si="4"/>
        <v>8.5312499999787884E-3</v>
      </c>
      <c r="Q97" s="30">
        <v>1</v>
      </c>
      <c r="R97" s="30">
        <v>0</v>
      </c>
      <c r="S97" s="30">
        <v>0</v>
      </c>
      <c r="T97" s="30">
        <v>0</v>
      </c>
      <c r="U97" s="30">
        <v>0</v>
      </c>
      <c r="V97" s="30">
        <v>1</v>
      </c>
    </row>
    <row r="98" spans="1:22" ht="21" customHeight="1" x14ac:dyDescent="0.15">
      <c r="A98" s="2" t="str">
        <f ca="1">input_586100!A$2</f>
        <v>586100</v>
      </c>
      <c r="B98" s="5">
        <v>222</v>
      </c>
      <c r="C98" s="7" t="str">
        <f t="shared" si="8"/>
        <v>Premium5</v>
      </c>
      <c r="D98" s="7" t="str">
        <f t="shared" si="9"/>
        <v>Premium</v>
      </c>
      <c r="E98" s="7" t="str">
        <f>IF(COUNTIF('R6追加前'!A:A,B98)=0,IF(OR(I98="PremiumSS",I98="PremiumSSw"),"R5only","R3less"),"")</f>
        <v/>
      </c>
      <c r="F98" s="7" t="str">
        <f>IF(COUNTIF('R6開放'!A:A,B98)&gt;0,"R6release","")</f>
        <v/>
      </c>
      <c r="G98" s="7"/>
      <c r="H98" s="7" t="str">
        <f>VLOOKUP(B98,[1]characters!$A:$C,3,FALSE)</f>
        <v>避光の鉄鎖宰相 ルキフグス</v>
      </c>
      <c r="I98" s="7" t="str">
        <f>VLOOKUP(B98,[1]characters!$A:$J,10,FALSE)</f>
        <v>PremiumN</v>
      </c>
      <c r="J98" s="7">
        <f>VLOOKUP(B98,[1]characters!$A:$I,9,FALSE)</f>
        <v>5</v>
      </c>
      <c r="K98" s="7" t="str">
        <f>VLOOKUP(B98,[1]characters!$A:$H,8,FALSE)</f>
        <v>blue</v>
      </c>
      <c r="L98" s="7" t="str">
        <f>VLOOKUP(B98,[1]characters!$A:$K,11,FALSE)</f>
        <v>balance</v>
      </c>
      <c r="M98" s="7" t="str">
        <f>VLOOKUP(B98,[1]characters!$A:$M,13,FALSE)</f>
        <v>god</v>
      </c>
      <c r="N98" s="7" t="str">
        <f>VLOOKUP(B98,[1]characters!$A:$G,7,FALSE)</f>
        <v>女性</v>
      </c>
      <c r="O98" s="45">
        <f ca="1">IFERROR(VLOOKUP(B98,input_586100!L:R,7,FALSE),VLOOKUP(tables_586100!C98,input_586100!A:H,8,FALSE))</f>
        <v>51796.153850000002</v>
      </c>
      <c r="P98" s="46">
        <f t="shared" ca="1" si="4"/>
        <v>4.0264423079812829E-4</v>
      </c>
      <c r="Q98" s="30">
        <v>1</v>
      </c>
      <c r="R98" s="30">
        <v>0</v>
      </c>
      <c r="S98" s="30">
        <v>0</v>
      </c>
      <c r="T98" s="30">
        <v>0</v>
      </c>
      <c r="U98" s="30">
        <v>0</v>
      </c>
      <c r="V98" s="30">
        <v>1</v>
      </c>
    </row>
    <row r="99" spans="1:22" ht="21" customHeight="1" x14ac:dyDescent="0.15">
      <c r="A99" s="2" t="str">
        <f ca="1">input_586100!A$2</f>
        <v>586100</v>
      </c>
      <c r="B99" s="5">
        <v>223</v>
      </c>
      <c r="C99" s="7" t="str">
        <f t="shared" si="8"/>
        <v>Premium3</v>
      </c>
      <c r="D99" s="7" t="str">
        <f t="shared" si="9"/>
        <v>Premium</v>
      </c>
      <c r="E99" s="7" t="str">
        <f>IF(COUNTIF('R6追加前'!A:A,B99)=0,IF(OR(I99="PremiumSS",I99="PremiumSSw"),"R5only","R3less"),"")</f>
        <v/>
      </c>
      <c r="F99" s="7" t="str">
        <f>IF(COUNTIF('R6開放'!A:A,B99)&gt;0,"R6release","")</f>
        <v/>
      </c>
      <c r="G99" s="7"/>
      <c r="H99" s="7" t="str">
        <f>VLOOKUP(B99,[1]characters!$A:$C,3,FALSE)</f>
        <v>ヘラクレス</v>
      </c>
      <c r="I99" s="7" t="str">
        <f>VLOOKUP(B99,[1]characters!$A:$J,10,FALSE)</f>
        <v>PremiumN</v>
      </c>
      <c r="J99" s="7">
        <f>VLOOKUP(B99,[1]characters!$A:$I,9,FALSE)</f>
        <v>3</v>
      </c>
      <c r="K99" s="7" t="str">
        <f>VLOOKUP(B99,[1]characters!$A:$H,8,FALSE)</f>
        <v>yellow</v>
      </c>
      <c r="L99" s="7" t="str">
        <f>VLOOKUP(B99,[1]characters!$A:$K,11,FALSE)</f>
        <v>balance</v>
      </c>
      <c r="M99" s="7" t="str">
        <f>VLOOKUP(B99,[1]characters!$A:$M,13,FALSE)</f>
        <v>human</v>
      </c>
      <c r="N99" s="7" t="str">
        <f>VLOOKUP(B99,[1]characters!$A:$G,7,FALSE)</f>
        <v>男性</v>
      </c>
      <c r="O99" s="45">
        <f ca="1">IFERROR(VLOOKUP(B99,input_586100!L:R,7,FALSE),VLOOKUP(tables_586100!C99,input_586100!A:H,8,FALSE))</f>
        <v>0</v>
      </c>
      <c r="P99" s="46">
        <f t="shared" ca="1" si="4"/>
        <v>0</v>
      </c>
      <c r="Q99" s="30">
        <v>1</v>
      </c>
      <c r="R99" s="30">
        <v>0</v>
      </c>
      <c r="S99" s="30">
        <v>0</v>
      </c>
      <c r="T99" s="30">
        <v>0</v>
      </c>
      <c r="U99" s="30">
        <v>0</v>
      </c>
      <c r="V99" s="30">
        <v>1</v>
      </c>
    </row>
    <row r="100" spans="1:22" ht="21" customHeight="1" x14ac:dyDescent="0.15">
      <c r="A100" s="2" t="str">
        <f ca="1">input_586100!A$2</f>
        <v>586100</v>
      </c>
      <c r="B100" s="5">
        <v>224</v>
      </c>
      <c r="C100" s="7" t="str">
        <f t="shared" si="8"/>
        <v>Premium4</v>
      </c>
      <c r="D100" s="7" t="str">
        <f t="shared" si="9"/>
        <v>Premium</v>
      </c>
      <c r="E100" s="7" t="str">
        <f>IF(COUNTIF('R6追加前'!A:A,B100)=0,IF(OR(I100="PremiumSS",I100="PremiumSSw"),"R5only","R3less"),"")</f>
        <v/>
      </c>
      <c r="F100" s="7" t="str">
        <f>IF(COUNTIF('R6開放'!A:A,B100)&gt;0,"R6release","")</f>
        <v/>
      </c>
      <c r="G100" s="7"/>
      <c r="H100" s="7" t="str">
        <f>VLOOKUP(B100,[1]characters!$A:$C,3,FALSE)</f>
        <v>巨腕 ヘラクレス</v>
      </c>
      <c r="I100" s="7" t="str">
        <f>VLOOKUP(B100,[1]characters!$A:$J,10,FALSE)</f>
        <v>PremiumN</v>
      </c>
      <c r="J100" s="7">
        <f>VLOOKUP(B100,[1]characters!$A:$I,9,FALSE)</f>
        <v>4</v>
      </c>
      <c r="K100" s="7" t="str">
        <f>VLOOKUP(B100,[1]characters!$A:$H,8,FALSE)</f>
        <v>yellow</v>
      </c>
      <c r="L100" s="7" t="str">
        <f>VLOOKUP(B100,[1]characters!$A:$K,11,FALSE)</f>
        <v>balance</v>
      </c>
      <c r="M100" s="7" t="str">
        <f>VLOOKUP(B100,[1]characters!$A:$M,13,FALSE)</f>
        <v>human</v>
      </c>
      <c r="N100" s="7" t="str">
        <f>VLOOKUP(B100,[1]characters!$A:$G,7,FALSE)</f>
        <v>男性</v>
      </c>
      <c r="O100" s="45">
        <f ca="1">IFERROR(VLOOKUP(B100,input_586100!L:R,7,FALSE),VLOOKUP(tables_586100!C100,input_586100!A:H,8,FALSE))</f>
        <v>1097460</v>
      </c>
      <c r="P100" s="46">
        <f t="shared" ca="1" si="4"/>
        <v>8.5312499999787884E-3</v>
      </c>
      <c r="Q100" s="30">
        <v>1</v>
      </c>
      <c r="R100" s="30">
        <v>0</v>
      </c>
      <c r="S100" s="30">
        <v>0</v>
      </c>
      <c r="T100" s="30">
        <v>0</v>
      </c>
      <c r="U100" s="30">
        <v>0</v>
      </c>
      <c r="V100" s="30">
        <v>1</v>
      </c>
    </row>
    <row r="101" spans="1:22" ht="21" customHeight="1" x14ac:dyDescent="0.15">
      <c r="A101" s="2" t="str">
        <f ca="1">input_586100!A$2</f>
        <v>586100</v>
      </c>
      <c r="B101" s="5">
        <v>225</v>
      </c>
      <c r="C101" s="7" t="str">
        <f t="shared" si="8"/>
        <v>Premium5</v>
      </c>
      <c r="D101" s="7" t="str">
        <f t="shared" si="9"/>
        <v>Premium</v>
      </c>
      <c r="E101" s="7" t="str">
        <f>IF(COUNTIF('R6追加前'!A:A,B101)=0,IF(OR(I101="PremiumSS",I101="PremiumSSw"),"R5only","R3less"),"")</f>
        <v/>
      </c>
      <c r="F101" s="7" t="str">
        <f>IF(COUNTIF('R6開放'!A:A,B101)&gt;0,"R6release","")</f>
        <v/>
      </c>
      <c r="G101" s="7"/>
      <c r="H101" s="7" t="str">
        <f>VLOOKUP(B101,[1]characters!$A:$C,3,FALSE)</f>
        <v>咆哮の巨獅腕 ヘラクレス</v>
      </c>
      <c r="I101" s="7" t="str">
        <f>VLOOKUP(B101,[1]characters!$A:$J,10,FALSE)</f>
        <v>PremiumN</v>
      </c>
      <c r="J101" s="7">
        <f>VLOOKUP(B101,[1]characters!$A:$I,9,FALSE)</f>
        <v>5</v>
      </c>
      <c r="K101" s="7" t="str">
        <f>VLOOKUP(B101,[1]characters!$A:$H,8,FALSE)</f>
        <v>yellow</v>
      </c>
      <c r="L101" s="7" t="str">
        <f>VLOOKUP(B101,[1]characters!$A:$K,11,FALSE)</f>
        <v>balance</v>
      </c>
      <c r="M101" s="7" t="str">
        <f>VLOOKUP(B101,[1]characters!$A:$M,13,FALSE)</f>
        <v>human</v>
      </c>
      <c r="N101" s="7" t="str">
        <f>VLOOKUP(B101,[1]characters!$A:$G,7,FALSE)</f>
        <v>男性</v>
      </c>
      <c r="O101" s="45">
        <f ca="1">IFERROR(VLOOKUP(B101,input_586100!L:R,7,FALSE),VLOOKUP(tables_586100!C101,input_586100!A:H,8,FALSE))</f>
        <v>51796.153850000002</v>
      </c>
      <c r="P101" s="46">
        <f t="shared" ca="1" si="4"/>
        <v>4.0264423079812829E-4</v>
      </c>
      <c r="Q101" s="30">
        <v>1</v>
      </c>
      <c r="R101" s="30">
        <v>0</v>
      </c>
      <c r="S101" s="30">
        <v>0</v>
      </c>
      <c r="T101" s="30">
        <v>0</v>
      </c>
      <c r="U101" s="30">
        <v>0</v>
      </c>
      <c r="V101" s="30">
        <v>1</v>
      </c>
    </row>
    <row r="102" spans="1:22" ht="21" customHeight="1" x14ac:dyDescent="0.15">
      <c r="A102" s="2" t="str">
        <f ca="1">input_586100!A$2</f>
        <v>586100</v>
      </c>
      <c r="B102" s="5">
        <v>226</v>
      </c>
      <c r="C102" s="7" t="str">
        <f t="shared" si="8"/>
        <v>Premium3</v>
      </c>
      <c r="D102" s="7" t="str">
        <f t="shared" si="9"/>
        <v>Premium</v>
      </c>
      <c r="E102" s="7" t="str">
        <f>IF(COUNTIF('R6追加前'!A:A,B102)=0,IF(OR(I102="PremiumSS",I102="PremiumSSw"),"R5only","R3less"),"")</f>
        <v/>
      </c>
      <c r="F102" s="7" t="str">
        <f>IF(COUNTIF('R6開放'!A:A,B102)&gt;0,"R6release","")</f>
        <v/>
      </c>
      <c r="G102" s="7"/>
      <c r="H102" s="7" t="str">
        <f>VLOOKUP(B102,[1]characters!$A:$C,3,FALSE)</f>
        <v>アレス</v>
      </c>
      <c r="I102" s="7" t="str">
        <f>VLOOKUP(B102,[1]characters!$A:$J,10,FALSE)</f>
        <v>PremiumS</v>
      </c>
      <c r="J102" s="7">
        <f>VLOOKUP(B102,[1]characters!$A:$I,9,FALSE)</f>
        <v>3</v>
      </c>
      <c r="K102" s="7" t="str">
        <f>VLOOKUP(B102,[1]characters!$A:$H,8,FALSE)</f>
        <v>red</v>
      </c>
      <c r="L102" s="7" t="str">
        <f>VLOOKUP(B102,[1]characters!$A:$K,11,FALSE)</f>
        <v>attack</v>
      </c>
      <c r="M102" s="7" t="str">
        <f>VLOOKUP(B102,[1]characters!$A:$M,13,FALSE)</f>
        <v>god</v>
      </c>
      <c r="N102" s="7" t="str">
        <f>VLOOKUP(B102,[1]characters!$A:$G,7,FALSE)</f>
        <v>男性</v>
      </c>
      <c r="O102" s="45">
        <f ca="1">IFERROR(VLOOKUP(B102,input_586100!L:R,7,FALSE),VLOOKUP(tables_586100!C102,input_586100!A:H,8,FALSE))</f>
        <v>0</v>
      </c>
      <c r="P102" s="46">
        <f t="shared" ca="1" si="4"/>
        <v>0</v>
      </c>
      <c r="Q102" s="30">
        <v>1</v>
      </c>
      <c r="R102" s="30">
        <v>0</v>
      </c>
      <c r="S102" s="30">
        <v>0</v>
      </c>
      <c r="T102" s="30">
        <v>0</v>
      </c>
      <c r="U102" s="30">
        <v>0</v>
      </c>
      <c r="V102" s="30">
        <v>1</v>
      </c>
    </row>
    <row r="103" spans="1:22" ht="21" customHeight="1" x14ac:dyDescent="0.15">
      <c r="A103" s="2" t="str">
        <f ca="1">input_586100!A$2</f>
        <v>586100</v>
      </c>
      <c r="B103" s="5">
        <v>227</v>
      </c>
      <c r="C103" s="7" t="str">
        <f t="shared" si="8"/>
        <v>Premium4</v>
      </c>
      <c r="D103" s="7" t="str">
        <f t="shared" si="9"/>
        <v>Premium</v>
      </c>
      <c r="E103" s="7" t="str">
        <f>IF(COUNTIF('R6追加前'!A:A,B103)=0,IF(OR(I103="PremiumSS",I103="PremiumSSw"),"R5only","R3less"),"")</f>
        <v/>
      </c>
      <c r="F103" s="7" t="str">
        <f>IF(COUNTIF('R6開放'!A:A,B103)&gt;0,"R6release","")</f>
        <v/>
      </c>
      <c r="G103" s="7"/>
      <c r="H103" s="7" t="str">
        <f>VLOOKUP(B103,[1]characters!$A:$C,3,FALSE)</f>
        <v>滅弾 アレス</v>
      </c>
      <c r="I103" s="7" t="str">
        <f>VLOOKUP(B103,[1]characters!$A:$J,10,FALSE)</f>
        <v>PremiumS</v>
      </c>
      <c r="J103" s="7">
        <f>VLOOKUP(B103,[1]characters!$A:$I,9,FALSE)</f>
        <v>4</v>
      </c>
      <c r="K103" s="7" t="str">
        <f>VLOOKUP(B103,[1]characters!$A:$H,8,FALSE)</f>
        <v>red</v>
      </c>
      <c r="L103" s="7" t="str">
        <f>VLOOKUP(B103,[1]characters!$A:$K,11,FALSE)</f>
        <v>attack</v>
      </c>
      <c r="M103" s="7" t="str">
        <f>VLOOKUP(B103,[1]characters!$A:$M,13,FALSE)</f>
        <v>god</v>
      </c>
      <c r="N103" s="7" t="str">
        <f>VLOOKUP(B103,[1]characters!$A:$G,7,FALSE)</f>
        <v>男性</v>
      </c>
      <c r="O103" s="45">
        <f ca="1">IFERROR(VLOOKUP(B103,input_586100!L:R,7,FALSE),VLOOKUP(tables_586100!C103,input_586100!A:H,8,FALSE))</f>
        <v>1097460</v>
      </c>
      <c r="P103" s="46">
        <f t="shared" ca="1" si="4"/>
        <v>8.5312499999787884E-3</v>
      </c>
      <c r="Q103" s="30">
        <v>1</v>
      </c>
      <c r="R103" s="30">
        <v>0</v>
      </c>
      <c r="S103" s="30">
        <v>0</v>
      </c>
      <c r="T103" s="30">
        <v>0</v>
      </c>
      <c r="U103" s="30">
        <v>0</v>
      </c>
      <c r="V103" s="30">
        <v>1</v>
      </c>
    </row>
    <row r="104" spans="1:22" ht="21" customHeight="1" x14ac:dyDescent="0.15">
      <c r="A104" s="2" t="str">
        <f ca="1">input_586100!A$2</f>
        <v>586100</v>
      </c>
      <c r="B104" s="5">
        <v>228</v>
      </c>
      <c r="C104" s="7" t="str">
        <f t="shared" si="8"/>
        <v>Premium5</v>
      </c>
      <c r="D104" s="7" t="str">
        <f t="shared" si="9"/>
        <v>Premium</v>
      </c>
      <c r="E104" s="7" t="str">
        <f>IF(COUNTIF('R6追加前'!A:A,B104)=0,IF(OR(I104="PremiumSS",I104="PremiumSSw"),"R5only","R3less"),"")</f>
        <v/>
      </c>
      <c r="F104" s="7" t="str">
        <f>IF(COUNTIF('R6開放'!A:A,B104)&gt;0,"R6release","")</f>
        <v/>
      </c>
      <c r="G104" s="7"/>
      <c r="H104" s="7" t="str">
        <f>VLOOKUP(B104,[1]characters!$A:$C,3,FALSE)</f>
        <v>殲滅の掃射砲 アレス</v>
      </c>
      <c r="I104" s="7" t="str">
        <f>VLOOKUP(B104,[1]characters!$A:$J,10,FALSE)</f>
        <v>PremiumS</v>
      </c>
      <c r="J104" s="7">
        <f>VLOOKUP(B104,[1]characters!$A:$I,9,FALSE)</f>
        <v>5</v>
      </c>
      <c r="K104" s="7" t="str">
        <f>VLOOKUP(B104,[1]characters!$A:$H,8,FALSE)</f>
        <v>red</v>
      </c>
      <c r="L104" s="7" t="str">
        <f>VLOOKUP(B104,[1]characters!$A:$K,11,FALSE)</f>
        <v>attack</v>
      </c>
      <c r="M104" s="7" t="str">
        <f>VLOOKUP(B104,[1]characters!$A:$M,13,FALSE)</f>
        <v>god</v>
      </c>
      <c r="N104" s="7" t="str">
        <f>VLOOKUP(B104,[1]characters!$A:$G,7,FALSE)</f>
        <v>男性</v>
      </c>
      <c r="O104" s="45">
        <f ca="1">IFERROR(VLOOKUP(B104,input_586100!L:R,7,FALSE),VLOOKUP(tables_586100!C104,input_586100!A:H,8,FALSE))</f>
        <v>51796.153850000002</v>
      </c>
      <c r="P104" s="46">
        <f t="shared" ca="1" si="4"/>
        <v>4.0264423079812829E-4</v>
      </c>
      <c r="Q104" s="30">
        <v>1</v>
      </c>
      <c r="R104" s="30">
        <v>0</v>
      </c>
      <c r="S104" s="30">
        <v>0</v>
      </c>
      <c r="T104" s="30">
        <v>0</v>
      </c>
      <c r="U104" s="30">
        <v>0</v>
      </c>
      <c r="V104" s="30">
        <v>1</v>
      </c>
    </row>
    <row r="105" spans="1:22" ht="21" customHeight="1" x14ac:dyDescent="0.15">
      <c r="A105" s="2" t="str">
        <f ca="1">input_586100!A$2</f>
        <v>586100</v>
      </c>
      <c r="B105" s="5">
        <v>229</v>
      </c>
      <c r="C105" s="7" t="str">
        <f t="shared" si="8"/>
        <v>Premium3</v>
      </c>
      <c r="D105" s="7" t="str">
        <f t="shared" si="9"/>
        <v>Premium</v>
      </c>
      <c r="E105" s="7" t="str">
        <f>IF(COUNTIF('R6追加前'!A:A,B105)=0,IF(OR(I105="PremiumSS",I105="PremiumSSw"),"R5only","R3less"),"")</f>
        <v/>
      </c>
      <c r="F105" s="7" t="str">
        <f>IF(COUNTIF('R6開放'!A:A,B105)&gt;0,"R6release","")</f>
        <v/>
      </c>
      <c r="G105" s="7"/>
      <c r="H105" s="7" t="str">
        <f>VLOOKUP(B105,[1]characters!$A:$C,3,FALSE)</f>
        <v>ヨルムンガンド</v>
      </c>
      <c r="I105" s="7" t="str">
        <f>VLOOKUP(B105,[1]characters!$A:$J,10,FALSE)</f>
        <v>PremiumS</v>
      </c>
      <c r="J105" s="7">
        <f>VLOOKUP(B105,[1]characters!$A:$I,9,FALSE)</f>
        <v>3</v>
      </c>
      <c r="K105" s="7" t="str">
        <f>VLOOKUP(B105,[1]characters!$A:$H,8,FALSE)</f>
        <v>green</v>
      </c>
      <c r="L105" s="7" t="str">
        <f>VLOOKUP(B105,[1]characters!$A:$K,11,FALSE)</f>
        <v>technical</v>
      </c>
      <c r="M105" s="7" t="str">
        <f>VLOOKUP(B105,[1]characters!$A:$M,13,FALSE)</f>
        <v>dragon</v>
      </c>
      <c r="N105" s="7" t="str">
        <f>VLOOKUP(B105,[1]characters!$A:$G,7,FALSE)</f>
        <v>女性</v>
      </c>
      <c r="O105" s="45">
        <f ca="1">IFERROR(VLOOKUP(B105,input_586100!L:R,7,FALSE),VLOOKUP(tables_586100!C105,input_586100!A:H,8,FALSE))</f>
        <v>0</v>
      </c>
      <c r="P105" s="46">
        <f t="shared" ca="1" si="4"/>
        <v>0</v>
      </c>
      <c r="Q105" s="30">
        <v>1</v>
      </c>
      <c r="R105" s="30">
        <v>0</v>
      </c>
      <c r="S105" s="30">
        <v>0</v>
      </c>
      <c r="T105" s="30">
        <v>0</v>
      </c>
      <c r="U105" s="30">
        <v>0</v>
      </c>
      <c r="V105" s="30">
        <v>1</v>
      </c>
    </row>
    <row r="106" spans="1:22" ht="21" customHeight="1" x14ac:dyDescent="0.15">
      <c r="A106" s="2" t="str">
        <f ca="1">input_586100!A$2</f>
        <v>586100</v>
      </c>
      <c r="B106" s="5">
        <v>230</v>
      </c>
      <c r="C106" s="7" t="str">
        <f t="shared" si="8"/>
        <v>Premium4</v>
      </c>
      <c r="D106" s="7" t="str">
        <f t="shared" si="9"/>
        <v>Premium</v>
      </c>
      <c r="E106" s="7" t="str">
        <f>IF(COUNTIF('R6追加前'!A:A,B106)=0,IF(OR(I106="PremiumSS",I106="PremiumSSw"),"R5only","R3less"),"")</f>
        <v/>
      </c>
      <c r="F106" s="7" t="str">
        <f>IF(COUNTIF('R6開放'!A:A,B106)&gt;0,"R6release","")</f>
        <v/>
      </c>
      <c r="G106" s="7"/>
      <c r="H106" s="7" t="str">
        <f>VLOOKUP(B106,[1]characters!$A:$C,3,FALSE)</f>
        <v>毒銃 ヨルムンガンド</v>
      </c>
      <c r="I106" s="7" t="str">
        <f>VLOOKUP(B106,[1]characters!$A:$J,10,FALSE)</f>
        <v>PremiumS</v>
      </c>
      <c r="J106" s="7">
        <f>VLOOKUP(B106,[1]characters!$A:$I,9,FALSE)</f>
        <v>4</v>
      </c>
      <c r="K106" s="7" t="str">
        <f>VLOOKUP(B106,[1]characters!$A:$H,8,FALSE)</f>
        <v>green</v>
      </c>
      <c r="L106" s="7" t="str">
        <f>VLOOKUP(B106,[1]characters!$A:$K,11,FALSE)</f>
        <v>technical</v>
      </c>
      <c r="M106" s="7" t="str">
        <f>VLOOKUP(B106,[1]characters!$A:$M,13,FALSE)</f>
        <v>dragon</v>
      </c>
      <c r="N106" s="7" t="str">
        <f>VLOOKUP(B106,[1]characters!$A:$G,7,FALSE)</f>
        <v>女性</v>
      </c>
      <c r="O106" s="45">
        <f ca="1">IFERROR(VLOOKUP(B106,input_586100!L:R,7,FALSE),VLOOKUP(tables_586100!C106,input_586100!A:H,8,FALSE))</f>
        <v>1097460</v>
      </c>
      <c r="P106" s="46">
        <f t="shared" ca="1" si="4"/>
        <v>8.5312499999787884E-3</v>
      </c>
      <c r="Q106" s="30">
        <v>1</v>
      </c>
      <c r="R106" s="30">
        <v>0</v>
      </c>
      <c r="S106" s="30">
        <v>0</v>
      </c>
      <c r="T106" s="30">
        <v>0</v>
      </c>
      <c r="U106" s="30">
        <v>0</v>
      </c>
      <c r="V106" s="30">
        <v>1</v>
      </c>
    </row>
    <row r="107" spans="1:22" ht="21" customHeight="1" x14ac:dyDescent="0.15">
      <c r="A107" s="2" t="str">
        <f ca="1">input_586100!A$2</f>
        <v>586100</v>
      </c>
      <c r="B107" s="5">
        <v>231</v>
      </c>
      <c r="C107" s="7" t="str">
        <f t="shared" si="8"/>
        <v>Premium5</v>
      </c>
      <c r="D107" s="7" t="str">
        <f t="shared" si="9"/>
        <v>Premium</v>
      </c>
      <c r="E107" s="7" t="str">
        <f>IF(COUNTIF('R6追加前'!A:A,B107)=0,IF(OR(I107="PremiumSS",I107="PremiumSSw"),"R5only","R3less"),"")</f>
        <v/>
      </c>
      <c r="F107" s="7" t="str">
        <f>IF(COUNTIF('R6開放'!A:A,B107)&gt;0,"R6release","")</f>
        <v/>
      </c>
      <c r="G107" s="7"/>
      <c r="H107" s="7" t="str">
        <f>VLOOKUP(B107,[1]characters!$A:$C,3,FALSE)</f>
        <v>必中の咬銃 ヨルムンガンド</v>
      </c>
      <c r="I107" s="7" t="str">
        <f>VLOOKUP(B107,[1]characters!$A:$J,10,FALSE)</f>
        <v>PremiumS</v>
      </c>
      <c r="J107" s="7">
        <f>VLOOKUP(B107,[1]characters!$A:$I,9,FALSE)</f>
        <v>5</v>
      </c>
      <c r="K107" s="7" t="str">
        <f>VLOOKUP(B107,[1]characters!$A:$H,8,FALSE)</f>
        <v>green</v>
      </c>
      <c r="L107" s="7" t="str">
        <f>VLOOKUP(B107,[1]characters!$A:$K,11,FALSE)</f>
        <v>technical</v>
      </c>
      <c r="M107" s="7" t="str">
        <f>VLOOKUP(B107,[1]characters!$A:$M,13,FALSE)</f>
        <v>dragon</v>
      </c>
      <c r="N107" s="7" t="str">
        <f>VLOOKUP(B107,[1]characters!$A:$G,7,FALSE)</f>
        <v>女性</v>
      </c>
      <c r="O107" s="45">
        <f ca="1">IFERROR(VLOOKUP(B107,input_586100!L:R,7,FALSE),VLOOKUP(tables_586100!C107,input_586100!A:H,8,FALSE))</f>
        <v>51796.153850000002</v>
      </c>
      <c r="P107" s="46">
        <f t="shared" ca="1" si="4"/>
        <v>4.0264423079812829E-4</v>
      </c>
      <c r="Q107" s="30">
        <v>1</v>
      </c>
      <c r="R107" s="30">
        <v>0</v>
      </c>
      <c r="S107" s="30">
        <v>0</v>
      </c>
      <c r="T107" s="30">
        <v>0</v>
      </c>
      <c r="U107" s="30">
        <v>0</v>
      </c>
      <c r="V107" s="30">
        <v>1</v>
      </c>
    </row>
    <row r="108" spans="1:22" ht="21" customHeight="1" x14ac:dyDescent="0.15">
      <c r="A108" s="2" t="str">
        <f ca="1">input_586100!A$2</f>
        <v>586100</v>
      </c>
      <c r="B108" s="5">
        <v>232</v>
      </c>
      <c r="C108" s="7" t="str">
        <f t="shared" si="8"/>
        <v>Premium3</v>
      </c>
      <c r="D108" s="7" t="str">
        <f t="shared" si="9"/>
        <v>Premium</v>
      </c>
      <c r="E108" s="7" t="str">
        <f>IF(COUNTIF('R6追加前'!A:A,B108)=0,IF(OR(I108="PremiumSS",I108="PremiumSSw"),"R5only","R3less"),"")</f>
        <v/>
      </c>
      <c r="F108" s="7" t="str">
        <f>IF(COUNTIF('R6開放'!A:A,B108)&gt;0,"R6release","")</f>
        <v/>
      </c>
      <c r="G108" s="7"/>
      <c r="H108" s="7" t="str">
        <f>VLOOKUP(B108,[1]characters!$A:$C,3,FALSE)</f>
        <v>パーシヴァル</v>
      </c>
      <c r="I108" s="7" t="str">
        <f>VLOOKUP(B108,[1]characters!$A:$J,10,FALSE)</f>
        <v>PremiumS</v>
      </c>
      <c r="J108" s="7">
        <f>VLOOKUP(B108,[1]characters!$A:$I,9,FALSE)</f>
        <v>3</v>
      </c>
      <c r="K108" s="7" t="str">
        <f>VLOOKUP(B108,[1]characters!$A:$H,8,FALSE)</f>
        <v>blue</v>
      </c>
      <c r="L108" s="7" t="str">
        <f>VLOOKUP(B108,[1]characters!$A:$K,11,FALSE)</f>
        <v>technical</v>
      </c>
      <c r="M108" s="7" t="str">
        <f>VLOOKUP(B108,[1]characters!$A:$M,13,FALSE)</f>
        <v>human</v>
      </c>
      <c r="N108" s="7" t="str">
        <f>VLOOKUP(B108,[1]characters!$A:$G,7,FALSE)</f>
        <v>女性</v>
      </c>
      <c r="O108" s="45">
        <f ca="1">IFERROR(VLOOKUP(B108,input_586100!L:R,7,FALSE),VLOOKUP(tables_586100!C108,input_586100!A:H,8,FALSE))</f>
        <v>0</v>
      </c>
      <c r="P108" s="46">
        <f t="shared" ca="1" si="4"/>
        <v>0</v>
      </c>
      <c r="Q108" s="30">
        <v>1</v>
      </c>
      <c r="R108" s="30">
        <v>0</v>
      </c>
      <c r="S108" s="30">
        <v>0</v>
      </c>
      <c r="T108" s="30">
        <v>0</v>
      </c>
      <c r="U108" s="30">
        <v>0</v>
      </c>
      <c r="V108" s="30">
        <v>1</v>
      </c>
    </row>
    <row r="109" spans="1:22" ht="21" customHeight="1" x14ac:dyDescent="0.15">
      <c r="A109" s="2" t="str">
        <f ca="1">input_586100!A$2</f>
        <v>586100</v>
      </c>
      <c r="B109" s="5">
        <v>233</v>
      </c>
      <c r="C109" s="7" t="str">
        <f t="shared" si="8"/>
        <v>Premium4</v>
      </c>
      <c r="D109" s="7" t="str">
        <f t="shared" si="9"/>
        <v>Premium</v>
      </c>
      <c r="E109" s="7" t="str">
        <f>IF(COUNTIF('R6追加前'!A:A,B109)=0,IF(OR(I109="PremiumSS",I109="PremiumSSw"),"R5only","R3less"),"")</f>
        <v/>
      </c>
      <c r="F109" s="7" t="str">
        <f>IF(COUNTIF('R6開放'!A:A,B109)&gt;0,"R6release","")</f>
        <v/>
      </c>
      <c r="G109" s="7"/>
      <c r="H109" s="7" t="str">
        <f>VLOOKUP(B109,[1]characters!$A:$C,3,FALSE)</f>
        <v>遂行 パーシヴァル</v>
      </c>
      <c r="I109" s="7" t="str">
        <f>VLOOKUP(B109,[1]characters!$A:$J,10,FALSE)</f>
        <v>PremiumS</v>
      </c>
      <c r="J109" s="7">
        <f>VLOOKUP(B109,[1]characters!$A:$I,9,FALSE)</f>
        <v>4</v>
      </c>
      <c r="K109" s="7" t="str">
        <f>VLOOKUP(B109,[1]characters!$A:$H,8,FALSE)</f>
        <v>blue</v>
      </c>
      <c r="L109" s="7" t="str">
        <f>VLOOKUP(B109,[1]characters!$A:$K,11,FALSE)</f>
        <v>technical</v>
      </c>
      <c r="M109" s="7" t="str">
        <f>VLOOKUP(B109,[1]characters!$A:$M,13,FALSE)</f>
        <v>human</v>
      </c>
      <c r="N109" s="7" t="str">
        <f>VLOOKUP(B109,[1]characters!$A:$G,7,FALSE)</f>
        <v>女性</v>
      </c>
      <c r="O109" s="45">
        <f ca="1">IFERROR(VLOOKUP(B109,input_586100!L:R,7,FALSE),VLOOKUP(tables_586100!C109,input_586100!A:H,8,FALSE))</f>
        <v>1097460</v>
      </c>
      <c r="P109" s="46">
        <f t="shared" ca="1" si="4"/>
        <v>8.5312499999787884E-3</v>
      </c>
      <c r="Q109" s="30">
        <v>1</v>
      </c>
      <c r="R109" s="30">
        <v>0</v>
      </c>
      <c r="S109" s="30">
        <v>0</v>
      </c>
      <c r="T109" s="30">
        <v>0</v>
      </c>
      <c r="U109" s="30">
        <v>0</v>
      </c>
      <c r="V109" s="30">
        <v>1</v>
      </c>
    </row>
    <row r="110" spans="1:22" ht="21" customHeight="1" x14ac:dyDescent="0.15">
      <c r="A110" s="2" t="str">
        <f ca="1">input_586100!A$2</f>
        <v>586100</v>
      </c>
      <c r="B110" s="5">
        <v>234</v>
      </c>
      <c r="C110" s="7" t="str">
        <f t="shared" si="8"/>
        <v>Premium5</v>
      </c>
      <c r="D110" s="7" t="str">
        <f t="shared" si="9"/>
        <v>Premium</v>
      </c>
      <c r="E110" s="7" t="str">
        <f>IF(COUNTIF('R6追加前'!A:A,B110)=0,IF(OR(I110="PremiumSS",I110="PremiumSSw"),"R5only","R3less"),"")</f>
        <v/>
      </c>
      <c r="F110" s="7" t="str">
        <f>IF(COUNTIF('R6開放'!A:A,B110)&gt;0,"R6release","")</f>
        <v/>
      </c>
      <c r="G110" s="7"/>
      <c r="H110" s="7" t="str">
        <f>VLOOKUP(B110,[1]characters!$A:$C,3,FALSE)</f>
        <v>精密なる照準 パーシヴァル</v>
      </c>
      <c r="I110" s="7" t="str">
        <f>VLOOKUP(B110,[1]characters!$A:$J,10,FALSE)</f>
        <v>PremiumS</v>
      </c>
      <c r="J110" s="7">
        <f>VLOOKUP(B110,[1]characters!$A:$I,9,FALSE)</f>
        <v>5</v>
      </c>
      <c r="K110" s="7" t="str">
        <f>VLOOKUP(B110,[1]characters!$A:$H,8,FALSE)</f>
        <v>blue</v>
      </c>
      <c r="L110" s="7" t="str">
        <f>VLOOKUP(B110,[1]characters!$A:$K,11,FALSE)</f>
        <v>technical</v>
      </c>
      <c r="M110" s="7" t="str">
        <f>VLOOKUP(B110,[1]characters!$A:$M,13,FALSE)</f>
        <v>human</v>
      </c>
      <c r="N110" s="7" t="str">
        <f>VLOOKUP(B110,[1]characters!$A:$G,7,FALSE)</f>
        <v>女性</v>
      </c>
      <c r="O110" s="45">
        <f ca="1">IFERROR(VLOOKUP(B110,input_586100!L:R,7,FALSE),VLOOKUP(tables_586100!C110,input_586100!A:H,8,FALSE))</f>
        <v>51796.153850000002</v>
      </c>
      <c r="P110" s="46">
        <f t="shared" ca="1" si="4"/>
        <v>4.0264423079812829E-4</v>
      </c>
      <c r="Q110" s="30">
        <v>1</v>
      </c>
      <c r="R110" s="30">
        <v>0</v>
      </c>
      <c r="S110" s="30">
        <v>0</v>
      </c>
      <c r="T110" s="30">
        <v>0</v>
      </c>
      <c r="U110" s="30">
        <v>0</v>
      </c>
      <c r="V110" s="30">
        <v>1</v>
      </c>
    </row>
    <row r="111" spans="1:22" ht="21" customHeight="1" x14ac:dyDescent="0.15">
      <c r="A111" s="2" t="str">
        <f ca="1">input_586100!A$2</f>
        <v>586100</v>
      </c>
      <c r="B111" s="5">
        <v>235</v>
      </c>
      <c r="C111" s="7" t="str">
        <f t="shared" si="8"/>
        <v>Premium3R6release</v>
      </c>
      <c r="D111" s="7" t="str">
        <f t="shared" si="9"/>
        <v>Premium</v>
      </c>
      <c r="E111" s="7" t="str">
        <f>IF(COUNTIF('R6追加前'!A:A,B111)=0,IF(OR(I111="PremiumSS",I111="PremiumSSw"),"R5only","R3less"),"")</f>
        <v/>
      </c>
      <c r="F111" s="7" t="str">
        <f>IF(COUNTIF('R6開放'!A:A,B111)&gt;0,"R6release","")</f>
        <v>R6release</v>
      </c>
      <c r="G111" s="7"/>
      <c r="H111" s="7" t="str">
        <f>VLOOKUP(B111,[1]characters!$A:$C,3,FALSE)</f>
        <v>イザナミ</v>
      </c>
      <c r="I111" s="7" t="str">
        <f>VLOOKUP(B111,[1]characters!$A:$J,10,FALSE)</f>
        <v>PremiumS</v>
      </c>
      <c r="J111" s="7">
        <f>VLOOKUP(B111,[1]characters!$A:$I,9,FALSE)</f>
        <v>3</v>
      </c>
      <c r="K111" s="7" t="str">
        <f>VLOOKUP(B111,[1]characters!$A:$H,8,FALSE)</f>
        <v>yellow</v>
      </c>
      <c r="L111" s="7" t="str">
        <f>VLOOKUP(B111,[1]characters!$A:$K,11,FALSE)</f>
        <v>attack</v>
      </c>
      <c r="M111" s="7" t="str">
        <f>VLOOKUP(B111,[1]characters!$A:$M,13,FALSE)</f>
        <v>god</v>
      </c>
      <c r="N111" s="7" t="str">
        <f>VLOOKUP(B111,[1]characters!$A:$G,7,FALSE)</f>
        <v>女性</v>
      </c>
      <c r="O111" s="45">
        <f ca="1">IFERROR(VLOOKUP(B111,input_586100!L:R,7,FALSE),VLOOKUP(tables_586100!C111,input_586100!A:H,8,FALSE))</f>
        <v>0</v>
      </c>
      <c r="P111" s="46">
        <f t="shared" ca="1" si="4"/>
        <v>0</v>
      </c>
      <c r="Q111" s="30">
        <v>1</v>
      </c>
      <c r="R111" s="30">
        <v>0</v>
      </c>
      <c r="S111" s="30">
        <v>0</v>
      </c>
      <c r="T111" s="30">
        <v>0</v>
      </c>
      <c r="U111" s="30">
        <v>0</v>
      </c>
      <c r="V111" s="30">
        <v>1</v>
      </c>
    </row>
    <row r="112" spans="1:22" ht="21" customHeight="1" x14ac:dyDescent="0.15">
      <c r="A112" s="2" t="str">
        <f ca="1">input_586100!A$2</f>
        <v>586100</v>
      </c>
      <c r="B112" s="5">
        <v>236</v>
      </c>
      <c r="C112" s="7" t="str">
        <f t="shared" si="8"/>
        <v>Premium4R6release</v>
      </c>
      <c r="D112" s="7" t="str">
        <f t="shared" si="9"/>
        <v>Premium</v>
      </c>
      <c r="E112" s="7" t="str">
        <f>IF(COUNTIF('R6追加前'!A:A,B112)=0,IF(OR(I112="PremiumSS",I112="PremiumSSw"),"R5only","R3less"),"")</f>
        <v/>
      </c>
      <c r="F112" s="7" t="str">
        <f>IF(COUNTIF('R6開放'!A:A,B112)&gt;0,"R6release","")</f>
        <v>R6release</v>
      </c>
      <c r="G112" s="7"/>
      <c r="H112" s="7" t="str">
        <f>VLOOKUP(B112,[1]characters!$A:$C,3,FALSE)</f>
        <v>神産 イザナミ</v>
      </c>
      <c r="I112" s="7" t="str">
        <f>VLOOKUP(B112,[1]characters!$A:$J,10,FALSE)</f>
        <v>PremiumS</v>
      </c>
      <c r="J112" s="7">
        <f>VLOOKUP(B112,[1]characters!$A:$I,9,FALSE)</f>
        <v>4</v>
      </c>
      <c r="K112" s="7" t="str">
        <f>VLOOKUP(B112,[1]characters!$A:$H,8,FALSE)</f>
        <v>yellow</v>
      </c>
      <c r="L112" s="7" t="str">
        <f>VLOOKUP(B112,[1]characters!$A:$K,11,FALSE)</f>
        <v>attack</v>
      </c>
      <c r="M112" s="7" t="str">
        <f>VLOOKUP(B112,[1]characters!$A:$M,13,FALSE)</f>
        <v>god</v>
      </c>
      <c r="N112" s="7" t="str">
        <f>VLOOKUP(B112,[1]characters!$A:$G,7,FALSE)</f>
        <v>女性</v>
      </c>
      <c r="O112" s="45">
        <f ca="1">IFERROR(VLOOKUP(B112,input_586100!L:R,7,FALSE),VLOOKUP(tables_586100!C112,input_586100!A:H,8,FALSE))</f>
        <v>1097460</v>
      </c>
      <c r="P112" s="46">
        <f t="shared" ca="1" si="4"/>
        <v>8.5312499999787884E-3</v>
      </c>
      <c r="Q112" s="30">
        <v>1</v>
      </c>
      <c r="R112" s="30">
        <v>0</v>
      </c>
      <c r="S112" s="30">
        <v>0</v>
      </c>
      <c r="T112" s="30">
        <v>0</v>
      </c>
      <c r="U112" s="30">
        <v>0</v>
      </c>
      <c r="V112" s="30">
        <v>1</v>
      </c>
    </row>
    <row r="113" spans="1:22" ht="21" customHeight="1" x14ac:dyDescent="0.15">
      <c r="A113" s="2" t="str">
        <f ca="1">input_586100!A$2</f>
        <v>586100</v>
      </c>
      <c r="B113" s="5">
        <v>237</v>
      </c>
      <c r="C113" s="7" t="str">
        <f t="shared" si="8"/>
        <v>Premium5R6release</v>
      </c>
      <c r="D113" s="7" t="str">
        <f t="shared" si="9"/>
        <v>Premium</v>
      </c>
      <c r="E113" s="7" t="str">
        <f>IF(COUNTIF('R6追加前'!A:A,B113)=0,IF(OR(I113="PremiumSS",I113="PremiumSSw"),"R5only","R3less"),"")</f>
        <v/>
      </c>
      <c r="F113" s="7" t="str">
        <f>IF(COUNTIF('R6開放'!A:A,B113)&gt;0,"R6release","")</f>
        <v>R6release</v>
      </c>
      <c r="G113" s="7"/>
      <c r="H113" s="7" t="str">
        <f>VLOOKUP(B113,[1]characters!$A:$C,3,FALSE)</f>
        <v>森羅万象の神母 イザナミ</v>
      </c>
      <c r="I113" s="7" t="str">
        <f>VLOOKUP(B113,[1]characters!$A:$J,10,FALSE)</f>
        <v>PremiumS</v>
      </c>
      <c r="J113" s="7">
        <f>VLOOKUP(B113,[1]characters!$A:$I,9,FALSE)</f>
        <v>5</v>
      </c>
      <c r="K113" s="7" t="str">
        <f>VLOOKUP(B113,[1]characters!$A:$H,8,FALSE)</f>
        <v>yellow</v>
      </c>
      <c r="L113" s="7" t="str">
        <f>VLOOKUP(B113,[1]characters!$A:$K,11,FALSE)</f>
        <v>attack</v>
      </c>
      <c r="M113" s="7" t="str">
        <f>VLOOKUP(B113,[1]characters!$A:$M,13,FALSE)</f>
        <v>god</v>
      </c>
      <c r="N113" s="7" t="str">
        <f>VLOOKUP(B113,[1]characters!$A:$G,7,FALSE)</f>
        <v>女性</v>
      </c>
      <c r="O113" s="45">
        <f ca="1">IFERROR(VLOOKUP(B113,input_586100!L:R,7,FALSE),VLOOKUP(tables_586100!C113,input_586100!A:H,8,FALSE))</f>
        <v>121940</v>
      </c>
      <c r="P113" s="46">
        <f t="shared" ca="1" si="4"/>
        <v>9.4791666666430984E-4</v>
      </c>
      <c r="Q113" s="30">
        <v>1</v>
      </c>
      <c r="R113" s="30">
        <v>0</v>
      </c>
      <c r="S113" s="30">
        <v>0</v>
      </c>
      <c r="T113" s="30">
        <v>0</v>
      </c>
      <c r="U113" s="30">
        <v>0</v>
      </c>
      <c r="V113" s="30">
        <v>1</v>
      </c>
    </row>
    <row r="114" spans="1:22" ht="21" customHeight="1" x14ac:dyDescent="0.15">
      <c r="A114" s="2" t="str">
        <f ca="1">input_586100!A$2</f>
        <v>586100</v>
      </c>
      <c r="B114" s="5">
        <v>238</v>
      </c>
      <c r="C114" s="7" t="str">
        <f t="shared" si="8"/>
        <v>Premium3</v>
      </c>
      <c r="D114" s="7" t="str">
        <f t="shared" si="9"/>
        <v>Premium</v>
      </c>
      <c r="E114" s="7" t="str">
        <f>IF(COUNTIF('R6追加前'!A:A,B114)=0,IF(OR(I114="PremiumSS",I114="PremiumSSw"),"R5only","R3less"),"")</f>
        <v/>
      </c>
      <c r="F114" s="7" t="str">
        <f>IF(COUNTIF('R6開放'!A:A,B114)&gt;0,"R6release","")</f>
        <v/>
      </c>
      <c r="G114" s="7"/>
      <c r="H114" s="7" t="str">
        <f>VLOOKUP(B114,[1]characters!$A:$C,3,FALSE)</f>
        <v>ウリエル</v>
      </c>
      <c r="I114" s="7" t="str">
        <f>VLOOKUP(B114,[1]characters!$A:$J,10,FALSE)</f>
        <v>PremiumS</v>
      </c>
      <c r="J114" s="7">
        <f>VLOOKUP(B114,[1]characters!$A:$I,9,FALSE)</f>
        <v>3</v>
      </c>
      <c r="K114" s="7" t="str">
        <f>VLOOKUP(B114,[1]characters!$A:$H,8,FALSE)</f>
        <v>red</v>
      </c>
      <c r="L114" s="7" t="str">
        <f>VLOOKUP(B114,[1]characters!$A:$K,11,FALSE)</f>
        <v>hp</v>
      </c>
      <c r="M114" s="7" t="str">
        <f>VLOOKUP(B114,[1]characters!$A:$M,13,FALSE)</f>
        <v>machine</v>
      </c>
      <c r="N114" s="7" t="str">
        <f>VLOOKUP(B114,[1]characters!$A:$G,7,FALSE)</f>
        <v>女性</v>
      </c>
      <c r="O114" s="45">
        <f ca="1">IFERROR(VLOOKUP(B114,input_586100!L:R,7,FALSE),VLOOKUP(tables_586100!C114,input_586100!A:H,8,FALSE))</f>
        <v>0</v>
      </c>
      <c r="P114" s="46">
        <f t="shared" ca="1" si="4"/>
        <v>0</v>
      </c>
      <c r="Q114" s="30">
        <v>1</v>
      </c>
      <c r="R114" s="30">
        <v>0</v>
      </c>
      <c r="S114" s="30">
        <v>0</v>
      </c>
      <c r="T114" s="30">
        <v>0</v>
      </c>
      <c r="U114" s="30">
        <v>0</v>
      </c>
      <c r="V114" s="30">
        <v>1</v>
      </c>
    </row>
    <row r="115" spans="1:22" ht="21" customHeight="1" x14ac:dyDescent="0.15">
      <c r="A115" s="2" t="str">
        <f ca="1">input_586100!A$2</f>
        <v>586100</v>
      </c>
      <c r="B115" s="5">
        <v>239</v>
      </c>
      <c r="C115" s="7" t="str">
        <f t="shared" si="8"/>
        <v>Premium4</v>
      </c>
      <c r="D115" s="7" t="str">
        <f t="shared" si="9"/>
        <v>Premium</v>
      </c>
      <c r="E115" s="7" t="str">
        <f>IF(COUNTIF('R6追加前'!A:A,B115)=0,IF(OR(I115="PremiumSS",I115="PremiumSSw"),"R5only","R3less"),"")</f>
        <v/>
      </c>
      <c r="F115" s="7" t="str">
        <f>IF(COUNTIF('R6開放'!A:A,B115)&gt;0,"R6release","")</f>
        <v/>
      </c>
      <c r="G115" s="7"/>
      <c r="H115" s="7" t="str">
        <f>VLOOKUP(B115,[1]characters!$A:$C,3,FALSE)</f>
        <v>豪炎の天使 ウリエル</v>
      </c>
      <c r="I115" s="7" t="str">
        <f>VLOOKUP(B115,[1]characters!$A:$J,10,FALSE)</f>
        <v>PremiumS</v>
      </c>
      <c r="J115" s="7">
        <f>VLOOKUP(B115,[1]characters!$A:$I,9,FALSE)</f>
        <v>4</v>
      </c>
      <c r="K115" s="7" t="str">
        <f>VLOOKUP(B115,[1]characters!$A:$H,8,FALSE)</f>
        <v>red</v>
      </c>
      <c r="L115" s="7" t="str">
        <f>VLOOKUP(B115,[1]characters!$A:$K,11,FALSE)</f>
        <v>hp</v>
      </c>
      <c r="M115" s="7" t="str">
        <f>VLOOKUP(B115,[1]characters!$A:$M,13,FALSE)</f>
        <v>machine</v>
      </c>
      <c r="N115" s="7" t="str">
        <f>VLOOKUP(B115,[1]characters!$A:$G,7,FALSE)</f>
        <v>女性</v>
      </c>
      <c r="O115" s="45">
        <f ca="1">IFERROR(VLOOKUP(B115,input_586100!L:R,7,FALSE),VLOOKUP(tables_586100!C115,input_586100!A:H,8,FALSE))</f>
        <v>1097460</v>
      </c>
      <c r="P115" s="46">
        <f t="shared" ca="1" si="4"/>
        <v>8.5312499999787884E-3</v>
      </c>
      <c r="Q115" s="30">
        <v>1</v>
      </c>
      <c r="R115" s="30">
        <v>0</v>
      </c>
      <c r="S115" s="30">
        <v>0</v>
      </c>
      <c r="T115" s="30">
        <v>0</v>
      </c>
      <c r="U115" s="30">
        <v>0</v>
      </c>
      <c r="V115" s="30">
        <v>1</v>
      </c>
    </row>
    <row r="116" spans="1:22" ht="21" customHeight="1" x14ac:dyDescent="0.15">
      <c r="A116" s="2" t="str">
        <f ca="1">input_586100!A$2</f>
        <v>586100</v>
      </c>
      <c r="B116" s="5">
        <v>240</v>
      </c>
      <c r="C116" s="7" t="str">
        <f t="shared" si="8"/>
        <v>Premium5</v>
      </c>
      <c r="D116" s="7" t="str">
        <f t="shared" si="9"/>
        <v>Premium</v>
      </c>
      <c r="E116" s="7" t="str">
        <f>IF(COUNTIF('R6追加前'!A:A,B116)=0,IF(OR(I116="PremiumSS",I116="PremiumSSw"),"R5only","R3less"),"")</f>
        <v/>
      </c>
      <c r="F116" s="7" t="str">
        <f>IF(COUNTIF('R6開放'!A:A,B116)&gt;0,"R6release","")</f>
        <v/>
      </c>
      <c r="G116" s="7"/>
      <c r="H116" s="7" t="str">
        <f>VLOOKUP(B116,[1]characters!$A:$C,3,FALSE)</f>
        <v>轟炎の天使 ウリエル・スレイヤー</v>
      </c>
      <c r="I116" s="7" t="str">
        <f>VLOOKUP(B116,[1]characters!$A:$J,10,FALSE)</f>
        <v>PremiumS</v>
      </c>
      <c r="J116" s="7">
        <f>VLOOKUP(B116,[1]characters!$A:$I,9,FALSE)</f>
        <v>5</v>
      </c>
      <c r="K116" s="7" t="str">
        <f>VLOOKUP(B116,[1]characters!$A:$H,8,FALSE)</f>
        <v>red</v>
      </c>
      <c r="L116" s="7" t="str">
        <f>VLOOKUP(B116,[1]characters!$A:$K,11,FALSE)</f>
        <v>hp</v>
      </c>
      <c r="M116" s="7" t="str">
        <f>VLOOKUP(B116,[1]characters!$A:$M,13,FALSE)</f>
        <v>machine</v>
      </c>
      <c r="N116" s="7" t="str">
        <f>VLOOKUP(B116,[1]characters!$A:$G,7,FALSE)</f>
        <v>女性</v>
      </c>
      <c r="O116" s="45">
        <f ca="1">IFERROR(VLOOKUP(B116,input_586100!L:R,7,FALSE),VLOOKUP(tables_586100!C116,input_586100!A:H,8,FALSE))</f>
        <v>51796.153850000002</v>
      </c>
      <c r="P116" s="46">
        <f t="shared" ca="1" si="4"/>
        <v>4.0264423079812829E-4</v>
      </c>
      <c r="Q116" s="30">
        <v>1</v>
      </c>
      <c r="R116" s="30">
        <v>0</v>
      </c>
      <c r="S116" s="30">
        <v>0</v>
      </c>
      <c r="T116" s="30">
        <v>0</v>
      </c>
      <c r="U116" s="30">
        <v>0</v>
      </c>
      <c r="V116" s="30">
        <v>1</v>
      </c>
    </row>
    <row r="117" spans="1:22" ht="21" customHeight="1" x14ac:dyDescent="0.15">
      <c r="A117" s="2" t="str">
        <f ca="1">input_586100!A$2</f>
        <v>586100</v>
      </c>
      <c r="B117" s="5">
        <v>241</v>
      </c>
      <c r="C117" s="7" t="str">
        <f t="shared" si="8"/>
        <v>Premium3</v>
      </c>
      <c r="D117" s="7" t="str">
        <f t="shared" si="9"/>
        <v>Premium</v>
      </c>
      <c r="E117" s="7" t="str">
        <f>IF(COUNTIF('R6追加前'!A:A,B117)=0,IF(OR(I117="PremiumSS",I117="PremiumSSw"),"R5only","R3less"),"")</f>
        <v/>
      </c>
      <c r="F117" s="7" t="str">
        <f>IF(COUNTIF('R6開放'!A:A,B117)&gt;0,"R6release","")</f>
        <v/>
      </c>
      <c r="G117" s="7"/>
      <c r="H117" s="7" t="str">
        <f>VLOOKUP(B117,[1]characters!$A:$C,3,FALSE)</f>
        <v>ガブリエル</v>
      </c>
      <c r="I117" s="7" t="str">
        <f>VLOOKUP(B117,[1]characters!$A:$J,10,FALSE)</f>
        <v>PremiumS</v>
      </c>
      <c r="J117" s="7">
        <f>VLOOKUP(B117,[1]characters!$A:$I,9,FALSE)</f>
        <v>3</v>
      </c>
      <c r="K117" s="7" t="str">
        <f>VLOOKUP(B117,[1]characters!$A:$H,8,FALSE)</f>
        <v>green</v>
      </c>
      <c r="L117" s="7" t="str">
        <f>VLOOKUP(B117,[1]characters!$A:$K,11,FALSE)</f>
        <v>balance</v>
      </c>
      <c r="M117" s="7" t="str">
        <f>VLOOKUP(B117,[1]characters!$A:$M,13,FALSE)</f>
        <v>machine</v>
      </c>
      <c r="N117" s="7" t="str">
        <f>VLOOKUP(B117,[1]characters!$A:$G,7,FALSE)</f>
        <v>女性</v>
      </c>
      <c r="O117" s="45">
        <f ca="1">IFERROR(VLOOKUP(B117,input_586100!L:R,7,FALSE),VLOOKUP(tables_586100!C117,input_586100!A:H,8,FALSE))</f>
        <v>0</v>
      </c>
      <c r="P117" s="46">
        <f t="shared" ca="1" si="4"/>
        <v>0</v>
      </c>
      <c r="Q117" s="30">
        <v>1</v>
      </c>
      <c r="R117" s="30">
        <v>0</v>
      </c>
      <c r="S117" s="30">
        <v>0</v>
      </c>
      <c r="T117" s="30">
        <v>0</v>
      </c>
      <c r="U117" s="30">
        <v>0</v>
      </c>
      <c r="V117" s="30">
        <v>1</v>
      </c>
    </row>
    <row r="118" spans="1:22" ht="21" customHeight="1" x14ac:dyDescent="0.15">
      <c r="A118" s="2" t="str">
        <f ca="1">input_586100!A$2</f>
        <v>586100</v>
      </c>
      <c r="B118" s="5">
        <v>242</v>
      </c>
      <c r="C118" s="7" t="str">
        <f t="shared" si="8"/>
        <v>Premium4</v>
      </c>
      <c r="D118" s="7" t="str">
        <f t="shared" si="9"/>
        <v>Premium</v>
      </c>
      <c r="E118" s="7" t="str">
        <f>IF(COUNTIF('R6追加前'!A:A,B118)=0,IF(OR(I118="PremiumSS",I118="PremiumSSw"),"R5only","R3less"),"")</f>
        <v/>
      </c>
      <c r="F118" s="7" t="str">
        <f>IF(COUNTIF('R6開放'!A:A,B118)&gt;0,"R6release","")</f>
        <v/>
      </c>
      <c r="G118" s="7"/>
      <c r="H118" s="7" t="str">
        <f>VLOOKUP(B118,[1]characters!$A:$C,3,FALSE)</f>
        <v>百花の天使 ガブリエル</v>
      </c>
      <c r="I118" s="7" t="str">
        <f>VLOOKUP(B118,[1]characters!$A:$J,10,FALSE)</f>
        <v>PremiumS</v>
      </c>
      <c r="J118" s="7">
        <f>VLOOKUP(B118,[1]characters!$A:$I,9,FALSE)</f>
        <v>4</v>
      </c>
      <c r="K118" s="7" t="str">
        <f>VLOOKUP(B118,[1]characters!$A:$H,8,FALSE)</f>
        <v>green</v>
      </c>
      <c r="L118" s="7" t="str">
        <f>VLOOKUP(B118,[1]characters!$A:$K,11,FALSE)</f>
        <v>balance</v>
      </c>
      <c r="M118" s="7" t="str">
        <f>VLOOKUP(B118,[1]characters!$A:$M,13,FALSE)</f>
        <v>machine</v>
      </c>
      <c r="N118" s="7" t="str">
        <f>VLOOKUP(B118,[1]characters!$A:$G,7,FALSE)</f>
        <v>女性</v>
      </c>
      <c r="O118" s="45">
        <f ca="1">IFERROR(VLOOKUP(B118,input_586100!L:R,7,FALSE),VLOOKUP(tables_586100!C118,input_586100!A:H,8,FALSE))</f>
        <v>1097460</v>
      </c>
      <c r="P118" s="46">
        <f t="shared" ca="1" si="4"/>
        <v>8.5312499999787884E-3</v>
      </c>
      <c r="Q118" s="30">
        <v>1</v>
      </c>
      <c r="R118" s="30">
        <v>0</v>
      </c>
      <c r="S118" s="30">
        <v>0</v>
      </c>
      <c r="T118" s="30">
        <v>0</v>
      </c>
      <c r="U118" s="30">
        <v>0</v>
      </c>
      <c r="V118" s="30">
        <v>1</v>
      </c>
    </row>
    <row r="119" spans="1:22" ht="21" customHeight="1" x14ac:dyDescent="0.15">
      <c r="A119" s="2" t="str">
        <f ca="1">input_586100!A$2</f>
        <v>586100</v>
      </c>
      <c r="B119" s="5">
        <v>243</v>
      </c>
      <c r="C119" s="7" t="str">
        <f t="shared" si="8"/>
        <v>Premium5</v>
      </c>
      <c r="D119" s="7" t="str">
        <f t="shared" si="9"/>
        <v>Premium</v>
      </c>
      <c r="E119" s="7" t="str">
        <f>IF(COUNTIF('R6追加前'!A:A,B119)=0,IF(OR(I119="PremiumSS",I119="PremiumSSw"),"R5only","R3less"),"")</f>
        <v/>
      </c>
      <c r="F119" s="7" t="str">
        <f>IF(COUNTIF('R6開放'!A:A,B119)&gt;0,"R6release","")</f>
        <v/>
      </c>
      <c r="G119" s="7"/>
      <c r="H119" s="7" t="str">
        <f>VLOOKUP(B119,[1]characters!$A:$C,3,FALSE)</f>
        <v>万花の天使 ガブリエル・ブルーム</v>
      </c>
      <c r="I119" s="7" t="str">
        <f>VLOOKUP(B119,[1]characters!$A:$J,10,FALSE)</f>
        <v>PremiumS</v>
      </c>
      <c r="J119" s="7">
        <f>VLOOKUP(B119,[1]characters!$A:$I,9,FALSE)</f>
        <v>5</v>
      </c>
      <c r="K119" s="7" t="str">
        <f>VLOOKUP(B119,[1]characters!$A:$H,8,FALSE)</f>
        <v>green</v>
      </c>
      <c r="L119" s="7" t="str">
        <f>VLOOKUP(B119,[1]characters!$A:$K,11,FALSE)</f>
        <v>balance</v>
      </c>
      <c r="M119" s="7" t="str">
        <f>VLOOKUP(B119,[1]characters!$A:$M,13,FALSE)</f>
        <v>machine</v>
      </c>
      <c r="N119" s="7" t="str">
        <f>VLOOKUP(B119,[1]characters!$A:$G,7,FALSE)</f>
        <v>女性</v>
      </c>
      <c r="O119" s="45">
        <f ca="1">IFERROR(VLOOKUP(B119,input_586100!L:R,7,FALSE),VLOOKUP(tables_586100!C119,input_586100!A:H,8,FALSE))</f>
        <v>51796.153850000002</v>
      </c>
      <c r="P119" s="46">
        <f t="shared" ca="1" si="4"/>
        <v>4.0264423079812829E-4</v>
      </c>
      <c r="Q119" s="30">
        <v>1</v>
      </c>
      <c r="R119" s="30">
        <v>0</v>
      </c>
      <c r="S119" s="30">
        <v>0</v>
      </c>
      <c r="T119" s="30">
        <v>0</v>
      </c>
      <c r="U119" s="30">
        <v>0</v>
      </c>
      <c r="V119" s="30">
        <v>1</v>
      </c>
    </row>
    <row r="120" spans="1:22" ht="21" customHeight="1" x14ac:dyDescent="0.15">
      <c r="A120" s="2" t="str">
        <f ca="1">input_586100!A$2</f>
        <v>586100</v>
      </c>
      <c r="B120" s="5">
        <v>244</v>
      </c>
      <c r="C120" s="7" t="str">
        <f t="shared" si="8"/>
        <v>Premium3</v>
      </c>
      <c r="D120" s="7" t="str">
        <f t="shared" si="9"/>
        <v>Premium</v>
      </c>
      <c r="E120" s="7" t="str">
        <f>IF(COUNTIF('R6追加前'!A:A,B120)=0,IF(OR(I120="PremiumSS",I120="PremiumSSw"),"R5only","R3less"),"")</f>
        <v/>
      </c>
      <c r="F120" s="7" t="str">
        <f>IF(COUNTIF('R6開放'!A:A,B120)&gt;0,"R6release","")</f>
        <v/>
      </c>
      <c r="G120" s="7"/>
      <c r="H120" s="7" t="str">
        <f>VLOOKUP(B120,[1]characters!$A:$C,3,FALSE)</f>
        <v>ラファエル</v>
      </c>
      <c r="I120" s="7" t="str">
        <f>VLOOKUP(B120,[1]characters!$A:$J,10,FALSE)</f>
        <v>PremiumS</v>
      </c>
      <c r="J120" s="7">
        <f>VLOOKUP(B120,[1]characters!$A:$I,9,FALSE)</f>
        <v>3</v>
      </c>
      <c r="K120" s="7" t="str">
        <f>VLOOKUP(B120,[1]characters!$A:$H,8,FALSE)</f>
        <v>blue</v>
      </c>
      <c r="L120" s="7" t="str">
        <f>VLOOKUP(B120,[1]characters!$A:$K,11,FALSE)</f>
        <v>balance</v>
      </c>
      <c r="M120" s="7" t="str">
        <f>VLOOKUP(B120,[1]characters!$A:$M,13,FALSE)</f>
        <v>machine</v>
      </c>
      <c r="N120" s="7" t="str">
        <f>VLOOKUP(B120,[1]characters!$A:$G,7,FALSE)</f>
        <v>女性</v>
      </c>
      <c r="O120" s="45">
        <f ca="1">IFERROR(VLOOKUP(B120,input_586100!L:R,7,FALSE),VLOOKUP(tables_586100!C120,input_586100!A:H,8,FALSE))</f>
        <v>0</v>
      </c>
      <c r="P120" s="46">
        <f t="shared" ca="1" si="4"/>
        <v>0</v>
      </c>
      <c r="Q120" s="30">
        <v>1</v>
      </c>
      <c r="R120" s="30">
        <v>0</v>
      </c>
      <c r="S120" s="30">
        <v>0</v>
      </c>
      <c r="T120" s="30">
        <v>0</v>
      </c>
      <c r="U120" s="30">
        <v>0</v>
      </c>
      <c r="V120" s="30">
        <v>1</v>
      </c>
    </row>
    <row r="121" spans="1:22" ht="21" customHeight="1" x14ac:dyDescent="0.15">
      <c r="A121" s="2" t="str">
        <f ca="1">input_586100!A$2</f>
        <v>586100</v>
      </c>
      <c r="B121" s="5">
        <v>245</v>
      </c>
      <c r="C121" s="7" t="str">
        <f t="shared" si="8"/>
        <v>Premium4</v>
      </c>
      <c r="D121" s="7" t="str">
        <f t="shared" si="9"/>
        <v>Premium</v>
      </c>
      <c r="E121" s="7" t="str">
        <f>IF(COUNTIF('R6追加前'!A:A,B121)=0,IF(OR(I121="PremiumSS",I121="PremiumSSw"),"R5only","R3less"),"")</f>
        <v/>
      </c>
      <c r="F121" s="7" t="str">
        <f>IF(COUNTIF('R6開放'!A:A,B121)&gt;0,"R6release","")</f>
        <v/>
      </c>
      <c r="G121" s="7"/>
      <c r="H121" s="7" t="str">
        <f>VLOOKUP(B121,[1]characters!$A:$C,3,FALSE)</f>
        <v>鎮癒の天使 ラファエル</v>
      </c>
      <c r="I121" s="7" t="str">
        <f>VLOOKUP(B121,[1]characters!$A:$J,10,FALSE)</f>
        <v>PremiumS</v>
      </c>
      <c r="J121" s="7">
        <f>VLOOKUP(B121,[1]characters!$A:$I,9,FALSE)</f>
        <v>4</v>
      </c>
      <c r="K121" s="7" t="str">
        <f>VLOOKUP(B121,[1]characters!$A:$H,8,FALSE)</f>
        <v>blue</v>
      </c>
      <c r="L121" s="7" t="str">
        <f>VLOOKUP(B121,[1]characters!$A:$K,11,FALSE)</f>
        <v>balance</v>
      </c>
      <c r="M121" s="7" t="str">
        <f>VLOOKUP(B121,[1]characters!$A:$M,13,FALSE)</f>
        <v>machine</v>
      </c>
      <c r="N121" s="7" t="str">
        <f>VLOOKUP(B121,[1]characters!$A:$G,7,FALSE)</f>
        <v>女性</v>
      </c>
      <c r="O121" s="45">
        <f ca="1">IFERROR(VLOOKUP(B121,input_586100!L:R,7,FALSE),VLOOKUP(tables_586100!C121,input_586100!A:H,8,FALSE))</f>
        <v>1097460</v>
      </c>
      <c r="P121" s="46">
        <f t="shared" ca="1" si="4"/>
        <v>8.5312499999787884E-3</v>
      </c>
      <c r="Q121" s="30">
        <v>1</v>
      </c>
      <c r="R121" s="30">
        <v>0</v>
      </c>
      <c r="S121" s="30">
        <v>0</v>
      </c>
      <c r="T121" s="30">
        <v>0</v>
      </c>
      <c r="U121" s="30">
        <v>0</v>
      </c>
      <c r="V121" s="30">
        <v>1</v>
      </c>
    </row>
    <row r="122" spans="1:22" ht="21" customHeight="1" x14ac:dyDescent="0.15">
      <c r="A122" s="2" t="str">
        <f ca="1">input_586100!A$2</f>
        <v>586100</v>
      </c>
      <c r="B122" s="5">
        <v>246</v>
      </c>
      <c r="C122" s="7" t="str">
        <f t="shared" si="8"/>
        <v>Premium5</v>
      </c>
      <c r="D122" s="7" t="str">
        <f t="shared" si="9"/>
        <v>Premium</v>
      </c>
      <c r="E122" s="7" t="str">
        <f>IF(COUNTIF('R6追加前'!A:A,B122)=0,IF(OR(I122="PremiumSS",I122="PremiumSSw"),"R5only","R3less"),"")</f>
        <v/>
      </c>
      <c r="F122" s="7" t="str">
        <f>IF(COUNTIF('R6開放'!A:A,B122)&gt;0,"R6release","")</f>
        <v/>
      </c>
      <c r="G122" s="7"/>
      <c r="H122" s="7" t="str">
        <f>VLOOKUP(B122,[1]characters!$A:$C,3,FALSE)</f>
        <v>真癒の天使 ラファエル・メディカ</v>
      </c>
      <c r="I122" s="7" t="str">
        <f>VLOOKUP(B122,[1]characters!$A:$J,10,FALSE)</f>
        <v>PremiumS</v>
      </c>
      <c r="J122" s="7">
        <f>VLOOKUP(B122,[1]characters!$A:$I,9,FALSE)</f>
        <v>5</v>
      </c>
      <c r="K122" s="7" t="str">
        <f>VLOOKUP(B122,[1]characters!$A:$H,8,FALSE)</f>
        <v>blue</v>
      </c>
      <c r="L122" s="7" t="str">
        <f>VLOOKUP(B122,[1]characters!$A:$K,11,FALSE)</f>
        <v>balance</v>
      </c>
      <c r="M122" s="7" t="str">
        <f>VLOOKUP(B122,[1]characters!$A:$M,13,FALSE)</f>
        <v>machine</v>
      </c>
      <c r="N122" s="7" t="str">
        <f>VLOOKUP(B122,[1]characters!$A:$G,7,FALSE)</f>
        <v>女性</v>
      </c>
      <c r="O122" s="45">
        <f ca="1">IFERROR(VLOOKUP(B122,input_586100!L:R,7,FALSE),VLOOKUP(tables_586100!C122,input_586100!A:H,8,FALSE))</f>
        <v>51796.153850000002</v>
      </c>
      <c r="P122" s="46">
        <f t="shared" ca="1" si="4"/>
        <v>4.0264423079812829E-4</v>
      </c>
      <c r="Q122" s="30">
        <v>1</v>
      </c>
      <c r="R122" s="30">
        <v>0</v>
      </c>
      <c r="S122" s="30">
        <v>0</v>
      </c>
      <c r="T122" s="30">
        <v>0</v>
      </c>
      <c r="U122" s="30">
        <v>0</v>
      </c>
      <c r="V122" s="30">
        <v>1</v>
      </c>
    </row>
    <row r="123" spans="1:22" ht="21" customHeight="1" x14ac:dyDescent="0.15">
      <c r="A123" s="2" t="str">
        <f ca="1">input_586100!A$2</f>
        <v>586100</v>
      </c>
      <c r="B123" s="5">
        <v>247</v>
      </c>
      <c r="C123" s="7" t="str">
        <f t="shared" si="8"/>
        <v>Premium3</v>
      </c>
      <c r="D123" s="7" t="str">
        <f t="shared" si="9"/>
        <v>Premium</v>
      </c>
      <c r="E123" s="7" t="str">
        <f>IF(COUNTIF('R6追加前'!A:A,B123)=0,IF(OR(I123="PremiumSS",I123="PremiumSSw"),"R5only","R3less"),"")</f>
        <v/>
      </c>
      <c r="F123" s="7" t="str">
        <f>IF(COUNTIF('R6開放'!A:A,B123)&gt;0,"R6release","")</f>
        <v/>
      </c>
      <c r="G123" s="7"/>
      <c r="H123" s="7" t="str">
        <f>VLOOKUP(B123,[1]characters!$A:$C,3,FALSE)</f>
        <v>ミカエル</v>
      </c>
      <c r="I123" s="7" t="str">
        <f>VLOOKUP(B123,[1]characters!$A:$J,10,FALSE)</f>
        <v>PremiumS</v>
      </c>
      <c r="J123" s="7">
        <f>VLOOKUP(B123,[1]characters!$A:$I,9,FALSE)</f>
        <v>3</v>
      </c>
      <c r="K123" s="7" t="str">
        <f>VLOOKUP(B123,[1]characters!$A:$H,8,FALSE)</f>
        <v>yellow</v>
      </c>
      <c r="L123" s="7" t="str">
        <f>VLOOKUP(B123,[1]characters!$A:$K,11,FALSE)</f>
        <v>attack</v>
      </c>
      <c r="M123" s="7" t="str">
        <f>VLOOKUP(B123,[1]characters!$A:$M,13,FALSE)</f>
        <v>machine</v>
      </c>
      <c r="N123" s="7" t="str">
        <f>VLOOKUP(B123,[1]characters!$A:$G,7,FALSE)</f>
        <v>女性</v>
      </c>
      <c r="O123" s="45">
        <f ca="1">IFERROR(VLOOKUP(B123,input_586100!L:R,7,FALSE),VLOOKUP(tables_586100!C123,input_586100!A:H,8,FALSE))</f>
        <v>0</v>
      </c>
      <c r="P123" s="46">
        <f t="shared" ca="1" si="4"/>
        <v>0</v>
      </c>
      <c r="Q123" s="30">
        <v>1</v>
      </c>
      <c r="R123" s="30">
        <v>0</v>
      </c>
      <c r="S123" s="30">
        <v>0</v>
      </c>
      <c r="T123" s="30">
        <v>0</v>
      </c>
      <c r="U123" s="30">
        <v>0</v>
      </c>
      <c r="V123" s="30">
        <v>1</v>
      </c>
    </row>
    <row r="124" spans="1:22" ht="21" customHeight="1" x14ac:dyDescent="0.15">
      <c r="A124" s="2" t="str">
        <f ca="1">input_586100!A$2</f>
        <v>586100</v>
      </c>
      <c r="B124" s="5">
        <v>248</v>
      </c>
      <c r="C124" s="7" t="str">
        <f t="shared" si="8"/>
        <v>Premium4</v>
      </c>
      <c r="D124" s="7" t="str">
        <f t="shared" si="9"/>
        <v>Premium</v>
      </c>
      <c r="E124" s="7" t="str">
        <f>IF(COUNTIF('R6追加前'!A:A,B124)=0,IF(OR(I124="PremiumSS",I124="PremiumSSw"),"R5only","R3less"),"")</f>
        <v/>
      </c>
      <c r="F124" s="7" t="str">
        <f>IF(COUNTIF('R6開放'!A:A,B124)&gt;0,"R6release","")</f>
        <v/>
      </c>
      <c r="G124" s="7"/>
      <c r="H124" s="7" t="str">
        <f>VLOOKUP(B124,[1]characters!$A:$C,3,FALSE)</f>
        <v>彩電の天使 ミカエル</v>
      </c>
      <c r="I124" s="7" t="str">
        <f>VLOOKUP(B124,[1]characters!$A:$J,10,FALSE)</f>
        <v>PremiumS</v>
      </c>
      <c r="J124" s="7">
        <f>VLOOKUP(B124,[1]characters!$A:$I,9,FALSE)</f>
        <v>4</v>
      </c>
      <c r="K124" s="7" t="str">
        <f>VLOOKUP(B124,[1]characters!$A:$H,8,FALSE)</f>
        <v>yellow</v>
      </c>
      <c r="L124" s="7" t="str">
        <f>VLOOKUP(B124,[1]characters!$A:$K,11,FALSE)</f>
        <v>attack</v>
      </c>
      <c r="M124" s="7" t="str">
        <f>VLOOKUP(B124,[1]characters!$A:$M,13,FALSE)</f>
        <v>machine</v>
      </c>
      <c r="N124" s="7" t="str">
        <f>VLOOKUP(B124,[1]characters!$A:$G,7,FALSE)</f>
        <v>女性</v>
      </c>
      <c r="O124" s="45">
        <f ca="1">IFERROR(VLOOKUP(B124,input_586100!L:R,7,FALSE),VLOOKUP(tables_586100!C124,input_586100!A:H,8,FALSE))</f>
        <v>1097460</v>
      </c>
      <c r="P124" s="46">
        <f t="shared" ca="1" si="4"/>
        <v>8.5312499999787884E-3</v>
      </c>
      <c r="Q124" s="30">
        <v>1</v>
      </c>
      <c r="R124" s="30">
        <v>0</v>
      </c>
      <c r="S124" s="30">
        <v>0</v>
      </c>
      <c r="T124" s="30">
        <v>0</v>
      </c>
      <c r="U124" s="30">
        <v>0</v>
      </c>
      <c r="V124" s="30">
        <v>1</v>
      </c>
    </row>
    <row r="125" spans="1:22" ht="21" customHeight="1" x14ac:dyDescent="0.15">
      <c r="A125" s="2" t="str">
        <f ca="1">input_586100!A$2</f>
        <v>586100</v>
      </c>
      <c r="B125" s="5">
        <v>249</v>
      </c>
      <c r="C125" s="7" t="str">
        <f t="shared" si="8"/>
        <v>Premium5</v>
      </c>
      <c r="D125" s="7" t="str">
        <f t="shared" si="9"/>
        <v>Premium</v>
      </c>
      <c r="E125" s="7" t="str">
        <f>IF(COUNTIF('R6追加前'!A:A,B125)=0,IF(OR(I125="PremiumSS",I125="PremiumSSw"),"R5only","R3less"),"")</f>
        <v/>
      </c>
      <c r="F125" s="7" t="str">
        <f>IF(COUNTIF('R6開放'!A:A,B125)&gt;0,"R6release","")</f>
        <v/>
      </c>
      <c r="G125" s="7"/>
      <c r="H125" s="7" t="str">
        <f>VLOOKUP(B125,[1]characters!$A:$C,3,FALSE)</f>
        <v>雷電の天使 ミカエル・ゲイナー</v>
      </c>
      <c r="I125" s="7" t="str">
        <f>VLOOKUP(B125,[1]characters!$A:$J,10,FALSE)</f>
        <v>PremiumS</v>
      </c>
      <c r="J125" s="7">
        <f>VLOOKUP(B125,[1]characters!$A:$I,9,FALSE)</f>
        <v>5</v>
      </c>
      <c r="K125" s="7" t="str">
        <f>VLOOKUP(B125,[1]characters!$A:$H,8,FALSE)</f>
        <v>yellow</v>
      </c>
      <c r="L125" s="7" t="str">
        <f>VLOOKUP(B125,[1]characters!$A:$K,11,FALSE)</f>
        <v>attack</v>
      </c>
      <c r="M125" s="7" t="str">
        <f>VLOOKUP(B125,[1]characters!$A:$M,13,FALSE)</f>
        <v>machine</v>
      </c>
      <c r="N125" s="7" t="str">
        <f>VLOOKUP(B125,[1]characters!$A:$G,7,FALSE)</f>
        <v>女性</v>
      </c>
      <c r="O125" s="45">
        <f ca="1">IFERROR(VLOOKUP(B125,input_586100!L:R,7,FALSE),VLOOKUP(tables_586100!C125,input_586100!A:H,8,FALSE))</f>
        <v>51796.153850000002</v>
      </c>
      <c r="P125" s="46">
        <f t="shared" ca="1" si="4"/>
        <v>4.0264423079812829E-4</v>
      </c>
      <c r="Q125" s="30">
        <v>1</v>
      </c>
      <c r="R125" s="30">
        <v>0</v>
      </c>
      <c r="S125" s="30">
        <v>0</v>
      </c>
      <c r="T125" s="30">
        <v>0</v>
      </c>
      <c r="U125" s="30">
        <v>0</v>
      </c>
      <c r="V125" s="30">
        <v>1</v>
      </c>
    </row>
    <row r="126" spans="1:22" ht="21" customHeight="1" x14ac:dyDescent="0.15">
      <c r="A126" s="2" t="str">
        <f ca="1">input_586100!A$2</f>
        <v>586100</v>
      </c>
      <c r="B126" s="5">
        <v>250</v>
      </c>
      <c r="C126" s="7" t="str">
        <f t="shared" si="8"/>
        <v>Premium3</v>
      </c>
      <c r="D126" s="7" t="str">
        <f t="shared" si="9"/>
        <v>Premium</v>
      </c>
      <c r="E126" s="7" t="str">
        <f>IF(COUNTIF('R6追加前'!A:A,B126)=0,IF(OR(I126="PremiumSS",I126="PremiumSSw"),"R5only","R3less"),"")</f>
        <v/>
      </c>
      <c r="F126" s="7" t="str">
        <f>IF(COUNTIF('R6開放'!A:A,B126)&gt;0,"R6release","")</f>
        <v/>
      </c>
      <c r="G126" s="7"/>
      <c r="H126" s="7" t="str">
        <f>VLOOKUP(B126,[1]characters!$A:$C,3,FALSE)</f>
        <v>マンモン</v>
      </c>
      <c r="I126" s="7" t="str">
        <f>VLOOKUP(B126,[1]characters!$A:$J,10,FALSE)</f>
        <v>PremiumS</v>
      </c>
      <c r="J126" s="7">
        <f>VLOOKUP(B126,[1]characters!$A:$I,9,FALSE)</f>
        <v>3</v>
      </c>
      <c r="K126" s="7" t="str">
        <f>VLOOKUP(B126,[1]characters!$A:$H,8,FALSE)</f>
        <v>red</v>
      </c>
      <c r="L126" s="7" t="str">
        <f>VLOOKUP(B126,[1]characters!$A:$K,11,FALSE)</f>
        <v>balance</v>
      </c>
      <c r="M126" s="7" t="str">
        <f>VLOOKUP(B126,[1]characters!$A:$M,13,FALSE)</f>
        <v>god</v>
      </c>
      <c r="N126" s="7" t="str">
        <f>VLOOKUP(B126,[1]characters!$A:$G,7,FALSE)</f>
        <v>女性</v>
      </c>
      <c r="O126" s="45">
        <f ca="1">IFERROR(VLOOKUP(B126,input_586100!L:R,7,FALSE),VLOOKUP(tables_586100!C126,input_586100!A:H,8,FALSE))</f>
        <v>0</v>
      </c>
      <c r="P126" s="46">
        <f t="shared" ca="1" si="4"/>
        <v>0</v>
      </c>
      <c r="Q126" s="30">
        <v>1</v>
      </c>
      <c r="R126" s="30">
        <v>0</v>
      </c>
      <c r="S126" s="30">
        <v>0</v>
      </c>
      <c r="T126" s="30">
        <v>0</v>
      </c>
      <c r="U126" s="30">
        <v>0</v>
      </c>
      <c r="V126" s="30">
        <v>1</v>
      </c>
    </row>
    <row r="127" spans="1:22" ht="21" customHeight="1" x14ac:dyDescent="0.15">
      <c r="A127" s="2" t="str">
        <f ca="1">input_586100!A$2</f>
        <v>586100</v>
      </c>
      <c r="B127" s="5">
        <v>251</v>
      </c>
      <c r="C127" s="7" t="str">
        <f t="shared" si="8"/>
        <v>Premium4</v>
      </c>
      <c r="D127" s="7" t="str">
        <f t="shared" si="9"/>
        <v>Premium</v>
      </c>
      <c r="E127" s="7" t="str">
        <f>IF(COUNTIF('R6追加前'!A:A,B127)=0,IF(OR(I127="PremiumSS",I127="PremiumSSw"),"R5only","R3less"),"")</f>
        <v/>
      </c>
      <c r="F127" s="7" t="str">
        <f>IF(COUNTIF('R6開放'!A:A,B127)&gt;0,"R6release","")</f>
        <v/>
      </c>
      <c r="G127" s="7"/>
      <c r="H127" s="7" t="str">
        <f>VLOOKUP(B127,[1]characters!$A:$C,3,FALSE)</f>
        <v>強欲 マンモン</v>
      </c>
      <c r="I127" s="7" t="str">
        <f>VLOOKUP(B127,[1]characters!$A:$J,10,FALSE)</f>
        <v>PremiumS</v>
      </c>
      <c r="J127" s="7">
        <f>VLOOKUP(B127,[1]characters!$A:$I,9,FALSE)</f>
        <v>4</v>
      </c>
      <c r="K127" s="7" t="str">
        <f>VLOOKUP(B127,[1]characters!$A:$H,8,FALSE)</f>
        <v>red</v>
      </c>
      <c r="L127" s="7" t="str">
        <f>VLOOKUP(B127,[1]characters!$A:$K,11,FALSE)</f>
        <v>balance</v>
      </c>
      <c r="M127" s="7" t="str">
        <f>VLOOKUP(B127,[1]characters!$A:$M,13,FALSE)</f>
        <v>god</v>
      </c>
      <c r="N127" s="7" t="str">
        <f>VLOOKUP(B127,[1]characters!$A:$G,7,FALSE)</f>
        <v>女性</v>
      </c>
      <c r="O127" s="45">
        <f ca="1">IFERROR(VLOOKUP(B127,input_586100!L:R,7,FALSE),VLOOKUP(tables_586100!C127,input_586100!A:H,8,FALSE))</f>
        <v>1097460</v>
      </c>
      <c r="P127" s="46">
        <f t="shared" ca="1" si="4"/>
        <v>8.5312499999787884E-3</v>
      </c>
      <c r="Q127" s="30">
        <v>1</v>
      </c>
      <c r="R127" s="30">
        <v>0</v>
      </c>
      <c r="S127" s="30">
        <v>0</v>
      </c>
      <c r="T127" s="30">
        <v>0</v>
      </c>
      <c r="U127" s="30">
        <v>0</v>
      </c>
      <c r="V127" s="30">
        <v>1</v>
      </c>
    </row>
    <row r="128" spans="1:22" ht="21" customHeight="1" x14ac:dyDescent="0.15">
      <c r="A128" s="2" t="str">
        <f ca="1">input_586100!A$2</f>
        <v>586100</v>
      </c>
      <c r="B128" s="5">
        <v>252</v>
      </c>
      <c r="C128" s="7" t="str">
        <f t="shared" si="8"/>
        <v>Premium5</v>
      </c>
      <c r="D128" s="7" t="str">
        <f t="shared" si="9"/>
        <v>Premium</v>
      </c>
      <c r="E128" s="7" t="str">
        <f>IF(COUNTIF('R6追加前'!A:A,B128)=0,IF(OR(I128="PremiumSS",I128="PremiumSSw"),"R5only","R3less"),"")</f>
        <v/>
      </c>
      <c r="F128" s="7" t="str">
        <f>IF(COUNTIF('R6開放'!A:A,B128)&gt;0,"R6release","")</f>
        <v/>
      </c>
      <c r="G128" s="7"/>
      <c r="H128" s="7" t="str">
        <f>VLOOKUP(B128,[1]characters!$A:$C,3,FALSE)</f>
        <v>強欲の沸騰 マンモン</v>
      </c>
      <c r="I128" s="7" t="str">
        <f>VLOOKUP(B128,[1]characters!$A:$J,10,FALSE)</f>
        <v>PremiumS</v>
      </c>
      <c r="J128" s="7">
        <f>VLOOKUP(B128,[1]characters!$A:$I,9,FALSE)</f>
        <v>5</v>
      </c>
      <c r="K128" s="7" t="str">
        <f>VLOOKUP(B128,[1]characters!$A:$H,8,FALSE)</f>
        <v>red</v>
      </c>
      <c r="L128" s="7" t="str">
        <f>VLOOKUP(B128,[1]characters!$A:$K,11,FALSE)</f>
        <v>balance</v>
      </c>
      <c r="M128" s="7" t="str">
        <f>VLOOKUP(B128,[1]characters!$A:$M,13,FALSE)</f>
        <v>god</v>
      </c>
      <c r="N128" s="7" t="str">
        <f>VLOOKUP(B128,[1]characters!$A:$G,7,FALSE)</f>
        <v>女性</v>
      </c>
      <c r="O128" s="45">
        <f ca="1">IFERROR(VLOOKUP(B128,input_586100!L:R,7,FALSE),VLOOKUP(tables_586100!C128,input_586100!A:H,8,FALSE))</f>
        <v>51796.153850000002</v>
      </c>
      <c r="P128" s="46">
        <f t="shared" ca="1" si="4"/>
        <v>4.0264423079812829E-4</v>
      </c>
      <c r="Q128" s="30">
        <v>1</v>
      </c>
      <c r="R128" s="30">
        <v>0</v>
      </c>
      <c r="S128" s="30">
        <v>0</v>
      </c>
      <c r="T128" s="30">
        <v>0</v>
      </c>
      <c r="U128" s="30">
        <v>0</v>
      </c>
      <c r="V128" s="30">
        <v>1</v>
      </c>
    </row>
    <row r="129" spans="1:22" ht="21" customHeight="1" x14ac:dyDescent="0.15">
      <c r="A129" s="2" t="str">
        <f ca="1">input_586100!A$2</f>
        <v>586100</v>
      </c>
      <c r="B129" s="5">
        <v>253</v>
      </c>
      <c r="C129" s="7" t="str">
        <f t="shared" si="8"/>
        <v>Premium3</v>
      </c>
      <c r="D129" s="7" t="str">
        <f t="shared" si="9"/>
        <v>Premium</v>
      </c>
      <c r="E129" s="7" t="str">
        <f>IF(COUNTIF('R6追加前'!A:A,B129)=0,IF(OR(I129="PremiumSS",I129="PremiumSSw"),"R5only","R3less"),"")</f>
        <v/>
      </c>
      <c r="F129" s="7" t="str">
        <f>IF(COUNTIF('R6開放'!A:A,B129)&gt;0,"R6release","")</f>
        <v/>
      </c>
      <c r="G129" s="7"/>
      <c r="H129" s="7" t="str">
        <f>VLOOKUP(B129,[1]characters!$A:$C,3,FALSE)</f>
        <v>ベルフェゴール</v>
      </c>
      <c r="I129" s="7" t="str">
        <f>VLOOKUP(B129,[1]characters!$A:$J,10,FALSE)</f>
        <v>PremiumS</v>
      </c>
      <c r="J129" s="7">
        <f>VLOOKUP(B129,[1]characters!$A:$I,9,FALSE)</f>
        <v>3</v>
      </c>
      <c r="K129" s="7" t="str">
        <f>VLOOKUP(B129,[1]characters!$A:$H,8,FALSE)</f>
        <v>green</v>
      </c>
      <c r="L129" s="7" t="str">
        <f>VLOOKUP(B129,[1]characters!$A:$K,11,FALSE)</f>
        <v>technical</v>
      </c>
      <c r="M129" s="7" t="str">
        <f>VLOOKUP(B129,[1]characters!$A:$M,13,FALSE)</f>
        <v>god</v>
      </c>
      <c r="N129" s="7" t="str">
        <f>VLOOKUP(B129,[1]characters!$A:$G,7,FALSE)</f>
        <v>女性</v>
      </c>
      <c r="O129" s="45">
        <f ca="1">IFERROR(VLOOKUP(B129,input_586100!L:R,7,FALSE),VLOOKUP(tables_586100!C129,input_586100!A:H,8,FALSE))</f>
        <v>0</v>
      </c>
      <c r="P129" s="46">
        <f t="shared" ca="1" si="4"/>
        <v>0</v>
      </c>
      <c r="Q129" s="30">
        <v>1</v>
      </c>
      <c r="R129" s="30">
        <v>0</v>
      </c>
      <c r="S129" s="30">
        <v>0</v>
      </c>
      <c r="T129" s="30">
        <v>0</v>
      </c>
      <c r="U129" s="30">
        <v>0</v>
      </c>
      <c r="V129" s="30">
        <v>1</v>
      </c>
    </row>
    <row r="130" spans="1:22" ht="21" customHeight="1" x14ac:dyDescent="0.15">
      <c r="A130" s="2" t="str">
        <f ca="1">input_586100!A$2</f>
        <v>586100</v>
      </c>
      <c r="B130" s="5">
        <v>254</v>
      </c>
      <c r="C130" s="7" t="str">
        <f t="shared" si="8"/>
        <v>Premium4</v>
      </c>
      <c r="D130" s="7" t="str">
        <f t="shared" si="9"/>
        <v>Premium</v>
      </c>
      <c r="E130" s="7" t="str">
        <f>IF(COUNTIF('R6追加前'!A:A,B130)=0,IF(OR(I130="PremiumSS",I130="PremiumSSw"),"R5only","R3less"),"")</f>
        <v/>
      </c>
      <c r="F130" s="7" t="str">
        <f>IF(COUNTIF('R6開放'!A:A,B130)&gt;0,"R6release","")</f>
        <v/>
      </c>
      <c r="G130" s="7"/>
      <c r="H130" s="7" t="str">
        <f>VLOOKUP(B130,[1]characters!$A:$C,3,FALSE)</f>
        <v>怠惰 ベルフェゴール</v>
      </c>
      <c r="I130" s="7" t="str">
        <f>VLOOKUP(B130,[1]characters!$A:$J,10,FALSE)</f>
        <v>PremiumS</v>
      </c>
      <c r="J130" s="7">
        <f>VLOOKUP(B130,[1]characters!$A:$I,9,FALSE)</f>
        <v>4</v>
      </c>
      <c r="K130" s="7" t="str">
        <f>VLOOKUP(B130,[1]characters!$A:$H,8,FALSE)</f>
        <v>green</v>
      </c>
      <c r="L130" s="7" t="str">
        <f>VLOOKUP(B130,[1]characters!$A:$K,11,FALSE)</f>
        <v>technical</v>
      </c>
      <c r="M130" s="7" t="str">
        <f>VLOOKUP(B130,[1]characters!$A:$M,13,FALSE)</f>
        <v>god</v>
      </c>
      <c r="N130" s="7" t="str">
        <f>VLOOKUP(B130,[1]characters!$A:$G,7,FALSE)</f>
        <v>女性</v>
      </c>
      <c r="O130" s="45">
        <f ca="1">IFERROR(VLOOKUP(B130,input_586100!L:R,7,FALSE),VLOOKUP(tables_586100!C130,input_586100!A:H,8,FALSE))</f>
        <v>1097460</v>
      </c>
      <c r="P130" s="46">
        <f t="shared" ref="P130:P193" ca="1" si="10">O130/SUM(O:O)</f>
        <v>8.5312499999787884E-3</v>
      </c>
      <c r="Q130" s="30">
        <v>1</v>
      </c>
      <c r="R130" s="30">
        <v>0</v>
      </c>
      <c r="S130" s="30">
        <v>0</v>
      </c>
      <c r="T130" s="30">
        <v>0</v>
      </c>
      <c r="U130" s="30">
        <v>0</v>
      </c>
      <c r="V130" s="30">
        <v>1</v>
      </c>
    </row>
    <row r="131" spans="1:22" ht="21" customHeight="1" x14ac:dyDescent="0.15">
      <c r="A131" s="2" t="str">
        <f ca="1">input_586100!A$2</f>
        <v>586100</v>
      </c>
      <c r="B131" s="5">
        <v>255</v>
      </c>
      <c r="C131" s="7" t="str">
        <f t="shared" si="8"/>
        <v>Premium5</v>
      </c>
      <c r="D131" s="7" t="str">
        <f t="shared" si="9"/>
        <v>Premium</v>
      </c>
      <c r="E131" s="7" t="str">
        <f>IF(COUNTIF('R6追加前'!A:A,B131)=0,IF(OR(I131="PremiumSS",I131="PremiumSSw"),"R5only","R3less"),"")</f>
        <v/>
      </c>
      <c r="F131" s="7" t="str">
        <f>IF(COUNTIF('R6開放'!A:A,B131)&gt;0,"R6release","")</f>
        <v/>
      </c>
      <c r="G131" s="7"/>
      <c r="H131" s="7" t="str">
        <f>VLOOKUP(B131,[1]characters!$A:$C,3,FALSE)</f>
        <v>怠惰の頂点 ベルフェゴール</v>
      </c>
      <c r="I131" s="7" t="str">
        <f>VLOOKUP(B131,[1]characters!$A:$J,10,FALSE)</f>
        <v>PremiumS</v>
      </c>
      <c r="J131" s="7">
        <f>VLOOKUP(B131,[1]characters!$A:$I,9,FALSE)</f>
        <v>5</v>
      </c>
      <c r="K131" s="7" t="str">
        <f>VLOOKUP(B131,[1]characters!$A:$H,8,FALSE)</f>
        <v>green</v>
      </c>
      <c r="L131" s="7" t="str">
        <f>VLOOKUP(B131,[1]characters!$A:$K,11,FALSE)</f>
        <v>technical</v>
      </c>
      <c r="M131" s="7" t="str">
        <f>VLOOKUP(B131,[1]characters!$A:$M,13,FALSE)</f>
        <v>god</v>
      </c>
      <c r="N131" s="7" t="str">
        <f>VLOOKUP(B131,[1]characters!$A:$G,7,FALSE)</f>
        <v>女性</v>
      </c>
      <c r="O131" s="45">
        <f ca="1">IFERROR(VLOOKUP(B131,input_586100!L:R,7,FALSE),VLOOKUP(tables_586100!C131,input_586100!A:H,8,FALSE))</f>
        <v>51796.153850000002</v>
      </c>
      <c r="P131" s="46">
        <f t="shared" ca="1" si="10"/>
        <v>4.0264423079812829E-4</v>
      </c>
      <c r="Q131" s="30">
        <v>1</v>
      </c>
      <c r="R131" s="30">
        <v>0</v>
      </c>
      <c r="S131" s="30">
        <v>0</v>
      </c>
      <c r="T131" s="30">
        <v>0</v>
      </c>
      <c r="U131" s="30">
        <v>0</v>
      </c>
      <c r="V131" s="30">
        <v>1</v>
      </c>
    </row>
    <row r="132" spans="1:22" ht="21" customHeight="1" x14ac:dyDescent="0.15">
      <c r="A132" s="2" t="str">
        <f ca="1">input_586100!A$2</f>
        <v>586100</v>
      </c>
      <c r="B132" s="5">
        <v>256</v>
      </c>
      <c r="C132" s="7" t="str">
        <f t="shared" si="8"/>
        <v>Premium3</v>
      </c>
      <c r="D132" s="7" t="str">
        <f t="shared" si="9"/>
        <v>Premium</v>
      </c>
      <c r="E132" s="7" t="str">
        <f>IF(COUNTIF('R6追加前'!A:A,B132)=0,IF(OR(I132="PremiumSS",I132="PremiumSSw"),"R5only","R3less"),"")</f>
        <v/>
      </c>
      <c r="F132" s="7" t="str">
        <f>IF(COUNTIF('R6開放'!A:A,B132)&gt;0,"R6release","")</f>
        <v/>
      </c>
      <c r="G132" s="7"/>
      <c r="H132" s="7" t="str">
        <f>VLOOKUP(B132,[1]characters!$A:$C,3,FALSE)</f>
        <v>アスモデウス</v>
      </c>
      <c r="I132" s="7" t="str">
        <f>VLOOKUP(B132,[1]characters!$A:$J,10,FALSE)</f>
        <v>PremiumS</v>
      </c>
      <c r="J132" s="7">
        <f>VLOOKUP(B132,[1]characters!$A:$I,9,FALSE)</f>
        <v>3</v>
      </c>
      <c r="K132" s="7" t="str">
        <f>VLOOKUP(B132,[1]characters!$A:$H,8,FALSE)</f>
        <v>blue</v>
      </c>
      <c r="L132" s="7" t="str">
        <f>VLOOKUP(B132,[1]characters!$A:$K,11,FALSE)</f>
        <v>attack</v>
      </c>
      <c r="M132" s="7" t="str">
        <f>VLOOKUP(B132,[1]characters!$A:$M,13,FALSE)</f>
        <v>god</v>
      </c>
      <c r="N132" s="7" t="str">
        <f>VLOOKUP(B132,[1]characters!$A:$G,7,FALSE)</f>
        <v>女性</v>
      </c>
      <c r="O132" s="45">
        <f ca="1">IFERROR(VLOOKUP(B132,input_586100!L:R,7,FALSE),VLOOKUP(tables_586100!C132,input_586100!A:H,8,FALSE))</f>
        <v>0</v>
      </c>
      <c r="P132" s="46">
        <f t="shared" ca="1" si="10"/>
        <v>0</v>
      </c>
      <c r="Q132" s="30">
        <v>1</v>
      </c>
      <c r="R132" s="30">
        <v>0</v>
      </c>
      <c r="S132" s="30">
        <v>0</v>
      </c>
      <c r="T132" s="30">
        <v>0</v>
      </c>
      <c r="U132" s="30">
        <v>0</v>
      </c>
      <c r="V132" s="30">
        <v>1</v>
      </c>
    </row>
    <row r="133" spans="1:22" ht="21" customHeight="1" x14ac:dyDescent="0.15">
      <c r="A133" s="2" t="str">
        <f ca="1">input_586100!A$2</f>
        <v>586100</v>
      </c>
      <c r="B133" s="5">
        <v>257</v>
      </c>
      <c r="C133" s="7" t="str">
        <f t="shared" si="8"/>
        <v>Premium4</v>
      </c>
      <c r="D133" s="7" t="str">
        <f t="shared" si="9"/>
        <v>Premium</v>
      </c>
      <c r="E133" s="7" t="str">
        <f>IF(COUNTIF('R6追加前'!A:A,B133)=0,IF(OR(I133="PremiumSS",I133="PremiumSSw"),"R5only","R3less"),"")</f>
        <v/>
      </c>
      <c r="F133" s="7" t="str">
        <f>IF(COUNTIF('R6開放'!A:A,B133)&gt;0,"R6release","")</f>
        <v/>
      </c>
      <c r="G133" s="7"/>
      <c r="H133" s="7" t="str">
        <f>VLOOKUP(B133,[1]characters!$A:$C,3,FALSE)</f>
        <v>色欲 アスモデウス</v>
      </c>
      <c r="I133" s="7" t="str">
        <f>VLOOKUP(B133,[1]characters!$A:$J,10,FALSE)</f>
        <v>PremiumS</v>
      </c>
      <c r="J133" s="7">
        <f>VLOOKUP(B133,[1]characters!$A:$I,9,FALSE)</f>
        <v>4</v>
      </c>
      <c r="K133" s="7" t="str">
        <f>VLOOKUP(B133,[1]characters!$A:$H,8,FALSE)</f>
        <v>blue</v>
      </c>
      <c r="L133" s="7" t="str">
        <f>VLOOKUP(B133,[1]characters!$A:$K,11,FALSE)</f>
        <v>attack</v>
      </c>
      <c r="M133" s="7" t="str">
        <f>VLOOKUP(B133,[1]characters!$A:$M,13,FALSE)</f>
        <v>god</v>
      </c>
      <c r="N133" s="7" t="str">
        <f>VLOOKUP(B133,[1]characters!$A:$G,7,FALSE)</f>
        <v>女性</v>
      </c>
      <c r="O133" s="45">
        <f ca="1">IFERROR(VLOOKUP(B133,input_586100!L:R,7,FALSE),VLOOKUP(tables_586100!C133,input_586100!A:H,8,FALSE))</f>
        <v>1097460</v>
      </c>
      <c r="P133" s="46">
        <f t="shared" ca="1" si="10"/>
        <v>8.5312499999787884E-3</v>
      </c>
      <c r="Q133" s="30">
        <v>1</v>
      </c>
      <c r="R133" s="30">
        <v>0</v>
      </c>
      <c r="S133" s="30">
        <v>0</v>
      </c>
      <c r="T133" s="30">
        <v>0</v>
      </c>
      <c r="U133" s="30">
        <v>0</v>
      </c>
      <c r="V133" s="30">
        <v>1</v>
      </c>
    </row>
    <row r="134" spans="1:22" ht="21" customHeight="1" x14ac:dyDescent="0.15">
      <c r="A134" s="2" t="str">
        <f ca="1">input_586100!A$2</f>
        <v>586100</v>
      </c>
      <c r="B134" s="5">
        <v>258</v>
      </c>
      <c r="C134" s="7" t="str">
        <f t="shared" si="8"/>
        <v>Premium5</v>
      </c>
      <c r="D134" s="7" t="str">
        <f t="shared" si="9"/>
        <v>Premium</v>
      </c>
      <c r="E134" s="7" t="str">
        <f>IF(COUNTIF('R6追加前'!A:A,B134)=0,IF(OR(I134="PremiumSS",I134="PremiumSSw"),"R5only","R3less"),"")</f>
        <v/>
      </c>
      <c r="F134" s="7" t="str">
        <f>IF(COUNTIF('R6開放'!A:A,B134)&gt;0,"R6release","")</f>
        <v/>
      </c>
      <c r="G134" s="7"/>
      <c r="H134" s="7" t="str">
        <f>VLOOKUP(B134,[1]characters!$A:$C,3,FALSE)</f>
        <v>色欲の源流 アスモデウス</v>
      </c>
      <c r="I134" s="7" t="str">
        <f>VLOOKUP(B134,[1]characters!$A:$J,10,FALSE)</f>
        <v>PremiumS</v>
      </c>
      <c r="J134" s="7">
        <f>VLOOKUP(B134,[1]characters!$A:$I,9,FALSE)</f>
        <v>5</v>
      </c>
      <c r="K134" s="7" t="str">
        <f>VLOOKUP(B134,[1]characters!$A:$H,8,FALSE)</f>
        <v>blue</v>
      </c>
      <c r="L134" s="7" t="str">
        <f>VLOOKUP(B134,[1]characters!$A:$K,11,FALSE)</f>
        <v>attack</v>
      </c>
      <c r="M134" s="7" t="str">
        <f>VLOOKUP(B134,[1]characters!$A:$M,13,FALSE)</f>
        <v>god</v>
      </c>
      <c r="N134" s="7" t="str">
        <f>VLOOKUP(B134,[1]characters!$A:$G,7,FALSE)</f>
        <v>女性</v>
      </c>
      <c r="O134" s="45">
        <f ca="1">IFERROR(VLOOKUP(B134,input_586100!L:R,7,FALSE),VLOOKUP(tables_586100!C134,input_586100!A:H,8,FALSE))</f>
        <v>51796.153850000002</v>
      </c>
      <c r="P134" s="46">
        <f t="shared" ca="1" si="10"/>
        <v>4.0264423079812829E-4</v>
      </c>
      <c r="Q134" s="30">
        <v>1</v>
      </c>
      <c r="R134" s="30">
        <v>0</v>
      </c>
      <c r="S134" s="30">
        <v>0</v>
      </c>
      <c r="T134" s="30">
        <v>0</v>
      </c>
      <c r="U134" s="30">
        <v>0</v>
      </c>
      <c r="V134" s="30">
        <v>1</v>
      </c>
    </row>
    <row r="135" spans="1:22" ht="21" customHeight="1" x14ac:dyDescent="0.15">
      <c r="A135" s="2" t="str">
        <f ca="1">input_586100!A$2</f>
        <v>586100</v>
      </c>
      <c r="B135" s="5">
        <v>259</v>
      </c>
      <c r="C135" s="7" t="str">
        <f t="shared" si="8"/>
        <v>Premium3</v>
      </c>
      <c r="D135" s="7" t="str">
        <f t="shared" si="9"/>
        <v>Premium</v>
      </c>
      <c r="E135" s="7" t="str">
        <f>IF(COUNTIF('R6追加前'!A:A,B135)=0,IF(OR(I135="PremiumSS",I135="PremiumSSw"),"R5only","R3less"),"")</f>
        <v/>
      </c>
      <c r="F135" s="7" t="str">
        <f>IF(COUNTIF('R6開放'!A:A,B135)&gt;0,"R6release","")</f>
        <v/>
      </c>
      <c r="G135" s="7"/>
      <c r="H135" s="7" t="str">
        <f>VLOOKUP(B135,[1]characters!$A:$C,3,FALSE)</f>
        <v>ウロボロス</v>
      </c>
      <c r="I135" s="7" t="str">
        <f>VLOOKUP(B135,[1]characters!$A:$J,10,FALSE)</f>
        <v>PremiumS</v>
      </c>
      <c r="J135" s="7">
        <f>VLOOKUP(B135,[1]characters!$A:$I,9,FALSE)</f>
        <v>3</v>
      </c>
      <c r="K135" s="7" t="str">
        <f>VLOOKUP(B135,[1]characters!$A:$H,8,FALSE)</f>
        <v>yellow</v>
      </c>
      <c r="L135" s="7" t="str">
        <f>VLOOKUP(B135,[1]characters!$A:$K,11,FALSE)</f>
        <v>balance</v>
      </c>
      <c r="M135" s="7" t="str">
        <f>VLOOKUP(B135,[1]characters!$A:$M,13,FALSE)</f>
        <v>dragon</v>
      </c>
      <c r="N135" s="7" t="str">
        <f>VLOOKUP(B135,[1]characters!$A:$G,7,FALSE)</f>
        <v>女性</v>
      </c>
      <c r="O135" s="45">
        <f ca="1">IFERROR(VLOOKUP(B135,input_586100!L:R,7,FALSE),VLOOKUP(tables_586100!C135,input_586100!A:H,8,FALSE))</f>
        <v>0</v>
      </c>
      <c r="P135" s="46">
        <f t="shared" ca="1" si="10"/>
        <v>0</v>
      </c>
      <c r="Q135" s="30">
        <v>1</v>
      </c>
      <c r="R135" s="30">
        <v>0</v>
      </c>
      <c r="S135" s="30">
        <v>0</v>
      </c>
      <c r="T135" s="30">
        <v>0</v>
      </c>
      <c r="U135" s="30">
        <v>0</v>
      </c>
      <c r="V135" s="30">
        <v>1</v>
      </c>
    </row>
    <row r="136" spans="1:22" ht="21" customHeight="1" x14ac:dyDescent="0.15">
      <c r="A136" s="2" t="str">
        <f ca="1">input_586100!A$2</f>
        <v>586100</v>
      </c>
      <c r="B136" s="5">
        <v>260</v>
      </c>
      <c r="C136" s="7" t="str">
        <f t="shared" si="8"/>
        <v>Premium4</v>
      </c>
      <c r="D136" s="7" t="str">
        <f t="shared" si="9"/>
        <v>Premium</v>
      </c>
      <c r="E136" s="7" t="str">
        <f>IF(COUNTIF('R6追加前'!A:A,B136)=0,IF(OR(I136="PremiumSS",I136="PremiumSSw"),"R5only","R3less"),"")</f>
        <v/>
      </c>
      <c r="F136" s="7" t="str">
        <f>IF(COUNTIF('R6開放'!A:A,B136)&gt;0,"R6release","")</f>
        <v/>
      </c>
      <c r="G136" s="7"/>
      <c r="H136" s="7" t="str">
        <f>VLOOKUP(B136,[1]characters!$A:$C,3,FALSE)</f>
        <v>輪廻 ウロボロス</v>
      </c>
      <c r="I136" s="7" t="str">
        <f>VLOOKUP(B136,[1]characters!$A:$J,10,FALSE)</f>
        <v>PremiumS</v>
      </c>
      <c r="J136" s="7">
        <f>VLOOKUP(B136,[1]characters!$A:$I,9,FALSE)</f>
        <v>4</v>
      </c>
      <c r="K136" s="7" t="str">
        <f>VLOOKUP(B136,[1]characters!$A:$H,8,FALSE)</f>
        <v>yellow</v>
      </c>
      <c r="L136" s="7" t="str">
        <f>VLOOKUP(B136,[1]characters!$A:$K,11,FALSE)</f>
        <v>balance</v>
      </c>
      <c r="M136" s="7" t="str">
        <f>VLOOKUP(B136,[1]characters!$A:$M,13,FALSE)</f>
        <v>dragon</v>
      </c>
      <c r="N136" s="7" t="str">
        <f>VLOOKUP(B136,[1]characters!$A:$G,7,FALSE)</f>
        <v>女性</v>
      </c>
      <c r="O136" s="45">
        <f ca="1">IFERROR(VLOOKUP(B136,input_586100!L:R,7,FALSE),VLOOKUP(tables_586100!C136,input_586100!A:H,8,FALSE))</f>
        <v>1097460</v>
      </c>
      <c r="P136" s="46">
        <f t="shared" ca="1" si="10"/>
        <v>8.5312499999787884E-3</v>
      </c>
      <c r="Q136" s="30">
        <v>1</v>
      </c>
      <c r="R136" s="30">
        <v>0</v>
      </c>
      <c r="S136" s="30">
        <v>0</v>
      </c>
      <c r="T136" s="30">
        <v>0</v>
      </c>
      <c r="U136" s="30">
        <v>0</v>
      </c>
      <c r="V136" s="30">
        <v>1</v>
      </c>
    </row>
    <row r="137" spans="1:22" ht="21" customHeight="1" x14ac:dyDescent="0.15">
      <c r="A137" s="2" t="str">
        <f ca="1">input_586100!A$2</f>
        <v>586100</v>
      </c>
      <c r="B137" s="5">
        <v>261</v>
      </c>
      <c r="C137" s="7" t="str">
        <f t="shared" si="8"/>
        <v>Premium5</v>
      </c>
      <c r="D137" s="7" t="str">
        <f t="shared" si="9"/>
        <v>Premium</v>
      </c>
      <c r="E137" s="7" t="str">
        <f>IF(COUNTIF('R6追加前'!A:A,B137)=0,IF(OR(I137="PremiumSS",I137="PremiumSSw"),"R5only","R3less"),"")</f>
        <v/>
      </c>
      <c r="F137" s="7" t="str">
        <f>IF(COUNTIF('R6開放'!A:A,B137)&gt;0,"R6release","")</f>
        <v/>
      </c>
      <c r="G137" s="7"/>
      <c r="H137" s="7" t="str">
        <f>VLOOKUP(B137,[1]characters!$A:$C,3,FALSE)</f>
        <v>輪廻の蛇龍 ウロボロス</v>
      </c>
      <c r="I137" s="7" t="str">
        <f>VLOOKUP(B137,[1]characters!$A:$J,10,FALSE)</f>
        <v>PremiumS</v>
      </c>
      <c r="J137" s="7">
        <f>VLOOKUP(B137,[1]characters!$A:$I,9,FALSE)</f>
        <v>5</v>
      </c>
      <c r="K137" s="7" t="str">
        <f>VLOOKUP(B137,[1]characters!$A:$H,8,FALSE)</f>
        <v>yellow</v>
      </c>
      <c r="L137" s="7" t="str">
        <f>VLOOKUP(B137,[1]characters!$A:$K,11,FALSE)</f>
        <v>balance</v>
      </c>
      <c r="M137" s="7" t="str">
        <f>VLOOKUP(B137,[1]characters!$A:$M,13,FALSE)</f>
        <v>dragon</v>
      </c>
      <c r="N137" s="7" t="str">
        <f>VLOOKUP(B137,[1]characters!$A:$G,7,FALSE)</f>
        <v>女性</v>
      </c>
      <c r="O137" s="45">
        <f ca="1">IFERROR(VLOOKUP(B137,input_586100!L:R,7,FALSE),VLOOKUP(tables_586100!C137,input_586100!A:H,8,FALSE))</f>
        <v>51796.153850000002</v>
      </c>
      <c r="P137" s="46">
        <f t="shared" ca="1" si="10"/>
        <v>4.0264423079812829E-4</v>
      </c>
      <c r="Q137" s="30">
        <v>1</v>
      </c>
      <c r="R137" s="30">
        <v>0</v>
      </c>
      <c r="S137" s="30">
        <v>0</v>
      </c>
      <c r="T137" s="30">
        <v>0</v>
      </c>
      <c r="U137" s="30">
        <v>0</v>
      </c>
      <c r="V137" s="30">
        <v>1</v>
      </c>
    </row>
    <row r="138" spans="1:22" ht="21" customHeight="1" x14ac:dyDescent="0.15">
      <c r="A138" s="2" t="str">
        <f ca="1">input_586100!A$2</f>
        <v>586100</v>
      </c>
      <c r="B138" s="5">
        <v>320</v>
      </c>
      <c r="C138" s="7" t="str">
        <f t="shared" ref="C138:C201" si="11">D138&amp;J138&amp;E138&amp;F138&amp;G138</f>
        <v>PremiumSS4</v>
      </c>
      <c r="D138" s="7" t="str">
        <f t="shared" ref="D138:D201" si="12">IF(OR(I138="PremiumSS",I138="PremiumSSw"),"PremiumSS",IF(I138="PremiumSSS",I138,IF(I138="PremiumW",IF(J138=5,"premium",I138),"Premium")))</f>
        <v>PremiumSS</v>
      </c>
      <c r="E138" s="7" t="str">
        <f>IF(COUNTIF('R6追加前'!A:A,B138)=0,IF(OR(I138="PremiumSS",I138="PremiumSSw"),"R5only","R3less"),"")</f>
        <v/>
      </c>
      <c r="F138" s="7" t="str">
        <f>IF(COUNTIF('R6開放'!A:A,B138)&gt;0,"R6release","")</f>
        <v/>
      </c>
      <c r="G138" s="7"/>
      <c r="H138" s="7" t="str">
        <f>VLOOKUP(B138,[1]characters!$A:$C,3,FALSE)</f>
        <v>烈志士 近藤勇</v>
      </c>
      <c r="I138" s="7" t="str">
        <f>VLOOKUP(B138,[1]characters!$A:$J,10,FALSE)</f>
        <v>PremiumSS</v>
      </c>
      <c r="J138" s="7">
        <f>VLOOKUP(B138,[1]characters!$A:$I,9,FALSE)</f>
        <v>4</v>
      </c>
      <c r="K138" s="7" t="str">
        <f>VLOOKUP(B138,[1]characters!$A:$H,8,FALSE)</f>
        <v>red</v>
      </c>
      <c r="L138" s="7" t="str">
        <f>VLOOKUP(B138,[1]characters!$A:$K,11,FALSE)</f>
        <v>hp</v>
      </c>
      <c r="M138" s="7" t="str">
        <f>VLOOKUP(B138,[1]characters!$A:$M,13,FALSE)</f>
        <v>human</v>
      </c>
      <c r="N138" s="7" t="str">
        <f>VLOOKUP(B138,[1]characters!$A:$G,7,FALSE)</f>
        <v>男性</v>
      </c>
      <c r="O138" s="45">
        <f ca="1">IFERROR(VLOOKUP(B138,input_586100!L:R,7,FALSE),VLOOKUP(tables_586100!C138,input_586100!A:H,8,FALSE))</f>
        <v>172285.71429</v>
      </c>
      <c r="P138" s="46">
        <f t="shared" ca="1" si="10"/>
        <v>1.3392857143157001E-3</v>
      </c>
      <c r="Q138" s="30">
        <v>1</v>
      </c>
      <c r="R138" s="30">
        <v>0</v>
      </c>
      <c r="S138" s="30">
        <v>0</v>
      </c>
      <c r="T138" s="30">
        <v>0</v>
      </c>
      <c r="U138" s="30">
        <v>0</v>
      </c>
      <c r="V138" s="30">
        <v>1</v>
      </c>
    </row>
    <row r="139" spans="1:22" ht="21" customHeight="1" x14ac:dyDescent="0.15">
      <c r="A139" s="2" t="str">
        <f ca="1">input_586100!A$2</f>
        <v>586100</v>
      </c>
      <c r="B139" s="5">
        <v>321</v>
      </c>
      <c r="C139" s="7" t="str">
        <f t="shared" si="11"/>
        <v>PremiumSS5</v>
      </c>
      <c r="D139" s="7" t="str">
        <f t="shared" si="12"/>
        <v>PremiumSS</v>
      </c>
      <c r="E139" s="7" t="str">
        <f>IF(COUNTIF('R6追加前'!A:A,B139)=0,IF(OR(I139="PremiumSS",I139="PremiumSSw"),"R5only","R3less"),"")</f>
        <v/>
      </c>
      <c r="F139" s="7" t="str">
        <f>IF(COUNTIF('R6開放'!A:A,B139)&gt;0,"R6release","")</f>
        <v/>
      </c>
      <c r="G139" s="7"/>
      <c r="H139" s="7" t="str">
        <f>VLOOKUP(B139,[1]characters!$A:$C,3,FALSE)</f>
        <v>巌鉄の烈志士 近藤勇</v>
      </c>
      <c r="I139" s="7" t="str">
        <f>VLOOKUP(B139,[1]characters!$A:$J,10,FALSE)</f>
        <v>PremiumSS</v>
      </c>
      <c r="J139" s="7">
        <f>VLOOKUP(B139,[1]characters!$A:$I,9,FALSE)</f>
        <v>5</v>
      </c>
      <c r="K139" s="7" t="str">
        <f>VLOOKUP(B139,[1]characters!$A:$H,8,FALSE)</f>
        <v>red</v>
      </c>
      <c r="L139" s="7" t="str">
        <f>VLOOKUP(B139,[1]characters!$A:$K,11,FALSE)</f>
        <v>hp</v>
      </c>
      <c r="M139" s="7" t="str">
        <f>VLOOKUP(B139,[1]characters!$A:$M,13,FALSE)</f>
        <v>human</v>
      </c>
      <c r="N139" s="7" t="str">
        <f>VLOOKUP(B139,[1]characters!$A:$G,7,FALSE)</f>
        <v>男性</v>
      </c>
      <c r="O139" s="45">
        <f ca="1">IFERROR(VLOOKUP(B139,input_586100!L:R,7,FALSE),VLOOKUP(tables_586100!C139,input_586100!A:H,8,FALSE))</f>
        <v>67000</v>
      </c>
      <c r="P139" s="46">
        <f t="shared" ca="1" si="10"/>
        <v>5.2083333333203836E-4</v>
      </c>
      <c r="Q139" s="30">
        <v>1</v>
      </c>
      <c r="R139" s="30">
        <v>0</v>
      </c>
      <c r="S139" s="30">
        <v>0</v>
      </c>
      <c r="T139" s="30">
        <v>0</v>
      </c>
      <c r="U139" s="30">
        <v>0</v>
      </c>
      <c r="V139" s="30">
        <v>1</v>
      </c>
    </row>
    <row r="140" spans="1:22" ht="21" customHeight="1" x14ac:dyDescent="0.15">
      <c r="A140" s="2" t="str">
        <f ca="1">input_586100!A$2</f>
        <v>586100</v>
      </c>
      <c r="B140" s="5">
        <v>322</v>
      </c>
      <c r="C140" s="7" t="str">
        <f t="shared" si="11"/>
        <v>PremiumSS4</v>
      </c>
      <c r="D140" s="7" t="str">
        <f t="shared" si="12"/>
        <v>PremiumSS</v>
      </c>
      <c r="E140" s="7" t="str">
        <f>IF(COUNTIF('R6追加前'!A:A,B140)=0,IF(OR(I140="PremiumSS",I140="PremiumSSw"),"R5only","R3less"),"")</f>
        <v/>
      </c>
      <c r="F140" s="7" t="str">
        <f>IF(COUNTIF('R6開放'!A:A,B140)&gt;0,"R6release","")</f>
        <v/>
      </c>
      <c r="G140" s="7"/>
      <c r="H140" s="7" t="str">
        <f>VLOOKUP(B140,[1]characters!$A:$C,3,FALSE)</f>
        <v>愛志士 土方歳三</v>
      </c>
      <c r="I140" s="7" t="str">
        <f>VLOOKUP(B140,[1]characters!$A:$J,10,FALSE)</f>
        <v>PremiumSS</v>
      </c>
      <c r="J140" s="7">
        <f>VLOOKUP(B140,[1]characters!$A:$I,9,FALSE)</f>
        <v>4</v>
      </c>
      <c r="K140" s="7" t="str">
        <f>VLOOKUP(B140,[1]characters!$A:$H,8,FALSE)</f>
        <v>green</v>
      </c>
      <c r="L140" s="7" t="str">
        <f>VLOOKUP(B140,[1]characters!$A:$K,11,FALSE)</f>
        <v>attack</v>
      </c>
      <c r="M140" s="7" t="str">
        <f>VLOOKUP(B140,[1]characters!$A:$M,13,FALSE)</f>
        <v>human</v>
      </c>
      <c r="N140" s="7" t="str">
        <f>VLOOKUP(B140,[1]characters!$A:$G,7,FALSE)</f>
        <v>女性</v>
      </c>
      <c r="O140" s="45">
        <f ca="1">IFERROR(VLOOKUP(B140,input_586100!L:R,7,FALSE),VLOOKUP(tables_586100!C140,input_586100!A:H,8,FALSE))</f>
        <v>172285.71429</v>
      </c>
      <c r="P140" s="46">
        <f t="shared" ca="1" si="10"/>
        <v>1.3392857143157001E-3</v>
      </c>
      <c r="Q140" s="30">
        <v>1</v>
      </c>
      <c r="R140" s="30">
        <v>0</v>
      </c>
      <c r="S140" s="30">
        <v>0</v>
      </c>
      <c r="T140" s="30">
        <v>0</v>
      </c>
      <c r="U140" s="30">
        <v>0</v>
      </c>
      <c r="V140" s="30">
        <v>1</v>
      </c>
    </row>
    <row r="141" spans="1:22" ht="21" customHeight="1" x14ac:dyDescent="0.15">
      <c r="A141" s="2" t="str">
        <f ca="1">input_586100!A$2</f>
        <v>586100</v>
      </c>
      <c r="B141" s="5">
        <v>323</v>
      </c>
      <c r="C141" s="7" t="str">
        <f t="shared" si="11"/>
        <v>PremiumSS5</v>
      </c>
      <c r="D141" s="7" t="str">
        <f t="shared" si="12"/>
        <v>PremiumSS</v>
      </c>
      <c r="E141" s="7" t="str">
        <f>IF(COUNTIF('R6追加前'!A:A,B141)=0,IF(OR(I141="PremiumSS",I141="PremiumSSw"),"R5only","R3less"),"")</f>
        <v/>
      </c>
      <c r="F141" s="7" t="str">
        <f>IF(COUNTIF('R6開放'!A:A,B141)&gt;0,"R6release","")</f>
        <v/>
      </c>
      <c r="G141" s="7"/>
      <c r="H141" s="7" t="str">
        <f>VLOOKUP(B141,[1]characters!$A:$C,3,FALSE)</f>
        <v>流麗の愛志士 土方歳三</v>
      </c>
      <c r="I141" s="7" t="str">
        <f>VLOOKUP(B141,[1]characters!$A:$J,10,FALSE)</f>
        <v>PremiumSS</v>
      </c>
      <c r="J141" s="7">
        <f>VLOOKUP(B141,[1]characters!$A:$I,9,FALSE)</f>
        <v>5</v>
      </c>
      <c r="K141" s="7" t="str">
        <f>VLOOKUP(B141,[1]characters!$A:$H,8,FALSE)</f>
        <v>green</v>
      </c>
      <c r="L141" s="7" t="str">
        <f>VLOOKUP(B141,[1]characters!$A:$K,11,FALSE)</f>
        <v>attack</v>
      </c>
      <c r="M141" s="7" t="str">
        <f>VLOOKUP(B141,[1]characters!$A:$M,13,FALSE)</f>
        <v>human</v>
      </c>
      <c r="N141" s="7" t="str">
        <f>VLOOKUP(B141,[1]characters!$A:$G,7,FALSE)</f>
        <v>女性</v>
      </c>
      <c r="O141" s="45">
        <f ca="1">IFERROR(VLOOKUP(B141,input_586100!L:R,7,FALSE),VLOOKUP(tables_586100!C141,input_586100!A:H,8,FALSE))</f>
        <v>67000</v>
      </c>
      <c r="P141" s="46">
        <f t="shared" ca="1" si="10"/>
        <v>5.2083333333203836E-4</v>
      </c>
      <c r="Q141" s="30">
        <v>1</v>
      </c>
      <c r="R141" s="30">
        <v>0</v>
      </c>
      <c r="S141" s="30">
        <v>0</v>
      </c>
      <c r="T141" s="30">
        <v>0</v>
      </c>
      <c r="U141" s="30">
        <v>0</v>
      </c>
      <c r="V141" s="30">
        <v>1</v>
      </c>
    </row>
    <row r="142" spans="1:22" ht="21" customHeight="1" x14ac:dyDescent="0.15">
      <c r="A142" s="2" t="str">
        <f ca="1">input_586100!A$2</f>
        <v>586100</v>
      </c>
      <c r="B142" s="5">
        <v>324</v>
      </c>
      <c r="C142" s="7" t="str">
        <f t="shared" si="11"/>
        <v>PremiumSS4</v>
      </c>
      <c r="D142" s="7" t="str">
        <f t="shared" si="12"/>
        <v>PremiumSS</v>
      </c>
      <c r="E142" s="7" t="str">
        <f>IF(COUNTIF('R6追加前'!A:A,B142)=0,IF(OR(I142="PremiumSS",I142="PremiumSSw"),"R5only","R3less"),"")</f>
        <v/>
      </c>
      <c r="F142" s="7" t="str">
        <f>IF(COUNTIF('R6開放'!A:A,B142)&gt;0,"R6release","")</f>
        <v/>
      </c>
      <c r="G142" s="7"/>
      <c r="H142" s="7" t="str">
        <f>VLOOKUP(B142,[1]characters!$A:$C,3,FALSE)</f>
        <v>凛志士 沖田総司</v>
      </c>
      <c r="I142" s="7" t="str">
        <f>VLOOKUP(B142,[1]characters!$A:$J,10,FALSE)</f>
        <v>PremiumSS</v>
      </c>
      <c r="J142" s="7">
        <f>VLOOKUP(B142,[1]characters!$A:$I,9,FALSE)</f>
        <v>4</v>
      </c>
      <c r="K142" s="7" t="str">
        <f>VLOOKUP(B142,[1]characters!$A:$H,8,FALSE)</f>
        <v>blue</v>
      </c>
      <c r="L142" s="7" t="str">
        <f>VLOOKUP(B142,[1]characters!$A:$K,11,FALSE)</f>
        <v>balance</v>
      </c>
      <c r="M142" s="7" t="str">
        <f>VLOOKUP(B142,[1]characters!$A:$M,13,FALSE)</f>
        <v>human</v>
      </c>
      <c r="N142" s="7" t="str">
        <f>VLOOKUP(B142,[1]characters!$A:$G,7,FALSE)</f>
        <v>女性</v>
      </c>
      <c r="O142" s="45">
        <f ca="1">IFERROR(VLOOKUP(B142,input_586100!L:R,7,FALSE),VLOOKUP(tables_586100!C142,input_586100!A:H,8,FALSE))</f>
        <v>172285.71429</v>
      </c>
      <c r="P142" s="46">
        <f t="shared" ca="1" si="10"/>
        <v>1.3392857143157001E-3</v>
      </c>
      <c r="Q142" s="30">
        <v>1</v>
      </c>
      <c r="R142" s="30">
        <v>0</v>
      </c>
      <c r="S142" s="30">
        <v>0</v>
      </c>
      <c r="T142" s="30">
        <v>0</v>
      </c>
      <c r="U142" s="30">
        <v>0</v>
      </c>
      <c r="V142" s="30">
        <v>1</v>
      </c>
    </row>
    <row r="143" spans="1:22" ht="21" customHeight="1" x14ac:dyDescent="0.15">
      <c r="A143" s="2" t="str">
        <f ca="1">input_586100!A$2</f>
        <v>586100</v>
      </c>
      <c r="B143" s="5">
        <v>325</v>
      </c>
      <c r="C143" s="7" t="str">
        <f t="shared" si="11"/>
        <v>PremiumSS5</v>
      </c>
      <c r="D143" s="7" t="str">
        <f t="shared" si="12"/>
        <v>PremiumSS</v>
      </c>
      <c r="E143" s="7" t="str">
        <f>IF(COUNTIF('R6追加前'!A:A,B143)=0,IF(OR(I143="PremiumSS",I143="PremiumSSw"),"R5only","R3less"),"")</f>
        <v/>
      </c>
      <c r="F143" s="7" t="str">
        <f>IF(COUNTIF('R6開放'!A:A,B143)&gt;0,"R6release","")</f>
        <v/>
      </c>
      <c r="G143" s="7"/>
      <c r="H143" s="7" t="str">
        <f>VLOOKUP(B143,[1]characters!$A:$C,3,FALSE)</f>
        <v>天賦の凛志士 沖田総司</v>
      </c>
      <c r="I143" s="7" t="str">
        <f>VLOOKUP(B143,[1]characters!$A:$J,10,FALSE)</f>
        <v>PremiumSS</v>
      </c>
      <c r="J143" s="7">
        <f>VLOOKUP(B143,[1]characters!$A:$I,9,FALSE)</f>
        <v>5</v>
      </c>
      <c r="K143" s="7" t="str">
        <f>VLOOKUP(B143,[1]characters!$A:$H,8,FALSE)</f>
        <v>blue</v>
      </c>
      <c r="L143" s="7" t="str">
        <f>VLOOKUP(B143,[1]characters!$A:$K,11,FALSE)</f>
        <v>balance</v>
      </c>
      <c r="M143" s="7" t="str">
        <f>VLOOKUP(B143,[1]characters!$A:$M,13,FALSE)</f>
        <v>human</v>
      </c>
      <c r="N143" s="7" t="str">
        <f>VLOOKUP(B143,[1]characters!$A:$G,7,FALSE)</f>
        <v>女性</v>
      </c>
      <c r="O143" s="45">
        <f ca="1">IFERROR(VLOOKUP(B143,input_586100!L:R,7,FALSE),VLOOKUP(tables_586100!C143,input_586100!A:H,8,FALSE))</f>
        <v>67000</v>
      </c>
      <c r="P143" s="46">
        <f t="shared" ca="1" si="10"/>
        <v>5.2083333333203836E-4</v>
      </c>
      <c r="Q143" s="30">
        <v>1</v>
      </c>
      <c r="R143" s="30">
        <v>0</v>
      </c>
      <c r="S143" s="30">
        <v>0</v>
      </c>
      <c r="T143" s="30">
        <v>0</v>
      </c>
      <c r="U143" s="30">
        <v>0</v>
      </c>
      <c r="V143" s="30">
        <v>1</v>
      </c>
    </row>
    <row r="144" spans="1:22" ht="21" customHeight="1" x14ac:dyDescent="0.15">
      <c r="A144" s="2" t="str">
        <f ca="1">input_586100!A$2</f>
        <v>586100</v>
      </c>
      <c r="B144" s="5">
        <v>326</v>
      </c>
      <c r="C144" s="7" t="str">
        <f t="shared" si="11"/>
        <v>PremiumSS4</v>
      </c>
      <c r="D144" s="7" t="str">
        <f t="shared" si="12"/>
        <v>PremiumSS</v>
      </c>
      <c r="E144" s="7" t="str">
        <f>IF(COUNTIF('R6追加前'!A:A,B144)=0,IF(OR(I144="PremiumSS",I144="PremiumSSw"),"R5only","R3less"),"")</f>
        <v/>
      </c>
      <c r="F144" s="7" t="str">
        <f>IF(COUNTIF('R6開放'!A:A,B144)&gt;0,"R6release","")</f>
        <v/>
      </c>
      <c r="G144" s="7"/>
      <c r="H144" s="7" t="str">
        <f>VLOOKUP(B144,[1]characters!$A:$C,3,FALSE)</f>
        <v>妖志士 斎藤一</v>
      </c>
      <c r="I144" s="7" t="str">
        <f>VLOOKUP(B144,[1]characters!$A:$J,10,FALSE)</f>
        <v>PremiumSS</v>
      </c>
      <c r="J144" s="7">
        <f>VLOOKUP(B144,[1]characters!$A:$I,9,FALSE)</f>
        <v>4</v>
      </c>
      <c r="K144" s="7" t="str">
        <f>VLOOKUP(B144,[1]characters!$A:$H,8,FALSE)</f>
        <v>yellow</v>
      </c>
      <c r="L144" s="7" t="str">
        <f>VLOOKUP(B144,[1]characters!$A:$K,11,FALSE)</f>
        <v>technical</v>
      </c>
      <c r="M144" s="7" t="str">
        <f>VLOOKUP(B144,[1]characters!$A:$M,13,FALSE)</f>
        <v>human</v>
      </c>
      <c r="N144" s="7" t="str">
        <f>VLOOKUP(B144,[1]characters!$A:$G,7,FALSE)</f>
        <v>女性</v>
      </c>
      <c r="O144" s="45">
        <f ca="1">IFERROR(VLOOKUP(B144,input_586100!L:R,7,FALSE),VLOOKUP(tables_586100!C144,input_586100!A:H,8,FALSE))</f>
        <v>172285.71429</v>
      </c>
      <c r="P144" s="46">
        <f t="shared" ca="1" si="10"/>
        <v>1.3392857143157001E-3</v>
      </c>
      <c r="Q144" s="30">
        <v>1</v>
      </c>
      <c r="R144" s="30">
        <v>0</v>
      </c>
      <c r="S144" s="30">
        <v>0</v>
      </c>
      <c r="T144" s="30">
        <v>0</v>
      </c>
      <c r="U144" s="30">
        <v>0</v>
      </c>
      <c r="V144" s="30">
        <v>1</v>
      </c>
    </row>
    <row r="145" spans="1:22" ht="21" customHeight="1" x14ac:dyDescent="0.15">
      <c r="A145" s="2" t="str">
        <f ca="1">input_586100!A$2</f>
        <v>586100</v>
      </c>
      <c r="B145" s="5">
        <v>327</v>
      </c>
      <c r="C145" s="7" t="str">
        <f t="shared" si="11"/>
        <v>PremiumSS5</v>
      </c>
      <c r="D145" s="7" t="str">
        <f t="shared" si="12"/>
        <v>PremiumSS</v>
      </c>
      <c r="E145" s="7" t="str">
        <f>IF(COUNTIF('R6追加前'!A:A,B145)=0,IF(OR(I145="PremiumSS",I145="PremiumSSw"),"R5only","R3less"),"")</f>
        <v/>
      </c>
      <c r="F145" s="7" t="str">
        <f>IF(COUNTIF('R6開放'!A:A,B145)&gt;0,"R6release","")</f>
        <v/>
      </c>
      <c r="G145" s="7"/>
      <c r="H145" s="7" t="str">
        <f>VLOOKUP(B145,[1]characters!$A:$C,3,FALSE)</f>
        <v>千殺の妖志士 斎藤一</v>
      </c>
      <c r="I145" s="7" t="str">
        <f>VLOOKUP(B145,[1]characters!$A:$J,10,FALSE)</f>
        <v>PremiumSS</v>
      </c>
      <c r="J145" s="7">
        <f>VLOOKUP(B145,[1]characters!$A:$I,9,FALSE)</f>
        <v>5</v>
      </c>
      <c r="K145" s="7" t="str">
        <f>VLOOKUP(B145,[1]characters!$A:$H,8,FALSE)</f>
        <v>yellow</v>
      </c>
      <c r="L145" s="7" t="str">
        <f>VLOOKUP(B145,[1]characters!$A:$K,11,FALSE)</f>
        <v>technical</v>
      </c>
      <c r="M145" s="7" t="str">
        <f>VLOOKUP(B145,[1]characters!$A:$M,13,FALSE)</f>
        <v>human</v>
      </c>
      <c r="N145" s="7" t="str">
        <f>VLOOKUP(B145,[1]characters!$A:$G,7,FALSE)</f>
        <v>女性</v>
      </c>
      <c r="O145" s="45">
        <f ca="1">IFERROR(VLOOKUP(B145,input_586100!L:R,7,FALSE),VLOOKUP(tables_586100!C145,input_586100!A:H,8,FALSE))</f>
        <v>67000</v>
      </c>
      <c r="P145" s="46">
        <f t="shared" ca="1" si="10"/>
        <v>5.2083333333203836E-4</v>
      </c>
      <c r="Q145" s="30">
        <v>1</v>
      </c>
      <c r="R145" s="30">
        <v>0</v>
      </c>
      <c r="S145" s="30">
        <v>0</v>
      </c>
      <c r="T145" s="30">
        <v>0</v>
      </c>
      <c r="U145" s="30">
        <v>0</v>
      </c>
      <c r="V145" s="30">
        <v>1</v>
      </c>
    </row>
    <row r="146" spans="1:22" ht="21" customHeight="1" x14ac:dyDescent="0.15">
      <c r="A146" s="2" t="str">
        <f ca="1">input_586100!A$2</f>
        <v>586100</v>
      </c>
      <c r="B146" s="5">
        <v>380</v>
      </c>
      <c r="C146" s="7" t="str">
        <f t="shared" si="11"/>
        <v>Premium3</v>
      </c>
      <c r="D146" s="7" t="str">
        <f t="shared" si="12"/>
        <v>Premium</v>
      </c>
      <c r="E146" s="7" t="str">
        <f>IF(COUNTIF('R6追加前'!A:A,B146)=0,IF(OR(I146="PremiumSS",I146="PremiumSSw"),"R5only","R3less"),"")</f>
        <v/>
      </c>
      <c r="F146" s="7" t="str">
        <f>IF(COUNTIF('R6開放'!A:A,B146)&gt;0,"R6release","")</f>
        <v/>
      </c>
      <c r="G146" s="7"/>
      <c r="H146" s="7" t="str">
        <f>VLOOKUP(B146,[1]characters!$A:$C,3,FALSE)</f>
        <v>バハムート</v>
      </c>
      <c r="I146" s="7" t="str">
        <f>VLOOKUP(B146,[1]characters!$A:$J,10,FALSE)</f>
        <v>PremiumS</v>
      </c>
      <c r="J146" s="7">
        <f>VLOOKUP(B146,[1]characters!$A:$I,9,FALSE)</f>
        <v>3</v>
      </c>
      <c r="K146" s="7" t="str">
        <f>VLOOKUP(B146,[1]characters!$A:$H,8,FALSE)</f>
        <v>red</v>
      </c>
      <c r="L146" s="7" t="str">
        <f>VLOOKUP(B146,[1]characters!$A:$K,11,FALSE)</f>
        <v>technical</v>
      </c>
      <c r="M146" s="7" t="str">
        <f>VLOOKUP(B146,[1]characters!$A:$M,13,FALSE)</f>
        <v>dragon</v>
      </c>
      <c r="N146" s="7" t="str">
        <f>VLOOKUP(B146,[1]characters!$A:$G,7,FALSE)</f>
        <v>女性</v>
      </c>
      <c r="O146" s="45">
        <f ca="1">IFERROR(VLOOKUP(B146,input_586100!L:R,7,FALSE),VLOOKUP(tables_586100!C146,input_586100!A:H,8,FALSE))</f>
        <v>0</v>
      </c>
      <c r="P146" s="46">
        <f t="shared" ca="1" si="10"/>
        <v>0</v>
      </c>
      <c r="Q146" s="30">
        <v>1</v>
      </c>
      <c r="R146" s="30">
        <v>0</v>
      </c>
      <c r="S146" s="30">
        <v>0</v>
      </c>
      <c r="T146" s="30">
        <v>0</v>
      </c>
      <c r="U146" s="30">
        <v>0</v>
      </c>
      <c r="V146" s="30">
        <v>1</v>
      </c>
    </row>
    <row r="147" spans="1:22" ht="21" customHeight="1" x14ac:dyDescent="0.15">
      <c r="A147" s="2" t="str">
        <f ca="1">input_586100!A$2</f>
        <v>586100</v>
      </c>
      <c r="B147" s="5">
        <v>381</v>
      </c>
      <c r="C147" s="7" t="str">
        <f t="shared" si="11"/>
        <v>Premium4</v>
      </c>
      <c r="D147" s="7" t="str">
        <f t="shared" si="12"/>
        <v>Premium</v>
      </c>
      <c r="E147" s="7" t="str">
        <f>IF(COUNTIF('R6追加前'!A:A,B147)=0,IF(OR(I147="PremiumSS",I147="PremiumSSw"),"R5only","R3less"),"")</f>
        <v/>
      </c>
      <c r="F147" s="7" t="str">
        <f>IF(COUNTIF('R6開放'!A:A,B147)&gt;0,"R6release","")</f>
        <v/>
      </c>
      <c r="G147" s="7"/>
      <c r="H147" s="7" t="str">
        <f>VLOOKUP(B147,[1]characters!$A:$C,3,FALSE)</f>
        <v>肉食の恋火 バハムート</v>
      </c>
      <c r="I147" s="7" t="str">
        <f>VLOOKUP(B147,[1]characters!$A:$J,10,FALSE)</f>
        <v>PremiumS</v>
      </c>
      <c r="J147" s="7">
        <f>VLOOKUP(B147,[1]characters!$A:$I,9,FALSE)</f>
        <v>4</v>
      </c>
      <c r="K147" s="7" t="str">
        <f>VLOOKUP(B147,[1]characters!$A:$H,8,FALSE)</f>
        <v>red</v>
      </c>
      <c r="L147" s="7" t="str">
        <f>VLOOKUP(B147,[1]characters!$A:$K,11,FALSE)</f>
        <v>technical</v>
      </c>
      <c r="M147" s="7" t="str">
        <f>VLOOKUP(B147,[1]characters!$A:$M,13,FALSE)</f>
        <v>dragon</v>
      </c>
      <c r="N147" s="7" t="str">
        <f>VLOOKUP(B147,[1]characters!$A:$G,7,FALSE)</f>
        <v>女性</v>
      </c>
      <c r="O147" s="45">
        <f ca="1">IFERROR(VLOOKUP(B147,input_586100!L:R,7,FALSE),VLOOKUP(tables_586100!C147,input_586100!A:H,8,FALSE))</f>
        <v>1097460</v>
      </c>
      <c r="P147" s="46">
        <f t="shared" ca="1" si="10"/>
        <v>8.5312499999787884E-3</v>
      </c>
      <c r="Q147" s="30">
        <v>1</v>
      </c>
      <c r="R147" s="30">
        <v>0</v>
      </c>
      <c r="S147" s="30">
        <v>0</v>
      </c>
      <c r="T147" s="30">
        <v>0</v>
      </c>
      <c r="U147" s="30">
        <v>0</v>
      </c>
      <c r="V147" s="30">
        <v>1</v>
      </c>
    </row>
    <row r="148" spans="1:22" ht="21" customHeight="1" x14ac:dyDescent="0.15">
      <c r="A148" s="2" t="str">
        <f ca="1">input_586100!A$2</f>
        <v>586100</v>
      </c>
      <c r="B148" s="5">
        <v>382</v>
      </c>
      <c r="C148" s="7" t="str">
        <f t="shared" si="11"/>
        <v>Premium5</v>
      </c>
      <c r="D148" s="7" t="str">
        <f t="shared" si="12"/>
        <v>Premium</v>
      </c>
      <c r="E148" s="7" t="str">
        <f>IF(COUNTIF('R6追加前'!A:A,B148)=0,IF(OR(I148="PremiumSS",I148="PremiumSSw"),"R5only","R3less"),"")</f>
        <v/>
      </c>
      <c r="F148" s="7" t="str">
        <f>IF(COUNTIF('R6開放'!A:A,B148)&gt;0,"R6release","")</f>
        <v/>
      </c>
      <c r="G148" s="7"/>
      <c r="H148" s="7" t="str">
        <f>VLOOKUP(B148,[1]characters!$A:$C,3,FALSE)</f>
        <v>激情の愛炎 バハムート</v>
      </c>
      <c r="I148" s="7" t="str">
        <f>VLOOKUP(B148,[1]characters!$A:$J,10,FALSE)</f>
        <v>PremiumS</v>
      </c>
      <c r="J148" s="7">
        <f>VLOOKUP(B148,[1]characters!$A:$I,9,FALSE)</f>
        <v>5</v>
      </c>
      <c r="K148" s="7" t="str">
        <f>VLOOKUP(B148,[1]characters!$A:$H,8,FALSE)</f>
        <v>red</v>
      </c>
      <c r="L148" s="7" t="str">
        <f>VLOOKUP(B148,[1]characters!$A:$K,11,FALSE)</f>
        <v>technical</v>
      </c>
      <c r="M148" s="7" t="str">
        <f>VLOOKUP(B148,[1]characters!$A:$M,13,FALSE)</f>
        <v>dragon</v>
      </c>
      <c r="N148" s="7" t="str">
        <f>VLOOKUP(B148,[1]characters!$A:$G,7,FALSE)</f>
        <v>女性</v>
      </c>
      <c r="O148" s="45">
        <f ca="1">IFERROR(VLOOKUP(B148,input_586100!L:R,7,FALSE),VLOOKUP(tables_586100!C148,input_586100!A:H,8,FALSE))</f>
        <v>51796.153850000002</v>
      </c>
      <c r="P148" s="46">
        <f t="shared" ca="1" si="10"/>
        <v>4.0264423079812829E-4</v>
      </c>
      <c r="Q148" s="30">
        <v>1</v>
      </c>
      <c r="R148" s="30">
        <v>0</v>
      </c>
      <c r="S148" s="30">
        <v>0</v>
      </c>
      <c r="T148" s="30">
        <v>0</v>
      </c>
      <c r="U148" s="30">
        <v>0</v>
      </c>
      <c r="V148" s="30">
        <v>1</v>
      </c>
    </row>
    <row r="149" spans="1:22" ht="21" customHeight="1" x14ac:dyDescent="0.15">
      <c r="A149" s="2" t="str">
        <f ca="1">input_586100!A$2</f>
        <v>586100</v>
      </c>
      <c r="B149" s="5">
        <v>383</v>
      </c>
      <c r="C149" s="7" t="str">
        <f t="shared" si="11"/>
        <v>PremiumSS4</v>
      </c>
      <c r="D149" s="7" t="str">
        <f t="shared" si="12"/>
        <v>PremiumSS</v>
      </c>
      <c r="E149" s="7" t="str">
        <f>IF(COUNTIF('R6追加前'!A:A,B149)=0,IF(OR(I149="PremiumSS",I149="PremiumSSw"),"R5only","R3less"),"")</f>
        <v/>
      </c>
      <c r="F149" s="7" t="str">
        <f>IF(COUNTIF('R6開放'!A:A,B149)&gt;0,"R6release","")</f>
        <v/>
      </c>
      <c r="G149" s="7"/>
      <c r="H149" s="7" t="str">
        <f>VLOOKUP(B149,[1]characters!$A:$C,3,FALSE)</f>
        <v>酒宴の蟒蛇 ヤマタノオロチ</v>
      </c>
      <c r="I149" s="7" t="str">
        <f>VLOOKUP(B149,[1]characters!$A:$J,10,FALSE)</f>
        <v>PremiumSS</v>
      </c>
      <c r="J149" s="7">
        <f>VLOOKUP(B149,[1]characters!$A:$I,9,FALSE)</f>
        <v>4</v>
      </c>
      <c r="K149" s="7" t="str">
        <f>VLOOKUP(B149,[1]characters!$A:$H,8,FALSE)</f>
        <v>green</v>
      </c>
      <c r="L149" s="7" t="str">
        <f>VLOOKUP(B149,[1]characters!$A:$K,11,FALSE)</f>
        <v>hp</v>
      </c>
      <c r="M149" s="7" t="str">
        <f>VLOOKUP(B149,[1]characters!$A:$M,13,FALSE)</f>
        <v>dragon</v>
      </c>
      <c r="N149" s="7" t="str">
        <f>VLOOKUP(B149,[1]characters!$A:$G,7,FALSE)</f>
        <v>女性</v>
      </c>
      <c r="O149" s="45">
        <f ca="1">IFERROR(VLOOKUP(B149,input_586100!L:R,7,FALSE),VLOOKUP(tables_586100!C149,input_586100!A:H,8,FALSE))</f>
        <v>172285.71429</v>
      </c>
      <c r="P149" s="46">
        <f t="shared" ca="1" si="10"/>
        <v>1.3392857143157001E-3</v>
      </c>
      <c r="Q149" s="30">
        <v>1</v>
      </c>
      <c r="R149" s="30">
        <v>0</v>
      </c>
      <c r="S149" s="30">
        <v>0</v>
      </c>
      <c r="T149" s="30">
        <v>0</v>
      </c>
      <c r="U149" s="30">
        <v>0</v>
      </c>
      <c r="V149" s="30">
        <v>1</v>
      </c>
    </row>
    <row r="150" spans="1:22" ht="21" customHeight="1" x14ac:dyDescent="0.15">
      <c r="A150" s="2" t="str">
        <f ca="1">input_586100!A$2</f>
        <v>586100</v>
      </c>
      <c r="B150" s="5">
        <v>384</v>
      </c>
      <c r="C150" s="7" t="str">
        <f t="shared" si="11"/>
        <v>PremiumSS5</v>
      </c>
      <c r="D150" s="7" t="str">
        <f t="shared" si="12"/>
        <v>PremiumSS</v>
      </c>
      <c r="E150" s="7" t="str">
        <f>IF(COUNTIF('R6追加前'!A:A,B150)=0,IF(OR(I150="PremiumSS",I150="PremiumSSw"),"R5only","R3less"),"")</f>
        <v/>
      </c>
      <c r="F150" s="7" t="str">
        <f>IF(COUNTIF('R6開放'!A:A,B150)&gt;0,"R6release","")</f>
        <v/>
      </c>
      <c r="G150" s="7"/>
      <c r="H150" s="7" t="str">
        <f>VLOOKUP(B150,[1]characters!$A:$C,3,FALSE)</f>
        <v>破国の呑龍 ヤマタノオロチ</v>
      </c>
      <c r="I150" s="7" t="str">
        <f>VLOOKUP(B150,[1]characters!$A:$J,10,FALSE)</f>
        <v>PremiumSS</v>
      </c>
      <c r="J150" s="7">
        <f>VLOOKUP(B150,[1]characters!$A:$I,9,FALSE)</f>
        <v>5</v>
      </c>
      <c r="K150" s="7" t="str">
        <f>VLOOKUP(B150,[1]characters!$A:$H,8,FALSE)</f>
        <v>green</v>
      </c>
      <c r="L150" s="7" t="str">
        <f>VLOOKUP(B150,[1]characters!$A:$K,11,FALSE)</f>
        <v>hp</v>
      </c>
      <c r="M150" s="7" t="str">
        <f>VLOOKUP(B150,[1]characters!$A:$M,13,FALSE)</f>
        <v>dragon</v>
      </c>
      <c r="N150" s="7" t="str">
        <f>VLOOKUP(B150,[1]characters!$A:$G,7,FALSE)</f>
        <v>女性</v>
      </c>
      <c r="O150" s="45">
        <f ca="1">IFERROR(VLOOKUP(B150,input_586100!L:R,7,FALSE),VLOOKUP(tables_586100!C150,input_586100!A:H,8,FALSE))</f>
        <v>67000</v>
      </c>
      <c r="P150" s="46">
        <f t="shared" ca="1" si="10"/>
        <v>5.2083333333203836E-4</v>
      </c>
      <c r="Q150" s="30">
        <v>1</v>
      </c>
      <c r="R150" s="30">
        <v>0</v>
      </c>
      <c r="S150" s="30">
        <v>0</v>
      </c>
      <c r="T150" s="30">
        <v>0</v>
      </c>
      <c r="U150" s="30">
        <v>0</v>
      </c>
      <c r="V150" s="30">
        <v>1</v>
      </c>
    </row>
    <row r="151" spans="1:22" ht="21" customHeight="1" x14ac:dyDescent="0.15">
      <c r="A151" s="2" t="str">
        <f ca="1">input_586100!A$2</f>
        <v>586100</v>
      </c>
      <c r="B151" s="5">
        <v>385</v>
      </c>
      <c r="C151" s="7" t="str">
        <f t="shared" si="11"/>
        <v>PremiumSS4</v>
      </c>
      <c r="D151" s="7" t="str">
        <f t="shared" si="12"/>
        <v>PremiumSS</v>
      </c>
      <c r="E151" s="7" t="str">
        <f>IF(COUNTIF('R6追加前'!A:A,B151)=0,IF(OR(I151="PremiumSS",I151="PremiumSSw"),"R5only","R3less"),"")</f>
        <v/>
      </c>
      <c r="F151" s="7" t="str">
        <f>IF(COUNTIF('R6開放'!A:A,B151)&gt;0,"R6release","")</f>
        <v/>
      </c>
      <c r="G151" s="7"/>
      <c r="H151" s="7" t="str">
        <f>VLOOKUP(B151,[1]characters!$A:$C,3,FALSE)</f>
        <v>波烈の出奔 リヴァイアサン</v>
      </c>
      <c r="I151" s="7" t="str">
        <f>VLOOKUP(B151,[1]characters!$A:$J,10,FALSE)</f>
        <v>PremiumSS</v>
      </c>
      <c r="J151" s="7">
        <f>VLOOKUP(B151,[1]characters!$A:$I,9,FALSE)</f>
        <v>4</v>
      </c>
      <c r="K151" s="7" t="str">
        <f>VLOOKUP(B151,[1]characters!$A:$H,8,FALSE)</f>
        <v>blue</v>
      </c>
      <c r="L151" s="7" t="str">
        <f>VLOOKUP(B151,[1]characters!$A:$K,11,FALSE)</f>
        <v>balance</v>
      </c>
      <c r="M151" s="7" t="str">
        <f>VLOOKUP(B151,[1]characters!$A:$M,13,FALSE)</f>
        <v>dragon</v>
      </c>
      <c r="N151" s="7" t="str">
        <f>VLOOKUP(B151,[1]characters!$A:$G,7,FALSE)</f>
        <v>女性</v>
      </c>
      <c r="O151" s="45">
        <f ca="1">IFERROR(VLOOKUP(B151,input_586100!L:R,7,FALSE),VLOOKUP(tables_586100!C151,input_586100!A:H,8,FALSE))</f>
        <v>172285.71429</v>
      </c>
      <c r="P151" s="46">
        <f t="shared" ca="1" si="10"/>
        <v>1.3392857143157001E-3</v>
      </c>
      <c r="Q151" s="30">
        <v>1</v>
      </c>
      <c r="R151" s="30">
        <v>0</v>
      </c>
      <c r="S151" s="30">
        <v>0</v>
      </c>
      <c r="T151" s="30">
        <v>0</v>
      </c>
      <c r="U151" s="30">
        <v>0</v>
      </c>
      <c r="V151" s="30">
        <v>1</v>
      </c>
    </row>
    <row r="152" spans="1:22" ht="21" customHeight="1" x14ac:dyDescent="0.15">
      <c r="A152" s="2" t="str">
        <f ca="1">input_586100!A$2</f>
        <v>586100</v>
      </c>
      <c r="B152" s="5">
        <v>386</v>
      </c>
      <c r="C152" s="7" t="str">
        <f t="shared" si="11"/>
        <v>PremiumSS5</v>
      </c>
      <c r="D152" s="7" t="str">
        <f t="shared" si="12"/>
        <v>PremiumSS</v>
      </c>
      <c r="E152" s="7" t="str">
        <f>IF(COUNTIF('R6追加前'!A:A,B152)=0,IF(OR(I152="PremiumSS",I152="PremiumSSw"),"R5only","R3less"),"")</f>
        <v/>
      </c>
      <c r="F152" s="7" t="str">
        <f>IF(COUNTIF('R6開放'!A:A,B152)&gt;0,"R6release","")</f>
        <v/>
      </c>
      <c r="G152" s="7"/>
      <c r="H152" s="7" t="str">
        <f>VLOOKUP(B152,[1]characters!$A:$C,3,FALSE)</f>
        <v>氾乱の海龍 リヴァイアサン</v>
      </c>
      <c r="I152" s="7" t="str">
        <f>VLOOKUP(B152,[1]characters!$A:$J,10,FALSE)</f>
        <v>PremiumSS</v>
      </c>
      <c r="J152" s="7">
        <f>VLOOKUP(B152,[1]characters!$A:$I,9,FALSE)</f>
        <v>5</v>
      </c>
      <c r="K152" s="7" t="str">
        <f>VLOOKUP(B152,[1]characters!$A:$H,8,FALSE)</f>
        <v>blue</v>
      </c>
      <c r="L152" s="7" t="str">
        <f>VLOOKUP(B152,[1]characters!$A:$K,11,FALSE)</f>
        <v>balance</v>
      </c>
      <c r="M152" s="7" t="str">
        <f>VLOOKUP(B152,[1]characters!$A:$M,13,FALSE)</f>
        <v>dragon</v>
      </c>
      <c r="N152" s="7" t="str">
        <f>VLOOKUP(B152,[1]characters!$A:$G,7,FALSE)</f>
        <v>女性</v>
      </c>
      <c r="O152" s="45">
        <f ca="1">IFERROR(VLOOKUP(B152,input_586100!L:R,7,FALSE),VLOOKUP(tables_586100!C152,input_586100!A:H,8,FALSE))</f>
        <v>67000</v>
      </c>
      <c r="P152" s="46">
        <f t="shared" ca="1" si="10"/>
        <v>5.2083333333203836E-4</v>
      </c>
      <c r="Q152" s="30">
        <v>1</v>
      </c>
      <c r="R152" s="30">
        <v>0</v>
      </c>
      <c r="S152" s="30">
        <v>0</v>
      </c>
      <c r="T152" s="30">
        <v>0</v>
      </c>
      <c r="U152" s="30">
        <v>0</v>
      </c>
      <c r="V152" s="30">
        <v>1</v>
      </c>
    </row>
    <row r="153" spans="1:22" ht="21" customHeight="1" x14ac:dyDescent="0.15">
      <c r="A153" s="2" t="str">
        <f ca="1">input_586100!A$2</f>
        <v>586100</v>
      </c>
      <c r="B153" s="5">
        <v>387</v>
      </c>
      <c r="C153" s="7" t="str">
        <f t="shared" si="11"/>
        <v>Premium3</v>
      </c>
      <c r="D153" s="7" t="str">
        <f t="shared" si="12"/>
        <v>Premium</v>
      </c>
      <c r="E153" s="7" t="str">
        <f>IF(COUNTIF('R6追加前'!A:A,B153)=0,IF(OR(I153="PremiumSS",I153="PremiumSSw"),"R5only","R3less"),"")</f>
        <v/>
      </c>
      <c r="F153" s="7" t="str">
        <f>IF(COUNTIF('R6開放'!A:A,B153)&gt;0,"R6release","")</f>
        <v/>
      </c>
      <c r="G153" s="7"/>
      <c r="H153" s="7" t="str">
        <f>VLOOKUP(B153,[1]characters!$A:$C,3,FALSE)</f>
        <v>スフィンクス</v>
      </c>
      <c r="I153" s="7" t="str">
        <f>VLOOKUP(B153,[1]characters!$A:$J,10,FALSE)</f>
        <v>PremiumS</v>
      </c>
      <c r="J153" s="7">
        <f>VLOOKUP(B153,[1]characters!$A:$I,9,FALSE)</f>
        <v>3</v>
      </c>
      <c r="K153" s="7" t="str">
        <f>VLOOKUP(B153,[1]characters!$A:$H,8,FALSE)</f>
        <v>yellow</v>
      </c>
      <c r="L153" s="7" t="str">
        <f>VLOOKUP(B153,[1]characters!$A:$K,11,FALSE)</f>
        <v>heal</v>
      </c>
      <c r="M153" s="7" t="str">
        <f>VLOOKUP(B153,[1]characters!$A:$M,13,FALSE)</f>
        <v>animal</v>
      </c>
      <c r="N153" s="7" t="str">
        <f>VLOOKUP(B153,[1]characters!$A:$G,7,FALSE)</f>
        <v>女性</v>
      </c>
      <c r="O153" s="45">
        <f ca="1">IFERROR(VLOOKUP(B153,input_586100!L:R,7,FALSE),VLOOKUP(tables_586100!C153,input_586100!A:H,8,FALSE))</f>
        <v>0</v>
      </c>
      <c r="P153" s="46">
        <f t="shared" ca="1" si="10"/>
        <v>0</v>
      </c>
      <c r="Q153" s="30">
        <v>1</v>
      </c>
      <c r="R153" s="30">
        <v>0</v>
      </c>
      <c r="S153" s="30">
        <v>0</v>
      </c>
      <c r="T153" s="30">
        <v>0</v>
      </c>
      <c r="U153" s="30">
        <v>0</v>
      </c>
      <c r="V153" s="30">
        <v>1</v>
      </c>
    </row>
    <row r="154" spans="1:22" ht="21" customHeight="1" x14ac:dyDescent="0.15">
      <c r="A154" s="2" t="str">
        <f ca="1">input_586100!A$2</f>
        <v>586100</v>
      </c>
      <c r="B154" s="5">
        <v>388</v>
      </c>
      <c r="C154" s="7" t="str">
        <f t="shared" si="11"/>
        <v>Premium4</v>
      </c>
      <c r="D154" s="7" t="str">
        <f t="shared" si="12"/>
        <v>Premium</v>
      </c>
      <c r="E154" s="7" t="str">
        <f>IF(COUNTIF('R6追加前'!A:A,B154)=0,IF(OR(I154="PremiumSS",I154="PremiumSSw"),"R5only","R3less"),"")</f>
        <v/>
      </c>
      <c r="F154" s="7" t="str">
        <f>IF(COUNTIF('R6開放'!A:A,B154)&gt;0,"R6release","")</f>
        <v/>
      </c>
      <c r="G154" s="7"/>
      <c r="H154" s="7" t="str">
        <f>VLOOKUP(B154,[1]characters!$A:$C,3,FALSE)</f>
        <v>神円の恋姫 スフィンクス</v>
      </c>
      <c r="I154" s="7" t="str">
        <f>VLOOKUP(B154,[1]characters!$A:$J,10,FALSE)</f>
        <v>PremiumS</v>
      </c>
      <c r="J154" s="7">
        <f>VLOOKUP(B154,[1]characters!$A:$I,9,FALSE)</f>
        <v>4</v>
      </c>
      <c r="K154" s="7" t="str">
        <f>VLOOKUP(B154,[1]characters!$A:$H,8,FALSE)</f>
        <v>yellow</v>
      </c>
      <c r="L154" s="7" t="str">
        <f>VLOOKUP(B154,[1]characters!$A:$K,11,FALSE)</f>
        <v>heal</v>
      </c>
      <c r="M154" s="7" t="str">
        <f>VLOOKUP(B154,[1]characters!$A:$M,13,FALSE)</f>
        <v>animal</v>
      </c>
      <c r="N154" s="7" t="str">
        <f>VLOOKUP(B154,[1]characters!$A:$G,7,FALSE)</f>
        <v>女性</v>
      </c>
      <c r="O154" s="45">
        <f ca="1">IFERROR(VLOOKUP(B154,input_586100!L:R,7,FALSE),VLOOKUP(tables_586100!C154,input_586100!A:H,8,FALSE))</f>
        <v>1097460</v>
      </c>
      <c r="P154" s="46">
        <f t="shared" ca="1" si="10"/>
        <v>8.5312499999787884E-3</v>
      </c>
      <c r="Q154" s="30">
        <v>1</v>
      </c>
      <c r="R154" s="30">
        <v>0</v>
      </c>
      <c r="S154" s="30">
        <v>0</v>
      </c>
      <c r="T154" s="30">
        <v>0</v>
      </c>
      <c r="U154" s="30">
        <v>0</v>
      </c>
      <c r="V154" s="30">
        <v>1</v>
      </c>
    </row>
    <row r="155" spans="1:22" ht="21" customHeight="1" x14ac:dyDescent="0.15">
      <c r="A155" s="2" t="str">
        <f ca="1">input_586100!A$2</f>
        <v>586100</v>
      </c>
      <c r="B155" s="5">
        <v>389</v>
      </c>
      <c r="C155" s="7" t="str">
        <f t="shared" si="11"/>
        <v>Premium5</v>
      </c>
      <c r="D155" s="7" t="str">
        <f t="shared" si="12"/>
        <v>Premium</v>
      </c>
      <c r="E155" s="7" t="str">
        <f>IF(COUNTIF('R6追加前'!A:A,B155)=0,IF(OR(I155="PremiumSS",I155="PremiumSSw"),"R5only","R3less"),"")</f>
        <v/>
      </c>
      <c r="F155" s="7" t="str">
        <f>IF(COUNTIF('R6開放'!A:A,B155)&gt;0,"R6release","")</f>
        <v/>
      </c>
      <c r="G155" s="7"/>
      <c r="H155" s="7" t="str">
        <f>VLOOKUP(B155,[1]characters!$A:$C,3,FALSE)</f>
        <v>操神の愛姫 スフィンクス</v>
      </c>
      <c r="I155" s="7" t="str">
        <f>VLOOKUP(B155,[1]characters!$A:$J,10,FALSE)</f>
        <v>PremiumS</v>
      </c>
      <c r="J155" s="7">
        <f>VLOOKUP(B155,[1]characters!$A:$I,9,FALSE)</f>
        <v>5</v>
      </c>
      <c r="K155" s="7" t="str">
        <f>VLOOKUP(B155,[1]characters!$A:$H,8,FALSE)</f>
        <v>yellow</v>
      </c>
      <c r="L155" s="7" t="str">
        <f>VLOOKUP(B155,[1]characters!$A:$K,11,FALSE)</f>
        <v>heal</v>
      </c>
      <c r="M155" s="7" t="str">
        <f>VLOOKUP(B155,[1]characters!$A:$M,13,FALSE)</f>
        <v>animal</v>
      </c>
      <c r="N155" s="7" t="str">
        <f>VLOOKUP(B155,[1]characters!$A:$G,7,FALSE)</f>
        <v>女性</v>
      </c>
      <c r="O155" s="45">
        <f ca="1">IFERROR(VLOOKUP(B155,input_586100!L:R,7,FALSE),VLOOKUP(tables_586100!C155,input_586100!A:H,8,FALSE))</f>
        <v>51796.153850000002</v>
      </c>
      <c r="P155" s="46">
        <f t="shared" ca="1" si="10"/>
        <v>4.0264423079812829E-4</v>
      </c>
      <c r="Q155" s="30">
        <v>1</v>
      </c>
      <c r="R155" s="30">
        <v>0</v>
      </c>
      <c r="S155" s="30">
        <v>0</v>
      </c>
      <c r="T155" s="30">
        <v>0</v>
      </c>
      <c r="U155" s="30">
        <v>0</v>
      </c>
      <c r="V155" s="30">
        <v>1</v>
      </c>
    </row>
    <row r="156" spans="1:22" ht="21" customHeight="1" x14ac:dyDescent="0.15">
      <c r="A156" s="2" t="str">
        <f ca="1">input_586100!A$2</f>
        <v>586100</v>
      </c>
      <c r="B156" s="5">
        <v>390</v>
      </c>
      <c r="C156" s="7" t="str">
        <f t="shared" si="11"/>
        <v>PremiumSS4</v>
      </c>
      <c r="D156" s="7" t="str">
        <f t="shared" si="12"/>
        <v>PremiumSS</v>
      </c>
      <c r="E156" s="7" t="str">
        <f>IF(COUNTIF('R6追加前'!A:A,B156)=0,IF(OR(I156="PremiumSS",I156="PremiumSSw"),"R5only","R3less"),"")</f>
        <v/>
      </c>
      <c r="F156" s="7" t="str">
        <f>IF(COUNTIF('R6開放'!A:A,B156)&gt;0,"R6release","")</f>
        <v/>
      </c>
      <c r="G156" s="7"/>
      <c r="H156" s="7" t="str">
        <f>VLOOKUP(B156,[1]characters!$A:$C,3,FALSE)</f>
        <v>華環の旅客 親指姫</v>
      </c>
      <c r="I156" s="7" t="str">
        <f>VLOOKUP(B156,[1]characters!$A:$J,10,FALSE)</f>
        <v>PremiumSS</v>
      </c>
      <c r="J156" s="7">
        <f>VLOOKUP(B156,[1]characters!$A:$I,9,FALSE)</f>
        <v>4</v>
      </c>
      <c r="K156" s="7" t="str">
        <f>VLOOKUP(B156,[1]characters!$A:$H,8,FALSE)</f>
        <v>red</v>
      </c>
      <c r="L156" s="7" t="str">
        <f>VLOOKUP(B156,[1]characters!$A:$K,11,FALSE)</f>
        <v>heal</v>
      </c>
      <c r="M156" s="7" t="str">
        <f>VLOOKUP(B156,[1]characters!$A:$M,13,FALSE)</f>
        <v>human</v>
      </c>
      <c r="N156" s="7" t="str">
        <f>VLOOKUP(B156,[1]characters!$A:$G,7,FALSE)</f>
        <v>女性</v>
      </c>
      <c r="O156" s="45">
        <f ca="1">IFERROR(VLOOKUP(B156,input_586100!L:R,7,FALSE),VLOOKUP(tables_586100!C156,input_586100!A:H,8,FALSE))</f>
        <v>172285.71429</v>
      </c>
      <c r="P156" s="46">
        <f t="shared" ca="1" si="10"/>
        <v>1.3392857143157001E-3</v>
      </c>
      <c r="Q156" s="30">
        <v>1</v>
      </c>
      <c r="R156" s="30">
        <v>0</v>
      </c>
      <c r="S156" s="30">
        <v>0</v>
      </c>
      <c r="T156" s="30">
        <v>0</v>
      </c>
      <c r="U156" s="30">
        <v>0</v>
      </c>
      <c r="V156" s="30">
        <v>1</v>
      </c>
    </row>
    <row r="157" spans="1:22" ht="21" customHeight="1" x14ac:dyDescent="0.15">
      <c r="A157" s="2" t="str">
        <f ca="1">input_586100!A$2</f>
        <v>586100</v>
      </c>
      <c r="B157" s="5">
        <v>391</v>
      </c>
      <c r="C157" s="7" t="str">
        <f t="shared" si="11"/>
        <v>PremiumSS5</v>
      </c>
      <c r="D157" s="7" t="str">
        <f t="shared" si="12"/>
        <v>PremiumSS</v>
      </c>
      <c r="E157" s="7" t="str">
        <f>IF(COUNTIF('R6追加前'!A:A,B157)=0,IF(OR(I157="PremiumSS",I157="PremiumSSw"),"R5only","R3less"),"")</f>
        <v/>
      </c>
      <c r="F157" s="7" t="str">
        <f>IF(COUNTIF('R6開放'!A:A,B157)&gt;0,"R6release","")</f>
        <v/>
      </c>
      <c r="G157" s="7"/>
      <c r="H157" s="7" t="str">
        <f>VLOOKUP(B157,[1]characters!$A:$C,3,FALSE)</f>
        <v>燕翼の旅人 親指姫</v>
      </c>
      <c r="I157" s="7" t="str">
        <f>VLOOKUP(B157,[1]characters!$A:$J,10,FALSE)</f>
        <v>PremiumSS</v>
      </c>
      <c r="J157" s="7">
        <f>VLOOKUP(B157,[1]characters!$A:$I,9,FALSE)</f>
        <v>5</v>
      </c>
      <c r="K157" s="7" t="str">
        <f>VLOOKUP(B157,[1]characters!$A:$H,8,FALSE)</f>
        <v>red</v>
      </c>
      <c r="L157" s="7" t="str">
        <f>VLOOKUP(B157,[1]characters!$A:$K,11,FALSE)</f>
        <v>heal</v>
      </c>
      <c r="M157" s="7" t="str">
        <f>VLOOKUP(B157,[1]characters!$A:$M,13,FALSE)</f>
        <v>human</v>
      </c>
      <c r="N157" s="7" t="str">
        <f>VLOOKUP(B157,[1]characters!$A:$G,7,FALSE)</f>
        <v>女性</v>
      </c>
      <c r="O157" s="45">
        <f ca="1">IFERROR(VLOOKUP(B157,input_586100!L:R,7,FALSE),VLOOKUP(tables_586100!C157,input_586100!A:H,8,FALSE))</f>
        <v>67000</v>
      </c>
      <c r="P157" s="46">
        <f t="shared" ca="1" si="10"/>
        <v>5.2083333333203836E-4</v>
      </c>
      <c r="Q157" s="30">
        <v>1</v>
      </c>
      <c r="R157" s="30">
        <v>0</v>
      </c>
      <c r="S157" s="30">
        <v>0</v>
      </c>
      <c r="T157" s="30">
        <v>0</v>
      </c>
      <c r="U157" s="30">
        <v>0</v>
      </c>
      <c r="V157" s="30">
        <v>1</v>
      </c>
    </row>
    <row r="158" spans="1:22" ht="21" customHeight="1" x14ac:dyDescent="0.15">
      <c r="A158" s="2" t="str">
        <f ca="1">input_586100!A$2</f>
        <v>586100</v>
      </c>
      <c r="B158" s="5">
        <v>392</v>
      </c>
      <c r="C158" s="7" t="str">
        <f t="shared" si="11"/>
        <v>Premium3</v>
      </c>
      <c r="D158" s="7" t="str">
        <f t="shared" si="12"/>
        <v>Premium</v>
      </c>
      <c r="E158" s="7" t="str">
        <f>IF(COUNTIF('R6追加前'!A:A,B158)=0,IF(OR(I158="PremiumSS",I158="PremiumSSw"),"R5only","R3less"),"")</f>
        <v/>
      </c>
      <c r="F158" s="7" t="str">
        <f>IF(COUNTIF('R6開放'!A:A,B158)&gt;0,"R6release","")</f>
        <v/>
      </c>
      <c r="G158" s="7"/>
      <c r="H158" s="7" t="str">
        <f>VLOOKUP(B158,[1]characters!$A:$C,3,FALSE)</f>
        <v>ピーターパン</v>
      </c>
      <c r="I158" s="7" t="str">
        <f>VLOOKUP(B158,[1]characters!$A:$J,10,FALSE)</f>
        <v>PremiumS</v>
      </c>
      <c r="J158" s="7">
        <f>VLOOKUP(B158,[1]characters!$A:$I,9,FALSE)</f>
        <v>3</v>
      </c>
      <c r="K158" s="7" t="str">
        <f>VLOOKUP(B158,[1]characters!$A:$H,8,FALSE)</f>
        <v>green</v>
      </c>
      <c r="L158" s="7" t="str">
        <f>VLOOKUP(B158,[1]characters!$A:$K,11,FALSE)</f>
        <v>attack</v>
      </c>
      <c r="M158" s="7" t="str">
        <f>VLOOKUP(B158,[1]characters!$A:$M,13,FALSE)</f>
        <v>human</v>
      </c>
      <c r="N158" s="7" t="str">
        <f>VLOOKUP(B158,[1]characters!$A:$G,7,FALSE)</f>
        <v>男性</v>
      </c>
      <c r="O158" s="45">
        <f ca="1">IFERROR(VLOOKUP(B158,input_586100!L:R,7,FALSE),VLOOKUP(tables_586100!C158,input_586100!A:H,8,FALSE))</f>
        <v>0</v>
      </c>
      <c r="P158" s="46">
        <f t="shared" ca="1" si="10"/>
        <v>0</v>
      </c>
      <c r="Q158" s="30">
        <v>1</v>
      </c>
      <c r="R158" s="30">
        <v>0</v>
      </c>
      <c r="S158" s="30">
        <v>0</v>
      </c>
      <c r="T158" s="30">
        <v>0</v>
      </c>
      <c r="U158" s="30">
        <v>0</v>
      </c>
      <c r="V158" s="30">
        <v>1</v>
      </c>
    </row>
    <row r="159" spans="1:22" ht="21" customHeight="1" x14ac:dyDescent="0.15">
      <c r="A159" s="2" t="str">
        <f ca="1">input_586100!A$2</f>
        <v>586100</v>
      </c>
      <c r="B159" s="5">
        <v>393</v>
      </c>
      <c r="C159" s="7" t="str">
        <f t="shared" si="11"/>
        <v>Premium4</v>
      </c>
      <c r="D159" s="7" t="str">
        <f t="shared" si="12"/>
        <v>Premium</v>
      </c>
      <c r="E159" s="7" t="str">
        <f>IF(COUNTIF('R6追加前'!A:A,B159)=0,IF(OR(I159="PremiumSS",I159="PremiumSSw"),"R5only","R3less"),"")</f>
        <v/>
      </c>
      <c r="F159" s="7" t="str">
        <f>IF(COUNTIF('R6開放'!A:A,B159)&gt;0,"R6release","")</f>
        <v/>
      </c>
      <c r="G159" s="7"/>
      <c r="H159" s="7" t="str">
        <f>VLOOKUP(B159,[1]characters!$A:$C,3,FALSE)</f>
        <v>影縫い ピーターパン</v>
      </c>
      <c r="I159" s="7" t="str">
        <f>VLOOKUP(B159,[1]characters!$A:$J,10,FALSE)</f>
        <v>PremiumS</v>
      </c>
      <c r="J159" s="7">
        <f>VLOOKUP(B159,[1]characters!$A:$I,9,FALSE)</f>
        <v>4</v>
      </c>
      <c r="K159" s="7" t="str">
        <f>VLOOKUP(B159,[1]characters!$A:$H,8,FALSE)</f>
        <v>green</v>
      </c>
      <c r="L159" s="7" t="str">
        <f>VLOOKUP(B159,[1]characters!$A:$K,11,FALSE)</f>
        <v>attack</v>
      </c>
      <c r="M159" s="7" t="str">
        <f>VLOOKUP(B159,[1]characters!$A:$M,13,FALSE)</f>
        <v>human</v>
      </c>
      <c r="N159" s="7" t="str">
        <f>VLOOKUP(B159,[1]characters!$A:$G,7,FALSE)</f>
        <v>男性</v>
      </c>
      <c r="O159" s="45">
        <f ca="1">IFERROR(VLOOKUP(B159,input_586100!L:R,7,FALSE),VLOOKUP(tables_586100!C159,input_586100!A:H,8,FALSE))</f>
        <v>1097460</v>
      </c>
      <c r="P159" s="46">
        <f t="shared" ca="1" si="10"/>
        <v>8.5312499999787884E-3</v>
      </c>
      <c r="Q159" s="30">
        <v>1</v>
      </c>
      <c r="R159" s="30">
        <v>0</v>
      </c>
      <c r="S159" s="30">
        <v>0</v>
      </c>
      <c r="T159" s="30">
        <v>0</v>
      </c>
      <c r="U159" s="30">
        <v>0</v>
      </c>
      <c r="V159" s="30">
        <v>1</v>
      </c>
    </row>
    <row r="160" spans="1:22" ht="21" customHeight="1" x14ac:dyDescent="0.15">
      <c r="A160" s="2" t="str">
        <f ca="1">input_586100!A$2</f>
        <v>586100</v>
      </c>
      <c r="B160" s="5">
        <v>394</v>
      </c>
      <c r="C160" s="7" t="str">
        <f t="shared" si="11"/>
        <v>Premium5</v>
      </c>
      <c r="D160" s="7" t="str">
        <f t="shared" si="12"/>
        <v>Premium</v>
      </c>
      <c r="E160" s="7" t="str">
        <f>IF(COUNTIF('R6追加前'!A:A,B160)=0,IF(OR(I160="PremiumSS",I160="PremiumSSw"),"R5only","R3less"),"")</f>
        <v/>
      </c>
      <c r="F160" s="7" t="str">
        <f>IF(COUNTIF('R6開放'!A:A,B160)&gt;0,"R6release","")</f>
        <v/>
      </c>
      <c r="G160" s="7"/>
      <c r="H160" s="7" t="str">
        <f>VLOOKUP(B160,[1]characters!$A:$C,3,FALSE)</f>
        <v>影求の悪童 ピーターパン</v>
      </c>
      <c r="I160" s="7" t="str">
        <f>VLOOKUP(B160,[1]characters!$A:$J,10,FALSE)</f>
        <v>PremiumS</v>
      </c>
      <c r="J160" s="7">
        <f>VLOOKUP(B160,[1]characters!$A:$I,9,FALSE)</f>
        <v>5</v>
      </c>
      <c r="K160" s="7" t="str">
        <f>VLOOKUP(B160,[1]characters!$A:$H,8,FALSE)</f>
        <v>green</v>
      </c>
      <c r="L160" s="7" t="str">
        <f>VLOOKUP(B160,[1]characters!$A:$K,11,FALSE)</f>
        <v>attack</v>
      </c>
      <c r="M160" s="7" t="str">
        <f>VLOOKUP(B160,[1]characters!$A:$M,13,FALSE)</f>
        <v>human</v>
      </c>
      <c r="N160" s="7" t="str">
        <f>VLOOKUP(B160,[1]characters!$A:$G,7,FALSE)</f>
        <v>男性</v>
      </c>
      <c r="O160" s="45">
        <f ca="1">IFERROR(VLOOKUP(B160,input_586100!L:R,7,FALSE),VLOOKUP(tables_586100!C160,input_586100!A:H,8,FALSE))</f>
        <v>51796.153850000002</v>
      </c>
      <c r="P160" s="46">
        <f t="shared" ca="1" si="10"/>
        <v>4.0264423079812829E-4</v>
      </c>
      <c r="Q160" s="30">
        <v>1</v>
      </c>
      <c r="R160" s="30">
        <v>0</v>
      </c>
      <c r="S160" s="30">
        <v>0</v>
      </c>
      <c r="T160" s="30">
        <v>0</v>
      </c>
      <c r="U160" s="30">
        <v>0</v>
      </c>
      <c r="V160" s="30">
        <v>1</v>
      </c>
    </row>
    <row r="161" spans="1:22" ht="21" customHeight="1" x14ac:dyDescent="0.15">
      <c r="A161" s="2" t="str">
        <f ca="1">input_586100!A$2</f>
        <v>586100</v>
      </c>
      <c r="B161" s="5">
        <v>395</v>
      </c>
      <c r="C161" s="7" t="str">
        <f t="shared" si="11"/>
        <v>Premium3</v>
      </c>
      <c r="D161" s="7" t="str">
        <f t="shared" si="12"/>
        <v>Premium</v>
      </c>
      <c r="E161" s="7" t="str">
        <f>IF(COUNTIF('R6追加前'!A:A,B161)=0,IF(OR(I161="PremiumSS",I161="PremiumSSw"),"R5only","R3less"),"")</f>
        <v/>
      </c>
      <c r="F161" s="7" t="str">
        <f>IF(COUNTIF('R6開放'!A:A,B161)&gt;0,"R6release","")</f>
        <v/>
      </c>
      <c r="G161" s="7"/>
      <c r="H161" s="7" t="str">
        <f>VLOOKUP(B161,[1]characters!$A:$C,3,FALSE)</f>
        <v>乙姫</v>
      </c>
      <c r="I161" s="7" t="str">
        <f>VLOOKUP(B161,[1]characters!$A:$J,10,FALSE)</f>
        <v>PremiumS</v>
      </c>
      <c r="J161" s="7">
        <f>VLOOKUP(B161,[1]characters!$A:$I,9,FALSE)</f>
        <v>3</v>
      </c>
      <c r="K161" s="7" t="str">
        <f>VLOOKUP(B161,[1]characters!$A:$H,8,FALSE)</f>
        <v>blue</v>
      </c>
      <c r="L161" s="7" t="str">
        <f>VLOOKUP(B161,[1]characters!$A:$K,11,FALSE)</f>
        <v>hp</v>
      </c>
      <c r="M161" s="7" t="str">
        <f>VLOOKUP(B161,[1]characters!$A:$M,13,FALSE)</f>
        <v>human</v>
      </c>
      <c r="N161" s="7" t="str">
        <f>VLOOKUP(B161,[1]characters!$A:$G,7,FALSE)</f>
        <v>女性</v>
      </c>
      <c r="O161" s="45">
        <f ca="1">IFERROR(VLOOKUP(B161,input_586100!L:R,7,FALSE),VLOOKUP(tables_586100!C161,input_586100!A:H,8,FALSE))</f>
        <v>0</v>
      </c>
      <c r="P161" s="46">
        <f t="shared" ca="1" si="10"/>
        <v>0</v>
      </c>
      <c r="Q161" s="30">
        <v>1</v>
      </c>
      <c r="R161" s="30">
        <v>0</v>
      </c>
      <c r="S161" s="30">
        <v>0</v>
      </c>
      <c r="T161" s="30">
        <v>0</v>
      </c>
      <c r="U161" s="30">
        <v>0</v>
      </c>
      <c r="V161" s="30">
        <v>1</v>
      </c>
    </row>
    <row r="162" spans="1:22" ht="21" customHeight="1" x14ac:dyDescent="0.15">
      <c r="A162" s="2" t="str">
        <f ca="1">input_586100!A$2</f>
        <v>586100</v>
      </c>
      <c r="B162" s="5">
        <v>396</v>
      </c>
      <c r="C162" s="7" t="str">
        <f t="shared" si="11"/>
        <v>Premium4</v>
      </c>
      <c r="D162" s="7" t="str">
        <f t="shared" si="12"/>
        <v>Premium</v>
      </c>
      <c r="E162" s="7" t="str">
        <f>IF(COUNTIF('R6追加前'!A:A,B162)=0,IF(OR(I162="PremiumSS",I162="PremiumSSw"),"R5only","R3less"),"")</f>
        <v/>
      </c>
      <c r="F162" s="7" t="str">
        <f>IF(COUNTIF('R6開放'!A:A,B162)&gt;0,"R6release","")</f>
        <v/>
      </c>
      <c r="G162" s="7"/>
      <c r="H162" s="7" t="str">
        <f>VLOOKUP(B162,[1]characters!$A:$C,3,FALSE)</f>
        <v>竜宮の水雷 乙姫</v>
      </c>
      <c r="I162" s="7" t="str">
        <f>VLOOKUP(B162,[1]characters!$A:$J,10,FALSE)</f>
        <v>PremiumS</v>
      </c>
      <c r="J162" s="7">
        <f>VLOOKUP(B162,[1]characters!$A:$I,9,FALSE)</f>
        <v>4</v>
      </c>
      <c r="K162" s="7" t="str">
        <f>VLOOKUP(B162,[1]characters!$A:$H,8,FALSE)</f>
        <v>blue</v>
      </c>
      <c r="L162" s="7" t="str">
        <f>VLOOKUP(B162,[1]characters!$A:$K,11,FALSE)</f>
        <v>hp</v>
      </c>
      <c r="M162" s="7" t="str">
        <f>VLOOKUP(B162,[1]characters!$A:$M,13,FALSE)</f>
        <v>human</v>
      </c>
      <c r="N162" s="7" t="str">
        <f>VLOOKUP(B162,[1]characters!$A:$G,7,FALSE)</f>
        <v>女性</v>
      </c>
      <c r="O162" s="45">
        <f ca="1">IFERROR(VLOOKUP(B162,input_586100!L:R,7,FALSE),VLOOKUP(tables_586100!C162,input_586100!A:H,8,FALSE))</f>
        <v>1097460</v>
      </c>
      <c r="P162" s="46">
        <f t="shared" ca="1" si="10"/>
        <v>8.5312499999787884E-3</v>
      </c>
      <c r="Q162" s="30">
        <v>1</v>
      </c>
      <c r="R162" s="30">
        <v>0</v>
      </c>
      <c r="S162" s="30">
        <v>0</v>
      </c>
      <c r="T162" s="30">
        <v>0</v>
      </c>
      <c r="U162" s="30">
        <v>0</v>
      </c>
      <c r="V162" s="30">
        <v>1</v>
      </c>
    </row>
    <row r="163" spans="1:22" ht="21" customHeight="1" x14ac:dyDescent="0.15">
      <c r="A163" s="2" t="str">
        <f ca="1">input_586100!A$2</f>
        <v>586100</v>
      </c>
      <c r="B163" s="5">
        <v>397</v>
      </c>
      <c r="C163" s="7" t="str">
        <f t="shared" si="11"/>
        <v>Premium5</v>
      </c>
      <c r="D163" s="7" t="str">
        <f t="shared" si="12"/>
        <v>Premium</v>
      </c>
      <c r="E163" s="7" t="str">
        <f>IF(COUNTIF('R6追加前'!A:A,B163)=0,IF(OR(I163="PremiumSS",I163="PremiumSSw"),"R5only","R3less"),"")</f>
        <v/>
      </c>
      <c r="F163" s="7" t="str">
        <f>IF(COUNTIF('R6開放'!A:A,B163)&gt;0,"R6release","")</f>
        <v/>
      </c>
      <c r="G163" s="7"/>
      <c r="H163" s="7" t="str">
        <f>VLOOKUP(B163,[1]characters!$A:$C,3,FALSE)</f>
        <v>禁断の追箱 乙姫</v>
      </c>
      <c r="I163" s="7" t="str">
        <f>VLOOKUP(B163,[1]characters!$A:$J,10,FALSE)</f>
        <v>PremiumS</v>
      </c>
      <c r="J163" s="7">
        <f>VLOOKUP(B163,[1]characters!$A:$I,9,FALSE)</f>
        <v>5</v>
      </c>
      <c r="K163" s="7" t="str">
        <f>VLOOKUP(B163,[1]characters!$A:$H,8,FALSE)</f>
        <v>blue</v>
      </c>
      <c r="L163" s="7" t="str">
        <f>VLOOKUP(B163,[1]characters!$A:$K,11,FALSE)</f>
        <v>hp</v>
      </c>
      <c r="M163" s="7" t="str">
        <f>VLOOKUP(B163,[1]characters!$A:$M,13,FALSE)</f>
        <v>human</v>
      </c>
      <c r="N163" s="7" t="str">
        <f>VLOOKUP(B163,[1]characters!$A:$G,7,FALSE)</f>
        <v>女性</v>
      </c>
      <c r="O163" s="45">
        <f ca="1">IFERROR(VLOOKUP(B163,input_586100!L:R,7,FALSE),VLOOKUP(tables_586100!C163,input_586100!A:H,8,FALSE))</f>
        <v>51796.153850000002</v>
      </c>
      <c r="P163" s="46">
        <f t="shared" ca="1" si="10"/>
        <v>4.0264423079812829E-4</v>
      </c>
      <c r="Q163" s="30">
        <v>1</v>
      </c>
      <c r="R163" s="30">
        <v>0</v>
      </c>
      <c r="S163" s="30">
        <v>0</v>
      </c>
      <c r="T163" s="30">
        <v>0</v>
      </c>
      <c r="U163" s="30">
        <v>0</v>
      </c>
      <c r="V163" s="30">
        <v>1</v>
      </c>
    </row>
    <row r="164" spans="1:22" ht="21" customHeight="1" x14ac:dyDescent="0.15">
      <c r="A164" s="2" t="str">
        <f ca="1">input_586100!A$2</f>
        <v>586100</v>
      </c>
      <c r="B164" s="5">
        <v>398</v>
      </c>
      <c r="C164" s="7" t="str">
        <f t="shared" si="11"/>
        <v>PremiumSS4</v>
      </c>
      <c r="D164" s="7" t="str">
        <f t="shared" si="12"/>
        <v>PremiumSS</v>
      </c>
      <c r="E164" s="7" t="str">
        <f>IF(COUNTIF('R6追加前'!A:A,B164)=0,IF(OR(I164="PremiumSS",I164="PremiumSSw"),"R5only","R3less"),"")</f>
        <v/>
      </c>
      <c r="F164" s="7" t="str">
        <f>IF(COUNTIF('R6開放'!A:A,B164)&gt;0,"R6release","")</f>
        <v/>
      </c>
      <c r="G164" s="7"/>
      <c r="H164" s="7" t="str">
        <f>VLOOKUP(B164,[1]characters!$A:$C,3,FALSE)</f>
        <v>ヘンゼル＆グレーテル</v>
      </c>
      <c r="I164" s="7" t="str">
        <f>VLOOKUP(B164,[1]characters!$A:$J,10,FALSE)</f>
        <v>PremiumSS</v>
      </c>
      <c r="J164" s="7">
        <f>VLOOKUP(B164,[1]characters!$A:$I,9,FALSE)</f>
        <v>4</v>
      </c>
      <c r="K164" s="7" t="str">
        <f>VLOOKUP(B164,[1]characters!$A:$H,8,FALSE)</f>
        <v>yellow</v>
      </c>
      <c r="L164" s="7" t="str">
        <f>VLOOKUP(B164,[1]characters!$A:$K,11,FALSE)</f>
        <v>balance</v>
      </c>
      <c r="M164" s="7" t="str">
        <f>VLOOKUP(B164,[1]characters!$A:$M,13,FALSE)</f>
        <v>human</v>
      </c>
      <c r="N164" s="7" t="str">
        <f>VLOOKUP(B164,[1]characters!$A:$G,7,FALSE)</f>
        <v>女性</v>
      </c>
      <c r="O164" s="45">
        <f ca="1">IFERROR(VLOOKUP(B164,input_586100!L:R,7,FALSE),VLOOKUP(tables_586100!C164,input_586100!A:H,8,FALSE))</f>
        <v>172285.71429</v>
      </c>
      <c r="P164" s="46">
        <f t="shared" ca="1" si="10"/>
        <v>1.3392857143157001E-3</v>
      </c>
      <c r="Q164" s="30">
        <v>1</v>
      </c>
      <c r="R164" s="30">
        <v>0</v>
      </c>
      <c r="S164" s="30">
        <v>0</v>
      </c>
      <c r="T164" s="30">
        <v>0</v>
      </c>
      <c r="U164" s="30">
        <v>0</v>
      </c>
      <c r="V164" s="30">
        <v>1</v>
      </c>
    </row>
    <row r="165" spans="1:22" ht="21" customHeight="1" x14ac:dyDescent="0.15">
      <c r="A165" s="2" t="str">
        <f ca="1">input_586100!A$2</f>
        <v>586100</v>
      </c>
      <c r="B165" s="5">
        <v>399</v>
      </c>
      <c r="C165" s="7" t="str">
        <f t="shared" si="11"/>
        <v>PremiumSS5</v>
      </c>
      <c r="D165" s="7" t="str">
        <f t="shared" si="12"/>
        <v>PremiumSS</v>
      </c>
      <c r="E165" s="7" t="str">
        <f>IF(COUNTIF('R6追加前'!A:A,B165)=0,IF(OR(I165="PremiumSS",I165="PremiumSSw"),"R5only","R3less"),"")</f>
        <v/>
      </c>
      <c r="F165" s="7" t="str">
        <f>IF(COUNTIF('R6開放'!A:A,B165)&gt;0,"R6release","")</f>
        <v/>
      </c>
      <c r="G165" s="7"/>
      <c r="H165" s="7" t="str">
        <f>VLOOKUP(B165,[1]characters!$A:$C,3,FALSE)</f>
        <v>信愛の兄妹 ヘンゼル＆グレーテル</v>
      </c>
      <c r="I165" s="7" t="str">
        <f>VLOOKUP(B165,[1]characters!$A:$J,10,FALSE)</f>
        <v>PremiumSS</v>
      </c>
      <c r="J165" s="7">
        <f>VLOOKUP(B165,[1]characters!$A:$I,9,FALSE)</f>
        <v>5</v>
      </c>
      <c r="K165" s="7" t="str">
        <f>VLOOKUP(B165,[1]characters!$A:$H,8,FALSE)</f>
        <v>yellow</v>
      </c>
      <c r="L165" s="7" t="str">
        <f>VLOOKUP(B165,[1]characters!$A:$K,11,FALSE)</f>
        <v>balance</v>
      </c>
      <c r="M165" s="7" t="str">
        <f>VLOOKUP(B165,[1]characters!$A:$M,13,FALSE)</f>
        <v>human</v>
      </c>
      <c r="N165" s="7" t="str">
        <f>VLOOKUP(B165,[1]characters!$A:$G,7,FALSE)</f>
        <v>女性</v>
      </c>
      <c r="O165" s="45">
        <f ca="1">IFERROR(VLOOKUP(B165,input_586100!L:R,7,FALSE),VLOOKUP(tables_586100!C165,input_586100!A:H,8,FALSE))</f>
        <v>67000</v>
      </c>
      <c r="P165" s="46">
        <f t="shared" ca="1" si="10"/>
        <v>5.2083333333203836E-4</v>
      </c>
      <c r="Q165" s="30">
        <v>1</v>
      </c>
      <c r="R165" s="30">
        <v>0</v>
      </c>
      <c r="S165" s="30">
        <v>0</v>
      </c>
      <c r="T165" s="30">
        <v>0</v>
      </c>
      <c r="U165" s="30">
        <v>0</v>
      </c>
      <c r="V165" s="30">
        <v>1</v>
      </c>
    </row>
    <row r="166" spans="1:22" ht="21" customHeight="1" x14ac:dyDescent="0.15">
      <c r="A166" s="2" t="str">
        <f ca="1">input_586100!A$2</f>
        <v>586100</v>
      </c>
      <c r="B166" s="5">
        <v>400</v>
      </c>
      <c r="C166" s="7" t="str">
        <f t="shared" si="11"/>
        <v>Premium3</v>
      </c>
      <c r="D166" s="7" t="str">
        <f t="shared" si="12"/>
        <v>Premium</v>
      </c>
      <c r="E166" s="7" t="str">
        <f>IF(COUNTIF('R6追加前'!A:A,B166)=0,IF(OR(I166="PremiumSS",I166="PremiumSSw"),"R5only","R3less"),"")</f>
        <v/>
      </c>
      <c r="F166" s="7" t="str">
        <f>IF(COUNTIF('R6開放'!A:A,B166)&gt;0,"R6release","")</f>
        <v/>
      </c>
      <c r="G166" s="7"/>
      <c r="H166" s="7" t="str">
        <f>VLOOKUP(B166,[1]characters!$A:$C,3,FALSE)</f>
        <v>フェンリル</v>
      </c>
      <c r="I166" s="7" t="str">
        <f>VLOOKUP(B166,[1]characters!$A:$J,10,FALSE)</f>
        <v>PremiumS</v>
      </c>
      <c r="J166" s="7">
        <f>VLOOKUP(B166,[1]characters!$A:$I,9,FALSE)</f>
        <v>3</v>
      </c>
      <c r="K166" s="7" t="str">
        <f>VLOOKUP(B166,[1]characters!$A:$H,8,FALSE)</f>
        <v>red</v>
      </c>
      <c r="L166" s="7" t="str">
        <f>VLOOKUP(B166,[1]characters!$A:$K,11,FALSE)</f>
        <v>attack</v>
      </c>
      <c r="M166" s="7" t="str">
        <f>VLOOKUP(B166,[1]characters!$A:$M,13,FALSE)</f>
        <v>animal</v>
      </c>
      <c r="N166" s="7" t="str">
        <f>VLOOKUP(B166,[1]characters!$A:$G,7,FALSE)</f>
        <v>女性</v>
      </c>
      <c r="O166" s="45">
        <f ca="1">IFERROR(VLOOKUP(B166,input_586100!L:R,7,FALSE),VLOOKUP(tables_586100!C166,input_586100!A:H,8,FALSE))</f>
        <v>0</v>
      </c>
      <c r="P166" s="46">
        <f t="shared" ca="1" si="10"/>
        <v>0</v>
      </c>
      <c r="Q166" s="30">
        <v>1</v>
      </c>
      <c r="R166" s="30">
        <v>0</v>
      </c>
      <c r="S166" s="30">
        <v>0</v>
      </c>
      <c r="T166" s="30">
        <v>0</v>
      </c>
      <c r="U166" s="30">
        <v>0</v>
      </c>
      <c r="V166" s="30">
        <v>1</v>
      </c>
    </row>
    <row r="167" spans="1:22" ht="21" customHeight="1" x14ac:dyDescent="0.15">
      <c r="A167" s="2" t="str">
        <f ca="1">input_586100!A$2</f>
        <v>586100</v>
      </c>
      <c r="B167" s="5">
        <v>401</v>
      </c>
      <c r="C167" s="7" t="str">
        <f t="shared" si="11"/>
        <v>Premium4</v>
      </c>
      <c r="D167" s="7" t="str">
        <f t="shared" si="12"/>
        <v>Premium</v>
      </c>
      <c r="E167" s="7" t="str">
        <f>IF(COUNTIF('R6追加前'!A:A,B167)=0,IF(OR(I167="PremiumSS",I167="PremiumSSw"),"R5only","R3less"),"")</f>
        <v/>
      </c>
      <c r="F167" s="7" t="str">
        <f>IF(COUNTIF('R6開放'!A:A,B167)&gt;0,"R6release","")</f>
        <v/>
      </c>
      <c r="G167" s="7"/>
      <c r="H167" s="7" t="str">
        <f>VLOOKUP(B167,[1]characters!$A:$C,3,FALSE)</f>
        <v>紅銀の孤狼 フェンリル</v>
      </c>
      <c r="I167" s="7" t="str">
        <f>VLOOKUP(B167,[1]characters!$A:$J,10,FALSE)</f>
        <v>PremiumS</v>
      </c>
      <c r="J167" s="7">
        <f>VLOOKUP(B167,[1]characters!$A:$I,9,FALSE)</f>
        <v>4</v>
      </c>
      <c r="K167" s="7" t="str">
        <f>VLOOKUP(B167,[1]characters!$A:$H,8,FALSE)</f>
        <v>red</v>
      </c>
      <c r="L167" s="7" t="str">
        <f>VLOOKUP(B167,[1]characters!$A:$K,11,FALSE)</f>
        <v>attack</v>
      </c>
      <c r="M167" s="7" t="str">
        <f>VLOOKUP(B167,[1]characters!$A:$M,13,FALSE)</f>
        <v>animal</v>
      </c>
      <c r="N167" s="7" t="str">
        <f>VLOOKUP(B167,[1]characters!$A:$G,7,FALSE)</f>
        <v>女性</v>
      </c>
      <c r="O167" s="45">
        <f ca="1">IFERROR(VLOOKUP(B167,input_586100!L:R,7,FALSE),VLOOKUP(tables_586100!C167,input_586100!A:H,8,FALSE))</f>
        <v>1097460</v>
      </c>
      <c r="P167" s="46">
        <f t="shared" ca="1" si="10"/>
        <v>8.5312499999787884E-3</v>
      </c>
      <c r="Q167" s="30">
        <v>1</v>
      </c>
      <c r="R167" s="30">
        <v>0</v>
      </c>
      <c r="S167" s="30">
        <v>0</v>
      </c>
      <c r="T167" s="30">
        <v>0</v>
      </c>
      <c r="U167" s="30">
        <v>0</v>
      </c>
      <c r="V167" s="30">
        <v>1</v>
      </c>
    </row>
    <row r="168" spans="1:22" ht="21" customHeight="1" x14ac:dyDescent="0.15">
      <c r="A168" s="2" t="str">
        <f ca="1">input_586100!A$2</f>
        <v>586100</v>
      </c>
      <c r="B168" s="5">
        <v>402</v>
      </c>
      <c r="C168" s="7" t="str">
        <f t="shared" si="11"/>
        <v>Premium5</v>
      </c>
      <c r="D168" s="7" t="str">
        <f t="shared" si="12"/>
        <v>Premium</v>
      </c>
      <c r="E168" s="7" t="str">
        <f>IF(COUNTIF('R6追加前'!A:A,B168)=0,IF(OR(I168="PremiumSS",I168="PremiumSSw"),"R5only","R3less"),"")</f>
        <v/>
      </c>
      <c r="F168" s="7" t="str">
        <f>IF(COUNTIF('R6開放'!A:A,B168)&gt;0,"R6release","")</f>
        <v/>
      </c>
      <c r="G168" s="7"/>
      <c r="H168" s="7" t="str">
        <f>VLOOKUP(B168,[1]characters!$A:$C,3,FALSE)</f>
        <v>天災の神狼 フェンリル</v>
      </c>
      <c r="I168" s="7" t="str">
        <f>VLOOKUP(B168,[1]characters!$A:$J,10,FALSE)</f>
        <v>PremiumS</v>
      </c>
      <c r="J168" s="7">
        <f>VLOOKUP(B168,[1]characters!$A:$I,9,FALSE)</f>
        <v>5</v>
      </c>
      <c r="K168" s="7" t="str">
        <f>VLOOKUP(B168,[1]characters!$A:$H,8,FALSE)</f>
        <v>red</v>
      </c>
      <c r="L168" s="7" t="str">
        <f>VLOOKUP(B168,[1]characters!$A:$K,11,FALSE)</f>
        <v>attack</v>
      </c>
      <c r="M168" s="7" t="str">
        <f>VLOOKUP(B168,[1]characters!$A:$M,13,FALSE)</f>
        <v>animal</v>
      </c>
      <c r="N168" s="7" t="str">
        <f>VLOOKUP(B168,[1]characters!$A:$G,7,FALSE)</f>
        <v>女性</v>
      </c>
      <c r="O168" s="45">
        <f ca="1">IFERROR(VLOOKUP(B168,input_586100!L:R,7,FALSE),VLOOKUP(tables_586100!C168,input_586100!A:H,8,FALSE))</f>
        <v>51796.153850000002</v>
      </c>
      <c r="P168" s="46">
        <f t="shared" ca="1" si="10"/>
        <v>4.0264423079812829E-4</v>
      </c>
      <c r="Q168" s="30">
        <v>1</v>
      </c>
      <c r="R168" s="30">
        <v>0</v>
      </c>
      <c r="S168" s="30">
        <v>0</v>
      </c>
      <c r="T168" s="30">
        <v>0</v>
      </c>
      <c r="U168" s="30">
        <v>0</v>
      </c>
      <c r="V168" s="30">
        <v>1</v>
      </c>
    </row>
    <row r="169" spans="1:22" ht="21" customHeight="1" x14ac:dyDescent="0.15">
      <c r="A169" s="2" t="str">
        <f ca="1">input_586100!A$2</f>
        <v>586100</v>
      </c>
      <c r="B169" s="5">
        <v>403</v>
      </c>
      <c r="C169" s="7" t="str">
        <f t="shared" si="11"/>
        <v>PremiumSS4</v>
      </c>
      <c r="D169" s="7" t="str">
        <f t="shared" si="12"/>
        <v>PremiumSS</v>
      </c>
      <c r="E169" s="7" t="str">
        <f>IF(COUNTIF('R6追加前'!A:A,B169)=0,IF(OR(I169="PremiumSS",I169="PremiumSSw"),"R5only","R3less"),"")</f>
        <v/>
      </c>
      <c r="F169" s="7" t="str">
        <f>IF(COUNTIF('R6開放'!A:A,B169)&gt;0,"R6release","")</f>
        <v/>
      </c>
      <c r="G169" s="7"/>
      <c r="H169" s="7" t="str">
        <f>VLOOKUP(B169,[1]characters!$A:$C,3,FALSE)</f>
        <v>静撃の翠眼 八咫烏</v>
      </c>
      <c r="I169" s="7" t="str">
        <f>VLOOKUP(B169,[1]characters!$A:$J,10,FALSE)</f>
        <v>PremiumSS</v>
      </c>
      <c r="J169" s="7">
        <f>VLOOKUP(B169,[1]characters!$A:$I,9,FALSE)</f>
        <v>4</v>
      </c>
      <c r="K169" s="7" t="str">
        <f>VLOOKUP(B169,[1]characters!$A:$H,8,FALSE)</f>
        <v>green</v>
      </c>
      <c r="L169" s="7" t="str">
        <f>VLOOKUP(B169,[1]characters!$A:$K,11,FALSE)</f>
        <v>balance</v>
      </c>
      <c r="M169" s="7" t="str">
        <f>VLOOKUP(B169,[1]characters!$A:$M,13,FALSE)</f>
        <v>animal</v>
      </c>
      <c r="N169" s="7" t="str">
        <f>VLOOKUP(B169,[1]characters!$A:$G,7,FALSE)</f>
        <v>女性</v>
      </c>
      <c r="O169" s="45">
        <f ca="1">IFERROR(VLOOKUP(B169,input_586100!L:R,7,FALSE),VLOOKUP(tables_586100!C169,input_586100!A:H,8,FALSE))</f>
        <v>172285.71429</v>
      </c>
      <c r="P169" s="46">
        <f t="shared" ca="1" si="10"/>
        <v>1.3392857143157001E-3</v>
      </c>
      <c r="Q169" s="30">
        <v>1</v>
      </c>
      <c r="R169" s="30">
        <v>0</v>
      </c>
      <c r="S169" s="30">
        <v>0</v>
      </c>
      <c r="T169" s="30">
        <v>0</v>
      </c>
      <c r="U169" s="30">
        <v>0</v>
      </c>
      <c r="V169" s="30">
        <v>1</v>
      </c>
    </row>
    <row r="170" spans="1:22" ht="21" customHeight="1" x14ac:dyDescent="0.15">
      <c r="A170" s="2" t="str">
        <f ca="1">input_586100!A$2</f>
        <v>586100</v>
      </c>
      <c r="B170" s="5">
        <v>404</v>
      </c>
      <c r="C170" s="7" t="str">
        <f t="shared" si="11"/>
        <v>PremiumSS5</v>
      </c>
      <c r="D170" s="7" t="str">
        <f t="shared" si="12"/>
        <v>PremiumSS</v>
      </c>
      <c r="E170" s="7" t="str">
        <f>IF(COUNTIF('R6追加前'!A:A,B170)=0,IF(OR(I170="PremiumSS",I170="PremiumSSw"),"R5only","R3less"),"")</f>
        <v/>
      </c>
      <c r="F170" s="7" t="str">
        <f>IF(COUNTIF('R6開放'!A:A,B170)&gt;0,"R6release","")</f>
        <v/>
      </c>
      <c r="G170" s="7"/>
      <c r="H170" s="7" t="str">
        <f>VLOOKUP(B170,[1]characters!$A:$C,3,FALSE)</f>
        <v>空襲の神眼 八咫烏</v>
      </c>
      <c r="I170" s="7" t="str">
        <f>VLOOKUP(B170,[1]characters!$A:$J,10,FALSE)</f>
        <v>PremiumSS</v>
      </c>
      <c r="J170" s="7">
        <f>VLOOKUP(B170,[1]characters!$A:$I,9,FALSE)</f>
        <v>5</v>
      </c>
      <c r="K170" s="7" t="str">
        <f>VLOOKUP(B170,[1]characters!$A:$H,8,FALSE)</f>
        <v>green</v>
      </c>
      <c r="L170" s="7" t="str">
        <f>VLOOKUP(B170,[1]characters!$A:$K,11,FALSE)</f>
        <v>balance</v>
      </c>
      <c r="M170" s="7" t="str">
        <f>VLOOKUP(B170,[1]characters!$A:$M,13,FALSE)</f>
        <v>animal</v>
      </c>
      <c r="N170" s="7" t="str">
        <f>VLOOKUP(B170,[1]characters!$A:$G,7,FALSE)</f>
        <v>女性</v>
      </c>
      <c r="O170" s="45">
        <f ca="1">IFERROR(VLOOKUP(B170,input_586100!L:R,7,FALSE),VLOOKUP(tables_586100!C170,input_586100!A:H,8,FALSE))</f>
        <v>67000</v>
      </c>
      <c r="P170" s="46">
        <f t="shared" ca="1" si="10"/>
        <v>5.2083333333203836E-4</v>
      </c>
      <c r="Q170" s="30">
        <v>1</v>
      </c>
      <c r="R170" s="30">
        <v>0</v>
      </c>
      <c r="S170" s="30">
        <v>0</v>
      </c>
      <c r="T170" s="30">
        <v>0</v>
      </c>
      <c r="U170" s="30">
        <v>0</v>
      </c>
      <c r="V170" s="30">
        <v>1</v>
      </c>
    </row>
    <row r="171" spans="1:22" ht="21" customHeight="1" x14ac:dyDescent="0.15">
      <c r="A171" s="2" t="str">
        <f ca="1">input_586100!A$2</f>
        <v>586100</v>
      </c>
      <c r="B171" s="5">
        <v>405</v>
      </c>
      <c r="C171" s="7" t="str">
        <f t="shared" si="11"/>
        <v>Premium3</v>
      </c>
      <c r="D171" s="7" t="str">
        <f t="shared" si="12"/>
        <v>Premium</v>
      </c>
      <c r="E171" s="7" t="str">
        <f>IF(COUNTIF('R6追加前'!A:A,B171)=0,IF(OR(I171="PremiumSS",I171="PremiumSSw"),"R5only","R3less"),"")</f>
        <v/>
      </c>
      <c r="F171" s="7" t="str">
        <f>IF(COUNTIF('R6開放'!A:A,B171)&gt;0,"R6release","")</f>
        <v/>
      </c>
      <c r="G171" s="7"/>
      <c r="H171" s="7" t="str">
        <f>VLOOKUP(B171,[1]characters!$A:$C,3,FALSE)</f>
        <v>エキドナ</v>
      </c>
      <c r="I171" s="7" t="str">
        <f>VLOOKUP(B171,[1]characters!$A:$J,10,FALSE)</f>
        <v>PremiumS</v>
      </c>
      <c r="J171" s="7">
        <f>VLOOKUP(B171,[1]characters!$A:$I,9,FALSE)</f>
        <v>3</v>
      </c>
      <c r="K171" s="7" t="str">
        <f>VLOOKUP(B171,[1]characters!$A:$H,8,FALSE)</f>
        <v>blue</v>
      </c>
      <c r="L171" s="7" t="str">
        <f>VLOOKUP(B171,[1]characters!$A:$K,11,FALSE)</f>
        <v>technical</v>
      </c>
      <c r="M171" s="7" t="str">
        <f>VLOOKUP(B171,[1]characters!$A:$M,13,FALSE)</f>
        <v>animal</v>
      </c>
      <c r="N171" s="7" t="str">
        <f>VLOOKUP(B171,[1]characters!$A:$G,7,FALSE)</f>
        <v>女性</v>
      </c>
      <c r="O171" s="45">
        <f ca="1">IFERROR(VLOOKUP(B171,input_586100!L:R,7,FALSE),VLOOKUP(tables_586100!C171,input_586100!A:H,8,FALSE))</f>
        <v>0</v>
      </c>
      <c r="P171" s="46">
        <f t="shared" ca="1" si="10"/>
        <v>0</v>
      </c>
      <c r="Q171" s="30">
        <v>1</v>
      </c>
      <c r="R171" s="30">
        <v>0</v>
      </c>
      <c r="S171" s="30">
        <v>0</v>
      </c>
      <c r="T171" s="30">
        <v>0</v>
      </c>
      <c r="U171" s="30">
        <v>0</v>
      </c>
      <c r="V171" s="30">
        <v>1</v>
      </c>
    </row>
    <row r="172" spans="1:22" ht="21" customHeight="1" x14ac:dyDescent="0.15">
      <c r="A172" s="2" t="str">
        <f ca="1">input_586100!A$2</f>
        <v>586100</v>
      </c>
      <c r="B172" s="5">
        <v>406</v>
      </c>
      <c r="C172" s="7" t="str">
        <f t="shared" si="11"/>
        <v>Premium4</v>
      </c>
      <c r="D172" s="7" t="str">
        <f t="shared" si="12"/>
        <v>Premium</v>
      </c>
      <c r="E172" s="7" t="str">
        <f>IF(COUNTIF('R6追加前'!A:A,B172)=0,IF(OR(I172="PremiumSS",I172="PremiumSSw"),"R5only","R3less"),"")</f>
        <v/>
      </c>
      <c r="F172" s="7" t="str">
        <f>IF(COUNTIF('R6開放'!A:A,B172)&gt;0,"R6release","")</f>
        <v/>
      </c>
      <c r="G172" s="7"/>
      <c r="H172" s="7" t="str">
        <f>VLOOKUP(B172,[1]characters!$A:$C,3,FALSE)</f>
        <v>美笑の蒼蛇 エキドナ</v>
      </c>
      <c r="I172" s="7" t="str">
        <f>VLOOKUP(B172,[1]characters!$A:$J,10,FALSE)</f>
        <v>PremiumS</v>
      </c>
      <c r="J172" s="7">
        <f>VLOOKUP(B172,[1]characters!$A:$I,9,FALSE)</f>
        <v>4</v>
      </c>
      <c r="K172" s="7" t="str">
        <f>VLOOKUP(B172,[1]characters!$A:$H,8,FALSE)</f>
        <v>blue</v>
      </c>
      <c r="L172" s="7" t="str">
        <f>VLOOKUP(B172,[1]characters!$A:$K,11,FALSE)</f>
        <v>technical</v>
      </c>
      <c r="M172" s="7" t="str">
        <f>VLOOKUP(B172,[1]characters!$A:$M,13,FALSE)</f>
        <v>animal</v>
      </c>
      <c r="N172" s="7" t="str">
        <f>VLOOKUP(B172,[1]characters!$A:$G,7,FALSE)</f>
        <v>女性</v>
      </c>
      <c r="O172" s="45">
        <f ca="1">IFERROR(VLOOKUP(B172,input_586100!L:R,7,FALSE),VLOOKUP(tables_586100!C172,input_586100!A:H,8,FALSE))</f>
        <v>1097460</v>
      </c>
      <c r="P172" s="46">
        <f t="shared" ca="1" si="10"/>
        <v>8.5312499999787884E-3</v>
      </c>
      <c r="Q172" s="30">
        <v>1</v>
      </c>
      <c r="R172" s="30">
        <v>0</v>
      </c>
      <c r="S172" s="30">
        <v>0</v>
      </c>
      <c r="T172" s="30">
        <v>0</v>
      </c>
      <c r="U172" s="30">
        <v>0</v>
      </c>
      <c r="V172" s="30">
        <v>1</v>
      </c>
    </row>
    <row r="173" spans="1:22" ht="21" customHeight="1" x14ac:dyDescent="0.15">
      <c r="A173" s="2" t="str">
        <f ca="1">input_586100!A$2</f>
        <v>586100</v>
      </c>
      <c r="B173" s="5">
        <v>407</v>
      </c>
      <c r="C173" s="7" t="str">
        <f t="shared" si="11"/>
        <v>Premium5</v>
      </c>
      <c r="D173" s="7" t="str">
        <f t="shared" si="12"/>
        <v>Premium</v>
      </c>
      <c r="E173" s="7" t="str">
        <f>IF(COUNTIF('R6追加前'!A:A,B173)=0,IF(OR(I173="PremiumSS",I173="PremiumSSw"),"R5only","R3less"),"")</f>
        <v/>
      </c>
      <c r="F173" s="7" t="str">
        <f>IF(COUNTIF('R6開放'!A:A,B173)&gt;0,"R6release","")</f>
        <v/>
      </c>
      <c r="G173" s="7"/>
      <c r="H173" s="7" t="str">
        <f>VLOOKUP(B173,[1]characters!$A:$C,3,FALSE)</f>
        <v>蠱惑の飛刀 エキドナ</v>
      </c>
      <c r="I173" s="7" t="str">
        <f>VLOOKUP(B173,[1]characters!$A:$J,10,FALSE)</f>
        <v>PremiumS</v>
      </c>
      <c r="J173" s="7">
        <f>VLOOKUP(B173,[1]characters!$A:$I,9,FALSE)</f>
        <v>5</v>
      </c>
      <c r="K173" s="7" t="str">
        <f>VLOOKUP(B173,[1]characters!$A:$H,8,FALSE)</f>
        <v>blue</v>
      </c>
      <c r="L173" s="7" t="str">
        <f>VLOOKUP(B173,[1]characters!$A:$K,11,FALSE)</f>
        <v>technical</v>
      </c>
      <c r="M173" s="7" t="str">
        <f>VLOOKUP(B173,[1]characters!$A:$M,13,FALSE)</f>
        <v>animal</v>
      </c>
      <c r="N173" s="7" t="str">
        <f>VLOOKUP(B173,[1]characters!$A:$G,7,FALSE)</f>
        <v>女性</v>
      </c>
      <c r="O173" s="45">
        <f ca="1">IFERROR(VLOOKUP(B173,input_586100!L:R,7,FALSE),VLOOKUP(tables_586100!C173,input_586100!A:H,8,FALSE))</f>
        <v>51796.153850000002</v>
      </c>
      <c r="P173" s="46">
        <f t="shared" ca="1" si="10"/>
        <v>4.0264423079812829E-4</v>
      </c>
      <c r="Q173" s="30">
        <v>1</v>
      </c>
      <c r="R173" s="30">
        <v>0</v>
      </c>
      <c r="S173" s="30">
        <v>0</v>
      </c>
      <c r="T173" s="30">
        <v>0</v>
      </c>
      <c r="U173" s="30">
        <v>0</v>
      </c>
      <c r="V173" s="30">
        <v>1</v>
      </c>
    </row>
    <row r="174" spans="1:22" ht="21" customHeight="1" x14ac:dyDescent="0.15">
      <c r="A174" s="2" t="str">
        <f ca="1">input_586100!A$2</f>
        <v>586100</v>
      </c>
      <c r="B174" s="5">
        <v>408</v>
      </c>
      <c r="C174" s="7" t="str">
        <f t="shared" si="11"/>
        <v>PremiumSS4</v>
      </c>
      <c r="D174" s="7" t="str">
        <f t="shared" si="12"/>
        <v>PremiumSS</v>
      </c>
      <c r="E174" s="7" t="str">
        <f>IF(COUNTIF('R6追加前'!A:A,B174)=0,IF(OR(I174="PremiumSS",I174="PremiumSSw"),"R5only","R3less"),"")</f>
        <v/>
      </c>
      <c r="F174" s="7" t="str">
        <f>IF(COUNTIF('R6開放'!A:A,B174)&gt;0,"R6release","")</f>
        <v/>
      </c>
      <c r="G174" s="7"/>
      <c r="H174" s="7" t="str">
        <f>VLOOKUP(B174,[1]characters!$A:$C,3,FALSE)</f>
        <v>皇魔 アスタロト</v>
      </c>
      <c r="I174" s="7" t="str">
        <f>VLOOKUP(B174,[1]characters!$A:$J,10,FALSE)</f>
        <v>PremiumSS</v>
      </c>
      <c r="J174" s="7">
        <f>VLOOKUP(B174,[1]characters!$A:$I,9,FALSE)</f>
        <v>4</v>
      </c>
      <c r="K174" s="7" t="str">
        <f>VLOOKUP(B174,[1]characters!$A:$H,8,FALSE)</f>
        <v>yellow</v>
      </c>
      <c r="L174" s="7" t="str">
        <f>VLOOKUP(B174,[1]characters!$A:$K,11,FALSE)</f>
        <v>attack</v>
      </c>
      <c r="M174" s="7" t="str">
        <f>VLOOKUP(B174,[1]characters!$A:$M,13,FALSE)</f>
        <v>god</v>
      </c>
      <c r="N174" s="7" t="str">
        <f>VLOOKUP(B174,[1]characters!$A:$G,7,FALSE)</f>
        <v>男性</v>
      </c>
      <c r="O174" s="45">
        <f ca="1">IFERROR(VLOOKUP(B174,input_586100!L:R,7,FALSE),VLOOKUP(tables_586100!C174,input_586100!A:H,8,FALSE))</f>
        <v>172285.71429</v>
      </c>
      <c r="P174" s="46">
        <f t="shared" ca="1" si="10"/>
        <v>1.3392857143157001E-3</v>
      </c>
      <c r="Q174" s="30">
        <v>1</v>
      </c>
      <c r="R174" s="30">
        <v>0</v>
      </c>
      <c r="S174" s="30">
        <v>0</v>
      </c>
      <c r="T174" s="30">
        <v>0</v>
      </c>
      <c r="U174" s="30">
        <v>0</v>
      </c>
      <c r="V174" s="30">
        <v>1</v>
      </c>
    </row>
    <row r="175" spans="1:22" ht="21" customHeight="1" x14ac:dyDescent="0.15">
      <c r="A175" s="2" t="str">
        <f ca="1">input_586100!A$2</f>
        <v>586100</v>
      </c>
      <c r="B175" s="5">
        <v>409</v>
      </c>
      <c r="C175" s="7" t="str">
        <f t="shared" si="11"/>
        <v>PremiumSS5</v>
      </c>
      <c r="D175" s="7" t="str">
        <f t="shared" si="12"/>
        <v>PremiumSS</v>
      </c>
      <c r="E175" s="7" t="str">
        <f>IF(COUNTIF('R6追加前'!A:A,B175)=0,IF(OR(I175="PremiumSS",I175="PremiumSSw"),"R5only","R3less"),"")</f>
        <v/>
      </c>
      <c r="F175" s="7" t="str">
        <f>IF(COUNTIF('R6開放'!A:A,B175)&gt;0,"R6release","")</f>
        <v/>
      </c>
      <c r="G175" s="7"/>
      <c r="H175" s="7" t="str">
        <f>VLOOKUP(B175,[1]characters!$A:$C,3,FALSE)</f>
        <v>天眼の皇貴魔 アスタロト</v>
      </c>
      <c r="I175" s="7" t="str">
        <f>VLOOKUP(B175,[1]characters!$A:$J,10,FALSE)</f>
        <v>PremiumSS</v>
      </c>
      <c r="J175" s="7">
        <f>VLOOKUP(B175,[1]characters!$A:$I,9,FALSE)</f>
        <v>5</v>
      </c>
      <c r="K175" s="7" t="str">
        <f>VLOOKUP(B175,[1]characters!$A:$H,8,FALSE)</f>
        <v>yellow</v>
      </c>
      <c r="L175" s="7" t="str">
        <f>VLOOKUP(B175,[1]characters!$A:$K,11,FALSE)</f>
        <v>attack</v>
      </c>
      <c r="M175" s="7" t="str">
        <f>VLOOKUP(B175,[1]characters!$A:$M,13,FALSE)</f>
        <v>god</v>
      </c>
      <c r="N175" s="7" t="str">
        <f>VLOOKUP(B175,[1]characters!$A:$G,7,FALSE)</f>
        <v>男性</v>
      </c>
      <c r="O175" s="45">
        <f ca="1">IFERROR(VLOOKUP(B175,input_586100!L:R,7,FALSE),VLOOKUP(tables_586100!C175,input_586100!A:H,8,FALSE))</f>
        <v>67000</v>
      </c>
      <c r="P175" s="46">
        <f t="shared" ca="1" si="10"/>
        <v>5.2083333333203836E-4</v>
      </c>
      <c r="Q175" s="30">
        <v>1</v>
      </c>
      <c r="R175" s="30">
        <v>0</v>
      </c>
      <c r="S175" s="30">
        <v>0</v>
      </c>
      <c r="T175" s="30">
        <v>0</v>
      </c>
      <c r="U175" s="30">
        <v>0</v>
      </c>
      <c r="V175" s="30">
        <v>1</v>
      </c>
    </row>
    <row r="176" spans="1:22" ht="21" customHeight="1" x14ac:dyDescent="0.15">
      <c r="A176" s="2" t="str">
        <f ca="1">input_586100!A$2</f>
        <v>586100</v>
      </c>
      <c r="B176" s="5">
        <v>434</v>
      </c>
      <c r="C176" s="7" t="str">
        <f t="shared" si="11"/>
        <v>PremiumSS4</v>
      </c>
      <c r="D176" s="7" t="str">
        <f t="shared" si="12"/>
        <v>PremiumSS</v>
      </c>
      <c r="E176" s="7" t="str">
        <f>IF(COUNTIF('R6追加前'!A:A,B176)=0,IF(OR(I176="PremiumSS",I176="PremiumSSw"),"R5only","R3less"),"")</f>
        <v/>
      </c>
      <c r="F176" s="7" t="str">
        <f>IF(COUNTIF('R6開放'!A:A,B176)&gt;0,"R6release","")</f>
        <v/>
      </c>
      <c r="G176" s="7"/>
      <c r="H176" s="7" t="str">
        <f>VLOOKUP(B176,[1]characters!$A:$C,3,FALSE)</f>
        <v>D.R.T.H.</v>
      </c>
      <c r="I176" s="7" t="str">
        <f>VLOOKUP(B176,[1]characters!$A:$J,10,FALSE)</f>
        <v>PremiumSS</v>
      </c>
      <c r="J176" s="7">
        <f>VLOOKUP(B176,[1]characters!$A:$I,9,FALSE)</f>
        <v>4</v>
      </c>
      <c r="K176" s="7" t="str">
        <f>VLOOKUP(B176,[1]characters!$A:$H,8,FALSE)</f>
        <v>red</v>
      </c>
      <c r="L176" s="7" t="str">
        <f>VLOOKUP(B176,[1]characters!$A:$K,11,FALSE)</f>
        <v>balance</v>
      </c>
      <c r="M176" s="7" t="str">
        <f>VLOOKUP(B176,[1]characters!$A:$M,13,FALSE)</f>
        <v>human</v>
      </c>
      <c r="N176" s="7" t="str">
        <f>VLOOKUP(B176,[1]characters!$A:$G,7,FALSE)</f>
        <v>女性</v>
      </c>
      <c r="O176" s="45">
        <f ca="1">IFERROR(VLOOKUP(B176,input_586100!L:R,7,FALSE),VLOOKUP(tables_586100!C176,input_586100!A:H,8,FALSE))</f>
        <v>172285.71429</v>
      </c>
      <c r="P176" s="46">
        <f t="shared" ca="1" si="10"/>
        <v>1.3392857143157001E-3</v>
      </c>
      <c r="Q176" s="30">
        <v>1</v>
      </c>
      <c r="R176" s="30">
        <v>0</v>
      </c>
      <c r="S176" s="30">
        <v>0</v>
      </c>
      <c r="T176" s="30">
        <v>0</v>
      </c>
      <c r="U176" s="30">
        <v>0</v>
      </c>
      <c r="V176" s="30">
        <v>1</v>
      </c>
    </row>
    <row r="177" spans="1:22" ht="21" customHeight="1" x14ac:dyDescent="0.15">
      <c r="A177" s="2" t="str">
        <f ca="1">input_586100!A$2</f>
        <v>586100</v>
      </c>
      <c r="B177" s="5">
        <v>435</v>
      </c>
      <c r="C177" s="7" t="str">
        <f t="shared" si="11"/>
        <v>PremiumSS5</v>
      </c>
      <c r="D177" s="7" t="str">
        <f t="shared" si="12"/>
        <v>PremiumSS</v>
      </c>
      <c r="E177" s="7" t="str">
        <f>IF(COUNTIF('R6追加前'!A:A,B177)=0,IF(OR(I177="PremiumSS",I177="PremiumSSw"),"R5only","R3less"),"")</f>
        <v/>
      </c>
      <c r="F177" s="7" t="str">
        <f>IF(COUNTIF('R6開放'!A:A,B177)&gt;0,"R6release","")</f>
        <v/>
      </c>
      <c r="G177" s="7"/>
      <c r="H177" s="7" t="str">
        <f>VLOOKUP(B177,[1]characters!$A:$C,3,FALSE)</f>
        <v>曝弾の密偵 D.R.T.H.</v>
      </c>
      <c r="I177" s="7" t="str">
        <f>VLOOKUP(B177,[1]characters!$A:$J,10,FALSE)</f>
        <v>PremiumSS</v>
      </c>
      <c r="J177" s="7">
        <f>VLOOKUP(B177,[1]characters!$A:$I,9,FALSE)</f>
        <v>5</v>
      </c>
      <c r="K177" s="7" t="str">
        <f>VLOOKUP(B177,[1]characters!$A:$H,8,FALSE)</f>
        <v>red</v>
      </c>
      <c r="L177" s="7" t="str">
        <f>VLOOKUP(B177,[1]characters!$A:$K,11,FALSE)</f>
        <v>balance</v>
      </c>
      <c r="M177" s="7" t="str">
        <f>VLOOKUP(B177,[1]characters!$A:$M,13,FALSE)</f>
        <v>human</v>
      </c>
      <c r="N177" s="7" t="str">
        <f>VLOOKUP(B177,[1]characters!$A:$G,7,FALSE)</f>
        <v>女性</v>
      </c>
      <c r="O177" s="45">
        <f ca="1">IFERROR(VLOOKUP(B177,input_586100!L:R,7,FALSE),VLOOKUP(tables_586100!C177,input_586100!A:H,8,FALSE))</f>
        <v>67000</v>
      </c>
      <c r="P177" s="46">
        <f t="shared" ca="1" si="10"/>
        <v>5.2083333333203836E-4</v>
      </c>
      <c r="Q177" s="30">
        <v>1</v>
      </c>
      <c r="R177" s="30">
        <v>0</v>
      </c>
      <c r="S177" s="30">
        <v>0</v>
      </c>
      <c r="T177" s="30">
        <v>0</v>
      </c>
      <c r="U177" s="30">
        <v>0</v>
      </c>
      <c r="V177" s="30">
        <v>1</v>
      </c>
    </row>
    <row r="178" spans="1:22" ht="21" customHeight="1" x14ac:dyDescent="0.15">
      <c r="A178" s="2" t="str">
        <f ca="1">input_586100!A$2</f>
        <v>586100</v>
      </c>
      <c r="B178" s="5">
        <v>436</v>
      </c>
      <c r="C178" s="7" t="str">
        <f t="shared" si="11"/>
        <v>Premium3</v>
      </c>
      <c r="D178" s="7" t="str">
        <f t="shared" si="12"/>
        <v>Premium</v>
      </c>
      <c r="E178" s="7" t="str">
        <f>IF(COUNTIF('R6追加前'!A:A,B178)=0,IF(OR(I178="PremiumSS",I178="PremiumSSw"),"R5only","R3less"),"")</f>
        <v/>
      </c>
      <c r="F178" s="7" t="str">
        <f>IF(COUNTIF('R6開放'!A:A,B178)&gt;0,"R6release","")</f>
        <v/>
      </c>
      <c r="G178" s="7"/>
      <c r="H178" s="7" t="str">
        <f>VLOOKUP(B178,[1]characters!$A:$C,3,FALSE)</f>
        <v>カカシ</v>
      </c>
      <c r="I178" s="7" t="str">
        <f>VLOOKUP(B178,[1]characters!$A:$J,10,FALSE)</f>
        <v>PremiumS</v>
      </c>
      <c r="J178" s="7">
        <f>VLOOKUP(B178,[1]characters!$A:$I,9,FALSE)</f>
        <v>3</v>
      </c>
      <c r="K178" s="7" t="str">
        <f>VLOOKUP(B178,[1]characters!$A:$H,8,FALSE)</f>
        <v>green</v>
      </c>
      <c r="L178" s="7" t="str">
        <f>VLOOKUP(B178,[1]characters!$A:$K,11,FALSE)</f>
        <v>technical</v>
      </c>
      <c r="M178" s="7" t="str">
        <f>VLOOKUP(B178,[1]characters!$A:$M,13,FALSE)</f>
        <v>human</v>
      </c>
      <c r="N178" s="7" t="str">
        <f>VLOOKUP(B178,[1]characters!$A:$G,7,FALSE)</f>
        <v>男性</v>
      </c>
      <c r="O178" s="45">
        <f ca="1">IFERROR(VLOOKUP(B178,input_586100!L:R,7,FALSE),VLOOKUP(tables_586100!C178,input_586100!A:H,8,FALSE))</f>
        <v>0</v>
      </c>
      <c r="P178" s="46">
        <f t="shared" ca="1" si="10"/>
        <v>0</v>
      </c>
      <c r="Q178" s="30">
        <v>1</v>
      </c>
      <c r="R178" s="30">
        <v>0</v>
      </c>
      <c r="S178" s="30">
        <v>0</v>
      </c>
      <c r="T178" s="30">
        <v>0</v>
      </c>
      <c r="U178" s="30">
        <v>0</v>
      </c>
      <c r="V178" s="30">
        <v>1</v>
      </c>
    </row>
    <row r="179" spans="1:22" ht="21" customHeight="1" x14ac:dyDescent="0.15">
      <c r="A179" s="2" t="str">
        <f ca="1">input_586100!A$2</f>
        <v>586100</v>
      </c>
      <c r="B179" s="5">
        <v>437</v>
      </c>
      <c r="C179" s="7" t="str">
        <f t="shared" si="11"/>
        <v>Premium4</v>
      </c>
      <c r="D179" s="7" t="str">
        <f t="shared" si="12"/>
        <v>Premium</v>
      </c>
      <c r="E179" s="7" t="str">
        <f>IF(COUNTIF('R6追加前'!A:A,B179)=0,IF(OR(I179="PremiumSS",I179="PremiumSSw"),"R5only","R3less"),"")</f>
        <v/>
      </c>
      <c r="F179" s="7" t="str">
        <f>IF(COUNTIF('R6開放'!A:A,B179)&gt;0,"R6release","")</f>
        <v/>
      </c>
      <c r="G179" s="7"/>
      <c r="H179" s="7" t="str">
        <f>VLOOKUP(B179,[1]characters!$A:$C,3,FALSE)</f>
        <v>忘却者 カカシ</v>
      </c>
      <c r="I179" s="7" t="str">
        <f>VLOOKUP(B179,[1]characters!$A:$J,10,FALSE)</f>
        <v>PremiumS</v>
      </c>
      <c r="J179" s="7">
        <f>VLOOKUP(B179,[1]characters!$A:$I,9,FALSE)</f>
        <v>4</v>
      </c>
      <c r="K179" s="7" t="str">
        <f>VLOOKUP(B179,[1]characters!$A:$H,8,FALSE)</f>
        <v>green</v>
      </c>
      <c r="L179" s="7" t="str">
        <f>VLOOKUP(B179,[1]characters!$A:$K,11,FALSE)</f>
        <v>technical</v>
      </c>
      <c r="M179" s="7" t="str">
        <f>VLOOKUP(B179,[1]characters!$A:$M,13,FALSE)</f>
        <v>human</v>
      </c>
      <c r="N179" s="7" t="str">
        <f>VLOOKUP(B179,[1]characters!$A:$G,7,FALSE)</f>
        <v>男性</v>
      </c>
      <c r="O179" s="45">
        <f ca="1">IFERROR(VLOOKUP(B179,input_586100!L:R,7,FALSE),VLOOKUP(tables_586100!C179,input_586100!A:H,8,FALSE))</f>
        <v>1097460</v>
      </c>
      <c r="P179" s="46">
        <f t="shared" ca="1" si="10"/>
        <v>8.5312499999787884E-3</v>
      </c>
      <c r="Q179" s="30">
        <v>1</v>
      </c>
      <c r="R179" s="30">
        <v>0</v>
      </c>
      <c r="S179" s="30">
        <v>0</v>
      </c>
      <c r="T179" s="30">
        <v>0</v>
      </c>
      <c r="U179" s="30">
        <v>0</v>
      </c>
      <c r="V179" s="30">
        <v>1</v>
      </c>
    </row>
    <row r="180" spans="1:22" ht="21" customHeight="1" x14ac:dyDescent="0.15">
      <c r="A180" s="2" t="str">
        <f ca="1">input_586100!A$2</f>
        <v>586100</v>
      </c>
      <c r="B180" s="5">
        <v>438</v>
      </c>
      <c r="C180" s="7" t="str">
        <f t="shared" si="11"/>
        <v>Premium5</v>
      </c>
      <c r="D180" s="7" t="str">
        <f t="shared" si="12"/>
        <v>Premium</v>
      </c>
      <c r="E180" s="7" t="str">
        <f>IF(COUNTIF('R6追加前'!A:A,B180)=0,IF(OR(I180="PremiumSS",I180="PremiumSSw"),"R5only","R3less"),"")</f>
        <v/>
      </c>
      <c r="F180" s="7" t="str">
        <f>IF(COUNTIF('R6開放'!A:A,B180)&gt;0,"R6release","")</f>
        <v/>
      </c>
      <c r="G180" s="7"/>
      <c r="H180" s="7" t="str">
        <f>VLOOKUP(B180,[1]characters!$A:$C,3,FALSE)</f>
        <v>記憶の奪還 カカシ</v>
      </c>
      <c r="I180" s="7" t="str">
        <f>VLOOKUP(B180,[1]characters!$A:$J,10,FALSE)</f>
        <v>PremiumS</v>
      </c>
      <c r="J180" s="7">
        <f>VLOOKUP(B180,[1]characters!$A:$I,9,FALSE)</f>
        <v>5</v>
      </c>
      <c r="K180" s="7" t="str">
        <f>VLOOKUP(B180,[1]characters!$A:$H,8,FALSE)</f>
        <v>green</v>
      </c>
      <c r="L180" s="7" t="str">
        <f>VLOOKUP(B180,[1]characters!$A:$K,11,FALSE)</f>
        <v>technical</v>
      </c>
      <c r="M180" s="7" t="str">
        <f>VLOOKUP(B180,[1]characters!$A:$M,13,FALSE)</f>
        <v>human</v>
      </c>
      <c r="N180" s="7" t="str">
        <f>VLOOKUP(B180,[1]characters!$A:$G,7,FALSE)</f>
        <v>男性</v>
      </c>
      <c r="O180" s="45">
        <f ca="1">IFERROR(VLOOKUP(B180,input_586100!L:R,7,FALSE),VLOOKUP(tables_586100!C180,input_586100!A:H,8,FALSE))</f>
        <v>51796.153850000002</v>
      </c>
      <c r="P180" s="46">
        <f t="shared" ca="1" si="10"/>
        <v>4.0264423079812829E-4</v>
      </c>
      <c r="Q180" s="30">
        <v>1</v>
      </c>
      <c r="R180" s="30">
        <v>0</v>
      </c>
      <c r="S180" s="30">
        <v>0</v>
      </c>
      <c r="T180" s="30">
        <v>0</v>
      </c>
      <c r="U180" s="30">
        <v>0</v>
      </c>
      <c r="V180" s="30">
        <v>1</v>
      </c>
    </row>
    <row r="181" spans="1:22" ht="21" customHeight="1" x14ac:dyDescent="0.15">
      <c r="A181" s="2" t="str">
        <f ca="1">input_586100!A$2</f>
        <v>586100</v>
      </c>
      <c r="B181" s="5">
        <v>439</v>
      </c>
      <c r="C181" s="7" t="str">
        <f t="shared" si="11"/>
        <v>Premium3</v>
      </c>
      <c r="D181" s="7" t="str">
        <f t="shared" si="12"/>
        <v>Premium</v>
      </c>
      <c r="E181" s="7" t="str">
        <f>IF(COUNTIF('R6追加前'!A:A,B181)=0,IF(OR(I181="PremiumSS",I181="PremiumSSw"),"R5only","R3less"),"")</f>
        <v/>
      </c>
      <c r="F181" s="7" t="str">
        <f>IF(COUNTIF('R6開放'!A:A,B181)&gt;0,"R6release","")</f>
        <v/>
      </c>
      <c r="G181" s="7"/>
      <c r="H181" s="7" t="str">
        <f>VLOOKUP(B181,[1]characters!$A:$C,3,FALSE)</f>
        <v>ブリキロガー</v>
      </c>
      <c r="I181" s="7" t="str">
        <f>VLOOKUP(B181,[1]characters!$A:$J,10,FALSE)</f>
        <v>PremiumS</v>
      </c>
      <c r="J181" s="7">
        <f>VLOOKUP(B181,[1]characters!$A:$I,9,FALSE)</f>
        <v>3</v>
      </c>
      <c r="K181" s="7" t="str">
        <f>VLOOKUP(B181,[1]characters!$A:$H,8,FALSE)</f>
        <v>blue</v>
      </c>
      <c r="L181" s="7" t="str">
        <f>VLOOKUP(B181,[1]characters!$A:$K,11,FALSE)</f>
        <v>attack</v>
      </c>
      <c r="M181" s="7" t="str">
        <f>VLOOKUP(B181,[1]characters!$A:$M,13,FALSE)</f>
        <v>machine</v>
      </c>
      <c r="N181" s="7" t="str">
        <f>VLOOKUP(B181,[1]characters!$A:$G,7,FALSE)</f>
        <v>不明</v>
      </c>
      <c r="O181" s="45">
        <f ca="1">IFERROR(VLOOKUP(B181,input_586100!L:R,7,FALSE),VLOOKUP(tables_586100!C181,input_586100!A:H,8,FALSE))</f>
        <v>0</v>
      </c>
      <c r="P181" s="46">
        <f t="shared" ca="1" si="10"/>
        <v>0</v>
      </c>
      <c r="Q181" s="30">
        <v>1</v>
      </c>
      <c r="R181" s="30">
        <v>0</v>
      </c>
      <c r="S181" s="30">
        <v>0</v>
      </c>
      <c r="T181" s="30">
        <v>0</v>
      </c>
      <c r="U181" s="30">
        <v>0</v>
      </c>
      <c r="V181" s="30">
        <v>1</v>
      </c>
    </row>
    <row r="182" spans="1:22" ht="21" customHeight="1" x14ac:dyDescent="0.15">
      <c r="A182" s="2" t="str">
        <f ca="1">input_586100!A$2</f>
        <v>586100</v>
      </c>
      <c r="B182" s="5">
        <v>440</v>
      </c>
      <c r="C182" s="7" t="str">
        <f t="shared" si="11"/>
        <v>Premium4</v>
      </c>
      <c r="D182" s="7" t="str">
        <f t="shared" si="12"/>
        <v>Premium</v>
      </c>
      <c r="E182" s="7" t="str">
        <f>IF(COUNTIF('R6追加前'!A:A,B182)=0,IF(OR(I182="PremiumSS",I182="PremiumSSw"),"R5only","R3less"),"")</f>
        <v/>
      </c>
      <c r="F182" s="7" t="str">
        <f>IF(COUNTIF('R6開放'!A:A,B182)&gt;0,"R6release","")</f>
        <v/>
      </c>
      <c r="G182" s="7"/>
      <c r="H182" s="7" t="str">
        <f>VLOOKUP(B182,[1]characters!$A:$C,3,FALSE)</f>
        <v>改良型 ブリキロガー</v>
      </c>
      <c r="I182" s="7" t="str">
        <f>VLOOKUP(B182,[1]characters!$A:$J,10,FALSE)</f>
        <v>PremiumS</v>
      </c>
      <c r="J182" s="7">
        <f>VLOOKUP(B182,[1]characters!$A:$I,9,FALSE)</f>
        <v>4</v>
      </c>
      <c r="K182" s="7" t="str">
        <f>VLOOKUP(B182,[1]characters!$A:$H,8,FALSE)</f>
        <v>blue</v>
      </c>
      <c r="L182" s="7" t="str">
        <f>VLOOKUP(B182,[1]characters!$A:$K,11,FALSE)</f>
        <v>attack</v>
      </c>
      <c r="M182" s="7" t="str">
        <f>VLOOKUP(B182,[1]characters!$A:$M,13,FALSE)</f>
        <v>machine</v>
      </c>
      <c r="N182" s="7" t="str">
        <f>VLOOKUP(B182,[1]characters!$A:$G,7,FALSE)</f>
        <v>不明</v>
      </c>
      <c r="O182" s="45">
        <f ca="1">IFERROR(VLOOKUP(B182,input_586100!L:R,7,FALSE),VLOOKUP(tables_586100!C182,input_586100!A:H,8,FALSE))</f>
        <v>1097460</v>
      </c>
      <c r="P182" s="46">
        <f t="shared" ca="1" si="10"/>
        <v>8.5312499999787884E-3</v>
      </c>
      <c r="Q182" s="30">
        <v>1</v>
      </c>
      <c r="R182" s="30">
        <v>0</v>
      </c>
      <c r="S182" s="30">
        <v>0</v>
      </c>
      <c r="T182" s="30">
        <v>0</v>
      </c>
      <c r="U182" s="30">
        <v>0</v>
      </c>
      <c r="V182" s="30">
        <v>1</v>
      </c>
    </row>
    <row r="183" spans="1:22" ht="21" customHeight="1" x14ac:dyDescent="0.15">
      <c r="A183" s="2" t="str">
        <f ca="1">input_586100!A$2</f>
        <v>586100</v>
      </c>
      <c r="B183" s="5">
        <v>441</v>
      </c>
      <c r="C183" s="7" t="str">
        <f t="shared" si="11"/>
        <v>Premium5</v>
      </c>
      <c r="D183" s="7" t="str">
        <f t="shared" si="12"/>
        <v>Premium</v>
      </c>
      <c r="E183" s="7" t="str">
        <f>IF(COUNTIF('R6追加前'!A:A,B183)=0,IF(OR(I183="PremiumSS",I183="PremiumSSw"),"R5only","R3less"),"")</f>
        <v/>
      </c>
      <c r="F183" s="7" t="str">
        <f>IF(COUNTIF('R6開放'!A:A,B183)&gt;0,"R6release","")</f>
        <v/>
      </c>
      <c r="G183" s="7"/>
      <c r="H183" s="7" t="str">
        <f>VLOOKUP(B183,[1]characters!$A:$C,3,FALSE)</f>
        <v>求心の錻装 ブリキロガー</v>
      </c>
      <c r="I183" s="7" t="str">
        <f>VLOOKUP(B183,[1]characters!$A:$J,10,FALSE)</f>
        <v>PremiumS</v>
      </c>
      <c r="J183" s="7">
        <f>VLOOKUP(B183,[1]characters!$A:$I,9,FALSE)</f>
        <v>5</v>
      </c>
      <c r="K183" s="7" t="str">
        <f>VLOOKUP(B183,[1]characters!$A:$H,8,FALSE)</f>
        <v>blue</v>
      </c>
      <c r="L183" s="7" t="str">
        <f>VLOOKUP(B183,[1]characters!$A:$K,11,FALSE)</f>
        <v>attack</v>
      </c>
      <c r="M183" s="7" t="str">
        <f>VLOOKUP(B183,[1]characters!$A:$M,13,FALSE)</f>
        <v>machine</v>
      </c>
      <c r="N183" s="7" t="str">
        <f>VLOOKUP(B183,[1]characters!$A:$G,7,FALSE)</f>
        <v>不明</v>
      </c>
      <c r="O183" s="45">
        <f ca="1">IFERROR(VLOOKUP(B183,input_586100!L:R,7,FALSE),VLOOKUP(tables_586100!C183,input_586100!A:H,8,FALSE))</f>
        <v>51796.153850000002</v>
      </c>
      <c r="P183" s="46">
        <f t="shared" ca="1" si="10"/>
        <v>4.0264423079812829E-4</v>
      </c>
      <c r="Q183" s="30">
        <v>1</v>
      </c>
      <c r="R183" s="30">
        <v>0</v>
      </c>
      <c r="S183" s="30">
        <v>0</v>
      </c>
      <c r="T183" s="30">
        <v>0</v>
      </c>
      <c r="U183" s="30">
        <v>0</v>
      </c>
      <c r="V183" s="30">
        <v>1</v>
      </c>
    </row>
    <row r="184" spans="1:22" ht="21" customHeight="1" x14ac:dyDescent="0.15">
      <c r="A184" s="2" t="str">
        <f ca="1">input_586100!A$2</f>
        <v>586100</v>
      </c>
      <c r="B184" s="5">
        <v>442</v>
      </c>
      <c r="C184" s="7" t="str">
        <f t="shared" si="11"/>
        <v>PremiumSS4</v>
      </c>
      <c r="D184" s="7" t="str">
        <f t="shared" si="12"/>
        <v>PremiumSS</v>
      </c>
      <c r="E184" s="7" t="str">
        <f>IF(COUNTIF('R6追加前'!A:A,B184)=0,IF(OR(I184="PremiumSS",I184="PremiumSSw"),"R5only","R3less"),"")</f>
        <v/>
      </c>
      <c r="F184" s="7" t="str">
        <f>IF(COUNTIF('R6開放'!A:A,B184)&gt;0,"R6release","")</f>
        <v/>
      </c>
      <c r="G184" s="7"/>
      <c r="H184" s="7" t="str">
        <f>VLOOKUP(B184,[1]characters!$A:$C,3,FALSE)</f>
        <v>ブレイブリー・ライオン</v>
      </c>
      <c r="I184" s="7" t="str">
        <f>VLOOKUP(B184,[1]characters!$A:$J,10,FALSE)</f>
        <v>PremiumSS</v>
      </c>
      <c r="J184" s="7">
        <f>VLOOKUP(B184,[1]characters!$A:$I,9,FALSE)</f>
        <v>4</v>
      </c>
      <c r="K184" s="7" t="str">
        <f>VLOOKUP(B184,[1]characters!$A:$H,8,FALSE)</f>
        <v>yellow</v>
      </c>
      <c r="L184" s="7" t="str">
        <f>VLOOKUP(B184,[1]characters!$A:$K,11,FALSE)</f>
        <v>hp</v>
      </c>
      <c r="M184" s="7" t="str">
        <f>VLOOKUP(B184,[1]characters!$A:$M,13,FALSE)</f>
        <v>animal</v>
      </c>
      <c r="N184" s="7" t="str">
        <f>VLOOKUP(B184,[1]characters!$A:$G,7,FALSE)</f>
        <v>不明</v>
      </c>
      <c r="O184" s="45">
        <f ca="1">IFERROR(VLOOKUP(B184,input_586100!L:R,7,FALSE),VLOOKUP(tables_586100!C184,input_586100!A:H,8,FALSE))</f>
        <v>172285.71429</v>
      </c>
      <c r="P184" s="46">
        <f t="shared" ca="1" si="10"/>
        <v>1.3392857143157001E-3</v>
      </c>
      <c r="Q184" s="30">
        <v>1</v>
      </c>
      <c r="R184" s="30">
        <v>0</v>
      </c>
      <c r="S184" s="30">
        <v>0</v>
      </c>
      <c r="T184" s="30">
        <v>0</v>
      </c>
      <c r="U184" s="30">
        <v>0</v>
      </c>
      <c r="V184" s="30">
        <v>1</v>
      </c>
    </row>
    <row r="185" spans="1:22" ht="21" customHeight="1" x14ac:dyDescent="0.15">
      <c r="A185" s="2" t="str">
        <f ca="1">input_586100!A$2</f>
        <v>586100</v>
      </c>
      <c r="B185" s="5">
        <v>443</v>
      </c>
      <c r="C185" s="7" t="str">
        <f t="shared" si="11"/>
        <v>PremiumSS5</v>
      </c>
      <c r="D185" s="7" t="str">
        <f t="shared" si="12"/>
        <v>PremiumSS</v>
      </c>
      <c r="E185" s="7" t="str">
        <f>IF(COUNTIF('R6追加前'!A:A,B185)=0,IF(OR(I185="PremiumSS",I185="PremiumSSw"),"R5only","R3less"),"")</f>
        <v/>
      </c>
      <c r="F185" s="7" t="str">
        <f>IF(COUNTIF('R6開放'!A:A,B185)&gt;0,"R6release","")</f>
        <v/>
      </c>
      <c r="G185" s="7"/>
      <c r="H185" s="7" t="str">
        <f>VLOOKUP(B185,[1]characters!$A:$C,3,FALSE)</f>
        <v>勇機結集 ブレイブリー・ライオン</v>
      </c>
      <c r="I185" s="7" t="str">
        <f>VLOOKUP(B185,[1]characters!$A:$J,10,FALSE)</f>
        <v>PremiumSS</v>
      </c>
      <c r="J185" s="7">
        <f>VLOOKUP(B185,[1]characters!$A:$I,9,FALSE)</f>
        <v>5</v>
      </c>
      <c r="K185" s="7" t="str">
        <f>VLOOKUP(B185,[1]characters!$A:$H,8,FALSE)</f>
        <v>yellow</v>
      </c>
      <c r="L185" s="7" t="str">
        <f>VLOOKUP(B185,[1]characters!$A:$K,11,FALSE)</f>
        <v>hp</v>
      </c>
      <c r="M185" s="7" t="str">
        <f>VLOOKUP(B185,[1]characters!$A:$M,13,FALSE)</f>
        <v>animal</v>
      </c>
      <c r="N185" s="7" t="str">
        <f>VLOOKUP(B185,[1]characters!$A:$G,7,FALSE)</f>
        <v>不明</v>
      </c>
      <c r="O185" s="45">
        <f ca="1">IFERROR(VLOOKUP(B185,input_586100!L:R,7,FALSE),VLOOKUP(tables_586100!C185,input_586100!A:H,8,FALSE))</f>
        <v>67000</v>
      </c>
      <c r="P185" s="46">
        <f t="shared" ca="1" si="10"/>
        <v>5.2083333333203836E-4</v>
      </c>
      <c r="Q185" s="30">
        <v>1</v>
      </c>
      <c r="R185" s="30">
        <v>0</v>
      </c>
      <c r="S185" s="30">
        <v>0</v>
      </c>
      <c r="T185" s="30">
        <v>0</v>
      </c>
      <c r="U185" s="30">
        <v>0</v>
      </c>
      <c r="V185" s="30">
        <v>1</v>
      </c>
    </row>
    <row r="186" spans="1:22" ht="21" customHeight="1" x14ac:dyDescent="0.15">
      <c r="A186" s="2" t="str">
        <f ca="1">input_586100!A$2</f>
        <v>586100</v>
      </c>
      <c r="B186" s="5">
        <v>462</v>
      </c>
      <c r="C186" s="7" t="str">
        <f t="shared" si="11"/>
        <v>Premium3</v>
      </c>
      <c r="D186" s="7" t="str">
        <f t="shared" si="12"/>
        <v>Premium</v>
      </c>
      <c r="E186" s="7" t="str">
        <f>IF(COUNTIF('R6追加前'!A:A,B186)=0,IF(OR(I186="PremiumSS",I186="PremiumSSw"),"R5only","R3less"),"")</f>
        <v/>
      </c>
      <c r="F186" s="7" t="str">
        <f>IF(COUNTIF('R6開放'!A:A,B186)&gt;0,"R6release","")</f>
        <v/>
      </c>
      <c r="G186" s="7"/>
      <c r="H186" s="7" t="str">
        <f>VLOOKUP(B186,[1]characters!$A:$C,3,FALSE)</f>
        <v>ガウェイン</v>
      </c>
      <c r="I186" s="7" t="str">
        <f>VLOOKUP(B186,[1]characters!$A:$J,10,FALSE)</f>
        <v>PremiumS</v>
      </c>
      <c r="J186" s="7">
        <f>VLOOKUP(B186,[1]characters!$A:$I,9,FALSE)</f>
        <v>3</v>
      </c>
      <c r="K186" s="7" t="str">
        <f>VLOOKUP(B186,[1]characters!$A:$H,8,FALSE)</f>
        <v>red</v>
      </c>
      <c r="L186" s="7" t="str">
        <f>VLOOKUP(B186,[1]characters!$A:$K,11,FALSE)</f>
        <v>hp</v>
      </c>
      <c r="M186" s="7" t="str">
        <f>VLOOKUP(B186,[1]characters!$A:$M,13,FALSE)</f>
        <v>human</v>
      </c>
      <c r="N186" s="7" t="str">
        <f>VLOOKUP(B186,[1]characters!$A:$G,7,FALSE)</f>
        <v>男性</v>
      </c>
      <c r="O186" s="45">
        <f ca="1">IFERROR(VLOOKUP(B186,input_586100!L:R,7,FALSE),VLOOKUP(tables_586100!C186,input_586100!A:H,8,FALSE))</f>
        <v>0</v>
      </c>
      <c r="P186" s="46">
        <f t="shared" ca="1" si="10"/>
        <v>0</v>
      </c>
      <c r="Q186" s="30">
        <v>1</v>
      </c>
      <c r="R186" s="30">
        <v>0</v>
      </c>
      <c r="S186" s="30">
        <v>0</v>
      </c>
      <c r="T186" s="30">
        <v>0</v>
      </c>
      <c r="U186" s="30">
        <v>0</v>
      </c>
      <c r="V186" s="30">
        <v>1</v>
      </c>
    </row>
    <row r="187" spans="1:22" ht="21" customHeight="1" x14ac:dyDescent="0.15">
      <c r="A187" s="2" t="str">
        <f ca="1">input_586100!A$2</f>
        <v>586100</v>
      </c>
      <c r="B187" s="5">
        <v>463</v>
      </c>
      <c r="C187" s="7" t="str">
        <f t="shared" si="11"/>
        <v>Premium4</v>
      </c>
      <c r="D187" s="7" t="str">
        <f t="shared" si="12"/>
        <v>Premium</v>
      </c>
      <c r="E187" s="7" t="str">
        <f>IF(COUNTIF('R6追加前'!A:A,B187)=0,IF(OR(I187="PremiumSS",I187="PremiumSSw"),"R5only","R3less"),"")</f>
        <v/>
      </c>
      <c r="F187" s="7" t="str">
        <f>IF(COUNTIF('R6開放'!A:A,B187)&gt;0,"R6release","")</f>
        <v/>
      </c>
      <c r="G187" s="7"/>
      <c r="H187" s="7" t="str">
        <f>VLOOKUP(B187,[1]characters!$A:$C,3,FALSE)</f>
        <v>燻銀 ガウェイン</v>
      </c>
      <c r="I187" s="7" t="str">
        <f>VLOOKUP(B187,[1]characters!$A:$J,10,FALSE)</f>
        <v>PremiumS</v>
      </c>
      <c r="J187" s="7">
        <f>VLOOKUP(B187,[1]characters!$A:$I,9,FALSE)</f>
        <v>4</v>
      </c>
      <c r="K187" s="7" t="str">
        <f>VLOOKUP(B187,[1]characters!$A:$H,8,FALSE)</f>
        <v>red</v>
      </c>
      <c r="L187" s="7" t="str">
        <f>VLOOKUP(B187,[1]characters!$A:$K,11,FALSE)</f>
        <v>hp</v>
      </c>
      <c r="M187" s="7" t="str">
        <f>VLOOKUP(B187,[1]characters!$A:$M,13,FALSE)</f>
        <v>human</v>
      </c>
      <c r="N187" s="7" t="str">
        <f>VLOOKUP(B187,[1]characters!$A:$G,7,FALSE)</f>
        <v>男性</v>
      </c>
      <c r="O187" s="45">
        <f ca="1">IFERROR(VLOOKUP(B187,input_586100!L:R,7,FALSE),VLOOKUP(tables_586100!C187,input_586100!A:H,8,FALSE))</f>
        <v>1097460</v>
      </c>
      <c r="P187" s="46">
        <f t="shared" ca="1" si="10"/>
        <v>8.5312499999787884E-3</v>
      </c>
      <c r="Q187" s="30">
        <v>1</v>
      </c>
      <c r="R187" s="30">
        <v>0</v>
      </c>
      <c r="S187" s="30">
        <v>0</v>
      </c>
      <c r="T187" s="30">
        <v>0</v>
      </c>
      <c r="U187" s="30">
        <v>0</v>
      </c>
      <c r="V187" s="30">
        <v>1</v>
      </c>
    </row>
    <row r="188" spans="1:22" ht="21" customHeight="1" x14ac:dyDescent="0.15">
      <c r="A188" s="2" t="str">
        <f ca="1">input_586100!A$2</f>
        <v>586100</v>
      </c>
      <c r="B188" s="5">
        <v>464</v>
      </c>
      <c r="C188" s="7" t="str">
        <f t="shared" si="11"/>
        <v>Premium5</v>
      </c>
      <c r="D188" s="7" t="str">
        <f t="shared" si="12"/>
        <v>Premium</v>
      </c>
      <c r="E188" s="7" t="str">
        <f>IF(COUNTIF('R6追加前'!A:A,B188)=0,IF(OR(I188="PremiumSS",I188="PremiumSSw"),"R5only","R3less"),"")</f>
        <v/>
      </c>
      <c r="F188" s="7" t="str">
        <f>IF(COUNTIF('R6開放'!A:A,B188)&gt;0,"R6release","")</f>
        <v/>
      </c>
      <c r="G188" s="7"/>
      <c r="H188" s="7" t="str">
        <f>VLOOKUP(B188,[1]characters!$A:$C,3,FALSE)</f>
        <v>円熟の弾導 ガウェイン</v>
      </c>
      <c r="I188" s="7" t="str">
        <f>VLOOKUP(B188,[1]characters!$A:$J,10,FALSE)</f>
        <v>PremiumS</v>
      </c>
      <c r="J188" s="7">
        <f>VLOOKUP(B188,[1]characters!$A:$I,9,FALSE)</f>
        <v>5</v>
      </c>
      <c r="K188" s="7" t="str">
        <f>VLOOKUP(B188,[1]characters!$A:$H,8,FALSE)</f>
        <v>red</v>
      </c>
      <c r="L188" s="7" t="str">
        <f>VLOOKUP(B188,[1]characters!$A:$K,11,FALSE)</f>
        <v>hp</v>
      </c>
      <c r="M188" s="7" t="str">
        <f>VLOOKUP(B188,[1]characters!$A:$M,13,FALSE)</f>
        <v>human</v>
      </c>
      <c r="N188" s="7" t="str">
        <f>VLOOKUP(B188,[1]characters!$A:$G,7,FALSE)</f>
        <v>男性</v>
      </c>
      <c r="O188" s="45">
        <f ca="1">IFERROR(VLOOKUP(B188,input_586100!L:R,7,FALSE),VLOOKUP(tables_586100!C188,input_586100!A:H,8,FALSE))</f>
        <v>51796.153850000002</v>
      </c>
      <c r="P188" s="46">
        <f t="shared" ca="1" si="10"/>
        <v>4.0264423079812829E-4</v>
      </c>
      <c r="Q188" s="30">
        <v>1</v>
      </c>
      <c r="R188" s="30">
        <v>0</v>
      </c>
      <c r="S188" s="30">
        <v>0</v>
      </c>
      <c r="T188" s="30">
        <v>0</v>
      </c>
      <c r="U188" s="30">
        <v>0</v>
      </c>
      <c r="V188" s="30">
        <v>1</v>
      </c>
    </row>
    <row r="189" spans="1:22" ht="21" customHeight="1" x14ac:dyDescent="0.15">
      <c r="A189" s="2" t="str">
        <f ca="1">input_586100!A$2</f>
        <v>586100</v>
      </c>
      <c r="B189" s="5">
        <v>465</v>
      </c>
      <c r="C189" s="7" t="str">
        <f t="shared" si="11"/>
        <v>PremiumSS4</v>
      </c>
      <c r="D189" s="7" t="str">
        <f t="shared" si="12"/>
        <v>PremiumSS</v>
      </c>
      <c r="E189" s="7" t="str">
        <f>IF(COUNTIF('R6追加前'!A:A,B189)=0,IF(OR(I189="PremiumSS",I189="PremiumSSw"),"R5only","R3less"),"")</f>
        <v/>
      </c>
      <c r="F189" s="7" t="str">
        <f>IF(COUNTIF('R6開放'!A:A,B189)&gt;0,"R6release","")</f>
        <v/>
      </c>
      <c r="G189" s="7"/>
      <c r="H189" s="7" t="str">
        <f>VLOOKUP(B189,[1]characters!$A:$C,3,FALSE)</f>
        <v>真撃 ランスロット</v>
      </c>
      <c r="I189" s="7" t="str">
        <f>VLOOKUP(B189,[1]characters!$A:$J,10,FALSE)</f>
        <v>PremiumSS</v>
      </c>
      <c r="J189" s="7">
        <f>VLOOKUP(B189,[1]characters!$A:$I,9,FALSE)</f>
        <v>4</v>
      </c>
      <c r="K189" s="7" t="str">
        <f>VLOOKUP(B189,[1]characters!$A:$H,8,FALSE)</f>
        <v>green</v>
      </c>
      <c r="L189" s="7" t="str">
        <f>VLOOKUP(B189,[1]characters!$A:$K,11,FALSE)</f>
        <v>balance</v>
      </c>
      <c r="M189" s="7" t="str">
        <f>VLOOKUP(B189,[1]characters!$A:$M,13,FALSE)</f>
        <v>human</v>
      </c>
      <c r="N189" s="7" t="str">
        <f>VLOOKUP(B189,[1]characters!$A:$G,7,FALSE)</f>
        <v>男性</v>
      </c>
      <c r="O189" s="45">
        <f ca="1">IFERROR(VLOOKUP(B189,input_586100!L:R,7,FALSE),VLOOKUP(tables_586100!C189,input_586100!A:H,8,FALSE))</f>
        <v>172285.71429</v>
      </c>
      <c r="P189" s="46">
        <f t="shared" ca="1" si="10"/>
        <v>1.3392857143157001E-3</v>
      </c>
      <c r="Q189" s="30">
        <v>1</v>
      </c>
      <c r="R189" s="30">
        <v>0</v>
      </c>
      <c r="S189" s="30">
        <v>0</v>
      </c>
      <c r="T189" s="30">
        <v>0</v>
      </c>
      <c r="U189" s="30">
        <v>0</v>
      </c>
      <c r="V189" s="30">
        <v>1</v>
      </c>
    </row>
    <row r="190" spans="1:22" ht="21" customHeight="1" x14ac:dyDescent="0.15">
      <c r="A190" s="2" t="str">
        <f ca="1">input_586100!A$2</f>
        <v>586100</v>
      </c>
      <c r="B190" s="5">
        <v>466</v>
      </c>
      <c r="C190" s="7" t="str">
        <f t="shared" si="11"/>
        <v>PremiumSS5</v>
      </c>
      <c r="D190" s="7" t="str">
        <f t="shared" si="12"/>
        <v>PremiumSS</v>
      </c>
      <c r="E190" s="7" t="str">
        <f>IF(COUNTIF('R6追加前'!A:A,B190)=0,IF(OR(I190="PremiumSS",I190="PremiumSSw"),"R5only","R3less"),"")</f>
        <v/>
      </c>
      <c r="F190" s="7" t="str">
        <f>IF(COUNTIF('R6開放'!A:A,B190)&gt;0,"R6release","")</f>
        <v/>
      </c>
      <c r="G190" s="7"/>
      <c r="H190" s="7" t="str">
        <f>VLOOKUP(B190,[1]characters!$A:$C,3,FALSE)</f>
        <v>真断の勇覇 ランスロット</v>
      </c>
      <c r="I190" s="7" t="str">
        <f>VLOOKUP(B190,[1]characters!$A:$J,10,FALSE)</f>
        <v>PremiumSS</v>
      </c>
      <c r="J190" s="7">
        <f>VLOOKUP(B190,[1]characters!$A:$I,9,FALSE)</f>
        <v>5</v>
      </c>
      <c r="K190" s="7" t="str">
        <f>VLOOKUP(B190,[1]characters!$A:$H,8,FALSE)</f>
        <v>green</v>
      </c>
      <c r="L190" s="7" t="str">
        <f>VLOOKUP(B190,[1]characters!$A:$K,11,FALSE)</f>
        <v>balance</v>
      </c>
      <c r="M190" s="7" t="str">
        <f>VLOOKUP(B190,[1]characters!$A:$M,13,FALSE)</f>
        <v>human</v>
      </c>
      <c r="N190" s="7" t="str">
        <f>VLOOKUP(B190,[1]characters!$A:$G,7,FALSE)</f>
        <v>男性</v>
      </c>
      <c r="O190" s="45">
        <f ca="1">IFERROR(VLOOKUP(B190,input_586100!L:R,7,FALSE),VLOOKUP(tables_586100!C190,input_586100!A:H,8,FALSE))</f>
        <v>67000</v>
      </c>
      <c r="P190" s="46">
        <f t="shared" ca="1" si="10"/>
        <v>5.2083333333203836E-4</v>
      </c>
      <c r="Q190" s="30">
        <v>1</v>
      </c>
      <c r="R190" s="30">
        <v>0</v>
      </c>
      <c r="S190" s="30">
        <v>0</v>
      </c>
      <c r="T190" s="30">
        <v>0</v>
      </c>
      <c r="U190" s="30">
        <v>0</v>
      </c>
      <c r="V190" s="30">
        <v>1</v>
      </c>
    </row>
    <row r="191" spans="1:22" ht="21" customHeight="1" x14ac:dyDescent="0.15">
      <c r="A191" s="2" t="str">
        <f ca="1">input_586100!A$2</f>
        <v>586100</v>
      </c>
      <c r="B191" s="5">
        <v>467</v>
      </c>
      <c r="C191" s="7" t="str">
        <f t="shared" si="11"/>
        <v>PremiumSS4</v>
      </c>
      <c r="D191" s="7" t="str">
        <f t="shared" si="12"/>
        <v>PremiumSS</v>
      </c>
      <c r="E191" s="7" t="str">
        <f>IF(COUNTIF('R6追加前'!A:A,B191)=0,IF(OR(I191="PremiumSS",I191="PremiumSSw"),"R5only","R3less"),"")</f>
        <v/>
      </c>
      <c r="F191" s="7" t="str">
        <f>IF(COUNTIF('R6開放'!A:A,B191)&gt;0,"R6release","")</f>
        <v/>
      </c>
      <c r="G191" s="7"/>
      <c r="H191" s="7" t="str">
        <f>VLOOKUP(B191,[1]characters!$A:$C,3,FALSE)</f>
        <v>報復 モルドレッド</v>
      </c>
      <c r="I191" s="7" t="str">
        <f>VLOOKUP(B191,[1]characters!$A:$J,10,FALSE)</f>
        <v>PremiumSS</v>
      </c>
      <c r="J191" s="7">
        <f>VLOOKUP(B191,[1]characters!$A:$I,9,FALSE)</f>
        <v>4</v>
      </c>
      <c r="K191" s="7" t="str">
        <f>VLOOKUP(B191,[1]characters!$A:$H,8,FALSE)</f>
        <v>blue</v>
      </c>
      <c r="L191" s="7" t="str">
        <f>VLOOKUP(B191,[1]characters!$A:$K,11,FALSE)</f>
        <v>technical</v>
      </c>
      <c r="M191" s="7" t="str">
        <f>VLOOKUP(B191,[1]characters!$A:$M,13,FALSE)</f>
        <v>human</v>
      </c>
      <c r="N191" s="7" t="str">
        <f>VLOOKUP(B191,[1]characters!$A:$G,7,FALSE)</f>
        <v>女性</v>
      </c>
      <c r="O191" s="45">
        <f ca="1">IFERROR(VLOOKUP(B191,input_586100!L:R,7,FALSE),VLOOKUP(tables_586100!C191,input_586100!A:H,8,FALSE))</f>
        <v>172285.71429</v>
      </c>
      <c r="P191" s="46">
        <f t="shared" ca="1" si="10"/>
        <v>1.3392857143157001E-3</v>
      </c>
      <c r="Q191" s="30">
        <v>1</v>
      </c>
      <c r="R191" s="30">
        <v>0</v>
      </c>
      <c r="S191" s="30">
        <v>0</v>
      </c>
      <c r="T191" s="30">
        <v>0</v>
      </c>
      <c r="U191" s="30">
        <v>0</v>
      </c>
      <c r="V191" s="30">
        <v>1</v>
      </c>
    </row>
    <row r="192" spans="1:22" ht="21" customHeight="1" x14ac:dyDescent="0.15">
      <c r="A192" s="2" t="str">
        <f ca="1">input_586100!A$2</f>
        <v>586100</v>
      </c>
      <c r="B192" s="5">
        <v>468</v>
      </c>
      <c r="C192" s="7" t="str">
        <f t="shared" si="11"/>
        <v>PremiumSS5</v>
      </c>
      <c r="D192" s="7" t="str">
        <f t="shared" si="12"/>
        <v>PremiumSS</v>
      </c>
      <c r="E192" s="7" t="str">
        <f>IF(COUNTIF('R6追加前'!A:A,B192)=0,IF(OR(I192="PremiumSS",I192="PremiumSSw"),"R5only","R3less"),"")</f>
        <v/>
      </c>
      <c r="F192" s="7" t="str">
        <f>IF(COUNTIF('R6開放'!A:A,B192)&gt;0,"R6release","")</f>
        <v/>
      </c>
      <c r="G192" s="7"/>
      <c r="H192" s="7" t="str">
        <f>VLOOKUP(B192,[1]characters!$A:$C,3,FALSE)</f>
        <v>憎愛の尖鋒 モルドレッド</v>
      </c>
      <c r="I192" s="7" t="str">
        <f>VLOOKUP(B192,[1]characters!$A:$J,10,FALSE)</f>
        <v>PremiumSS</v>
      </c>
      <c r="J192" s="7">
        <f>VLOOKUP(B192,[1]characters!$A:$I,9,FALSE)</f>
        <v>5</v>
      </c>
      <c r="K192" s="7" t="str">
        <f>VLOOKUP(B192,[1]characters!$A:$H,8,FALSE)</f>
        <v>blue</v>
      </c>
      <c r="L192" s="7" t="str">
        <f>VLOOKUP(B192,[1]characters!$A:$K,11,FALSE)</f>
        <v>technical</v>
      </c>
      <c r="M192" s="7" t="str">
        <f>VLOOKUP(B192,[1]characters!$A:$M,13,FALSE)</f>
        <v>human</v>
      </c>
      <c r="N192" s="7" t="str">
        <f>VLOOKUP(B192,[1]characters!$A:$G,7,FALSE)</f>
        <v>女性</v>
      </c>
      <c r="O192" s="45">
        <f ca="1">IFERROR(VLOOKUP(B192,input_586100!L:R,7,FALSE),VLOOKUP(tables_586100!C192,input_586100!A:H,8,FALSE))</f>
        <v>67000</v>
      </c>
      <c r="P192" s="46">
        <f t="shared" ca="1" si="10"/>
        <v>5.2083333333203836E-4</v>
      </c>
      <c r="Q192" s="30">
        <v>1</v>
      </c>
      <c r="R192" s="30">
        <v>0</v>
      </c>
      <c r="S192" s="30">
        <v>0</v>
      </c>
      <c r="T192" s="30">
        <v>0</v>
      </c>
      <c r="U192" s="30">
        <v>0</v>
      </c>
      <c r="V192" s="30">
        <v>1</v>
      </c>
    </row>
    <row r="193" spans="1:22" ht="21" customHeight="1" x14ac:dyDescent="0.15">
      <c r="A193" s="2" t="str">
        <f ca="1">input_586100!A$2</f>
        <v>586100</v>
      </c>
      <c r="B193" s="5">
        <v>469</v>
      </c>
      <c r="C193" s="7" t="str">
        <f t="shared" si="11"/>
        <v>Premium3</v>
      </c>
      <c r="D193" s="7" t="str">
        <f t="shared" si="12"/>
        <v>Premium</v>
      </c>
      <c r="E193" s="7" t="str">
        <f>IF(COUNTIF('R6追加前'!A:A,B193)=0,IF(OR(I193="PremiumSS",I193="PremiumSSw"),"R5only","R3less"),"")</f>
        <v/>
      </c>
      <c r="F193" s="7" t="str">
        <f>IF(COUNTIF('R6開放'!A:A,B193)&gt;0,"R6release","")</f>
        <v/>
      </c>
      <c r="G193" s="7"/>
      <c r="H193" s="7" t="str">
        <f>VLOOKUP(B193,[1]characters!$A:$C,3,FALSE)</f>
        <v>トリスタン</v>
      </c>
      <c r="I193" s="7" t="str">
        <f>VLOOKUP(B193,[1]characters!$A:$J,10,FALSE)</f>
        <v>PremiumS</v>
      </c>
      <c r="J193" s="7">
        <f>VLOOKUP(B193,[1]characters!$A:$I,9,FALSE)</f>
        <v>3</v>
      </c>
      <c r="K193" s="7" t="str">
        <f>VLOOKUP(B193,[1]characters!$A:$H,8,FALSE)</f>
        <v>yellow</v>
      </c>
      <c r="L193" s="7" t="str">
        <f>VLOOKUP(B193,[1]characters!$A:$K,11,FALSE)</f>
        <v>attack</v>
      </c>
      <c r="M193" s="7" t="str">
        <f>VLOOKUP(B193,[1]characters!$A:$M,13,FALSE)</f>
        <v>human</v>
      </c>
      <c r="N193" s="7" t="str">
        <f>VLOOKUP(B193,[1]characters!$A:$G,7,FALSE)</f>
        <v>男性</v>
      </c>
      <c r="O193" s="45">
        <f ca="1">IFERROR(VLOOKUP(B193,input_586100!L:R,7,FALSE),VLOOKUP(tables_586100!C193,input_586100!A:H,8,FALSE))</f>
        <v>0</v>
      </c>
      <c r="P193" s="46">
        <f t="shared" ca="1" si="10"/>
        <v>0</v>
      </c>
      <c r="Q193" s="30">
        <v>1</v>
      </c>
      <c r="R193" s="30">
        <v>0</v>
      </c>
      <c r="S193" s="30">
        <v>0</v>
      </c>
      <c r="T193" s="30">
        <v>0</v>
      </c>
      <c r="U193" s="30">
        <v>0</v>
      </c>
      <c r="V193" s="30">
        <v>1</v>
      </c>
    </row>
    <row r="194" spans="1:22" ht="21" customHeight="1" x14ac:dyDescent="0.15">
      <c r="A194" s="2" t="str">
        <f ca="1">input_586100!A$2</f>
        <v>586100</v>
      </c>
      <c r="B194" s="5">
        <v>470</v>
      </c>
      <c r="C194" s="7" t="str">
        <f t="shared" si="11"/>
        <v>Premium4</v>
      </c>
      <c r="D194" s="7" t="str">
        <f t="shared" si="12"/>
        <v>Premium</v>
      </c>
      <c r="E194" s="7" t="str">
        <f>IF(COUNTIF('R6追加前'!A:A,B194)=0,IF(OR(I194="PremiumSS",I194="PremiumSSw"),"R5only","R3less"),"")</f>
        <v/>
      </c>
      <c r="F194" s="7" t="str">
        <f>IF(COUNTIF('R6開放'!A:A,B194)&gt;0,"R6release","")</f>
        <v/>
      </c>
      <c r="G194" s="7"/>
      <c r="H194" s="7" t="str">
        <f>VLOOKUP(B194,[1]characters!$A:$C,3,FALSE)</f>
        <v>純心 トリスタン</v>
      </c>
      <c r="I194" s="7" t="str">
        <f>VLOOKUP(B194,[1]characters!$A:$J,10,FALSE)</f>
        <v>PremiumS</v>
      </c>
      <c r="J194" s="7">
        <f>VLOOKUP(B194,[1]characters!$A:$I,9,FALSE)</f>
        <v>4</v>
      </c>
      <c r="K194" s="7" t="str">
        <f>VLOOKUP(B194,[1]characters!$A:$H,8,FALSE)</f>
        <v>yellow</v>
      </c>
      <c r="L194" s="7" t="str">
        <f>VLOOKUP(B194,[1]characters!$A:$K,11,FALSE)</f>
        <v>attack</v>
      </c>
      <c r="M194" s="7" t="str">
        <f>VLOOKUP(B194,[1]characters!$A:$M,13,FALSE)</f>
        <v>human</v>
      </c>
      <c r="N194" s="7" t="str">
        <f>VLOOKUP(B194,[1]characters!$A:$G,7,FALSE)</f>
        <v>男性</v>
      </c>
      <c r="O194" s="45">
        <f ca="1">IFERROR(VLOOKUP(B194,input_586100!L:R,7,FALSE),VLOOKUP(tables_586100!C194,input_586100!A:H,8,FALSE))</f>
        <v>1097460</v>
      </c>
      <c r="P194" s="46">
        <f t="shared" ref="P194:P257" ca="1" si="13">O194/SUM(O:O)</f>
        <v>8.5312499999787884E-3</v>
      </c>
      <c r="Q194" s="30">
        <v>1</v>
      </c>
      <c r="R194" s="30">
        <v>0</v>
      </c>
      <c r="S194" s="30">
        <v>0</v>
      </c>
      <c r="T194" s="30">
        <v>0</v>
      </c>
      <c r="U194" s="30">
        <v>0</v>
      </c>
      <c r="V194" s="30">
        <v>1</v>
      </c>
    </row>
    <row r="195" spans="1:22" ht="21" customHeight="1" x14ac:dyDescent="0.15">
      <c r="A195" s="2" t="str">
        <f ca="1">input_586100!A$2</f>
        <v>586100</v>
      </c>
      <c r="B195" s="5">
        <v>471</v>
      </c>
      <c r="C195" s="7" t="str">
        <f t="shared" si="11"/>
        <v>Premium5</v>
      </c>
      <c r="D195" s="7" t="str">
        <f t="shared" si="12"/>
        <v>Premium</v>
      </c>
      <c r="E195" s="7" t="str">
        <f>IF(COUNTIF('R6追加前'!A:A,B195)=0,IF(OR(I195="PremiumSS",I195="PremiumSSw"),"R5only","R3less"),"")</f>
        <v/>
      </c>
      <c r="F195" s="7" t="str">
        <f>IF(COUNTIF('R6開放'!A:A,B195)&gt;0,"R6release","")</f>
        <v/>
      </c>
      <c r="G195" s="7"/>
      <c r="H195" s="7" t="str">
        <f>VLOOKUP(B195,[1]characters!$A:$C,3,FALSE)</f>
        <v>不可避の爆激 トリスタン</v>
      </c>
      <c r="I195" s="7" t="str">
        <f>VLOOKUP(B195,[1]characters!$A:$J,10,FALSE)</f>
        <v>PremiumS</v>
      </c>
      <c r="J195" s="7">
        <f>VLOOKUP(B195,[1]characters!$A:$I,9,FALSE)</f>
        <v>5</v>
      </c>
      <c r="K195" s="7" t="str">
        <f>VLOOKUP(B195,[1]characters!$A:$H,8,FALSE)</f>
        <v>yellow</v>
      </c>
      <c r="L195" s="7" t="str">
        <f>VLOOKUP(B195,[1]characters!$A:$K,11,FALSE)</f>
        <v>attack</v>
      </c>
      <c r="M195" s="7" t="str">
        <f>VLOOKUP(B195,[1]characters!$A:$M,13,FALSE)</f>
        <v>human</v>
      </c>
      <c r="N195" s="7" t="str">
        <f>VLOOKUP(B195,[1]characters!$A:$G,7,FALSE)</f>
        <v>男性</v>
      </c>
      <c r="O195" s="45">
        <f ca="1">IFERROR(VLOOKUP(B195,input_586100!L:R,7,FALSE),VLOOKUP(tables_586100!C195,input_586100!A:H,8,FALSE))</f>
        <v>51796.153850000002</v>
      </c>
      <c r="P195" s="46">
        <f t="shared" ca="1" si="13"/>
        <v>4.0264423079812829E-4</v>
      </c>
      <c r="Q195" s="30">
        <v>1</v>
      </c>
      <c r="R195" s="30">
        <v>0</v>
      </c>
      <c r="S195" s="30">
        <v>0</v>
      </c>
      <c r="T195" s="30">
        <v>0</v>
      </c>
      <c r="U195" s="30">
        <v>0</v>
      </c>
      <c r="V195" s="30">
        <v>1</v>
      </c>
    </row>
    <row r="196" spans="1:22" ht="21" customHeight="1" x14ac:dyDescent="0.15">
      <c r="A196" s="2" t="str">
        <f ca="1">input_586100!A$2</f>
        <v>586100</v>
      </c>
      <c r="B196" s="5">
        <v>474</v>
      </c>
      <c r="C196" s="7" t="str">
        <f t="shared" si="11"/>
        <v>PremiumSS4</v>
      </c>
      <c r="D196" s="7" t="str">
        <f t="shared" si="12"/>
        <v>PremiumSS</v>
      </c>
      <c r="E196" s="7" t="str">
        <f>IF(COUNTIF('R6追加前'!A:A,B196)=0,IF(OR(I196="PremiumSS",I196="PremiumSSw"),"R5only","R3less"),"")</f>
        <v/>
      </c>
      <c r="F196" s="7" t="str">
        <f>IF(COUNTIF('R6開放'!A:A,B196)&gt;0,"R6release","")</f>
        <v/>
      </c>
      <c r="G196" s="7"/>
      <c r="H196" s="7" t="str">
        <f>VLOOKUP(B196,[1]characters!$A:$C,3,FALSE)</f>
        <v>キング・ドライグ</v>
      </c>
      <c r="I196" s="7" t="str">
        <f>VLOOKUP(B196,[1]characters!$A:$J,10,FALSE)</f>
        <v>PremiumSS</v>
      </c>
      <c r="J196" s="7">
        <f>VLOOKUP(B196,[1]characters!$A:$I,9,FALSE)</f>
        <v>4</v>
      </c>
      <c r="K196" s="7" t="str">
        <f>VLOOKUP(B196,[1]characters!$A:$H,8,FALSE)</f>
        <v>red</v>
      </c>
      <c r="L196" s="7" t="str">
        <f>VLOOKUP(B196,[1]characters!$A:$K,11,FALSE)</f>
        <v>attack</v>
      </c>
      <c r="M196" s="7" t="str">
        <f>VLOOKUP(B196,[1]characters!$A:$M,13,FALSE)</f>
        <v>dragon</v>
      </c>
      <c r="N196" s="7" t="str">
        <f>VLOOKUP(B196,[1]characters!$A:$G,7,FALSE)</f>
        <v>不明</v>
      </c>
      <c r="O196" s="45">
        <f ca="1">IFERROR(VLOOKUP(B196,input_586100!L:R,7,FALSE),VLOOKUP(tables_586100!C196,input_586100!A:H,8,FALSE))</f>
        <v>172285.71429</v>
      </c>
      <c r="P196" s="46">
        <f t="shared" ca="1" si="13"/>
        <v>1.3392857143157001E-3</v>
      </c>
      <c r="Q196" s="30">
        <v>1</v>
      </c>
      <c r="R196" s="30">
        <v>0</v>
      </c>
      <c r="S196" s="30">
        <v>0</v>
      </c>
      <c r="T196" s="30">
        <v>0</v>
      </c>
      <c r="U196" s="30">
        <v>0</v>
      </c>
      <c r="V196" s="30">
        <v>1</v>
      </c>
    </row>
    <row r="197" spans="1:22" ht="21" customHeight="1" x14ac:dyDescent="0.15">
      <c r="A197" s="2" t="str">
        <f ca="1">input_586100!A$2</f>
        <v>586100</v>
      </c>
      <c r="B197" s="5">
        <v>475</v>
      </c>
      <c r="C197" s="7" t="str">
        <f t="shared" si="11"/>
        <v>PremiumSS5</v>
      </c>
      <c r="D197" s="7" t="str">
        <f t="shared" si="12"/>
        <v>PremiumSS</v>
      </c>
      <c r="E197" s="7" t="str">
        <f>IF(COUNTIF('R6追加前'!A:A,B197)=0,IF(OR(I197="PremiumSS",I197="PremiumSSw"),"R5only","R3less"),"")</f>
        <v/>
      </c>
      <c r="F197" s="7" t="str">
        <f>IF(COUNTIF('R6開放'!A:A,B197)&gt;0,"R6release","")</f>
        <v/>
      </c>
      <c r="G197" s="7"/>
      <c r="H197" s="7" t="str">
        <f>VLOOKUP(B197,[1]characters!$A:$C,3,FALSE)</f>
        <v>緋王 キング・ドライグ</v>
      </c>
      <c r="I197" s="7" t="str">
        <f>VLOOKUP(B197,[1]characters!$A:$J,10,FALSE)</f>
        <v>PremiumSS</v>
      </c>
      <c r="J197" s="7">
        <f>VLOOKUP(B197,[1]characters!$A:$I,9,FALSE)</f>
        <v>5</v>
      </c>
      <c r="K197" s="7" t="str">
        <f>VLOOKUP(B197,[1]characters!$A:$H,8,FALSE)</f>
        <v>red</v>
      </c>
      <c r="L197" s="7" t="str">
        <f>VLOOKUP(B197,[1]characters!$A:$K,11,FALSE)</f>
        <v>attack</v>
      </c>
      <c r="M197" s="7" t="str">
        <f>VLOOKUP(B197,[1]characters!$A:$M,13,FALSE)</f>
        <v>dragon</v>
      </c>
      <c r="N197" s="7" t="str">
        <f>VLOOKUP(B197,[1]characters!$A:$G,7,FALSE)</f>
        <v>不明</v>
      </c>
      <c r="O197" s="45">
        <f ca="1">IFERROR(VLOOKUP(B197,input_586100!L:R,7,FALSE),VLOOKUP(tables_586100!C197,input_586100!A:H,8,FALSE))</f>
        <v>67000</v>
      </c>
      <c r="P197" s="46">
        <f t="shared" ca="1" si="13"/>
        <v>5.2083333333203836E-4</v>
      </c>
      <c r="Q197" s="30">
        <v>1</v>
      </c>
      <c r="R197" s="30">
        <v>0</v>
      </c>
      <c r="S197" s="30">
        <v>0</v>
      </c>
      <c r="T197" s="30">
        <v>0</v>
      </c>
      <c r="U197" s="30">
        <v>0</v>
      </c>
      <c r="V197" s="30">
        <v>1</v>
      </c>
    </row>
    <row r="198" spans="1:22" ht="21" customHeight="1" x14ac:dyDescent="0.15">
      <c r="A198" s="2" t="str">
        <f ca="1">input_586100!A$2</f>
        <v>586100</v>
      </c>
      <c r="B198" s="5">
        <v>476</v>
      </c>
      <c r="C198" s="7" t="str">
        <f t="shared" si="11"/>
        <v>Premium3</v>
      </c>
      <c r="D198" s="7" t="str">
        <f t="shared" si="12"/>
        <v>Premium</v>
      </c>
      <c r="E198" s="7" t="str">
        <f>IF(COUNTIF('R6追加前'!A:A,B198)=0,IF(OR(I198="PremiumSS",I198="PremiumSSw"),"R5only","R3less"),"")</f>
        <v/>
      </c>
      <c r="F198" s="7" t="str">
        <f>IF(COUNTIF('R6開放'!A:A,B198)&gt;0,"R6release","")</f>
        <v/>
      </c>
      <c r="G198" s="7"/>
      <c r="H198" s="7" t="str">
        <f>VLOOKUP(B198,[1]characters!$A:$C,3,FALSE)</f>
        <v>ファータ</v>
      </c>
      <c r="I198" s="7" t="str">
        <f>VLOOKUP(B198,[1]characters!$A:$J,10,FALSE)</f>
        <v>PremiumS</v>
      </c>
      <c r="J198" s="7">
        <f>VLOOKUP(B198,[1]characters!$A:$I,9,FALSE)</f>
        <v>3</v>
      </c>
      <c r="K198" s="7" t="str">
        <f>VLOOKUP(B198,[1]characters!$A:$H,8,FALSE)</f>
        <v>green</v>
      </c>
      <c r="L198" s="7" t="str">
        <f>VLOOKUP(B198,[1]characters!$A:$K,11,FALSE)</f>
        <v>heal</v>
      </c>
      <c r="M198" s="7" t="str">
        <f>VLOOKUP(B198,[1]characters!$A:$M,13,FALSE)</f>
        <v>unknown</v>
      </c>
      <c r="N198" s="7" t="str">
        <f>VLOOKUP(B198,[1]characters!$A:$G,7,FALSE)</f>
        <v>女性</v>
      </c>
      <c r="O198" s="45">
        <f ca="1">IFERROR(VLOOKUP(B198,input_586100!L:R,7,FALSE),VLOOKUP(tables_586100!C198,input_586100!A:H,8,FALSE))</f>
        <v>0</v>
      </c>
      <c r="P198" s="46">
        <f t="shared" ca="1" si="13"/>
        <v>0</v>
      </c>
      <c r="Q198" s="30">
        <v>1</v>
      </c>
      <c r="R198" s="30">
        <v>0</v>
      </c>
      <c r="S198" s="30">
        <v>0</v>
      </c>
      <c r="T198" s="30">
        <v>0</v>
      </c>
      <c r="U198" s="30">
        <v>0</v>
      </c>
      <c r="V198" s="30">
        <v>1</v>
      </c>
    </row>
    <row r="199" spans="1:22" ht="21" customHeight="1" x14ac:dyDescent="0.15">
      <c r="A199" s="2" t="str">
        <f ca="1">input_586100!A$2</f>
        <v>586100</v>
      </c>
      <c r="B199" s="5">
        <v>477</v>
      </c>
      <c r="C199" s="7" t="str">
        <f t="shared" si="11"/>
        <v>Premium4</v>
      </c>
      <c r="D199" s="7" t="str">
        <f t="shared" si="12"/>
        <v>Premium</v>
      </c>
      <c r="E199" s="7" t="str">
        <f>IF(COUNTIF('R6追加前'!A:A,B199)=0,IF(OR(I199="PremiumSS",I199="PremiumSSw"),"R5only","R3less"),"")</f>
        <v/>
      </c>
      <c r="F199" s="7" t="str">
        <f>IF(COUNTIF('R6開放'!A:A,B199)&gt;0,"R6release","")</f>
        <v/>
      </c>
      <c r="G199" s="7"/>
      <c r="H199" s="7" t="str">
        <f>VLOOKUP(B199,[1]characters!$A:$C,3,FALSE)</f>
        <v>愛羽妖精 ファータ</v>
      </c>
      <c r="I199" s="7" t="str">
        <f>VLOOKUP(B199,[1]characters!$A:$J,10,FALSE)</f>
        <v>PremiumS</v>
      </c>
      <c r="J199" s="7">
        <f>VLOOKUP(B199,[1]characters!$A:$I,9,FALSE)</f>
        <v>4</v>
      </c>
      <c r="K199" s="7" t="str">
        <f>VLOOKUP(B199,[1]characters!$A:$H,8,FALSE)</f>
        <v>green</v>
      </c>
      <c r="L199" s="7" t="str">
        <f>VLOOKUP(B199,[1]characters!$A:$K,11,FALSE)</f>
        <v>heal</v>
      </c>
      <c r="M199" s="7" t="str">
        <f>VLOOKUP(B199,[1]characters!$A:$M,13,FALSE)</f>
        <v>unknown</v>
      </c>
      <c r="N199" s="7" t="str">
        <f>VLOOKUP(B199,[1]characters!$A:$G,7,FALSE)</f>
        <v>女性</v>
      </c>
      <c r="O199" s="45">
        <f ca="1">IFERROR(VLOOKUP(B199,input_586100!L:R,7,FALSE),VLOOKUP(tables_586100!C199,input_586100!A:H,8,FALSE))</f>
        <v>1097460</v>
      </c>
      <c r="P199" s="46">
        <f t="shared" ca="1" si="13"/>
        <v>8.5312499999787884E-3</v>
      </c>
      <c r="Q199" s="30">
        <v>1</v>
      </c>
      <c r="R199" s="30">
        <v>0</v>
      </c>
      <c r="S199" s="30">
        <v>0</v>
      </c>
      <c r="T199" s="30">
        <v>0</v>
      </c>
      <c r="U199" s="30">
        <v>0</v>
      </c>
      <c r="V199" s="30">
        <v>1</v>
      </c>
    </row>
    <row r="200" spans="1:22" ht="21" customHeight="1" x14ac:dyDescent="0.15">
      <c r="A200" s="2" t="str">
        <f ca="1">input_586100!A$2</f>
        <v>586100</v>
      </c>
      <c r="B200" s="5">
        <v>478</v>
      </c>
      <c r="C200" s="7" t="str">
        <f t="shared" si="11"/>
        <v>Premium5</v>
      </c>
      <c r="D200" s="7" t="str">
        <f t="shared" si="12"/>
        <v>Premium</v>
      </c>
      <c r="E200" s="7" t="str">
        <f>IF(COUNTIF('R6追加前'!A:A,B200)=0,IF(OR(I200="PremiumSS",I200="PremiumSSw"),"R5only","R3less"),"")</f>
        <v/>
      </c>
      <c r="F200" s="7" t="str">
        <f>IF(COUNTIF('R6開放'!A:A,B200)&gt;0,"R6release","")</f>
        <v/>
      </c>
      <c r="G200" s="7"/>
      <c r="H200" s="7" t="str">
        <f>VLOOKUP(B200,[1]characters!$A:$C,3,FALSE)</f>
        <v>時計仕掛けの愛羽妖精 ファータ</v>
      </c>
      <c r="I200" s="7" t="str">
        <f>VLOOKUP(B200,[1]characters!$A:$J,10,FALSE)</f>
        <v>PremiumS</v>
      </c>
      <c r="J200" s="7">
        <f>VLOOKUP(B200,[1]characters!$A:$I,9,FALSE)</f>
        <v>5</v>
      </c>
      <c r="K200" s="7" t="str">
        <f>VLOOKUP(B200,[1]characters!$A:$H,8,FALSE)</f>
        <v>green</v>
      </c>
      <c r="L200" s="7" t="str">
        <f>VLOOKUP(B200,[1]characters!$A:$K,11,FALSE)</f>
        <v>heal</v>
      </c>
      <c r="M200" s="7" t="str">
        <f>VLOOKUP(B200,[1]characters!$A:$M,13,FALSE)</f>
        <v>unknown</v>
      </c>
      <c r="N200" s="7" t="str">
        <f>VLOOKUP(B200,[1]characters!$A:$G,7,FALSE)</f>
        <v>女性</v>
      </c>
      <c r="O200" s="45">
        <f ca="1">IFERROR(VLOOKUP(B200,input_586100!L:R,7,FALSE),VLOOKUP(tables_586100!C200,input_586100!A:H,8,FALSE))</f>
        <v>51796.153850000002</v>
      </c>
      <c r="P200" s="46">
        <f t="shared" ca="1" si="13"/>
        <v>4.0264423079812829E-4</v>
      </c>
      <c r="Q200" s="30">
        <v>1</v>
      </c>
      <c r="R200" s="30">
        <v>0</v>
      </c>
      <c r="S200" s="30">
        <v>0</v>
      </c>
      <c r="T200" s="30">
        <v>0</v>
      </c>
      <c r="U200" s="30">
        <v>0</v>
      </c>
      <c r="V200" s="30">
        <v>1</v>
      </c>
    </row>
    <row r="201" spans="1:22" ht="21" customHeight="1" x14ac:dyDescent="0.15">
      <c r="A201" s="2" t="str">
        <f ca="1">input_586100!A$2</f>
        <v>586100</v>
      </c>
      <c r="B201" s="5">
        <v>479</v>
      </c>
      <c r="C201" s="7" t="str">
        <f t="shared" si="11"/>
        <v>PremiumSS4</v>
      </c>
      <c r="D201" s="7" t="str">
        <f t="shared" si="12"/>
        <v>PremiumSS</v>
      </c>
      <c r="E201" s="7" t="str">
        <f>IF(COUNTIF('R6追加前'!A:A,B201)=0,IF(OR(I201="PremiumSS",I201="PremiumSSw"),"R5only","R3less"),"")</f>
        <v/>
      </c>
      <c r="F201" s="7" t="str">
        <f>IF(COUNTIF('R6開放'!A:A,B201)&gt;0,"R6release","")</f>
        <v/>
      </c>
      <c r="G201" s="7"/>
      <c r="H201" s="7" t="str">
        <f>VLOOKUP(B201,[1]characters!$A:$C,3,FALSE)</f>
        <v>フール</v>
      </c>
      <c r="I201" s="7" t="str">
        <f>VLOOKUP(B201,[1]characters!$A:$J,10,FALSE)</f>
        <v>PremiumSS</v>
      </c>
      <c r="J201" s="7">
        <f>VLOOKUP(B201,[1]characters!$A:$I,9,FALSE)</f>
        <v>4</v>
      </c>
      <c r="K201" s="7" t="str">
        <f>VLOOKUP(B201,[1]characters!$A:$H,8,FALSE)</f>
        <v>blue</v>
      </c>
      <c r="L201" s="7" t="str">
        <f>VLOOKUP(B201,[1]characters!$A:$K,11,FALSE)</f>
        <v>technical</v>
      </c>
      <c r="M201" s="7" t="str">
        <f>VLOOKUP(B201,[1]characters!$A:$M,13,FALSE)</f>
        <v>god</v>
      </c>
      <c r="N201" s="7" t="str">
        <f>VLOOKUP(B201,[1]characters!$A:$G,7,FALSE)</f>
        <v>男性</v>
      </c>
      <c r="O201" s="45">
        <f ca="1">IFERROR(VLOOKUP(B201,input_586100!L:R,7,FALSE),VLOOKUP(tables_586100!C201,input_586100!A:H,8,FALSE))</f>
        <v>172285.71429</v>
      </c>
      <c r="P201" s="46">
        <f t="shared" ca="1" si="13"/>
        <v>1.3392857143157001E-3</v>
      </c>
      <c r="Q201" s="30">
        <v>1</v>
      </c>
      <c r="R201" s="30">
        <v>0</v>
      </c>
      <c r="S201" s="30">
        <v>0</v>
      </c>
      <c r="T201" s="30">
        <v>0</v>
      </c>
      <c r="U201" s="30">
        <v>0</v>
      </c>
      <c r="V201" s="30">
        <v>1</v>
      </c>
    </row>
    <row r="202" spans="1:22" ht="21" customHeight="1" x14ac:dyDescent="0.15">
      <c r="A202" s="2" t="str">
        <f ca="1">input_586100!A$2</f>
        <v>586100</v>
      </c>
      <c r="B202" s="5">
        <v>480</v>
      </c>
      <c r="C202" s="7" t="str">
        <f t="shared" ref="C202:C265" si="14">D202&amp;J202&amp;E202&amp;F202&amp;G202</f>
        <v>PremiumSS5</v>
      </c>
      <c r="D202" s="7" t="str">
        <f t="shared" ref="D202:D265" si="15">IF(OR(I202="PremiumSS",I202="PremiumSSw"),"PremiumSS",IF(I202="PremiumSSS",I202,IF(I202="PremiumW",IF(J202=5,"premium",I202),"Premium")))</f>
        <v>PremiumSS</v>
      </c>
      <c r="E202" s="7" t="str">
        <f>IF(COUNTIF('R6追加前'!A:A,B202)=0,IF(OR(I202="PremiumSS",I202="PremiumSSw"),"R5only","R3less"),"")</f>
        <v/>
      </c>
      <c r="F202" s="7" t="str">
        <f>IF(COUNTIF('R6開放'!A:A,B202)&gt;0,"R6release","")</f>
        <v/>
      </c>
      <c r="G202" s="7"/>
      <c r="H202" s="7" t="str">
        <f>VLOOKUP(B202,[1]characters!$A:$C,3,FALSE)</f>
        <v>夢幻の愚者フール</v>
      </c>
      <c r="I202" s="7" t="str">
        <f>VLOOKUP(B202,[1]characters!$A:$J,10,FALSE)</f>
        <v>PremiumSS</v>
      </c>
      <c r="J202" s="7">
        <f>VLOOKUP(B202,[1]characters!$A:$I,9,FALSE)</f>
        <v>5</v>
      </c>
      <c r="K202" s="7" t="str">
        <f>VLOOKUP(B202,[1]characters!$A:$H,8,FALSE)</f>
        <v>blue</v>
      </c>
      <c r="L202" s="7" t="str">
        <f>VLOOKUP(B202,[1]characters!$A:$K,11,FALSE)</f>
        <v>technical</v>
      </c>
      <c r="M202" s="7" t="str">
        <f>VLOOKUP(B202,[1]characters!$A:$M,13,FALSE)</f>
        <v>god</v>
      </c>
      <c r="N202" s="7" t="str">
        <f>VLOOKUP(B202,[1]characters!$A:$G,7,FALSE)</f>
        <v>男性</v>
      </c>
      <c r="O202" s="45">
        <f ca="1">IFERROR(VLOOKUP(B202,input_586100!L:R,7,FALSE),VLOOKUP(tables_586100!C202,input_586100!A:H,8,FALSE))</f>
        <v>67000</v>
      </c>
      <c r="P202" s="46">
        <f t="shared" ca="1" si="13"/>
        <v>5.2083333333203836E-4</v>
      </c>
      <c r="Q202" s="30">
        <v>1</v>
      </c>
      <c r="R202" s="30">
        <v>0</v>
      </c>
      <c r="S202" s="30">
        <v>0</v>
      </c>
      <c r="T202" s="30">
        <v>0</v>
      </c>
      <c r="U202" s="30">
        <v>0</v>
      </c>
      <c r="V202" s="30">
        <v>1</v>
      </c>
    </row>
    <row r="203" spans="1:22" ht="21" customHeight="1" x14ac:dyDescent="0.15">
      <c r="A203" s="2" t="str">
        <f ca="1">input_586100!A$2</f>
        <v>586100</v>
      </c>
      <c r="B203" s="5">
        <v>481</v>
      </c>
      <c r="C203" s="7" t="str">
        <f t="shared" si="14"/>
        <v>Premium3</v>
      </c>
      <c r="D203" s="7" t="str">
        <f t="shared" si="15"/>
        <v>Premium</v>
      </c>
      <c r="E203" s="7" t="str">
        <f>IF(COUNTIF('R6追加前'!A:A,B203)=0,IF(OR(I203="PremiumSS",I203="PremiumSSw"),"R5only","R3less"),"")</f>
        <v/>
      </c>
      <c r="F203" s="7" t="str">
        <f>IF(COUNTIF('R6開放'!A:A,B203)&gt;0,"R6release","")</f>
        <v/>
      </c>
      <c r="G203" s="7"/>
      <c r="H203" s="7" t="str">
        <f>VLOOKUP(B203,[1]characters!$A:$C,3,FALSE)</f>
        <v>沢庵宗彭</v>
      </c>
      <c r="I203" s="7" t="str">
        <f>VLOOKUP(B203,[1]characters!$A:$J,10,FALSE)</f>
        <v>PremiumS</v>
      </c>
      <c r="J203" s="7">
        <f>VLOOKUP(B203,[1]characters!$A:$I,9,FALSE)</f>
        <v>3</v>
      </c>
      <c r="K203" s="7" t="str">
        <f>VLOOKUP(B203,[1]characters!$A:$H,8,FALSE)</f>
        <v>yellow</v>
      </c>
      <c r="L203" s="7" t="str">
        <f>VLOOKUP(B203,[1]characters!$A:$K,11,FALSE)</f>
        <v>hp</v>
      </c>
      <c r="M203" s="7" t="str">
        <f>VLOOKUP(B203,[1]characters!$A:$M,13,FALSE)</f>
        <v>human</v>
      </c>
      <c r="N203" s="7" t="str">
        <f>VLOOKUP(B203,[1]characters!$A:$G,7,FALSE)</f>
        <v>男性</v>
      </c>
      <c r="O203" s="45">
        <f ca="1">IFERROR(VLOOKUP(B203,input_586100!L:R,7,FALSE),VLOOKUP(tables_586100!C203,input_586100!A:H,8,FALSE))</f>
        <v>0</v>
      </c>
      <c r="P203" s="46">
        <f t="shared" ca="1" si="13"/>
        <v>0</v>
      </c>
      <c r="Q203" s="30">
        <v>1</v>
      </c>
      <c r="R203" s="30">
        <v>0</v>
      </c>
      <c r="S203" s="30">
        <v>0</v>
      </c>
      <c r="T203" s="30">
        <v>0</v>
      </c>
      <c r="U203" s="30">
        <v>0</v>
      </c>
      <c r="V203" s="30">
        <v>1</v>
      </c>
    </row>
    <row r="204" spans="1:22" ht="21" customHeight="1" x14ac:dyDescent="0.15">
      <c r="A204" s="2" t="str">
        <f ca="1">input_586100!A$2</f>
        <v>586100</v>
      </c>
      <c r="B204" s="5">
        <v>482</v>
      </c>
      <c r="C204" s="7" t="str">
        <f t="shared" si="14"/>
        <v>Premium4</v>
      </c>
      <c r="D204" s="7" t="str">
        <f t="shared" si="15"/>
        <v>Premium</v>
      </c>
      <c r="E204" s="7" t="str">
        <f>IF(COUNTIF('R6追加前'!A:A,B204)=0,IF(OR(I204="PremiumSS",I204="PremiumSSw"),"R5only","R3less"),"")</f>
        <v/>
      </c>
      <c r="F204" s="7" t="str">
        <f>IF(COUNTIF('R6開放'!A:A,B204)&gt;0,"R6release","")</f>
        <v/>
      </c>
      <c r="G204" s="7"/>
      <c r="H204" s="7" t="str">
        <f>VLOOKUP(B204,[1]characters!$A:$C,3,FALSE)</f>
        <v>魁僧 沢庵宗彭</v>
      </c>
      <c r="I204" s="7" t="str">
        <f>VLOOKUP(B204,[1]characters!$A:$J,10,FALSE)</f>
        <v>PremiumS</v>
      </c>
      <c r="J204" s="7">
        <f>VLOOKUP(B204,[1]characters!$A:$I,9,FALSE)</f>
        <v>4</v>
      </c>
      <c r="K204" s="7" t="str">
        <f>VLOOKUP(B204,[1]characters!$A:$H,8,FALSE)</f>
        <v>yellow</v>
      </c>
      <c r="L204" s="7" t="str">
        <f>VLOOKUP(B204,[1]characters!$A:$K,11,FALSE)</f>
        <v>hp</v>
      </c>
      <c r="M204" s="7" t="str">
        <f>VLOOKUP(B204,[1]characters!$A:$M,13,FALSE)</f>
        <v>human</v>
      </c>
      <c r="N204" s="7" t="str">
        <f>VLOOKUP(B204,[1]characters!$A:$G,7,FALSE)</f>
        <v>男性</v>
      </c>
      <c r="O204" s="45">
        <f ca="1">IFERROR(VLOOKUP(B204,input_586100!L:R,7,FALSE),VLOOKUP(tables_586100!C204,input_586100!A:H,8,FALSE))</f>
        <v>1097460</v>
      </c>
      <c r="P204" s="46">
        <f t="shared" ca="1" si="13"/>
        <v>8.5312499999787884E-3</v>
      </c>
      <c r="Q204" s="30">
        <v>1</v>
      </c>
      <c r="R204" s="30">
        <v>0</v>
      </c>
      <c r="S204" s="30">
        <v>0</v>
      </c>
      <c r="T204" s="30">
        <v>0</v>
      </c>
      <c r="U204" s="30">
        <v>0</v>
      </c>
      <c r="V204" s="30">
        <v>1</v>
      </c>
    </row>
    <row r="205" spans="1:22" ht="21" customHeight="1" x14ac:dyDescent="0.15">
      <c r="A205" s="2" t="str">
        <f ca="1">input_586100!A$2</f>
        <v>586100</v>
      </c>
      <c r="B205" s="5">
        <v>483</v>
      </c>
      <c r="C205" s="7" t="str">
        <f t="shared" si="14"/>
        <v>Premium5</v>
      </c>
      <c r="D205" s="7" t="str">
        <f t="shared" si="15"/>
        <v>Premium</v>
      </c>
      <c r="E205" s="7" t="str">
        <f>IF(COUNTIF('R6追加前'!A:A,B205)=0,IF(OR(I205="PremiumSS",I205="PremiumSSw"),"R5only","R3less"),"")</f>
        <v/>
      </c>
      <c r="F205" s="7" t="str">
        <f>IF(COUNTIF('R6開放'!A:A,B205)&gt;0,"R6release","")</f>
        <v/>
      </c>
      <c r="G205" s="7"/>
      <c r="H205" s="7" t="str">
        <f>VLOOKUP(B205,[1]characters!$A:$C,3,FALSE)</f>
        <v xml:space="preserve">命経死遂 沢庵宗彭 </v>
      </c>
      <c r="I205" s="7" t="str">
        <f>VLOOKUP(B205,[1]characters!$A:$J,10,FALSE)</f>
        <v>PremiumS</v>
      </c>
      <c r="J205" s="7">
        <f>VLOOKUP(B205,[1]characters!$A:$I,9,FALSE)</f>
        <v>5</v>
      </c>
      <c r="K205" s="7" t="str">
        <f>VLOOKUP(B205,[1]characters!$A:$H,8,FALSE)</f>
        <v>yellow</v>
      </c>
      <c r="L205" s="7" t="str">
        <f>VLOOKUP(B205,[1]characters!$A:$K,11,FALSE)</f>
        <v>hp</v>
      </c>
      <c r="M205" s="7" t="str">
        <f>VLOOKUP(B205,[1]characters!$A:$M,13,FALSE)</f>
        <v>human</v>
      </c>
      <c r="N205" s="7" t="str">
        <f>VLOOKUP(B205,[1]characters!$A:$G,7,FALSE)</f>
        <v>男性</v>
      </c>
      <c r="O205" s="45">
        <f ca="1">IFERROR(VLOOKUP(B205,input_586100!L:R,7,FALSE),VLOOKUP(tables_586100!C205,input_586100!A:H,8,FALSE))</f>
        <v>51796.153850000002</v>
      </c>
      <c r="P205" s="46">
        <f t="shared" ca="1" si="13"/>
        <v>4.0264423079812829E-4</v>
      </c>
      <c r="Q205" s="30">
        <v>1</v>
      </c>
      <c r="R205" s="30">
        <v>0</v>
      </c>
      <c r="S205" s="30">
        <v>0</v>
      </c>
      <c r="T205" s="30">
        <v>0</v>
      </c>
      <c r="U205" s="30">
        <v>0</v>
      </c>
      <c r="V205" s="30">
        <v>1</v>
      </c>
    </row>
    <row r="206" spans="1:22" ht="21" customHeight="1" x14ac:dyDescent="0.15">
      <c r="A206" s="2" t="str">
        <f ca="1">input_586100!A$2</f>
        <v>586100</v>
      </c>
      <c r="B206" s="5">
        <v>492</v>
      </c>
      <c r="C206" s="7" t="str">
        <f t="shared" si="14"/>
        <v>PremiumSS4</v>
      </c>
      <c r="D206" s="7" t="str">
        <f t="shared" si="15"/>
        <v>PremiumSS</v>
      </c>
      <c r="E206" s="7" t="str">
        <f>IF(COUNTIF('R6追加前'!A:A,B206)=0,IF(OR(I206="PremiumSS",I206="PremiumSSw"),"R5only","R3less"),"")</f>
        <v/>
      </c>
      <c r="F206" s="7" t="str">
        <f>IF(COUNTIF('R6開放'!A:A,B206)&gt;0,"R6release","")</f>
        <v/>
      </c>
      <c r="G206" s="7"/>
      <c r="H206" s="7" t="str">
        <f>VLOOKUP(B206,[1]characters!$A:$C,3,FALSE)</f>
        <v>ブートレグ・ペロー</v>
      </c>
      <c r="I206" s="7" t="str">
        <f>VLOOKUP(B206,[1]characters!$A:$J,10,FALSE)</f>
        <v>PremiumSS</v>
      </c>
      <c r="J206" s="7">
        <f>VLOOKUP(B206,[1]characters!$A:$I,9,FALSE)</f>
        <v>4</v>
      </c>
      <c r="K206" s="7" t="str">
        <f>VLOOKUP(B206,[1]characters!$A:$H,8,FALSE)</f>
        <v>red</v>
      </c>
      <c r="L206" s="7" t="str">
        <f>VLOOKUP(B206,[1]characters!$A:$K,11,FALSE)</f>
        <v>hp</v>
      </c>
      <c r="M206" s="7" t="str">
        <f>VLOOKUP(B206,[1]characters!$A:$M,13,FALSE)</f>
        <v>animal</v>
      </c>
      <c r="N206" s="7" t="str">
        <f>VLOOKUP(B206,[1]characters!$A:$G,7,FALSE)</f>
        <v>不明</v>
      </c>
      <c r="O206" s="45">
        <f ca="1">IFERROR(VLOOKUP(B206,input_586100!L:R,7,FALSE),VLOOKUP(tables_586100!C206,input_586100!A:H,8,FALSE))</f>
        <v>172285.71429</v>
      </c>
      <c r="P206" s="46">
        <f t="shared" ca="1" si="13"/>
        <v>1.3392857143157001E-3</v>
      </c>
      <c r="Q206" s="30">
        <v>1</v>
      </c>
      <c r="R206" s="30">
        <v>0</v>
      </c>
      <c r="S206" s="30">
        <v>0</v>
      </c>
      <c r="T206" s="30">
        <v>0</v>
      </c>
      <c r="U206" s="30">
        <v>0</v>
      </c>
      <c r="V206" s="30">
        <v>1</v>
      </c>
    </row>
    <row r="207" spans="1:22" ht="21" customHeight="1" x14ac:dyDescent="0.15">
      <c r="A207" s="2" t="str">
        <f ca="1">input_586100!A$2</f>
        <v>586100</v>
      </c>
      <c r="B207" s="5">
        <v>493</v>
      </c>
      <c r="C207" s="7" t="str">
        <f t="shared" si="14"/>
        <v>PremiumSS5</v>
      </c>
      <c r="D207" s="7" t="str">
        <f t="shared" si="15"/>
        <v>PremiumSS</v>
      </c>
      <c r="E207" s="7" t="str">
        <f>IF(COUNTIF('R6追加前'!A:A,B207)=0,IF(OR(I207="PremiumSS",I207="PremiumSSw"),"R5only","R3less"),"")</f>
        <v/>
      </c>
      <c r="F207" s="7" t="str">
        <f>IF(COUNTIF('R6開放'!A:A,B207)&gt;0,"R6release","")</f>
        <v/>
      </c>
      <c r="G207" s="7"/>
      <c r="H207" s="7" t="str">
        <f>VLOOKUP(B207,[1]characters!$A:$C,3,FALSE)</f>
        <v>跋扈の機脚 ブートレグ・ペロー</v>
      </c>
      <c r="I207" s="7" t="str">
        <f>VLOOKUP(B207,[1]characters!$A:$J,10,FALSE)</f>
        <v>PremiumSS</v>
      </c>
      <c r="J207" s="7">
        <f>VLOOKUP(B207,[1]characters!$A:$I,9,FALSE)</f>
        <v>5</v>
      </c>
      <c r="K207" s="7" t="str">
        <f>VLOOKUP(B207,[1]characters!$A:$H,8,FALSE)</f>
        <v>red</v>
      </c>
      <c r="L207" s="7" t="str">
        <f>VLOOKUP(B207,[1]characters!$A:$K,11,FALSE)</f>
        <v>hp</v>
      </c>
      <c r="M207" s="7" t="str">
        <f>VLOOKUP(B207,[1]characters!$A:$M,13,FALSE)</f>
        <v>animal</v>
      </c>
      <c r="N207" s="7" t="str">
        <f>VLOOKUP(B207,[1]characters!$A:$G,7,FALSE)</f>
        <v>不明</v>
      </c>
      <c r="O207" s="45">
        <f ca="1">IFERROR(VLOOKUP(B207,input_586100!L:R,7,FALSE),VLOOKUP(tables_586100!C207,input_586100!A:H,8,FALSE))</f>
        <v>67000</v>
      </c>
      <c r="P207" s="46">
        <f t="shared" ca="1" si="13"/>
        <v>5.2083333333203836E-4</v>
      </c>
      <c r="Q207" s="30">
        <v>1</v>
      </c>
      <c r="R207" s="30">
        <v>0</v>
      </c>
      <c r="S207" s="30">
        <v>0</v>
      </c>
      <c r="T207" s="30">
        <v>0</v>
      </c>
      <c r="U207" s="30">
        <v>0</v>
      </c>
      <c r="V207" s="30">
        <v>1</v>
      </c>
    </row>
    <row r="208" spans="1:22" ht="21" customHeight="1" x14ac:dyDescent="0.15">
      <c r="A208" s="2" t="str">
        <f ca="1">input_586100!A$2</f>
        <v>586100</v>
      </c>
      <c r="B208" s="5">
        <v>494</v>
      </c>
      <c r="C208" s="7" t="str">
        <f t="shared" si="14"/>
        <v>PremiumSS4</v>
      </c>
      <c r="D208" s="7" t="str">
        <f t="shared" si="15"/>
        <v>PremiumSS</v>
      </c>
      <c r="E208" s="7" t="str">
        <f>IF(COUNTIF('R6追加前'!A:A,B208)=0,IF(OR(I208="PremiumSS",I208="PremiumSSw"),"R5only","R3less"),"")</f>
        <v/>
      </c>
      <c r="F208" s="7" t="str">
        <f>IF(COUNTIF('R6開放'!A:A,B208)&gt;0,"R6release","")</f>
        <v/>
      </c>
      <c r="G208" s="7"/>
      <c r="H208" s="7" t="str">
        <f>VLOOKUP(B208,[1]characters!$A:$C,3,FALSE)</f>
        <v>ハーメルン</v>
      </c>
      <c r="I208" s="7" t="str">
        <f>VLOOKUP(B208,[1]characters!$A:$J,10,FALSE)</f>
        <v>PremiumSS</v>
      </c>
      <c r="J208" s="7">
        <f>VLOOKUP(B208,[1]characters!$A:$I,9,FALSE)</f>
        <v>4</v>
      </c>
      <c r="K208" s="7" t="str">
        <f>VLOOKUP(B208,[1]characters!$A:$H,8,FALSE)</f>
        <v>green</v>
      </c>
      <c r="L208" s="7" t="str">
        <f>VLOOKUP(B208,[1]characters!$A:$K,11,FALSE)</f>
        <v>technical</v>
      </c>
      <c r="M208" s="7" t="str">
        <f>VLOOKUP(B208,[1]characters!$A:$M,13,FALSE)</f>
        <v>human</v>
      </c>
      <c r="N208" s="7" t="str">
        <f>VLOOKUP(B208,[1]characters!$A:$G,7,FALSE)</f>
        <v>男性</v>
      </c>
      <c r="O208" s="45">
        <f ca="1">IFERROR(VLOOKUP(B208,input_586100!L:R,7,FALSE),VLOOKUP(tables_586100!C208,input_586100!A:H,8,FALSE))</f>
        <v>172285.71429</v>
      </c>
      <c r="P208" s="46">
        <f t="shared" ca="1" si="13"/>
        <v>1.3392857143157001E-3</v>
      </c>
      <c r="Q208" s="30">
        <v>1</v>
      </c>
      <c r="R208" s="30">
        <v>0</v>
      </c>
      <c r="S208" s="30">
        <v>0</v>
      </c>
      <c r="T208" s="30">
        <v>0</v>
      </c>
      <c r="U208" s="30">
        <v>0</v>
      </c>
      <c r="V208" s="30">
        <v>1</v>
      </c>
    </row>
    <row r="209" spans="1:22" ht="21" customHeight="1" x14ac:dyDescent="0.15">
      <c r="A209" s="2" t="str">
        <f ca="1">input_586100!A$2</f>
        <v>586100</v>
      </c>
      <c r="B209" s="5">
        <v>495</v>
      </c>
      <c r="C209" s="7" t="str">
        <f t="shared" si="14"/>
        <v>PremiumSS5</v>
      </c>
      <c r="D209" s="7" t="str">
        <f t="shared" si="15"/>
        <v>PremiumSS</v>
      </c>
      <c r="E209" s="7" t="str">
        <f>IF(COUNTIF('R6追加前'!A:A,B209)=0,IF(OR(I209="PremiumSS",I209="PremiumSSw"),"R5only","R3less"),"")</f>
        <v/>
      </c>
      <c r="F209" s="7" t="str">
        <f>IF(COUNTIF('R6開放'!A:A,B209)&gt;0,"R6release","")</f>
        <v/>
      </c>
      <c r="G209" s="7"/>
      <c r="H209" s="7" t="str">
        <f>VLOOKUP(B209,[1]characters!$A:$C,3,FALSE)</f>
        <v>鼠災呼ぶ笛音 ハーメルン</v>
      </c>
      <c r="I209" s="7" t="str">
        <f>VLOOKUP(B209,[1]characters!$A:$J,10,FALSE)</f>
        <v>PremiumSS</v>
      </c>
      <c r="J209" s="7">
        <f>VLOOKUP(B209,[1]characters!$A:$I,9,FALSE)</f>
        <v>5</v>
      </c>
      <c r="K209" s="7" t="str">
        <f>VLOOKUP(B209,[1]characters!$A:$H,8,FALSE)</f>
        <v>green</v>
      </c>
      <c r="L209" s="7" t="str">
        <f>VLOOKUP(B209,[1]characters!$A:$K,11,FALSE)</f>
        <v>technical</v>
      </c>
      <c r="M209" s="7" t="str">
        <f>VLOOKUP(B209,[1]characters!$A:$M,13,FALSE)</f>
        <v>human</v>
      </c>
      <c r="N209" s="7" t="str">
        <f>VLOOKUP(B209,[1]characters!$A:$G,7,FALSE)</f>
        <v>男性</v>
      </c>
      <c r="O209" s="45">
        <f ca="1">IFERROR(VLOOKUP(B209,input_586100!L:R,7,FALSE),VLOOKUP(tables_586100!C209,input_586100!A:H,8,FALSE))</f>
        <v>67000</v>
      </c>
      <c r="P209" s="46">
        <f t="shared" ca="1" si="13"/>
        <v>5.2083333333203836E-4</v>
      </c>
      <c r="Q209" s="30">
        <v>1</v>
      </c>
      <c r="R209" s="30">
        <v>0</v>
      </c>
      <c r="S209" s="30">
        <v>0</v>
      </c>
      <c r="T209" s="30">
        <v>0</v>
      </c>
      <c r="U209" s="30">
        <v>0</v>
      </c>
      <c r="V209" s="30">
        <v>1</v>
      </c>
    </row>
    <row r="210" spans="1:22" ht="21" customHeight="1" x14ac:dyDescent="0.15">
      <c r="A210" s="2" t="str">
        <f ca="1">input_586100!A$2</f>
        <v>586100</v>
      </c>
      <c r="B210" s="5">
        <v>496</v>
      </c>
      <c r="C210" s="7" t="str">
        <f t="shared" si="14"/>
        <v>Premium3</v>
      </c>
      <c r="D210" s="7" t="str">
        <f t="shared" si="15"/>
        <v>Premium</v>
      </c>
      <c r="E210" s="7" t="str">
        <f>IF(COUNTIF('R6追加前'!A:A,B210)=0,IF(OR(I210="PremiumSS",I210="PremiumSSw"),"R5only","R3less"),"")</f>
        <v/>
      </c>
      <c r="F210" s="7" t="str">
        <f>IF(COUNTIF('R6開放'!A:A,B210)&gt;0,"R6release","")</f>
        <v/>
      </c>
      <c r="G210" s="7"/>
      <c r="H210" s="7" t="str">
        <f>VLOOKUP(B210,[1]characters!$A:$C,3,FALSE)</f>
        <v>エスタブ</v>
      </c>
      <c r="I210" s="7" t="str">
        <f>VLOOKUP(B210,[1]characters!$A:$J,10,FALSE)</f>
        <v>PremiumS</v>
      </c>
      <c r="J210" s="7">
        <f>VLOOKUP(B210,[1]characters!$A:$I,9,FALSE)</f>
        <v>3</v>
      </c>
      <c r="K210" s="7" t="str">
        <f>VLOOKUP(B210,[1]characters!$A:$H,8,FALSE)</f>
        <v>blue</v>
      </c>
      <c r="L210" s="7" t="str">
        <f>VLOOKUP(B210,[1]characters!$A:$K,11,FALSE)</f>
        <v>attack</v>
      </c>
      <c r="M210" s="7" t="str">
        <f>VLOOKUP(B210,[1]characters!$A:$M,13,FALSE)</f>
        <v>human</v>
      </c>
      <c r="N210" s="7" t="str">
        <f>VLOOKUP(B210,[1]characters!$A:$G,7,FALSE)</f>
        <v>男性</v>
      </c>
      <c r="O210" s="45">
        <f ca="1">IFERROR(VLOOKUP(B210,input_586100!L:R,7,FALSE),VLOOKUP(tables_586100!C210,input_586100!A:H,8,FALSE))</f>
        <v>0</v>
      </c>
      <c r="P210" s="46">
        <f t="shared" ca="1" si="13"/>
        <v>0</v>
      </c>
      <c r="Q210" s="30">
        <v>1</v>
      </c>
      <c r="R210" s="30">
        <v>0</v>
      </c>
      <c r="S210" s="30">
        <v>0</v>
      </c>
      <c r="T210" s="30">
        <v>0</v>
      </c>
      <c r="U210" s="30">
        <v>0</v>
      </c>
      <c r="V210" s="30">
        <v>1</v>
      </c>
    </row>
    <row r="211" spans="1:22" ht="21" customHeight="1" x14ac:dyDescent="0.15">
      <c r="A211" s="2" t="str">
        <f ca="1">input_586100!A$2</f>
        <v>586100</v>
      </c>
      <c r="B211" s="5">
        <v>497</v>
      </c>
      <c r="C211" s="7" t="str">
        <f t="shared" si="14"/>
        <v>Premium4</v>
      </c>
      <c r="D211" s="7" t="str">
        <f t="shared" si="15"/>
        <v>Premium</v>
      </c>
      <c r="E211" s="7" t="str">
        <f>IF(COUNTIF('R6追加前'!A:A,B211)=0,IF(OR(I211="PremiumSS",I211="PremiumSSw"),"R5only","R3less"),"")</f>
        <v/>
      </c>
      <c r="F211" s="7" t="str">
        <f>IF(COUNTIF('R6開放'!A:A,B211)&gt;0,"R6release","")</f>
        <v/>
      </c>
      <c r="G211" s="7"/>
      <c r="H211" s="7" t="str">
        <f>VLOOKUP(B211,[1]characters!$A:$C,3,FALSE)</f>
        <v>偏愛の野獣 エスタブ</v>
      </c>
      <c r="I211" s="7" t="str">
        <f>VLOOKUP(B211,[1]characters!$A:$J,10,FALSE)</f>
        <v>PremiumS</v>
      </c>
      <c r="J211" s="7">
        <f>VLOOKUP(B211,[1]characters!$A:$I,9,FALSE)</f>
        <v>4</v>
      </c>
      <c r="K211" s="7" t="str">
        <f>VLOOKUP(B211,[1]characters!$A:$H,8,FALSE)</f>
        <v>blue</v>
      </c>
      <c r="L211" s="7" t="str">
        <f>VLOOKUP(B211,[1]characters!$A:$K,11,FALSE)</f>
        <v>attack</v>
      </c>
      <c r="M211" s="7" t="str">
        <f>VLOOKUP(B211,[1]characters!$A:$M,13,FALSE)</f>
        <v>human</v>
      </c>
      <c r="N211" s="7" t="str">
        <f>VLOOKUP(B211,[1]characters!$A:$G,7,FALSE)</f>
        <v>男性</v>
      </c>
      <c r="O211" s="45">
        <f ca="1">IFERROR(VLOOKUP(B211,input_586100!L:R,7,FALSE),VLOOKUP(tables_586100!C211,input_586100!A:H,8,FALSE))</f>
        <v>1097460</v>
      </c>
      <c r="P211" s="46">
        <f t="shared" ca="1" si="13"/>
        <v>8.5312499999787884E-3</v>
      </c>
      <c r="Q211" s="30">
        <v>1</v>
      </c>
      <c r="R211" s="30">
        <v>0</v>
      </c>
      <c r="S211" s="30">
        <v>0</v>
      </c>
      <c r="T211" s="30">
        <v>0</v>
      </c>
      <c r="U211" s="30">
        <v>0</v>
      </c>
      <c r="V211" s="30">
        <v>1</v>
      </c>
    </row>
    <row r="212" spans="1:22" ht="21" customHeight="1" x14ac:dyDescent="0.15">
      <c r="A212" s="2" t="str">
        <f ca="1">input_586100!A$2</f>
        <v>586100</v>
      </c>
      <c r="B212" s="5">
        <v>498</v>
      </c>
      <c r="C212" s="7" t="str">
        <f t="shared" si="14"/>
        <v>Premium5</v>
      </c>
      <c r="D212" s="7" t="str">
        <f t="shared" si="15"/>
        <v>Premium</v>
      </c>
      <c r="E212" s="7" t="str">
        <f>IF(COUNTIF('R6追加前'!A:A,B212)=0,IF(OR(I212="PremiumSS",I212="PremiumSSw"),"R5only","R3less"),"")</f>
        <v/>
      </c>
      <c r="F212" s="7" t="str">
        <f>IF(COUNTIF('R6開放'!A:A,B212)&gt;0,"R6release","")</f>
        <v/>
      </c>
      <c r="G212" s="7"/>
      <c r="H212" s="7" t="str">
        <f>VLOOKUP(B212,[1]characters!$A:$C,3,FALSE)</f>
        <v>自愛の高魔 エスタブ</v>
      </c>
      <c r="I212" s="7" t="str">
        <f>VLOOKUP(B212,[1]characters!$A:$J,10,FALSE)</f>
        <v>PremiumS</v>
      </c>
      <c r="J212" s="7">
        <f>VLOOKUP(B212,[1]characters!$A:$I,9,FALSE)</f>
        <v>5</v>
      </c>
      <c r="K212" s="7" t="str">
        <f>VLOOKUP(B212,[1]characters!$A:$H,8,FALSE)</f>
        <v>blue</v>
      </c>
      <c r="L212" s="7" t="str">
        <f>VLOOKUP(B212,[1]characters!$A:$K,11,FALSE)</f>
        <v>attack</v>
      </c>
      <c r="M212" s="7" t="str">
        <f>VLOOKUP(B212,[1]characters!$A:$M,13,FALSE)</f>
        <v>human</v>
      </c>
      <c r="N212" s="7" t="str">
        <f>VLOOKUP(B212,[1]characters!$A:$G,7,FALSE)</f>
        <v>男性</v>
      </c>
      <c r="O212" s="45">
        <f ca="1">IFERROR(VLOOKUP(B212,input_586100!L:R,7,FALSE),VLOOKUP(tables_586100!C212,input_586100!A:H,8,FALSE))</f>
        <v>51796.153850000002</v>
      </c>
      <c r="P212" s="46">
        <f t="shared" ca="1" si="13"/>
        <v>4.0264423079812829E-4</v>
      </c>
      <c r="Q212" s="30">
        <v>1</v>
      </c>
      <c r="R212" s="30">
        <v>0</v>
      </c>
      <c r="S212" s="30">
        <v>0</v>
      </c>
      <c r="T212" s="30">
        <v>0</v>
      </c>
      <c r="U212" s="30">
        <v>0</v>
      </c>
      <c r="V212" s="30">
        <v>1</v>
      </c>
    </row>
    <row r="213" spans="1:22" ht="21" customHeight="1" x14ac:dyDescent="0.15">
      <c r="A213" s="2" t="str">
        <f ca="1">input_586100!A$2</f>
        <v>586100</v>
      </c>
      <c r="B213" s="5">
        <v>499</v>
      </c>
      <c r="C213" s="7" t="str">
        <f t="shared" si="14"/>
        <v>PremiumSS4</v>
      </c>
      <c r="D213" s="7" t="str">
        <f t="shared" si="15"/>
        <v>PremiumSS</v>
      </c>
      <c r="E213" s="7" t="str">
        <f>IF(COUNTIF('R6追加前'!A:A,B213)=0,IF(OR(I213="PremiumSS",I213="PremiumSSw"),"R5only","R3less"),"")</f>
        <v/>
      </c>
      <c r="F213" s="7" t="str">
        <f>IF(COUNTIF('R6開放'!A:A,B213)&gt;0,"R6release","")</f>
        <v/>
      </c>
      <c r="G213" s="7"/>
      <c r="H213" s="7" t="str">
        <f>VLOOKUP(B213,[1]characters!$A:$C,3,FALSE)</f>
        <v>ラプンツェル</v>
      </c>
      <c r="I213" s="7" t="str">
        <f>VLOOKUP(B213,[1]characters!$A:$J,10,FALSE)</f>
        <v>PremiumSS</v>
      </c>
      <c r="J213" s="7">
        <f>VLOOKUP(B213,[1]characters!$A:$I,9,FALSE)</f>
        <v>4</v>
      </c>
      <c r="K213" s="7" t="str">
        <f>VLOOKUP(B213,[1]characters!$A:$H,8,FALSE)</f>
        <v>yellow</v>
      </c>
      <c r="L213" s="7" t="str">
        <f>VLOOKUP(B213,[1]characters!$A:$K,11,FALSE)</f>
        <v>balance</v>
      </c>
      <c r="M213" s="7" t="str">
        <f>VLOOKUP(B213,[1]characters!$A:$M,13,FALSE)</f>
        <v>human</v>
      </c>
      <c r="N213" s="7" t="str">
        <f>VLOOKUP(B213,[1]characters!$A:$G,7,FALSE)</f>
        <v>女性</v>
      </c>
      <c r="O213" s="45">
        <f ca="1">IFERROR(VLOOKUP(B213,input_586100!L:R,7,FALSE),VLOOKUP(tables_586100!C213,input_586100!A:H,8,FALSE))</f>
        <v>172285.71429</v>
      </c>
      <c r="P213" s="46">
        <f t="shared" ca="1" si="13"/>
        <v>1.3392857143157001E-3</v>
      </c>
      <c r="Q213" s="30">
        <v>1</v>
      </c>
      <c r="R213" s="30">
        <v>0</v>
      </c>
      <c r="S213" s="30">
        <v>0</v>
      </c>
      <c r="T213" s="30">
        <v>0</v>
      </c>
      <c r="U213" s="30">
        <v>0</v>
      </c>
      <c r="V213" s="30">
        <v>1</v>
      </c>
    </row>
    <row r="214" spans="1:22" ht="21" customHeight="1" x14ac:dyDescent="0.15">
      <c r="A214" s="2" t="str">
        <f ca="1">input_586100!A$2</f>
        <v>586100</v>
      </c>
      <c r="B214" s="5">
        <v>500</v>
      </c>
      <c r="C214" s="7" t="str">
        <f t="shared" si="14"/>
        <v>PremiumSS5</v>
      </c>
      <c r="D214" s="7" t="str">
        <f t="shared" si="15"/>
        <v>PremiumSS</v>
      </c>
      <c r="E214" s="7" t="str">
        <f>IF(COUNTIF('R6追加前'!A:A,B214)=0,IF(OR(I214="PremiumSS",I214="PremiumSSw"),"R5only","R3less"),"")</f>
        <v/>
      </c>
      <c r="F214" s="7" t="str">
        <f>IF(COUNTIF('R6開放'!A:A,B214)&gt;0,"R6release","")</f>
        <v/>
      </c>
      <c r="G214" s="7"/>
      <c r="H214" s="7" t="str">
        <f>VLOOKUP(B214,[1]characters!$A:$C,3,FALSE)</f>
        <v>脈動の禁髪 ラプンツェル</v>
      </c>
      <c r="I214" s="7" t="str">
        <f>VLOOKUP(B214,[1]characters!$A:$J,10,FALSE)</f>
        <v>PremiumSS</v>
      </c>
      <c r="J214" s="7">
        <f>VLOOKUP(B214,[1]characters!$A:$I,9,FALSE)</f>
        <v>5</v>
      </c>
      <c r="K214" s="7" t="str">
        <f>VLOOKUP(B214,[1]characters!$A:$H,8,FALSE)</f>
        <v>yellow</v>
      </c>
      <c r="L214" s="7" t="str">
        <f>VLOOKUP(B214,[1]characters!$A:$K,11,FALSE)</f>
        <v>balance</v>
      </c>
      <c r="M214" s="7" t="str">
        <f>VLOOKUP(B214,[1]characters!$A:$M,13,FALSE)</f>
        <v>human</v>
      </c>
      <c r="N214" s="7" t="str">
        <f>VLOOKUP(B214,[1]characters!$A:$G,7,FALSE)</f>
        <v>女性</v>
      </c>
      <c r="O214" s="45">
        <f ca="1">IFERROR(VLOOKUP(B214,input_586100!L:R,7,FALSE),VLOOKUP(tables_586100!C214,input_586100!A:H,8,FALSE))</f>
        <v>67000</v>
      </c>
      <c r="P214" s="46">
        <f t="shared" ca="1" si="13"/>
        <v>5.2083333333203836E-4</v>
      </c>
      <c r="Q214" s="30">
        <v>1</v>
      </c>
      <c r="R214" s="30">
        <v>0</v>
      </c>
      <c r="S214" s="30">
        <v>0</v>
      </c>
      <c r="T214" s="30">
        <v>0</v>
      </c>
      <c r="U214" s="30">
        <v>0</v>
      </c>
      <c r="V214" s="30">
        <v>1</v>
      </c>
    </row>
    <row r="215" spans="1:22" ht="21" customHeight="1" x14ac:dyDescent="0.15">
      <c r="A215" s="2" t="str">
        <f ca="1">input_586100!A$2</f>
        <v>586100</v>
      </c>
      <c r="B215" s="5">
        <v>560</v>
      </c>
      <c r="C215" s="7" t="str">
        <f t="shared" si="14"/>
        <v>premium5R3less</v>
      </c>
      <c r="D215" s="7" t="str">
        <f t="shared" si="15"/>
        <v>premium</v>
      </c>
      <c r="E215" s="7" t="str">
        <f>IF(COUNTIF('R6追加前'!A:A,B215)=0,IF(OR(I215="PremiumSS",I215="PremiumSSw"),"R5only","R3less"),"")</f>
        <v>R3less</v>
      </c>
      <c r="F215" s="7" t="str">
        <f>IF(COUNTIF('R6開放'!A:A,B215)&gt;0,"R6release","")</f>
        <v/>
      </c>
      <c r="G215" s="7"/>
      <c r="H215" s="7" t="str">
        <f>VLOOKUP(B215,[1]characters!$A:$C,3,FALSE)</f>
        <v>暴骨炎舞の狂賢者 ユノ</v>
      </c>
      <c r="I215" s="7" t="str">
        <f>VLOOKUP(B215,[1]characters!$A:$J,10,FALSE)</f>
        <v>PremiumW</v>
      </c>
      <c r="J215" s="7">
        <f>VLOOKUP(B215,[1]characters!$A:$I,9,FALSE)</f>
        <v>5</v>
      </c>
      <c r="K215" s="7" t="str">
        <f>VLOOKUP(B215,[1]characters!$A:$H,8,FALSE)</f>
        <v>red</v>
      </c>
      <c r="L215" s="7" t="str">
        <f>VLOOKUP(B215,[1]characters!$A:$K,11,FALSE)</f>
        <v>attack</v>
      </c>
      <c r="M215" s="7" t="str">
        <f>VLOOKUP(B215,[1]characters!$A:$M,13,FALSE)</f>
        <v>human</v>
      </c>
      <c r="N215" s="7" t="str">
        <f>VLOOKUP(B215,[1]characters!$A:$G,7,FALSE)</f>
        <v>女性</v>
      </c>
      <c r="O215" s="45">
        <f ca="1">IFERROR(VLOOKUP(B215,input_586100!L:R,7,FALSE),VLOOKUP(tables_586100!C215,input_586100!A:H,8,FALSE))</f>
        <v>121940</v>
      </c>
      <c r="P215" s="46">
        <f t="shared" ca="1" si="13"/>
        <v>9.4791666666430984E-4</v>
      </c>
      <c r="Q215" s="30">
        <v>1</v>
      </c>
      <c r="R215" s="30">
        <v>0</v>
      </c>
      <c r="S215" s="30">
        <v>0</v>
      </c>
      <c r="T215" s="30">
        <v>0</v>
      </c>
      <c r="U215" s="30">
        <v>0</v>
      </c>
      <c r="V215" s="30">
        <v>1</v>
      </c>
    </row>
    <row r="216" spans="1:22" ht="21" customHeight="1" x14ac:dyDescent="0.15">
      <c r="A216" s="2" t="str">
        <f ca="1">input_586100!A$2</f>
        <v>586100</v>
      </c>
      <c r="B216" s="5">
        <v>561</v>
      </c>
      <c r="C216" s="7" t="str">
        <f t="shared" si="14"/>
        <v>premium5R3less</v>
      </c>
      <c r="D216" s="7" t="str">
        <f t="shared" si="15"/>
        <v>premium</v>
      </c>
      <c r="E216" s="7" t="str">
        <f>IF(COUNTIF('R6追加前'!A:A,B216)=0,IF(OR(I216="PremiumSS",I216="PremiumSSw"),"R5only","R3less"),"")</f>
        <v>R3less</v>
      </c>
      <c r="F216" s="7" t="str">
        <f>IF(COUNTIF('R6開放'!A:A,B216)&gt;0,"R6release","")</f>
        <v/>
      </c>
      <c r="G216" s="7"/>
      <c r="H216" s="7" t="str">
        <f>VLOOKUP(B216,[1]characters!$A:$C,3,FALSE)</f>
        <v>森翠統べる獣姫 アマラ</v>
      </c>
      <c r="I216" s="7" t="str">
        <f>VLOOKUP(B216,[1]characters!$A:$J,10,FALSE)</f>
        <v>PremiumW</v>
      </c>
      <c r="J216" s="7">
        <f>VLOOKUP(B216,[1]characters!$A:$I,9,FALSE)</f>
        <v>5</v>
      </c>
      <c r="K216" s="7" t="str">
        <f>VLOOKUP(B216,[1]characters!$A:$H,8,FALSE)</f>
        <v>green</v>
      </c>
      <c r="L216" s="7" t="str">
        <f>VLOOKUP(B216,[1]characters!$A:$K,11,FALSE)</f>
        <v>attack</v>
      </c>
      <c r="M216" s="7" t="str">
        <f>VLOOKUP(B216,[1]characters!$A:$M,13,FALSE)</f>
        <v>human</v>
      </c>
      <c r="N216" s="7" t="str">
        <f>VLOOKUP(B216,[1]characters!$A:$G,7,FALSE)</f>
        <v>女性</v>
      </c>
      <c r="O216" s="45">
        <f ca="1">IFERROR(VLOOKUP(B216,input_586100!L:R,7,FALSE),VLOOKUP(tables_586100!C216,input_586100!A:H,8,FALSE))</f>
        <v>121940</v>
      </c>
      <c r="P216" s="46">
        <f t="shared" ca="1" si="13"/>
        <v>9.4791666666430984E-4</v>
      </c>
      <c r="Q216" s="30">
        <v>1</v>
      </c>
      <c r="R216" s="30">
        <v>0</v>
      </c>
      <c r="S216" s="30">
        <v>0</v>
      </c>
      <c r="T216" s="30">
        <v>0</v>
      </c>
      <c r="U216" s="30">
        <v>0</v>
      </c>
      <c r="V216" s="30">
        <v>1</v>
      </c>
    </row>
    <row r="217" spans="1:22" ht="21" customHeight="1" x14ac:dyDescent="0.15">
      <c r="A217" s="2" t="str">
        <f ca="1">input_586100!A$2</f>
        <v>586100</v>
      </c>
      <c r="B217" s="5">
        <v>562</v>
      </c>
      <c r="C217" s="7" t="str">
        <f t="shared" si="14"/>
        <v>premium5R3less</v>
      </c>
      <c r="D217" s="7" t="str">
        <f t="shared" si="15"/>
        <v>premium</v>
      </c>
      <c r="E217" s="7" t="str">
        <f>IF(COUNTIF('R6追加前'!A:A,B217)=0,IF(OR(I217="PremiumSS",I217="PremiumSSw"),"R5only","R3less"),"")</f>
        <v>R3less</v>
      </c>
      <c r="F217" s="7" t="str">
        <f>IF(COUNTIF('R6開放'!A:A,B217)&gt;0,"R6release","")</f>
        <v/>
      </c>
      <c r="G217" s="7"/>
      <c r="H217" s="7" t="str">
        <f>VLOOKUP(B217,[1]characters!$A:$C,3,FALSE)</f>
        <v>月夜砕く蒼狂狼 ローレンス</v>
      </c>
      <c r="I217" s="7" t="str">
        <f>VLOOKUP(B217,[1]characters!$A:$J,10,FALSE)</f>
        <v>PremiumW</v>
      </c>
      <c r="J217" s="7">
        <f>VLOOKUP(B217,[1]characters!$A:$I,9,FALSE)</f>
        <v>5</v>
      </c>
      <c r="K217" s="7" t="str">
        <f>VLOOKUP(B217,[1]characters!$A:$H,8,FALSE)</f>
        <v>blue</v>
      </c>
      <c r="L217" s="7" t="str">
        <f>VLOOKUP(B217,[1]characters!$A:$K,11,FALSE)</f>
        <v>attack</v>
      </c>
      <c r="M217" s="7" t="str">
        <f>VLOOKUP(B217,[1]characters!$A:$M,13,FALSE)</f>
        <v>animal</v>
      </c>
      <c r="N217" s="7" t="str">
        <f>VLOOKUP(B217,[1]characters!$A:$G,7,FALSE)</f>
        <v>不明</v>
      </c>
      <c r="O217" s="45">
        <f ca="1">IFERROR(VLOOKUP(B217,input_586100!L:R,7,FALSE),VLOOKUP(tables_586100!C217,input_586100!A:H,8,FALSE))</f>
        <v>121940</v>
      </c>
      <c r="P217" s="46">
        <f t="shared" ca="1" si="13"/>
        <v>9.4791666666430984E-4</v>
      </c>
      <c r="Q217" s="30">
        <v>1</v>
      </c>
      <c r="R217" s="30">
        <v>0</v>
      </c>
      <c r="S217" s="30">
        <v>0</v>
      </c>
      <c r="T217" s="30">
        <v>0</v>
      </c>
      <c r="U217" s="30">
        <v>0</v>
      </c>
      <c r="V217" s="30">
        <v>1</v>
      </c>
    </row>
    <row r="218" spans="1:22" ht="21" customHeight="1" x14ac:dyDescent="0.15">
      <c r="A218" s="2" t="str">
        <f ca="1">input_586100!A$2</f>
        <v>586100</v>
      </c>
      <c r="B218" s="5">
        <v>563</v>
      </c>
      <c r="C218" s="7" t="str">
        <f t="shared" si="14"/>
        <v>premium5R3less</v>
      </c>
      <c r="D218" s="7" t="str">
        <f t="shared" si="15"/>
        <v>premium</v>
      </c>
      <c r="E218" s="7" t="str">
        <f>IF(COUNTIF('R6追加前'!A:A,B218)=0,IF(OR(I218="PremiumSS",I218="PremiumSSw"),"R5only","R3less"),"")</f>
        <v>R3less</v>
      </c>
      <c r="F218" s="7" t="str">
        <f>IF(COUNTIF('R6開放'!A:A,B218)&gt;0,"R6release","")</f>
        <v/>
      </c>
      <c r="G218" s="7"/>
      <c r="H218" s="7" t="str">
        <f>VLOOKUP(B218,[1]characters!$A:$C,3,FALSE)</f>
        <v>電翔紫閃の雷刃 ハヤト</v>
      </c>
      <c r="I218" s="7" t="str">
        <f>VLOOKUP(B218,[1]characters!$A:$J,10,FALSE)</f>
        <v>PremiumW</v>
      </c>
      <c r="J218" s="7">
        <f>VLOOKUP(B218,[1]characters!$A:$I,9,FALSE)</f>
        <v>5</v>
      </c>
      <c r="K218" s="7" t="str">
        <f>VLOOKUP(B218,[1]characters!$A:$H,8,FALSE)</f>
        <v>yellow</v>
      </c>
      <c r="L218" s="7" t="str">
        <f>VLOOKUP(B218,[1]characters!$A:$K,11,FALSE)</f>
        <v>attack</v>
      </c>
      <c r="M218" s="7" t="str">
        <f>VLOOKUP(B218,[1]characters!$A:$M,13,FALSE)</f>
        <v>human</v>
      </c>
      <c r="N218" s="7" t="str">
        <f>VLOOKUP(B218,[1]characters!$A:$G,7,FALSE)</f>
        <v>男性</v>
      </c>
      <c r="O218" s="45">
        <f ca="1">IFERROR(VLOOKUP(B218,input_586100!L:R,7,FALSE),VLOOKUP(tables_586100!C218,input_586100!A:H,8,FALSE))</f>
        <v>121940</v>
      </c>
      <c r="P218" s="46">
        <f t="shared" ca="1" si="13"/>
        <v>9.4791666666430984E-4</v>
      </c>
      <c r="Q218" s="30">
        <v>1</v>
      </c>
      <c r="R218" s="30">
        <v>0</v>
      </c>
      <c r="S218" s="30">
        <v>0</v>
      </c>
      <c r="T218" s="30">
        <v>0</v>
      </c>
      <c r="U218" s="30">
        <v>0</v>
      </c>
      <c r="V218" s="30">
        <v>1</v>
      </c>
    </row>
    <row r="219" spans="1:22" ht="21" customHeight="1" x14ac:dyDescent="0.15">
      <c r="A219" s="2" t="str">
        <f ca="1">input_586100!A$2</f>
        <v>586100</v>
      </c>
      <c r="B219" s="5">
        <v>566</v>
      </c>
      <c r="C219" s="7" t="str">
        <f t="shared" si="14"/>
        <v>premium5R3less</v>
      </c>
      <c r="D219" s="7" t="str">
        <f t="shared" si="15"/>
        <v>premium</v>
      </c>
      <c r="E219" s="7" t="str">
        <f>IF(COUNTIF('R6追加前'!A:A,B219)=0,IF(OR(I219="PremiumSS",I219="PremiumSSw"),"R5only","R3less"),"")</f>
        <v>R3less</v>
      </c>
      <c r="F219" s="7" t="str">
        <f>IF(COUNTIF('R6開放'!A:A,B219)&gt;0,"R6release","")</f>
        <v/>
      </c>
      <c r="G219" s="7"/>
      <c r="H219" s="7" t="str">
        <f>VLOOKUP(B219,[1]characters!$A:$C,3,FALSE)</f>
        <v>遊歩遊泳プリンセス マーメイド</v>
      </c>
      <c r="I219" s="7" t="str">
        <f>VLOOKUP(B219,[1]characters!$A:$J,10,FALSE)</f>
        <v>PremiumW</v>
      </c>
      <c r="J219" s="7">
        <f>VLOOKUP(B219,[1]characters!$A:$I,9,FALSE)</f>
        <v>5</v>
      </c>
      <c r="K219" s="7" t="str">
        <f>VLOOKUP(B219,[1]characters!$A:$H,8,FALSE)</f>
        <v>blue</v>
      </c>
      <c r="L219" s="7" t="str">
        <f>VLOOKUP(B219,[1]characters!$A:$K,11,FALSE)</f>
        <v>hp</v>
      </c>
      <c r="M219" s="7" t="str">
        <f>VLOOKUP(B219,[1]characters!$A:$M,13,FALSE)</f>
        <v>human</v>
      </c>
      <c r="N219" s="7" t="str">
        <f>VLOOKUP(B219,[1]characters!$A:$G,7,FALSE)</f>
        <v>不明</v>
      </c>
      <c r="O219" s="45">
        <f ca="1">IFERROR(VLOOKUP(B219,input_586100!L:R,7,FALSE),VLOOKUP(tables_586100!C219,input_586100!A:H,8,FALSE))</f>
        <v>121940</v>
      </c>
      <c r="P219" s="46">
        <f t="shared" ca="1" si="13"/>
        <v>9.4791666666430984E-4</v>
      </c>
      <c r="Q219" s="30">
        <v>1</v>
      </c>
      <c r="R219" s="30">
        <v>0</v>
      </c>
      <c r="S219" s="30">
        <v>0</v>
      </c>
      <c r="T219" s="30">
        <v>0</v>
      </c>
      <c r="U219" s="30">
        <v>0</v>
      </c>
      <c r="V219" s="30">
        <v>1</v>
      </c>
    </row>
    <row r="220" spans="1:22" ht="21" customHeight="1" x14ac:dyDescent="0.15">
      <c r="A220" s="2" t="str">
        <f ca="1">input_586100!A$2</f>
        <v>586100</v>
      </c>
      <c r="B220" s="5">
        <v>567</v>
      </c>
      <c r="C220" s="7" t="str">
        <f t="shared" si="14"/>
        <v>premium5R3less</v>
      </c>
      <c r="D220" s="7" t="str">
        <f t="shared" si="15"/>
        <v>premium</v>
      </c>
      <c r="E220" s="7" t="str">
        <f>IF(COUNTIF('R6追加前'!A:A,B220)=0,IF(OR(I220="PremiumSS",I220="PremiumSSw"),"R5only","R3less"),"")</f>
        <v>R3less</v>
      </c>
      <c r="F220" s="7" t="str">
        <f>IF(COUNTIF('R6開放'!A:A,B220)&gt;0,"R6release","")</f>
        <v/>
      </c>
      <c r="G220" s="7"/>
      <c r="H220" s="7" t="str">
        <f>VLOOKUP(B220,[1]characters!$A:$C,3,FALSE)</f>
        <v>紅揚の祭狐宴舞 タマモ</v>
      </c>
      <c r="I220" s="7" t="str">
        <f>VLOOKUP(B220,[1]characters!$A:$J,10,FALSE)</f>
        <v>PremiumW</v>
      </c>
      <c r="J220" s="7">
        <f>VLOOKUP(B220,[1]characters!$A:$I,9,FALSE)</f>
        <v>5</v>
      </c>
      <c r="K220" s="7" t="str">
        <f>VLOOKUP(B220,[1]characters!$A:$H,8,FALSE)</f>
        <v>yellow</v>
      </c>
      <c r="L220" s="7" t="str">
        <f>VLOOKUP(B220,[1]characters!$A:$K,11,FALSE)</f>
        <v>balance</v>
      </c>
      <c r="M220" s="7" t="str">
        <f>VLOOKUP(B220,[1]characters!$A:$M,13,FALSE)</f>
        <v>animal</v>
      </c>
      <c r="N220" s="7" t="str">
        <f>VLOOKUP(B220,[1]characters!$A:$G,7,FALSE)</f>
        <v>不明</v>
      </c>
      <c r="O220" s="45">
        <f ca="1">IFERROR(VLOOKUP(B220,input_586100!L:R,7,FALSE),VLOOKUP(tables_586100!C220,input_586100!A:H,8,FALSE))</f>
        <v>121940</v>
      </c>
      <c r="P220" s="46">
        <f t="shared" ca="1" si="13"/>
        <v>9.4791666666430984E-4</v>
      </c>
      <c r="Q220" s="30">
        <v>1</v>
      </c>
      <c r="R220" s="30">
        <v>0</v>
      </c>
      <c r="S220" s="30">
        <v>0</v>
      </c>
      <c r="T220" s="30">
        <v>0</v>
      </c>
      <c r="U220" s="30">
        <v>0</v>
      </c>
      <c r="V220" s="30">
        <v>1</v>
      </c>
    </row>
    <row r="221" spans="1:22" ht="21" customHeight="1" x14ac:dyDescent="0.15">
      <c r="A221" s="2" t="str">
        <f ca="1">input_586100!A$2</f>
        <v>586100</v>
      </c>
      <c r="B221" s="5">
        <v>586</v>
      </c>
      <c r="C221" s="7" t="str">
        <f t="shared" si="14"/>
        <v>PremiumSS4</v>
      </c>
      <c r="D221" s="7" t="str">
        <f t="shared" si="15"/>
        <v>PremiumSS</v>
      </c>
      <c r="E221" s="7" t="str">
        <f>IF(COUNTIF('R6追加前'!A:A,B221)=0,IF(OR(I221="PremiumSS",I221="PremiumSSw"),"R5only","R3less"),"")</f>
        <v/>
      </c>
      <c r="F221" s="7" t="str">
        <f>IF(COUNTIF('R6開放'!A:A,B221)&gt;0,"R6release","")</f>
        <v/>
      </c>
      <c r="G221" s="7"/>
      <c r="H221" s="7" t="str">
        <f>VLOOKUP(B221,[1]characters!$A:$C,3,FALSE)</f>
        <v>ユミル</v>
      </c>
      <c r="I221" s="7" t="str">
        <f>VLOOKUP(B221,[1]characters!$A:$J,10,FALSE)</f>
        <v>PremiumSS</v>
      </c>
      <c r="J221" s="7">
        <f>VLOOKUP(B221,[1]characters!$A:$I,9,FALSE)</f>
        <v>4</v>
      </c>
      <c r="K221" s="7" t="str">
        <f>VLOOKUP(B221,[1]characters!$A:$H,8,FALSE)</f>
        <v>red</v>
      </c>
      <c r="L221" s="7" t="str">
        <f>VLOOKUP(B221,[1]characters!$A:$K,11,FALSE)</f>
        <v>hp</v>
      </c>
      <c r="M221" s="7" t="str">
        <f>VLOOKUP(B221,[1]characters!$A:$M,13,FALSE)</f>
        <v>machine</v>
      </c>
      <c r="N221" s="7" t="str">
        <f>VLOOKUP(B221,[1]characters!$A:$G,7,FALSE)</f>
        <v>不明</v>
      </c>
      <c r="O221" s="45">
        <f ca="1">IFERROR(VLOOKUP(B221,input_586100!L:R,7,FALSE),VLOOKUP(tables_586100!C221,input_586100!A:H,8,FALSE))</f>
        <v>172285.71429</v>
      </c>
      <c r="P221" s="46">
        <f t="shared" ca="1" si="13"/>
        <v>1.3392857143157001E-3</v>
      </c>
      <c r="Q221" s="30">
        <v>1</v>
      </c>
      <c r="R221" s="30">
        <v>0</v>
      </c>
      <c r="S221" s="30">
        <v>0</v>
      </c>
      <c r="T221" s="30">
        <v>0</v>
      </c>
      <c r="U221" s="30">
        <v>0</v>
      </c>
      <c r="V221" s="30">
        <v>1</v>
      </c>
    </row>
    <row r="222" spans="1:22" ht="21" customHeight="1" x14ac:dyDescent="0.15">
      <c r="A222" s="2" t="str">
        <f ca="1">input_586100!A$2</f>
        <v>586100</v>
      </c>
      <c r="B222" s="5">
        <v>587</v>
      </c>
      <c r="C222" s="7" t="str">
        <f t="shared" si="14"/>
        <v>PremiumSS5</v>
      </c>
      <c r="D222" s="7" t="str">
        <f t="shared" si="15"/>
        <v>PremiumSS</v>
      </c>
      <c r="E222" s="7" t="str">
        <f>IF(COUNTIF('R6追加前'!A:A,B222)=0,IF(OR(I222="PremiumSS",I222="PremiumSSw"),"R5only","R3less"),"")</f>
        <v/>
      </c>
      <c r="F222" s="7" t="str">
        <f>IF(COUNTIF('R6開放'!A:A,B222)&gt;0,"R6release","")</f>
        <v/>
      </c>
      <c r="G222" s="7"/>
      <c r="H222" s="7" t="str">
        <f>VLOOKUP(B222,[1]characters!$A:$C,3,FALSE)</f>
        <v>原初の煉鋼巨刃 ユミル</v>
      </c>
      <c r="I222" s="7" t="str">
        <f>VLOOKUP(B222,[1]characters!$A:$J,10,FALSE)</f>
        <v>PremiumSS</v>
      </c>
      <c r="J222" s="7">
        <f>VLOOKUP(B222,[1]characters!$A:$I,9,FALSE)</f>
        <v>5</v>
      </c>
      <c r="K222" s="7" t="str">
        <f>VLOOKUP(B222,[1]characters!$A:$H,8,FALSE)</f>
        <v>red</v>
      </c>
      <c r="L222" s="7" t="str">
        <f>VLOOKUP(B222,[1]characters!$A:$K,11,FALSE)</f>
        <v>hp</v>
      </c>
      <c r="M222" s="7" t="str">
        <f>VLOOKUP(B222,[1]characters!$A:$M,13,FALSE)</f>
        <v>machine</v>
      </c>
      <c r="N222" s="7" t="str">
        <f>VLOOKUP(B222,[1]characters!$A:$G,7,FALSE)</f>
        <v>不明</v>
      </c>
      <c r="O222" s="45">
        <f ca="1">IFERROR(VLOOKUP(B222,input_586100!L:R,7,FALSE),VLOOKUP(tables_586100!C222,input_586100!A:H,8,FALSE))</f>
        <v>67000</v>
      </c>
      <c r="P222" s="46">
        <f t="shared" ca="1" si="13"/>
        <v>5.2083333333203836E-4</v>
      </c>
      <c r="Q222" s="30">
        <v>1</v>
      </c>
      <c r="R222" s="30">
        <v>0</v>
      </c>
      <c r="S222" s="30">
        <v>0</v>
      </c>
      <c r="T222" s="30">
        <v>0</v>
      </c>
      <c r="U222" s="30">
        <v>0</v>
      </c>
      <c r="V222" s="30">
        <v>1</v>
      </c>
    </row>
    <row r="223" spans="1:22" ht="21" customHeight="1" x14ac:dyDescent="0.15">
      <c r="A223" s="2" t="str">
        <f ca="1">input_586100!A$2</f>
        <v>586100</v>
      </c>
      <c r="B223" s="5">
        <v>588</v>
      </c>
      <c r="C223" s="7" t="str">
        <f t="shared" si="14"/>
        <v>Premium3</v>
      </c>
      <c r="D223" s="7" t="str">
        <f t="shared" si="15"/>
        <v>Premium</v>
      </c>
      <c r="E223" s="7" t="str">
        <f>IF(COUNTIF('R6追加前'!A:A,B223)=0,IF(OR(I223="PremiumSS",I223="PremiumSSw"),"R5only","R3less"),"")</f>
        <v/>
      </c>
      <c r="F223" s="7" t="str">
        <f>IF(COUNTIF('R6開放'!A:A,B223)&gt;0,"R6release","")</f>
        <v/>
      </c>
      <c r="G223" s="7"/>
      <c r="H223" s="7" t="str">
        <f>VLOOKUP(B223,[1]characters!$A:$C,3,FALSE)</f>
        <v>ニーベルゲン</v>
      </c>
      <c r="I223" s="7" t="str">
        <f>VLOOKUP(B223,[1]characters!$A:$J,10,FALSE)</f>
        <v>PremiumS</v>
      </c>
      <c r="J223" s="7">
        <f>VLOOKUP(B223,[1]characters!$A:$I,9,FALSE)</f>
        <v>3</v>
      </c>
      <c r="K223" s="7" t="str">
        <f>VLOOKUP(B223,[1]characters!$A:$H,8,FALSE)</f>
        <v>green</v>
      </c>
      <c r="L223" s="7" t="str">
        <f>VLOOKUP(B223,[1]characters!$A:$K,11,FALSE)</f>
        <v>balance</v>
      </c>
      <c r="M223" s="7" t="str">
        <f>VLOOKUP(B223,[1]characters!$A:$M,13,FALSE)</f>
        <v>unknown</v>
      </c>
      <c r="N223" s="7" t="str">
        <f>VLOOKUP(B223,[1]characters!$A:$G,7,FALSE)</f>
        <v>女性</v>
      </c>
      <c r="O223" s="45">
        <f ca="1">IFERROR(VLOOKUP(B223,input_586100!L:R,7,FALSE),VLOOKUP(tables_586100!C223,input_586100!A:H,8,FALSE))</f>
        <v>0</v>
      </c>
      <c r="P223" s="46">
        <f t="shared" ca="1" si="13"/>
        <v>0</v>
      </c>
      <c r="Q223" s="30">
        <v>1</v>
      </c>
      <c r="R223" s="30">
        <v>0</v>
      </c>
      <c r="S223" s="30">
        <v>0</v>
      </c>
      <c r="T223" s="30">
        <v>0</v>
      </c>
      <c r="U223" s="30">
        <v>0</v>
      </c>
      <c r="V223" s="30">
        <v>1</v>
      </c>
    </row>
    <row r="224" spans="1:22" ht="21" customHeight="1" x14ac:dyDescent="0.15">
      <c r="A224" s="2" t="str">
        <f ca="1">input_586100!A$2</f>
        <v>586100</v>
      </c>
      <c r="B224" s="5">
        <v>589</v>
      </c>
      <c r="C224" s="7" t="str">
        <f t="shared" si="14"/>
        <v>Premium4</v>
      </c>
      <c r="D224" s="7" t="str">
        <f t="shared" si="15"/>
        <v>Premium</v>
      </c>
      <c r="E224" s="7" t="str">
        <f>IF(COUNTIF('R6追加前'!A:A,B224)=0,IF(OR(I224="PremiumSS",I224="PremiumSSw"),"R5only","R3less"),"")</f>
        <v/>
      </c>
      <c r="F224" s="7" t="str">
        <f>IF(COUNTIF('R6開放'!A:A,B224)&gt;0,"R6release","")</f>
        <v/>
      </c>
      <c r="G224" s="7"/>
      <c r="H224" s="7" t="str">
        <f>VLOOKUP(B224,[1]characters!$A:$C,3,FALSE)</f>
        <v>不幸の円環 ニーベルゲン</v>
      </c>
      <c r="I224" s="7" t="str">
        <f>VLOOKUP(B224,[1]characters!$A:$J,10,FALSE)</f>
        <v>PremiumS</v>
      </c>
      <c r="J224" s="7">
        <f>VLOOKUP(B224,[1]characters!$A:$I,9,FALSE)</f>
        <v>4</v>
      </c>
      <c r="K224" s="7" t="str">
        <f>VLOOKUP(B224,[1]characters!$A:$H,8,FALSE)</f>
        <v>green</v>
      </c>
      <c r="L224" s="7" t="str">
        <f>VLOOKUP(B224,[1]characters!$A:$K,11,FALSE)</f>
        <v>balance</v>
      </c>
      <c r="M224" s="7" t="str">
        <f>VLOOKUP(B224,[1]characters!$A:$M,13,FALSE)</f>
        <v>unknown</v>
      </c>
      <c r="N224" s="7" t="str">
        <f>VLOOKUP(B224,[1]characters!$A:$G,7,FALSE)</f>
        <v>女性</v>
      </c>
      <c r="O224" s="45">
        <f ca="1">IFERROR(VLOOKUP(B224,input_586100!L:R,7,FALSE),VLOOKUP(tables_586100!C224,input_586100!A:H,8,FALSE))</f>
        <v>1097460</v>
      </c>
      <c r="P224" s="46">
        <f t="shared" ca="1" si="13"/>
        <v>8.5312499999787884E-3</v>
      </c>
      <c r="Q224" s="30">
        <v>1</v>
      </c>
      <c r="R224" s="30">
        <v>0</v>
      </c>
      <c r="S224" s="30">
        <v>0</v>
      </c>
      <c r="T224" s="30">
        <v>0</v>
      </c>
      <c r="U224" s="30">
        <v>0</v>
      </c>
      <c r="V224" s="30">
        <v>1</v>
      </c>
    </row>
    <row r="225" spans="1:22" ht="21" customHeight="1" x14ac:dyDescent="0.15">
      <c r="A225" s="2" t="str">
        <f ca="1">input_586100!A$2</f>
        <v>586100</v>
      </c>
      <c r="B225" s="5">
        <v>590</v>
      </c>
      <c r="C225" s="7" t="str">
        <f t="shared" si="14"/>
        <v>Premium5</v>
      </c>
      <c r="D225" s="7" t="str">
        <f t="shared" si="15"/>
        <v>Premium</v>
      </c>
      <c r="E225" s="7" t="str">
        <f>IF(COUNTIF('R6追加前'!A:A,B225)=0,IF(OR(I225="PremiumSS",I225="PremiumSSw"),"R5only","R3less"),"")</f>
        <v/>
      </c>
      <c r="F225" s="7" t="str">
        <f>IF(COUNTIF('R6開放'!A:A,B225)&gt;0,"R6release","")</f>
        <v/>
      </c>
      <c r="G225" s="7"/>
      <c r="H225" s="7" t="str">
        <f>VLOOKUP(B225,[1]characters!$A:$C,3,FALSE)</f>
        <v>永遠を廻る呪い ニーベルゲン</v>
      </c>
      <c r="I225" s="7" t="str">
        <f>VLOOKUP(B225,[1]characters!$A:$J,10,FALSE)</f>
        <v>PremiumS</v>
      </c>
      <c r="J225" s="7">
        <f>VLOOKUP(B225,[1]characters!$A:$I,9,FALSE)</f>
        <v>5</v>
      </c>
      <c r="K225" s="7" t="str">
        <f>VLOOKUP(B225,[1]characters!$A:$H,8,FALSE)</f>
        <v>green</v>
      </c>
      <c r="L225" s="7" t="str">
        <f>VLOOKUP(B225,[1]characters!$A:$K,11,FALSE)</f>
        <v>balance</v>
      </c>
      <c r="M225" s="7" t="str">
        <f>VLOOKUP(B225,[1]characters!$A:$M,13,FALSE)</f>
        <v>unknown</v>
      </c>
      <c r="N225" s="7" t="str">
        <f>VLOOKUP(B225,[1]characters!$A:$G,7,FALSE)</f>
        <v>女性</v>
      </c>
      <c r="O225" s="45">
        <f ca="1">IFERROR(VLOOKUP(B225,input_586100!L:R,7,FALSE),VLOOKUP(tables_586100!C225,input_586100!A:H,8,FALSE))</f>
        <v>51796.153850000002</v>
      </c>
      <c r="P225" s="46">
        <f t="shared" ca="1" si="13"/>
        <v>4.0264423079812829E-4</v>
      </c>
      <c r="Q225" s="30">
        <v>1</v>
      </c>
      <c r="R225" s="30">
        <v>0</v>
      </c>
      <c r="S225" s="30">
        <v>0</v>
      </c>
      <c r="T225" s="30">
        <v>0</v>
      </c>
      <c r="U225" s="30">
        <v>0</v>
      </c>
      <c r="V225" s="30">
        <v>1</v>
      </c>
    </row>
    <row r="226" spans="1:22" ht="21" customHeight="1" x14ac:dyDescent="0.15">
      <c r="A226" s="2" t="str">
        <f ca="1">input_586100!A$2</f>
        <v>586100</v>
      </c>
      <c r="B226" s="5">
        <v>591</v>
      </c>
      <c r="C226" s="7" t="str">
        <f t="shared" si="14"/>
        <v>Premium3</v>
      </c>
      <c r="D226" s="7" t="str">
        <f t="shared" si="15"/>
        <v>Premium</v>
      </c>
      <c r="E226" s="7" t="str">
        <f>IF(COUNTIF('R6追加前'!A:A,B226)=0,IF(OR(I226="PremiumSS",I226="PremiumSSw"),"R5only","R3less"),"")</f>
        <v/>
      </c>
      <c r="F226" s="7" t="str">
        <f>IF(COUNTIF('R6開放'!A:A,B226)&gt;0,"R6release","")</f>
        <v/>
      </c>
      <c r="G226" s="7"/>
      <c r="H226" s="7" t="str">
        <f>VLOOKUP(B226,[1]characters!$A:$C,3,FALSE)</f>
        <v>ファフニール</v>
      </c>
      <c r="I226" s="7" t="str">
        <f>VLOOKUP(B226,[1]characters!$A:$J,10,FALSE)</f>
        <v>PremiumS</v>
      </c>
      <c r="J226" s="7">
        <f>VLOOKUP(B226,[1]characters!$A:$I,9,FALSE)</f>
        <v>3</v>
      </c>
      <c r="K226" s="7" t="str">
        <f>VLOOKUP(B226,[1]characters!$A:$H,8,FALSE)</f>
        <v>blue</v>
      </c>
      <c r="L226" s="7" t="str">
        <f>VLOOKUP(B226,[1]characters!$A:$K,11,FALSE)</f>
        <v>technical</v>
      </c>
      <c r="M226" s="7" t="str">
        <f>VLOOKUP(B226,[1]characters!$A:$M,13,FALSE)</f>
        <v>dragon</v>
      </c>
      <c r="N226" s="7" t="str">
        <f>VLOOKUP(B226,[1]characters!$A:$G,7,FALSE)</f>
        <v>不明</v>
      </c>
      <c r="O226" s="45">
        <f ca="1">IFERROR(VLOOKUP(B226,input_586100!L:R,7,FALSE),VLOOKUP(tables_586100!C226,input_586100!A:H,8,FALSE))</f>
        <v>0</v>
      </c>
      <c r="P226" s="46">
        <f t="shared" ca="1" si="13"/>
        <v>0</v>
      </c>
      <c r="Q226" s="30">
        <v>1</v>
      </c>
      <c r="R226" s="30">
        <v>0</v>
      </c>
      <c r="S226" s="30">
        <v>0</v>
      </c>
      <c r="T226" s="30">
        <v>0</v>
      </c>
      <c r="U226" s="30">
        <v>0</v>
      </c>
      <c r="V226" s="30">
        <v>1</v>
      </c>
    </row>
    <row r="227" spans="1:22" ht="21" customHeight="1" x14ac:dyDescent="0.15">
      <c r="A227" s="2" t="str">
        <f ca="1">input_586100!A$2</f>
        <v>586100</v>
      </c>
      <c r="B227" s="5">
        <v>592</v>
      </c>
      <c r="C227" s="7" t="str">
        <f t="shared" si="14"/>
        <v>Premium4</v>
      </c>
      <c r="D227" s="7" t="str">
        <f t="shared" si="15"/>
        <v>Premium</v>
      </c>
      <c r="E227" s="7" t="str">
        <f>IF(COUNTIF('R6追加前'!A:A,B227)=0,IF(OR(I227="PremiumSS",I227="PremiumSSw"),"R5only","R3less"),"")</f>
        <v/>
      </c>
      <c r="F227" s="7" t="str">
        <f>IF(COUNTIF('R6開放'!A:A,B227)&gt;0,"R6release","")</f>
        <v/>
      </c>
      <c r="G227" s="7"/>
      <c r="H227" s="7" t="str">
        <f>VLOOKUP(B227,[1]characters!$A:$C,3,FALSE)</f>
        <v>財宝への執着 ファフニール</v>
      </c>
      <c r="I227" s="7" t="str">
        <f>VLOOKUP(B227,[1]characters!$A:$J,10,FALSE)</f>
        <v>PremiumS</v>
      </c>
      <c r="J227" s="7">
        <f>VLOOKUP(B227,[1]characters!$A:$I,9,FALSE)</f>
        <v>4</v>
      </c>
      <c r="K227" s="7" t="str">
        <f>VLOOKUP(B227,[1]characters!$A:$H,8,FALSE)</f>
        <v>blue</v>
      </c>
      <c r="L227" s="7" t="str">
        <f>VLOOKUP(B227,[1]characters!$A:$K,11,FALSE)</f>
        <v>technical</v>
      </c>
      <c r="M227" s="7" t="str">
        <f>VLOOKUP(B227,[1]characters!$A:$M,13,FALSE)</f>
        <v>dragon</v>
      </c>
      <c r="N227" s="7" t="str">
        <f>VLOOKUP(B227,[1]characters!$A:$G,7,FALSE)</f>
        <v>不明</v>
      </c>
      <c r="O227" s="45">
        <f ca="1">IFERROR(VLOOKUP(B227,input_586100!L:R,7,FALSE),VLOOKUP(tables_586100!C227,input_586100!A:H,8,FALSE))</f>
        <v>1097460</v>
      </c>
      <c r="P227" s="46">
        <f t="shared" ca="1" si="13"/>
        <v>8.5312499999787884E-3</v>
      </c>
      <c r="Q227" s="30">
        <v>1</v>
      </c>
      <c r="R227" s="30">
        <v>0</v>
      </c>
      <c r="S227" s="30">
        <v>0</v>
      </c>
      <c r="T227" s="30">
        <v>0</v>
      </c>
      <c r="U227" s="30">
        <v>0</v>
      </c>
      <c r="V227" s="30">
        <v>1</v>
      </c>
    </row>
    <row r="228" spans="1:22" ht="21" customHeight="1" x14ac:dyDescent="0.15">
      <c r="A228" s="2" t="str">
        <f ca="1">input_586100!A$2</f>
        <v>586100</v>
      </c>
      <c r="B228" s="5">
        <v>593</v>
      </c>
      <c r="C228" s="7" t="str">
        <f t="shared" si="14"/>
        <v>Premium5</v>
      </c>
      <c r="D228" s="7" t="str">
        <f t="shared" si="15"/>
        <v>Premium</v>
      </c>
      <c r="E228" s="7" t="str">
        <f>IF(COUNTIF('R6追加前'!A:A,B228)=0,IF(OR(I228="PremiumSS",I228="PremiumSSw"),"R5only","R3less"),"")</f>
        <v/>
      </c>
      <c r="F228" s="7" t="str">
        <f>IF(COUNTIF('R6開放'!A:A,B228)&gt;0,"R6release","")</f>
        <v/>
      </c>
      <c r="G228" s="7"/>
      <c r="H228" s="7" t="str">
        <f>VLOOKUP(B228,[1]characters!$A:$C,3,FALSE)</f>
        <v>妄執する邪毒龍 ファフニール</v>
      </c>
      <c r="I228" s="7" t="str">
        <f>VLOOKUP(B228,[1]characters!$A:$J,10,FALSE)</f>
        <v>PremiumS</v>
      </c>
      <c r="J228" s="7">
        <f>VLOOKUP(B228,[1]characters!$A:$I,9,FALSE)</f>
        <v>5</v>
      </c>
      <c r="K228" s="7" t="str">
        <f>VLOOKUP(B228,[1]characters!$A:$H,8,FALSE)</f>
        <v>blue</v>
      </c>
      <c r="L228" s="7" t="str">
        <f>VLOOKUP(B228,[1]characters!$A:$K,11,FALSE)</f>
        <v>technical</v>
      </c>
      <c r="M228" s="7" t="str">
        <f>VLOOKUP(B228,[1]characters!$A:$M,13,FALSE)</f>
        <v>dragon</v>
      </c>
      <c r="N228" s="7" t="str">
        <f>VLOOKUP(B228,[1]characters!$A:$G,7,FALSE)</f>
        <v>不明</v>
      </c>
      <c r="O228" s="45">
        <f ca="1">IFERROR(VLOOKUP(B228,input_586100!L:R,7,FALSE),VLOOKUP(tables_586100!C228,input_586100!A:H,8,FALSE))</f>
        <v>51796.153850000002</v>
      </c>
      <c r="P228" s="46">
        <f t="shared" ca="1" si="13"/>
        <v>4.0264423079812829E-4</v>
      </c>
      <c r="Q228" s="30">
        <v>1</v>
      </c>
      <c r="R228" s="30">
        <v>0</v>
      </c>
      <c r="S228" s="30">
        <v>0</v>
      </c>
      <c r="T228" s="30">
        <v>0</v>
      </c>
      <c r="U228" s="30">
        <v>0</v>
      </c>
      <c r="V228" s="30">
        <v>1</v>
      </c>
    </row>
    <row r="229" spans="1:22" ht="21" customHeight="1" x14ac:dyDescent="0.15">
      <c r="A229" s="2" t="str">
        <f ca="1">input_586100!A$2</f>
        <v>586100</v>
      </c>
      <c r="B229" s="5">
        <v>594</v>
      </c>
      <c r="C229" s="7" t="str">
        <f t="shared" si="14"/>
        <v>PremiumSS4</v>
      </c>
      <c r="D229" s="7" t="str">
        <f t="shared" si="15"/>
        <v>PremiumSS</v>
      </c>
      <c r="E229" s="7" t="str">
        <f>IF(COUNTIF('R6追加前'!A:A,B229)=0,IF(OR(I229="PremiumSS",I229="PremiumSSw"),"R5only","R3less"),"")</f>
        <v/>
      </c>
      <c r="F229" s="7" t="str">
        <f>IF(COUNTIF('R6開放'!A:A,B229)&gt;0,"R6release","")</f>
        <v/>
      </c>
      <c r="G229" s="7"/>
      <c r="H229" s="7" t="str">
        <f>VLOOKUP(B229,[1]characters!$A:$C,3,FALSE)</f>
        <v>アルフヘイム</v>
      </c>
      <c r="I229" s="7" t="str">
        <f>VLOOKUP(B229,[1]characters!$A:$J,10,FALSE)</f>
        <v>PremiumSS</v>
      </c>
      <c r="J229" s="7">
        <f>VLOOKUP(B229,[1]characters!$A:$I,9,FALSE)</f>
        <v>4</v>
      </c>
      <c r="K229" s="7" t="str">
        <f>VLOOKUP(B229,[1]characters!$A:$H,8,FALSE)</f>
        <v>yellow</v>
      </c>
      <c r="L229" s="7" t="str">
        <f>VLOOKUP(B229,[1]characters!$A:$K,11,FALSE)</f>
        <v>attack</v>
      </c>
      <c r="M229" s="7" t="str">
        <f>VLOOKUP(B229,[1]characters!$A:$M,13,FALSE)</f>
        <v>dragon</v>
      </c>
      <c r="N229" s="7" t="str">
        <f>VLOOKUP(B229,[1]characters!$A:$G,7,FALSE)</f>
        <v>不明</v>
      </c>
      <c r="O229" s="45">
        <f ca="1">IFERROR(VLOOKUP(B229,input_586100!L:R,7,FALSE),VLOOKUP(tables_586100!C229,input_586100!A:H,8,FALSE))</f>
        <v>172285.71429</v>
      </c>
      <c r="P229" s="46">
        <f t="shared" ca="1" si="13"/>
        <v>1.3392857143157001E-3</v>
      </c>
      <c r="Q229" s="30">
        <v>1</v>
      </c>
      <c r="R229" s="30">
        <v>0</v>
      </c>
      <c r="S229" s="30">
        <v>0</v>
      </c>
      <c r="T229" s="30">
        <v>0</v>
      </c>
      <c r="U229" s="30">
        <v>0</v>
      </c>
      <c r="V229" s="30">
        <v>1</v>
      </c>
    </row>
    <row r="230" spans="1:22" ht="21" customHeight="1" x14ac:dyDescent="0.15">
      <c r="A230" s="2" t="str">
        <f ca="1">input_586100!A$2</f>
        <v>586100</v>
      </c>
      <c r="B230" s="5">
        <v>595</v>
      </c>
      <c r="C230" s="7" t="str">
        <f t="shared" si="14"/>
        <v>PremiumSS5</v>
      </c>
      <c r="D230" s="7" t="str">
        <f t="shared" si="15"/>
        <v>PremiumSS</v>
      </c>
      <c r="E230" s="7" t="str">
        <f>IF(COUNTIF('R6追加前'!A:A,B230)=0,IF(OR(I230="PremiumSS",I230="PremiumSSw"),"R5only","R3less"),"")</f>
        <v/>
      </c>
      <c r="F230" s="7" t="str">
        <f>IF(COUNTIF('R6開放'!A:A,B230)&gt;0,"R6release","")</f>
        <v/>
      </c>
      <c r="G230" s="7"/>
      <c r="H230" s="7" t="str">
        <f>VLOOKUP(B230,[1]characters!$A:$C,3,FALSE)</f>
        <v>光華なる神域 アルフヘイム</v>
      </c>
      <c r="I230" s="7" t="str">
        <f>VLOOKUP(B230,[1]characters!$A:$J,10,FALSE)</f>
        <v>PremiumSS</v>
      </c>
      <c r="J230" s="7">
        <f>VLOOKUP(B230,[1]characters!$A:$I,9,FALSE)</f>
        <v>5</v>
      </c>
      <c r="K230" s="7" t="str">
        <f>VLOOKUP(B230,[1]characters!$A:$H,8,FALSE)</f>
        <v>yellow</v>
      </c>
      <c r="L230" s="7" t="str">
        <f>VLOOKUP(B230,[1]characters!$A:$K,11,FALSE)</f>
        <v>attack</v>
      </c>
      <c r="M230" s="7" t="str">
        <f>VLOOKUP(B230,[1]characters!$A:$M,13,FALSE)</f>
        <v>dragon</v>
      </c>
      <c r="N230" s="7" t="str">
        <f>VLOOKUP(B230,[1]characters!$A:$G,7,FALSE)</f>
        <v>不明</v>
      </c>
      <c r="O230" s="45">
        <f ca="1">IFERROR(VLOOKUP(B230,input_586100!L:R,7,FALSE),VLOOKUP(tables_586100!C230,input_586100!A:H,8,FALSE))</f>
        <v>67000</v>
      </c>
      <c r="P230" s="46">
        <f t="shared" ca="1" si="13"/>
        <v>5.2083333333203836E-4</v>
      </c>
      <c r="Q230" s="30">
        <v>1</v>
      </c>
      <c r="R230" s="30">
        <v>0</v>
      </c>
      <c r="S230" s="30">
        <v>0</v>
      </c>
      <c r="T230" s="30">
        <v>0</v>
      </c>
      <c r="U230" s="30">
        <v>0</v>
      </c>
      <c r="V230" s="30">
        <v>1</v>
      </c>
    </row>
    <row r="231" spans="1:22" ht="21" customHeight="1" x14ac:dyDescent="0.15">
      <c r="A231" s="2" t="str">
        <f ca="1">input_586100!A$2</f>
        <v>586100</v>
      </c>
      <c r="B231" s="5">
        <v>596</v>
      </c>
      <c r="C231" s="7" t="str">
        <f t="shared" si="14"/>
        <v>Premium3</v>
      </c>
      <c r="D231" s="7" t="str">
        <f t="shared" si="15"/>
        <v>Premium</v>
      </c>
      <c r="E231" s="7" t="str">
        <f>IF(COUNTIF('R6追加前'!A:A,B231)=0,IF(OR(I231="PremiumSS",I231="PremiumSSw"),"R5only","R3less"),"")</f>
        <v/>
      </c>
      <c r="F231" s="7" t="str">
        <f>IF(COUNTIF('R6開放'!A:A,B231)&gt;0,"R6release","")</f>
        <v/>
      </c>
      <c r="G231" s="7"/>
      <c r="H231" s="7" t="str">
        <f>VLOOKUP(B231,[1]characters!$A:$C,3,FALSE)</f>
        <v>ムスペルヘイム</v>
      </c>
      <c r="I231" s="7" t="str">
        <f>VLOOKUP(B231,[1]characters!$A:$J,10,FALSE)</f>
        <v>PremiumS</v>
      </c>
      <c r="J231" s="7">
        <f>VLOOKUP(B231,[1]characters!$A:$I,9,FALSE)</f>
        <v>3</v>
      </c>
      <c r="K231" s="7" t="str">
        <f>VLOOKUP(B231,[1]characters!$A:$H,8,FALSE)</f>
        <v>red</v>
      </c>
      <c r="L231" s="7" t="str">
        <f>VLOOKUP(B231,[1]characters!$A:$K,11,FALSE)</f>
        <v>balance</v>
      </c>
      <c r="M231" s="7" t="str">
        <f>VLOOKUP(B231,[1]characters!$A:$M,13,FALSE)</f>
        <v>human</v>
      </c>
      <c r="N231" s="7" t="str">
        <f>VLOOKUP(B231,[1]characters!$A:$G,7,FALSE)</f>
        <v>男性</v>
      </c>
      <c r="O231" s="45">
        <f ca="1">IFERROR(VLOOKUP(B231,input_586100!L:R,7,FALSE),VLOOKUP(tables_586100!C231,input_586100!A:H,8,FALSE))</f>
        <v>0</v>
      </c>
      <c r="P231" s="46">
        <f t="shared" ca="1" si="13"/>
        <v>0</v>
      </c>
      <c r="Q231" s="30">
        <v>1</v>
      </c>
      <c r="R231" s="30">
        <v>0</v>
      </c>
      <c r="S231" s="30">
        <v>0</v>
      </c>
      <c r="T231" s="30">
        <v>0</v>
      </c>
      <c r="U231" s="30">
        <v>0</v>
      </c>
      <c r="V231" s="30">
        <v>1</v>
      </c>
    </row>
    <row r="232" spans="1:22" ht="21" customHeight="1" x14ac:dyDescent="0.15">
      <c r="A232" s="2" t="str">
        <f ca="1">input_586100!A$2</f>
        <v>586100</v>
      </c>
      <c r="B232" s="5">
        <v>597</v>
      </c>
      <c r="C232" s="7" t="str">
        <f t="shared" si="14"/>
        <v>Premium4</v>
      </c>
      <c r="D232" s="7" t="str">
        <f t="shared" si="15"/>
        <v>Premium</v>
      </c>
      <c r="E232" s="7" t="str">
        <f>IF(COUNTIF('R6追加前'!A:A,B232)=0,IF(OR(I232="PremiumSS",I232="PremiumSSw"),"R5only","R3less"),"")</f>
        <v/>
      </c>
      <c r="F232" s="7" t="str">
        <f>IF(COUNTIF('R6開放'!A:A,B232)&gt;0,"R6release","")</f>
        <v/>
      </c>
      <c r="G232" s="7"/>
      <c r="H232" s="7" t="str">
        <f>VLOOKUP(B232,[1]characters!$A:$C,3,FALSE)</f>
        <v>灼熱の魂 ムスペルヘイム</v>
      </c>
      <c r="I232" s="7" t="str">
        <f>VLOOKUP(B232,[1]characters!$A:$J,10,FALSE)</f>
        <v>PremiumS</v>
      </c>
      <c r="J232" s="7">
        <f>VLOOKUP(B232,[1]characters!$A:$I,9,FALSE)</f>
        <v>4</v>
      </c>
      <c r="K232" s="7" t="str">
        <f>VLOOKUP(B232,[1]characters!$A:$H,8,FALSE)</f>
        <v>red</v>
      </c>
      <c r="L232" s="7" t="str">
        <f>VLOOKUP(B232,[1]characters!$A:$K,11,FALSE)</f>
        <v>balance</v>
      </c>
      <c r="M232" s="7" t="str">
        <f>VLOOKUP(B232,[1]characters!$A:$M,13,FALSE)</f>
        <v>human</v>
      </c>
      <c r="N232" s="7" t="str">
        <f>VLOOKUP(B232,[1]characters!$A:$G,7,FALSE)</f>
        <v>男性</v>
      </c>
      <c r="O232" s="45">
        <f ca="1">IFERROR(VLOOKUP(B232,input_586100!L:R,7,FALSE),VLOOKUP(tables_586100!C232,input_586100!A:H,8,FALSE))</f>
        <v>1097460</v>
      </c>
      <c r="P232" s="46">
        <f t="shared" ca="1" si="13"/>
        <v>8.5312499999787884E-3</v>
      </c>
      <c r="Q232" s="30">
        <v>1</v>
      </c>
      <c r="R232" s="30">
        <v>0</v>
      </c>
      <c r="S232" s="30">
        <v>0</v>
      </c>
      <c r="T232" s="30">
        <v>0</v>
      </c>
      <c r="U232" s="30">
        <v>0</v>
      </c>
      <c r="V232" s="30">
        <v>1</v>
      </c>
    </row>
    <row r="233" spans="1:22" ht="21" customHeight="1" x14ac:dyDescent="0.15">
      <c r="A233" s="2" t="str">
        <f ca="1">input_586100!A$2</f>
        <v>586100</v>
      </c>
      <c r="B233" s="5">
        <v>598</v>
      </c>
      <c r="C233" s="7" t="str">
        <f t="shared" si="14"/>
        <v>Premium5</v>
      </c>
      <c r="D233" s="7" t="str">
        <f t="shared" si="15"/>
        <v>Premium</v>
      </c>
      <c r="E233" s="7" t="str">
        <f>IF(COUNTIF('R6追加前'!A:A,B233)=0,IF(OR(I233="PremiumSS",I233="PremiumSSw"),"R5only","R3less"),"")</f>
        <v/>
      </c>
      <c r="F233" s="7" t="str">
        <f>IF(COUNTIF('R6開放'!A:A,B233)&gt;0,"R6release","")</f>
        <v/>
      </c>
      <c r="G233" s="7"/>
      <c r="H233" s="7" t="str">
        <f>VLOOKUP(B233,[1]characters!$A:$C,3,FALSE)</f>
        <v>焼燃の情熱 ムスペルヘイム</v>
      </c>
      <c r="I233" s="7" t="str">
        <f>VLOOKUP(B233,[1]characters!$A:$J,10,FALSE)</f>
        <v>PremiumS</v>
      </c>
      <c r="J233" s="7">
        <f>VLOOKUP(B233,[1]characters!$A:$I,9,FALSE)</f>
        <v>5</v>
      </c>
      <c r="K233" s="7" t="str">
        <f>VLOOKUP(B233,[1]characters!$A:$H,8,FALSE)</f>
        <v>red</v>
      </c>
      <c r="L233" s="7" t="str">
        <f>VLOOKUP(B233,[1]characters!$A:$K,11,FALSE)</f>
        <v>balance</v>
      </c>
      <c r="M233" s="7" t="str">
        <f>VLOOKUP(B233,[1]characters!$A:$M,13,FALSE)</f>
        <v>human</v>
      </c>
      <c r="N233" s="7" t="str">
        <f>VLOOKUP(B233,[1]characters!$A:$G,7,FALSE)</f>
        <v>男性</v>
      </c>
      <c r="O233" s="45">
        <f ca="1">IFERROR(VLOOKUP(B233,input_586100!L:R,7,FALSE),VLOOKUP(tables_586100!C233,input_586100!A:H,8,FALSE))</f>
        <v>51796.153850000002</v>
      </c>
      <c r="P233" s="46">
        <f t="shared" ca="1" si="13"/>
        <v>4.0264423079812829E-4</v>
      </c>
      <c r="Q233" s="30">
        <v>1</v>
      </c>
      <c r="R233" s="30">
        <v>0</v>
      </c>
      <c r="S233" s="30">
        <v>0</v>
      </c>
      <c r="T233" s="30">
        <v>0</v>
      </c>
      <c r="U233" s="30">
        <v>0</v>
      </c>
      <c r="V233" s="30">
        <v>1</v>
      </c>
    </row>
    <row r="234" spans="1:22" ht="21" customHeight="1" x14ac:dyDescent="0.15">
      <c r="A234" s="2" t="str">
        <f ca="1">input_586100!A$2</f>
        <v>586100</v>
      </c>
      <c r="B234" s="5">
        <v>599</v>
      </c>
      <c r="C234" s="7" t="str">
        <f t="shared" si="14"/>
        <v>Premium3</v>
      </c>
      <c r="D234" s="7" t="str">
        <f t="shared" si="15"/>
        <v>Premium</v>
      </c>
      <c r="E234" s="7" t="str">
        <f>IF(COUNTIF('R6追加前'!A:A,B234)=0,IF(OR(I234="PremiumSS",I234="PremiumSSw"),"R5only","R3less"),"")</f>
        <v/>
      </c>
      <c r="F234" s="7" t="str">
        <f>IF(COUNTIF('R6開放'!A:A,B234)&gt;0,"R6release","")</f>
        <v/>
      </c>
      <c r="G234" s="7"/>
      <c r="H234" s="7" t="str">
        <f>VLOOKUP(B234,[1]characters!$A:$C,3,FALSE)</f>
        <v>ニーズヘッグ</v>
      </c>
      <c r="I234" s="7" t="str">
        <f>VLOOKUP(B234,[1]characters!$A:$J,10,FALSE)</f>
        <v>PremiumS</v>
      </c>
      <c r="J234" s="7">
        <f>VLOOKUP(B234,[1]characters!$A:$I,9,FALSE)</f>
        <v>3</v>
      </c>
      <c r="K234" s="7" t="str">
        <f>VLOOKUP(B234,[1]characters!$A:$H,8,FALSE)</f>
        <v>green</v>
      </c>
      <c r="L234" s="7" t="str">
        <f>VLOOKUP(B234,[1]characters!$A:$K,11,FALSE)</f>
        <v>attack</v>
      </c>
      <c r="M234" s="7" t="str">
        <f>VLOOKUP(B234,[1]characters!$A:$M,13,FALSE)</f>
        <v>dragon</v>
      </c>
      <c r="N234" s="7" t="str">
        <f>VLOOKUP(B234,[1]characters!$A:$G,7,FALSE)</f>
        <v>不明</v>
      </c>
      <c r="O234" s="45">
        <f ca="1">IFERROR(VLOOKUP(B234,input_586100!L:R,7,FALSE),VLOOKUP(tables_586100!C234,input_586100!A:H,8,FALSE))</f>
        <v>0</v>
      </c>
      <c r="P234" s="46">
        <f t="shared" ca="1" si="13"/>
        <v>0</v>
      </c>
      <c r="Q234" s="30">
        <v>1</v>
      </c>
      <c r="R234" s="30">
        <v>0</v>
      </c>
      <c r="S234" s="30">
        <v>0</v>
      </c>
      <c r="T234" s="30">
        <v>0</v>
      </c>
      <c r="U234" s="30">
        <v>0</v>
      </c>
      <c r="V234" s="30">
        <v>1</v>
      </c>
    </row>
    <row r="235" spans="1:22" ht="21" customHeight="1" x14ac:dyDescent="0.15">
      <c r="A235" s="2" t="str">
        <f ca="1">input_586100!A$2</f>
        <v>586100</v>
      </c>
      <c r="B235" s="5">
        <v>600</v>
      </c>
      <c r="C235" s="7" t="str">
        <f t="shared" si="14"/>
        <v>Premium4</v>
      </c>
      <c r="D235" s="7" t="str">
        <f t="shared" si="15"/>
        <v>Premium</v>
      </c>
      <c r="E235" s="7" t="str">
        <f>IF(COUNTIF('R6追加前'!A:A,B235)=0,IF(OR(I235="PremiumSS",I235="PremiumSSw"),"R5only","R3less"),"")</f>
        <v/>
      </c>
      <c r="F235" s="7" t="str">
        <f>IF(COUNTIF('R6開放'!A:A,B235)&gt;0,"R6release","")</f>
        <v/>
      </c>
      <c r="G235" s="7"/>
      <c r="H235" s="7" t="str">
        <f>VLOOKUP(B235,[1]characters!$A:$C,3,FALSE)</f>
        <v>界下に潜む蛇 ニーズヘッグ</v>
      </c>
      <c r="I235" s="7" t="str">
        <f>VLOOKUP(B235,[1]characters!$A:$J,10,FALSE)</f>
        <v>PremiumS</v>
      </c>
      <c r="J235" s="7">
        <f>VLOOKUP(B235,[1]characters!$A:$I,9,FALSE)</f>
        <v>4</v>
      </c>
      <c r="K235" s="7" t="str">
        <f>VLOOKUP(B235,[1]characters!$A:$H,8,FALSE)</f>
        <v>green</v>
      </c>
      <c r="L235" s="7" t="str">
        <f>VLOOKUP(B235,[1]characters!$A:$K,11,FALSE)</f>
        <v>attack</v>
      </c>
      <c r="M235" s="7" t="str">
        <f>VLOOKUP(B235,[1]characters!$A:$M,13,FALSE)</f>
        <v>dragon</v>
      </c>
      <c r="N235" s="7" t="str">
        <f>VLOOKUP(B235,[1]characters!$A:$G,7,FALSE)</f>
        <v>不明</v>
      </c>
      <c r="O235" s="45">
        <f ca="1">IFERROR(VLOOKUP(B235,input_586100!L:R,7,FALSE),VLOOKUP(tables_586100!C235,input_586100!A:H,8,FALSE))</f>
        <v>1097460</v>
      </c>
      <c r="P235" s="46">
        <f t="shared" ca="1" si="13"/>
        <v>8.5312499999787884E-3</v>
      </c>
      <c r="Q235" s="30">
        <v>1</v>
      </c>
      <c r="R235" s="30">
        <v>0</v>
      </c>
      <c r="S235" s="30">
        <v>0</v>
      </c>
      <c r="T235" s="30">
        <v>0</v>
      </c>
      <c r="U235" s="30">
        <v>0</v>
      </c>
      <c r="V235" s="30">
        <v>1</v>
      </c>
    </row>
    <row r="236" spans="1:22" ht="21" customHeight="1" x14ac:dyDescent="0.15">
      <c r="A236" s="2" t="str">
        <f ca="1">input_586100!A$2</f>
        <v>586100</v>
      </c>
      <c r="B236" s="5">
        <v>601</v>
      </c>
      <c r="C236" s="7" t="str">
        <f t="shared" si="14"/>
        <v>Premium5</v>
      </c>
      <c r="D236" s="7" t="str">
        <f t="shared" si="15"/>
        <v>Premium</v>
      </c>
      <c r="E236" s="7" t="str">
        <f>IF(COUNTIF('R6追加前'!A:A,B236)=0,IF(OR(I236="PremiumSS",I236="PremiumSSw"),"R5only","R3less"),"")</f>
        <v/>
      </c>
      <c r="F236" s="7" t="str">
        <f>IF(COUNTIF('R6開放'!A:A,B236)&gt;0,"R6release","")</f>
        <v/>
      </c>
      <c r="G236" s="7"/>
      <c r="H236" s="7" t="str">
        <f>VLOOKUP(B236,[1]characters!$A:$C,3,FALSE)</f>
        <v>界根蝕む悪食 ニーズヘッグ</v>
      </c>
      <c r="I236" s="7" t="str">
        <f>VLOOKUP(B236,[1]characters!$A:$J,10,FALSE)</f>
        <v>PremiumS</v>
      </c>
      <c r="J236" s="7">
        <f>VLOOKUP(B236,[1]characters!$A:$I,9,FALSE)</f>
        <v>5</v>
      </c>
      <c r="K236" s="7" t="str">
        <f>VLOOKUP(B236,[1]characters!$A:$H,8,FALSE)</f>
        <v>green</v>
      </c>
      <c r="L236" s="7" t="str">
        <f>VLOOKUP(B236,[1]characters!$A:$K,11,FALSE)</f>
        <v>attack</v>
      </c>
      <c r="M236" s="7" t="str">
        <f>VLOOKUP(B236,[1]characters!$A:$M,13,FALSE)</f>
        <v>dragon</v>
      </c>
      <c r="N236" s="7" t="str">
        <f>VLOOKUP(B236,[1]characters!$A:$G,7,FALSE)</f>
        <v>不明</v>
      </c>
      <c r="O236" s="45">
        <f ca="1">IFERROR(VLOOKUP(B236,input_586100!L:R,7,FALSE),VLOOKUP(tables_586100!C236,input_586100!A:H,8,FALSE))</f>
        <v>51796.153850000002</v>
      </c>
      <c r="P236" s="46">
        <f t="shared" ca="1" si="13"/>
        <v>4.0264423079812829E-4</v>
      </c>
      <c r="Q236" s="30">
        <v>1</v>
      </c>
      <c r="R236" s="30">
        <v>0</v>
      </c>
      <c r="S236" s="30">
        <v>0</v>
      </c>
      <c r="T236" s="30">
        <v>0</v>
      </c>
      <c r="U236" s="30">
        <v>0</v>
      </c>
      <c r="V236" s="30">
        <v>1</v>
      </c>
    </row>
    <row r="237" spans="1:22" ht="21" customHeight="1" x14ac:dyDescent="0.15">
      <c r="A237" s="2" t="str">
        <f ca="1">input_586100!A$2</f>
        <v>586100</v>
      </c>
      <c r="B237" s="5">
        <v>602</v>
      </c>
      <c r="C237" s="7" t="str">
        <f t="shared" si="14"/>
        <v>PremiumSS4</v>
      </c>
      <c r="D237" s="7" t="str">
        <f t="shared" si="15"/>
        <v>PremiumSS</v>
      </c>
      <c r="E237" s="7" t="str">
        <f>IF(COUNTIF('R6追加前'!A:A,B237)=0,IF(OR(I237="PremiumSS",I237="PremiumSSw"),"R5only","R3less"),"")</f>
        <v/>
      </c>
      <c r="F237" s="7" t="str">
        <f>IF(COUNTIF('R6開放'!A:A,B237)&gt;0,"R6release","")</f>
        <v/>
      </c>
      <c r="G237" s="7"/>
      <c r="H237" s="7" t="str">
        <f>VLOOKUP(B237,[1]characters!$A:$C,3,FALSE)</f>
        <v>フレイヤ</v>
      </c>
      <c r="I237" s="7" t="str">
        <f>VLOOKUP(B237,[1]characters!$A:$J,10,FALSE)</f>
        <v>PremiumSS</v>
      </c>
      <c r="J237" s="7">
        <f>VLOOKUP(B237,[1]characters!$A:$I,9,FALSE)</f>
        <v>4</v>
      </c>
      <c r="K237" s="7" t="str">
        <f>VLOOKUP(B237,[1]characters!$A:$H,8,FALSE)</f>
        <v>blue</v>
      </c>
      <c r="L237" s="7" t="str">
        <f>VLOOKUP(B237,[1]characters!$A:$K,11,FALSE)</f>
        <v>heal</v>
      </c>
      <c r="M237" s="7" t="str">
        <f>VLOOKUP(B237,[1]characters!$A:$M,13,FALSE)</f>
        <v>animal</v>
      </c>
      <c r="N237" s="7" t="str">
        <f>VLOOKUP(B237,[1]characters!$A:$G,7,FALSE)</f>
        <v>女性</v>
      </c>
      <c r="O237" s="45">
        <f ca="1">IFERROR(VLOOKUP(B237,input_586100!L:R,7,FALSE),VLOOKUP(tables_586100!C237,input_586100!A:H,8,FALSE))</f>
        <v>172285.71429</v>
      </c>
      <c r="P237" s="46">
        <f t="shared" ca="1" si="13"/>
        <v>1.3392857143157001E-3</v>
      </c>
      <c r="Q237" s="30">
        <v>1</v>
      </c>
      <c r="R237" s="30">
        <v>0</v>
      </c>
      <c r="S237" s="30">
        <v>0</v>
      </c>
      <c r="T237" s="30">
        <v>0</v>
      </c>
      <c r="U237" s="30">
        <v>0</v>
      </c>
      <c r="V237" s="30">
        <v>1</v>
      </c>
    </row>
    <row r="238" spans="1:22" ht="21" customHeight="1" x14ac:dyDescent="0.15">
      <c r="A238" s="2" t="str">
        <f ca="1">input_586100!A$2</f>
        <v>586100</v>
      </c>
      <c r="B238" s="5">
        <v>603</v>
      </c>
      <c r="C238" s="7" t="str">
        <f t="shared" si="14"/>
        <v>PremiumSS5</v>
      </c>
      <c r="D238" s="7" t="str">
        <f t="shared" si="15"/>
        <v>PremiumSS</v>
      </c>
      <c r="E238" s="7" t="str">
        <f>IF(COUNTIF('R6追加前'!A:A,B238)=0,IF(OR(I238="PremiumSS",I238="PremiumSSw"),"R5only","R3less"),"")</f>
        <v/>
      </c>
      <c r="F238" s="7" t="str">
        <f>IF(COUNTIF('R6開放'!A:A,B238)&gt;0,"R6release","")</f>
        <v/>
      </c>
      <c r="G238" s="7"/>
      <c r="H238" s="7" t="str">
        <f>VLOOKUP(B238,[1]characters!$A:$C,3,FALSE)</f>
        <v>掌愛の豊穣女神 フレイヤ</v>
      </c>
      <c r="I238" s="7" t="str">
        <f>VLOOKUP(B238,[1]characters!$A:$J,10,FALSE)</f>
        <v>PremiumSS</v>
      </c>
      <c r="J238" s="7">
        <f>VLOOKUP(B238,[1]characters!$A:$I,9,FALSE)</f>
        <v>5</v>
      </c>
      <c r="K238" s="7" t="str">
        <f>VLOOKUP(B238,[1]characters!$A:$H,8,FALSE)</f>
        <v>blue</v>
      </c>
      <c r="L238" s="7" t="str">
        <f>VLOOKUP(B238,[1]characters!$A:$K,11,FALSE)</f>
        <v>heal</v>
      </c>
      <c r="M238" s="7" t="str">
        <f>VLOOKUP(B238,[1]characters!$A:$M,13,FALSE)</f>
        <v>animal</v>
      </c>
      <c r="N238" s="7" t="str">
        <f>VLOOKUP(B238,[1]characters!$A:$G,7,FALSE)</f>
        <v>女性</v>
      </c>
      <c r="O238" s="45">
        <f ca="1">IFERROR(VLOOKUP(B238,input_586100!L:R,7,FALSE),VLOOKUP(tables_586100!C238,input_586100!A:H,8,FALSE))</f>
        <v>67000</v>
      </c>
      <c r="P238" s="46">
        <f t="shared" ca="1" si="13"/>
        <v>5.2083333333203836E-4</v>
      </c>
      <c r="Q238" s="30">
        <v>1</v>
      </c>
      <c r="R238" s="30">
        <v>0</v>
      </c>
      <c r="S238" s="30">
        <v>0</v>
      </c>
      <c r="T238" s="30">
        <v>0</v>
      </c>
      <c r="U238" s="30">
        <v>0</v>
      </c>
      <c r="V238" s="30">
        <v>1</v>
      </c>
    </row>
    <row r="239" spans="1:22" ht="21" customHeight="1" x14ac:dyDescent="0.15">
      <c r="A239" s="2" t="str">
        <f ca="1">input_586100!A$2</f>
        <v>586100</v>
      </c>
      <c r="B239" s="5">
        <v>604</v>
      </c>
      <c r="C239" s="7" t="str">
        <f t="shared" si="14"/>
        <v>Premium3</v>
      </c>
      <c r="D239" s="7" t="str">
        <f t="shared" si="15"/>
        <v>Premium</v>
      </c>
      <c r="E239" s="7" t="str">
        <f>IF(COUNTIF('R6追加前'!A:A,B239)=0,IF(OR(I239="PremiumSS",I239="PremiumSSw"),"R5only","R3less"),"")</f>
        <v/>
      </c>
      <c r="F239" s="7" t="str">
        <f>IF(COUNTIF('R6開放'!A:A,B239)&gt;0,"R6release","")</f>
        <v/>
      </c>
      <c r="G239" s="7"/>
      <c r="H239" s="7" t="str">
        <f>VLOOKUP(B239,[1]characters!$A:$C,3,FALSE)</f>
        <v>バルドル</v>
      </c>
      <c r="I239" s="7" t="str">
        <f>VLOOKUP(B239,[1]characters!$A:$J,10,FALSE)</f>
        <v>PremiumS</v>
      </c>
      <c r="J239" s="7">
        <f>VLOOKUP(B239,[1]characters!$A:$I,9,FALSE)</f>
        <v>3</v>
      </c>
      <c r="K239" s="7" t="str">
        <f>VLOOKUP(B239,[1]characters!$A:$H,8,FALSE)</f>
        <v>yellow</v>
      </c>
      <c r="L239" s="7" t="str">
        <f>VLOOKUP(B239,[1]characters!$A:$K,11,FALSE)</f>
        <v>heal</v>
      </c>
      <c r="M239" s="7" t="str">
        <f>VLOOKUP(B239,[1]characters!$A:$M,13,FALSE)</f>
        <v>god</v>
      </c>
      <c r="N239" s="7" t="str">
        <f>VLOOKUP(B239,[1]characters!$A:$G,7,FALSE)</f>
        <v>男性</v>
      </c>
      <c r="O239" s="45">
        <f ca="1">IFERROR(VLOOKUP(B239,input_586100!L:R,7,FALSE),VLOOKUP(tables_586100!C239,input_586100!A:H,8,FALSE))</f>
        <v>0</v>
      </c>
      <c r="P239" s="46">
        <f t="shared" ca="1" si="13"/>
        <v>0</v>
      </c>
      <c r="Q239" s="30">
        <v>1</v>
      </c>
      <c r="R239" s="30">
        <v>0</v>
      </c>
      <c r="S239" s="30">
        <v>0</v>
      </c>
      <c r="T239" s="30">
        <v>0</v>
      </c>
      <c r="U239" s="30">
        <v>0</v>
      </c>
      <c r="V239" s="30">
        <v>1</v>
      </c>
    </row>
    <row r="240" spans="1:22" ht="21" customHeight="1" x14ac:dyDescent="0.15">
      <c r="A240" s="2" t="str">
        <f ca="1">input_586100!A$2</f>
        <v>586100</v>
      </c>
      <c r="B240" s="5">
        <v>605</v>
      </c>
      <c r="C240" s="7" t="str">
        <f t="shared" si="14"/>
        <v>Premium4</v>
      </c>
      <c r="D240" s="7" t="str">
        <f t="shared" si="15"/>
        <v>Premium</v>
      </c>
      <c r="E240" s="7" t="str">
        <f>IF(COUNTIF('R6追加前'!A:A,B240)=0,IF(OR(I240="PremiumSS",I240="PremiumSSw"),"R5only","R3less"),"")</f>
        <v/>
      </c>
      <c r="F240" s="7" t="str">
        <f>IF(COUNTIF('R6開放'!A:A,B240)&gt;0,"R6release","")</f>
        <v/>
      </c>
      <c r="G240" s="7"/>
      <c r="H240" s="7" t="str">
        <f>VLOOKUP(B240,[1]characters!$A:$C,3,FALSE)</f>
        <v>祝福される光耀 バルドル</v>
      </c>
      <c r="I240" s="7" t="str">
        <f>VLOOKUP(B240,[1]characters!$A:$J,10,FALSE)</f>
        <v>PremiumS</v>
      </c>
      <c r="J240" s="7">
        <f>VLOOKUP(B240,[1]characters!$A:$I,9,FALSE)</f>
        <v>4</v>
      </c>
      <c r="K240" s="7" t="str">
        <f>VLOOKUP(B240,[1]characters!$A:$H,8,FALSE)</f>
        <v>yellow</v>
      </c>
      <c r="L240" s="7" t="str">
        <f>VLOOKUP(B240,[1]characters!$A:$K,11,FALSE)</f>
        <v>heal</v>
      </c>
      <c r="M240" s="7" t="str">
        <f>VLOOKUP(B240,[1]characters!$A:$M,13,FALSE)</f>
        <v>god</v>
      </c>
      <c r="N240" s="7" t="str">
        <f>VLOOKUP(B240,[1]characters!$A:$G,7,FALSE)</f>
        <v>男性</v>
      </c>
      <c r="O240" s="45">
        <f ca="1">IFERROR(VLOOKUP(B240,input_586100!L:R,7,FALSE),VLOOKUP(tables_586100!C240,input_586100!A:H,8,FALSE))</f>
        <v>1097460</v>
      </c>
      <c r="P240" s="46">
        <f t="shared" ca="1" si="13"/>
        <v>8.5312499999787884E-3</v>
      </c>
      <c r="Q240" s="30">
        <v>1</v>
      </c>
      <c r="R240" s="30">
        <v>0</v>
      </c>
      <c r="S240" s="30">
        <v>0</v>
      </c>
      <c r="T240" s="30">
        <v>0</v>
      </c>
      <c r="U240" s="30">
        <v>0</v>
      </c>
      <c r="V240" s="30">
        <v>1</v>
      </c>
    </row>
    <row r="241" spans="1:22" ht="21" customHeight="1" x14ac:dyDescent="0.15">
      <c r="A241" s="2" t="str">
        <f ca="1">input_586100!A$2</f>
        <v>586100</v>
      </c>
      <c r="B241" s="5">
        <v>606</v>
      </c>
      <c r="C241" s="7" t="str">
        <f t="shared" si="14"/>
        <v>Premium5</v>
      </c>
      <c r="D241" s="7" t="str">
        <f t="shared" si="15"/>
        <v>Premium</v>
      </c>
      <c r="E241" s="7" t="str">
        <f>IF(COUNTIF('R6追加前'!A:A,B241)=0,IF(OR(I241="PremiumSS",I241="PremiumSSw"),"R5only","R3less"),"")</f>
        <v/>
      </c>
      <c r="F241" s="7" t="str">
        <f>IF(COUNTIF('R6開放'!A:A,B241)&gt;0,"R6release","")</f>
        <v/>
      </c>
      <c r="G241" s="7"/>
      <c r="H241" s="7" t="str">
        <f>VLOOKUP(B241,[1]characters!$A:$C,3,FALSE)</f>
        <v>冀望の光芒 バルドル</v>
      </c>
      <c r="I241" s="7" t="str">
        <f>VLOOKUP(B241,[1]characters!$A:$J,10,FALSE)</f>
        <v>PremiumS</v>
      </c>
      <c r="J241" s="7">
        <f>VLOOKUP(B241,[1]characters!$A:$I,9,FALSE)</f>
        <v>5</v>
      </c>
      <c r="K241" s="7" t="str">
        <f>VLOOKUP(B241,[1]characters!$A:$H,8,FALSE)</f>
        <v>yellow</v>
      </c>
      <c r="L241" s="7" t="str">
        <f>VLOOKUP(B241,[1]characters!$A:$K,11,FALSE)</f>
        <v>heal</v>
      </c>
      <c r="M241" s="7" t="str">
        <f>VLOOKUP(B241,[1]characters!$A:$M,13,FALSE)</f>
        <v>god</v>
      </c>
      <c r="N241" s="7" t="str">
        <f>VLOOKUP(B241,[1]characters!$A:$G,7,FALSE)</f>
        <v>男性</v>
      </c>
      <c r="O241" s="45">
        <f ca="1">IFERROR(VLOOKUP(B241,input_586100!L:R,7,FALSE),VLOOKUP(tables_586100!C241,input_586100!A:H,8,FALSE))</f>
        <v>51796.153850000002</v>
      </c>
      <c r="P241" s="46">
        <f t="shared" ca="1" si="13"/>
        <v>4.0264423079812829E-4</v>
      </c>
      <c r="Q241" s="30">
        <v>1</v>
      </c>
      <c r="R241" s="30">
        <v>0</v>
      </c>
      <c r="S241" s="30">
        <v>0</v>
      </c>
      <c r="T241" s="30">
        <v>0</v>
      </c>
      <c r="U241" s="30">
        <v>0</v>
      </c>
      <c r="V241" s="30">
        <v>1</v>
      </c>
    </row>
    <row r="242" spans="1:22" ht="21" customHeight="1" x14ac:dyDescent="0.15">
      <c r="A242" s="2" t="str">
        <f ca="1">input_586100!A$2</f>
        <v>586100</v>
      </c>
      <c r="B242" s="5">
        <v>658</v>
      </c>
      <c r="C242" s="7" t="str">
        <f t="shared" si="14"/>
        <v>PremiumSS4</v>
      </c>
      <c r="D242" s="7" t="str">
        <f t="shared" si="15"/>
        <v>PremiumSS</v>
      </c>
      <c r="E242" s="7" t="str">
        <f>IF(COUNTIF('R6追加前'!A:A,B242)=0,IF(OR(I242="PremiumSS",I242="PremiumSSw"),"R5only","R3less"),"")</f>
        <v/>
      </c>
      <c r="F242" s="7" t="str">
        <f>IF(COUNTIF('R6開放'!A:A,B242)&gt;0,"R6release","")</f>
        <v/>
      </c>
      <c r="G242" s="7"/>
      <c r="H242" s="7" t="str">
        <f>VLOOKUP(B242,[1]characters!$A:$C,3,FALSE)</f>
        <v>猫又 クルミ</v>
      </c>
      <c r="I242" s="7" t="str">
        <f>VLOOKUP(B242,[1]characters!$A:$J,10,FALSE)</f>
        <v>PremiumSS</v>
      </c>
      <c r="J242" s="7">
        <f>VLOOKUP(B242,[1]characters!$A:$I,9,FALSE)</f>
        <v>4</v>
      </c>
      <c r="K242" s="7" t="str">
        <f>VLOOKUP(B242,[1]characters!$A:$H,8,FALSE)</f>
        <v>red</v>
      </c>
      <c r="L242" s="7" t="str">
        <f>VLOOKUP(B242,[1]characters!$A:$K,11,FALSE)</f>
        <v>attack</v>
      </c>
      <c r="M242" s="7" t="str">
        <f>VLOOKUP(B242,[1]characters!$A:$M,13,FALSE)</f>
        <v>animal</v>
      </c>
      <c r="N242" s="7" t="str">
        <f>VLOOKUP(B242,[1]characters!$A:$G,7,FALSE)</f>
        <v>女性</v>
      </c>
      <c r="O242" s="45">
        <f ca="1">IFERROR(VLOOKUP(B242,input_586100!L:R,7,FALSE),VLOOKUP(tables_586100!C242,input_586100!A:H,8,FALSE))</f>
        <v>172285.71429</v>
      </c>
      <c r="P242" s="46">
        <f t="shared" ca="1" si="13"/>
        <v>1.3392857143157001E-3</v>
      </c>
      <c r="Q242" s="30">
        <v>1</v>
      </c>
      <c r="R242" s="30">
        <v>0</v>
      </c>
      <c r="S242" s="30">
        <v>0</v>
      </c>
      <c r="T242" s="30">
        <v>0</v>
      </c>
      <c r="U242" s="30">
        <v>0</v>
      </c>
      <c r="V242" s="30">
        <v>1</v>
      </c>
    </row>
    <row r="243" spans="1:22" ht="21" customHeight="1" x14ac:dyDescent="0.15">
      <c r="A243" s="2" t="str">
        <f ca="1">input_586100!A$2</f>
        <v>586100</v>
      </c>
      <c r="B243" s="5">
        <v>659</v>
      </c>
      <c r="C243" s="7" t="str">
        <f t="shared" si="14"/>
        <v>PremiumSS5</v>
      </c>
      <c r="D243" s="7" t="str">
        <f t="shared" si="15"/>
        <v>PremiumSS</v>
      </c>
      <c r="E243" s="7" t="str">
        <f>IF(COUNTIF('R6追加前'!A:A,B243)=0,IF(OR(I243="PremiumSS",I243="PremiumSSw"),"R5only","R3less"),"")</f>
        <v/>
      </c>
      <c r="F243" s="7" t="str">
        <f>IF(COUNTIF('R6開放'!A:A,B243)&gt;0,"R6release","")</f>
        <v/>
      </c>
      <c r="G243" s="7"/>
      <c r="H243" s="7" t="str">
        <f>VLOOKUP(B243,[1]characters!$A:$C,3,FALSE)</f>
        <v>跳梁する化猫 クルミ</v>
      </c>
      <c r="I243" s="7" t="str">
        <f>VLOOKUP(B243,[1]characters!$A:$J,10,FALSE)</f>
        <v>PremiumSS</v>
      </c>
      <c r="J243" s="7">
        <f>VLOOKUP(B243,[1]characters!$A:$I,9,FALSE)</f>
        <v>5</v>
      </c>
      <c r="K243" s="7" t="str">
        <f>VLOOKUP(B243,[1]characters!$A:$H,8,FALSE)</f>
        <v>red</v>
      </c>
      <c r="L243" s="7" t="str">
        <f>VLOOKUP(B243,[1]characters!$A:$K,11,FALSE)</f>
        <v>attack</v>
      </c>
      <c r="M243" s="7" t="str">
        <f>VLOOKUP(B243,[1]characters!$A:$M,13,FALSE)</f>
        <v>animal</v>
      </c>
      <c r="N243" s="7" t="str">
        <f>VLOOKUP(B243,[1]characters!$A:$G,7,FALSE)</f>
        <v>女性</v>
      </c>
      <c r="O243" s="45">
        <f ca="1">IFERROR(VLOOKUP(B243,input_586100!L:R,7,FALSE),VLOOKUP(tables_586100!C243,input_586100!A:H,8,FALSE))</f>
        <v>67000</v>
      </c>
      <c r="P243" s="46">
        <f t="shared" ca="1" si="13"/>
        <v>5.2083333333203836E-4</v>
      </c>
      <c r="Q243" s="30">
        <v>1</v>
      </c>
      <c r="R243" s="30">
        <v>0</v>
      </c>
      <c r="S243" s="30">
        <v>0</v>
      </c>
      <c r="T243" s="30">
        <v>0</v>
      </c>
      <c r="U243" s="30">
        <v>0</v>
      </c>
      <c r="V243" s="30">
        <v>1</v>
      </c>
    </row>
    <row r="244" spans="1:22" ht="21" customHeight="1" x14ac:dyDescent="0.15">
      <c r="A244" s="2" t="str">
        <f ca="1">input_586100!A$2</f>
        <v>586100</v>
      </c>
      <c r="B244" s="5">
        <v>660</v>
      </c>
      <c r="C244" s="7" t="str">
        <f t="shared" si="14"/>
        <v>PremiumSS4</v>
      </c>
      <c r="D244" s="7" t="str">
        <f t="shared" si="15"/>
        <v>PremiumSS</v>
      </c>
      <c r="E244" s="7" t="str">
        <f>IF(COUNTIF('R6追加前'!A:A,B244)=0,IF(OR(I244="PremiumSS",I244="PremiumSSw"),"R5only","R3less"),"")</f>
        <v/>
      </c>
      <c r="F244" s="7" t="str">
        <f>IF(COUNTIF('R6開放'!A:A,B244)&gt;0,"R6release","")</f>
        <v/>
      </c>
      <c r="G244" s="7"/>
      <c r="H244" s="7" t="str">
        <f>VLOOKUP(B244,[1]characters!$A:$C,3,FALSE)</f>
        <v>烏天狗 フウガ</v>
      </c>
      <c r="I244" s="7" t="str">
        <f>VLOOKUP(B244,[1]characters!$A:$J,10,FALSE)</f>
        <v>PremiumSS</v>
      </c>
      <c r="J244" s="7">
        <f>VLOOKUP(B244,[1]characters!$A:$I,9,FALSE)</f>
        <v>4</v>
      </c>
      <c r="K244" s="7" t="str">
        <f>VLOOKUP(B244,[1]characters!$A:$H,8,FALSE)</f>
        <v>green</v>
      </c>
      <c r="L244" s="7" t="str">
        <f>VLOOKUP(B244,[1]characters!$A:$K,11,FALSE)</f>
        <v>balance</v>
      </c>
      <c r="M244" s="7" t="str">
        <f>VLOOKUP(B244,[1]characters!$A:$M,13,FALSE)</f>
        <v>animal</v>
      </c>
      <c r="N244" s="7" t="str">
        <f>VLOOKUP(B244,[1]characters!$A:$G,7,FALSE)</f>
        <v>男性</v>
      </c>
      <c r="O244" s="45">
        <f ca="1">IFERROR(VLOOKUP(B244,input_586100!L:R,7,FALSE),VLOOKUP(tables_586100!C244,input_586100!A:H,8,FALSE))</f>
        <v>172285.71429</v>
      </c>
      <c r="P244" s="46">
        <f t="shared" ca="1" si="13"/>
        <v>1.3392857143157001E-3</v>
      </c>
      <c r="Q244" s="30">
        <v>1</v>
      </c>
      <c r="R244" s="30">
        <v>0</v>
      </c>
      <c r="S244" s="30">
        <v>0</v>
      </c>
      <c r="T244" s="30">
        <v>0</v>
      </c>
      <c r="U244" s="30">
        <v>0</v>
      </c>
      <c r="V244" s="30">
        <v>1</v>
      </c>
    </row>
    <row r="245" spans="1:22" ht="21" customHeight="1" x14ac:dyDescent="0.15">
      <c r="A245" s="2" t="str">
        <f ca="1">input_586100!A$2</f>
        <v>586100</v>
      </c>
      <c r="B245" s="5">
        <v>661</v>
      </c>
      <c r="C245" s="7" t="str">
        <f t="shared" si="14"/>
        <v>PremiumSS5</v>
      </c>
      <c r="D245" s="7" t="str">
        <f t="shared" si="15"/>
        <v>PremiumSS</v>
      </c>
      <c r="E245" s="7" t="str">
        <f>IF(COUNTIF('R6追加前'!A:A,B245)=0,IF(OR(I245="PremiumSS",I245="PremiumSSw"),"R5only","R3less"),"")</f>
        <v/>
      </c>
      <c r="F245" s="7" t="str">
        <f>IF(COUNTIF('R6開放'!A:A,B245)&gt;0,"R6release","")</f>
        <v/>
      </c>
      <c r="G245" s="7"/>
      <c r="H245" s="7" t="str">
        <f>VLOOKUP(B245,[1]characters!$A:$C,3,FALSE)</f>
        <v>疾風の天狗礫 フウガ</v>
      </c>
      <c r="I245" s="7" t="str">
        <f>VLOOKUP(B245,[1]characters!$A:$J,10,FALSE)</f>
        <v>PremiumSS</v>
      </c>
      <c r="J245" s="7">
        <f>VLOOKUP(B245,[1]characters!$A:$I,9,FALSE)</f>
        <v>5</v>
      </c>
      <c r="K245" s="7" t="str">
        <f>VLOOKUP(B245,[1]characters!$A:$H,8,FALSE)</f>
        <v>green</v>
      </c>
      <c r="L245" s="7" t="str">
        <f>VLOOKUP(B245,[1]characters!$A:$K,11,FALSE)</f>
        <v>balance</v>
      </c>
      <c r="M245" s="7" t="str">
        <f>VLOOKUP(B245,[1]characters!$A:$M,13,FALSE)</f>
        <v>animal</v>
      </c>
      <c r="N245" s="7" t="str">
        <f>VLOOKUP(B245,[1]characters!$A:$G,7,FALSE)</f>
        <v>男性</v>
      </c>
      <c r="O245" s="45">
        <f ca="1">IFERROR(VLOOKUP(B245,input_586100!L:R,7,FALSE),VLOOKUP(tables_586100!C245,input_586100!A:H,8,FALSE))</f>
        <v>67000</v>
      </c>
      <c r="P245" s="46">
        <f t="shared" ca="1" si="13"/>
        <v>5.2083333333203836E-4</v>
      </c>
      <c r="Q245" s="30">
        <v>1</v>
      </c>
      <c r="R245" s="30">
        <v>0</v>
      </c>
      <c r="S245" s="30">
        <v>0</v>
      </c>
      <c r="T245" s="30">
        <v>0</v>
      </c>
      <c r="U245" s="30">
        <v>0</v>
      </c>
      <c r="V245" s="30">
        <v>1</v>
      </c>
    </row>
    <row r="246" spans="1:22" ht="21" customHeight="1" x14ac:dyDescent="0.15">
      <c r="A246" s="2" t="str">
        <f ca="1">input_586100!A$2</f>
        <v>586100</v>
      </c>
      <c r="B246" s="5">
        <v>662</v>
      </c>
      <c r="C246" s="7" t="str">
        <f t="shared" si="14"/>
        <v>Premium3</v>
      </c>
      <c r="D246" s="7" t="str">
        <f t="shared" si="15"/>
        <v>Premium</v>
      </c>
      <c r="E246" s="7" t="str">
        <f>IF(COUNTIF('R6追加前'!A:A,B246)=0,IF(OR(I246="PremiumSS",I246="PremiumSSw"),"R5only","R3less"),"")</f>
        <v/>
      </c>
      <c r="F246" s="7" t="str">
        <f>IF(COUNTIF('R6開放'!A:A,B246)&gt;0,"R6release","")</f>
        <v/>
      </c>
      <c r="G246" s="7"/>
      <c r="H246" s="7" t="str">
        <f>VLOOKUP(B246,[1]characters!$A:$C,3,FALSE)</f>
        <v>ダイダラ</v>
      </c>
      <c r="I246" s="7" t="str">
        <f>VLOOKUP(B246,[1]characters!$A:$J,10,FALSE)</f>
        <v>PremiumS</v>
      </c>
      <c r="J246" s="7">
        <f>VLOOKUP(B246,[1]characters!$A:$I,9,FALSE)</f>
        <v>3</v>
      </c>
      <c r="K246" s="7" t="str">
        <f>VLOOKUP(B246,[1]characters!$A:$H,8,FALSE)</f>
        <v>blue</v>
      </c>
      <c r="L246" s="7" t="str">
        <f>VLOOKUP(B246,[1]characters!$A:$K,11,FALSE)</f>
        <v>hp</v>
      </c>
      <c r="M246" s="7" t="str">
        <f>VLOOKUP(B246,[1]characters!$A:$M,13,FALSE)</f>
        <v>unknown</v>
      </c>
      <c r="N246" s="7" t="str">
        <f>VLOOKUP(B246,[1]characters!$A:$G,7,FALSE)</f>
        <v>不明</v>
      </c>
      <c r="O246" s="45">
        <f ca="1">IFERROR(VLOOKUP(B246,input_586100!L:R,7,FALSE),VLOOKUP(tables_586100!C246,input_586100!A:H,8,FALSE))</f>
        <v>0</v>
      </c>
      <c r="P246" s="46">
        <f t="shared" ca="1" si="13"/>
        <v>0</v>
      </c>
      <c r="Q246" s="30">
        <v>1</v>
      </c>
      <c r="R246" s="30">
        <v>0</v>
      </c>
      <c r="S246" s="30">
        <v>0</v>
      </c>
      <c r="T246" s="30">
        <v>0</v>
      </c>
      <c r="U246" s="30">
        <v>0</v>
      </c>
      <c r="V246" s="30">
        <v>1</v>
      </c>
    </row>
    <row r="247" spans="1:22" ht="21" customHeight="1" x14ac:dyDescent="0.15">
      <c r="A247" s="2" t="str">
        <f ca="1">input_586100!A$2</f>
        <v>586100</v>
      </c>
      <c r="B247" s="5">
        <v>663</v>
      </c>
      <c r="C247" s="7" t="str">
        <f t="shared" si="14"/>
        <v>Premium4</v>
      </c>
      <c r="D247" s="7" t="str">
        <f t="shared" si="15"/>
        <v>Premium</v>
      </c>
      <c r="E247" s="7" t="str">
        <f>IF(COUNTIF('R6追加前'!A:A,B247)=0,IF(OR(I247="PremiumSS",I247="PremiumSSw"),"R5only","R3less"),"")</f>
        <v/>
      </c>
      <c r="F247" s="7" t="str">
        <f>IF(COUNTIF('R6開放'!A:A,B247)&gt;0,"R6release","")</f>
        <v/>
      </c>
      <c r="G247" s="7"/>
      <c r="H247" s="7" t="str">
        <f>VLOOKUP(B247,[1]characters!$A:$C,3,FALSE)</f>
        <v>都揺らす地響き ダイダラ</v>
      </c>
      <c r="I247" s="7" t="str">
        <f>VLOOKUP(B247,[1]characters!$A:$J,10,FALSE)</f>
        <v>PremiumS</v>
      </c>
      <c r="J247" s="7">
        <f>VLOOKUP(B247,[1]characters!$A:$I,9,FALSE)</f>
        <v>4</v>
      </c>
      <c r="K247" s="7" t="str">
        <f>VLOOKUP(B247,[1]characters!$A:$H,8,FALSE)</f>
        <v>blue</v>
      </c>
      <c r="L247" s="7" t="str">
        <f>VLOOKUP(B247,[1]characters!$A:$K,11,FALSE)</f>
        <v>hp</v>
      </c>
      <c r="M247" s="7" t="str">
        <f>VLOOKUP(B247,[1]characters!$A:$M,13,FALSE)</f>
        <v>unknown</v>
      </c>
      <c r="N247" s="7" t="str">
        <f>VLOOKUP(B247,[1]characters!$A:$G,7,FALSE)</f>
        <v>不明</v>
      </c>
      <c r="O247" s="45">
        <f ca="1">IFERROR(VLOOKUP(B247,input_586100!L:R,7,FALSE),VLOOKUP(tables_586100!C247,input_586100!A:H,8,FALSE))</f>
        <v>1097460</v>
      </c>
      <c r="P247" s="46">
        <f t="shared" ca="1" si="13"/>
        <v>8.5312499999787884E-3</v>
      </c>
      <c r="Q247" s="30">
        <v>1</v>
      </c>
      <c r="R247" s="30">
        <v>0</v>
      </c>
      <c r="S247" s="30">
        <v>0</v>
      </c>
      <c r="T247" s="30">
        <v>0</v>
      </c>
      <c r="U247" s="30">
        <v>0</v>
      </c>
      <c r="V247" s="30">
        <v>1</v>
      </c>
    </row>
    <row r="248" spans="1:22" ht="21" customHeight="1" x14ac:dyDescent="0.15">
      <c r="A248" s="2" t="str">
        <f ca="1">input_586100!A$2</f>
        <v>586100</v>
      </c>
      <c r="B248" s="5">
        <v>664</v>
      </c>
      <c r="C248" s="7" t="str">
        <f t="shared" si="14"/>
        <v>Premium5</v>
      </c>
      <c r="D248" s="7" t="str">
        <f t="shared" si="15"/>
        <v>Premium</v>
      </c>
      <c r="E248" s="7" t="str">
        <f>IF(COUNTIF('R6追加前'!A:A,B248)=0,IF(OR(I248="PremiumSS",I248="PremiumSSw"),"R5only","R3less"),"")</f>
        <v/>
      </c>
      <c r="F248" s="7" t="str">
        <f>IF(COUNTIF('R6開放'!A:A,B248)&gt;0,"R6release","")</f>
        <v/>
      </c>
      <c r="G248" s="7"/>
      <c r="H248" s="7" t="str">
        <f>VLOOKUP(B248,[1]characters!$A:$C,3,FALSE)</f>
        <v>山掴み国造り ダイダラ</v>
      </c>
      <c r="I248" s="7" t="str">
        <f>VLOOKUP(B248,[1]characters!$A:$J,10,FALSE)</f>
        <v>PremiumS</v>
      </c>
      <c r="J248" s="7">
        <f>VLOOKUP(B248,[1]characters!$A:$I,9,FALSE)</f>
        <v>5</v>
      </c>
      <c r="K248" s="7" t="str">
        <f>VLOOKUP(B248,[1]characters!$A:$H,8,FALSE)</f>
        <v>blue</v>
      </c>
      <c r="L248" s="7" t="str">
        <f>VLOOKUP(B248,[1]characters!$A:$K,11,FALSE)</f>
        <v>hp</v>
      </c>
      <c r="M248" s="7" t="str">
        <f>VLOOKUP(B248,[1]characters!$A:$M,13,FALSE)</f>
        <v>unknown</v>
      </c>
      <c r="N248" s="7" t="str">
        <f>VLOOKUP(B248,[1]characters!$A:$G,7,FALSE)</f>
        <v>不明</v>
      </c>
      <c r="O248" s="45">
        <f ca="1">IFERROR(VLOOKUP(B248,input_586100!L:R,7,FALSE),VLOOKUP(tables_586100!C248,input_586100!A:H,8,FALSE))</f>
        <v>51796.153850000002</v>
      </c>
      <c r="P248" s="46">
        <f t="shared" ca="1" si="13"/>
        <v>4.0264423079812829E-4</v>
      </c>
      <c r="Q248" s="30">
        <v>1</v>
      </c>
      <c r="R248" s="30">
        <v>0</v>
      </c>
      <c r="S248" s="30">
        <v>0</v>
      </c>
      <c r="T248" s="30">
        <v>0</v>
      </c>
      <c r="U248" s="30">
        <v>0</v>
      </c>
      <c r="V248" s="30">
        <v>1</v>
      </c>
    </row>
    <row r="249" spans="1:22" ht="21" customHeight="1" x14ac:dyDescent="0.15">
      <c r="A249" s="2" t="str">
        <f ca="1">input_586100!A$2</f>
        <v>586100</v>
      </c>
      <c r="B249" s="5">
        <v>665</v>
      </c>
      <c r="C249" s="7" t="str">
        <f t="shared" si="14"/>
        <v>Premium3</v>
      </c>
      <c r="D249" s="7" t="str">
        <f t="shared" si="15"/>
        <v>Premium</v>
      </c>
      <c r="E249" s="7" t="str">
        <f>IF(COUNTIF('R6追加前'!A:A,B249)=0,IF(OR(I249="PremiumSS",I249="PremiumSSw"),"R5only","R3less"),"")</f>
        <v/>
      </c>
      <c r="F249" s="7" t="str">
        <f>IF(COUNTIF('R6開放'!A:A,B249)&gt;0,"R6release","")</f>
        <v/>
      </c>
      <c r="G249" s="7"/>
      <c r="H249" s="7" t="str">
        <f>VLOOKUP(B249,[1]characters!$A:$C,3,FALSE)</f>
        <v>座敷童子 テマリ</v>
      </c>
      <c r="I249" s="7" t="str">
        <f>VLOOKUP(B249,[1]characters!$A:$J,10,FALSE)</f>
        <v>PremiumS</v>
      </c>
      <c r="J249" s="7">
        <f>VLOOKUP(B249,[1]characters!$A:$I,9,FALSE)</f>
        <v>3</v>
      </c>
      <c r="K249" s="7" t="str">
        <f>VLOOKUP(B249,[1]characters!$A:$H,8,FALSE)</f>
        <v>yellow</v>
      </c>
      <c r="L249" s="7" t="str">
        <f>VLOOKUP(B249,[1]characters!$A:$K,11,FALSE)</f>
        <v>balance</v>
      </c>
      <c r="M249" s="7" t="str">
        <f>VLOOKUP(B249,[1]characters!$A:$M,13,FALSE)</f>
        <v>unknown</v>
      </c>
      <c r="N249" s="7" t="str">
        <f>VLOOKUP(B249,[1]characters!$A:$G,7,FALSE)</f>
        <v>女性</v>
      </c>
      <c r="O249" s="45">
        <f ca="1">IFERROR(VLOOKUP(B249,input_586100!L:R,7,FALSE),VLOOKUP(tables_586100!C249,input_586100!A:H,8,FALSE))</f>
        <v>0</v>
      </c>
      <c r="P249" s="46">
        <f t="shared" ca="1" si="13"/>
        <v>0</v>
      </c>
      <c r="Q249" s="30">
        <v>1</v>
      </c>
      <c r="R249" s="30">
        <v>0</v>
      </c>
      <c r="S249" s="30">
        <v>0</v>
      </c>
      <c r="T249" s="30">
        <v>0</v>
      </c>
      <c r="U249" s="30">
        <v>0</v>
      </c>
      <c r="V249" s="30">
        <v>1</v>
      </c>
    </row>
    <row r="250" spans="1:22" ht="21" customHeight="1" x14ac:dyDescent="0.15">
      <c r="A250" s="2" t="str">
        <f ca="1">input_586100!A$2</f>
        <v>586100</v>
      </c>
      <c r="B250" s="5">
        <v>666</v>
      </c>
      <c r="C250" s="7" t="str">
        <f t="shared" si="14"/>
        <v>Premium4</v>
      </c>
      <c r="D250" s="7" t="str">
        <f t="shared" si="15"/>
        <v>Premium</v>
      </c>
      <c r="E250" s="7" t="str">
        <f>IF(COUNTIF('R6追加前'!A:A,B250)=0,IF(OR(I250="PremiumSS",I250="PremiumSSw"),"R5only","R3less"),"")</f>
        <v/>
      </c>
      <c r="F250" s="7" t="str">
        <f>IF(COUNTIF('R6開放'!A:A,B250)&gt;0,"R6release","")</f>
        <v/>
      </c>
      <c r="G250" s="7"/>
      <c r="H250" s="7" t="str">
        <f>VLOOKUP(B250,[1]characters!$A:$C,3,FALSE)</f>
        <v>拡散する幸福 テマリ</v>
      </c>
      <c r="I250" s="7" t="str">
        <f>VLOOKUP(B250,[1]characters!$A:$J,10,FALSE)</f>
        <v>PremiumS</v>
      </c>
      <c r="J250" s="7">
        <f>VLOOKUP(B250,[1]characters!$A:$I,9,FALSE)</f>
        <v>4</v>
      </c>
      <c r="K250" s="7" t="str">
        <f>VLOOKUP(B250,[1]characters!$A:$H,8,FALSE)</f>
        <v>yellow</v>
      </c>
      <c r="L250" s="7" t="str">
        <f>VLOOKUP(B250,[1]characters!$A:$K,11,FALSE)</f>
        <v>balance</v>
      </c>
      <c r="M250" s="7" t="str">
        <f>VLOOKUP(B250,[1]characters!$A:$M,13,FALSE)</f>
        <v>unknown</v>
      </c>
      <c r="N250" s="7" t="str">
        <f>VLOOKUP(B250,[1]characters!$A:$G,7,FALSE)</f>
        <v>女性</v>
      </c>
      <c r="O250" s="45">
        <f ca="1">IFERROR(VLOOKUP(B250,input_586100!L:R,7,FALSE),VLOOKUP(tables_586100!C250,input_586100!A:H,8,FALSE))</f>
        <v>1097460</v>
      </c>
      <c r="P250" s="46">
        <f t="shared" ca="1" si="13"/>
        <v>8.5312499999787884E-3</v>
      </c>
      <c r="Q250" s="30">
        <v>1</v>
      </c>
      <c r="R250" s="30">
        <v>0</v>
      </c>
      <c r="S250" s="30">
        <v>0</v>
      </c>
      <c r="T250" s="30">
        <v>0</v>
      </c>
      <c r="U250" s="30">
        <v>0</v>
      </c>
      <c r="V250" s="30">
        <v>1</v>
      </c>
    </row>
    <row r="251" spans="1:22" ht="21" customHeight="1" x14ac:dyDescent="0.15">
      <c r="A251" s="2" t="str">
        <f ca="1">input_586100!A$2</f>
        <v>586100</v>
      </c>
      <c r="B251" s="5">
        <v>667</v>
      </c>
      <c r="C251" s="7" t="str">
        <f t="shared" si="14"/>
        <v>Premium5</v>
      </c>
      <c r="D251" s="7" t="str">
        <f t="shared" si="15"/>
        <v>Premium</v>
      </c>
      <c r="E251" s="7" t="str">
        <f>IF(COUNTIF('R6追加前'!A:A,B251)=0,IF(OR(I251="PremiumSS",I251="PremiumSSw"),"R5only","R3less"),"")</f>
        <v/>
      </c>
      <c r="F251" s="7" t="str">
        <f>IF(COUNTIF('R6開放'!A:A,B251)&gt;0,"R6release","")</f>
        <v/>
      </c>
      <c r="G251" s="7"/>
      <c r="H251" s="7" t="str">
        <f>VLOOKUP(B251,[1]characters!$A:$C,3,FALSE)</f>
        <v>最幸運の妖童 テマリ</v>
      </c>
      <c r="I251" s="7" t="str">
        <f>VLOOKUP(B251,[1]characters!$A:$J,10,FALSE)</f>
        <v>PremiumS</v>
      </c>
      <c r="J251" s="7">
        <f>VLOOKUP(B251,[1]characters!$A:$I,9,FALSE)</f>
        <v>5</v>
      </c>
      <c r="K251" s="7" t="str">
        <f>VLOOKUP(B251,[1]characters!$A:$H,8,FALSE)</f>
        <v>yellow</v>
      </c>
      <c r="L251" s="7" t="str">
        <f>VLOOKUP(B251,[1]characters!$A:$K,11,FALSE)</f>
        <v>balance</v>
      </c>
      <c r="M251" s="7" t="str">
        <f>VLOOKUP(B251,[1]characters!$A:$M,13,FALSE)</f>
        <v>unknown</v>
      </c>
      <c r="N251" s="7" t="str">
        <f>VLOOKUP(B251,[1]characters!$A:$G,7,FALSE)</f>
        <v>女性</v>
      </c>
      <c r="O251" s="45">
        <f ca="1">IFERROR(VLOOKUP(B251,input_586100!L:R,7,FALSE),VLOOKUP(tables_586100!C251,input_586100!A:H,8,FALSE))</f>
        <v>51796.153850000002</v>
      </c>
      <c r="P251" s="46">
        <f t="shared" ca="1" si="13"/>
        <v>4.0264423079812829E-4</v>
      </c>
      <c r="Q251" s="30">
        <v>1</v>
      </c>
      <c r="R251" s="30">
        <v>0</v>
      </c>
      <c r="S251" s="30">
        <v>0</v>
      </c>
      <c r="T251" s="30">
        <v>0</v>
      </c>
      <c r="U251" s="30">
        <v>0</v>
      </c>
      <c r="V251" s="30">
        <v>1</v>
      </c>
    </row>
    <row r="252" spans="1:22" ht="21" customHeight="1" x14ac:dyDescent="0.15">
      <c r="A252" s="2" t="str">
        <f ca="1">input_586100!A$2</f>
        <v>586100</v>
      </c>
      <c r="B252" s="5">
        <v>668</v>
      </c>
      <c r="C252" s="7" t="str">
        <f t="shared" si="14"/>
        <v>Premium3</v>
      </c>
      <c r="D252" s="7" t="str">
        <f t="shared" si="15"/>
        <v>Premium</v>
      </c>
      <c r="E252" s="7" t="str">
        <f>IF(COUNTIF('R6追加前'!A:A,B252)=0,IF(OR(I252="PremiumSS",I252="PremiumSSw"),"R5only","R3less"),"")</f>
        <v/>
      </c>
      <c r="F252" s="7" t="str">
        <f>IF(COUNTIF('R6開放'!A:A,B252)&gt;0,"R6release","")</f>
        <v/>
      </c>
      <c r="G252" s="7"/>
      <c r="H252" s="7" t="str">
        <f>VLOOKUP(B252,[1]characters!$A:$C,3,FALSE)</f>
        <v>アグニ</v>
      </c>
      <c r="I252" s="7" t="str">
        <f>VLOOKUP(B252,[1]characters!$A:$J,10,FALSE)</f>
        <v>PremiumS</v>
      </c>
      <c r="J252" s="7">
        <f>VLOOKUP(B252,[1]characters!$A:$I,9,FALSE)</f>
        <v>3</v>
      </c>
      <c r="K252" s="7" t="str">
        <f>VLOOKUP(B252,[1]characters!$A:$H,8,FALSE)</f>
        <v>red</v>
      </c>
      <c r="L252" s="7" t="str">
        <f>VLOOKUP(B252,[1]characters!$A:$K,11,FALSE)</f>
        <v>hp</v>
      </c>
      <c r="M252" s="7" t="str">
        <f>VLOOKUP(B252,[1]characters!$A:$M,13,FALSE)</f>
        <v>god</v>
      </c>
      <c r="N252" s="7" t="str">
        <f>VLOOKUP(B252,[1]characters!$A:$G,7,FALSE)</f>
        <v>男性</v>
      </c>
      <c r="O252" s="45">
        <f ca="1">IFERROR(VLOOKUP(B252,input_586100!L:R,7,FALSE),VLOOKUP(tables_586100!C252,input_586100!A:H,8,FALSE))</f>
        <v>0</v>
      </c>
      <c r="P252" s="46">
        <f t="shared" ca="1" si="13"/>
        <v>0</v>
      </c>
      <c r="Q252" s="30">
        <v>1</v>
      </c>
      <c r="R252" s="30">
        <v>0</v>
      </c>
      <c r="S252" s="30">
        <v>0</v>
      </c>
      <c r="T252" s="30">
        <v>0</v>
      </c>
      <c r="U252" s="30">
        <v>0</v>
      </c>
      <c r="V252" s="30">
        <v>1</v>
      </c>
    </row>
    <row r="253" spans="1:22" ht="21" customHeight="1" x14ac:dyDescent="0.15">
      <c r="A253" s="2" t="str">
        <f ca="1">input_586100!A$2</f>
        <v>586100</v>
      </c>
      <c r="B253" s="5">
        <v>669</v>
      </c>
      <c r="C253" s="7" t="str">
        <f t="shared" si="14"/>
        <v>Premium4</v>
      </c>
      <c r="D253" s="7" t="str">
        <f t="shared" si="15"/>
        <v>Premium</v>
      </c>
      <c r="E253" s="7" t="str">
        <f>IF(COUNTIF('R6追加前'!A:A,B253)=0,IF(OR(I253="PremiumSS",I253="PremiumSSw"),"R5only","R3less"),"")</f>
        <v/>
      </c>
      <c r="F253" s="7" t="str">
        <f>IF(COUNTIF('R6開放'!A:A,B253)&gt;0,"R6release","")</f>
        <v/>
      </c>
      <c r="G253" s="7"/>
      <c r="H253" s="7" t="str">
        <f>VLOOKUP(B253,[1]characters!$A:$C,3,FALSE)</f>
        <v>天地の仲界 アグニ</v>
      </c>
      <c r="I253" s="7" t="str">
        <f>VLOOKUP(B253,[1]characters!$A:$J,10,FALSE)</f>
        <v>PremiumS</v>
      </c>
      <c r="J253" s="7">
        <f>VLOOKUP(B253,[1]characters!$A:$I,9,FALSE)</f>
        <v>4</v>
      </c>
      <c r="K253" s="7" t="str">
        <f>VLOOKUP(B253,[1]characters!$A:$H,8,FALSE)</f>
        <v>red</v>
      </c>
      <c r="L253" s="7" t="str">
        <f>VLOOKUP(B253,[1]characters!$A:$K,11,FALSE)</f>
        <v>hp</v>
      </c>
      <c r="M253" s="7" t="str">
        <f>VLOOKUP(B253,[1]characters!$A:$M,13,FALSE)</f>
        <v>god</v>
      </c>
      <c r="N253" s="7" t="str">
        <f>VLOOKUP(B253,[1]characters!$A:$G,7,FALSE)</f>
        <v>男性</v>
      </c>
      <c r="O253" s="45">
        <f ca="1">IFERROR(VLOOKUP(B253,input_586100!L:R,7,FALSE),VLOOKUP(tables_586100!C253,input_586100!A:H,8,FALSE))</f>
        <v>1097460</v>
      </c>
      <c r="P253" s="46">
        <f t="shared" ca="1" si="13"/>
        <v>8.5312499999787884E-3</v>
      </c>
      <c r="Q253" s="30">
        <v>1</v>
      </c>
      <c r="R253" s="30">
        <v>0</v>
      </c>
      <c r="S253" s="30">
        <v>0</v>
      </c>
      <c r="T253" s="30">
        <v>0</v>
      </c>
      <c r="U253" s="30">
        <v>0</v>
      </c>
      <c r="V253" s="30">
        <v>1</v>
      </c>
    </row>
    <row r="254" spans="1:22" ht="21" customHeight="1" x14ac:dyDescent="0.15">
      <c r="A254" s="2" t="str">
        <f ca="1">input_586100!A$2</f>
        <v>586100</v>
      </c>
      <c r="B254" s="5">
        <v>670</v>
      </c>
      <c r="C254" s="7" t="str">
        <f t="shared" si="14"/>
        <v>Premium5</v>
      </c>
      <c r="D254" s="7" t="str">
        <f t="shared" si="15"/>
        <v>Premium</v>
      </c>
      <c r="E254" s="7" t="str">
        <f>IF(COUNTIF('R6追加前'!A:A,B254)=0,IF(OR(I254="PremiumSS",I254="PremiumSSw"),"R5only","R3less"),"")</f>
        <v/>
      </c>
      <c r="F254" s="7" t="str">
        <f>IF(COUNTIF('R6開放'!A:A,B254)&gt;0,"R6release","")</f>
        <v/>
      </c>
      <c r="G254" s="7"/>
      <c r="H254" s="7" t="str">
        <f>VLOOKUP(B254,[1]characters!$A:$C,3,FALSE)</f>
        <v>陽天の噴煙 アグニ</v>
      </c>
      <c r="I254" s="7" t="str">
        <f>VLOOKUP(B254,[1]characters!$A:$J,10,FALSE)</f>
        <v>PremiumS</v>
      </c>
      <c r="J254" s="7">
        <f>VLOOKUP(B254,[1]characters!$A:$I,9,FALSE)</f>
        <v>5</v>
      </c>
      <c r="K254" s="7" t="str">
        <f>VLOOKUP(B254,[1]characters!$A:$H,8,FALSE)</f>
        <v>red</v>
      </c>
      <c r="L254" s="7" t="str">
        <f>VLOOKUP(B254,[1]characters!$A:$K,11,FALSE)</f>
        <v>hp</v>
      </c>
      <c r="M254" s="7" t="str">
        <f>VLOOKUP(B254,[1]characters!$A:$M,13,FALSE)</f>
        <v>god</v>
      </c>
      <c r="N254" s="7" t="str">
        <f>VLOOKUP(B254,[1]characters!$A:$G,7,FALSE)</f>
        <v>男性</v>
      </c>
      <c r="O254" s="45">
        <f ca="1">IFERROR(VLOOKUP(B254,input_586100!L:R,7,FALSE),VLOOKUP(tables_586100!C254,input_586100!A:H,8,FALSE))</f>
        <v>51796.153850000002</v>
      </c>
      <c r="P254" s="46">
        <f t="shared" ca="1" si="13"/>
        <v>4.0264423079812829E-4</v>
      </c>
      <c r="Q254" s="30">
        <v>1</v>
      </c>
      <c r="R254" s="30">
        <v>0</v>
      </c>
      <c r="S254" s="30">
        <v>0</v>
      </c>
      <c r="T254" s="30">
        <v>0</v>
      </c>
      <c r="U254" s="30">
        <v>0</v>
      </c>
      <c r="V254" s="30">
        <v>1</v>
      </c>
    </row>
    <row r="255" spans="1:22" ht="21" customHeight="1" x14ac:dyDescent="0.15">
      <c r="A255" s="2" t="str">
        <f ca="1">input_586100!A$2</f>
        <v>586100</v>
      </c>
      <c r="B255" s="5">
        <v>671</v>
      </c>
      <c r="C255" s="7" t="str">
        <f t="shared" si="14"/>
        <v>Premium3</v>
      </c>
      <c r="D255" s="7" t="str">
        <f t="shared" si="15"/>
        <v>Premium</v>
      </c>
      <c r="E255" s="7" t="str">
        <f>IF(COUNTIF('R6追加前'!A:A,B255)=0,IF(OR(I255="PremiumSS",I255="PremiumSSw"),"R5only","R3less"),"")</f>
        <v/>
      </c>
      <c r="F255" s="7" t="str">
        <f>IF(COUNTIF('R6開放'!A:A,B255)&gt;0,"R6release","")</f>
        <v/>
      </c>
      <c r="G255" s="7"/>
      <c r="H255" s="7" t="str">
        <f>VLOOKUP(B255,[1]characters!$A:$C,3,FALSE)</f>
        <v>ハヌマーン</v>
      </c>
      <c r="I255" s="7" t="str">
        <f>VLOOKUP(B255,[1]characters!$A:$J,10,FALSE)</f>
        <v>PremiumS</v>
      </c>
      <c r="J255" s="7">
        <f>VLOOKUP(B255,[1]characters!$A:$I,9,FALSE)</f>
        <v>3</v>
      </c>
      <c r="K255" s="7" t="str">
        <f>VLOOKUP(B255,[1]characters!$A:$H,8,FALSE)</f>
        <v>green</v>
      </c>
      <c r="L255" s="7" t="str">
        <f>VLOOKUP(B255,[1]characters!$A:$K,11,FALSE)</f>
        <v>attack</v>
      </c>
      <c r="M255" s="7" t="str">
        <f>VLOOKUP(B255,[1]characters!$A:$M,13,FALSE)</f>
        <v>animal</v>
      </c>
      <c r="N255" s="7" t="str">
        <f>VLOOKUP(B255,[1]characters!$A:$G,7,FALSE)</f>
        <v>男性</v>
      </c>
      <c r="O255" s="45">
        <f ca="1">IFERROR(VLOOKUP(B255,input_586100!L:R,7,FALSE),VLOOKUP(tables_586100!C255,input_586100!A:H,8,FALSE))</f>
        <v>0</v>
      </c>
      <c r="P255" s="46">
        <f t="shared" ca="1" si="13"/>
        <v>0</v>
      </c>
      <c r="Q255" s="30">
        <v>1</v>
      </c>
      <c r="R255" s="30">
        <v>0</v>
      </c>
      <c r="S255" s="30">
        <v>0</v>
      </c>
      <c r="T255" s="30">
        <v>0</v>
      </c>
      <c r="U255" s="30">
        <v>0</v>
      </c>
      <c r="V255" s="30">
        <v>1</v>
      </c>
    </row>
    <row r="256" spans="1:22" ht="21" customHeight="1" x14ac:dyDescent="0.15">
      <c r="A256" s="2" t="str">
        <f ca="1">input_586100!A$2</f>
        <v>586100</v>
      </c>
      <c r="B256" s="5">
        <v>672</v>
      </c>
      <c r="C256" s="7" t="str">
        <f t="shared" si="14"/>
        <v>Premium4</v>
      </c>
      <c r="D256" s="7" t="str">
        <f t="shared" si="15"/>
        <v>Premium</v>
      </c>
      <c r="E256" s="7" t="str">
        <f>IF(COUNTIF('R6追加前'!A:A,B256)=0,IF(OR(I256="PremiumSS",I256="PremiumSSw"),"R5only","R3less"),"")</f>
        <v/>
      </c>
      <c r="F256" s="7" t="str">
        <f>IF(COUNTIF('R6開放'!A:A,B256)&gt;0,"R6release","")</f>
        <v/>
      </c>
      <c r="G256" s="7"/>
      <c r="H256" s="7" t="str">
        <f>VLOOKUP(B256,[1]characters!$A:$C,3,FALSE)</f>
        <v>西遊韋駄天 ハヌマーン</v>
      </c>
      <c r="I256" s="7" t="str">
        <f>VLOOKUP(B256,[1]characters!$A:$J,10,FALSE)</f>
        <v>PremiumS</v>
      </c>
      <c r="J256" s="7">
        <f>VLOOKUP(B256,[1]characters!$A:$I,9,FALSE)</f>
        <v>4</v>
      </c>
      <c r="K256" s="7" t="str">
        <f>VLOOKUP(B256,[1]characters!$A:$H,8,FALSE)</f>
        <v>green</v>
      </c>
      <c r="L256" s="7" t="str">
        <f>VLOOKUP(B256,[1]characters!$A:$K,11,FALSE)</f>
        <v>attack</v>
      </c>
      <c r="M256" s="7" t="str">
        <f>VLOOKUP(B256,[1]characters!$A:$M,13,FALSE)</f>
        <v>animal</v>
      </c>
      <c r="N256" s="7" t="str">
        <f>VLOOKUP(B256,[1]characters!$A:$G,7,FALSE)</f>
        <v>男性</v>
      </c>
      <c r="O256" s="45">
        <f ca="1">IFERROR(VLOOKUP(B256,input_586100!L:R,7,FALSE),VLOOKUP(tables_586100!C256,input_586100!A:H,8,FALSE))</f>
        <v>1097460</v>
      </c>
      <c r="P256" s="46">
        <f t="shared" ca="1" si="13"/>
        <v>8.5312499999787884E-3</v>
      </c>
      <c r="Q256" s="30">
        <v>1</v>
      </c>
      <c r="R256" s="30">
        <v>0</v>
      </c>
      <c r="S256" s="30">
        <v>0</v>
      </c>
      <c r="T256" s="30">
        <v>0</v>
      </c>
      <c r="U256" s="30">
        <v>0</v>
      </c>
      <c r="V256" s="30">
        <v>1</v>
      </c>
    </row>
    <row r="257" spans="1:22" ht="21" customHeight="1" x14ac:dyDescent="0.15">
      <c r="A257" s="2" t="str">
        <f ca="1">input_586100!A$2</f>
        <v>586100</v>
      </c>
      <c r="B257" s="5">
        <v>673</v>
      </c>
      <c r="C257" s="7" t="str">
        <f t="shared" si="14"/>
        <v>Premium5</v>
      </c>
      <c r="D257" s="7" t="str">
        <f t="shared" si="15"/>
        <v>Premium</v>
      </c>
      <c r="E257" s="7" t="str">
        <f>IF(COUNTIF('R6追加前'!A:A,B257)=0,IF(OR(I257="PremiumSS",I257="PremiumSSw"),"R5only","R3less"),"")</f>
        <v/>
      </c>
      <c r="F257" s="7" t="str">
        <f>IF(COUNTIF('R6開放'!A:A,B257)&gt;0,"R6release","")</f>
        <v/>
      </c>
      <c r="G257" s="7"/>
      <c r="H257" s="7" t="str">
        <f>VLOOKUP(B257,[1]characters!$A:$C,3,FALSE)</f>
        <v>変幻自在の猿王 ハヌマーン</v>
      </c>
      <c r="I257" s="7" t="str">
        <f>VLOOKUP(B257,[1]characters!$A:$J,10,FALSE)</f>
        <v>PremiumS</v>
      </c>
      <c r="J257" s="7">
        <f>VLOOKUP(B257,[1]characters!$A:$I,9,FALSE)</f>
        <v>5</v>
      </c>
      <c r="K257" s="7" t="str">
        <f>VLOOKUP(B257,[1]characters!$A:$H,8,FALSE)</f>
        <v>green</v>
      </c>
      <c r="L257" s="7" t="str">
        <f>VLOOKUP(B257,[1]characters!$A:$K,11,FALSE)</f>
        <v>attack</v>
      </c>
      <c r="M257" s="7" t="str">
        <f>VLOOKUP(B257,[1]characters!$A:$M,13,FALSE)</f>
        <v>animal</v>
      </c>
      <c r="N257" s="7" t="str">
        <f>VLOOKUP(B257,[1]characters!$A:$G,7,FALSE)</f>
        <v>男性</v>
      </c>
      <c r="O257" s="45">
        <f ca="1">IFERROR(VLOOKUP(B257,input_586100!L:R,7,FALSE),VLOOKUP(tables_586100!C257,input_586100!A:H,8,FALSE))</f>
        <v>51796.153850000002</v>
      </c>
      <c r="P257" s="46">
        <f t="shared" ca="1" si="13"/>
        <v>4.0264423079812829E-4</v>
      </c>
      <c r="Q257" s="30">
        <v>1</v>
      </c>
      <c r="R257" s="30">
        <v>0</v>
      </c>
      <c r="S257" s="30">
        <v>0</v>
      </c>
      <c r="T257" s="30">
        <v>0</v>
      </c>
      <c r="U257" s="30">
        <v>0</v>
      </c>
      <c r="V257" s="30">
        <v>1</v>
      </c>
    </row>
    <row r="258" spans="1:22" ht="21" customHeight="1" x14ac:dyDescent="0.15">
      <c r="A258" s="2" t="str">
        <f ca="1">input_586100!A$2</f>
        <v>586100</v>
      </c>
      <c r="B258" s="5">
        <v>674</v>
      </c>
      <c r="C258" s="7" t="str">
        <f t="shared" si="14"/>
        <v>PremiumSS4</v>
      </c>
      <c r="D258" s="7" t="str">
        <f t="shared" si="15"/>
        <v>PremiumSS</v>
      </c>
      <c r="E258" s="7" t="str">
        <f>IF(COUNTIF('R6追加前'!A:A,B258)=0,IF(OR(I258="PremiumSS",I258="PremiumSSw"),"R5only","R3less"),"")</f>
        <v/>
      </c>
      <c r="F258" s="7" t="str">
        <f>IF(COUNTIF('R6開放'!A:A,B258)&gt;0,"R6release","")</f>
        <v/>
      </c>
      <c r="G258" s="7"/>
      <c r="H258" s="7" t="str">
        <f>VLOOKUP(B258,[1]characters!$A:$C,3,FALSE)</f>
        <v>サラスヴァティ</v>
      </c>
      <c r="I258" s="7" t="str">
        <f>VLOOKUP(B258,[1]characters!$A:$J,10,FALSE)</f>
        <v>PremiumSS</v>
      </c>
      <c r="J258" s="7">
        <f>VLOOKUP(B258,[1]characters!$A:$I,9,FALSE)</f>
        <v>4</v>
      </c>
      <c r="K258" s="7" t="str">
        <f>VLOOKUP(B258,[1]characters!$A:$H,8,FALSE)</f>
        <v>blue</v>
      </c>
      <c r="L258" s="7" t="str">
        <f>VLOOKUP(B258,[1]characters!$A:$K,11,FALSE)</f>
        <v>balance</v>
      </c>
      <c r="M258" s="7" t="str">
        <f>VLOOKUP(B258,[1]characters!$A:$M,13,FALSE)</f>
        <v>god</v>
      </c>
      <c r="N258" s="7" t="str">
        <f>VLOOKUP(B258,[1]characters!$A:$G,7,FALSE)</f>
        <v>女性</v>
      </c>
      <c r="O258" s="45">
        <f ca="1">IFERROR(VLOOKUP(B258,input_586100!L:R,7,FALSE),VLOOKUP(tables_586100!C258,input_586100!A:H,8,FALSE))</f>
        <v>172285.71429</v>
      </c>
      <c r="P258" s="46">
        <f t="shared" ref="P258:P321" ca="1" si="16">O258/SUM(O:O)</f>
        <v>1.3392857143157001E-3</v>
      </c>
      <c r="Q258" s="30">
        <v>1</v>
      </c>
      <c r="R258" s="30">
        <v>0</v>
      </c>
      <c r="S258" s="30">
        <v>0</v>
      </c>
      <c r="T258" s="30">
        <v>0</v>
      </c>
      <c r="U258" s="30">
        <v>0</v>
      </c>
      <c r="V258" s="30">
        <v>1</v>
      </c>
    </row>
    <row r="259" spans="1:22" ht="21" customHeight="1" x14ac:dyDescent="0.15">
      <c r="A259" s="2" t="str">
        <f ca="1">input_586100!A$2</f>
        <v>586100</v>
      </c>
      <c r="B259" s="5">
        <v>675</v>
      </c>
      <c r="C259" s="7" t="str">
        <f t="shared" si="14"/>
        <v>PremiumSS5</v>
      </c>
      <c r="D259" s="7" t="str">
        <f t="shared" si="15"/>
        <v>PremiumSS</v>
      </c>
      <c r="E259" s="7" t="str">
        <f>IF(COUNTIF('R6追加前'!A:A,B259)=0,IF(OR(I259="PremiumSS",I259="PremiumSSw"),"R5only","R3less"),"")</f>
        <v/>
      </c>
      <c r="F259" s="7" t="str">
        <f>IF(COUNTIF('R6開放'!A:A,B259)&gt;0,"R6release","")</f>
        <v/>
      </c>
      <c r="G259" s="7"/>
      <c r="H259" s="7" t="str">
        <f>VLOOKUP(B259,[1]characters!$A:$C,3,FALSE)</f>
        <v>芸楽の奔流 サラスヴァティ</v>
      </c>
      <c r="I259" s="7" t="str">
        <f>VLOOKUP(B259,[1]characters!$A:$J,10,FALSE)</f>
        <v>PremiumSS</v>
      </c>
      <c r="J259" s="7">
        <f>VLOOKUP(B259,[1]characters!$A:$I,9,FALSE)</f>
        <v>5</v>
      </c>
      <c r="K259" s="7" t="str">
        <f>VLOOKUP(B259,[1]characters!$A:$H,8,FALSE)</f>
        <v>blue</v>
      </c>
      <c r="L259" s="7" t="str">
        <f>VLOOKUP(B259,[1]characters!$A:$K,11,FALSE)</f>
        <v>balance</v>
      </c>
      <c r="M259" s="7" t="str">
        <f>VLOOKUP(B259,[1]characters!$A:$M,13,FALSE)</f>
        <v>god</v>
      </c>
      <c r="N259" s="7" t="str">
        <f>VLOOKUP(B259,[1]characters!$A:$G,7,FALSE)</f>
        <v>女性</v>
      </c>
      <c r="O259" s="45">
        <f ca="1">IFERROR(VLOOKUP(B259,input_586100!L:R,7,FALSE),VLOOKUP(tables_586100!C259,input_586100!A:H,8,FALSE))</f>
        <v>67000</v>
      </c>
      <c r="P259" s="46">
        <f t="shared" ca="1" si="16"/>
        <v>5.2083333333203836E-4</v>
      </c>
      <c r="Q259" s="30">
        <v>1</v>
      </c>
      <c r="R259" s="30">
        <v>0</v>
      </c>
      <c r="S259" s="30">
        <v>0</v>
      </c>
      <c r="T259" s="30">
        <v>0</v>
      </c>
      <c r="U259" s="30">
        <v>0</v>
      </c>
      <c r="V259" s="30">
        <v>1</v>
      </c>
    </row>
    <row r="260" spans="1:22" ht="21" customHeight="1" x14ac:dyDescent="0.15">
      <c r="A260" s="2" t="str">
        <f ca="1">input_586100!A$2</f>
        <v>586100</v>
      </c>
      <c r="B260" s="5">
        <v>676</v>
      </c>
      <c r="C260" s="7" t="str">
        <f t="shared" si="14"/>
        <v>PremiumSS4</v>
      </c>
      <c r="D260" s="7" t="str">
        <f t="shared" si="15"/>
        <v>PremiumSS</v>
      </c>
      <c r="E260" s="7" t="str">
        <f>IF(COUNTIF('R6追加前'!A:A,B260)=0,IF(OR(I260="PremiumSS",I260="PremiumSSw"),"R5only","R3less"),"")</f>
        <v/>
      </c>
      <c r="F260" s="7" t="str">
        <f>IF(COUNTIF('R6開放'!A:A,B260)&gt;0,"R6release","")</f>
        <v/>
      </c>
      <c r="G260" s="7"/>
      <c r="H260" s="7" t="str">
        <f>VLOOKUP(B260,[1]characters!$A:$C,3,FALSE)</f>
        <v>ヴィシュヌ</v>
      </c>
      <c r="I260" s="7" t="str">
        <f>VLOOKUP(B260,[1]characters!$A:$J,10,FALSE)</f>
        <v>PremiumSS</v>
      </c>
      <c r="J260" s="7">
        <f>VLOOKUP(B260,[1]characters!$A:$I,9,FALSE)</f>
        <v>4</v>
      </c>
      <c r="K260" s="7" t="str">
        <f>VLOOKUP(B260,[1]characters!$A:$H,8,FALSE)</f>
        <v>yellow</v>
      </c>
      <c r="L260" s="7" t="str">
        <f>VLOOKUP(B260,[1]characters!$A:$K,11,FALSE)</f>
        <v>attack</v>
      </c>
      <c r="M260" s="7" t="str">
        <f>VLOOKUP(B260,[1]characters!$A:$M,13,FALSE)</f>
        <v>god</v>
      </c>
      <c r="N260" s="7" t="str">
        <f>VLOOKUP(B260,[1]characters!$A:$G,7,FALSE)</f>
        <v>女性</v>
      </c>
      <c r="O260" s="45">
        <f ca="1">IFERROR(VLOOKUP(B260,input_586100!L:R,7,FALSE),VLOOKUP(tables_586100!C260,input_586100!A:H,8,FALSE))</f>
        <v>172285.71429</v>
      </c>
      <c r="P260" s="46">
        <f t="shared" ca="1" si="16"/>
        <v>1.3392857143157001E-3</v>
      </c>
      <c r="Q260" s="30">
        <v>1</v>
      </c>
      <c r="R260" s="30">
        <v>0</v>
      </c>
      <c r="S260" s="30">
        <v>0</v>
      </c>
      <c r="T260" s="30">
        <v>0</v>
      </c>
      <c r="U260" s="30">
        <v>0</v>
      </c>
      <c r="V260" s="30">
        <v>1</v>
      </c>
    </row>
    <row r="261" spans="1:22" ht="21" customHeight="1" x14ac:dyDescent="0.15">
      <c r="A261" s="2" t="str">
        <f ca="1">input_586100!A$2</f>
        <v>586100</v>
      </c>
      <c r="B261" s="5">
        <v>677</v>
      </c>
      <c r="C261" s="7" t="str">
        <f t="shared" si="14"/>
        <v>PremiumSS5</v>
      </c>
      <c r="D261" s="7" t="str">
        <f t="shared" si="15"/>
        <v>PremiumSS</v>
      </c>
      <c r="E261" s="7" t="str">
        <f>IF(COUNTIF('R6追加前'!A:A,B261)=0,IF(OR(I261="PremiumSS",I261="PremiumSSw"),"R5only","R3less"),"")</f>
        <v/>
      </c>
      <c r="F261" s="7" t="str">
        <f>IF(COUNTIF('R6開放'!A:A,B261)&gt;0,"R6release","")</f>
        <v/>
      </c>
      <c r="G261" s="7"/>
      <c r="H261" s="7" t="str">
        <f>VLOOKUP(B261,[1]characters!$A:$C,3,FALSE)</f>
        <v>武遊闊歩 ヴィシュヌ</v>
      </c>
      <c r="I261" s="7" t="str">
        <f>VLOOKUP(B261,[1]characters!$A:$J,10,FALSE)</f>
        <v>PremiumSS</v>
      </c>
      <c r="J261" s="7">
        <f>VLOOKUP(B261,[1]characters!$A:$I,9,FALSE)</f>
        <v>5</v>
      </c>
      <c r="K261" s="7" t="str">
        <f>VLOOKUP(B261,[1]characters!$A:$H,8,FALSE)</f>
        <v>yellow</v>
      </c>
      <c r="L261" s="7" t="str">
        <f>VLOOKUP(B261,[1]characters!$A:$K,11,FALSE)</f>
        <v>attack</v>
      </c>
      <c r="M261" s="7" t="str">
        <f>VLOOKUP(B261,[1]characters!$A:$M,13,FALSE)</f>
        <v>god</v>
      </c>
      <c r="N261" s="7" t="str">
        <f>VLOOKUP(B261,[1]characters!$A:$G,7,FALSE)</f>
        <v>女性</v>
      </c>
      <c r="O261" s="45">
        <f ca="1">IFERROR(VLOOKUP(B261,input_586100!L:R,7,FALSE),VLOOKUP(tables_586100!C261,input_586100!A:H,8,FALSE))</f>
        <v>67000</v>
      </c>
      <c r="P261" s="46">
        <f t="shared" ca="1" si="16"/>
        <v>5.2083333333203836E-4</v>
      </c>
      <c r="Q261" s="30">
        <v>1</v>
      </c>
      <c r="R261" s="30">
        <v>0</v>
      </c>
      <c r="S261" s="30">
        <v>0</v>
      </c>
      <c r="T261" s="30">
        <v>0</v>
      </c>
      <c r="U261" s="30">
        <v>0</v>
      </c>
      <c r="V261" s="30">
        <v>1</v>
      </c>
    </row>
    <row r="262" spans="1:22" ht="21" customHeight="1" x14ac:dyDescent="0.15">
      <c r="A262" s="2" t="str">
        <f ca="1">input_586100!A$2</f>
        <v>586100</v>
      </c>
      <c r="B262" s="5">
        <v>728</v>
      </c>
      <c r="C262" s="7" t="str">
        <f t="shared" si="14"/>
        <v>Premium4R3less</v>
      </c>
      <c r="D262" s="7" t="str">
        <f t="shared" si="15"/>
        <v>Premium</v>
      </c>
      <c r="E262" s="7" t="str">
        <f>IF(COUNTIF('R6追加前'!A:A,B262)=0,IF(OR(I262="PremiumSS",I262="PremiumSSw"),"R5only","R3less"),"")</f>
        <v>R3less</v>
      </c>
      <c r="F262" s="7" t="str">
        <f>IF(COUNTIF('R6開放'!A:A,B262)&gt;0,"R6release","")</f>
        <v/>
      </c>
      <c r="G262" s="7"/>
      <c r="H262" s="7" t="str">
        <f>VLOOKUP(B262,[1]characters!$A:$C,3,FALSE)</f>
        <v>井伊直虎</v>
      </c>
      <c r="I262" s="7" t="str">
        <f>VLOOKUP(B262,[1]characters!$A:$J,10,FALSE)</f>
        <v>PremiumS</v>
      </c>
      <c r="J262" s="7">
        <f>VLOOKUP(B262,[1]characters!$A:$I,9,FALSE)</f>
        <v>4</v>
      </c>
      <c r="K262" s="7" t="str">
        <f>VLOOKUP(B262,[1]characters!$A:$H,8,FALSE)</f>
        <v>red</v>
      </c>
      <c r="L262" s="7" t="str">
        <f>VLOOKUP(B262,[1]characters!$A:$K,11,FALSE)</f>
        <v>balance</v>
      </c>
      <c r="M262" s="7" t="str">
        <f>VLOOKUP(B262,[1]characters!$A:$M,13,FALSE)</f>
        <v>human</v>
      </c>
      <c r="N262" s="7" t="str">
        <f>VLOOKUP(B262,[1]characters!$A:$G,7,FALSE)</f>
        <v>女性</v>
      </c>
      <c r="O262" s="45">
        <f ca="1">IFERROR(VLOOKUP(B262,input_586100!L:R,7,FALSE),VLOOKUP(tables_586100!C262,input_586100!A:H,8,FALSE))</f>
        <v>1060878</v>
      </c>
      <c r="P262" s="46">
        <f t="shared" ca="1" si="16"/>
        <v>8.2468749999794963E-3</v>
      </c>
      <c r="Q262" s="30">
        <v>1</v>
      </c>
      <c r="R262" s="30">
        <v>0</v>
      </c>
      <c r="S262" s="30">
        <v>0</v>
      </c>
      <c r="T262" s="30">
        <v>0</v>
      </c>
      <c r="U262" s="30">
        <v>0</v>
      </c>
      <c r="V262" s="30">
        <v>1</v>
      </c>
    </row>
    <row r="263" spans="1:22" ht="21" customHeight="1" x14ac:dyDescent="0.15">
      <c r="A263" s="2" t="str">
        <f ca="1">input_586100!A$2</f>
        <v>586100</v>
      </c>
      <c r="B263" s="5">
        <v>729</v>
      </c>
      <c r="C263" s="7" t="str">
        <f t="shared" si="14"/>
        <v>Premium5R3less</v>
      </c>
      <c r="D263" s="7" t="str">
        <f t="shared" si="15"/>
        <v>Premium</v>
      </c>
      <c r="E263" s="7" t="str">
        <f>IF(COUNTIF('R6追加前'!A:A,B263)=0,IF(OR(I263="PremiumSS",I263="PremiumSSw"),"R5only","R3less"),"")</f>
        <v>R3less</v>
      </c>
      <c r="F263" s="7" t="str">
        <f>IF(COUNTIF('R6開放'!A:A,B263)&gt;0,"R6release","")</f>
        <v/>
      </c>
      <c r="G263" s="7"/>
      <c r="H263" s="7" t="str">
        <f>VLOOKUP(B263,[1]characters!$A:$C,3,FALSE)</f>
        <v>暗厄の双刀 井伊直虎</v>
      </c>
      <c r="I263" s="7" t="str">
        <f>VLOOKUP(B263,[1]characters!$A:$J,10,FALSE)</f>
        <v>PremiumS</v>
      </c>
      <c r="J263" s="7">
        <f>VLOOKUP(B263,[1]characters!$A:$I,9,FALSE)</f>
        <v>5</v>
      </c>
      <c r="K263" s="7" t="str">
        <f>VLOOKUP(B263,[1]characters!$A:$H,8,FALSE)</f>
        <v>red</v>
      </c>
      <c r="L263" s="7" t="str">
        <f>VLOOKUP(B263,[1]characters!$A:$K,11,FALSE)</f>
        <v>balance</v>
      </c>
      <c r="M263" s="7" t="str">
        <f>VLOOKUP(B263,[1]characters!$A:$M,13,FALSE)</f>
        <v>human</v>
      </c>
      <c r="N263" s="7" t="str">
        <f>VLOOKUP(B263,[1]characters!$A:$G,7,FALSE)</f>
        <v>女性</v>
      </c>
      <c r="O263" s="45">
        <f ca="1">IFERROR(VLOOKUP(B263,input_586100!L:R,7,FALSE),VLOOKUP(tables_586100!C263,input_586100!A:H,8,FALSE))</f>
        <v>121940</v>
      </c>
      <c r="P263" s="46">
        <f t="shared" ca="1" si="16"/>
        <v>9.4791666666430984E-4</v>
      </c>
      <c r="Q263" s="30">
        <v>1</v>
      </c>
      <c r="R263" s="30">
        <v>0</v>
      </c>
      <c r="S263" s="30">
        <v>0</v>
      </c>
      <c r="T263" s="30">
        <v>0</v>
      </c>
      <c r="U263" s="30">
        <v>0</v>
      </c>
      <c r="V263" s="30">
        <v>1</v>
      </c>
    </row>
    <row r="264" spans="1:22" ht="21" customHeight="1" x14ac:dyDescent="0.15">
      <c r="A264" s="2" t="str">
        <f ca="1">input_586100!A$2</f>
        <v>586100</v>
      </c>
      <c r="B264" s="5">
        <v>730</v>
      </c>
      <c r="C264" s="7" t="str">
        <f t="shared" si="14"/>
        <v>Premium4R3less</v>
      </c>
      <c r="D264" s="7" t="str">
        <f t="shared" si="15"/>
        <v>Premium</v>
      </c>
      <c r="E264" s="7" t="str">
        <f>IF(COUNTIF('R6追加前'!A:A,B264)=0,IF(OR(I264="PremiumSS",I264="PremiumSSw"),"R5only","R3less"),"")</f>
        <v>R3less</v>
      </c>
      <c r="F264" s="7" t="str">
        <f>IF(COUNTIF('R6開放'!A:A,B264)&gt;0,"R6release","")</f>
        <v/>
      </c>
      <c r="G264" s="7"/>
      <c r="H264" s="7" t="str">
        <f>VLOOKUP(B264,[1]characters!$A:$C,3,FALSE)</f>
        <v>ガラシャ</v>
      </c>
      <c r="I264" s="7" t="str">
        <f>VLOOKUP(B264,[1]characters!$A:$J,10,FALSE)</f>
        <v>PremiumS</v>
      </c>
      <c r="J264" s="7">
        <f>VLOOKUP(B264,[1]characters!$A:$I,9,FALSE)</f>
        <v>4</v>
      </c>
      <c r="K264" s="7" t="str">
        <f>VLOOKUP(B264,[1]characters!$A:$H,8,FALSE)</f>
        <v>green</v>
      </c>
      <c r="L264" s="7" t="str">
        <f>VLOOKUP(B264,[1]characters!$A:$K,11,FALSE)</f>
        <v>heal</v>
      </c>
      <c r="M264" s="7" t="str">
        <f>VLOOKUP(B264,[1]characters!$A:$M,13,FALSE)</f>
        <v>human</v>
      </c>
      <c r="N264" s="7" t="str">
        <f>VLOOKUP(B264,[1]characters!$A:$G,7,FALSE)</f>
        <v>女性</v>
      </c>
      <c r="O264" s="45">
        <f ca="1">IFERROR(VLOOKUP(B264,input_586100!L:R,7,FALSE),VLOOKUP(tables_586100!C264,input_586100!A:H,8,FALSE))</f>
        <v>1060878</v>
      </c>
      <c r="P264" s="46">
        <f t="shared" ca="1" si="16"/>
        <v>8.2468749999794963E-3</v>
      </c>
      <c r="Q264" s="30">
        <v>1</v>
      </c>
      <c r="R264" s="30">
        <v>0</v>
      </c>
      <c r="S264" s="30">
        <v>0</v>
      </c>
      <c r="T264" s="30">
        <v>0</v>
      </c>
      <c r="U264" s="30">
        <v>0</v>
      </c>
      <c r="V264" s="30">
        <v>1</v>
      </c>
    </row>
    <row r="265" spans="1:22" ht="21" customHeight="1" x14ac:dyDescent="0.15">
      <c r="A265" s="2" t="str">
        <f ca="1">input_586100!A$2</f>
        <v>586100</v>
      </c>
      <c r="B265" s="5">
        <v>731</v>
      </c>
      <c r="C265" s="7" t="str">
        <f t="shared" si="14"/>
        <v>Premium5R3less</v>
      </c>
      <c r="D265" s="7" t="str">
        <f t="shared" si="15"/>
        <v>Premium</v>
      </c>
      <c r="E265" s="7" t="str">
        <f>IF(COUNTIF('R6追加前'!A:A,B265)=0,IF(OR(I265="PremiumSS",I265="PremiumSSw"),"R5only","R3less"),"")</f>
        <v>R3less</v>
      </c>
      <c r="F265" s="7" t="str">
        <f>IF(COUNTIF('R6開放'!A:A,B265)&gt;0,"R6release","")</f>
        <v/>
      </c>
      <c r="G265" s="7"/>
      <c r="H265" s="7" t="str">
        <f>VLOOKUP(B265,[1]characters!$A:$C,3,FALSE)</f>
        <v>敬虔なる追銃 ガラシャ</v>
      </c>
      <c r="I265" s="7" t="str">
        <f>VLOOKUP(B265,[1]characters!$A:$J,10,FALSE)</f>
        <v>PremiumS</v>
      </c>
      <c r="J265" s="7">
        <f>VLOOKUP(B265,[1]characters!$A:$I,9,FALSE)</f>
        <v>5</v>
      </c>
      <c r="K265" s="7" t="str">
        <f>VLOOKUP(B265,[1]characters!$A:$H,8,FALSE)</f>
        <v>green</v>
      </c>
      <c r="L265" s="7" t="str">
        <f>VLOOKUP(B265,[1]characters!$A:$K,11,FALSE)</f>
        <v>heal</v>
      </c>
      <c r="M265" s="7" t="str">
        <f>VLOOKUP(B265,[1]characters!$A:$M,13,FALSE)</f>
        <v>human</v>
      </c>
      <c r="N265" s="7" t="str">
        <f>VLOOKUP(B265,[1]characters!$A:$G,7,FALSE)</f>
        <v>女性</v>
      </c>
      <c r="O265" s="45">
        <f ca="1">IFERROR(VLOOKUP(B265,input_586100!L:R,7,FALSE),VLOOKUP(tables_586100!C265,input_586100!A:H,8,FALSE))</f>
        <v>121940</v>
      </c>
      <c r="P265" s="46">
        <f t="shared" ca="1" si="16"/>
        <v>9.4791666666430984E-4</v>
      </c>
      <c r="Q265" s="30">
        <v>1</v>
      </c>
      <c r="R265" s="30">
        <v>0</v>
      </c>
      <c r="S265" s="30">
        <v>0</v>
      </c>
      <c r="T265" s="30">
        <v>0</v>
      </c>
      <c r="U265" s="30">
        <v>0</v>
      </c>
      <c r="V265" s="30">
        <v>1</v>
      </c>
    </row>
    <row r="266" spans="1:22" ht="21" customHeight="1" x14ac:dyDescent="0.15">
      <c r="A266" s="2" t="str">
        <f ca="1">input_586100!A$2</f>
        <v>586100</v>
      </c>
      <c r="B266" s="5">
        <v>732</v>
      </c>
      <c r="C266" s="7" t="str">
        <f t="shared" ref="C266:C329" si="17">D266&amp;J266&amp;E266&amp;F266&amp;G266</f>
        <v>PremiumSS5R5only</v>
      </c>
      <c r="D266" s="7" t="str">
        <f t="shared" ref="D266:D329" si="18">IF(OR(I266="PremiumSS",I266="PremiumSSw"),"PremiumSS",IF(I266="PremiumSSS",I266,IF(I266="PremiumW",IF(J266=5,"premium",I266),"Premium")))</f>
        <v>PremiumSS</v>
      </c>
      <c r="E266" s="7" t="str">
        <f>IF(COUNTIF('R6追加前'!A:A,B266)=0,IF(OR(I266="PremiumSS",I266="PremiumSSw"),"R5only","R3less"),"")</f>
        <v>R5only</v>
      </c>
      <c r="F266" s="7" t="str">
        <f>IF(COUNTIF('R6開放'!A:A,B266)&gt;0,"R6release","")</f>
        <v/>
      </c>
      <c r="G266" s="7"/>
      <c r="H266" s="7" t="str">
        <f>VLOOKUP(B266,[1]characters!$A:$C,3,FALSE)</f>
        <v>上杉謙信</v>
      </c>
      <c r="I266" s="7" t="str">
        <f>VLOOKUP(B266,[1]characters!$A:$J,10,FALSE)</f>
        <v>PremiumSS</v>
      </c>
      <c r="J266" s="7">
        <f>VLOOKUP(B266,[1]characters!$A:$I,9,FALSE)</f>
        <v>5</v>
      </c>
      <c r="K266" s="7" t="str">
        <f>VLOOKUP(B266,[1]characters!$A:$H,8,FALSE)</f>
        <v>blue</v>
      </c>
      <c r="L266" s="7" t="str">
        <f>VLOOKUP(B266,[1]characters!$A:$K,11,FALSE)</f>
        <v>attack</v>
      </c>
      <c r="M266" s="7" t="str">
        <f>VLOOKUP(B266,[1]characters!$A:$M,13,FALSE)</f>
        <v>human</v>
      </c>
      <c r="N266" s="7" t="str">
        <f>VLOOKUP(B266,[1]characters!$A:$G,7,FALSE)</f>
        <v>女性</v>
      </c>
      <c r="O266" s="45">
        <f ca="1">IFERROR(VLOOKUP(B266,input_586100!L:R,7,FALSE),VLOOKUP(tables_586100!C266,input_586100!A:H,8,FALSE))</f>
        <v>67000</v>
      </c>
      <c r="P266" s="46">
        <f t="shared" ca="1" si="16"/>
        <v>5.2083333333203836E-4</v>
      </c>
      <c r="Q266" s="30">
        <v>1</v>
      </c>
      <c r="R266" s="30">
        <v>0</v>
      </c>
      <c r="S266" s="30">
        <v>0</v>
      </c>
      <c r="T266" s="30">
        <v>0</v>
      </c>
      <c r="U266" s="30">
        <v>0</v>
      </c>
      <c r="V266" s="30">
        <v>1</v>
      </c>
    </row>
    <row r="267" spans="1:22" ht="21" customHeight="1" x14ac:dyDescent="0.15">
      <c r="A267" s="2" t="str">
        <f ca="1">input_586100!A$2</f>
        <v>586100</v>
      </c>
      <c r="B267" s="5">
        <v>734</v>
      </c>
      <c r="C267" s="7" t="str">
        <f t="shared" si="17"/>
        <v>PremiumSS5R5only</v>
      </c>
      <c r="D267" s="7" t="str">
        <f t="shared" si="18"/>
        <v>PremiumSS</v>
      </c>
      <c r="E267" s="7" t="str">
        <f>IF(COUNTIF('R6追加前'!A:A,B267)=0,IF(OR(I267="PremiumSS",I267="PremiumSSw"),"R5only","R3less"),"")</f>
        <v>R5only</v>
      </c>
      <c r="F267" s="7" t="str">
        <f>IF(COUNTIF('R6開放'!A:A,B267)&gt;0,"R6release","")</f>
        <v/>
      </c>
      <c r="G267" s="7"/>
      <c r="H267" s="7" t="str">
        <f>VLOOKUP(B267,[1]characters!$A:$C,3,FALSE)</f>
        <v>伊達政宗</v>
      </c>
      <c r="I267" s="7" t="str">
        <f>VLOOKUP(B267,[1]characters!$A:$J,10,FALSE)</f>
        <v>PremiumSS</v>
      </c>
      <c r="J267" s="7">
        <f>VLOOKUP(B267,[1]characters!$A:$I,9,FALSE)</f>
        <v>5</v>
      </c>
      <c r="K267" s="7" t="str">
        <f>VLOOKUP(B267,[1]characters!$A:$H,8,FALSE)</f>
        <v>yellow</v>
      </c>
      <c r="L267" s="7" t="str">
        <f>VLOOKUP(B267,[1]characters!$A:$K,11,FALSE)</f>
        <v>balance</v>
      </c>
      <c r="M267" s="7" t="str">
        <f>VLOOKUP(B267,[1]characters!$A:$M,13,FALSE)</f>
        <v>human</v>
      </c>
      <c r="N267" s="7" t="str">
        <f>VLOOKUP(B267,[1]characters!$A:$G,7,FALSE)</f>
        <v>男性</v>
      </c>
      <c r="O267" s="45">
        <f ca="1">IFERROR(VLOOKUP(B267,input_586100!L:R,7,FALSE),VLOOKUP(tables_586100!C267,input_586100!A:H,8,FALSE))</f>
        <v>67000</v>
      </c>
      <c r="P267" s="46">
        <f t="shared" ca="1" si="16"/>
        <v>5.2083333333203836E-4</v>
      </c>
      <c r="Q267" s="30">
        <v>1</v>
      </c>
      <c r="R267" s="30">
        <v>0</v>
      </c>
      <c r="S267" s="30">
        <v>0</v>
      </c>
      <c r="T267" s="30">
        <v>0</v>
      </c>
      <c r="U267" s="30">
        <v>0</v>
      </c>
      <c r="V267" s="30">
        <v>1</v>
      </c>
    </row>
    <row r="268" spans="1:22" ht="21" customHeight="1" x14ac:dyDescent="0.15">
      <c r="A268" s="2" t="str">
        <f ca="1">input_586100!A$2</f>
        <v>586100</v>
      </c>
      <c r="B268" s="5">
        <v>742</v>
      </c>
      <c r="C268" s="7" t="str">
        <f t="shared" si="17"/>
        <v>PremiumSS5R5only</v>
      </c>
      <c r="D268" s="7" t="str">
        <f t="shared" si="18"/>
        <v>PremiumSS</v>
      </c>
      <c r="E268" s="7" t="str">
        <f>IF(COUNTIF('R6追加前'!A:A,B268)=0,IF(OR(I268="PremiumSS",I268="PremiumSSw"),"R5only","R3less"),"")</f>
        <v>R5only</v>
      </c>
      <c r="F268" s="7" t="str">
        <f>IF(COUNTIF('R6開放'!A:A,B268)&gt;0,"R6release","")</f>
        <v/>
      </c>
      <c r="G268" s="7"/>
      <c r="H268" s="7" t="str">
        <f>VLOOKUP(B268,[1]characters!$A:$C,3,FALSE)</f>
        <v>アポロン</v>
      </c>
      <c r="I268" s="7" t="str">
        <f>VLOOKUP(B268,[1]characters!$A:$J,10,FALSE)</f>
        <v>PremiumSS</v>
      </c>
      <c r="J268" s="7">
        <f>VLOOKUP(B268,[1]characters!$A:$I,9,FALSE)</f>
        <v>5</v>
      </c>
      <c r="K268" s="7" t="str">
        <f>VLOOKUP(B268,[1]characters!$A:$H,8,FALSE)</f>
        <v>red</v>
      </c>
      <c r="L268" s="7" t="str">
        <f>VLOOKUP(B268,[1]characters!$A:$K,11,FALSE)</f>
        <v>attack</v>
      </c>
      <c r="M268" s="7" t="str">
        <f>VLOOKUP(B268,[1]characters!$A:$M,13,FALSE)</f>
        <v>god</v>
      </c>
      <c r="N268" s="7" t="str">
        <f>VLOOKUP(B268,[1]characters!$A:$G,7,FALSE)</f>
        <v>男性</v>
      </c>
      <c r="O268" s="45">
        <f ca="1">IFERROR(VLOOKUP(B268,input_586100!L:R,7,FALSE),VLOOKUP(tables_586100!C268,input_586100!A:H,8,FALSE))</f>
        <v>67000</v>
      </c>
      <c r="P268" s="46">
        <f t="shared" ca="1" si="16"/>
        <v>5.2083333333203836E-4</v>
      </c>
      <c r="Q268" s="30">
        <v>1</v>
      </c>
      <c r="R268" s="30">
        <v>0</v>
      </c>
      <c r="S268" s="30">
        <v>0</v>
      </c>
      <c r="T268" s="30">
        <v>0</v>
      </c>
      <c r="U268" s="30">
        <v>0</v>
      </c>
      <c r="V268" s="30">
        <v>1</v>
      </c>
    </row>
    <row r="269" spans="1:22" ht="21" customHeight="1" x14ac:dyDescent="0.15">
      <c r="A269" s="2" t="str">
        <f ca="1">input_586100!A$2</f>
        <v>586100</v>
      </c>
      <c r="B269" s="5">
        <v>744</v>
      </c>
      <c r="C269" s="7" t="str">
        <f t="shared" si="17"/>
        <v>PremiumSS5R5only</v>
      </c>
      <c r="D269" s="7" t="str">
        <f t="shared" si="18"/>
        <v>PremiumSS</v>
      </c>
      <c r="E269" s="7" t="str">
        <f>IF(COUNTIF('R6追加前'!A:A,B269)=0,IF(OR(I269="PremiumSS",I269="PremiumSSw"),"R5only","R3less"),"")</f>
        <v>R5only</v>
      </c>
      <c r="F269" s="7" t="str">
        <f>IF(COUNTIF('R6開放'!A:A,B269)&gt;0,"R6release","")</f>
        <v/>
      </c>
      <c r="G269" s="7"/>
      <c r="H269" s="7" t="str">
        <f>VLOOKUP(B269,[1]characters!$A:$C,3,FALSE)</f>
        <v>ヘルメス</v>
      </c>
      <c r="I269" s="7" t="str">
        <f>VLOOKUP(B269,[1]characters!$A:$J,10,FALSE)</f>
        <v>PremiumSS</v>
      </c>
      <c r="J269" s="7">
        <f>VLOOKUP(B269,[1]characters!$A:$I,9,FALSE)</f>
        <v>5</v>
      </c>
      <c r="K269" s="7" t="str">
        <f>VLOOKUP(B269,[1]characters!$A:$H,8,FALSE)</f>
        <v>green</v>
      </c>
      <c r="L269" s="7" t="str">
        <f>VLOOKUP(B269,[1]characters!$A:$K,11,FALSE)</f>
        <v>technical</v>
      </c>
      <c r="M269" s="7" t="str">
        <f>VLOOKUP(B269,[1]characters!$A:$M,13,FALSE)</f>
        <v>god</v>
      </c>
      <c r="N269" s="7" t="str">
        <f>VLOOKUP(B269,[1]characters!$A:$G,7,FALSE)</f>
        <v>男性</v>
      </c>
      <c r="O269" s="45">
        <f ca="1">IFERROR(VLOOKUP(B269,input_586100!L:R,7,FALSE),VLOOKUP(tables_586100!C269,input_586100!A:H,8,FALSE))</f>
        <v>67000</v>
      </c>
      <c r="P269" s="46">
        <f t="shared" ca="1" si="16"/>
        <v>5.2083333333203836E-4</v>
      </c>
      <c r="Q269" s="30">
        <v>1</v>
      </c>
      <c r="R269" s="30">
        <v>0</v>
      </c>
      <c r="S269" s="30">
        <v>0</v>
      </c>
      <c r="T269" s="30">
        <v>0</v>
      </c>
      <c r="U269" s="30">
        <v>0</v>
      </c>
      <c r="V269" s="30">
        <v>1</v>
      </c>
    </row>
    <row r="270" spans="1:22" ht="21" customHeight="1" x14ac:dyDescent="0.15">
      <c r="A270" s="2" t="str">
        <f ca="1">input_586100!A$2</f>
        <v>586100</v>
      </c>
      <c r="B270" s="5">
        <v>746</v>
      </c>
      <c r="C270" s="7" t="str">
        <f t="shared" si="17"/>
        <v>Premium4R3less</v>
      </c>
      <c r="D270" s="7" t="str">
        <f t="shared" si="18"/>
        <v>Premium</v>
      </c>
      <c r="E270" s="7" t="str">
        <f>IF(COUNTIF('R6追加前'!A:A,B270)=0,IF(OR(I270="PremiumSS",I270="PremiumSSw"),"R5only","R3less"),"")</f>
        <v>R3less</v>
      </c>
      <c r="F270" s="7" t="str">
        <f>IF(COUNTIF('R6開放'!A:A,B270)&gt;0,"R6release","")</f>
        <v/>
      </c>
      <c r="G270" s="7"/>
      <c r="H270" s="7" t="str">
        <f>VLOOKUP(B270,[1]characters!$A:$C,3,FALSE)</f>
        <v>ノルン</v>
      </c>
      <c r="I270" s="7" t="str">
        <f>VLOOKUP(B270,[1]characters!$A:$J,10,FALSE)</f>
        <v>PremiumS</v>
      </c>
      <c r="J270" s="7">
        <f>VLOOKUP(B270,[1]characters!$A:$I,9,FALSE)</f>
        <v>4</v>
      </c>
      <c r="K270" s="7" t="str">
        <f>VLOOKUP(B270,[1]characters!$A:$H,8,FALSE)</f>
        <v>blue</v>
      </c>
      <c r="L270" s="7" t="str">
        <f>VLOOKUP(B270,[1]characters!$A:$K,11,FALSE)</f>
        <v>balance</v>
      </c>
      <c r="M270" s="7" t="str">
        <f>VLOOKUP(B270,[1]characters!$A:$M,13,FALSE)</f>
        <v>god</v>
      </c>
      <c r="N270" s="7" t="str">
        <f>VLOOKUP(B270,[1]characters!$A:$G,7,FALSE)</f>
        <v>男性</v>
      </c>
      <c r="O270" s="45">
        <f ca="1">IFERROR(VLOOKUP(B270,input_586100!L:R,7,FALSE),VLOOKUP(tables_586100!C270,input_586100!A:H,8,FALSE))</f>
        <v>1060878</v>
      </c>
      <c r="P270" s="46">
        <f t="shared" ca="1" si="16"/>
        <v>8.2468749999794963E-3</v>
      </c>
      <c r="Q270" s="30">
        <v>1</v>
      </c>
      <c r="R270" s="30">
        <v>0</v>
      </c>
      <c r="S270" s="30">
        <v>0</v>
      </c>
      <c r="T270" s="30">
        <v>0</v>
      </c>
      <c r="U270" s="30">
        <v>0</v>
      </c>
      <c r="V270" s="30">
        <v>1</v>
      </c>
    </row>
    <row r="271" spans="1:22" ht="21" customHeight="1" x14ac:dyDescent="0.15">
      <c r="A271" s="2" t="str">
        <f ca="1">input_586100!A$2</f>
        <v>586100</v>
      </c>
      <c r="B271" s="5">
        <v>747</v>
      </c>
      <c r="C271" s="7" t="str">
        <f t="shared" si="17"/>
        <v>Premium5R3less</v>
      </c>
      <c r="D271" s="7" t="str">
        <f t="shared" si="18"/>
        <v>Premium</v>
      </c>
      <c r="E271" s="7" t="str">
        <f>IF(COUNTIF('R6追加前'!A:A,B271)=0,IF(OR(I271="PremiumSS",I271="PremiumSSw"),"R5only","R3less"),"")</f>
        <v>R3less</v>
      </c>
      <c r="F271" s="7" t="str">
        <f>IF(COUNTIF('R6開放'!A:A,B271)&gt;0,"R6release","")</f>
        <v/>
      </c>
      <c r="G271" s="7"/>
      <c r="H271" s="7" t="str">
        <f>VLOOKUP(B271,[1]characters!$A:$C,3,FALSE)</f>
        <v>潔碧の巡励神 ノルン</v>
      </c>
      <c r="I271" s="7" t="str">
        <f>VLOOKUP(B271,[1]characters!$A:$J,10,FALSE)</f>
        <v>PremiumS</v>
      </c>
      <c r="J271" s="7">
        <f>VLOOKUP(B271,[1]characters!$A:$I,9,FALSE)</f>
        <v>5</v>
      </c>
      <c r="K271" s="7" t="str">
        <f>VLOOKUP(B271,[1]characters!$A:$H,8,FALSE)</f>
        <v>blue</v>
      </c>
      <c r="L271" s="7" t="str">
        <f>VLOOKUP(B271,[1]characters!$A:$K,11,FALSE)</f>
        <v>balance</v>
      </c>
      <c r="M271" s="7" t="str">
        <f>VLOOKUP(B271,[1]characters!$A:$M,13,FALSE)</f>
        <v>god</v>
      </c>
      <c r="N271" s="7" t="str">
        <f>VLOOKUP(B271,[1]characters!$A:$G,7,FALSE)</f>
        <v>男性</v>
      </c>
      <c r="O271" s="45">
        <f ca="1">IFERROR(VLOOKUP(B271,input_586100!L:R,7,FALSE),VLOOKUP(tables_586100!C271,input_586100!A:H,8,FALSE))</f>
        <v>121940</v>
      </c>
      <c r="P271" s="46">
        <f t="shared" ca="1" si="16"/>
        <v>9.4791666666430984E-4</v>
      </c>
      <c r="Q271" s="30">
        <v>1</v>
      </c>
      <c r="R271" s="30">
        <v>0</v>
      </c>
      <c r="S271" s="30">
        <v>0</v>
      </c>
      <c r="T271" s="30">
        <v>0</v>
      </c>
      <c r="U271" s="30">
        <v>0</v>
      </c>
      <c r="V271" s="30">
        <v>1</v>
      </c>
    </row>
    <row r="272" spans="1:22" ht="21" customHeight="1" x14ac:dyDescent="0.15">
      <c r="A272" s="2" t="str">
        <f ca="1">input_586100!A$2</f>
        <v>586100</v>
      </c>
      <c r="B272" s="5">
        <v>748</v>
      </c>
      <c r="C272" s="7" t="str">
        <f t="shared" si="17"/>
        <v>Premium4R3less</v>
      </c>
      <c r="D272" s="7" t="str">
        <f t="shared" si="18"/>
        <v>Premium</v>
      </c>
      <c r="E272" s="7" t="str">
        <f>IF(COUNTIF('R6追加前'!A:A,B272)=0,IF(OR(I272="PremiumSS",I272="PremiumSSw"),"R5only","R3less"),"")</f>
        <v>R3less</v>
      </c>
      <c r="F272" s="7" t="str">
        <f>IF(COUNTIF('R6開放'!A:A,B272)&gt;0,"R6release","")</f>
        <v/>
      </c>
      <c r="G272" s="7"/>
      <c r="H272" s="7" t="str">
        <f>VLOOKUP(B272,[1]characters!$A:$C,3,FALSE)</f>
        <v>パーン</v>
      </c>
      <c r="I272" s="7" t="str">
        <f>VLOOKUP(B272,[1]characters!$A:$J,10,FALSE)</f>
        <v>PremiumS</v>
      </c>
      <c r="J272" s="7">
        <f>VLOOKUP(B272,[1]characters!$A:$I,9,FALSE)</f>
        <v>4</v>
      </c>
      <c r="K272" s="7" t="str">
        <f>VLOOKUP(B272,[1]characters!$A:$H,8,FALSE)</f>
        <v>yellow</v>
      </c>
      <c r="L272" s="7" t="str">
        <f>VLOOKUP(B272,[1]characters!$A:$K,11,FALSE)</f>
        <v>heal</v>
      </c>
      <c r="M272" s="7" t="str">
        <f>VLOOKUP(B272,[1]characters!$A:$M,13,FALSE)</f>
        <v>animal</v>
      </c>
      <c r="N272" s="7" t="str">
        <f>VLOOKUP(B272,[1]characters!$A:$G,7,FALSE)</f>
        <v>男性</v>
      </c>
      <c r="O272" s="45">
        <f ca="1">IFERROR(VLOOKUP(B272,input_586100!L:R,7,FALSE),VLOOKUP(tables_586100!C272,input_586100!A:H,8,FALSE))</f>
        <v>1060878</v>
      </c>
      <c r="P272" s="46">
        <f t="shared" ca="1" si="16"/>
        <v>8.2468749999794963E-3</v>
      </c>
      <c r="Q272" s="30">
        <v>1</v>
      </c>
      <c r="R272" s="30">
        <v>0</v>
      </c>
      <c r="S272" s="30">
        <v>0</v>
      </c>
      <c r="T272" s="30">
        <v>0</v>
      </c>
      <c r="U272" s="30">
        <v>0</v>
      </c>
      <c r="V272" s="30">
        <v>1</v>
      </c>
    </row>
    <row r="273" spans="1:22" ht="21" customHeight="1" x14ac:dyDescent="0.15">
      <c r="A273" s="2" t="str">
        <f ca="1">input_586100!A$2</f>
        <v>586100</v>
      </c>
      <c r="B273" s="5">
        <v>749</v>
      </c>
      <c r="C273" s="7" t="str">
        <f t="shared" si="17"/>
        <v>Premium5R3less</v>
      </c>
      <c r="D273" s="7" t="str">
        <f t="shared" si="18"/>
        <v>Premium</v>
      </c>
      <c r="E273" s="7" t="str">
        <f>IF(COUNTIF('R6追加前'!A:A,B273)=0,IF(OR(I273="PremiumSS",I273="PremiumSSw"),"R5only","R3less"),"")</f>
        <v>R3less</v>
      </c>
      <c r="F273" s="7" t="str">
        <f>IF(COUNTIF('R6開放'!A:A,B273)&gt;0,"R6release","")</f>
        <v/>
      </c>
      <c r="G273" s="7"/>
      <c r="H273" s="7" t="str">
        <f>VLOOKUP(B273,[1]characters!$A:$C,3,FALSE)</f>
        <v>光喜の牧童 パーン</v>
      </c>
      <c r="I273" s="7" t="str">
        <f>VLOOKUP(B273,[1]characters!$A:$J,10,FALSE)</f>
        <v>PremiumS</v>
      </c>
      <c r="J273" s="7">
        <f>VLOOKUP(B273,[1]characters!$A:$I,9,FALSE)</f>
        <v>5</v>
      </c>
      <c r="K273" s="7" t="str">
        <f>VLOOKUP(B273,[1]characters!$A:$H,8,FALSE)</f>
        <v>yellow</v>
      </c>
      <c r="L273" s="7" t="str">
        <f>VLOOKUP(B273,[1]characters!$A:$K,11,FALSE)</f>
        <v>heal</v>
      </c>
      <c r="M273" s="7" t="str">
        <f>VLOOKUP(B273,[1]characters!$A:$M,13,FALSE)</f>
        <v>animal</v>
      </c>
      <c r="N273" s="7" t="str">
        <f>VLOOKUP(B273,[1]characters!$A:$G,7,FALSE)</f>
        <v>男性</v>
      </c>
      <c r="O273" s="45">
        <f ca="1">IFERROR(VLOOKUP(B273,input_586100!L:R,7,FALSE),VLOOKUP(tables_586100!C273,input_586100!A:H,8,FALSE))</f>
        <v>121940</v>
      </c>
      <c r="P273" s="46">
        <f t="shared" ca="1" si="16"/>
        <v>9.4791666666430984E-4</v>
      </c>
      <c r="Q273" s="30">
        <v>1</v>
      </c>
      <c r="R273" s="30">
        <v>0</v>
      </c>
      <c r="S273" s="30">
        <v>0</v>
      </c>
      <c r="T273" s="30">
        <v>0</v>
      </c>
      <c r="U273" s="30">
        <v>0</v>
      </c>
      <c r="V273" s="30">
        <v>1</v>
      </c>
    </row>
    <row r="274" spans="1:22" ht="21" customHeight="1" x14ac:dyDescent="0.15">
      <c r="A274" s="2" t="str">
        <f ca="1">input_586100!A$2</f>
        <v>586100</v>
      </c>
      <c r="B274" s="5">
        <v>770</v>
      </c>
      <c r="C274" s="7" t="str">
        <f t="shared" si="17"/>
        <v>PremiumSS4</v>
      </c>
      <c r="D274" s="7" t="str">
        <f t="shared" si="18"/>
        <v>PremiumSS</v>
      </c>
      <c r="E274" s="7" t="str">
        <f>IF(COUNTIF('R6追加前'!A:A,B274)=0,IF(OR(I274="PremiumSS",I274="PremiumSSw"),"R5only","R3less"),"")</f>
        <v/>
      </c>
      <c r="F274" s="7" t="str">
        <f>IF(COUNTIF('R6開放'!A:A,B274)&gt;0,"R6release","")</f>
        <v/>
      </c>
      <c r="G274" s="7"/>
      <c r="H274" s="7" t="str">
        <f>VLOOKUP(B274,[1]characters!$A:$C,3,FALSE)</f>
        <v>ハヅル</v>
      </c>
      <c r="I274" s="7" t="str">
        <f>VLOOKUP(B274,[1]characters!$A:$J,10,FALSE)</f>
        <v>PremiumSS</v>
      </c>
      <c r="J274" s="7">
        <f>VLOOKUP(B274,[1]characters!$A:$I,9,FALSE)</f>
        <v>4</v>
      </c>
      <c r="K274" s="7" t="str">
        <f>VLOOKUP(B274,[1]characters!$A:$H,8,FALSE)</f>
        <v>red</v>
      </c>
      <c r="L274" s="7" t="str">
        <f>VLOOKUP(B274,[1]characters!$A:$K,11,FALSE)</f>
        <v>balance</v>
      </c>
      <c r="M274" s="7" t="str">
        <f>VLOOKUP(B274,[1]characters!$A:$M,13,FALSE)</f>
        <v>animal</v>
      </c>
      <c r="N274" s="7" t="str">
        <f>VLOOKUP(B274,[1]characters!$A:$G,7,FALSE)</f>
        <v>女性</v>
      </c>
      <c r="O274" s="45">
        <f ca="1">IFERROR(VLOOKUP(B274,input_586100!L:R,7,FALSE),VLOOKUP(tables_586100!C274,input_586100!A:H,8,FALSE))</f>
        <v>172285.71429</v>
      </c>
      <c r="P274" s="46">
        <f t="shared" ca="1" si="16"/>
        <v>1.3392857143157001E-3</v>
      </c>
      <c r="Q274" s="30">
        <v>1</v>
      </c>
      <c r="R274" s="30">
        <v>0</v>
      </c>
      <c r="S274" s="30">
        <v>0</v>
      </c>
      <c r="T274" s="30">
        <v>0</v>
      </c>
      <c r="U274" s="30">
        <v>0</v>
      </c>
      <c r="V274" s="30">
        <v>1</v>
      </c>
    </row>
    <row r="275" spans="1:22" ht="21" customHeight="1" x14ac:dyDescent="0.15">
      <c r="A275" s="2" t="str">
        <f ca="1">input_586100!A$2</f>
        <v>586100</v>
      </c>
      <c r="B275" s="5">
        <v>771</v>
      </c>
      <c r="C275" s="7" t="str">
        <f t="shared" si="17"/>
        <v>PremiumSS5</v>
      </c>
      <c r="D275" s="7" t="str">
        <f t="shared" si="18"/>
        <v>PremiumSS</v>
      </c>
      <c r="E275" s="7" t="str">
        <f>IF(COUNTIF('R6追加前'!A:A,B275)=0,IF(OR(I275="PremiumSS",I275="PremiumSSw"),"R5only","R3less"),"")</f>
        <v/>
      </c>
      <c r="F275" s="7" t="str">
        <f>IF(COUNTIF('R6開放'!A:A,B275)&gt;0,"R6release","")</f>
        <v/>
      </c>
      <c r="G275" s="7"/>
      <c r="H275" s="7" t="str">
        <f>VLOOKUP(B275,[1]characters!$A:$C,3,FALSE)</f>
        <v>天織羽鶴 ハヅル</v>
      </c>
      <c r="I275" s="7" t="str">
        <f>VLOOKUP(B275,[1]characters!$A:$J,10,FALSE)</f>
        <v>PremiumSS</v>
      </c>
      <c r="J275" s="7">
        <f>VLOOKUP(B275,[1]characters!$A:$I,9,FALSE)</f>
        <v>5</v>
      </c>
      <c r="K275" s="7" t="str">
        <f>VLOOKUP(B275,[1]characters!$A:$H,8,FALSE)</f>
        <v>red</v>
      </c>
      <c r="L275" s="7" t="str">
        <f>VLOOKUP(B275,[1]characters!$A:$K,11,FALSE)</f>
        <v>balance</v>
      </c>
      <c r="M275" s="7" t="str">
        <f>VLOOKUP(B275,[1]characters!$A:$M,13,FALSE)</f>
        <v>animal</v>
      </c>
      <c r="N275" s="7" t="str">
        <f>VLOOKUP(B275,[1]characters!$A:$G,7,FALSE)</f>
        <v>女性</v>
      </c>
      <c r="O275" s="45">
        <f ca="1">IFERROR(VLOOKUP(B275,input_586100!L:R,7,FALSE),VLOOKUP(tables_586100!C275,input_586100!A:H,8,FALSE))</f>
        <v>67000</v>
      </c>
      <c r="P275" s="46">
        <f t="shared" ca="1" si="16"/>
        <v>5.2083333333203836E-4</v>
      </c>
      <c r="Q275" s="30">
        <v>1</v>
      </c>
      <c r="R275" s="30">
        <v>0</v>
      </c>
      <c r="S275" s="30">
        <v>0</v>
      </c>
      <c r="T275" s="30">
        <v>0</v>
      </c>
      <c r="U275" s="30">
        <v>0</v>
      </c>
      <c r="V275" s="30">
        <v>1</v>
      </c>
    </row>
    <row r="276" spans="1:22" ht="21" customHeight="1" x14ac:dyDescent="0.15">
      <c r="A276" s="2" t="str">
        <f ca="1">input_586100!A$2</f>
        <v>586100</v>
      </c>
      <c r="B276" s="5">
        <v>772</v>
      </c>
      <c r="C276" s="7" t="str">
        <f t="shared" si="17"/>
        <v>PremiumSS4</v>
      </c>
      <c r="D276" s="7" t="str">
        <f t="shared" si="18"/>
        <v>PremiumSS</v>
      </c>
      <c r="E276" s="7" t="str">
        <f>IF(COUNTIF('R6追加前'!A:A,B276)=0,IF(OR(I276="PremiumSS",I276="PremiumSSw"),"R5only","R3less"),"")</f>
        <v/>
      </c>
      <c r="F276" s="7" t="str">
        <f>IF(COUNTIF('R6開放'!A:A,B276)&gt;0,"R6release","")</f>
        <v/>
      </c>
      <c r="G276" s="7"/>
      <c r="H276" s="7" t="str">
        <f>VLOOKUP(B276,[1]characters!$A:$C,3,FALSE)</f>
        <v>イナバ</v>
      </c>
      <c r="I276" s="7" t="str">
        <f>VLOOKUP(B276,[1]characters!$A:$J,10,FALSE)</f>
        <v>PremiumSS</v>
      </c>
      <c r="J276" s="7">
        <f>VLOOKUP(B276,[1]characters!$A:$I,9,FALSE)</f>
        <v>4</v>
      </c>
      <c r="K276" s="7" t="str">
        <f>VLOOKUP(B276,[1]characters!$A:$H,8,FALSE)</f>
        <v>green</v>
      </c>
      <c r="L276" s="7" t="str">
        <f>VLOOKUP(B276,[1]characters!$A:$K,11,FALSE)</f>
        <v>balance</v>
      </c>
      <c r="M276" s="7" t="str">
        <f>VLOOKUP(B276,[1]characters!$A:$M,13,FALSE)</f>
        <v>animal</v>
      </c>
      <c r="N276" s="7" t="str">
        <f>VLOOKUP(B276,[1]characters!$A:$G,7,FALSE)</f>
        <v>女性</v>
      </c>
      <c r="O276" s="45">
        <f ca="1">IFERROR(VLOOKUP(B276,input_586100!L:R,7,FALSE),VLOOKUP(tables_586100!C276,input_586100!A:H,8,FALSE))</f>
        <v>172285.71429</v>
      </c>
      <c r="P276" s="46">
        <f t="shared" ca="1" si="16"/>
        <v>1.3392857143157001E-3</v>
      </c>
      <c r="Q276" s="30">
        <v>1</v>
      </c>
      <c r="R276" s="30">
        <v>0</v>
      </c>
      <c r="S276" s="30">
        <v>0</v>
      </c>
      <c r="T276" s="30">
        <v>0</v>
      </c>
      <c r="U276" s="30">
        <v>0</v>
      </c>
      <c r="V276" s="30">
        <v>1</v>
      </c>
    </row>
    <row r="277" spans="1:22" ht="21" customHeight="1" x14ac:dyDescent="0.15">
      <c r="A277" s="2" t="str">
        <f ca="1">input_586100!A$2</f>
        <v>586100</v>
      </c>
      <c r="B277" s="5">
        <v>773</v>
      </c>
      <c r="C277" s="7" t="str">
        <f t="shared" si="17"/>
        <v>PremiumSS5</v>
      </c>
      <c r="D277" s="7" t="str">
        <f t="shared" si="18"/>
        <v>PremiumSS</v>
      </c>
      <c r="E277" s="7" t="str">
        <f>IF(COUNTIF('R6追加前'!A:A,B277)=0,IF(OR(I277="PremiumSS",I277="PremiumSSw"),"R5only","R3less"),"")</f>
        <v/>
      </c>
      <c r="F277" s="7" t="str">
        <f>IF(COUNTIF('R6開放'!A:A,B277)&gt;0,"R6release","")</f>
        <v/>
      </c>
      <c r="G277" s="7"/>
      <c r="H277" s="7" t="str">
        <f>VLOOKUP(B277,[1]characters!$A:$C,3,FALSE)</f>
        <v>浮跳天兎 イナバ</v>
      </c>
      <c r="I277" s="7" t="str">
        <f>VLOOKUP(B277,[1]characters!$A:$J,10,FALSE)</f>
        <v>PremiumSS</v>
      </c>
      <c r="J277" s="7">
        <f>VLOOKUP(B277,[1]characters!$A:$I,9,FALSE)</f>
        <v>5</v>
      </c>
      <c r="K277" s="7" t="str">
        <f>VLOOKUP(B277,[1]characters!$A:$H,8,FALSE)</f>
        <v>green</v>
      </c>
      <c r="L277" s="7" t="str">
        <f>VLOOKUP(B277,[1]characters!$A:$K,11,FALSE)</f>
        <v>balance</v>
      </c>
      <c r="M277" s="7" t="str">
        <f>VLOOKUP(B277,[1]characters!$A:$M,13,FALSE)</f>
        <v>animal</v>
      </c>
      <c r="N277" s="7" t="str">
        <f>VLOOKUP(B277,[1]characters!$A:$G,7,FALSE)</f>
        <v>女性</v>
      </c>
      <c r="O277" s="45">
        <f ca="1">IFERROR(VLOOKUP(B277,input_586100!L:R,7,FALSE),VLOOKUP(tables_586100!C277,input_586100!A:H,8,FALSE))</f>
        <v>67000</v>
      </c>
      <c r="P277" s="46">
        <f t="shared" ca="1" si="16"/>
        <v>5.2083333333203836E-4</v>
      </c>
      <c r="Q277" s="30">
        <v>1</v>
      </c>
      <c r="R277" s="30">
        <v>0</v>
      </c>
      <c r="S277" s="30">
        <v>0</v>
      </c>
      <c r="T277" s="30">
        <v>0</v>
      </c>
      <c r="U277" s="30">
        <v>0</v>
      </c>
      <c r="V277" s="30">
        <v>1</v>
      </c>
    </row>
    <row r="278" spans="1:22" ht="21" customHeight="1" x14ac:dyDescent="0.15">
      <c r="A278" s="2" t="str">
        <f ca="1">input_586100!A$2</f>
        <v>586100</v>
      </c>
      <c r="B278" s="5">
        <v>774</v>
      </c>
      <c r="C278" s="7" t="str">
        <f t="shared" si="17"/>
        <v>Premium3</v>
      </c>
      <c r="D278" s="7" t="str">
        <f t="shared" si="18"/>
        <v>Premium</v>
      </c>
      <c r="E278" s="7" t="str">
        <f>IF(COUNTIF('R6追加前'!A:A,B278)=0,IF(OR(I278="PremiumSS",I278="PremiumSSw"),"R5only","R3less"),"")</f>
        <v/>
      </c>
      <c r="F278" s="7" t="str">
        <f>IF(COUNTIF('R6開放'!A:A,B278)&gt;0,"R6release","")</f>
        <v/>
      </c>
      <c r="G278" s="7"/>
      <c r="H278" s="7" t="str">
        <f>VLOOKUP(B278,[1]characters!$A:$C,3,FALSE)</f>
        <v>ミズチ</v>
      </c>
      <c r="I278" s="7" t="str">
        <f>VLOOKUP(B278,[1]characters!$A:$J,10,FALSE)</f>
        <v>PremiumS</v>
      </c>
      <c r="J278" s="7">
        <f>VLOOKUP(B278,[1]characters!$A:$I,9,FALSE)</f>
        <v>3</v>
      </c>
      <c r="K278" s="7" t="str">
        <f>VLOOKUP(B278,[1]characters!$A:$H,8,FALSE)</f>
        <v>blue</v>
      </c>
      <c r="L278" s="7" t="str">
        <f>VLOOKUP(B278,[1]characters!$A:$K,11,FALSE)</f>
        <v>heal</v>
      </c>
      <c r="M278" s="7" t="str">
        <f>VLOOKUP(B278,[1]characters!$A:$M,13,FALSE)</f>
        <v>dragon</v>
      </c>
      <c r="N278" s="7" t="str">
        <f>VLOOKUP(B278,[1]characters!$A:$G,7,FALSE)</f>
        <v>不明</v>
      </c>
      <c r="O278" s="45">
        <f ca="1">IFERROR(VLOOKUP(B278,input_586100!L:R,7,FALSE),VLOOKUP(tables_586100!C278,input_586100!A:H,8,FALSE))</f>
        <v>0</v>
      </c>
      <c r="P278" s="46">
        <f t="shared" ca="1" si="16"/>
        <v>0</v>
      </c>
      <c r="Q278" s="30">
        <v>1</v>
      </c>
      <c r="R278" s="30">
        <v>0</v>
      </c>
      <c r="S278" s="30">
        <v>0</v>
      </c>
      <c r="T278" s="30">
        <v>0</v>
      </c>
      <c r="U278" s="30">
        <v>0</v>
      </c>
      <c r="V278" s="30">
        <v>1</v>
      </c>
    </row>
    <row r="279" spans="1:22" ht="21" customHeight="1" x14ac:dyDescent="0.15">
      <c r="A279" s="2" t="str">
        <f ca="1">input_586100!A$2</f>
        <v>586100</v>
      </c>
      <c r="B279" s="5">
        <v>775</v>
      </c>
      <c r="C279" s="7" t="str">
        <f t="shared" si="17"/>
        <v>Premium4</v>
      </c>
      <c r="D279" s="7" t="str">
        <f t="shared" si="18"/>
        <v>Premium</v>
      </c>
      <c r="E279" s="7" t="str">
        <f>IF(COUNTIF('R6追加前'!A:A,B279)=0,IF(OR(I279="PremiumSS",I279="PremiumSSw"),"R5only","R3less"),"")</f>
        <v/>
      </c>
      <c r="F279" s="7" t="str">
        <f>IF(COUNTIF('R6開放'!A:A,B279)&gt;0,"R6release","")</f>
        <v/>
      </c>
      <c r="G279" s="7"/>
      <c r="H279" s="7" t="str">
        <f>VLOOKUP(B279,[1]characters!$A:$C,3,FALSE)</f>
        <v>水底霊竜 ミズチ</v>
      </c>
      <c r="I279" s="7" t="str">
        <f>VLOOKUP(B279,[1]characters!$A:$J,10,FALSE)</f>
        <v>PremiumS</v>
      </c>
      <c r="J279" s="7">
        <f>VLOOKUP(B279,[1]characters!$A:$I,9,FALSE)</f>
        <v>4</v>
      </c>
      <c r="K279" s="7" t="str">
        <f>VLOOKUP(B279,[1]characters!$A:$H,8,FALSE)</f>
        <v>blue</v>
      </c>
      <c r="L279" s="7" t="str">
        <f>VLOOKUP(B279,[1]characters!$A:$K,11,FALSE)</f>
        <v>heal</v>
      </c>
      <c r="M279" s="7" t="str">
        <f>VLOOKUP(B279,[1]characters!$A:$M,13,FALSE)</f>
        <v>dragon</v>
      </c>
      <c r="N279" s="7" t="str">
        <f>VLOOKUP(B279,[1]characters!$A:$G,7,FALSE)</f>
        <v>不明</v>
      </c>
      <c r="O279" s="45">
        <f ca="1">IFERROR(VLOOKUP(B279,input_586100!L:R,7,FALSE),VLOOKUP(tables_586100!C279,input_586100!A:H,8,FALSE))</f>
        <v>1097460</v>
      </c>
      <c r="P279" s="46">
        <f t="shared" ca="1" si="16"/>
        <v>8.5312499999787884E-3</v>
      </c>
      <c r="Q279" s="30">
        <v>1</v>
      </c>
      <c r="R279" s="30">
        <v>0</v>
      </c>
      <c r="S279" s="30">
        <v>0</v>
      </c>
      <c r="T279" s="30">
        <v>0</v>
      </c>
      <c r="U279" s="30">
        <v>0</v>
      </c>
      <c r="V279" s="30">
        <v>1</v>
      </c>
    </row>
    <row r="280" spans="1:22" ht="21" customHeight="1" x14ac:dyDescent="0.15">
      <c r="A280" s="2" t="str">
        <f ca="1">input_586100!A$2</f>
        <v>586100</v>
      </c>
      <c r="B280" s="5">
        <v>776</v>
      </c>
      <c r="C280" s="7" t="str">
        <f t="shared" si="17"/>
        <v>Premium5</v>
      </c>
      <c r="D280" s="7" t="str">
        <f t="shared" si="18"/>
        <v>Premium</v>
      </c>
      <c r="E280" s="7" t="str">
        <f>IF(COUNTIF('R6追加前'!A:A,B280)=0,IF(OR(I280="PremiumSS",I280="PremiumSSw"),"R5only","R3less"),"")</f>
        <v/>
      </c>
      <c r="F280" s="7" t="str">
        <f>IF(COUNTIF('R6開放'!A:A,B280)&gt;0,"R6release","")</f>
        <v/>
      </c>
      <c r="G280" s="7"/>
      <c r="H280" s="7" t="str">
        <f>VLOOKUP(B280,[1]characters!$A:$C,3,FALSE)</f>
        <v>水竜底主 ミズチ</v>
      </c>
      <c r="I280" s="7" t="str">
        <f>VLOOKUP(B280,[1]characters!$A:$J,10,FALSE)</f>
        <v>PremiumS</v>
      </c>
      <c r="J280" s="7">
        <f>VLOOKUP(B280,[1]characters!$A:$I,9,FALSE)</f>
        <v>5</v>
      </c>
      <c r="K280" s="7" t="str">
        <f>VLOOKUP(B280,[1]characters!$A:$H,8,FALSE)</f>
        <v>blue</v>
      </c>
      <c r="L280" s="7" t="str">
        <f>VLOOKUP(B280,[1]characters!$A:$K,11,FALSE)</f>
        <v>heal</v>
      </c>
      <c r="M280" s="7" t="str">
        <f>VLOOKUP(B280,[1]characters!$A:$M,13,FALSE)</f>
        <v>dragon</v>
      </c>
      <c r="N280" s="7" t="str">
        <f>VLOOKUP(B280,[1]characters!$A:$G,7,FALSE)</f>
        <v>不明</v>
      </c>
      <c r="O280" s="45">
        <f ca="1">IFERROR(VLOOKUP(B280,input_586100!L:R,7,FALSE),VLOOKUP(tables_586100!C280,input_586100!A:H,8,FALSE))</f>
        <v>51796.153850000002</v>
      </c>
      <c r="P280" s="46">
        <f t="shared" ca="1" si="16"/>
        <v>4.0264423079812829E-4</v>
      </c>
      <c r="Q280" s="30">
        <v>1</v>
      </c>
      <c r="R280" s="30">
        <v>0</v>
      </c>
      <c r="S280" s="30">
        <v>0</v>
      </c>
      <c r="T280" s="30">
        <v>0</v>
      </c>
      <c r="U280" s="30">
        <v>0</v>
      </c>
      <c r="V280" s="30">
        <v>1</v>
      </c>
    </row>
    <row r="281" spans="1:22" ht="21" customHeight="1" x14ac:dyDescent="0.15">
      <c r="A281" s="2" t="str">
        <f ca="1">input_586100!A$2</f>
        <v>586100</v>
      </c>
      <c r="B281" s="5">
        <v>777</v>
      </c>
      <c r="C281" s="7" t="str">
        <f t="shared" si="17"/>
        <v>Premium3</v>
      </c>
      <c r="D281" s="7" t="str">
        <f t="shared" si="18"/>
        <v>Premium</v>
      </c>
      <c r="E281" s="7" t="str">
        <f>IF(COUNTIF('R6追加前'!A:A,B281)=0,IF(OR(I281="PremiumSS",I281="PremiumSSw"),"R5only","R3less"),"")</f>
        <v/>
      </c>
      <c r="F281" s="7" t="str">
        <f>IF(COUNTIF('R6開放'!A:A,B281)&gt;0,"R6release","")</f>
        <v/>
      </c>
      <c r="G281" s="7"/>
      <c r="H281" s="7" t="str">
        <f>VLOOKUP(B281,[1]characters!$A:$C,3,FALSE)</f>
        <v>ガメック</v>
      </c>
      <c r="I281" s="7" t="str">
        <f>VLOOKUP(B281,[1]characters!$A:$J,10,FALSE)</f>
        <v>PremiumS</v>
      </c>
      <c r="J281" s="7">
        <f>VLOOKUP(B281,[1]characters!$A:$I,9,FALSE)</f>
        <v>3</v>
      </c>
      <c r="K281" s="7" t="str">
        <f>VLOOKUP(B281,[1]characters!$A:$H,8,FALSE)</f>
        <v>yellow</v>
      </c>
      <c r="L281" s="7" t="str">
        <f>VLOOKUP(B281,[1]characters!$A:$K,11,FALSE)</f>
        <v>hp</v>
      </c>
      <c r="M281" s="7" t="str">
        <f>VLOOKUP(B281,[1]characters!$A:$M,13,FALSE)</f>
        <v>animal</v>
      </c>
      <c r="N281" s="7" t="str">
        <f>VLOOKUP(B281,[1]characters!$A:$G,7,FALSE)</f>
        <v>不明</v>
      </c>
      <c r="O281" s="45">
        <f ca="1">IFERROR(VLOOKUP(B281,input_586100!L:R,7,FALSE),VLOOKUP(tables_586100!C281,input_586100!A:H,8,FALSE))</f>
        <v>0</v>
      </c>
      <c r="P281" s="46">
        <f t="shared" ca="1" si="16"/>
        <v>0</v>
      </c>
      <c r="Q281" s="30">
        <v>1</v>
      </c>
      <c r="R281" s="30">
        <v>0</v>
      </c>
      <c r="S281" s="30">
        <v>0</v>
      </c>
      <c r="T281" s="30">
        <v>0</v>
      </c>
      <c r="U281" s="30">
        <v>0</v>
      </c>
      <c r="V281" s="30">
        <v>1</v>
      </c>
    </row>
    <row r="282" spans="1:22" ht="21" customHeight="1" x14ac:dyDescent="0.15">
      <c r="A282" s="2" t="str">
        <f ca="1">input_586100!A$2</f>
        <v>586100</v>
      </c>
      <c r="B282" s="5">
        <v>778</v>
      </c>
      <c r="C282" s="7" t="str">
        <f t="shared" si="17"/>
        <v>Premium4</v>
      </c>
      <c r="D282" s="7" t="str">
        <f t="shared" si="18"/>
        <v>Premium</v>
      </c>
      <c r="E282" s="7" t="str">
        <f>IF(COUNTIF('R6追加前'!A:A,B282)=0,IF(OR(I282="PremiumSS",I282="PremiumSSw"),"R5only","R3less"),"")</f>
        <v/>
      </c>
      <c r="F282" s="7" t="str">
        <f>IF(COUNTIF('R6開放'!A:A,B282)&gt;0,"R6release","")</f>
        <v/>
      </c>
      <c r="G282" s="7"/>
      <c r="H282" s="7" t="str">
        <f>VLOOKUP(B282,[1]characters!$A:$C,3,FALSE)</f>
        <v>一亀懸明 ガメック</v>
      </c>
      <c r="I282" s="7" t="str">
        <f>VLOOKUP(B282,[1]characters!$A:$J,10,FALSE)</f>
        <v>PremiumS</v>
      </c>
      <c r="J282" s="7">
        <f>VLOOKUP(B282,[1]characters!$A:$I,9,FALSE)</f>
        <v>4</v>
      </c>
      <c r="K282" s="7" t="str">
        <f>VLOOKUP(B282,[1]characters!$A:$H,8,FALSE)</f>
        <v>yellow</v>
      </c>
      <c r="L282" s="7" t="str">
        <f>VLOOKUP(B282,[1]characters!$A:$K,11,FALSE)</f>
        <v>hp</v>
      </c>
      <c r="M282" s="7" t="str">
        <f>VLOOKUP(B282,[1]characters!$A:$M,13,FALSE)</f>
        <v>animal</v>
      </c>
      <c r="N282" s="7" t="str">
        <f>VLOOKUP(B282,[1]characters!$A:$G,7,FALSE)</f>
        <v>不明</v>
      </c>
      <c r="O282" s="45">
        <f ca="1">IFERROR(VLOOKUP(B282,input_586100!L:R,7,FALSE),VLOOKUP(tables_586100!C282,input_586100!A:H,8,FALSE))</f>
        <v>1097460</v>
      </c>
      <c r="P282" s="46">
        <f t="shared" ca="1" si="16"/>
        <v>8.5312499999787884E-3</v>
      </c>
      <c r="Q282" s="30">
        <v>1</v>
      </c>
      <c r="R282" s="30">
        <v>0</v>
      </c>
      <c r="S282" s="30">
        <v>0</v>
      </c>
      <c r="T282" s="30">
        <v>0</v>
      </c>
      <c r="U282" s="30">
        <v>0</v>
      </c>
      <c r="V282" s="30">
        <v>1</v>
      </c>
    </row>
    <row r="283" spans="1:22" ht="21" customHeight="1" x14ac:dyDescent="0.15">
      <c r="A283" s="2" t="str">
        <f ca="1">input_586100!A$2</f>
        <v>586100</v>
      </c>
      <c r="B283" s="5">
        <v>779</v>
      </c>
      <c r="C283" s="7" t="str">
        <f t="shared" si="17"/>
        <v>Premium5</v>
      </c>
      <c r="D283" s="7" t="str">
        <f t="shared" si="18"/>
        <v>Premium</v>
      </c>
      <c r="E283" s="7" t="str">
        <f>IF(COUNTIF('R6追加前'!A:A,B283)=0,IF(OR(I283="PremiumSS",I283="PremiumSSw"),"R5only","R3less"),"")</f>
        <v/>
      </c>
      <c r="F283" s="7" t="str">
        <f>IF(COUNTIF('R6開放'!A:A,B283)&gt;0,"R6release","")</f>
        <v/>
      </c>
      <c r="G283" s="7"/>
      <c r="H283" s="7" t="str">
        <f>VLOOKUP(B283,[1]characters!$A:$C,3,FALSE)</f>
        <v>頑堅咬亀 ガメック</v>
      </c>
      <c r="I283" s="7" t="str">
        <f>VLOOKUP(B283,[1]characters!$A:$J,10,FALSE)</f>
        <v>PremiumS</v>
      </c>
      <c r="J283" s="7">
        <f>VLOOKUP(B283,[1]characters!$A:$I,9,FALSE)</f>
        <v>5</v>
      </c>
      <c r="K283" s="7" t="str">
        <f>VLOOKUP(B283,[1]characters!$A:$H,8,FALSE)</f>
        <v>yellow</v>
      </c>
      <c r="L283" s="7" t="str">
        <f>VLOOKUP(B283,[1]characters!$A:$K,11,FALSE)</f>
        <v>hp</v>
      </c>
      <c r="M283" s="7" t="str">
        <f>VLOOKUP(B283,[1]characters!$A:$M,13,FALSE)</f>
        <v>animal</v>
      </c>
      <c r="N283" s="7" t="str">
        <f>VLOOKUP(B283,[1]characters!$A:$G,7,FALSE)</f>
        <v>不明</v>
      </c>
      <c r="O283" s="45">
        <f ca="1">IFERROR(VLOOKUP(B283,input_586100!L:R,7,FALSE),VLOOKUP(tables_586100!C283,input_586100!A:H,8,FALSE))</f>
        <v>51796.153850000002</v>
      </c>
      <c r="P283" s="46">
        <f t="shared" ca="1" si="16"/>
        <v>4.0264423079812829E-4</v>
      </c>
      <c r="Q283" s="30">
        <v>1</v>
      </c>
      <c r="R283" s="30">
        <v>0</v>
      </c>
      <c r="S283" s="30">
        <v>0</v>
      </c>
      <c r="T283" s="30">
        <v>0</v>
      </c>
      <c r="U283" s="30">
        <v>0</v>
      </c>
      <c r="V283" s="30">
        <v>1</v>
      </c>
    </row>
    <row r="284" spans="1:22" ht="21" customHeight="1" x14ac:dyDescent="0.15">
      <c r="A284" s="2" t="str">
        <f ca="1">input_586100!A$2</f>
        <v>586100</v>
      </c>
      <c r="B284" s="5">
        <v>848</v>
      </c>
      <c r="C284" s="7" t="str">
        <f t="shared" si="17"/>
        <v>PremiumSS5R5only</v>
      </c>
      <c r="D284" s="7" t="str">
        <f t="shared" si="18"/>
        <v>PremiumSS</v>
      </c>
      <c r="E284" s="7" t="str">
        <f>IF(COUNTIF('R6追加前'!A:A,B284)=0,IF(OR(I284="PremiumSS",I284="PremiumSSw"),"R5only","R3less"),"")</f>
        <v>R5only</v>
      </c>
      <c r="F284" s="7" t="str">
        <f>IF(COUNTIF('R6開放'!A:A,B284)&gt;0,"R6release","")</f>
        <v/>
      </c>
      <c r="G284" s="7"/>
      <c r="H284" s="7" t="str">
        <f>VLOOKUP(B284,[1]characters!$A:$C,3,FALSE)</f>
        <v>メタトロン</v>
      </c>
      <c r="I284" s="7" t="str">
        <f>VLOOKUP(B284,[1]characters!$A:$J,10,FALSE)</f>
        <v>PremiumSS</v>
      </c>
      <c r="J284" s="7">
        <f>VLOOKUP(B284,[1]characters!$A:$I,9,FALSE)</f>
        <v>5</v>
      </c>
      <c r="K284" s="7" t="str">
        <f>VLOOKUP(B284,[1]characters!$A:$H,8,FALSE)</f>
        <v>red</v>
      </c>
      <c r="L284" s="7" t="str">
        <f>VLOOKUP(B284,[1]characters!$A:$K,11,FALSE)</f>
        <v>balance</v>
      </c>
      <c r="M284" s="7" t="str">
        <f>VLOOKUP(B284,[1]characters!$A:$M,13,FALSE)</f>
        <v>god</v>
      </c>
      <c r="N284" s="7" t="str">
        <f>VLOOKUP(B284,[1]characters!$A:$G,7,FALSE)</f>
        <v>男性</v>
      </c>
      <c r="O284" s="45">
        <f ca="1">IFERROR(VLOOKUP(B284,input_586100!L:R,7,FALSE),VLOOKUP(tables_586100!C284,input_586100!A:H,8,FALSE))</f>
        <v>67000</v>
      </c>
      <c r="P284" s="46">
        <f t="shared" ca="1" si="16"/>
        <v>5.2083333333203836E-4</v>
      </c>
      <c r="Q284" s="30">
        <v>1</v>
      </c>
      <c r="R284" s="30">
        <v>0</v>
      </c>
      <c r="S284" s="30">
        <v>0</v>
      </c>
      <c r="T284" s="30">
        <v>0</v>
      </c>
      <c r="U284" s="30">
        <v>0</v>
      </c>
      <c r="V284" s="30">
        <v>1</v>
      </c>
    </row>
    <row r="285" spans="1:22" ht="21" customHeight="1" x14ac:dyDescent="0.15">
      <c r="A285" s="2" t="str">
        <f ca="1">input_586100!A$2</f>
        <v>586100</v>
      </c>
      <c r="B285" s="5">
        <v>850</v>
      </c>
      <c r="C285" s="7" t="str">
        <f t="shared" si="17"/>
        <v>PremiumSS5R5only</v>
      </c>
      <c r="D285" s="7" t="str">
        <f t="shared" si="18"/>
        <v>PremiumSS</v>
      </c>
      <c r="E285" s="7" t="str">
        <f>IF(COUNTIF('R6追加前'!A:A,B285)=0,IF(OR(I285="PremiumSS",I285="PremiumSSw"),"R5only","R3less"),"")</f>
        <v>R5only</v>
      </c>
      <c r="F285" s="7" t="str">
        <f>IF(COUNTIF('R6開放'!A:A,B285)&gt;0,"R6release","")</f>
        <v/>
      </c>
      <c r="G285" s="7"/>
      <c r="H285" s="7" t="str">
        <f>VLOOKUP(B285,[1]characters!$A:$C,3,FALSE)</f>
        <v>バアル</v>
      </c>
      <c r="I285" s="7" t="str">
        <f>VLOOKUP(B285,[1]characters!$A:$J,10,FALSE)</f>
        <v>PremiumSS</v>
      </c>
      <c r="J285" s="7">
        <f>VLOOKUP(B285,[1]characters!$A:$I,9,FALSE)</f>
        <v>5</v>
      </c>
      <c r="K285" s="7" t="str">
        <f>VLOOKUP(B285,[1]characters!$A:$H,8,FALSE)</f>
        <v>green</v>
      </c>
      <c r="L285" s="7" t="str">
        <f>VLOOKUP(B285,[1]characters!$A:$K,11,FALSE)</f>
        <v>technical</v>
      </c>
      <c r="M285" s="7" t="str">
        <f>VLOOKUP(B285,[1]characters!$A:$M,13,FALSE)</f>
        <v>god</v>
      </c>
      <c r="N285" s="7" t="str">
        <f>VLOOKUP(B285,[1]characters!$A:$G,7,FALSE)</f>
        <v>男性</v>
      </c>
      <c r="O285" s="45">
        <f ca="1">IFERROR(VLOOKUP(B285,input_586100!L:R,7,FALSE),VLOOKUP(tables_586100!C285,input_586100!A:H,8,FALSE))</f>
        <v>67000</v>
      </c>
      <c r="P285" s="46">
        <f t="shared" ca="1" si="16"/>
        <v>5.2083333333203836E-4</v>
      </c>
      <c r="Q285" s="30">
        <v>1</v>
      </c>
      <c r="R285" s="30">
        <v>0</v>
      </c>
      <c r="S285" s="30">
        <v>0</v>
      </c>
      <c r="T285" s="30">
        <v>0</v>
      </c>
      <c r="U285" s="30">
        <v>0</v>
      </c>
      <c r="V285" s="30">
        <v>1</v>
      </c>
    </row>
    <row r="286" spans="1:22" ht="21" customHeight="1" x14ac:dyDescent="0.15">
      <c r="A286" s="2" t="str">
        <f ca="1">input_586100!A$2</f>
        <v>586100</v>
      </c>
      <c r="B286" s="5">
        <v>852</v>
      </c>
      <c r="C286" s="7" t="str">
        <f t="shared" si="17"/>
        <v>Premium4R3less</v>
      </c>
      <c r="D286" s="7" t="str">
        <f t="shared" si="18"/>
        <v>Premium</v>
      </c>
      <c r="E286" s="7" t="str">
        <f>IF(COUNTIF('R6追加前'!A:A,B286)=0,IF(OR(I286="PremiumSS",I286="PremiumSSw"),"R5only","R3less"),"")</f>
        <v>R3less</v>
      </c>
      <c r="F286" s="7" t="str">
        <f>IF(COUNTIF('R6開放'!A:A,B286)&gt;0,"R6release","")</f>
        <v/>
      </c>
      <c r="G286" s="7"/>
      <c r="H286" s="7" t="str">
        <f>VLOOKUP(B286,[1]characters!$A:$C,3,FALSE)</f>
        <v>サキエル</v>
      </c>
      <c r="I286" s="7" t="str">
        <f>VLOOKUP(B286,[1]characters!$A:$J,10,FALSE)</f>
        <v>PremiumS</v>
      </c>
      <c r="J286" s="7">
        <f>VLOOKUP(B286,[1]characters!$A:$I,9,FALSE)</f>
        <v>4</v>
      </c>
      <c r="K286" s="7" t="str">
        <f>VLOOKUP(B286,[1]characters!$A:$H,8,FALSE)</f>
        <v>blue</v>
      </c>
      <c r="L286" s="7" t="str">
        <f>VLOOKUP(B286,[1]characters!$A:$K,11,FALSE)</f>
        <v>hp</v>
      </c>
      <c r="M286" s="7" t="str">
        <f>VLOOKUP(B286,[1]characters!$A:$M,13,FALSE)</f>
        <v>god</v>
      </c>
      <c r="N286" s="7" t="str">
        <f>VLOOKUP(B286,[1]characters!$A:$G,7,FALSE)</f>
        <v>男性</v>
      </c>
      <c r="O286" s="45">
        <f ca="1">IFERROR(VLOOKUP(B286,input_586100!L:R,7,FALSE),VLOOKUP(tables_586100!C286,input_586100!A:H,8,FALSE))</f>
        <v>1060878</v>
      </c>
      <c r="P286" s="46">
        <f t="shared" ca="1" si="16"/>
        <v>8.2468749999794963E-3</v>
      </c>
      <c r="Q286" s="30">
        <v>1</v>
      </c>
      <c r="R286" s="30">
        <v>0</v>
      </c>
      <c r="S286" s="30">
        <v>0</v>
      </c>
      <c r="T286" s="30">
        <v>0</v>
      </c>
      <c r="U286" s="30">
        <v>0</v>
      </c>
      <c r="V286" s="30">
        <v>1</v>
      </c>
    </row>
    <row r="287" spans="1:22" ht="21" customHeight="1" x14ac:dyDescent="0.15">
      <c r="A287" s="2" t="str">
        <f ca="1">input_586100!A$2</f>
        <v>586100</v>
      </c>
      <c r="B287" s="5">
        <v>853</v>
      </c>
      <c r="C287" s="7" t="str">
        <f t="shared" si="17"/>
        <v>Premium5R3less</v>
      </c>
      <c r="D287" s="7" t="str">
        <f t="shared" si="18"/>
        <v>Premium</v>
      </c>
      <c r="E287" s="7" t="str">
        <f>IF(COUNTIF('R6追加前'!A:A,B287)=0,IF(OR(I287="PremiumSS",I287="PremiumSSw"),"R5only","R3less"),"")</f>
        <v>R3less</v>
      </c>
      <c r="F287" s="7" t="str">
        <f>IF(COUNTIF('R6開放'!A:A,B287)&gt;0,"R6release","")</f>
        <v/>
      </c>
      <c r="G287" s="7"/>
      <c r="H287" s="7" t="str">
        <f>VLOOKUP(B287,[1]characters!$A:$C,3,FALSE)</f>
        <v>裂爪の天使 サキエル・ティア</v>
      </c>
      <c r="I287" s="7" t="str">
        <f>VLOOKUP(B287,[1]characters!$A:$J,10,FALSE)</f>
        <v>PremiumS</v>
      </c>
      <c r="J287" s="7">
        <f>VLOOKUP(B287,[1]characters!$A:$I,9,FALSE)</f>
        <v>5</v>
      </c>
      <c r="K287" s="7" t="str">
        <f>VLOOKUP(B287,[1]characters!$A:$H,8,FALSE)</f>
        <v>blue</v>
      </c>
      <c r="L287" s="7" t="str">
        <f>VLOOKUP(B287,[1]characters!$A:$K,11,FALSE)</f>
        <v>hp</v>
      </c>
      <c r="M287" s="7" t="str">
        <f>VLOOKUP(B287,[1]characters!$A:$M,13,FALSE)</f>
        <v>god</v>
      </c>
      <c r="N287" s="7" t="str">
        <f>VLOOKUP(B287,[1]characters!$A:$G,7,FALSE)</f>
        <v>男性</v>
      </c>
      <c r="O287" s="45">
        <f ca="1">IFERROR(VLOOKUP(B287,input_586100!L:R,7,FALSE),VLOOKUP(tables_586100!C287,input_586100!A:H,8,FALSE))</f>
        <v>121940</v>
      </c>
      <c r="P287" s="46">
        <f t="shared" ca="1" si="16"/>
        <v>9.4791666666430984E-4</v>
      </c>
      <c r="Q287" s="30">
        <v>1</v>
      </c>
      <c r="R287" s="30">
        <v>0</v>
      </c>
      <c r="S287" s="30">
        <v>0</v>
      </c>
      <c r="T287" s="30">
        <v>0</v>
      </c>
      <c r="U287" s="30">
        <v>0</v>
      </c>
      <c r="V287" s="30">
        <v>1</v>
      </c>
    </row>
    <row r="288" spans="1:22" ht="21" customHeight="1" x14ac:dyDescent="0.15">
      <c r="A288" s="2" t="str">
        <f ca="1">input_586100!A$2</f>
        <v>586100</v>
      </c>
      <c r="B288" s="5">
        <v>854</v>
      </c>
      <c r="C288" s="7" t="str">
        <f t="shared" si="17"/>
        <v>Premium4R3less</v>
      </c>
      <c r="D288" s="7" t="str">
        <f t="shared" si="18"/>
        <v>Premium</v>
      </c>
      <c r="E288" s="7" t="str">
        <f>IF(COUNTIF('R6追加前'!A:A,B288)=0,IF(OR(I288="PremiumSS",I288="PremiumSSw"),"R5only","R3less"),"")</f>
        <v>R3less</v>
      </c>
      <c r="F288" s="7" t="str">
        <f>IF(COUNTIF('R6開放'!A:A,B288)&gt;0,"R6release","")</f>
        <v/>
      </c>
      <c r="G288" s="7"/>
      <c r="H288" s="7" t="str">
        <f>VLOOKUP(B288,[1]characters!$A:$C,3,FALSE)</f>
        <v>フラウロス</v>
      </c>
      <c r="I288" s="7" t="str">
        <f>VLOOKUP(B288,[1]characters!$A:$J,10,FALSE)</f>
        <v>PremiumS</v>
      </c>
      <c r="J288" s="7">
        <f>VLOOKUP(B288,[1]characters!$A:$I,9,FALSE)</f>
        <v>4</v>
      </c>
      <c r="K288" s="7" t="str">
        <f>VLOOKUP(B288,[1]characters!$A:$H,8,FALSE)</f>
        <v>yellow</v>
      </c>
      <c r="L288" s="7" t="str">
        <f>VLOOKUP(B288,[1]characters!$A:$K,11,FALSE)</f>
        <v>attack</v>
      </c>
      <c r="M288" s="7" t="str">
        <f>VLOOKUP(B288,[1]characters!$A:$M,13,FALSE)</f>
        <v>animal</v>
      </c>
      <c r="N288" s="7" t="str">
        <f>VLOOKUP(B288,[1]characters!$A:$G,7,FALSE)</f>
        <v>男性</v>
      </c>
      <c r="O288" s="45">
        <f ca="1">IFERROR(VLOOKUP(B288,input_586100!L:R,7,FALSE),VLOOKUP(tables_586100!C288,input_586100!A:H,8,FALSE))</f>
        <v>1060878</v>
      </c>
      <c r="P288" s="46">
        <f t="shared" ca="1" si="16"/>
        <v>8.2468749999794963E-3</v>
      </c>
      <c r="Q288" s="30">
        <v>1</v>
      </c>
      <c r="R288" s="30">
        <v>0</v>
      </c>
      <c r="S288" s="30">
        <v>0</v>
      </c>
      <c r="T288" s="30">
        <v>0</v>
      </c>
      <c r="U288" s="30">
        <v>0</v>
      </c>
      <c r="V288" s="30">
        <v>1</v>
      </c>
    </row>
    <row r="289" spans="1:22" ht="21" customHeight="1" x14ac:dyDescent="0.15">
      <c r="A289" s="2" t="str">
        <f ca="1">input_586100!A$2</f>
        <v>586100</v>
      </c>
      <c r="B289" s="5">
        <v>855</v>
      </c>
      <c r="C289" s="7" t="str">
        <f t="shared" si="17"/>
        <v>Premium5R3less</v>
      </c>
      <c r="D289" s="7" t="str">
        <f t="shared" si="18"/>
        <v>Premium</v>
      </c>
      <c r="E289" s="7" t="str">
        <f>IF(COUNTIF('R6追加前'!A:A,B289)=0,IF(OR(I289="PremiumSS",I289="PremiumSSw"),"R5only","R3less"),"")</f>
        <v>R3less</v>
      </c>
      <c r="F289" s="7" t="str">
        <f>IF(COUNTIF('R6開放'!A:A,B289)&gt;0,"R6release","")</f>
        <v/>
      </c>
      <c r="G289" s="7"/>
      <c r="H289" s="7" t="str">
        <f>VLOOKUP(B289,[1]characters!$A:$C,3,FALSE)</f>
        <v>豹魔の侠客 フラウロス</v>
      </c>
      <c r="I289" s="7" t="str">
        <f>VLOOKUP(B289,[1]characters!$A:$J,10,FALSE)</f>
        <v>PremiumS</v>
      </c>
      <c r="J289" s="7">
        <f>VLOOKUP(B289,[1]characters!$A:$I,9,FALSE)</f>
        <v>5</v>
      </c>
      <c r="K289" s="7" t="str">
        <f>VLOOKUP(B289,[1]characters!$A:$H,8,FALSE)</f>
        <v>yellow</v>
      </c>
      <c r="L289" s="7" t="str">
        <f>VLOOKUP(B289,[1]characters!$A:$K,11,FALSE)</f>
        <v>attack</v>
      </c>
      <c r="M289" s="7" t="str">
        <f>VLOOKUP(B289,[1]characters!$A:$M,13,FALSE)</f>
        <v>animal</v>
      </c>
      <c r="N289" s="7" t="str">
        <f>VLOOKUP(B289,[1]characters!$A:$G,7,FALSE)</f>
        <v>男性</v>
      </c>
      <c r="O289" s="45">
        <f ca="1">IFERROR(VLOOKUP(B289,input_586100!L:R,7,FALSE),VLOOKUP(tables_586100!C289,input_586100!A:H,8,FALSE))</f>
        <v>121940</v>
      </c>
      <c r="P289" s="46">
        <f t="shared" ca="1" si="16"/>
        <v>9.4791666666430984E-4</v>
      </c>
      <c r="Q289" s="30">
        <v>1</v>
      </c>
      <c r="R289" s="30">
        <v>0</v>
      </c>
      <c r="S289" s="30">
        <v>0</v>
      </c>
      <c r="T289" s="30">
        <v>0</v>
      </c>
      <c r="U289" s="30">
        <v>0</v>
      </c>
      <c r="V289" s="30">
        <v>1</v>
      </c>
    </row>
    <row r="290" spans="1:22" ht="21" customHeight="1" x14ac:dyDescent="0.15">
      <c r="A290" s="2" t="str">
        <f ca="1">input_586100!A$2</f>
        <v>586100</v>
      </c>
      <c r="B290" s="5">
        <v>862</v>
      </c>
      <c r="C290" s="7" t="str">
        <f t="shared" si="17"/>
        <v>Premium4R3less</v>
      </c>
      <c r="D290" s="7" t="str">
        <f t="shared" si="18"/>
        <v>Premium</v>
      </c>
      <c r="E290" s="7" t="str">
        <f>IF(COUNTIF('R6追加前'!A:A,B290)=0,IF(OR(I290="PremiumSS",I290="PremiumSSw"),"R5only","R3less"),"")</f>
        <v>R3less</v>
      </c>
      <c r="F290" s="7" t="str">
        <f>IF(COUNTIF('R6開放'!A:A,B290)&gt;0,"R6release","")</f>
        <v/>
      </c>
      <c r="G290" s="7"/>
      <c r="H290" s="7" t="str">
        <f>VLOOKUP(B290,[1]characters!$A:$C,3,FALSE)</f>
        <v>ブレーメン</v>
      </c>
      <c r="I290" s="7" t="str">
        <f>VLOOKUP(B290,[1]characters!$A:$J,10,FALSE)</f>
        <v>PremiumS</v>
      </c>
      <c r="J290" s="7">
        <f>VLOOKUP(B290,[1]characters!$A:$I,9,FALSE)</f>
        <v>4</v>
      </c>
      <c r="K290" s="7" t="str">
        <f>VLOOKUP(B290,[1]characters!$A:$H,8,FALSE)</f>
        <v>red</v>
      </c>
      <c r="L290" s="7" t="str">
        <f>VLOOKUP(B290,[1]characters!$A:$K,11,FALSE)</f>
        <v>balance</v>
      </c>
      <c r="M290" s="7" t="str">
        <f>VLOOKUP(B290,[1]characters!$A:$M,13,FALSE)</f>
        <v>animal</v>
      </c>
      <c r="N290" s="7" t="str">
        <f>VLOOKUP(B290,[1]characters!$A:$G,7,FALSE)</f>
        <v>男性</v>
      </c>
      <c r="O290" s="45">
        <f ca="1">IFERROR(VLOOKUP(B290,input_586100!L:R,7,FALSE),VLOOKUP(tables_586100!C290,input_586100!A:H,8,FALSE))</f>
        <v>1060878</v>
      </c>
      <c r="P290" s="46">
        <f t="shared" ca="1" si="16"/>
        <v>8.2468749999794963E-3</v>
      </c>
      <c r="Q290" s="30">
        <v>1</v>
      </c>
      <c r="R290" s="30">
        <v>0</v>
      </c>
      <c r="S290" s="30">
        <v>0</v>
      </c>
      <c r="T290" s="30">
        <v>0</v>
      </c>
      <c r="U290" s="30">
        <v>0</v>
      </c>
      <c r="V290" s="30">
        <v>1</v>
      </c>
    </row>
    <row r="291" spans="1:22" ht="21" customHeight="1" x14ac:dyDescent="0.15">
      <c r="A291" s="2" t="str">
        <f ca="1">input_586100!A$2</f>
        <v>586100</v>
      </c>
      <c r="B291" s="5">
        <v>863</v>
      </c>
      <c r="C291" s="7" t="str">
        <f t="shared" si="17"/>
        <v>Premium5R3less</v>
      </c>
      <c r="D291" s="7" t="str">
        <f t="shared" si="18"/>
        <v>Premium</v>
      </c>
      <c r="E291" s="7" t="str">
        <f>IF(COUNTIF('R6追加前'!A:A,B291)=0,IF(OR(I291="PremiumSS",I291="PremiumSSw"),"R5only","R3less"),"")</f>
        <v>R3less</v>
      </c>
      <c r="F291" s="7" t="str">
        <f>IF(COUNTIF('R6開放'!A:A,B291)&gt;0,"R6release","")</f>
        <v/>
      </c>
      <c r="G291" s="7"/>
      <c r="H291" s="7" t="str">
        <f>VLOOKUP(B291,[1]characters!$A:$C,3,FALSE)</f>
        <v>歓揮の楽団長 ブレーメン</v>
      </c>
      <c r="I291" s="7" t="str">
        <f>VLOOKUP(B291,[1]characters!$A:$J,10,FALSE)</f>
        <v>PremiumS</v>
      </c>
      <c r="J291" s="7">
        <f>VLOOKUP(B291,[1]characters!$A:$I,9,FALSE)</f>
        <v>5</v>
      </c>
      <c r="K291" s="7" t="str">
        <f>VLOOKUP(B291,[1]characters!$A:$H,8,FALSE)</f>
        <v>red</v>
      </c>
      <c r="L291" s="7" t="str">
        <f>VLOOKUP(B291,[1]characters!$A:$K,11,FALSE)</f>
        <v>balance</v>
      </c>
      <c r="M291" s="7" t="str">
        <f>VLOOKUP(B291,[1]characters!$A:$M,13,FALSE)</f>
        <v>animal</v>
      </c>
      <c r="N291" s="7" t="str">
        <f>VLOOKUP(B291,[1]characters!$A:$G,7,FALSE)</f>
        <v>男性</v>
      </c>
      <c r="O291" s="45">
        <f ca="1">IFERROR(VLOOKUP(B291,input_586100!L:R,7,FALSE),VLOOKUP(tables_586100!C291,input_586100!A:H,8,FALSE))</f>
        <v>121940</v>
      </c>
      <c r="P291" s="46">
        <f t="shared" ca="1" si="16"/>
        <v>9.4791666666430984E-4</v>
      </c>
      <c r="Q291" s="30">
        <v>1</v>
      </c>
      <c r="R291" s="30">
        <v>0</v>
      </c>
      <c r="S291" s="30">
        <v>0</v>
      </c>
      <c r="T291" s="30">
        <v>0</v>
      </c>
      <c r="U291" s="30">
        <v>0</v>
      </c>
      <c r="V291" s="30">
        <v>1</v>
      </c>
    </row>
    <row r="292" spans="1:22" ht="21" customHeight="1" x14ac:dyDescent="0.15">
      <c r="A292" s="2" t="str">
        <f ca="1">input_586100!A$2</f>
        <v>586100</v>
      </c>
      <c r="B292" s="5">
        <v>864</v>
      </c>
      <c r="C292" s="7" t="str">
        <f t="shared" si="17"/>
        <v>Premium4R3less</v>
      </c>
      <c r="D292" s="7" t="str">
        <f t="shared" si="18"/>
        <v>Premium</v>
      </c>
      <c r="E292" s="7" t="str">
        <f>IF(COUNTIF('R6追加前'!A:A,B292)=0,IF(OR(I292="PremiumSS",I292="PremiumSSw"),"R5only","R3less"),"")</f>
        <v>R3less</v>
      </c>
      <c r="F292" s="7" t="str">
        <f>IF(COUNTIF('R6開放'!A:A,B292)&gt;0,"R6release","")</f>
        <v/>
      </c>
      <c r="G292" s="7"/>
      <c r="H292" s="7" t="str">
        <f>VLOOKUP(B292,[1]characters!$A:$C,3,FALSE)</f>
        <v>ピノキオ</v>
      </c>
      <c r="I292" s="7" t="str">
        <f>VLOOKUP(B292,[1]characters!$A:$J,10,FALSE)</f>
        <v>PremiumS</v>
      </c>
      <c r="J292" s="7">
        <f>VLOOKUP(B292,[1]characters!$A:$I,9,FALSE)</f>
        <v>4</v>
      </c>
      <c r="K292" s="7" t="str">
        <f>VLOOKUP(B292,[1]characters!$A:$H,8,FALSE)</f>
        <v>green</v>
      </c>
      <c r="L292" s="7" t="str">
        <f>VLOOKUP(B292,[1]characters!$A:$K,11,FALSE)</f>
        <v>attack</v>
      </c>
      <c r="M292" s="7" t="str">
        <f>VLOOKUP(B292,[1]characters!$A:$M,13,FALSE)</f>
        <v>machine</v>
      </c>
      <c r="N292" s="7" t="str">
        <f>VLOOKUP(B292,[1]characters!$A:$G,7,FALSE)</f>
        <v>男性</v>
      </c>
      <c r="O292" s="45">
        <f ca="1">IFERROR(VLOOKUP(B292,input_586100!L:R,7,FALSE),VLOOKUP(tables_586100!C292,input_586100!A:H,8,FALSE))</f>
        <v>1060878</v>
      </c>
      <c r="P292" s="46">
        <f t="shared" ca="1" si="16"/>
        <v>8.2468749999794963E-3</v>
      </c>
      <c r="Q292" s="30">
        <v>1</v>
      </c>
      <c r="R292" s="30">
        <v>0</v>
      </c>
      <c r="S292" s="30">
        <v>0</v>
      </c>
      <c r="T292" s="30">
        <v>0</v>
      </c>
      <c r="U292" s="30">
        <v>0</v>
      </c>
      <c r="V292" s="30">
        <v>1</v>
      </c>
    </row>
    <row r="293" spans="1:22" ht="21" customHeight="1" x14ac:dyDescent="0.15">
      <c r="A293" s="2" t="str">
        <f ca="1">input_586100!A$2</f>
        <v>586100</v>
      </c>
      <c r="B293" s="5">
        <v>865</v>
      </c>
      <c r="C293" s="7" t="str">
        <f t="shared" si="17"/>
        <v>Premium5R3less</v>
      </c>
      <c r="D293" s="7" t="str">
        <f t="shared" si="18"/>
        <v>Premium</v>
      </c>
      <c r="E293" s="7" t="str">
        <f>IF(COUNTIF('R6追加前'!A:A,B293)=0,IF(OR(I293="PremiumSS",I293="PremiumSSw"),"R5only","R3less"),"")</f>
        <v>R3less</v>
      </c>
      <c r="F293" s="7" t="str">
        <f>IF(COUNTIF('R6開放'!A:A,B293)&gt;0,"R6release","")</f>
        <v/>
      </c>
      <c r="G293" s="7"/>
      <c r="H293" s="7" t="str">
        <f>VLOOKUP(B293,[1]characters!$A:$C,3,FALSE)</f>
        <v>無情の感線 ピノキオ</v>
      </c>
      <c r="I293" s="7" t="str">
        <f>VLOOKUP(B293,[1]characters!$A:$J,10,FALSE)</f>
        <v>PremiumS</v>
      </c>
      <c r="J293" s="7">
        <f>VLOOKUP(B293,[1]characters!$A:$I,9,FALSE)</f>
        <v>5</v>
      </c>
      <c r="K293" s="7" t="str">
        <f>VLOOKUP(B293,[1]characters!$A:$H,8,FALSE)</f>
        <v>green</v>
      </c>
      <c r="L293" s="7" t="str">
        <f>VLOOKUP(B293,[1]characters!$A:$K,11,FALSE)</f>
        <v>attack</v>
      </c>
      <c r="M293" s="7" t="str">
        <f>VLOOKUP(B293,[1]characters!$A:$M,13,FALSE)</f>
        <v>machine</v>
      </c>
      <c r="N293" s="7" t="str">
        <f>VLOOKUP(B293,[1]characters!$A:$G,7,FALSE)</f>
        <v>男性</v>
      </c>
      <c r="O293" s="45">
        <f ca="1">IFERROR(VLOOKUP(B293,input_586100!L:R,7,FALSE),VLOOKUP(tables_586100!C293,input_586100!A:H,8,FALSE))</f>
        <v>121940</v>
      </c>
      <c r="P293" s="46">
        <f t="shared" ca="1" si="16"/>
        <v>9.4791666666430984E-4</v>
      </c>
      <c r="Q293" s="30">
        <v>1</v>
      </c>
      <c r="R293" s="30">
        <v>0</v>
      </c>
      <c r="S293" s="30">
        <v>0</v>
      </c>
      <c r="T293" s="30">
        <v>0</v>
      </c>
      <c r="U293" s="30">
        <v>0</v>
      </c>
      <c r="V293" s="30">
        <v>1</v>
      </c>
    </row>
    <row r="294" spans="1:22" ht="21" customHeight="1" x14ac:dyDescent="0.15">
      <c r="A294" s="2" t="str">
        <f ca="1">input_586100!A$2</f>
        <v>586100</v>
      </c>
      <c r="B294" s="5">
        <v>866</v>
      </c>
      <c r="C294" s="7" t="str">
        <f t="shared" si="17"/>
        <v>PremiumSS5R5only</v>
      </c>
      <c r="D294" s="7" t="str">
        <f t="shared" si="18"/>
        <v>PremiumSS</v>
      </c>
      <c r="E294" s="7" t="str">
        <f>IF(COUNTIF('R6追加前'!A:A,B294)=0,IF(OR(I294="PremiumSS",I294="PremiumSSw"),"R5only","R3less"),"")</f>
        <v>R5only</v>
      </c>
      <c r="F294" s="7" t="str">
        <f>IF(COUNTIF('R6開放'!A:A,B294)&gt;0,"R6release","")</f>
        <v/>
      </c>
      <c r="G294" s="7"/>
      <c r="H294" s="7" t="str">
        <f>VLOOKUP(B294,[1]characters!$A:$C,3,FALSE)</f>
        <v>無敗の司令姫 白雪姫</v>
      </c>
      <c r="I294" s="7" t="str">
        <f>VLOOKUP(B294,[1]characters!$A:$J,10,FALSE)</f>
        <v>PremiumSS</v>
      </c>
      <c r="J294" s="7">
        <f>VLOOKUP(B294,[1]characters!$A:$I,9,FALSE)</f>
        <v>5</v>
      </c>
      <c r="K294" s="7" t="str">
        <f>VLOOKUP(B294,[1]characters!$A:$H,8,FALSE)</f>
        <v>blue</v>
      </c>
      <c r="L294" s="7" t="str">
        <f>VLOOKUP(B294,[1]characters!$A:$K,11,FALSE)</f>
        <v>balance</v>
      </c>
      <c r="M294" s="7" t="str">
        <f>VLOOKUP(B294,[1]characters!$A:$M,13,FALSE)</f>
        <v>human</v>
      </c>
      <c r="N294" s="7" t="str">
        <f>VLOOKUP(B294,[1]characters!$A:$G,7,FALSE)</f>
        <v>男性</v>
      </c>
      <c r="O294" s="45">
        <f ca="1">IFERROR(VLOOKUP(B294,input_586100!L:R,7,FALSE),VLOOKUP(tables_586100!C294,input_586100!A:H,8,FALSE))</f>
        <v>67000</v>
      </c>
      <c r="P294" s="46">
        <f t="shared" ca="1" si="16"/>
        <v>5.2083333333203836E-4</v>
      </c>
      <c r="Q294" s="30">
        <v>1</v>
      </c>
      <c r="R294" s="30">
        <v>0</v>
      </c>
      <c r="S294" s="30">
        <v>0</v>
      </c>
      <c r="T294" s="30">
        <v>0</v>
      </c>
      <c r="U294" s="30">
        <v>0</v>
      </c>
      <c r="V294" s="30">
        <v>1</v>
      </c>
    </row>
    <row r="295" spans="1:22" ht="21" customHeight="1" x14ac:dyDescent="0.15">
      <c r="A295" s="2" t="str">
        <f ca="1">input_586100!A$2</f>
        <v>586100</v>
      </c>
      <c r="B295" s="5">
        <v>868</v>
      </c>
      <c r="C295" s="7" t="str">
        <f t="shared" si="17"/>
        <v>PremiumSS5R5only</v>
      </c>
      <c r="D295" s="7" t="str">
        <f t="shared" si="18"/>
        <v>PremiumSS</v>
      </c>
      <c r="E295" s="7" t="str">
        <f>IF(COUNTIF('R6追加前'!A:A,B295)=0,IF(OR(I295="PremiumSS",I295="PremiumSSw"),"R5only","R3less"),"")</f>
        <v>R5only</v>
      </c>
      <c r="F295" s="7" t="str">
        <f>IF(COUNTIF('R6開放'!A:A,B295)&gt;0,"R6release","")</f>
        <v/>
      </c>
      <c r="G295" s="7"/>
      <c r="H295" s="7" t="str">
        <f>VLOOKUP(B295,[1]characters!$A:$C,3,FALSE)</f>
        <v>アラジンと殲滅機兵LAMP</v>
      </c>
      <c r="I295" s="7" t="str">
        <f>VLOOKUP(B295,[1]characters!$A:$J,10,FALSE)</f>
        <v>PremiumSS</v>
      </c>
      <c r="J295" s="7">
        <f>VLOOKUP(B295,[1]characters!$A:$I,9,FALSE)</f>
        <v>5</v>
      </c>
      <c r="K295" s="7" t="str">
        <f>VLOOKUP(B295,[1]characters!$A:$H,8,FALSE)</f>
        <v>yellow</v>
      </c>
      <c r="L295" s="7" t="str">
        <f>VLOOKUP(B295,[1]characters!$A:$K,11,FALSE)</f>
        <v>hp</v>
      </c>
      <c r="M295" s="7" t="str">
        <f>VLOOKUP(B295,[1]characters!$A:$M,13,FALSE)</f>
        <v>human</v>
      </c>
      <c r="N295" s="7" t="str">
        <f>VLOOKUP(B295,[1]characters!$A:$G,7,FALSE)</f>
        <v>男性</v>
      </c>
      <c r="O295" s="45">
        <f ca="1">IFERROR(VLOOKUP(B295,input_586100!L:R,7,FALSE),VLOOKUP(tables_586100!C295,input_586100!A:H,8,FALSE))</f>
        <v>67000</v>
      </c>
      <c r="P295" s="46">
        <f t="shared" ca="1" si="16"/>
        <v>5.2083333333203836E-4</v>
      </c>
      <c r="Q295" s="30">
        <v>1</v>
      </c>
      <c r="R295" s="30">
        <v>0</v>
      </c>
      <c r="S295" s="30">
        <v>0</v>
      </c>
      <c r="T295" s="30">
        <v>0</v>
      </c>
      <c r="U295" s="30">
        <v>0</v>
      </c>
      <c r="V295" s="30">
        <v>1</v>
      </c>
    </row>
    <row r="296" spans="1:22" ht="21" customHeight="1" x14ac:dyDescent="0.15">
      <c r="A296" s="2" t="str">
        <f ca="1">input_586100!A$2</f>
        <v>586100</v>
      </c>
      <c r="B296" s="5">
        <v>937</v>
      </c>
      <c r="C296" s="7" t="str">
        <f t="shared" si="17"/>
        <v>PremiumSS5R5only</v>
      </c>
      <c r="D296" s="7" t="str">
        <f t="shared" si="18"/>
        <v>PremiumSS</v>
      </c>
      <c r="E296" s="7" t="str">
        <f>IF(COUNTIF('R6追加前'!A:A,B296)=0,IF(OR(I296="PremiumSS",I296="PremiumSSw"),"R5only","R3less"),"")</f>
        <v>R5only</v>
      </c>
      <c r="F296" s="7" t="str">
        <f>IF(COUNTIF('R6開放'!A:A,B296)&gt;0,"R6release","")</f>
        <v/>
      </c>
      <c r="G296" s="7"/>
      <c r="H296" s="7" t="str">
        <f>VLOOKUP(B296,[1]characters!$A:$C,3,FALSE)</f>
        <v>ナポレオン</v>
      </c>
      <c r="I296" s="7" t="str">
        <f>VLOOKUP(B296,[1]characters!$A:$J,10,FALSE)</f>
        <v>PremiumSS</v>
      </c>
      <c r="J296" s="7">
        <f>VLOOKUP(B296,[1]characters!$A:$I,9,FALSE)</f>
        <v>5</v>
      </c>
      <c r="K296" s="7" t="str">
        <f>VLOOKUP(B296,[1]characters!$A:$H,8,FALSE)</f>
        <v>red</v>
      </c>
      <c r="L296" s="7" t="str">
        <f>VLOOKUP(B296,[1]characters!$A:$K,11,FALSE)</f>
        <v>balance</v>
      </c>
      <c r="M296" s="7" t="str">
        <f>VLOOKUP(B296,[1]characters!$A:$M,13,FALSE)</f>
        <v>human</v>
      </c>
      <c r="N296" s="7" t="str">
        <f>VLOOKUP(B296,[1]characters!$A:$G,7,FALSE)</f>
        <v>男性</v>
      </c>
      <c r="O296" s="45">
        <f ca="1">IFERROR(VLOOKUP(B296,input_586100!L:R,7,FALSE),VLOOKUP(tables_586100!C296,input_586100!A:H,8,FALSE))</f>
        <v>67000</v>
      </c>
      <c r="P296" s="46">
        <f t="shared" ca="1" si="16"/>
        <v>5.2083333333203836E-4</v>
      </c>
      <c r="Q296" s="30">
        <v>1</v>
      </c>
      <c r="R296" s="30">
        <v>0</v>
      </c>
      <c r="S296" s="30">
        <v>0</v>
      </c>
      <c r="T296" s="30">
        <v>0</v>
      </c>
      <c r="U296" s="30">
        <v>0</v>
      </c>
      <c r="V296" s="30">
        <v>1</v>
      </c>
    </row>
    <row r="297" spans="1:22" ht="21" customHeight="1" x14ac:dyDescent="0.15">
      <c r="A297" s="2" t="str">
        <f ca="1">input_586100!A$2</f>
        <v>586100</v>
      </c>
      <c r="B297" s="5">
        <v>939</v>
      </c>
      <c r="C297" s="7" t="str">
        <f t="shared" si="17"/>
        <v>Premium4R3less</v>
      </c>
      <c r="D297" s="7" t="str">
        <f t="shared" si="18"/>
        <v>Premium</v>
      </c>
      <c r="E297" s="7" t="str">
        <f>IF(COUNTIF('R6追加前'!A:A,B297)=0,IF(OR(I297="PremiumSS",I297="PremiumSSw"),"R5only","R3less"),"")</f>
        <v>R3less</v>
      </c>
      <c r="F297" s="7" t="str">
        <f>IF(COUNTIF('R6開放'!A:A,B297)&gt;0,"R6release","")</f>
        <v/>
      </c>
      <c r="G297" s="7"/>
      <c r="H297" s="7" t="str">
        <f>VLOOKUP(B297,[1]characters!$A:$C,3,FALSE)</f>
        <v>バスティーユ</v>
      </c>
      <c r="I297" s="7" t="str">
        <f>VLOOKUP(B297,[1]characters!$A:$J,10,FALSE)</f>
        <v>PremiumS</v>
      </c>
      <c r="J297" s="7">
        <f>VLOOKUP(B297,[1]characters!$A:$I,9,FALSE)</f>
        <v>4</v>
      </c>
      <c r="K297" s="7" t="str">
        <f>VLOOKUP(B297,[1]characters!$A:$H,8,FALSE)</f>
        <v>green</v>
      </c>
      <c r="L297" s="7" t="str">
        <f>VLOOKUP(B297,[1]characters!$A:$K,11,FALSE)</f>
        <v>hp</v>
      </c>
      <c r="M297" s="7" t="str">
        <f>VLOOKUP(B297,[1]characters!$A:$M,13,FALSE)</f>
        <v>unknown</v>
      </c>
      <c r="N297" s="7" t="str">
        <f>VLOOKUP(B297,[1]characters!$A:$G,7,FALSE)</f>
        <v>男性</v>
      </c>
      <c r="O297" s="45">
        <f ca="1">IFERROR(VLOOKUP(B297,input_586100!L:R,7,FALSE),VLOOKUP(tables_586100!C297,input_586100!A:H,8,FALSE))</f>
        <v>1060878</v>
      </c>
      <c r="P297" s="46">
        <f t="shared" ca="1" si="16"/>
        <v>8.2468749999794963E-3</v>
      </c>
      <c r="Q297" s="30">
        <v>1</v>
      </c>
      <c r="R297" s="30">
        <v>0</v>
      </c>
      <c r="S297" s="30">
        <v>0</v>
      </c>
      <c r="T297" s="30">
        <v>0</v>
      </c>
      <c r="U297" s="30">
        <v>0</v>
      </c>
      <c r="V297" s="30">
        <v>1</v>
      </c>
    </row>
    <row r="298" spans="1:22" ht="21" customHeight="1" x14ac:dyDescent="0.15">
      <c r="A298" s="2" t="str">
        <f ca="1">input_586100!A$2</f>
        <v>586100</v>
      </c>
      <c r="B298" s="5">
        <v>940</v>
      </c>
      <c r="C298" s="7" t="str">
        <f t="shared" si="17"/>
        <v>Premium5R3less</v>
      </c>
      <c r="D298" s="7" t="str">
        <f t="shared" si="18"/>
        <v>Premium</v>
      </c>
      <c r="E298" s="7" t="str">
        <f>IF(COUNTIF('R6追加前'!A:A,B298)=0,IF(OR(I298="PremiumSS",I298="PremiumSSw"),"R5only","R3less"),"")</f>
        <v>R3less</v>
      </c>
      <c r="F298" s="7" t="str">
        <f>IF(COUNTIF('R6開放'!A:A,B298)&gt;0,"R6release","")</f>
        <v/>
      </c>
      <c r="G298" s="7"/>
      <c r="H298" s="7" t="str">
        <f>VLOOKUP(B298,[1]characters!$A:$C,3,FALSE)</f>
        <v>不壊の大要塞 バスティーユ</v>
      </c>
      <c r="I298" s="7" t="str">
        <f>VLOOKUP(B298,[1]characters!$A:$J,10,FALSE)</f>
        <v>PremiumS</v>
      </c>
      <c r="J298" s="7">
        <f>VLOOKUP(B298,[1]characters!$A:$I,9,FALSE)</f>
        <v>5</v>
      </c>
      <c r="K298" s="7" t="str">
        <f>VLOOKUP(B298,[1]characters!$A:$H,8,FALSE)</f>
        <v>green</v>
      </c>
      <c r="L298" s="7" t="str">
        <f>VLOOKUP(B298,[1]characters!$A:$K,11,FALSE)</f>
        <v>hp</v>
      </c>
      <c r="M298" s="7" t="str">
        <f>VLOOKUP(B298,[1]characters!$A:$M,13,FALSE)</f>
        <v>unknown</v>
      </c>
      <c r="N298" s="7" t="str">
        <f>VLOOKUP(B298,[1]characters!$A:$G,7,FALSE)</f>
        <v>男性</v>
      </c>
      <c r="O298" s="45">
        <f ca="1">IFERROR(VLOOKUP(B298,input_586100!L:R,7,FALSE),VLOOKUP(tables_586100!C298,input_586100!A:H,8,FALSE))</f>
        <v>121940</v>
      </c>
      <c r="P298" s="46">
        <f t="shared" ca="1" si="16"/>
        <v>9.4791666666430984E-4</v>
      </c>
      <c r="Q298" s="30">
        <v>1</v>
      </c>
      <c r="R298" s="30">
        <v>0</v>
      </c>
      <c r="S298" s="30">
        <v>0</v>
      </c>
      <c r="T298" s="30">
        <v>0</v>
      </c>
      <c r="U298" s="30">
        <v>0</v>
      </c>
      <c r="V298" s="30">
        <v>1</v>
      </c>
    </row>
    <row r="299" spans="1:22" ht="21" customHeight="1" x14ac:dyDescent="0.15">
      <c r="A299" s="2" t="str">
        <f ca="1">input_586100!A$2</f>
        <v>586100</v>
      </c>
      <c r="B299" s="5">
        <v>941</v>
      </c>
      <c r="C299" s="7" t="str">
        <f t="shared" si="17"/>
        <v>PremiumSS5R5only</v>
      </c>
      <c r="D299" s="7" t="str">
        <f t="shared" si="18"/>
        <v>PremiumSS</v>
      </c>
      <c r="E299" s="7" t="str">
        <f>IF(COUNTIF('R6追加前'!A:A,B299)=0,IF(OR(I299="PremiumSS",I299="PremiumSSw"),"R5only","R3less"),"")</f>
        <v>R5only</v>
      </c>
      <c r="F299" s="7" t="str">
        <f>IF(COUNTIF('R6開放'!A:A,B299)&gt;0,"R6release","")</f>
        <v/>
      </c>
      <c r="G299" s="7"/>
      <c r="H299" s="7" t="str">
        <f>VLOOKUP(B299,[1]characters!$A:$C,3,FALSE)</f>
        <v>アントワネット</v>
      </c>
      <c r="I299" s="7" t="str">
        <f>VLOOKUP(B299,[1]characters!$A:$J,10,FALSE)</f>
        <v>PremiumSS</v>
      </c>
      <c r="J299" s="7">
        <f>VLOOKUP(B299,[1]characters!$A:$I,9,FALSE)</f>
        <v>5</v>
      </c>
      <c r="K299" s="7" t="str">
        <f>VLOOKUP(B299,[1]characters!$A:$H,8,FALSE)</f>
        <v>blue</v>
      </c>
      <c r="L299" s="7" t="str">
        <f>VLOOKUP(B299,[1]characters!$A:$K,11,FALSE)</f>
        <v>technical</v>
      </c>
      <c r="M299" s="7" t="str">
        <f>VLOOKUP(B299,[1]characters!$A:$M,13,FALSE)</f>
        <v>human</v>
      </c>
      <c r="N299" s="7" t="str">
        <f>VLOOKUP(B299,[1]characters!$A:$G,7,FALSE)</f>
        <v>男性</v>
      </c>
      <c r="O299" s="45">
        <f ca="1">IFERROR(VLOOKUP(B299,input_586100!L:R,7,FALSE),VLOOKUP(tables_586100!C299,input_586100!A:H,8,FALSE))</f>
        <v>67000</v>
      </c>
      <c r="P299" s="46">
        <f t="shared" ca="1" si="16"/>
        <v>5.2083333333203836E-4</v>
      </c>
      <c r="Q299" s="30">
        <v>1</v>
      </c>
      <c r="R299" s="30">
        <v>0</v>
      </c>
      <c r="S299" s="30">
        <v>0</v>
      </c>
      <c r="T299" s="30">
        <v>0</v>
      </c>
      <c r="U299" s="30">
        <v>0</v>
      </c>
      <c r="V299" s="30">
        <v>1</v>
      </c>
    </row>
    <row r="300" spans="1:22" ht="21" customHeight="1" x14ac:dyDescent="0.15">
      <c r="A300" s="2" t="str">
        <f ca="1">input_586100!A$2</f>
        <v>586100</v>
      </c>
      <c r="B300" s="5">
        <v>943</v>
      </c>
      <c r="C300" s="7" t="str">
        <f t="shared" si="17"/>
        <v>PremiumSS5R5only</v>
      </c>
      <c r="D300" s="7" t="str">
        <f t="shared" si="18"/>
        <v>PremiumSS</v>
      </c>
      <c r="E300" s="7" t="str">
        <f>IF(COUNTIF('R6追加前'!A:A,B300)=0,IF(OR(I300="PremiumSS",I300="PremiumSSw"),"R5only","R3less"),"")</f>
        <v>R5only</v>
      </c>
      <c r="F300" s="7" t="str">
        <f>IF(COUNTIF('R6開放'!A:A,B300)&gt;0,"R6release","")</f>
        <v/>
      </c>
      <c r="G300" s="7"/>
      <c r="H300" s="7" t="str">
        <f>VLOOKUP(B300,[1]characters!$A:$C,3,FALSE)</f>
        <v>サンソン</v>
      </c>
      <c r="I300" s="7" t="str">
        <f>VLOOKUP(B300,[1]characters!$A:$J,10,FALSE)</f>
        <v>PremiumSS</v>
      </c>
      <c r="J300" s="7">
        <f>VLOOKUP(B300,[1]characters!$A:$I,9,FALSE)</f>
        <v>5</v>
      </c>
      <c r="K300" s="7" t="str">
        <f>VLOOKUP(B300,[1]characters!$A:$H,8,FALSE)</f>
        <v>yellow</v>
      </c>
      <c r="L300" s="7" t="str">
        <f>VLOOKUP(B300,[1]characters!$A:$K,11,FALSE)</f>
        <v>attack</v>
      </c>
      <c r="M300" s="7" t="str">
        <f>VLOOKUP(B300,[1]characters!$A:$M,13,FALSE)</f>
        <v>human</v>
      </c>
      <c r="N300" s="7" t="str">
        <f>VLOOKUP(B300,[1]characters!$A:$G,7,FALSE)</f>
        <v>男性</v>
      </c>
      <c r="O300" s="45">
        <f ca="1">IFERROR(VLOOKUP(B300,input_586100!L:R,7,FALSE),VLOOKUP(tables_586100!C300,input_586100!A:H,8,FALSE))</f>
        <v>67000</v>
      </c>
      <c r="P300" s="46">
        <f t="shared" ca="1" si="16"/>
        <v>5.2083333333203836E-4</v>
      </c>
      <c r="Q300" s="30">
        <v>1</v>
      </c>
      <c r="R300" s="30">
        <v>0</v>
      </c>
      <c r="S300" s="30">
        <v>0</v>
      </c>
      <c r="T300" s="30">
        <v>0</v>
      </c>
      <c r="U300" s="30">
        <v>0</v>
      </c>
      <c r="V300" s="30">
        <v>1</v>
      </c>
    </row>
    <row r="301" spans="1:22" ht="21" customHeight="1" x14ac:dyDescent="0.15">
      <c r="A301" s="2" t="str">
        <f ca="1">input_586100!A$2</f>
        <v>586100</v>
      </c>
      <c r="B301" s="5">
        <v>1012</v>
      </c>
      <c r="C301" s="7" t="str">
        <f t="shared" si="17"/>
        <v>PremiumSS5R5only</v>
      </c>
      <c r="D301" s="7" t="str">
        <f t="shared" si="18"/>
        <v>PremiumSS</v>
      </c>
      <c r="E301" s="7" t="str">
        <f>IF(COUNTIF('R6追加前'!A:A,B301)=0,IF(OR(I301="PremiumSS",I301="PremiumSSw"),"R5only","R3less"),"")</f>
        <v>R5only</v>
      </c>
      <c r="F301" s="7" t="str">
        <f>IF(COUNTIF('R6開放'!A:A,B301)&gt;0,"R6release","")</f>
        <v/>
      </c>
      <c r="G301" s="7"/>
      <c r="H301" s="7" t="str">
        <f>VLOOKUP(B301,[1]characters!$A:$C,3,FALSE)</f>
        <v>ラー</v>
      </c>
      <c r="I301" s="7" t="str">
        <f>VLOOKUP(B301,[1]characters!$A:$J,10,FALSE)</f>
        <v>PremiumSS</v>
      </c>
      <c r="J301" s="7">
        <f>VLOOKUP(B301,[1]characters!$A:$I,9,FALSE)</f>
        <v>5</v>
      </c>
      <c r="K301" s="7" t="str">
        <f>VLOOKUP(B301,[1]characters!$A:$H,8,FALSE)</f>
        <v>red</v>
      </c>
      <c r="L301" s="7" t="str">
        <f>VLOOKUP(B301,[1]characters!$A:$K,11,FALSE)</f>
        <v>balance</v>
      </c>
      <c r="M301" s="7" t="str">
        <f>VLOOKUP(B301,[1]characters!$A:$M,13,FALSE)</f>
        <v>god</v>
      </c>
      <c r="N301" s="7" t="str">
        <f>VLOOKUP(B301,[1]characters!$A:$G,7,FALSE)</f>
        <v>男性</v>
      </c>
      <c r="O301" s="45">
        <f ca="1">IFERROR(VLOOKUP(B301,input_586100!L:R,7,FALSE),VLOOKUP(tables_586100!C301,input_586100!A:H,8,FALSE))</f>
        <v>67000</v>
      </c>
      <c r="P301" s="46">
        <f t="shared" ca="1" si="16"/>
        <v>5.2083333333203836E-4</v>
      </c>
      <c r="Q301" s="30">
        <v>1</v>
      </c>
      <c r="R301" s="30">
        <v>0</v>
      </c>
      <c r="S301" s="30">
        <v>0</v>
      </c>
      <c r="T301" s="30">
        <v>0</v>
      </c>
      <c r="U301" s="30">
        <v>0</v>
      </c>
      <c r="V301" s="30">
        <v>1</v>
      </c>
    </row>
    <row r="302" spans="1:22" ht="21" customHeight="1" x14ac:dyDescent="0.15">
      <c r="A302" s="2" t="str">
        <f ca="1">input_586100!A$2</f>
        <v>586100</v>
      </c>
      <c r="B302" s="5">
        <v>1014</v>
      </c>
      <c r="C302" s="7" t="str">
        <f t="shared" si="17"/>
        <v>PremiumSS5R5only</v>
      </c>
      <c r="D302" s="7" t="str">
        <f t="shared" si="18"/>
        <v>PremiumSS</v>
      </c>
      <c r="E302" s="7" t="str">
        <f>IF(COUNTIF('R6追加前'!A:A,B302)=0,IF(OR(I302="PremiumSS",I302="PremiumSSw"),"R5only","R3less"),"")</f>
        <v>R5only</v>
      </c>
      <c r="F302" s="7" t="str">
        <f>IF(COUNTIF('R6開放'!A:A,B302)&gt;0,"R6release","")</f>
        <v/>
      </c>
      <c r="G302" s="7"/>
      <c r="H302" s="7" t="str">
        <f>VLOOKUP(B302,[1]characters!$A:$C,3,FALSE)</f>
        <v>イシス</v>
      </c>
      <c r="I302" s="7" t="str">
        <f>VLOOKUP(B302,[1]characters!$A:$J,10,FALSE)</f>
        <v>PremiumSS</v>
      </c>
      <c r="J302" s="7">
        <f>VLOOKUP(B302,[1]characters!$A:$I,9,FALSE)</f>
        <v>5</v>
      </c>
      <c r="K302" s="7" t="str">
        <f>VLOOKUP(B302,[1]characters!$A:$H,8,FALSE)</f>
        <v>green</v>
      </c>
      <c r="L302" s="7" t="str">
        <f>VLOOKUP(B302,[1]characters!$A:$K,11,FALSE)</f>
        <v>hp</v>
      </c>
      <c r="M302" s="7" t="str">
        <f>VLOOKUP(B302,[1]characters!$A:$M,13,FALSE)</f>
        <v>god</v>
      </c>
      <c r="N302" s="7" t="str">
        <f>VLOOKUP(B302,[1]characters!$A:$G,7,FALSE)</f>
        <v>男性</v>
      </c>
      <c r="O302" s="45">
        <f ca="1">IFERROR(VLOOKUP(B302,input_586100!L:R,7,FALSE),VLOOKUP(tables_586100!C302,input_586100!A:H,8,FALSE))</f>
        <v>67000</v>
      </c>
      <c r="P302" s="46">
        <f t="shared" ca="1" si="16"/>
        <v>5.2083333333203836E-4</v>
      </c>
      <c r="Q302" s="30">
        <v>1</v>
      </c>
      <c r="R302" s="30">
        <v>0</v>
      </c>
      <c r="S302" s="30">
        <v>0</v>
      </c>
      <c r="T302" s="30">
        <v>0</v>
      </c>
      <c r="U302" s="30">
        <v>0</v>
      </c>
      <c r="V302" s="30">
        <v>1</v>
      </c>
    </row>
    <row r="303" spans="1:22" ht="21" customHeight="1" x14ac:dyDescent="0.15">
      <c r="A303" s="2" t="str">
        <f ca="1">input_586100!A$2</f>
        <v>586100</v>
      </c>
      <c r="B303" s="5">
        <v>1016</v>
      </c>
      <c r="C303" s="7" t="str">
        <f t="shared" si="17"/>
        <v>Premium4R3less</v>
      </c>
      <c r="D303" s="7" t="str">
        <f t="shared" si="18"/>
        <v>Premium</v>
      </c>
      <c r="E303" s="7" t="str">
        <f>IF(COUNTIF('R6追加前'!A:A,B303)=0,IF(OR(I303="PremiumSS",I303="PremiumSSw"),"R5only","R3less"),"")</f>
        <v>R3less</v>
      </c>
      <c r="F303" s="7" t="str">
        <f>IF(COUNTIF('R6開放'!A:A,B303)&gt;0,"R6release","")</f>
        <v/>
      </c>
      <c r="G303" s="7"/>
      <c r="H303" s="7" t="str">
        <f>VLOOKUP(B303,[1]characters!$A:$C,3,FALSE)</f>
        <v>ハトホル</v>
      </c>
      <c r="I303" s="7" t="str">
        <f>VLOOKUP(B303,[1]characters!$A:$J,10,FALSE)</f>
        <v>PremiumS</v>
      </c>
      <c r="J303" s="7">
        <f>VLOOKUP(B303,[1]characters!$A:$I,9,FALSE)</f>
        <v>4</v>
      </c>
      <c r="K303" s="7" t="str">
        <f>VLOOKUP(B303,[1]characters!$A:$H,8,FALSE)</f>
        <v>blue</v>
      </c>
      <c r="L303" s="7" t="str">
        <f>VLOOKUP(B303,[1]characters!$A:$K,11,FALSE)</f>
        <v>heal</v>
      </c>
      <c r="M303" s="7" t="str">
        <f>VLOOKUP(B303,[1]characters!$A:$M,13,FALSE)</f>
        <v>god</v>
      </c>
      <c r="N303" s="7" t="str">
        <f>VLOOKUP(B303,[1]characters!$A:$G,7,FALSE)</f>
        <v>男性</v>
      </c>
      <c r="O303" s="45">
        <f ca="1">IFERROR(VLOOKUP(B303,input_586100!L:R,7,FALSE),VLOOKUP(tables_586100!C303,input_586100!A:H,8,FALSE))</f>
        <v>1060878</v>
      </c>
      <c r="P303" s="46">
        <f t="shared" ca="1" si="16"/>
        <v>8.2468749999794963E-3</v>
      </c>
      <c r="Q303" s="30">
        <v>1</v>
      </c>
      <c r="R303" s="30">
        <v>0</v>
      </c>
      <c r="S303" s="30">
        <v>0</v>
      </c>
      <c r="T303" s="30">
        <v>0</v>
      </c>
      <c r="U303" s="30">
        <v>0</v>
      </c>
      <c r="V303" s="30">
        <v>1</v>
      </c>
    </row>
    <row r="304" spans="1:22" ht="21" customHeight="1" x14ac:dyDescent="0.15">
      <c r="A304" s="2" t="str">
        <f ca="1">input_586100!A$2</f>
        <v>586100</v>
      </c>
      <c r="B304" s="5">
        <v>1017</v>
      </c>
      <c r="C304" s="7" t="str">
        <f t="shared" si="17"/>
        <v>Premium5R3less</v>
      </c>
      <c r="D304" s="7" t="str">
        <f t="shared" si="18"/>
        <v>Premium</v>
      </c>
      <c r="E304" s="7" t="str">
        <f>IF(COUNTIF('R6追加前'!A:A,B304)=0,IF(OR(I304="PremiumSS",I304="PremiumSSw"),"R5only","R3less"),"")</f>
        <v>R3less</v>
      </c>
      <c r="F304" s="7" t="str">
        <f>IF(COUNTIF('R6開放'!A:A,B304)&gt;0,"R6release","")</f>
        <v/>
      </c>
      <c r="G304" s="7"/>
      <c r="H304" s="7" t="str">
        <f>VLOOKUP(B304,[1]characters!$A:$C,3,FALSE)</f>
        <v>命瞳の慈母神 ハトホル</v>
      </c>
      <c r="I304" s="7" t="str">
        <f>VLOOKUP(B304,[1]characters!$A:$J,10,FALSE)</f>
        <v>PremiumS</v>
      </c>
      <c r="J304" s="7">
        <f>VLOOKUP(B304,[1]characters!$A:$I,9,FALSE)</f>
        <v>5</v>
      </c>
      <c r="K304" s="7" t="str">
        <f>VLOOKUP(B304,[1]characters!$A:$H,8,FALSE)</f>
        <v>blue</v>
      </c>
      <c r="L304" s="7" t="str">
        <f>VLOOKUP(B304,[1]characters!$A:$K,11,FALSE)</f>
        <v>heal</v>
      </c>
      <c r="M304" s="7" t="str">
        <f>VLOOKUP(B304,[1]characters!$A:$M,13,FALSE)</f>
        <v>god</v>
      </c>
      <c r="N304" s="7" t="str">
        <f>VLOOKUP(B304,[1]characters!$A:$G,7,FALSE)</f>
        <v>男性</v>
      </c>
      <c r="O304" s="45">
        <f ca="1">IFERROR(VLOOKUP(B304,input_586100!L:R,7,FALSE),VLOOKUP(tables_586100!C304,input_586100!A:H,8,FALSE))</f>
        <v>121940</v>
      </c>
      <c r="P304" s="46">
        <f t="shared" ca="1" si="16"/>
        <v>9.4791666666430984E-4</v>
      </c>
      <c r="Q304" s="30">
        <v>1</v>
      </c>
      <c r="R304" s="30">
        <v>0</v>
      </c>
      <c r="S304" s="30">
        <v>0</v>
      </c>
      <c r="T304" s="30">
        <v>0</v>
      </c>
      <c r="U304" s="30">
        <v>0</v>
      </c>
      <c r="V304" s="30">
        <v>1</v>
      </c>
    </row>
    <row r="305" spans="1:22" ht="21" customHeight="1" x14ac:dyDescent="0.15">
      <c r="A305" s="2" t="str">
        <f ca="1">input_586100!A$2</f>
        <v>586100</v>
      </c>
      <c r="B305" s="5">
        <v>1018</v>
      </c>
      <c r="C305" s="7" t="str">
        <f t="shared" si="17"/>
        <v>PremiumSS5R5only</v>
      </c>
      <c r="D305" s="7" t="str">
        <f t="shared" si="18"/>
        <v>PremiumSS</v>
      </c>
      <c r="E305" s="7" t="str">
        <f>IF(COUNTIF('R6追加前'!A:A,B305)=0,IF(OR(I305="PremiumSS",I305="PremiumSSw"),"R5only","R3less"),"")</f>
        <v>R5only</v>
      </c>
      <c r="F305" s="7" t="str">
        <f>IF(COUNTIF('R6開放'!A:A,B305)&gt;0,"R6release","")</f>
        <v/>
      </c>
      <c r="G305" s="7"/>
      <c r="H305" s="7" t="str">
        <f>VLOOKUP(B305,[1]characters!$A:$C,3,FALSE)</f>
        <v>バステト</v>
      </c>
      <c r="I305" s="7" t="str">
        <f>VLOOKUP(B305,[1]characters!$A:$J,10,FALSE)</f>
        <v>PremiumSS</v>
      </c>
      <c r="J305" s="7">
        <f>VLOOKUP(B305,[1]characters!$A:$I,9,FALSE)</f>
        <v>5</v>
      </c>
      <c r="K305" s="7" t="str">
        <f>VLOOKUP(B305,[1]characters!$A:$H,8,FALSE)</f>
        <v>yellow</v>
      </c>
      <c r="L305" s="7" t="str">
        <f>VLOOKUP(B305,[1]characters!$A:$K,11,FALSE)</f>
        <v>attack</v>
      </c>
      <c r="M305" s="7" t="str">
        <f>VLOOKUP(B305,[1]characters!$A:$M,13,FALSE)</f>
        <v>god</v>
      </c>
      <c r="N305" s="7" t="str">
        <f>VLOOKUP(B305,[1]characters!$A:$G,7,FALSE)</f>
        <v>男性</v>
      </c>
      <c r="O305" s="45">
        <f ca="1">IFERROR(VLOOKUP(B305,input_586100!L:R,7,FALSE),VLOOKUP(tables_586100!C305,input_586100!A:H,8,FALSE))</f>
        <v>67000</v>
      </c>
      <c r="P305" s="46">
        <f t="shared" ca="1" si="16"/>
        <v>5.2083333333203836E-4</v>
      </c>
      <c r="Q305" s="30">
        <v>1</v>
      </c>
      <c r="R305" s="30">
        <v>0</v>
      </c>
      <c r="S305" s="30">
        <v>0</v>
      </c>
      <c r="T305" s="30">
        <v>0</v>
      </c>
      <c r="U305" s="30">
        <v>0</v>
      </c>
      <c r="V305" s="30">
        <v>1</v>
      </c>
    </row>
    <row r="306" spans="1:22" ht="21" customHeight="1" x14ac:dyDescent="0.15">
      <c r="A306" s="2" t="str">
        <f ca="1">input_586100!A$2</f>
        <v>586100</v>
      </c>
      <c r="B306" s="5">
        <v>1026</v>
      </c>
      <c r="C306" s="7" t="str">
        <f t="shared" si="17"/>
        <v>Premium4R3less</v>
      </c>
      <c r="D306" s="7" t="str">
        <f t="shared" si="18"/>
        <v>Premium</v>
      </c>
      <c r="E306" s="7" t="str">
        <f>IF(COUNTIF('R6追加前'!A:A,B306)=0,IF(OR(I306="PremiumSS",I306="PremiumSSw"),"R5only","R3less"),"")</f>
        <v>R3less</v>
      </c>
      <c r="F306" s="7" t="str">
        <f>IF(COUNTIF('R6開放'!A:A,B306)&gt;0,"R6release","")</f>
        <v/>
      </c>
      <c r="G306" s="7"/>
      <c r="H306" s="7" t="str">
        <f>VLOOKUP(B306,[1]characters!$A:$C,3,FALSE)</f>
        <v>蝉丸</v>
      </c>
      <c r="I306" s="7" t="str">
        <f>VLOOKUP(B306,[1]characters!$A:$J,10,FALSE)</f>
        <v>PremiumS</v>
      </c>
      <c r="J306" s="7">
        <f>VLOOKUP(B306,[1]characters!$A:$I,9,FALSE)</f>
        <v>4</v>
      </c>
      <c r="K306" s="7" t="str">
        <f>VLOOKUP(B306,[1]characters!$A:$H,8,FALSE)</f>
        <v>red</v>
      </c>
      <c r="L306" s="7" t="str">
        <f>VLOOKUP(B306,[1]characters!$A:$K,11,FALSE)</f>
        <v>attack</v>
      </c>
      <c r="M306" s="7" t="str">
        <f>VLOOKUP(B306,[1]characters!$A:$M,13,FALSE)</f>
        <v>human</v>
      </c>
      <c r="N306" s="7" t="str">
        <f>VLOOKUP(B306,[1]characters!$A:$G,7,FALSE)</f>
        <v>男性</v>
      </c>
      <c r="O306" s="45">
        <f ca="1">IFERROR(VLOOKUP(B306,input_586100!L:R,7,FALSE),VLOOKUP(tables_586100!C306,input_586100!A:H,8,FALSE))</f>
        <v>1060878</v>
      </c>
      <c r="P306" s="46">
        <f t="shared" ca="1" si="16"/>
        <v>8.2468749999794963E-3</v>
      </c>
      <c r="Q306" s="30">
        <v>1</v>
      </c>
      <c r="R306" s="30">
        <v>0</v>
      </c>
      <c r="S306" s="30">
        <v>0</v>
      </c>
      <c r="T306" s="30">
        <v>0</v>
      </c>
      <c r="U306" s="30">
        <v>0</v>
      </c>
      <c r="V306" s="30">
        <v>1</v>
      </c>
    </row>
    <row r="307" spans="1:22" ht="21" customHeight="1" x14ac:dyDescent="0.15">
      <c r="A307" s="2" t="str">
        <f ca="1">input_586100!A$2</f>
        <v>586100</v>
      </c>
      <c r="B307" s="5">
        <v>1027</v>
      </c>
      <c r="C307" s="7" t="str">
        <f t="shared" si="17"/>
        <v>Premium5R3less</v>
      </c>
      <c r="D307" s="7" t="str">
        <f t="shared" si="18"/>
        <v>Premium</v>
      </c>
      <c r="E307" s="7" t="str">
        <f>IF(COUNTIF('R6追加前'!A:A,B307)=0,IF(OR(I307="PremiumSS",I307="PremiumSSw"),"R5only","R3less"),"")</f>
        <v>R3less</v>
      </c>
      <c r="F307" s="7" t="str">
        <f>IF(COUNTIF('R6開放'!A:A,B307)&gt;0,"R6release","")</f>
        <v/>
      </c>
      <c r="G307" s="7"/>
      <c r="H307" s="7" t="str">
        <f>VLOOKUP(B307,[1]characters!$A:$C,3,FALSE)</f>
        <v>弾丸多重奏 蝉丸</v>
      </c>
      <c r="I307" s="7" t="str">
        <f>VLOOKUP(B307,[1]characters!$A:$J,10,FALSE)</f>
        <v>PremiumS</v>
      </c>
      <c r="J307" s="7">
        <f>VLOOKUP(B307,[1]characters!$A:$I,9,FALSE)</f>
        <v>5</v>
      </c>
      <c r="K307" s="7" t="str">
        <f>VLOOKUP(B307,[1]characters!$A:$H,8,FALSE)</f>
        <v>red</v>
      </c>
      <c r="L307" s="7" t="str">
        <f>VLOOKUP(B307,[1]characters!$A:$K,11,FALSE)</f>
        <v>attack</v>
      </c>
      <c r="M307" s="7" t="str">
        <f>VLOOKUP(B307,[1]characters!$A:$M,13,FALSE)</f>
        <v>human</v>
      </c>
      <c r="N307" s="7" t="str">
        <f>VLOOKUP(B307,[1]characters!$A:$G,7,FALSE)</f>
        <v>男性</v>
      </c>
      <c r="O307" s="45">
        <f ca="1">IFERROR(VLOOKUP(B307,input_586100!L:R,7,FALSE),VLOOKUP(tables_586100!C307,input_586100!A:H,8,FALSE))</f>
        <v>121940</v>
      </c>
      <c r="P307" s="46">
        <f t="shared" ca="1" si="16"/>
        <v>9.4791666666430984E-4</v>
      </c>
      <c r="Q307" s="30">
        <v>1</v>
      </c>
      <c r="R307" s="30">
        <v>0</v>
      </c>
      <c r="S307" s="30">
        <v>0</v>
      </c>
      <c r="T307" s="30">
        <v>0</v>
      </c>
      <c r="U307" s="30">
        <v>0</v>
      </c>
      <c r="V307" s="30">
        <v>1</v>
      </c>
    </row>
    <row r="308" spans="1:22" ht="21" customHeight="1" x14ac:dyDescent="0.15">
      <c r="A308" s="2" t="str">
        <f ca="1">input_586100!A$2</f>
        <v>586100</v>
      </c>
      <c r="B308" s="5">
        <v>1028</v>
      </c>
      <c r="C308" s="7" t="str">
        <f t="shared" si="17"/>
        <v>PremiumSS5R5only</v>
      </c>
      <c r="D308" s="7" t="str">
        <f t="shared" si="18"/>
        <v>PremiumSS</v>
      </c>
      <c r="E308" s="7" t="str">
        <f>IF(COUNTIF('R6追加前'!A:A,B308)=0,IF(OR(I308="PremiumSS",I308="PremiumSSw"),"R5only","R3less"),"")</f>
        <v>R5only</v>
      </c>
      <c r="F308" s="7" t="str">
        <f>IF(COUNTIF('R6開放'!A:A,B308)&gt;0,"R6release","")</f>
        <v/>
      </c>
      <c r="G308" s="7"/>
      <c r="H308" s="7" t="str">
        <f>VLOOKUP(B308,[1]characters!$A:$C,3,FALSE)</f>
        <v>牛若丸</v>
      </c>
      <c r="I308" s="7" t="str">
        <f>VLOOKUP(B308,[1]characters!$A:$J,10,FALSE)</f>
        <v>PremiumSS</v>
      </c>
      <c r="J308" s="7">
        <f>VLOOKUP(B308,[1]characters!$A:$I,9,FALSE)</f>
        <v>5</v>
      </c>
      <c r="K308" s="7" t="str">
        <f>VLOOKUP(B308,[1]characters!$A:$H,8,FALSE)</f>
        <v>green</v>
      </c>
      <c r="L308" s="7" t="str">
        <f>VLOOKUP(B308,[1]characters!$A:$K,11,FALSE)</f>
        <v>balance</v>
      </c>
      <c r="M308" s="7" t="str">
        <f>VLOOKUP(B308,[1]characters!$A:$M,13,FALSE)</f>
        <v>human</v>
      </c>
      <c r="N308" s="7" t="str">
        <f>VLOOKUP(B308,[1]characters!$A:$G,7,FALSE)</f>
        <v>男性</v>
      </c>
      <c r="O308" s="45">
        <f ca="1">IFERROR(VLOOKUP(B308,input_586100!L:R,7,FALSE),VLOOKUP(tables_586100!C308,input_586100!A:H,8,FALSE))</f>
        <v>67000</v>
      </c>
      <c r="P308" s="46">
        <f t="shared" ca="1" si="16"/>
        <v>5.2083333333203836E-4</v>
      </c>
      <c r="Q308" s="30">
        <v>1</v>
      </c>
      <c r="R308" s="30">
        <v>0</v>
      </c>
      <c r="S308" s="30">
        <v>0</v>
      </c>
      <c r="T308" s="30">
        <v>0</v>
      </c>
      <c r="U308" s="30">
        <v>0</v>
      </c>
      <c r="V308" s="30">
        <v>1</v>
      </c>
    </row>
    <row r="309" spans="1:22" ht="21" customHeight="1" x14ac:dyDescent="0.15">
      <c r="A309" s="2" t="str">
        <f ca="1">input_586100!A$2</f>
        <v>586100</v>
      </c>
      <c r="B309" s="5">
        <v>1031</v>
      </c>
      <c r="C309" s="7" t="str">
        <f t="shared" si="17"/>
        <v>PremiumSS5R5only</v>
      </c>
      <c r="D309" s="7" t="str">
        <f t="shared" si="18"/>
        <v>PremiumSS</v>
      </c>
      <c r="E309" s="7" t="str">
        <f>IF(COUNTIF('R6追加前'!A:A,B309)=0,IF(OR(I309="PremiumSS",I309="PremiumSSw"),"R5only","R3less"),"")</f>
        <v>R5only</v>
      </c>
      <c r="F309" s="7" t="str">
        <f>IF(COUNTIF('R6開放'!A:A,B309)&gt;0,"R6release","")</f>
        <v/>
      </c>
      <c r="G309" s="7"/>
      <c r="H309" s="7" t="str">
        <f>VLOOKUP(B309,[1]characters!$A:$C,3,FALSE)</f>
        <v>紫式部</v>
      </c>
      <c r="I309" s="7" t="str">
        <f>VLOOKUP(B309,[1]characters!$A:$J,10,FALSE)</f>
        <v>PremiumSS</v>
      </c>
      <c r="J309" s="7">
        <f>VLOOKUP(B309,[1]characters!$A:$I,9,FALSE)</f>
        <v>5</v>
      </c>
      <c r="K309" s="7" t="str">
        <f>VLOOKUP(B309,[1]characters!$A:$H,8,FALSE)</f>
        <v>blue</v>
      </c>
      <c r="L309" s="7" t="str">
        <f>VLOOKUP(B309,[1]characters!$A:$K,11,FALSE)</f>
        <v>technical</v>
      </c>
      <c r="M309" s="7" t="str">
        <f>VLOOKUP(B309,[1]characters!$A:$M,13,FALSE)</f>
        <v>human</v>
      </c>
      <c r="N309" s="7" t="str">
        <f>VLOOKUP(B309,[1]characters!$A:$G,7,FALSE)</f>
        <v>男性</v>
      </c>
      <c r="O309" s="45">
        <f ca="1">IFERROR(VLOOKUP(B309,input_586100!L:R,7,FALSE),VLOOKUP(tables_586100!C309,input_586100!A:H,8,FALSE))</f>
        <v>67000</v>
      </c>
      <c r="P309" s="46">
        <f t="shared" ca="1" si="16"/>
        <v>5.2083333333203836E-4</v>
      </c>
      <c r="Q309" s="30">
        <v>1</v>
      </c>
      <c r="R309" s="30">
        <v>0</v>
      </c>
      <c r="S309" s="30">
        <v>0</v>
      </c>
      <c r="T309" s="30">
        <v>0</v>
      </c>
      <c r="U309" s="30">
        <v>0</v>
      </c>
      <c r="V309" s="30">
        <v>1</v>
      </c>
    </row>
    <row r="310" spans="1:22" ht="21" customHeight="1" x14ac:dyDescent="0.15">
      <c r="A310" s="2" t="str">
        <f ca="1">input_586100!A$2</f>
        <v>586100</v>
      </c>
      <c r="B310" s="5">
        <v>1033</v>
      </c>
      <c r="C310" s="7" t="str">
        <f t="shared" si="17"/>
        <v>PremiumSS5R5only</v>
      </c>
      <c r="D310" s="7" t="str">
        <f t="shared" si="18"/>
        <v>PremiumSS</v>
      </c>
      <c r="E310" s="7" t="str">
        <f>IF(COUNTIF('R6追加前'!A:A,B310)=0,IF(OR(I310="PremiumSS",I310="PremiumSSw"),"R5only","R3less"),"")</f>
        <v>R5only</v>
      </c>
      <c r="F310" s="7" t="str">
        <f>IF(COUNTIF('R6開放'!A:A,B310)&gt;0,"R6release","")</f>
        <v/>
      </c>
      <c r="G310" s="7"/>
      <c r="H310" s="7" t="str">
        <f>VLOOKUP(B310,[1]characters!$A:$C,3,FALSE)</f>
        <v>清少納言</v>
      </c>
      <c r="I310" s="7" t="str">
        <f>VLOOKUP(B310,[1]characters!$A:$J,10,FALSE)</f>
        <v>PremiumSS</v>
      </c>
      <c r="J310" s="7">
        <f>VLOOKUP(B310,[1]characters!$A:$I,9,FALSE)</f>
        <v>5</v>
      </c>
      <c r="K310" s="7" t="str">
        <f>VLOOKUP(B310,[1]characters!$A:$H,8,FALSE)</f>
        <v>yellow</v>
      </c>
      <c r="L310" s="7" t="str">
        <f>VLOOKUP(B310,[1]characters!$A:$K,11,FALSE)</f>
        <v>heal</v>
      </c>
      <c r="M310" s="7" t="str">
        <f>VLOOKUP(B310,[1]characters!$A:$M,13,FALSE)</f>
        <v>human</v>
      </c>
      <c r="N310" s="7" t="str">
        <f>VLOOKUP(B310,[1]characters!$A:$G,7,FALSE)</f>
        <v>男性</v>
      </c>
      <c r="O310" s="45">
        <f ca="1">IFERROR(VLOOKUP(B310,input_586100!L:R,7,FALSE),VLOOKUP(tables_586100!C310,input_586100!A:H,8,FALSE))</f>
        <v>67000</v>
      </c>
      <c r="P310" s="46">
        <f t="shared" ca="1" si="16"/>
        <v>5.2083333333203836E-4</v>
      </c>
      <c r="Q310" s="30">
        <v>1</v>
      </c>
      <c r="R310" s="30">
        <v>0</v>
      </c>
      <c r="S310" s="30">
        <v>0</v>
      </c>
      <c r="T310" s="30">
        <v>0</v>
      </c>
      <c r="U310" s="30">
        <v>0</v>
      </c>
      <c r="V310" s="30">
        <v>1</v>
      </c>
    </row>
    <row r="311" spans="1:22" ht="21" customHeight="1" x14ac:dyDescent="0.15">
      <c r="A311" s="2" t="str">
        <f ca="1">input_586100!A$2</f>
        <v>586100</v>
      </c>
      <c r="B311" s="5">
        <v>1067</v>
      </c>
      <c r="C311" s="7" t="str">
        <f t="shared" si="17"/>
        <v>Premium4R3less</v>
      </c>
      <c r="D311" s="7" t="str">
        <f t="shared" si="18"/>
        <v>Premium</v>
      </c>
      <c r="E311" s="7" t="str">
        <f>IF(COUNTIF('R6追加前'!A:A,B311)=0,IF(OR(I311="PremiumSS",I311="PremiumSSw"),"R5only","R3less"),"")</f>
        <v>R3less</v>
      </c>
      <c r="F311" s="7" t="str">
        <f>IF(COUNTIF('R6開放'!A:A,B311)&gt;0,"R6release","")</f>
        <v/>
      </c>
      <c r="G311" s="7"/>
      <c r="H311" s="7" t="str">
        <f>VLOOKUP(B311,[1]characters!$A:$C,3,FALSE)</f>
        <v>ウシュムガル</v>
      </c>
      <c r="I311" s="7" t="str">
        <f>VLOOKUP(B311,[1]characters!$A:$J,10,FALSE)</f>
        <v>PremiumS</v>
      </c>
      <c r="J311" s="7">
        <f>VLOOKUP(B311,[1]characters!$A:$I,9,FALSE)</f>
        <v>4</v>
      </c>
      <c r="K311" s="7" t="str">
        <f>VLOOKUP(B311,[1]characters!$A:$H,8,FALSE)</f>
        <v>red</v>
      </c>
      <c r="L311" s="7" t="str">
        <f>VLOOKUP(B311,[1]characters!$A:$K,11,FALSE)</f>
        <v>balance</v>
      </c>
      <c r="M311" s="7" t="str">
        <f>VLOOKUP(B311,[1]characters!$A:$M,13,FALSE)</f>
        <v>dragon</v>
      </c>
      <c r="N311" s="7" t="str">
        <f>VLOOKUP(B311,[1]characters!$A:$G,7,FALSE)</f>
        <v>男性</v>
      </c>
      <c r="O311" s="45">
        <f ca="1">IFERROR(VLOOKUP(B311,input_586100!L:R,7,FALSE),VLOOKUP(tables_586100!C311,input_586100!A:H,8,FALSE))</f>
        <v>1060878</v>
      </c>
      <c r="P311" s="46">
        <f t="shared" ca="1" si="16"/>
        <v>8.2468749999794963E-3</v>
      </c>
      <c r="Q311" s="30">
        <v>1</v>
      </c>
      <c r="R311" s="30">
        <v>0</v>
      </c>
      <c r="S311" s="30">
        <v>0</v>
      </c>
      <c r="T311" s="30">
        <v>0</v>
      </c>
      <c r="U311" s="30">
        <v>0</v>
      </c>
      <c r="V311" s="30">
        <v>1</v>
      </c>
    </row>
    <row r="312" spans="1:22" ht="21" customHeight="1" x14ac:dyDescent="0.15">
      <c r="A312" s="2" t="str">
        <f ca="1">input_586100!A$2</f>
        <v>586100</v>
      </c>
      <c r="B312" s="5">
        <v>1068</v>
      </c>
      <c r="C312" s="7" t="str">
        <f t="shared" si="17"/>
        <v>Premium5R3less</v>
      </c>
      <c r="D312" s="7" t="str">
        <f t="shared" si="18"/>
        <v>Premium</v>
      </c>
      <c r="E312" s="7" t="str">
        <f>IF(COUNTIF('R6追加前'!A:A,B312)=0,IF(OR(I312="PremiumSS",I312="PremiumSSw"),"R5only","R3less"),"")</f>
        <v>R3less</v>
      </c>
      <c r="F312" s="7" t="str">
        <f>IF(COUNTIF('R6開放'!A:A,B312)&gt;0,"R6release","")</f>
        <v/>
      </c>
      <c r="G312" s="7"/>
      <c r="H312" s="7" t="str">
        <f>VLOOKUP(B312,[1]characters!$A:$C,3,FALSE)</f>
        <v>想母の羽龍 ウシュムガル</v>
      </c>
      <c r="I312" s="7" t="str">
        <f>VLOOKUP(B312,[1]characters!$A:$J,10,FALSE)</f>
        <v>PremiumS</v>
      </c>
      <c r="J312" s="7">
        <f>VLOOKUP(B312,[1]characters!$A:$I,9,FALSE)</f>
        <v>5</v>
      </c>
      <c r="K312" s="7" t="str">
        <f>VLOOKUP(B312,[1]characters!$A:$H,8,FALSE)</f>
        <v>red</v>
      </c>
      <c r="L312" s="7" t="str">
        <f>VLOOKUP(B312,[1]characters!$A:$K,11,FALSE)</f>
        <v>balance</v>
      </c>
      <c r="M312" s="7" t="str">
        <f>VLOOKUP(B312,[1]characters!$A:$M,13,FALSE)</f>
        <v>dragon</v>
      </c>
      <c r="N312" s="7" t="str">
        <f>VLOOKUP(B312,[1]characters!$A:$G,7,FALSE)</f>
        <v>男性</v>
      </c>
      <c r="O312" s="45">
        <f ca="1">IFERROR(VLOOKUP(B312,input_586100!L:R,7,FALSE),VLOOKUP(tables_586100!C312,input_586100!A:H,8,FALSE))</f>
        <v>121940</v>
      </c>
      <c r="P312" s="46">
        <f t="shared" ca="1" si="16"/>
        <v>9.4791666666430984E-4</v>
      </c>
      <c r="Q312" s="30">
        <v>1</v>
      </c>
      <c r="R312" s="30">
        <v>0</v>
      </c>
      <c r="S312" s="30">
        <v>0</v>
      </c>
      <c r="T312" s="30">
        <v>0</v>
      </c>
      <c r="U312" s="30">
        <v>0</v>
      </c>
      <c r="V312" s="30">
        <v>1</v>
      </c>
    </row>
    <row r="313" spans="1:22" ht="21" customHeight="1" x14ac:dyDescent="0.15">
      <c r="A313" s="2" t="str">
        <f ca="1">input_586100!A$2</f>
        <v>586100</v>
      </c>
      <c r="B313" s="5">
        <v>1069</v>
      </c>
      <c r="C313" s="7" t="str">
        <f t="shared" si="17"/>
        <v>PremiumSS5R5only</v>
      </c>
      <c r="D313" s="7" t="str">
        <f t="shared" si="18"/>
        <v>PremiumSS</v>
      </c>
      <c r="E313" s="7" t="str">
        <f>IF(COUNTIF('R6追加前'!A:A,B313)=0,IF(OR(I313="PremiumSS",I313="PremiumSSw"),"R5only","R3less"),"")</f>
        <v>R5only</v>
      </c>
      <c r="F313" s="7" t="str">
        <f>IF(COUNTIF('R6開放'!A:A,B313)&gt;0,"R6release","")</f>
        <v/>
      </c>
      <c r="G313" s="7"/>
      <c r="H313" s="7" t="str">
        <f>VLOOKUP(B313,[1]characters!$A:$C,3,FALSE)</f>
        <v>イシュタル</v>
      </c>
      <c r="I313" s="7" t="str">
        <f>VLOOKUP(B313,[1]characters!$A:$J,10,FALSE)</f>
        <v>PremiumSS</v>
      </c>
      <c r="J313" s="7">
        <f>VLOOKUP(B313,[1]characters!$A:$I,9,FALSE)</f>
        <v>5</v>
      </c>
      <c r="K313" s="7" t="str">
        <f>VLOOKUP(B313,[1]characters!$A:$H,8,FALSE)</f>
        <v>green</v>
      </c>
      <c r="L313" s="7" t="str">
        <f>VLOOKUP(B313,[1]characters!$A:$K,11,FALSE)</f>
        <v>technical</v>
      </c>
      <c r="M313" s="7" t="str">
        <f>VLOOKUP(B313,[1]characters!$A:$M,13,FALSE)</f>
        <v>god</v>
      </c>
      <c r="N313" s="7" t="str">
        <f>VLOOKUP(B313,[1]characters!$A:$G,7,FALSE)</f>
        <v>男性</v>
      </c>
      <c r="O313" s="45">
        <f ca="1">IFERROR(VLOOKUP(B313,input_586100!L:R,7,FALSE),VLOOKUP(tables_586100!C313,input_586100!A:H,8,FALSE))</f>
        <v>67000</v>
      </c>
      <c r="P313" s="46">
        <f t="shared" ca="1" si="16"/>
        <v>5.2083333333203836E-4</v>
      </c>
      <c r="Q313" s="30">
        <v>1</v>
      </c>
      <c r="R313" s="30">
        <v>0</v>
      </c>
      <c r="S313" s="30">
        <v>0</v>
      </c>
      <c r="T313" s="30">
        <v>0</v>
      </c>
      <c r="U313" s="30">
        <v>0</v>
      </c>
      <c r="V313" s="30">
        <v>1</v>
      </c>
    </row>
    <row r="314" spans="1:22" ht="21" customHeight="1" x14ac:dyDescent="0.15">
      <c r="A314" s="2" t="str">
        <f ca="1">input_586100!A$2</f>
        <v>586100</v>
      </c>
      <c r="B314" s="5">
        <v>1072</v>
      </c>
      <c r="C314" s="7" t="str">
        <f t="shared" si="17"/>
        <v>PremiumSS5R5only</v>
      </c>
      <c r="D314" s="7" t="str">
        <f t="shared" si="18"/>
        <v>PremiumSS</v>
      </c>
      <c r="E314" s="7" t="str">
        <f>IF(COUNTIF('R6追加前'!A:A,B314)=0,IF(OR(I314="PremiumSS",I314="PremiumSSw"),"R5only","R3less"),"")</f>
        <v>R5only</v>
      </c>
      <c r="F314" s="7" t="str">
        <f>IF(COUNTIF('R6開放'!A:A,B314)&gt;0,"R6release","")</f>
        <v/>
      </c>
      <c r="G314" s="7"/>
      <c r="H314" s="7" t="str">
        <f>VLOOKUP(B314,[1]characters!$A:$C,3,FALSE)</f>
        <v>エンキドゥ</v>
      </c>
      <c r="I314" s="7" t="str">
        <f>VLOOKUP(B314,[1]characters!$A:$J,10,FALSE)</f>
        <v>PremiumSSw</v>
      </c>
      <c r="J314" s="7">
        <f>VLOOKUP(B314,[1]characters!$A:$I,9,FALSE)</f>
        <v>5</v>
      </c>
      <c r="K314" s="7" t="str">
        <f>VLOOKUP(B314,[1]characters!$A:$H,8,FALSE)</f>
        <v>blue</v>
      </c>
      <c r="L314" s="7" t="str">
        <f>VLOOKUP(B314,[1]characters!$A:$K,11,FALSE)</f>
        <v>attack</v>
      </c>
      <c r="M314" s="7" t="str">
        <f>VLOOKUP(B314,[1]characters!$A:$M,13,FALSE)</f>
        <v>human</v>
      </c>
      <c r="N314" s="7" t="str">
        <f>VLOOKUP(B314,[1]characters!$A:$G,7,FALSE)</f>
        <v>男性</v>
      </c>
      <c r="O314" s="45">
        <f ca="1">IFERROR(VLOOKUP(B314,input_586100!L:R,7,FALSE),VLOOKUP(tables_586100!C314,input_586100!A:H,8,FALSE))</f>
        <v>67000</v>
      </c>
      <c r="P314" s="46">
        <f t="shared" ca="1" si="16"/>
        <v>5.2083333333203836E-4</v>
      </c>
      <c r="Q314" s="30">
        <v>1</v>
      </c>
      <c r="R314" s="30">
        <v>0</v>
      </c>
      <c r="S314" s="30">
        <v>0</v>
      </c>
      <c r="T314" s="30">
        <v>0</v>
      </c>
      <c r="U314" s="30">
        <v>0</v>
      </c>
      <c r="V314" s="30">
        <v>1</v>
      </c>
    </row>
    <row r="315" spans="1:22" ht="21" customHeight="1" x14ac:dyDescent="0.15">
      <c r="A315" s="2" t="str">
        <f ca="1">input_586100!A$2</f>
        <v>586100</v>
      </c>
      <c r="B315" s="5">
        <v>1074</v>
      </c>
      <c r="C315" s="7" t="str">
        <f t="shared" si="17"/>
        <v>PremiumSS5R5only</v>
      </c>
      <c r="D315" s="7" t="str">
        <f t="shared" si="18"/>
        <v>PremiumSS</v>
      </c>
      <c r="E315" s="7" t="str">
        <f>IF(COUNTIF('R6追加前'!A:A,B315)=0,IF(OR(I315="PremiumSS",I315="PremiumSSw"),"R5only","R3less"),"")</f>
        <v>R5only</v>
      </c>
      <c r="F315" s="7" t="str">
        <f>IF(COUNTIF('R6開放'!A:A,B315)&gt;0,"R6release","")</f>
        <v/>
      </c>
      <c r="G315" s="7"/>
      <c r="H315" s="7" t="str">
        <f>VLOOKUP(B315,[1]characters!$A:$C,3,FALSE)</f>
        <v>マルドゥク</v>
      </c>
      <c r="I315" s="7" t="str">
        <f>VLOOKUP(B315,[1]characters!$A:$J,10,FALSE)</f>
        <v>PremiumSS</v>
      </c>
      <c r="J315" s="7">
        <f>VLOOKUP(B315,[1]characters!$A:$I,9,FALSE)</f>
        <v>5</v>
      </c>
      <c r="K315" s="7" t="str">
        <f>VLOOKUP(B315,[1]characters!$A:$H,8,FALSE)</f>
        <v>yellow</v>
      </c>
      <c r="L315" s="7" t="str">
        <f>VLOOKUP(B315,[1]characters!$A:$K,11,FALSE)</f>
        <v>technical</v>
      </c>
      <c r="M315" s="7" t="str">
        <f>VLOOKUP(B315,[1]characters!$A:$M,13,FALSE)</f>
        <v>god</v>
      </c>
      <c r="N315" s="7" t="str">
        <f>VLOOKUP(B315,[1]characters!$A:$G,7,FALSE)</f>
        <v>男性</v>
      </c>
      <c r="O315" s="45">
        <f ca="1">IFERROR(VLOOKUP(B315,input_586100!L:R,7,FALSE),VLOOKUP(tables_586100!C315,input_586100!A:H,8,FALSE))</f>
        <v>67000</v>
      </c>
      <c r="P315" s="46">
        <f t="shared" ca="1" si="16"/>
        <v>5.2083333333203836E-4</v>
      </c>
      <c r="Q315" s="30">
        <v>1</v>
      </c>
      <c r="R315" s="30">
        <v>0</v>
      </c>
      <c r="S315" s="30">
        <v>0</v>
      </c>
      <c r="T315" s="30">
        <v>0</v>
      </c>
      <c r="U315" s="30">
        <v>0</v>
      </c>
      <c r="V315" s="30">
        <v>1</v>
      </c>
    </row>
    <row r="316" spans="1:22" ht="21" customHeight="1" x14ac:dyDescent="0.15">
      <c r="A316" s="2" t="str">
        <f ca="1">input_586100!A$2</f>
        <v>586100</v>
      </c>
      <c r="B316" s="5">
        <v>1100</v>
      </c>
      <c r="C316" s="7" t="str">
        <f t="shared" si="17"/>
        <v>PremiumSS5R5only</v>
      </c>
      <c r="D316" s="7" t="str">
        <f t="shared" si="18"/>
        <v>PremiumSS</v>
      </c>
      <c r="E316" s="7" t="str">
        <f>IF(COUNTIF('R6追加前'!A:A,B316)=0,IF(OR(I316="PremiumSS",I316="PremiumSSw"),"R5only","R3less"),"")</f>
        <v>R5only</v>
      </c>
      <c r="F316" s="7" t="str">
        <f>IF(COUNTIF('R6開放'!A:A,B316)&gt;0,"R6release","")</f>
        <v/>
      </c>
      <c r="G316" s="7"/>
      <c r="H316" s="7" t="str">
        <f>VLOOKUP(B316,[1]characters!$A:$C,3,FALSE)</f>
        <v>北斎</v>
      </c>
      <c r="I316" s="7" t="str">
        <f>VLOOKUP(B316,[1]characters!$A:$J,10,FALSE)</f>
        <v>PremiumSS</v>
      </c>
      <c r="J316" s="7">
        <f>VLOOKUP(B316,[1]characters!$A:$I,9,FALSE)</f>
        <v>5</v>
      </c>
      <c r="K316" s="7" t="str">
        <f>VLOOKUP(B316,[1]characters!$A:$H,8,FALSE)</f>
        <v>red</v>
      </c>
      <c r="L316" s="7" t="str">
        <f>VLOOKUP(B316,[1]characters!$A:$K,11,FALSE)</f>
        <v>attack</v>
      </c>
      <c r="M316" s="7" t="str">
        <f>VLOOKUP(B316,[1]characters!$A:$M,13,FALSE)</f>
        <v>human</v>
      </c>
      <c r="N316" s="7" t="str">
        <f>VLOOKUP(B316,[1]characters!$A:$G,7,FALSE)</f>
        <v>不明</v>
      </c>
      <c r="O316" s="45">
        <f ca="1">IFERROR(VLOOKUP(B316,input_586100!L:R,7,FALSE),VLOOKUP(tables_586100!C316,input_586100!A:H,8,FALSE))</f>
        <v>67000</v>
      </c>
      <c r="P316" s="46">
        <f t="shared" ca="1" si="16"/>
        <v>5.2083333333203836E-4</v>
      </c>
      <c r="Q316" s="30">
        <v>1</v>
      </c>
      <c r="R316" s="30">
        <v>0</v>
      </c>
      <c r="S316" s="30">
        <v>0</v>
      </c>
      <c r="T316" s="30">
        <v>0</v>
      </c>
      <c r="U316" s="30">
        <v>0</v>
      </c>
      <c r="V316" s="30">
        <v>1</v>
      </c>
    </row>
    <row r="317" spans="1:22" ht="21" customHeight="1" x14ac:dyDescent="0.15">
      <c r="A317" s="2" t="str">
        <f ca="1">input_586100!A$2</f>
        <v>586100</v>
      </c>
      <c r="B317" s="5">
        <v>1102</v>
      </c>
      <c r="C317" s="7" t="str">
        <f t="shared" si="17"/>
        <v>PremiumSS5R5only</v>
      </c>
      <c r="D317" s="7" t="str">
        <f t="shared" si="18"/>
        <v>PremiumSS</v>
      </c>
      <c r="E317" s="7" t="str">
        <f>IF(COUNTIF('R6追加前'!A:A,B317)=0,IF(OR(I317="PremiumSS",I317="PremiumSSw"),"R5only","R3less"),"")</f>
        <v>R5only</v>
      </c>
      <c r="F317" s="7" t="str">
        <f>IF(COUNTIF('R6開放'!A:A,B317)&gt;0,"R6release","")</f>
        <v/>
      </c>
      <c r="G317" s="7"/>
      <c r="H317" s="7" t="str">
        <f>VLOOKUP(B317,[1]characters!$A:$C,3,FALSE)</f>
        <v>ドガ</v>
      </c>
      <c r="I317" s="7" t="str">
        <f>VLOOKUP(B317,[1]characters!$A:$J,10,FALSE)</f>
        <v>PremiumSSw</v>
      </c>
      <c r="J317" s="7">
        <f>VLOOKUP(B317,[1]characters!$A:$I,9,FALSE)</f>
        <v>5</v>
      </c>
      <c r="K317" s="7" t="str">
        <f>VLOOKUP(B317,[1]characters!$A:$H,8,FALSE)</f>
        <v>green</v>
      </c>
      <c r="L317" s="7" t="str">
        <f>VLOOKUP(B317,[1]characters!$A:$K,11,FALSE)</f>
        <v>balance</v>
      </c>
      <c r="M317" s="7" t="str">
        <f>VLOOKUP(B317,[1]characters!$A:$M,13,FALSE)</f>
        <v>animal</v>
      </c>
      <c r="N317" s="7" t="str">
        <f>VLOOKUP(B317,[1]characters!$A:$G,7,FALSE)</f>
        <v>不明</v>
      </c>
      <c r="O317" s="45">
        <f ca="1">IFERROR(VLOOKUP(B317,input_586100!L:R,7,FALSE),VLOOKUP(tables_586100!C317,input_586100!A:H,8,FALSE))</f>
        <v>67000</v>
      </c>
      <c r="P317" s="46">
        <f t="shared" ca="1" si="16"/>
        <v>5.2083333333203836E-4</v>
      </c>
      <c r="Q317" s="30">
        <v>1</v>
      </c>
      <c r="R317" s="30">
        <v>0</v>
      </c>
      <c r="S317" s="30">
        <v>0</v>
      </c>
      <c r="T317" s="30">
        <v>0</v>
      </c>
      <c r="U317" s="30">
        <v>0</v>
      </c>
      <c r="V317" s="30">
        <v>1</v>
      </c>
    </row>
    <row r="318" spans="1:22" ht="21" customHeight="1" x14ac:dyDescent="0.15">
      <c r="A318" s="2" t="str">
        <f ca="1">input_586100!A$2</f>
        <v>586100</v>
      </c>
      <c r="B318" s="5">
        <v>1104</v>
      </c>
      <c r="C318" s="7" t="str">
        <f t="shared" si="17"/>
        <v>Premium4R3less</v>
      </c>
      <c r="D318" s="7" t="str">
        <f t="shared" si="18"/>
        <v>Premium</v>
      </c>
      <c r="E318" s="7" t="str">
        <f>IF(COUNTIF('R6追加前'!A:A,B318)=0,IF(OR(I318="PremiumSS",I318="PremiumSSw"),"R5only","R3less"),"")</f>
        <v>R3less</v>
      </c>
      <c r="F318" s="7" t="str">
        <f>IF(COUNTIF('R6開放'!A:A,B318)&gt;0,"R6release","")</f>
        <v/>
      </c>
      <c r="G318" s="7"/>
      <c r="H318" s="7" t="str">
        <f>VLOOKUP(B318,[1]characters!$A:$C,3,FALSE)</f>
        <v>クリムト</v>
      </c>
      <c r="I318" s="7" t="str">
        <f>VLOOKUP(B318,[1]characters!$A:$J,10,FALSE)</f>
        <v>PremiumS</v>
      </c>
      <c r="J318" s="7">
        <f>VLOOKUP(B318,[1]characters!$A:$I,9,FALSE)</f>
        <v>4</v>
      </c>
      <c r="K318" s="7" t="str">
        <f>VLOOKUP(B318,[1]characters!$A:$H,8,FALSE)</f>
        <v>blue</v>
      </c>
      <c r="L318" s="7" t="str">
        <f>VLOOKUP(B318,[1]characters!$A:$K,11,FALSE)</f>
        <v>technical</v>
      </c>
      <c r="M318" s="7" t="str">
        <f>VLOOKUP(B318,[1]characters!$A:$M,13,FALSE)</f>
        <v>human</v>
      </c>
      <c r="N318" s="7" t="str">
        <f>VLOOKUP(B318,[1]characters!$A:$G,7,FALSE)</f>
        <v>不明</v>
      </c>
      <c r="O318" s="45">
        <f ca="1">IFERROR(VLOOKUP(B318,input_586100!L:R,7,FALSE),VLOOKUP(tables_586100!C318,input_586100!A:H,8,FALSE))</f>
        <v>1060878</v>
      </c>
      <c r="P318" s="46">
        <f t="shared" ca="1" si="16"/>
        <v>8.2468749999794963E-3</v>
      </c>
      <c r="Q318" s="30">
        <v>1</v>
      </c>
      <c r="R318" s="30">
        <v>0</v>
      </c>
      <c r="S318" s="30">
        <v>0</v>
      </c>
      <c r="T318" s="30">
        <v>0</v>
      </c>
      <c r="U318" s="30">
        <v>0</v>
      </c>
      <c r="V318" s="30">
        <v>1</v>
      </c>
    </row>
    <row r="319" spans="1:22" ht="21" customHeight="1" x14ac:dyDescent="0.15">
      <c r="A319" s="2" t="str">
        <f ca="1">input_586100!A$2</f>
        <v>586100</v>
      </c>
      <c r="B319" s="5">
        <v>1105</v>
      </c>
      <c r="C319" s="7" t="str">
        <f t="shared" si="17"/>
        <v>Premium5R3less</v>
      </c>
      <c r="D319" s="7" t="str">
        <f t="shared" si="18"/>
        <v>Premium</v>
      </c>
      <c r="E319" s="7" t="str">
        <f>IF(COUNTIF('R6追加前'!A:A,B319)=0,IF(OR(I319="PremiumSS",I319="PremiumSSw"),"R5only","R3less"),"")</f>
        <v>R3less</v>
      </c>
      <c r="F319" s="7" t="str">
        <f>IF(COUNTIF('R6開放'!A:A,B319)&gt;0,"R6release","")</f>
        <v/>
      </c>
      <c r="G319" s="7"/>
      <c r="H319" s="7" t="str">
        <f>VLOOKUP(B319,[1]characters!$A:$C,3,FALSE)</f>
        <v>甘美なる背徳 クリムト</v>
      </c>
      <c r="I319" s="7" t="str">
        <f>VLOOKUP(B319,[1]characters!$A:$J,10,FALSE)</f>
        <v>PremiumS</v>
      </c>
      <c r="J319" s="7">
        <f>VLOOKUP(B319,[1]characters!$A:$I,9,FALSE)</f>
        <v>5</v>
      </c>
      <c r="K319" s="7" t="str">
        <f>VLOOKUP(B319,[1]characters!$A:$H,8,FALSE)</f>
        <v>blue</v>
      </c>
      <c r="L319" s="7" t="str">
        <f>VLOOKUP(B319,[1]characters!$A:$K,11,FALSE)</f>
        <v>technical</v>
      </c>
      <c r="M319" s="7" t="str">
        <f>VLOOKUP(B319,[1]characters!$A:$M,13,FALSE)</f>
        <v>human</v>
      </c>
      <c r="N319" s="7" t="str">
        <f>VLOOKUP(B319,[1]characters!$A:$G,7,FALSE)</f>
        <v>不明</v>
      </c>
      <c r="O319" s="45">
        <f ca="1">IFERROR(VLOOKUP(B319,input_586100!L:R,7,FALSE),VLOOKUP(tables_586100!C319,input_586100!A:H,8,FALSE))</f>
        <v>121940</v>
      </c>
      <c r="P319" s="46">
        <f t="shared" ca="1" si="16"/>
        <v>9.4791666666430984E-4</v>
      </c>
      <c r="Q319" s="30">
        <v>1</v>
      </c>
      <c r="R319" s="30">
        <v>0</v>
      </c>
      <c r="S319" s="30">
        <v>0</v>
      </c>
      <c r="T319" s="30">
        <v>0</v>
      </c>
      <c r="U319" s="30">
        <v>0</v>
      </c>
      <c r="V319" s="30">
        <v>1</v>
      </c>
    </row>
    <row r="320" spans="1:22" ht="21" customHeight="1" x14ac:dyDescent="0.15">
      <c r="A320" s="2" t="str">
        <f ca="1">input_586100!A$2</f>
        <v>586100</v>
      </c>
      <c r="B320" s="5">
        <v>1106</v>
      </c>
      <c r="C320" s="7" t="str">
        <f t="shared" si="17"/>
        <v>PremiumSS5R5only</v>
      </c>
      <c r="D320" s="7" t="str">
        <f t="shared" si="18"/>
        <v>PremiumSS</v>
      </c>
      <c r="E320" s="7" t="str">
        <f>IF(COUNTIF('R6追加前'!A:A,B320)=0,IF(OR(I320="PremiumSS",I320="PremiumSSw"),"R5only","R3less"),"")</f>
        <v>R5only</v>
      </c>
      <c r="F320" s="7" t="str">
        <f>IF(COUNTIF('R6開放'!A:A,B320)&gt;0,"R6release","")</f>
        <v/>
      </c>
      <c r="G320" s="7"/>
      <c r="H320" s="7" t="str">
        <f>VLOOKUP(B320,[1]characters!$A:$C,3,FALSE)</f>
        <v>ラファエロ</v>
      </c>
      <c r="I320" s="7" t="str">
        <f>VLOOKUP(B320,[1]characters!$A:$J,10,FALSE)</f>
        <v>PremiumSS</v>
      </c>
      <c r="J320" s="7">
        <f>VLOOKUP(B320,[1]characters!$A:$I,9,FALSE)</f>
        <v>5</v>
      </c>
      <c r="K320" s="7" t="str">
        <f>VLOOKUP(B320,[1]characters!$A:$H,8,FALSE)</f>
        <v>yellow</v>
      </c>
      <c r="L320" s="7" t="str">
        <f>VLOOKUP(B320,[1]characters!$A:$K,11,FALSE)</f>
        <v>attack</v>
      </c>
      <c r="M320" s="7" t="str">
        <f>VLOOKUP(B320,[1]characters!$A:$M,13,FALSE)</f>
        <v>human</v>
      </c>
      <c r="N320" s="7" t="str">
        <f>VLOOKUP(B320,[1]characters!$A:$G,7,FALSE)</f>
        <v>不明</v>
      </c>
      <c r="O320" s="45">
        <f ca="1">IFERROR(VLOOKUP(B320,input_586100!L:R,7,FALSE),VLOOKUP(tables_586100!C320,input_586100!A:H,8,FALSE))</f>
        <v>67000</v>
      </c>
      <c r="P320" s="46">
        <f t="shared" ca="1" si="16"/>
        <v>5.2083333333203836E-4</v>
      </c>
      <c r="Q320" s="30">
        <v>1</v>
      </c>
      <c r="R320" s="30">
        <v>0</v>
      </c>
      <c r="S320" s="30">
        <v>0</v>
      </c>
      <c r="T320" s="30">
        <v>0</v>
      </c>
      <c r="U320" s="30">
        <v>0</v>
      </c>
      <c r="V320" s="30">
        <v>1</v>
      </c>
    </row>
    <row r="321" spans="1:22" ht="21" customHeight="1" x14ac:dyDescent="0.15">
      <c r="A321" s="2" t="str">
        <f ca="1">input_586100!A$2</f>
        <v>586100</v>
      </c>
      <c r="B321" s="5">
        <v>1137</v>
      </c>
      <c r="C321" s="7" t="str">
        <f t="shared" si="17"/>
        <v>PremiumSS5R5only</v>
      </c>
      <c r="D321" s="7" t="str">
        <f t="shared" si="18"/>
        <v>PremiumSS</v>
      </c>
      <c r="E321" s="7" t="str">
        <f>IF(COUNTIF('R6追加前'!A:A,B321)=0,IF(OR(I321="PremiumSS",I321="PremiumSSw"),"R5only","R3less"),"")</f>
        <v>R5only</v>
      </c>
      <c r="F321" s="7" t="str">
        <f>IF(COUNTIF('R6開放'!A:A,B321)&gt;0,"R6release","")</f>
        <v/>
      </c>
      <c r="G321" s="7"/>
      <c r="H321" s="7" t="str">
        <f>VLOOKUP(B321,[1]characters!$A:$C,3,FALSE)</f>
        <v>諸葛亮</v>
      </c>
      <c r="I321" s="7" t="str">
        <f>VLOOKUP(B321,[1]characters!$A:$J,10,FALSE)</f>
        <v>PremiumSSw</v>
      </c>
      <c r="J321" s="7">
        <f>VLOOKUP(B321,[1]characters!$A:$I,9,FALSE)</f>
        <v>5</v>
      </c>
      <c r="K321" s="7" t="str">
        <f>VLOOKUP(B321,[1]characters!$A:$H,8,FALSE)</f>
        <v>red</v>
      </c>
      <c r="L321" s="7" t="str">
        <f>VLOOKUP(B321,[1]characters!$A:$K,11,FALSE)</f>
        <v>technical</v>
      </c>
      <c r="M321" s="7" t="str">
        <f>VLOOKUP(B321,[1]characters!$A:$M,13,FALSE)</f>
        <v>samurai</v>
      </c>
      <c r="N321" s="7" t="str">
        <f>VLOOKUP(B321,[1]characters!$A:$G,7,FALSE)</f>
        <v>不明</v>
      </c>
      <c r="O321" s="45">
        <f ca="1">IFERROR(VLOOKUP(B321,input_586100!L:R,7,FALSE),VLOOKUP(tables_586100!C321,input_586100!A:H,8,FALSE))</f>
        <v>67000</v>
      </c>
      <c r="P321" s="46">
        <f t="shared" ca="1" si="16"/>
        <v>5.2083333333203836E-4</v>
      </c>
      <c r="Q321" s="30">
        <v>1</v>
      </c>
      <c r="R321" s="30">
        <v>0</v>
      </c>
      <c r="S321" s="30">
        <v>0</v>
      </c>
      <c r="T321" s="30">
        <v>0</v>
      </c>
      <c r="U321" s="30">
        <v>0</v>
      </c>
      <c r="V321" s="30">
        <v>1</v>
      </c>
    </row>
    <row r="322" spans="1:22" ht="21" customHeight="1" x14ac:dyDescent="0.15">
      <c r="A322" s="2" t="str">
        <f ca="1">input_586100!A$2</f>
        <v>586100</v>
      </c>
      <c r="B322" s="5">
        <v>1139</v>
      </c>
      <c r="C322" s="7" t="str">
        <f t="shared" si="17"/>
        <v>PremiumSS5R5only</v>
      </c>
      <c r="D322" s="7" t="str">
        <f t="shared" si="18"/>
        <v>PremiumSS</v>
      </c>
      <c r="E322" s="7" t="str">
        <f>IF(COUNTIF('R6追加前'!A:A,B322)=0,IF(OR(I322="PremiumSS",I322="PremiumSSw"),"R5only","R3less"),"")</f>
        <v>R5only</v>
      </c>
      <c r="F322" s="7" t="str">
        <f>IF(COUNTIF('R6開放'!A:A,B322)&gt;0,"R6release","")</f>
        <v/>
      </c>
      <c r="G322" s="7"/>
      <c r="H322" s="7" t="str">
        <f>VLOOKUP(B322,[1]characters!$A:$C,3,FALSE)</f>
        <v>趙雲</v>
      </c>
      <c r="I322" s="7" t="str">
        <f>VLOOKUP(B322,[1]characters!$A:$J,10,FALSE)</f>
        <v>PremiumSS</v>
      </c>
      <c r="J322" s="7">
        <f>VLOOKUP(B322,[1]characters!$A:$I,9,FALSE)</f>
        <v>5</v>
      </c>
      <c r="K322" s="7" t="str">
        <f>VLOOKUP(B322,[1]characters!$A:$H,8,FALSE)</f>
        <v>green</v>
      </c>
      <c r="L322" s="7" t="str">
        <f>VLOOKUP(B322,[1]characters!$A:$K,11,FALSE)</f>
        <v>balance</v>
      </c>
      <c r="M322" s="7" t="str">
        <f>VLOOKUP(B322,[1]characters!$A:$M,13,FALSE)</f>
        <v>samurai</v>
      </c>
      <c r="N322" s="7" t="str">
        <f>VLOOKUP(B322,[1]characters!$A:$G,7,FALSE)</f>
        <v>不明</v>
      </c>
      <c r="O322" s="45">
        <f ca="1">IFERROR(VLOOKUP(B322,input_586100!L:R,7,FALSE),VLOOKUP(tables_586100!C322,input_586100!A:H,8,FALSE))</f>
        <v>67000</v>
      </c>
      <c r="P322" s="46">
        <f t="shared" ref="P322:P385" ca="1" si="19">O322/SUM(O:O)</f>
        <v>5.2083333333203836E-4</v>
      </c>
      <c r="Q322" s="30">
        <v>1</v>
      </c>
      <c r="R322" s="30">
        <v>0</v>
      </c>
      <c r="S322" s="30">
        <v>0</v>
      </c>
      <c r="T322" s="30">
        <v>0</v>
      </c>
      <c r="U322" s="30">
        <v>0</v>
      </c>
      <c r="V322" s="30">
        <v>1</v>
      </c>
    </row>
    <row r="323" spans="1:22" ht="21" customHeight="1" x14ac:dyDescent="0.15">
      <c r="A323" s="2" t="str">
        <f ca="1">input_586100!A$2</f>
        <v>586100</v>
      </c>
      <c r="B323" s="5">
        <v>1141</v>
      </c>
      <c r="C323" s="7" t="str">
        <f t="shared" si="17"/>
        <v>PremiumSS5R5only</v>
      </c>
      <c r="D323" s="7" t="str">
        <f t="shared" si="18"/>
        <v>PremiumSS</v>
      </c>
      <c r="E323" s="7" t="str">
        <f>IF(COUNTIF('R6追加前'!A:A,B323)=0,IF(OR(I323="PremiumSS",I323="PremiumSSw"),"R5only","R3less"),"")</f>
        <v>R5only</v>
      </c>
      <c r="F323" s="7" t="str">
        <f>IF(COUNTIF('R6開放'!A:A,B323)&gt;0,"R6release","")</f>
        <v/>
      </c>
      <c r="G323" s="7"/>
      <c r="H323" s="7" t="str">
        <f>VLOOKUP(B323,[1]characters!$A:$C,3,FALSE)</f>
        <v>月英</v>
      </c>
      <c r="I323" s="7" t="str">
        <f>VLOOKUP(B323,[1]characters!$A:$J,10,FALSE)</f>
        <v>PremiumSS</v>
      </c>
      <c r="J323" s="7">
        <f>VLOOKUP(B323,[1]characters!$A:$I,9,FALSE)</f>
        <v>5</v>
      </c>
      <c r="K323" s="7" t="str">
        <f>VLOOKUP(B323,[1]characters!$A:$H,8,FALSE)</f>
        <v>blue</v>
      </c>
      <c r="L323" s="7" t="str">
        <f>VLOOKUP(B323,[1]characters!$A:$K,11,FALSE)</f>
        <v>balance</v>
      </c>
      <c r="M323" s="7" t="str">
        <f>VLOOKUP(B323,[1]characters!$A:$M,13,FALSE)</f>
        <v>human</v>
      </c>
      <c r="N323" s="7" t="str">
        <f>VLOOKUP(B323,[1]characters!$A:$G,7,FALSE)</f>
        <v>不明</v>
      </c>
      <c r="O323" s="45">
        <f ca="1">IFERROR(VLOOKUP(B323,input_586100!L:R,7,FALSE),VLOOKUP(tables_586100!C323,input_586100!A:H,8,FALSE))</f>
        <v>67000</v>
      </c>
      <c r="P323" s="46">
        <f t="shared" ca="1" si="19"/>
        <v>5.2083333333203836E-4</v>
      </c>
      <c r="Q323" s="30">
        <v>1</v>
      </c>
      <c r="R323" s="30">
        <v>0</v>
      </c>
      <c r="S323" s="30">
        <v>0</v>
      </c>
      <c r="T323" s="30">
        <v>0</v>
      </c>
      <c r="U323" s="30">
        <v>0</v>
      </c>
      <c r="V323" s="30">
        <v>1</v>
      </c>
    </row>
    <row r="324" spans="1:22" ht="21" customHeight="1" x14ac:dyDescent="0.15">
      <c r="A324" s="2" t="str">
        <f ca="1">input_586100!A$2</f>
        <v>586100</v>
      </c>
      <c r="B324" s="5">
        <v>1143</v>
      </c>
      <c r="C324" s="7" t="str">
        <f t="shared" si="17"/>
        <v>Premium4R3less</v>
      </c>
      <c r="D324" s="7" t="str">
        <f t="shared" si="18"/>
        <v>Premium</v>
      </c>
      <c r="E324" s="7" t="str">
        <f>IF(COUNTIF('R6追加前'!A:A,B324)=0,IF(OR(I324="PremiumSS",I324="PremiumSSw"),"R5only","R3less"),"")</f>
        <v>R3less</v>
      </c>
      <c r="F324" s="7" t="str">
        <f>IF(COUNTIF('R6開放'!A:A,B324)&gt;0,"R6release","")</f>
        <v/>
      </c>
      <c r="G324" s="7"/>
      <c r="H324" s="7" t="str">
        <f>VLOOKUP(B324,[1]characters!$A:$C,3,FALSE)</f>
        <v>黄忠</v>
      </c>
      <c r="I324" s="7" t="str">
        <f>VLOOKUP(B324,[1]characters!$A:$J,10,FALSE)</f>
        <v>PremiumS</v>
      </c>
      <c r="J324" s="7">
        <f>VLOOKUP(B324,[1]characters!$A:$I,9,FALSE)</f>
        <v>4</v>
      </c>
      <c r="K324" s="7" t="str">
        <f>VLOOKUP(B324,[1]characters!$A:$H,8,FALSE)</f>
        <v>yellow</v>
      </c>
      <c r="L324" s="7" t="str">
        <f>VLOOKUP(B324,[1]characters!$A:$K,11,FALSE)</f>
        <v>technical</v>
      </c>
      <c r="M324" s="7" t="str">
        <f>VLOOKUP(B324,[1]characters!$A:$M,13,FALSE)</f>
        <v>samurai</v>
      </c>
      <c r="N324" s="7" t="str">
        <f>VLOOKUP(B324,[1]characters!$A:$G,7,FALSE)</f>
        <v>不明</v>
      </c>
      <c r="O324" s="45">
        <f ca="1">IFERROR(VLOOKUP(B324,input_586100!L:R,7,FALSE),VLOOKUP(tables_586100!C324,input_586100!A:H,8,FALSE))</f>
        <v>1060878</v>
      </c>
      <c r="P324" s="46">
        <f t="shared" ca="1" si="19"/>
        <v>8.2468749999794963E-3</v>
      </c>
      <c r="Q324" s="30">
        <v>1</v>
      </c>
      <c r="R324" s="30">
        <v>0</v>
      </c>
      <c r="S324" s="30">
        <v>0</v>
      </c>
      <c r="T324" s="30">
        <v>0</v>
      </c>
      <c r="U324" s="30">
        <v>0</v>
      </c>
      <c r="V324" s="30">
        <v>1</v>
      </c>
    </row>
    <row r="325" spans="1:22" ht="21" customHeight="1" x14ac:dyDescent="0.15">
      <c r="A325" s="2" t="str">
        <f ca="1">input_586100!A$2</f>
        <v>586100</v>
      </c>
      <c r="B325" s="5">
        <v>1144</v>
      </c>
      <c r="C325" s="7" t="str">
        <f t="shared" si="17"/>
        <v>Premium5R3less</v>
      </c>
      <c r="D325" s="7" t="str">
        <f t="shared" si="18"/>
        <v>Premium</v>
      </c>
      <c r="E325" s="7" t="str">
        <f>IF(COUNTIF('R6追加前'!A:A,B325)=0,IF(OR(I325="PremiumSS",I325="PremiumSSw"),"R5only","R3less"),"")</f>
        <v>R3less</v>
      </c>
      <c r="F325" s="7" t="str">
        <f>IF(COUNTIF('R6開放'!A:A,B325)&gt;0,"R6release","")</f>
        <v/>
      </c>
      <c r="G325" s="7"/>
      <c r="H325" s="7" t="str">
        <f>VLOOKUP(B325,[1]characters!$A:$C,3,FALSE)</f>
        <v>白星を射る老将 黄忠</v>
      </c>
      <c r="I325" s="7" t="str">
        <f>VLOOKUP(B325,[1]characters!$A:$J,10,FALSE)</f>
        <v>PremiumS</v>
      </c>
      <c r="J325" s="7">
        <f>VLOOKUP(B325,[1]characters!$A:$I,9,FALSE)</f>
        <v>5</v>
      </c>
      <c r="K325" s="7" t="str">
        <f>VLOOKUP(B325,[1]characters!$A:$H,8,FALSE)</f>
        <v>yellow</v>
      </c>
      <c r="L325" s="7" t="str">
        <f>VLOOKUP(B325,[1]characters!$A:$K,11,FALSE)</f>
        <v>technical</v>
      </c>
      <c r="M325" s="7" t="str">
        <f>VLOOKUP(B325,[1]characters!$A:$M,13,FALSE)</f>
        <v>samurai</v>
      </c>
      <c r="N325" s="7" t="str">
        <f>VLOOKUP(B325,[1]characters!$A:$G,7,FALSE)</f>
        <v>不明</v>
      </c>
      <c r="O325" s="45">
        <f ca="1">IFERROR(VLOOKUP(B325,input_586100!L:R,7,FALSE),VLOOKUP(tables_586100!C325,input_586100!A:H,8,FALSE))</f>
        <v>121940</v>
      </c>
      <c r="P325" s="46">
        <f t="shared" ca="1" si="19"/>
        <v>9.4791666666430984E-4</v>
      </c>
      <c r="Q325" s="30">
        <v>1</v>
      </c>
      <c r="R325" s="30">
        <v>0</v>
      </c>
      <c r="S325" s="30">
        <v>0</v>
      </c>
      <c r="T325" s="30">
        <v>0</v>
      </c>
      <c r="U325" s="30">
        <v>0</v>
      </c>
      <c r="V325" s="30">
        <v>1</v>
      </c>
    </row>
    <row r="326" spans="1:22" ht="21" customHeight="1" x14ac:dyDescent="0.15">
      <c r="A326" s="2" t="str">
        <f ca="1">input_586100!A$2</f>
        <v>586100</v>
      </c>
      <c r="B326" s="5">
        <v>1151</v>
      </c>
      <c r="C326" s="7" t="str">
        <f t="shared" si="17"/>
        <v>Premium4R3less</v>
      </c>
      <c r="D326" s="7" t="str">
        <f t="shared" si="18"/>
        <v>Premium</v>
      </c>
      <c r="E326" s="7" t="str">
        <f>IF(COUNTIF('R6追加前'!A:A,B326)=0,IF(OR(I326="PremiumSS",I326="PremiumSSw"),"R5only","R3less"),"")</f>
        <v>R3less</v>
      </c>
      <c r="F326" s="7" t="str">
        <f>IF(COUNTIF('R6開放'!A:A,B326)&gt;0,"R6release","")</f>
        <v/>
      </c>
      <c r="G326" s="7"/>
      <c r="H326" s="7" t="str">
        <f>VLOOKUP(B326,[1]characters!$A:$C,3,FALSE)</f>
        <v>ガネーシャ</v>
      </c>
      <c r="I326" s="7" t="str">
        <f>VLOOKUP(B326,[1]characters!$A:$J,10,FALSE)</f>
        <v>PremiumS</v>
      </c>
      <c r="J326" s="7">
        <f>VLOOKUP(B326,[1]characters!$A:$I,9,FALSE)</f>
        <v>4</v>
      </c>
      <c r="K326" s="7" t="str">
        <f>VLOOKUP(B326,[1]characters!$A:$H,8,FALSE)</f>
        <v>red</v>
      </c>
      <c r="L326" s="7" t="str">
        <f>VLOOKUP(B326,[1]characters!$A:$K,11,FALSE)</f>
        <v>heal</v>
      </c>
      <c r="M326" s="7" t="str">
        <f>VLOOKUP(B326,[1]characters!$A:$M,13,FALSE)</f>
        <v>god</v>
      </c>
      <c r="N326" s="7" t="str">
        <f>VLOOKUP(B326,[1]characters!$A:$G,7,FALSE)</f>
        <v>不明</v>
      </c>
      <c r="O326" s="45">
        <f ca="1">IFERROR(VLOOKUP(B326,input_586100!L:R,7,FALSE),VLOOKUP(tables_586100!C326,input_586100!A:H,8,FALSE))</f>
        <v>1060878</v>
      </c>
      <c r="P326" s="46">
        <f t="shared" ca="1" si="19"/>
        <v>8.2468749999794963E-3</v>
      </c>
      <c r="Q326" s="30">
        <v>1</v>
      </c>
      <c r="R326" s="30">
        <v>0</v>
      </c>
      <c r="S326" s="30">
        <v>0</v>
      </c>
      <c r="T326" s="30">
        <v>0</v>
      </c>
      <c r="U326" s="30">
        <v>0</v>
      </c>
      <c r="V326" s="30">
        <v>1</v>
      </c>
    </row>
    <row r="327" spans="1:22" ht="21" customHeight="1" x14ac:dyDescent="0.15">
      <c r="A327" s="2" t="str">
        <f ca="1">input_586100!A$2</f>
        <v>586100</v>
      </c>
      <c r="B327" s="5">
        <v>1152</v>
      </c>
      <c r="C327" s="7" t="str">
        <f t="shared" si="17"/>
        <v>Premium5R3less</v>
      </c>
      <c r="D327" s="7" t="str">
        <f t="shared" si="18"/>
        <v>Premium</v>
      </c>
      <c r="E327" s="7" t="str">
        <f>IF(COUNTIF('R6追加前'!A:A,B327)=0,IF(OR(I327="PremiumSS",I327="PremiumSSw"),"R5only","R3less"),"")</f>
        <v>R3less</v>
      </c>
      <c r="F327" s="7" t="str">
        <f>IF(COUNTIF('R6開放'!A:A,B327)&gt;0,"R6release","")</f>
        <v/>
      </c>
      <c r="G327" s="7"/>
      <c r="H327" s="7" t="str">
        <f>VLOOKUP(B327,[1]characters!$A:$C,3,FALSE)</f>
        <v>衆知の富益神 ガネーシャ</v>
      </c>
      <c r="I327" s="7" t="str">
        <f>VLOOKUP(B327,[1]characters!$A:$J,10,FALSE)</f>
        <v>PremiumS</v>
      </c>
      <c r="J327" s="7">
        <f>VLOOKUP(B327,[1]characters!$A:$I,9,FALSE)</f>
        <v>5</v>
      </c>
      <c r="K327" s="7" t="str">
        <f>VLOOKUP(B327,[1]characters!$A:$H,8,FALSE)</f>
        <v>red</v>
      </c>
      <c r="L327" s="7" t="str">
        <f>VLOOKUP(B327,[1]characters!$A:$K,11,FALSE)</f>
        <v>heal</v>
      </c>
      <c r="M327" s="7" t="str">
        <f>VLOOKUP(B327,[1]characters!$A:$M,13,FALSE)</f>
        <v>god</v>
      </c>
      <c r="N327" s="7" t="str">
        <f>VLOOKUP(B327,[1]characters!$A:$G,7,FALSE)</f>
        <v>不明</v>
      </c>
      <c r="O327" s="45">
        <f ca="1">IFERROR(VLOOKUP(B327,input_586100!L:R,7,FALSE),VLOOKUP(tables_586100!C327,input_586100!A:H,8,FALSE))</f>
        <v>121940</v>
      </c>
      <c r="P327" s="46">
        <f t="shared" ca="1" si="19"/>
        <v>9.4791666666430984E-4</v>
      </c>
      <c r="Q327" s="30">
        <v>1</v>
      </c>
      <c r="R327" s="30">
        <v>0</v>
      </c>
      <c r="S327" s="30">
        <v>0</v>
      </c>
      <c r="T327" s="30">
        <v>0</v>
      </c>
      <c r="U327" s="30">
        <v>0</v>
      </c>
      <c r="V327" s="30">
        <v>1</v>
      </c>
    </row>
    <row r="328" spans="1:22" ht="21" customHeight="1" x14ac:dyDescent="0.15">
      <c r="A328" s="2" t="str">
        <f ca="1">input_586100!A$2</f>
        <v>586100</v>
      </c>
      <c r="B328" s="5">
        <v>1153</v>
      </c>
      <c r="C328" s="7" t="str">
        <f t="shared" si="17"/>
        <v>PremiumSS5R5only</v>
      </c>
      <c r="D328" s="7" t="str">
        <f t="shared" si="18"/>
        <v>PremiumSS</v>
      </c>
      <c r="E328" s="7" t="str">
        <f>IF(COUNTIF('R6追加前'!A:A,B328)=0,IF(OR(I328="PremiumSS",I328="PremiumSSw"),"R5only","R3less"),"")</f>
        <v>R5only</v>
      </c>
      <c r="F328" s="7" t="str">
        <f>IF(COUNTIF('R6開放'!A:A,B328)&gt;0,"R6release","")</f>
        <v/>
      </c>
      <c r="G328" s="7"/>
      <c r="H328" s="7" t="str">
        <f>VLOOKUP(B328,[1]characters!$A:$C,3,FALSE)</f>
        <v>ラクシュミー</v>
      </c>
      <c r="I328" s="7" t="str">
        <f>VLOOKUP(B328,[1]characters!$A:$J,10,FALSE)</f>
        <v>PremiumSSw</v>
      </c>
      <c r="J328" s="7">
        <f>VLOOKUP(B328,[1]characters!$A:$I,9,FALSE)</f>
        <v>5</v>
      </c>
      <c r="K328" s="7" t="str">
        <f>VLOOKUP(B328,[1]characters!$A:$H,8,FALSE)</f>
        <v>green</v>
      </c>
      <c r="L328" s="7" t="str">
        <f>VLOOKUP(B328,[1]characters!$A:$K,11,FALSE)</f>
        <v>hp</v>
      </c>
      <c r="M328" s="7" t="str">
        <f>VLOOKUP(B328,[1]characters!$A:$M,13,FALSE)</f>
        <v>god</v>
      </c>
      <c r="N328" s="7" t="str">
        <f>VLOOKUP(B328,[1]characters!$A:$G,7,FALSE)</f>
        <v>不明</v>
      </c>
      <c r="O328" s="45">
        <f ca="1">IFERROR(VLOOKUP(B328,input_586100!L:R,7,FALSE),VLOOKUP(tables_586100!C328,input_586100!A:H,8,FALSE))</f>
        <v>67000</v>
      </c>
      <c r="P328" s="46">
        <f t="shared" ca="1" si="19"/>
        <v>5.2083333333203836E-4</v>
      </c>
      <c r="Q328" s="30">
        <v>1</v>
      </c>
      <c r="R328" s="30">
        <v>0</v>
      </c>
      <c r="S328" s="30">
        <v>0</v>
      </c>
      <c r="T328" s="30">
        <v>0</v>
      </c>
      <c r="U328" s="30">
        <v>0</v>
      </c>
      <c r="V328" s="30">
        <v>1</v>
      </c>
    </row>
    <row r="329" spans="1:22" ht="21" customHeight="1" x14ac:dyDescent="0.15">
      <c r="A329" s="2" t="str">
        <f ca="1">input_586100!A$2</f>
        <v>586100</v>
      </c>
      <c r="B329" s="5">
        <v>1155</v>
      </c>
      <c r="C329" s="7" t="str">
        <f t="shared" si="17"/>
        <v>PremiumSS5R5only</v>
      </c>
      <c r="D329" s="7" t="str">
        <f t="shared" si="18"/>
        <v>PremiumSS</v>
      </c>
      <c r="E329" s="7" t="str">
        <f>IF(COUNTIF('R6追加前'!A:A,B329)=0,IF(OR(I329="PremiumSS",I329="PremiumSSw"),"R5only","R3less"),"")</f>
        <v>R5only</v>
      </c>
      <c r="F329" s="7" t="str">
        <f>IF(COUNTIF('R6開放'!A:A,B329)&gt;0,"R6release","")</f>
        <v/>
      </c>
      <c r="G329" s="7"/>
      <c r="H329" s="7" t="str">
        <f>VLOOKUP(B329,[1]characters!$A:$C,3,FALSE)</f>
        <v>ドゥルガー</v>
      </c>
      <c r="I329" s="7" t="str">
        <f>VLOOKUP(B329,[1]characters!$A:$J,10,FALSE)</f>
        <v>PremiumSS</v>
      </c>
      <c r="J329" s="7">
        <f>VLOOKUP(B329,[1]characters!$A:$I,9,FALSE)</f>
        <v>5</v>
      </c>
      <c r="K329" s="7" t="str">
        <f>VLOOKUP(B329,[1]characters!$A:$H,8,FALSE)</f>
        <v>blue</v>
      </c>
      <c r="L329" s="7" t="str">
        <f>VLOOKUP(B329,[1]characters!$A:$K,11,FALSE)</f>
        <v>balance</v>
      </c>
      <c r="M329" s="7" t="str">
        <f>VLOOKUP(B329,[1]characters!$A:$M,13,FALSE)</f>
        <v>god</v>
      </c>
      <c r="N329" s="7" t="str">
        <f>VLOOKUP(B329,[1]characters!$A:$G,7,FALSE)</f>
        <v>不明</v>
      </c>
      <c r="O329" s="45">
        <f ca="1">IFERROR(VLOOKUP(B329,input_586100!L:R,7,FALSE),VLOOKUP(tables_586100!C329,input_586100!A:H,8,FALSE))</f>
        <v>67000</v>
      </c>
      <c r="P329" s="46">
        <f t="shared" ca="1" si="19"/>
        <v>5.2083333333203836E-4</v>
      </c>
      <c r="Q329" s="30">
        <v>1</v>
      </c>
      <c r="R329" s="30">
        <v>0</v>
      </c>
      <c r="S329" s="30">
        <v>0</v>
      </c>
      <c r="T329" s="30">
        <v>0</v>
      </c>
      <c r="U329" s="30">
        <v>0</v>
      </c>
      <c r="V329" s="30">
        <v>1</v>
      </c>
    </row>
    <row r="330" spans="1:22" ht="21" customHeight="1" x14ac:dyDescent="0.15">
      <c r="A330" s="2" t="str">
        <f ca="1">input_586100!A$2</f>
        <v>586100</v>
      </c>
      <c r="B330" s="5">
        <v>1157</v>
      </c>
      <c r="C330" s="7" t="str">
        <f t="shared" ref="C330:C355" si="20">D330&amp;J330&amp;E330&amp;F330&amp;G330</f>
        <v>PremiumSS5R5only</v>
      </c>
      <c r="D330" s="7" t="str">
        <f t="shared" ref="D330:D355" si="21">IF(OR(I330="PremiumSS",I330="PremiumSSw"),"PremiumSS",IF(I330="PremiumSSS",I330,IF(I330="PremiumW",IF(J330=5,"premium",I330),"Premium")))</f>
        <v>PremiumSS</v>
      </c>
      <c r="E330" s="7" t="str">
        <f>IF(COUNTIF('R6追加前'!A:A,B330)=0,IF(OR(I330="PremiumSS",I330="PremiumSSw"),"R5only","R3less"),"")</f>
        <v>R5only</v>
      </c>
      <c r="F330" s="7" t="str">
        <f>IF(COUNTIF('R6開放'!A:A,B330)&gt;0,"R6release","")</f>
        <v/>
      </c>
      <c r="G330" s="7"/>
      <c r="H330" s="7" t="str">
        <f>VLOOKUP(B330,[1]characters!$A:$C,3,FALSE)</f>
        <v>インドラ</v>
      </c>
      <c r="I330" s="7" t="str">
        <f>VLOOKUP(B330,[1]characters!$A:$J,10,FALSE)</f>
        <v>PremiumSS</v>
      </c>
      <c r="J330" s="7">
        <f>VLOOKUP(B330,[1]characters!$A:$I,9,FALSE)</f>
        <v>5</v>
      </c>
      <c r="K330" s="7" t="str">
        <f>VLOOKUP(B330,[1]characters!$A:$H,8,FALSE)</f>
        <v>yellow</v>
      </c>
      <c r="L330" s="7" t="str">
        <f>VLOOKUP(B330,[1]characters!$A:$K,11,FALSE)</f>
        <v>attack</v>
      </c>
      <c r="M330" s="7" t="str">
        <f>VLOOKUP(B330,[1]characters!$A:$M,13,FALSE)</f>
        <v>god</v>
      </c>
      <c r="N330" s="7" t="str">
        <f>VLOOKUP(B330,[1]characters!$A:$G,7,FALSE)</f>
        <v>不明</v>
      </c>
      <c r="O330" s="45">
        <f ca="1">IFERROR(VLOOKUP(B330,input_586100!L:R,7,FALSE),VLOOKUP(tables_586100!C330,input_586100!A:H,8,FALSE))</f>
        <v>67000</v>
      </c>
      <c r="P330" s="46">
        <f t="shared" ca="1" si="19"/>
        <v>5.2083333333203836E-4</v>
      </c>
      <c r="Q330" s="30">
        <v>1</v>
      </c>
      <c r="R330" s="30">
        <v>0</v>
      </c>
      <c r="S330" s="30">
        <v>0</v>
      </c>
      <c r="T330" s="30">
        <v>0</v>
      </c>
      <c r="U330" s="30">
        <v>0</v>
      </c>
      <c r="V330" s="30">
        <v>1</v>
      </c>
    </row>
    <row r="331" spans="1:22" ht="21" customHeight="1" x14ac:dyDescent="0.15">
      <c r="A331" s="2" t="str">
        <f ca="1">input_586100!A$2</f>
        <v>586100</v>
      </c>
      <c r="B331" s="5">
        <v>1214</v>
      </c>
      <c r="C331" s="7" t="str">
        <f t="shared" si="20"/>
        <v>PremiumSS5R5only</v>
      </c>
      <c r="D331" s="7" t="str">
        <f t="shared" si="21"/>
        <v>PremiumSS</v>
      </c>
      <c r="E331" s="7" t="str">
        <f>IF(COUNTIF('R6追加前'!A:A,B331)=0,IF(OR(I331="PremiumSS",I331="PremiumSSw"),"R5only","R3less"),"")</f>
        <v>R5only</v>
      </c>
      <c r="F331" s="7" t="str">
        <f>IF(COUNTIF('R6開放'!A:A,B331)&gt;0,"R6release","")</f>
        <v/>
      </c>
      <c r="G331" s="7"/>
      <c r="H331" s="7" t="str">
        <f>VLOOKUP(B331,[1]characters!$A:$C,3,FALSE)</f>
        <v>アルテミス</v>
      </c>
      <c r="I331" s="7" t="str">
        <f>VLOOKUP(B331,[1]characters!$A:$J,10,FALSE)</f>
        <v>PremiumSSw</v>
      </c>
      <c r="J331" s="7">
        <f>VLOOKUP(B331,[1]characters!$A:$I,9,FALSE)</f>
        <v>5</v>
      </c>
      <c r="K331" s="7" t="str">
        <f>VLOOKUP(B331,[1]characters!$A:$H,8,FALSE)</f>
        <v>yellow</v>
      </c>
      <c r="L331" s="7" t="str">
        <f>VLOOKUP(B331,[1]characters!$A:$K,11,FALSE)</f>
        <v>balance</v>
      </c>
      <c r="M331" s="7" t="str">
        <f>VLOOKUP(B331,[1]characters!$A:$M,13,FALSE)</f>
        <v>god</v>
      </c>
      <c r="N331" s="7">
        <f>VLOOKUP(B331,[1]characters!$A:$G,7,FALSE)</f>
        <v>0</v>
      </c>
      <c r="O331" s="45">
        <f ca="1">IFERROR(VLOOKUP(B331,input_586100!L:R,7,FALSE),VLOOKUP(tables_586100!C331,input_586100!A:H,8,FALSE))</f>
        <v>67000</v>
      </c>
      <c r="P331" s="46">
        <f t="shared" ca="1" si="19"/>
        <v>5.2083333333203836E-4</v>
      </c>
      <c r="Q331" s="30">
        <v>1</v>
      </c>
      <c r="R331" s="30">
        <v>0</v>
      </c>
      <c r="S331" s="30">
        <v>0</v>
      </c>
      <c r="T331" s="30">
        <v>0</v>
      </c>
      <c r="U331" s="30">
        <v>0</v>
      </c>
      <c r="V331" s="30">
        <v>1</v>
      </c>
    </row>
    <row r="332" spans="1:22" ht="21" customHeight="1" x14ac:dyDescent="0.15">
      <c r="A332" s="2" t="str">
        <f ca="1">input_586100!A$2</f>
        <v>586100</v>
      </c>
      <c r="B332" s="5">
        <v>1212</v>
      </c>
      <c r="C332" s="7" t="str">
        <f t="shared" si="20"/>
        <v>PremiumSS5R5only</v>
      </c>
      <c r="D332" s="7" t="str">
        <f t="shared" si="21"/>
        <v>PremiumSS</v>
      </c>
      <c r="E332" s="7" t="str">
        <f>IF(COUNTIF('R6追加前'!A:A,B332)=0,IF(OR(I332="PremiumSS",I332="PremiumSSw"),"R5only","R3less"),"")</f>
        <v>R5only</v>
      </c>
      <c r="F332" s="7" t="str">
        <f>IF(COUNTIF('R6開放'!A:A,B332)&gt;0,"R6release","")</f>
        <v/>
      </c>
      <c r="G332" s="7"/>
      <c r="H332" s="7" t="str">
        <f>VLOOKUP(B332,[1]characters!$A:$C,3,FALSE)</f>
        <v>クロノス</v>
      </c>
      <c r="I332" s="7" t="str">
        <f>VLOOKUP(B332,[1]characters!$A:$J,10,FALSE)</f>
        <v>PremiumSS</v>
      </c>
      <c r="J332" s="7">
        <f>VLOOKUP(B332,[1]characters!$A:$I,9,FALSE)</f>
        <v>5</v>
      </c>
      <c r="K332" s="7" t="str">
        <f>VLOOKUP(B332,[1]characters!$A:$H,8,FALSE)</f>
        <v>blue</v>
      </c>
      <c r="L332" s="7" t="str">
        <f>VLOOKUP(B332,[1]characters!$A:$K,11,FALSE)</f>
        <v>technical</v>
      </c>
      <c r="M332" s="7" t="str">
        <f>VLOOKUP(B332,[1]characters!$A:$M,13,FALSE)</f>
        <v>god</v>
      </c>
      <c r="N332" s="7">
        <f>VLOOKUP(B332,[1]characters!$A:$G,7,FALSE)</f>
        <v>0</v>
      </c>
      <c r="O332" s="45">
        <f ca="1">IFERROR(VLOOKUP(B332,input_586100!L:R,7,FALSE),VLOOKUP(tables_586100!C332,input_586100!A:H,8,FALSE))</f>
        <v>67000</v>
      </c>
      <c r="P332" s="46">
        <f t="shared" ca="1" si="19"/>
        <v>5.2083333333203836E-4</v>
      </c>
      <c r="Q332" s="30">
        <v>1</v>
      </c>
      <c r="R332" s="30">
        <v>0</v>
      </c>
      <c r="S332" s="30">
        <v>0</v>
      </c>
      <c r="T332" s="30">
        <v>0</v>
      </c>
      <c r="U332" s="30">
        <v>0</v>
      </c>
      <c r="V332" s="30">
        <v>1</v>
      </c>
    </row>
    <row r="333" spans="1:22" ht="21" customHeight="1" x14ac:dyDescent="0.15">
      <c r="A333" s="2" t="str">
        <f ca="1">input_586100!A$2</f>
        <v>586100</v>
      </c>
      <c r="B333" s="5">
        <v>1208</v>
      </c>
      <c r="C333" s="7" t="str">
        <f t="shared" si="20"/>
        <v>PremiumSS5R5only</v>
      </c>
      <c r="D333" s="7" t="str">
        <f t="shared" si="21"/>
        <v>PremiumSS</v>
      </c>
      <c r="E333" s="7" t="str">
        <f>IF(COUNTIF('R6追加前'!A:A,B333)=0,IF(OR(I333="PremiumSS",I333="PremiumSSw"),"R5only","R3less"),"")</f>
        <v>R5only</v>
      </c>
      <c r="F333" s="7" t="str">
        <f>IF(COUNTIF('R6開放'!A:A,B333)&gt;0,"R6release","")</f>
        <v/>
      </c>
      <c r="G333" s="7"/>
      <c r="H333" s="7" t="str">
        <f>VLOOKUP(B333,[1]characters!$A:$C,3,FALSE)</f>
        <v>ネメシス</v>
      </c>
      <c r="I333" s="7" t="str">
        <f>VLOOKUP(B333,[1]characters!$A:$J,10,FALSE)</f>
        <v>PremiumSS</v>
      </c>
      <c r="J333" s="7">
        <f>VLOOKUP(B333,[1]characters!$A:$I,9,FALSE)</f>
        <v>5</v>
      </c>
      <c r="K333" s="7" t="str">
        <f>VLOOKUP(B333,[1]characters!$A:$H,8,FALSE)</f>
        <v>red</v>
      </c>
      <c r="L333" s="7" t="str">
        <f>VLOOKUP(B333,[1]characters!$A:$K,11,FALSE)</f>
        <v>hp</v>
      </c>
      <c r="M333" s="7" t="str">
        <f>VLOOKUP(B333,[1]characters!$A:$M,13,FALSE)</f>
        <v>god</v>
      </c>
      <c r="N333" s="7">
        <f>VLOOKUP(B333,[1]characters!$A:$G,7,FALSE)</f>
        <v>0</v>
      </c>
      <c r="O333" s="45">
        <f ca="1">IFERROR(VLOOKUP(B333,input_586100!L:R,7,FALSE),VLOOKUP(tables_586100!C333,input_586100!A:H,8,FALSE))</f>
        <v>67000</v>
      </c>
      <c r="P333" s="46">
        <f t="shared" ca="1" si="19"/>
        <v>5.2083333333203836E-4</v>
      </c>
      <c r="Q333" s="30">
        <v>1</v>
      </c>
      <c r="R333" s="30">
        <v>0</v>
      </c>
      <c r="S333" s="30">
        <v>0</v>
      </c>
      <c r="T333" s="30">
        <v>0</v>
      </c>
      <c r="U333" s="30">
        <v>0</v>
      </c>
      <c r="V333" s="30">
        <v>1</v>
      </c>
    </row>
    <row r="334" spans="1:22" ht="21" customHeight="1" x14ac:dyDescent="0.15">
      <c r="A334" s="2" t="str">
        <f ca="1">input_586100!A$2</f>
        <v>586100</v>
      </c>
      <c r="B334" s="5">
        <v>1210</v>
      </c>
      <c r="C334" s="7" t="str">
        <f t="shared" si="20"/>
        <v>Premium4R3less</v>
      </c>
      <c r="D334" s="7" t="str">
        <f t="shared" si="21"/>
        <v>Premium</v>
      </c>
      <c r="E334" s="7" t="str">
        <f>IF(COUNTIF('R6追加前'!A:A,B334)=0,IF(OR(I334="PremiumSS",I334="PremiumSSw"),"R5only","R3less"),"")</f>
        <v>R3less</v>
      </c>
      <c r="F334" s="7" t="str">
        <f>IF(COUNTIF('R6開放'!A:A,B334)&gt;0,"R6release","")</f>
        <v/>
      </c>
      <c r="G334" s="7"/>
      <c r="H334" s="7" t="str">
        <f>VLOOKUP(B334,[1]characters!$A:$C,3,FALSE)</f>
        <v>ケンタウロス</v>
      </c>
      <c r="I334" s="7" t="str">
        <f>VLOOKUP(B334,[1]characters!$A:$J,10,FALSE)</f>
        <v>PremiumS</v>
      </c>
      <c r="J334" s="7">
        <f>VLOOKUP(B334,[1]characters!$A:$I,9,FALSE)</f>
        <v>4</v>
      </c>
      <c r="K334" s="7" t="str">
        <f>VLOOKUP(B334,[1]characters!$A:$H,8,FALSE)</f>
        <v>green</v>
      </c>
      <c r="L334" s="7" t="str">
        <f>VLOOKUP(B334,[1]characters!$A:$K,11,FALSE)</f>
        <v>attack</v>
      </c>
      <c r="M334" s="7" t="str">
        <f>VLOOKUP(B334,[1]characters!$A:$M,13,FALSE)</f>
        <v>god</v>
      </c>
      <c r="N334" s="7">
        <f>VLOOKUP(B334,[1]characters!$A:$G,7,FALSE)</f>
        <v>0</v>
      </c>
      <c r="O334" s="45">
        <f ca="1">IFERROR(VLOOKUP(B334,input_586100!L:R,7,FALSE),VLOOKUP(tables_586100!C334,input_586100!A:H,8,FALSE))</f>
        <v>1060878</v>
      </c>
      <c r="P334" s="46">
        <f t="shared" ca="1" si="19"/>
        <v>8.2468749999794963E-3</v>
      </c>
      <c r="Q334" s="30">
        <v>1</v>
      </c>
      <c r="R334" s="30">
        <v>0</v>
      </c>
      <c r="S334" s="30">
        <v>0</v>
      </c>
      <c r="T334" s="30">
        <v>0</v>
      </c>
      <c r="U334" s="30">
        <v>0</v>
      </c>
      <c r="V334" s="30">
        <v>1</v>
      </c>
    </row>
    <row r="335" spans="1:22" ht="21" customHeight="1" x14ac:dyDescent="0.15">
      <c r="A335" s="2" t="str">
        <f ca="1">input_586100!A$2</f>
        <v>586100</v>
      </c>
      <c r="B335" s="5">
        <v>1211</v>
      </c>
      <c r="C335" s="7" t="str">
        <f t="shared" si="20"/>
        <v>Premium5R3less</v>
      </c>
      <c r="D335" s="7" t="str">
        <f t="shared" si="21"/>
        <v>Premium</v>
      </c>
      <c r="E335" s="7" t="str">
        <f>IF(COUNTIF('R6追加前'!A:A,B335)=0,IF(OR(I335="PremiumSS",I335="PremiumSSw"),"R5only","R3less"),"")</f>
        <v>R3less</v>
      </c>
      <c r="F335" s="7" t="str">
        <f>IF(COUNTIF('R6開放'!A:A,B335)&gt;0,"R6release","")</f>
        <v/>
      </c>
      <c r="G335" s="7"/>
      <c r="H335" s="7" t="str">
        <f>VLOOKUP(B335,[1]characters!$A:$C,3,FALSE)</f>
        <v>奏駆の翻騎 ケンタウロス</v>
      </c>
      <c r="I335" s="7" t="str">
        <f>VLOOKUP(B335,[1]characters!$A:$J,10,FALSE)</f>
        <v>PremiumS</v>
      </c>
      <c r="J335" s="7">
        <f>VLOOKUP(B335,[1]characters!$A:$I,9,FALSE)</f>
        <v>5</v>
      </c>
      <c r="K335" s="7" t="str">
        <f>VLOOKUP(B335,[1]characters!$A:$H,8,FALSE)</f>
        <v>green</v>
      </c>
      <c r="L335" s="7" t="str">
        <f>VLOOKUP(B335,[1]characters!$A:$K,11,FALSE)</f>
        <v>attack</v>
      </c>
      <c r="M335" s="7" t="str">
        <f>VLOOKUP(B335,[1]characters!$A:$M,13,FALSE)</f>
        <v>god</v>
      </c>
      <c r="N335" s="7">
        <f>VLOOKUP(B335,[1]characters!$A:$G,7,FALSE)</f>
        <v>0</v>
      </c>
      <c r="O335" s="45">
        <f ca="1">IFERROR(VLOOKUP(B335,input_586100!L:R,7,FALSE),VLOOKUP(tables_586100!C335,input_586100!A:H,8,FALSE))</f>
        <v>121940</v>
      </c>
      <c r="P335" s="46">
        <f t="shared" ca="1" si="19"/>
        <v>9.4791666666430984E-4</v>
      </c>
      <c r="Q335" s="30">
        <v>1</v>
      </c>
      <c r="R335" s="30">
        <v>0</v>
      </c>
      <c r="S335" s="30">
        <v>0</v>
      </c>
      <c r="T335" s="30">
        <v>0</v>
      </c>
      <c r="U335" s="30">
        <v>0</v>
      </c>
      <c r="V335" s="30">
        <v>1</v>
      </c>
    </row>
    <row r="336" spans="1:22" ht="21" customHeight="1" x14ac:dyDescent="0.15">
      <c r="A336" s="2" t="str">
        <f ca="1">input_586100!A$2</f>
        <v>586100</v>
      </c>
      <c r="B336" s="5">
        <v>1224</v>
      </c>
      <c r="C336" s="7" t="str">
        <f t="shared" si="20"/>
        <v>Premium4R3less</v>
      </c>
      <c r="D336" s="7" t="str">
        <f t="shared" si="21"/>
        <v>Premium</v>
      </c>
      <c r="E336" s="7" t="str">
        <f>IF(COUNTIF('R6追加前'!A:A,B336)=0,IF(OR(I336="PremiumSS",I336="PremiumSSw"),"R5only","R3less"),"")</f>
        <v>R3less</v>
      </c>
      <c r="F336" s="7" t="str">
        <f>IF(COUNTIF('R6開放'!A:A,B336)&gt;0,"R6release","")</f>
        <v/>
      </c>
      <c r="G336" s="7"/>
      <c r="H336" s="7" t="str">
        <f>VLOOKUP(B336,[1]characters!$A:$C,3,FALSE)</f>
        <v>セルバンテス</v>
      </c>
      <c r="I336" s="7" t="str">
        <f>VLOOKUP(B336,[1]characters!$A:$J,10,FALSE)</f>
        <v>PremiumS</v>
      </c>
      <c r="J336" s="7">
        <f>VLOOKUP(B336,[1]characters!$A:$I,9,FALSE)</f>
        <v>4</v>
      </c>
      <c r="K336" s="7" t="str">
        <f>VLOOKUP(B336,[1]characters!$A:$H,8,FALSE)</f>
        <v>red</v>
      </c>
      <c r="L336" s="7" t="str">
        <f>VLOOKUP(B336,[1]characters!$A:$K,11,FALSE)</f>
        <v>attack</v>
      </c>
      <c r="M336" s="7" t="str">
        <f>VLOOKUP(B336,[1]characters!$A:$M,13,FALSE)</f>
        <v>human</v>
      </c>
      <c r="N336" s="7">
        <f>VLOOKUP(B336,[1]characters!$A:$G,7,FALSE)</f>
        <v>0</v>
      </c>
      <c r="O336" s="45">
        <f ca="1">IFERROR(VLOOKUP(B336,input_586100!L:R,7,FALSE),VLOOKUP(tables_586100!C336,input_586100!A:H,8,FALSE))</f>
        <v>1060878</v>
      </c>
      <c r="P336" s="46">
        <f t="shared" ca="1" si="19"/>
        <v>8.2468749999794963E-3</v>
      </c>
      <c r="Q336" s="30">
        <v>1</v>
      </c>
      <c r="R336" s="30">
        <v>0</v>
      </c>
      <c r="S336" s="30">
        <v>0</v>
      </c>
      <c r="T336" s="30">
        <v>0</v>
      </c>
      <c r="U336" s="30">
        <v>0</v>
      </c>
      <c r="V336" s="30">
        <v>1</v>
      </c>
    </row>
    <row r="337" spans="1:22" ht="21" customHeight="1" x14ac:dyDescent="0.15">
      <c r="A337" s="2" t="str">
        <f ca="1">input_586100!A$2</f>
        <v>586100</v>
      </c>
      <c r="B337" s="5">
        <v>1225</v>
      </c>
      <c r="C337" s="7" t="str">
        <f t="shared" si="20"/>
        <v>Premium5R3less</v>
      </c>
      <c r="D337" s="7" t="str">
        <f t="shared" si="21"/>
        <v>Premium</v>
      </c>
      <c r="E337" s="7" t="str">
        <f>IF(COUNTIF('R6追加前'!A:A,B337)=0,IF(OR(I337="PremiumSS",I337="PremiumSSw"),"R5only","R3less"),"")</f>
        <v>R3less</v>
      </c>
      <c r="F337" s="7" t="str">
        <f>IF(COUNTIF('R6開放'!A:A,B337)&gt;0,"R6release","")</f>
        <v/>
      </c>
      <c r="G337" s="7"/>
      <c r="H337" s="7" t="str">
        <f>VLOOKUP(B337,[1]characters!$A:$C,3,FALSE)</f>
        <v>優柔なる風断者 セルバンテス</v>
      </c>
      <c r="I337" s="7" t="str">
        <f>VLOOKUP(B337,[1]characters!$A:$J,10,FALSE)</f>
        <v>PremiumS</v>
      </c>
      <c r="J337" s="7">
        <f>VLOOKUP(B337,[1]characters!$A:$I,9,FALSE)</f>
        <v>5</v>
      </c>
      <c r="K337" s="7" t="str">
        <f>VLOOKUP(B337,[1]characters!$A:$H,8,FALSE)</f>
        <v>red</v>
      </c>
      <c r="L337" s="7" t="str">
        <f>VLOOKUP(B337,[1]characters!$A:$K,11,FALSE)</f>
        <v>attack</v>
      </c>
      <c r="M337" s="7" t="str">
        <f>VLOOKUP(B337,[1]characters!$A:$M,13,FALSE)</f>
        <v>human</v>
      </c>
      <c r="N337" s="7">
        <f>VLOOKUP(B337,[1]characters!$A:$G,7,FALSE)</f>
        <v>0</v>
      </c>
      <c r="O337" s="45">
        <f ca="1">IFERROR(VLOOKUP(B337,input_586100!L:R,7,FALSE),VLOOKUP(tables_586100!C337,input_586100!A:H,8,FALSE))</f>
        <v>121940</v>
      </c>
      <c r="P337" s="46">
        <f t="shared" ca="1" si="19"/>
        <v>9.4791666666430984E-4</v>
      </c>
      <c r="Q337" s="30">
        <v>1</v>
      </c>
      <c r="R337" s="30">
        <v>0</v>
      </c>
      <c r="S337" s="30">
        <v>0</v>
      </c>
      <c r="T337" s="30">
        <v>0</v>
      </c>
      <c r="U337" s="30">
        <v>0</v>
      </c>
      <c r="V337" s="30">
        <v>1</v>
      </c>
    </row>
    <row r="338" spans="1:22" ht="21" customHeight="1" x14ac:dyDescent="0.15">
      <c r="A338" s="2" t="str">
        <f ca="1">input_586100!A$2</f>
        <v>586100</v>
      </c>
      <c r="B338" s="5">
        <v>1226</v>
      </c>
      <c r="C338" s="7" t="str">
        <f t="shared" si="20"/>
        <v>PremiumSS5R5only</v>
      </c>
      <c r="D338" s="7" t="str">
        <f t="shared" si="21"/>
        <v>PremiumSS</v>
      </c>
      <c r="E338" s="7" t="str">
        <f>IF(COUNTIF('R6追加前'!A:A,B338)=0,IF(OR(I338="PremiumSS",I338="PremiumSSw"),"R5only","R3less"),"")</f>
        <v>R5only</v>
      </c>
      <c r="F338" s="7" t="str">
        <f>IF(COUNTIF('R6開放'!A:A,B338)&gt;0,"R6release","")</f>
        <v/>
      </c>
      <c r="G338" s="7"/>
      <c r="H338" s="7" t="str">
        <f>VLOOKUP(B338,[1]characters!$A:$C,3,FALSE)</f>
        <v>トルストイ</v>
      </c>
      <c r="I338" s="7" t="str">
        <f>VLOOKUP(B338,[1]characters!$A:$J,10,FALSE)</f>
        <v>PremiumSS</v>
      </c>
      <c r="J338" s="7">
        <f>VLOOKUP(B338,[1]characters!$A:$I,9,FALSE)</f>
        <v>5</v>
      </c>
      <c r="K338" s="7" t="str">
        <f>VLOOKUP(B338,[1]characters!$A:$H,8,FALSE)</f>
        <v>green</v>
      </c>
      <c r="L338" s="7" t="str">
        <f>VLOOKUP(B338,[1]characters!$A:$K,11,FALSE)</f>
        <v>attack</v>
      </c>
      <c r="M338" s="7" t="str">
        <f>VLOOKUP(B338,[1]characters!$A:$M,13,FALSE)</f>
        <v>human</v>
      </c>
      <c r="N338" s="7">
        <f>VLOOKUP(B338,[1]characters!$A:$G,7,FALSE)</f>
        <v>0</v>
      </c>
      <c r="O338" s="45">
        <f ca="1">IFERROR(VLOOKUP(B338,input_586100!L:R,7,FALSE),VLOOKUP(tables_586100!C338,input_586100!A:H,8,FALSE))</f>
        <v>67000</v>
      </c>
      <c r="P338" s="46">
        <f t="shared" ca="1" si="19"/>
        <v>5.2083333333203836E-4</v>
      </c>
      <c r="Q338" s="30">
        <v>1</v>
      </c>
      <c r="R338" s="30">
        <v>0</v>
      </c>
      <c r="S338" s="30">
        <v>0</v>
      </c>
      <c r="T338" s="30">
        <v>0</v>
      </c>
      <c r="U338" s="30">
        <v>0</v>
      </c>
      <c r="V338" s="30">
        <v>1</v>
      </c>
    </row>
    <row r="339" spans="1:22" ht="21" customHeight="1" x14ac:dyDescent="0.15">
      <c r="A339" s="2" t="str">
        <f ca="1">input_586100!A$2</f>
        <v>586100</v>
      </c>
      <c r="B339" s="5">
        <v>1228</v>
      </c>
      <c r="C339" s="7" t="str">
        <f t="shared" si="20"/>
        <v>PremiumSS5R5only</v>
      </c>
      <c r="D339" s="7" t="str">
        <f t="shared" si="21"/>
        <v>PremiumSS</v>
      </c>
      <c r="E339" s="7" t="str">
        <f>IF(COUNTIF('R6追加前'!A:A,B339)=0,IF(OR(I339="PremiumSS",I339="PremiumSSw"),"R5only","R3less"),"")</f>
        <v>R5only</v>
      </c>
      <c r="F339" s="7" t="str">
        <f>IF(COUNTIF('R6開放'!A:A,B339)&gt;0,"R6release","")</f>
        <v/>
      </c>
      <c r="G339" s="7"/>
      <c r="H339" s="7" t="str">
        <f>VLOOKUP(B339,[1]characters!$A:$C,3,FALSE)</f>
        <v>芥川龍之介</v>
      </c>
      <c r="I339" s="7" t="str">
        <f>VLOOKUP(B339,[1]characters!$A:$J,10,FALSE)</f>
        <v>PremiumSSw</v>
      </c>
      <c r="J339" s="7">
        <f>VLOOKUP(B339,[1]characters!$A:$I,9,FALSE)</f>
        <v>5</v>
      </c>
      <c r="K339" s="7" t="str">
        <f>VLOOKUP(B339,[1]characters!$A:$H,8,FALSE)</f>
        <v>blue</v>
      </c>
      <c r="L339" s="7" t="str">
        <f>VLOOKUP(B339,[1]characters!$A:$K,11,FALSE)</f>
        <v>attack</v>
      </c>
      <c r="M339" s="7" t="str">
        <f>VLOOKUP(B339,[1]characters!$A:$M,13,FALSE)</f>
        <v>human</v>
      </c>
      <c r="N339" s="7">
        <f>VLOOKUP(B339,[1]characters!$A:$G,7,FALSE)</f>
        <v>0</v>
      </c>
      <c r="O339" s="45">
        <f ca="1">IFERROR(VLOOKUP(B339,input_586100!L:R,7,FALSE),VLOOKUP(tables_586100!C339,input_586100!A:H,8,FALSE))</f>
        <v>67000</v>
      </c>
      <c r="P339" s="46">
        <f t="shared" ca="1" si="19"/>
        <v>5.2083333333203836E-4</v>
      </c>
      <c r="Q339" s="30">
        <v>1</v>
      </c>
      <c r="R339" s="30">
        <v>0</v>
      </c>
      <c r="S339" s="30">
        <v>0</v>
      </c>
      <c r="T339" s="30">
        <v>0</v>
      </c>
      <c r="U339" s="30">
        <v>0</v>
      </c>
      <c r="V339" s="30">
        <v>1</v>
      </c>
    </row>
    <row r="340" spans="1:22" ht="21" customHeight="1" x14ac:dyDescent="0.15">
      <c r="A340" s="2" t="str">
        <f ca="1">input_586100!A$2</f>
        <v>586100</v>
      </c>
      <c r="B340" s="5">
        <v>1230</v>
      </c>
      <c r="C340" s="7" t="str">
        <f t="shared" si="20"/>
        <v>PremiumSS5R5only</v>
      </c>
      <c r="D340" s="7" t="str">
        <f t="shared" si="21"/>
        <v>PremiumSS</v>
      </c>
      <c r="E340" s="7" t="str">
        <f>IF(COUNTIF('R6追加前'!A:A,B340)=0,IF(OR(I340="PremiumSS",I340="PremiumSSw"),"R5only","R3less"),"")</f>
        <v>R5only</v>
      </c>
      <c r="F340" s="7" t="str">
        <f>IF(COUNTIF('R6開放'!A:A,B340)&gt;0,"R6release","")</f>
        <v/>
      </c>
      <c r="G340" s="7"/>
      <c r="H340" s="7" t="str">
        <f>VLOOKUP(B340,[1]characters!$A:$C,3,FALSE)</f>
        <v>夏目漱石</v>
      </c>
      <c r="I340" s="7" t="str">
        <f>VLOOKUP(B340,[1]characters!$A:$J,10,FALSE)</f>
        <v>PremiumSS</v>
      </c>
      <c r="J340" s="7">
        <f>VLOOKUP(B340,[1]characters!$A:$I,9,FALSE)</f>
        <v>5</v>
      </c>
      <c r="K340" s="7" t="str">
        <f>VLOOKUP(B340,[1]characters!$A:$H,8,FALSE)</f>
        <v>yellow</v>
      </c>
      <c r="L340" s="7" t="str">
        <f>VLOOKUP(B340,[1]characters!$A:$K,11,FALSE)</f>
        <v>heal</v>
      </c>
      <c r="M340" s="7" t="str">
        <f>VLOOKUP(B340,[1]characters!$A:$M,13,FALSE)</f>
        <v>animal</v>
      </c>
      <c r="N340" s="7">
        <f>VLOOKUP(B340,[1]characters!$A:$G,7,FALSE)</f>
        <v>0</v>
      </c>
      <c r="O340" s="45">
        <f ca="1">IFERROR(VLOOKUP(B340,input_586100!L:R,7,FALSE),VLOOKUP(tables_586100!C340,input_586100!A:H,8,FALSE))</f>
        <v>67000</v>
      </c>
      <c r="P340" s="46">
        <f t="shared" ca="1" si="19"/>
        <v>5.2083333333203836E-4</v>
      </c>
      <c r="Q340" s="30">
        <v>1</v>
      </c>
      <c r="R340" s="30">
        <v>0</v>
      </c>
      <c r="S340" s="30">
        <v>0</v>
      </c>
      <c r="T340" s="30">
        <v>0</v>
      </c>
      <c r="U340" s="30">
        <v>0</v>
      </c>
      <c r="V340" s="30">
        <v>1</v>
      </c>
    </row>
    <row r="341" spans="1:22" ht="21" customHeight="1" x14ac:dyDescent="0.15">
      <c r="A341" s="2" t="str">
        <f ca="1">input_586100!A$2</f>
        <v>586100</v>
      </c>
      <c r="B341" s="5">
        <v>1250</v>
      </c>
      <c r="C341" s="7" t="str">
        <f t="shared" si="20"/>
        <v>PremiumSS5R5only</v>
      </c>
      <c r="D341" s="7" t="str">
        <f t="shared" si="21"/>
        <v>PremiumSS</v>
      </c>
      <c r="E341" s="7" t="str">
        <f>IF(COUNTIF('R6追加前'!A:A,B341)=0,IF(OR(I341="PremiumSS",I341="PremiumSSw"),"R5only","R3less"),"")</f>
        <v>R5only</v>
      </c>
      <c r="F341" s="7" t="str">
        <f>IF(COUNTIF('R6開放'!A:A,B341)&gt;0,"R6release","")</f>
        <v/>
      </c>
      <c r="G341" s="7"/>
      <c r="H341" s="7" t="str">
        <f>VLOOKUP(B341,[1]characters!$A:$C,3,FALSE)</f>
        <v>真田幸村</v>
      </c>
      <c r="I341" s="7" t="str">
        <f>VLOOKUP(B341,[1]characters!$A:$J,10,FALSE)</f>
        <v>PremiumSSw</v>
      </c>
      <c r="J341" s="7">
        <f>VLOOKUP(B341,[1]characters!$A:$I,9,FALSE)</f>
        <v>5</v>
      </c>
      <c r="K341" s="7" t="str">
        <f>VLOOKUP(B341,[1]characters!$A:$H,8,FALSE)</f>
        <v>yellow</v>
      </c>
      <c r="L341" s="7" t="str">
        <f>VLOOKUP(B341,[1]characters!$A:$K,11,FALSE)</f>
        <v>attack</v>
      </c>
      <c r="M341" s="7" t="str">
        <f>VLOOKUP(B341,[1]characters!$A:$M,13,FALSE)</f>
        <v>human</v>
      </c>
      <c r="N341" s="7">
        <f>VLOOKUP(B341,[1]characters!$A:$G,7,FALSE)</f>
        <v>0</v>
      </c>
      <c r="O341" s="45">
        <f ca="1">IFERROR(VLOOKUP(B341,input_586100!L:R,7,FALSE),VLOOKUP(tables_586100!C341,input_586100!A:H,8,FALSE))</f>
        <v>67000</v>
      </c>
      <c r="P341" s="46">
        <f t="shared" ca="1" si="19"/>
        <v>5.2083333333203836E-4</v>
      </c>
      <c r="Q341" s="30">
        <v>1</v>
      </c>
      <c r="R341" s="30">
        <v>0</v>
      </c>
      <c r="S341" s="30">
        <v>0</v>
      </c>
      <c r="T341" s="30">
        <v>0</v>
      </c>
      <c r="U341" s="30">
        <v>0</v>
      </c>
      <c r="V341" s="30">
        <v>1</v>
      </c>
    </row>
    <row r="342" spans="1:22" ht="21" customHeight="1" x14ac:dyDescent="0.15">
      <c r="A342" s="2" t="str">
        <f ca="1">input_586100!A$2</f>
        <v>586100</v>
      </c>
      <c r="B342" s="5">
        <v>1248</v>
      </c>
      <c r="C342" s="7" t="str">
        <f t="shared" si="20"/>
        <v>Premium4R3less</v>
      </c>
      <c r="D342" s="7" t="str">
        <f t="shared" si="21"/>
        <v>Premium</v>
      </c>
      <c r="E342" s="7" t="str">
        <f>IF(COUNTIF('R6追加前'!A:A,B342)=0,IF(OR(I342="PremiumSS",I342="PremiumSSw"),"R5only","R3less"),"")</f>
        <v>R3less</v>
      </c>
      <c r="F342" s="7" t="str">
        <f>IF(COUNTIF('R6開放'!A:A,B342)&gt;0,"R6release","")</f>
        <v/>
      </c>
      <c r="G342" s="7"/>
      <c r="H342" s="7" t="str">
        <f>VLOOKUP(B342,[1]characters!$A:$C,3,FALSE)</f>
        <v>寧々</v>
      </c>
      <c r="I342" s="7" t="str">
        <f>VLOOKUP(B342,[1]characters!$A:$J,10,FALSE)</f>
        <v>PremiumS</v>
      </c>
      <c r="J342" s="7">
        <f>VLOOKUP(B342,[1]characters!$A:$I,9,FALSE)</f>
        <v>4</v>
      </c>
      <c r="K342" s="7" t="str">
        <f>VLOOKUP(B342,[1]characters!$A:$H,8,FALSE)</f>
        <v>blue</v>
      </c>
      <c r="L342" s="7" t="str">
        <f>VLOOKUP(B342,[1]characters!$A:$K,11,FALSE)</f>
        <v>heal</v>
      </c>
      <c r="M342" s="7" t="str">
        <f>VLOOKUP(B342,[1]characters!$A:$M,13,FALSE)</f>
        <v>human</v>
      </c>
      <c r="N342" s="7">
        <f>VLOOKUP(B342,[1]characters!$A:$G,7,FALSE)</f>
        <v>0</v>
      </c>
      <c r="O342" s="45">
        <f ca="1">IFERROR(VLOOKUP(B342,input_586100!L:R,7,FALSE),VLOOKUP(tables_586100!C342,input_586100!A:H,8,FALSE))</f>
        <v>1060878</v>
      </c>
      <c r="P342" s="46">
        <f t="shared" ca="1" si="19"/>
        <v>8.2468749999794963E-3</v>
      </c>
      <c r="Q342" s="30">
        <v>1</v>
      </c>
      <c r="R342" s="30">
        <v>0</v>
      </c>
      <c r="S342" s="30">
        <v>0</v>
      </c>
      <c r="T342" s="30">
        <v>0</v>
      </c>
      <c r="U342" s="30">
        <v>0</v>
      </c>
      <c r="V342" s="30">
        <v>1</v>
      </c>
    </row>
    <row r="343" spans="1:22" ht="21" customHeight="1" x14ac:dyDescent="0.15">
      <c r="A343" s="2" t="str">
        <f ca="1">input_586100!A$2</f>
        <v>586100</v>
      </c>
      <c r="B343" s="5">
        <v>1249</v>
      </c>
      <c r="C343" s="7" t="str">
        <f t="shared" si="20"/>
        <v>Premium5R3less</v>
      </c>
      <c r="D343" s="7" t="str">
        <f t="shared" si="21"/>
        <v>Premium</v>
      </c>
      <c r="E343" s="7" t="str">
        <f>IF(COUNTIF('R6追加前'!A:A,B343)=0,IF(OR(I343="PremiumSS",I343="PremiumSSw"),"R5only","R3less"),"")</f>
        <v>R3less</v>
      </c>
      <c r="F343" s="7" t="str">
        <f>IF(COUNTIF('R6開放'!A:A,B343)&gt;0,"R6release","")</f>
        <v/>
      </c>
      <c r="G343" s="7"/>
      <c r="H343" s="7" t="str">
        <f>VLOOKUP(B343,[1]characters!$A:$C,3,FALSE)</f>
        <v>君臨する姐御様 寧々</v>
      </c>
      <c r="I343" s="7" t="str">
        <f>VLOOKUP(B343,[1]characters!$A:$J,10,FALSE)</f>
        <v>PremiumS</v>
      </c>
      <c r="J343" s="7">
        <f>VLOOKUP(B343,[1]characters!$A:$I,9,FALSE)</f>
        <v>5</v>
      </c>
      <c r="K343" s="7" t="str">
        <f>VLOOKUP(B343,[1]characters!$A:$H,8,FALSE)</f>
        <v>blue</v>
      </c>
      <c r="L343" s="7" t="str">
        <f>VLOOKUP(B343,[1]characters!$A:$K,11,FALSE)</f>
        <v>heal</v>
      </c>
      <c r="M343" s="7" t="str">
        <f>VLOOKUP(B343,[1]characters!$A:$M,13,FALSE)</f>
        <v>human</v>
      </c>
      <c r="N343" s="7">
        <f>VLOOKUP(B343,[1]characters!$A:$G,7,FALSE)</f>
        <v>0</v>
      </c>
      <c r="O343" s="45">
        <f ca="1">IFERROR(VLOOKUP(B343,input_586100!L:R,7,FALSE),VLOOKUP(tables_586100!C343,input_586100!A:H,8,FALSE))</f>
        <v>121940</v>
      </c>
      <c r="P343" s="46">
        <f t="shared" ca="1" si="19"/>
        <v>9.4791666666430984E-4</v>
      </c>
      <c r="Q343" s="30">
        <v>1</v>
      </c>
      <c r="R343" s="30">
        <v>0</v>
      </c>
      <c r="S343" s="30">
        <v>0</v>
      </c>
      <c r="T343" s="30">
        <v>0</v>
      </c>
      <c r="U343" s="30">
        <v>0</v>
      </c>
      <c r="V343" s="30">
        <v>1</v>
      </c>
    </row>
    <row r="344" spans="1:22" ht="21" customHeight="1" x14ac:dyDescent="0.15">
      <c r="A344" s="2" t="str">
        <f ca="1">input_586100!A$2</f>
        <v>586100</v>
      </c>
      <c r="B344" s="5">
        <v>1246</v>
      </c>
      <c r="C344" s="7" t="str">
        <f t="shared" si="20"/>
        <v>PremiumSS5R5only</v>
      </c>
      <c r="D344" s="7" t="str">
        <f t="shared" si="21"/>
        <v>PremiumSS</v>
      </c>
      <c r="E344" s="7" t="str">
        <f>IF(COUNTIF('R6追加前'!A:A,B344)=0,IF(OR(I344="PremiumSS",I344="PremiumSSw"),"R5only","R3less"),"")</f>
        <v>R5only</v>
      </c>
      <c r="F344" s="7" t="str">
        <f>IF(COUNTIF('R6開放'!A:A,B344)&gt;0,"R6release","")</f>
        <v/>
      </c>
      <c r="G344" s="7"/>
      <c r="H344" s="7" t="str">
        <f>VLOOKUP(B344,[1]characters!$A:$C,3,FALSE)</f>
        <v>望月千代女</v>
      </c>
      <c r="I344" s="7" t="str">
        <f>VLOOKUP(B344,[1]characters!$A:$J,10,FALSE)</f>
        <v>PremiumSS</v>
      </c>
      <c r="J344" s="7">
        <f>VLOOKUP(B344,[1]characters!$A:$I,9,FALSE)</f>
        <v>5</v>
      </c>
      <c r="K344" s="7" t="str">
        <f>VLOOKUP(B344,[1]characters!$A:$H,8,FALSE)</f>
        <v>green</v>
      </c>
      <c r="L344" s="7" t="str">
        <f>VLOOKUP(B344,[1]characters!$A:$K,11,FALSE)</f>
        <v>heal</v>
      </c>
      <c r="M344" s="7" t="str">
        <f>VLOOKUP(B344,[1]characters!$A:$M,13,FALSE)</f>
        <v>human</v>
      </c>
      <c r="N344" s="7">
        <f>VLOOKUP(B344,[1]characters!$A:$G,7,FALSE)</f>
        <v>0</v>
      </c>
      <c r="O344" s="45">
        <f ca="1">IFERROR(VLOOKUP(B344,input_586100!L:R,7,FALSE),VLOOKUP(tables_586100!C344,input_586100!A:H,8,FALSE))</f>
        <v>67000</v>
      </c>
      <c r="P344" s="46">
        <f t="shared" ca="1" si="19"/>
        <v>5.2083333333203836E-4</v>
      </c>
      <c r="Q344" s="30">
        <v>1</v>
      </c>
      <c r="R344" s="30">
        <v>0</v>
      </c>
      <c r="S344" s="30">
        <v>0</v>
      </c>
      <c r="T344" s="30">
        <v>0</v>
      </c>
      <c r="U344" s="30">
        <v>0</v>
      </c>
      <c r="V344" s="30">
        <v>1</v>
      </c>
    </row>
    <row r="345" spans="1:22" ht="21" customHeight="1" x14ac:dyDescent="0.15">
      <c r="A345" s="2" t="str">
        <f ca="1">input_586100!A$2</f>
        <v>586100</v>
      </c>
      <c r="B345" s="5">
        <v>1244</v>
      </c>
      <c r="C345" s="7" t="str">
        <f t="shared" si="20"/>
        <v>PremiumSS5R5only</v>
      </c>
      <c r="D345" s="7" t="str">
        <f t="shared" si="21"/>
        <v>PremiumSS</v>
      </c>
      <c r="E345" s="7" t="str">
        <f>IF(COUNTIF('R6追加前'!A:A,B345)=0,IF(OR(I345="PremiumSS",I345="PremiumSSw"),"R5only","R3less"),"")</f>
        <v>R5only</v>
      </c>
      <c r="F345" s="7" t="str">
        <f>IF(COUNTIF('R6開放'!A:A,B345)&gt;0,"R6release","")</f>
        <v/>
      </c>
      <c r="G345" s="7"/>
      <c r="H345" s="7" t="str">
        <f>VLOOKUP(B345,[1]characters!$A:$C,3,FALSE)</f>
        <v>猿飛佐助</v>
      </c>
      <c r="I345" s="7" t="str">
        <f>VLOOKUP(B345,[1]characters!$A:$J,10,FALSE)</f>
        <v>PremiumSS</v>
      </c>
      <c r="J345" s="7">
        <f>VLOOKUP(B345,[1]characters!$A:$I,9,FALSE)</f>
        <v>5</v>
      </c>
      <c r="K345" s="7" t="str">
        <f>VLOOKUP(B345,[1]characters!$A:$H,8,FALSE)</f>
        <v>red</v>
      </c>
      <c r="L345" s="7" t="str">
        <f>VLOOKUP(B345,[1]characters!$A:$K,11,FALSE)</f>
        <v>attack</v>
      </c>
      <c r="M345" s="7" t="str">
        <f>VLOOKUP(B345,[1]characters!$A:$M,13,FALSE)</f>
        <v>human</v>
      </c>
      <c r="N345" s="7">
        <f>VLOOKUP(B345,[1]characters!$A:$G,7,FALSE)</f>
        <v>0</v>
      </c>
      <c r="O345" s="45">
        <f ca="1">IFERROR(VLOOKUP(B345,input_586100!L:R,7,FALSE),VLOOKUP(tables_586100!C345,input_586100!A:H,8,FALSE))</f>
        <v>67000</v>
      </c>
      <c r="P345" s="46">
        <f t="shared" ca="1" si="19"/>
        <v>5.2083333333203836E-4</v>
      </c>
      <c r="Q345" s="30">
        <v>1</v>
      </c>
      <c r="R345" s="30">
        <v>0</v>
      </c>
      <c r="S345" s="30">
        <v>0</v>
      </c>
      <c r="T345" s="30">
        <v>0</v>
      </c>
      <c r="U345" s="30">
        <v>0</v>
      </c>
      <c r="V345" s="30">
        <v>1</v>
      </c>
    </row>
    <row r="346" spans="1:22" ht="21" customHeight="1" x14ac:dyDescent="0.15">
      <c r="A346" s="2" t="str">
        <f ca="1">input_586100!A$2</f>
        <v>586100</v>
      </c>
      <c r="B346" s="5">
        <v>1260</v>
      </c>
      <c r="C346" s="7" t="str">
        <f t="shared" si="20"/>
        <v>PremiumSS5R5only</v>
      </c>
      <c r="D346" s="7" t="str">
        <f t="shared" si="21"/>
        <v>PremiumSS</v>
      </c>
      <c r="E346" s="7" t="str">
        <f>IF(COUNTIF('R6追加前'!A:A,B346)=0,IF(OR(I346="PremiumSS",I346="PremiumSSw"),"R5only","R3less"),"")</f>
        <v>R5only</v>
      </c>
      <c r="F346" s="7" t="str">
        <f>IF(COUNTIF('R6開放'!A:A,B346)&gt;0,"R6release","")</f>
        <v/>
      </c>
      <c r="G346" s="7"/>
      <c r="H346" s="7" t="str">
        <f>VLOOKUP(B346,[1]characters!$A:$C,3,FALSE)</f>
        <v>トール</v>
      </c>
      <c r="I346" s="7" t="str">
        <f>VLOOKUP(B346,[1]characters!$A:$J,10,FALSE)</f>
        <v>PremiumSS</v>
      </c>
      <c r="J346" s="7">
        <f>VLOOKUP(B346,[1]characters!$A:$I,9,FALSE)</f>
        <v>5</v>
      </c>
      <c r="K346" s="7" t="str">
        <f>VLOOKUP(B346,[1]characters!$A:$H,8,FALSE)</f>
        <v>red</v>
      </c>
      <c r="L346" s="7" t="str">
        <f>VLOOKUP(B346,[1]characters!$A:$K,11,FALSE)</f>
        <v>balance</v>
      </c>
      <c r="M346" s="7" t="str">
        <f>VLOOKUP(B346,[1]characters!$A:$M,13,FALSE)</f>
        <v>god</v>
      </c>
      <c r="N346" s="7">
        <f>VLOOKUP(B346,[1]characters!$A:$G,7,FALSE)</f>
        <v>0</v>
      </c>
      <c r="O346" s="45">
        <f ca="1">IFERROR(VLOOKUP(B346,input_586100!L:R,7,FALSE),VLOOKUP(tables_586100!C346,input_586100!A:H,8,FALSE))</f>
        <v>67000</v>
      </c>
      <c r="P346" s="46">
        <f t="shared" ca="1" si="19"/>
        <v>5.2083333333203836E-4</v>
      </c>
      <c r="Q346" s="30">
        <v>1</v>
      </c>
      <c r="R346" s="30">
        <v>0</v>
      </c>
      <c r="S346" s="30">
        <v>0</v>
      </c>
      <c r="T346" s="30">
        <v>0</v>
      </c>
      <c r="U346" s="30">
        <v>0</v>
      </c>
      <c r="V346" s="30">
        <v>1</v>
      </c>
    </row>
    <row r="347" spans="1:22" ht="21" customHeight="1" x14ac:dyDescent="0.15">
      <c r="A347" s="2" t="str">
        <f ca="1">input_586100!A$2</f>
        <v>586100</v>
      </c>
      <c r="B347" s="5">
        <v>1262</v>
      </c>
      <c r="C347" s="7" t="str">
        <f t="shared" si="20"/>
        <v>PremiumSS5R5only</v>
      </c>
      <c r="D347" s="7" t="str">
        <f t="shared" si="21"/>
        <v>PremiumSS</v>
      </c>
      <c r="E347" s="7" t="str">
        <f>IF(COUNTIF('R6追加前'!A:A,B347)=0,IF(OR(I347="PremiumSS",I347="PremiumSSw"),"R5only","R3less"),"")</f>
        <v>R5only</v>
      </c>
      <c r="F347" s="7" t="str">
        <f>IF(COUNTIF('R6開放'!A:A,B347)&gt;0,"R6release","")</f>
        <v/>
      </c>
      <c r="G347" s="7"/>
      <c r="H347" s="7" t="str">
        <f>VLOOKUP(B347,[1]characters!$A:$C,3,FALSE)</f>
        <v>イズン</v>
      </c>
      <c r="I347" s="7" t="str">
        <f>VLOOKUP(B347,[1]characters!$A:$J,10,FALSE)</f>
        <v>PremiumSSw</v>
      </c>
      <c r="J347" s="7">
        <f>VLOOKUP(B347,[1]characters!$A:$I,9,FALSE)</f>
        <v>5</v>
      </c>
      <c r="K347" s="7" t="str">
        <f>VLOOKUP(B347,[1]characters!$A:$H,8,FALSE)</f>
        <v>green</v>
      </c>
      <c r="L347" s="7" t="str">
        <f>VLOOKUP(B347,[1]characters!$A:$K,11,FALSE)</f>
        <v>heal</v>
      </c>
      <c r="M347" s="7" t="str">
        <f>VLOOKUP(B347,[1]characters!$A:$M,13,FALSE)</f>
        <v>god</v>
      </c>
      <c r="N347" s="7">
        <f>VLOOKUP(B347,[1]characters!$A:$G,7,FALSE)</f>
        <v>0</v>
      </c>
      <c r="O347" s="45">
        <f ca="1">IFERROR(VLOOKUP(B347,input_586100!L:R,7,FALSE),VLOOKUP(tables_586100!C347,input_586100!A:H,8,FALSE))</f>
        <v>67000</v>
      </c>
      <c r="P347" s="46">
        <f t="shared" ca="1" si="19"/>
        <v>5.2083333333203836E-4</v>
      </c>
      <c r="Q347" s="30">
        <v>1</v>
      </c>
      <c r="R347" s="30">
        <v>0</v>
      </c>
      <c r="S347" s="30">
        <v>0</v>
      </c>
      <c r="T347" s="30">
        <v>0</v>
      </c>
      <c r="U347" s="30">
        <v>0</v>
      </c>
      <c r="V347" s="30">
        <v>1</v>
      </c>
    </row>
    <row r="348" spans="1:22" ht="21" customHeight="1" x14ac:dyDescent="0.15">
      <c r="A348" s="2" t="str">
        <f ca="1">input_586100!A$2</f>
        <v>586100</v>
      </c>
      <c r="B348" s="5">
        <v>1264</v>
      </c>
      <c r="C348" s="7" t="str">
        <f t="shared" si="20"/>
        <v>PremiumSS5R5only</v>
      </c>
      <c r="D348" s="7" t="str">
        <f t="shared" si="21"/>
        <v>PremiumSS</v>
      </c>
      <c r="E348" s="7" t="str">
        <f>IF(COUNTIF('R6追加前'!A:A,B348)=0,IF(OR(I348="PremiumSS",I348="PremiumSSw"),"R5only","R3less"),"")</f>
        <v>R5only</v>
      </c>
      <c r="F348" s="7" t="str">
        <f>IF(COUNTIF('R6開放'!A:A,B348)&gt;0,"R6release","")</f>
        <v/>
      </c>
      <c r="G348" s="7"/>
      <c r="H348" s="7" t="str">
        <f>VLOOKUP(B348,[1]characters!$A:$C,3,FALSE)</f>
        <v>ウルズ</v>
      </c>
      <c r="I348" s="7" t="str">
        <f>VLOOKUP(B348,[1]characters!$A:$J,10,FALSE)</f>
        <v>PremiumSS</v>
      </c>
      <c r="J348" s="7">
        <f>VLOOKUP(B348,[1]characters!$A:$I,9,FALSE)</f>
        <v>5</v>
      </c>
      <c r="K348" s="7" t="str">
        <f>VLOOKUP(B348,[1]characters!$A:$H,8,FALSE)</f>
        <v>blue</v>
      </c>
      <c r="L348" s="7" t="str">
        <f>VLOOKUP(B348,[1]characters!$A:$K,11,FALSE)</f>
        <v>heal</v>
      </c>
      <c r="M348" s="7" t="str">
        <f>VLOOKUP(B348,[1]characters!$A:$M,13,FALSE)</f>
        <v>god</v>
      </c>
      <c r="N348" s="7">
        <f>VLOOKUP(B348,[1]characters!$A:$G,7,FALSE)</f>
        <v>0</v>
      </c>
      <c r="O348" s="45">
        <f ca="1">IFERROR(VLOOKUP(B348,input_586100!L:R,7,FALSE),VLOOKUP(tables_586100!C348,input_586100!A:H,8,FALSE))</f>
        <v>67000</v>
      </c>
      <c r="P348" s="46">
        <f t="shared" ca="1" si="19"/>
        <v>5.2083333333203836E-4</v>
      </c>
      <c r="Q348" s="30">
        <v>1</v>
      </c>
      <c r="R348" s="30">
        <v>0</v>
      </c>
      <c r="S348" s="30">
        <v>0</v>
      </c>
      <c r="T348" s="30">
        <v>0</v>
      </c>
      <c r="U348" s="30">
        <v>0</v>
      </c>
      <c r="V348" s="30">
        <v>1</v>
      </c>
    </row>
    <row r="349" spans="1:22" ht="21" customHeight="1" x14ac:dyDescent="0.15">
      <c r="A349" s="2" t="str">
        <f ca="1">input_586100!A$2</f>
        <v>586100</v>
      </c>
      <c r="B349" s="5">
        <v>1266</v>
      </c>
      <c r="C349" s="7" t="str">
        <f t="shared" si="20"/>
        <v>Premium4R3less</v>
      </c>
      <c r="D349" s="7" t="str">
        <f t="shared" si="21"/>
        <v>Premium</v>
      </c>
      <c r="E349" s="7" t="str">
        <f>IF(COUNTIF('R6追加前'!A:A,B349)=0,IF(OR(I349="PremiumSS",I349="PremiumSSw"),"R5only","R3less"),"")</f>
        <v>R3less</v>
      </c>
      <c r="F349" s="7" t="str">
        <f>IF(COUNTIF('R6開放'!A:A,B349)&gt;0,"R6release","")</f>
        <v/>
      </c>
      <c r="G349" s="7"/>
      <c r="H349" s="7" t="str">
        <f>VLOOKUP(B349,[1]characters!$A:$C,3,FALSE)</f>
        <v>ガルム</v>
      </c>
      <c r="I349" s="7" t="str">
        <f>VLOOKUP(B349,[1]characters!$A:$J,10,FALSE)</f>
        <v>PremiumS</v>
      </c>
      <c r="J349" s="7">
        <f>VLOOKUP(B349,[1]characters!$A:$I,9,FALSE)</f>
        <v>4</v>
      </c>
      <c r="K349" s="7" t="str">
        <f>VLOOKUP(B349,[1]characters!$A:$H,8,FALSE)</f>
        <v>yellow</v>
      </c>
      <c r="L349" s="7" t="str">
        <f>VLOOKUP(B349,[1]characters!$A:$K,11,FALSE)</f>
        <v>hp</v>
      </c>
      <c r="M349" s="7" t="str">
        <f>VLOOKUP(B349,[1]characters!$A:$M,13,FALSE)</f>
        <v>god</v>
      </c>
      <c r="N349" s="7">
        <f>VLOOKUP(B349,[1]characters!$A:$G,7,FALSE)</f>
        <v>0</v>
      </c>
      <c r="O349" s="45">
        <f ca="1">IFERROR(VLOOKUP(B349,input_586100!L:R,7,FALSE),VLOOKUP(tables_586100!C349,input_586100!A:H,8,FALSE))</f>
        <v>1060878</v>
      </c>
      <c r="P349" s="46">
        <f t="shared" ca="1" si="19"/>
        <v>8.2468749999794963E-3</v>
      </c>
      <c r="Q349" s="30">
        <v>1</v>
      </c>
      <c r="R349" s="30">
        <v>0</v>
      </c>
      <c r="S349" s="30">
        <v>0</v>
      </c>
      <c r="T349" s="30">
        <v>0</v>
      </c>
      <c r="U349" s="30">
        <v>0</v>
      </c>
      <c r="V349" s="30">
        <v>1</v>
      </c>
    </row>
    <row r="350" spans="1:22" ht="21" customHeight="1" x14ac:dyDescent="0.15">
      <c r="A350" s="2" t="str">
        <f ca="1">input_586100!A$2</f>
        <v>586100</v>
      </c>
      <c r="B350" s="5">
        <v>1267</v>
      </c>
      <c r="C350" s="7" t="str">
        <f t="shared" si="20"/>
        <v>Premium5R3less</v>
      </c>
      <c r="D350" s="7" t="str">
        <f t="shared" si="21"/>
        <v>Premium</v>
      </c>
      <c r="E350" s="7" t="str">
        <f>IF(COUNTIF('R6追加前'!A:A,B350)=0,IF(OR(I350="PremiumSS",I350="PremiumSSw"),"R5only","R3less"),"")</f>
        <v>R3less</v>
      </c>
      <c r="F350" s="7" t="str">
        <f>IF(COUNTIF('R6開放'!A:A,B350)&gt;0,"R6release","")</f>
        <v/>
      </c>
      <c r="G350" s="7"/>
      <c r="H350" s="7" t="str">
        <f>VLOOKUP(B350,[1]characters!$A:$C,3,FALSE)</f>
        <v>不遜の冥番犬 ガルム</v>
      </c>
      <c r="I350" s="7" t="str">
        <f>VLOOKUP(B350,[1]characters!$A:$J,10,FALSE)</f>
        <v>PremiumS</v>
      </c>
      <c r="J350" s="7">
        <f>VLOOKUP(B350,[1]characters!$A:$I,9,FALSE)</f>
        <v>5</v>
      </c>
      <c r="K350" s="7" t="str">
        <f>VLOOKUP(B350,[1]characters!$A:$H,8,FALSE)</f>
        <v>yellow</v>
      </c>
      <c r="L350" s="7" t="str">
        <f>VLOOKUP(B350,[1]characters!$A:$K,11,FALSE)</f>
        <v>hp</v>
      </c>
      <c r="M350" s="7" t="str">
        <f>VLOOKUP(B350,[1]characters!$A:$M,13,FALSE)</f>
        <v>god</v>
      </c>
      <c r="N350" s="7">
        <f>VLOOKUP(B350,[1]characters!$A:$G,7,FALSE)</f>
        <v>0</v>
      </c>
      <c r="O350" s="45">
        <f ca="1">IFERROR(VLOOKUP(B350,input_586100!L:R,7,FALSE),VLOOKUP(tables_586100!C350,input_586100!A:H,8,FALSE))</f>
        <v>121940</v>
      </c>
      <c r="P350" s="46">
        <f t="shared" ca="1" si="19"/>
        <v>9.4791666666430984E-4</v>
      </c>
      <c r="Q350" s="30">
        <v>1</v>
      </c>
      <c r="R350" s="30">
        <v>0</v>
      </c>
      <c r="S350" s="30">
        <v>0</v>
      </c>
      <c r="T350" s="30">
        <v>0</v>
      </c>
      <c r="U350" s="30">
        <v>0</v>
      </c>
      <c r="V350" s="30">
        <v>1</v>
      </c>
    </row>
    <row r="351" spans="1:22" ht="21" customHeight="1" x14ac:dyDescent="0.15">
      <c r="A351" s="2" t="str">
        <f ca="1">input_586100!A$2</f>
        <v>586100</v>
      </c>
      <c r="B351" s="5">
        <v>1332</v>
      </c>
      <c r="C351" s="7" t="str">
        <f t="shared" si="20"/>
        <v>PremiumSS5R5only</v>
      </c>
      <c r="D351" s="7" t="str">
        <f t="shared" si="21"/>
        <v>PremiumSS</v>
      </c>
      <c r="E351" s="7" t="str">
        <f>IF(COUNTIF('R6追加前'!A:A,B351)=0,IF(OR(I351="PremiumSS",I351="PremiumSSw"),"R5only","R3less"),"")</f>
        <v>R5only</v>
      </c>
      <c r="F351" s="7" t="str">
        <f>IF(COUNTIF('R6開放'!A:A,B351)&gt;0,"R6release","")</f>
        <v/>
      </c>
      <c r="G351" s="7"/>
      <c r="H351" s="7" t="str">
        <f>VLOOKUP(B351,[1]characters!$A:$C,3,FALSE)</f>
        <v>クシナダヒメ</v>
      </c>
      <c r="I351" s="7" t="str">
        <f>VLOOKUP(B351,[1]characters!$A:$J,10,FALSE)</f>
        <v>PremiumSSw</v>
      </c>
      <c r="J351" s="7">
        <f>VLOOKUP(B351,[1]characters!$A:$I,9,FALSE)</f>
        <v>5</v>
      </c>
      <c r="K351" s="7" t="str">
        <f>VLOOKUP(B351,[1]characters!$A:$H,8,FALSE)</f>
        <v>red</v>
      </c>
      <c r="L351" s="7" t="str">
        <f>VLOOKUP(B351,[1]characters!$A:$K,11,FALSE)</f>
        <v>hp</v>
      </c>
      <c r="M351" s="7" t="str">
        <f>VLOOKUP(B351,[1]characters!$A:$M,13,FALSE)</f>
        <v>god</v>
      </c>
      <c r="N351" s="7">
        <f>VLOOKUP(B351,[1]characters!$A:$G,7,FALSE)</f>
        <v>0</v>
      </c>
      <c r="O351" s="45">
        <f ca="1">IFERROR(VLOOKUP(B351,input_586100!L:R,7,FALSE),VLOOKUP(tables_586100!C351,input_586100!A:H,8,FALSE))</f>
        <v>67000</v>
      </c>
      <c r="P351" s="46">
        <f t="shared" ca="1" si="19"/>
        <v>5.2083333333203836E-4</v>
      </c>
      <c r="Q351" s="30">
        <v>1</v>
      </c>
      <c r="R351" s="30">
        <v>0</v>
      </c>
      <c r="S351" s="30">
        <v>0</v>
      </c>
      <c r="T351" s="30">
        <v>0</v>
      </c>
      <c r="U351" s="30">
        <v>0</v>
      </c>
      <c r="V351" s="30">
        <v>1</v>
      </c>
    </row>
    <row r="352" spans="1:22" ht="21" customHeight="1" x14ac:dyDescent="0.15">
      <c r="A352" s="2" t="str">
        <f ca="1">input_586100!A$2</f>
        <v>586100</v>
      </c>
      <c r="B352" s="5">
        <v>1336</v>
      </c>
      <c r="C352" s="7" t="str">
        <f t="shared" si="20"/>
        <v>PremiumSS5R5only</v>
      </c>
      <c r="D352" s="7" t="str">
        <f t="shared" si="21"/>
        <v>PremiumSS</v>
      </c>
      <c r="E352" s="7" t="str">
        <f>IF(COUNTIF('R6追加前'!A:A,B352)=0,IF(OR(I352="PremiumSS",I352="PremiumSSw"),"R5only","R3less"),"")</f>
        <v>R5only</v>
      </c>
      <c r="F352" s="7" t="str">
        <f>IF(COUNTIF('R6開放'!A:A,B352)&gt;0,"R6release","")</f>
        <v/>
      </c>
      <c r="G352" s="7"/>
      <c r="H352" s="7" t="str">
        <f>VLOOKUP(B352,[1]characters!$A:$C,3,FALSE)</f>
        <v>イザナギ</v>
      </c>
      <c r="I352" s="7" t="str">
        <f>VLOOKUP(B352,[1]characters!$A:$J,10,FALSE)</f>
        <v>PremiumSS</v>
      </c>
      <c r="J352" s="7">
        <f>VLOOKUP(B352,[1]characters!$A:$I,9,FALSE)</f>
        <v>5</v>
      </c>
      <c r="K352" s="7" t="str">
        <f>VLOOKUP(B352,[1]characters!$A:$H,8,FALSE)</f>
        <v>blue</v>
      </c>
      <c r="L352" s="7" t="str">
        <f>VLOOKUP(B352,[1]characters!$A:$K,11,FALSE)</f>
        <v>technical</v>
      </c>
      <c r="M352" s="7" t="str">
        <f>VLOOKUP(B352,[1]characters!$A:$M,13,FALSE)</f>
        <v>god</v>
      </c>
      <c r="N352" s="7">
        <f>VLOOKUP(B352,[1]characters!$A:$G,7,FALSE)</f>
        <v>0</v>
      </c>
      <c r="O352" s="45">
        <f ca="1">IFERROR(VLOOKUP(B352,input_586100!L:R,7,FALSE),VLOOKUP(tables_586100!C352,input_586100!A:H,8,FALSE))</f>
        <v>67000</v>
      </c>
      <c r="P352" s="46">
        <f t="shared" ca="1" si="19"/>
        <v>5.2083333333203836E-4</v>
      </c>
      <c r="Q352" s="30">
        <v>1</v>
      </c>
      <c r="R352" s="30">
        <v>0</v>
      </c>
      <c r="S352" s="30">
        <v>0</v>
      </c>
      <c r="T352" s="30">
        <v>0</v>
      </c>
      <c r="U352" s="30">
        <v>0</v>
      </c>
      <c r="V352" s="30">
        <v>1</v>
      </c>
    </row>
    <row r="353" spans="1:22" ht="21" customHeight="1" x14ac:dyDescent="0.15">
      <c r="A353" s="2" t="str">
        <f ca="1">input_586100!A$2</f>
        <v>586100</v>
      </c>
      <c r="B353" s="5">
        <v>1338</v>
      </c>
      <c r="C353" s="7" t="str">
        <f t="shared" si="20"/>
        <v>PremiumSS5R5only</v>
      </c>
      <c r="D353" s="7" t="str">
        <f t="shared" si="21"/>
        <v>PremiumSS</v>
      </c>
      <c r="E353" s="7" t="str">
        <f>IF(COUNTIF('R6追加前'!A:A,B353)=0,IF(OR(I353="PremiumSS",I353="PremiumSSw"),"R5only","R3less"),"")</f>
        <v>R5only</v>
      </c>
      <c r="F353" s="7" t="str">
        <f>IF(COUNTIF('R6開放'!A:A,B353)&gt;0,"R6release","")</f>
        <v/>
      </c>
      <c r="G353" s="7"/>
      <c r="H353" s="7" t="str">
        <f>VLOOKUP(B353,[1]characters!$A:$C,3,FALSE)</f>
        <v>アメノウズメ</v>
      </c>
      <c r="I353" s="7" t="str">
        <f>VLOOKUP(B353,[1]characters!$A:$J,10,FALSE)</f>
        <v>PremiumSS</v>
      </c>
      <c r="J353" s="7">
        <f>VLOOKUP(B353,[1]characters!$A:$I,9,FALSE)</f>
        <v>5</v>
      </c>
      <c r="K353" s="7" t="str">
        <f>VLOOKUP(B353,[1]characters!$A:$H,8,FALSE)</f>
        <v>yellow</v>
      </c>
      <c r="L353" s="7" t="str">
        <f>VLOOKUP(B353,[1]characters!$A:$K,11,FALSE)</f>
        <v>attack</v>
      </c>
      <c r="M353" s="7" t="str">
        <f>VLOOKUP(B353,[1]characters!$A:$M,13,FALSE)</f>
        <v>god</v>
      </c>
      <c r="N353" s="7">
        <f>VLOOKUP(B353,[1]characters!$A:$G,7,FALSE)</f>
        <v>0</v>
      </c>
      <c r="O353" s="45">
        <f ca="1">IFERROR(VLOOKUP(B353,input_586100!L:R,7,FALSE),VLOOKUP(tables_586100!C353,input_586100!A:H,8,FALSE))</f>
        <v>67000</v>
      </c>
      <c r="P353" s="46">
        <f t="shared" ca="1" si="19"/>
        <v>5.2083333333203836E-4</v>
      </c>
      <c r="Q353" s="30">
        <v>1</v>
      </c>
      <c r="R353" s="30">
        <v>0</v>
      </c>
      <c r="S353" s="30">
        <v>0</v>
      </c>
      <c r="T353" s="30">
        <v>0</v>
      </c>
      <c r="U353" s="30">
        <v>0</v>
      </c>
      <c r="V353" s="30">
        <v>1</v>
      </c>
    </row>
    <row r="354" spans="1:22" ht="21" customHeight="1" x14ac:dyDescent="0.15">
      <c r="A354" s="2" t="str">
        <f ca="1">input_586100!A$2</f>
        <v>586100</v>
      </c>
      <c r="B354" s="5">
        <v>1334</v>
      </c>
      <c r="C354" s="7" t="str">
        <f t="shared" si="20"/>
        <v>Premium4R3less</v>
      </c>
      <c r="D354" s="7" t="str">
        <f t="shared" si="21"/>
        <v>Premium</v>
      </c>
      <c r="E354" s="7" t="str">
        <f>IF(COUNTIF('R6追加前'!A:A,B354)=0,IF(OR(I354="PremiumSS",I354="PremiumSSw"),"R5only","R3less"),"")</f>
        <v>R3less</v>
      </c>
      <c r="F354" s="7" t="str">
        <f>IF(COUNTIF('R6開放'!A:A,B354)&gt;0,"R6release","")</f>
        <v/>
      </c>
      <c r="G354" s="7"/>
      <c r="H354" s="7" t="str">
        <f>VLOOKUP(B354,[1]characters!$A:$C,3,FALSE)</f>
        <v>タマヨリヒメ</v>
      </c>
      <c r="I354" s="7" t="str">
        <f>VLOOKUP(B354,[1]characters!$A:$J,10,FALSE)</f>
        <v>PremiumS</v>
      </c>
      <c r="J354" s="7">
        <f>VLOOKUP(B354,[1]characters!$A:$I,9,FALSE)</f>
        <v>4</v>
      </c>
      <c r="K354" s="7" t="str">
        <f>VLOOKUP(B354,[1]characters!$A:$H,8,FALSE)</f>
        <v>green</v>
      </c>
      <c r="L354" s="7" t="str">
        <f>VLOOKUP(B354,[1]characters!$A:$K,11,FALSE)</f>
        <v>heal</v>
      </c>
      <c r="M354" s="7" t="str">
        <f>VLOOKUP(B354,[1]characters!$A:$M,13,FALSE)</f>
        <v>god</v>
      </c>
      <c r="N354" s="7">
        <f>VLOOKUP(B354,[1]characters!$A:$G,7,FALSE)</f>
        <v>0</v>
      </c>
      <c r="O354" s="45">
        <f ca="1">IFERROR(VLOOKUP(B354,input_586100!L:R,7,FALSE),VLOOKUP(tables_586100!C354,input_586100!A:H,8,FALSE))</f>
        <v>1060878</v>
      </c>
      <c r="P354" s="46">
        <f t="shared" ca="1" si="19"/>
        <v>8.2468749999794963E-3</v>
      </c>
      <c r="Q354" s="30">
        <v>1</v>
      </c>
      <c r="R354" s="30">
        <v>0</v>
      </c>
      <c r="S354" s="30">
        <v>0</v>
      </c>
      <c r="T354" s="30">
        <v>0</v>
      </c>
      <c r="U354" s="30">
        <v>0</v>
      </c>
      <c r="V354" s="30">
        <v>1</v>
      </c>
    </row>
    <row r="355" spans="1:22" ht="21" customHeight="1" x14ac:dyDescent="0.15">
      <c r="A355" s="2" t="str">
        <f ca="1">input_586100!A$2</f>
        <v>586100</v>
      </c>
      <c r="B355" s="5">
        <v>1335</v>
      </c>
      <c r="C355" s="7" t="str">
        <f t="shared" si="20"/>
        <v>Premium5R3less</v>
      </c>
      <c r="D355" s="7" t="str">
        <f t="shared" si="21"/>
        <v>Premium</v>
      </c>
      <c r="E355" s="7" t="str">
        <f>IF(COUNTIF('R6追加前'!A:A,B355)=0,IF(OR(I355="PremiumSS",I355="PremiumSSw"),"R5only","R3less"),"")</f>
        <v>R3less</v>
      </c>
      <c r="F355" s="7" t="str">
        <f>IF(COUNTIF('R6開放'!A:A,B355)&gt;0,"R6release","")</f>
        <v/>
      </c>
      <c r="G355" s="7"/>
      <c r="H355" s="7" t="str">
        <f>VLOOKUP(B355,[1]characters!$A:$C,3,FALSE)</f>
        <v>霊司の神憑 タマヨリヒメ</v>
      </c>
      <c r="I355" s="7" t="str">
        <f>VLOOKUP(B355,[1]characters!$A:$J,10,FALSE)</f>
        <v>PremiumS</v>
      </c>
      <c r="J355" s="7">
        <f>VLOOKUP(B355,[1]characters!$A:$I,9,FALSE)</f>
        <v>5</v>
      </c>
      <c r="K355" s="7" t="str">
        <f>VLOOKUP(B355,[1]characters!$A:$H,8,FALSE)</f>
        <v>green</v>
      </c>
      <c r="L355" s="7" t="str">
        <f>VLOOKUP(B355,[1]characters!$A:$K,11,FALSE)</f>
        <v>heal</v>
      </c>
      <c r="M355" s="7" t="str">
        <f>VLOOKUP(B355,[1]characters!$A:$M,13,FALSE)</f>
        <v>god</v>
      </c>
      <c r="N355" s="7">
        <f>VLOOKUP(B355,[1]characters!$A:$G,7,FALSE)</f>
        <v>0</v>
      </c>
      <c r="O355" s="45">
        <f ca="1">IFERROR(VLOOKUP(B355,input_586100!L:R,7,FALSE),VLOOKUP(tables_586100!C355,input_586100!A:H,8,FALSE))</f>
        <v>121940</v>
      </c>
      <c r="P355" s="46">
        <f t="shared" ca="1" si="19"/>
        <v>9.4791666666430984E-4</v>
      </c>
      <c r="Q355" s="30">
        <v>1</v>
      </c>
      <c r="R355" s="30">
        <v>0</v>
      </c>
      <c r="S355" s="30">
        <v>0</v>
      </c>
      <c r="T355" s="30">
        <v>0</v>
      </c>
      <c r="U355" s="30">
        <v>0</v>
      </c>
      <c r="V355" s="30">
        <v>1</v>
      </c>
    </row>
    <row r="356" spans="1:22" ht="21" customHeight="1" x14ac:dyDescent="0.15">
      <c r="A356" s="2" t="str">
        <f ca="1">input_586100!A$2</f>
        <v>586100</v>
      </c>
      <c r="B356" s="95">
        <v>1039</v>
      </c>
      <c r="C356" s="7" t="str">
        <f t="shared" ref="C356:C359" si="22">D356&amp;J356&amp;E356&amp;F356&amp;G356</f>
        <v>PremiumSSS5R3less</v>
      </c>
      <c r="D356" s="7" t="str">
        <f t="shared" ref="D356:D359" si="23">IF(OR(I356="PremiumSS",I356="PremiumSSw"),"PremiumSS",IF(I356="PremiumSSS",I356,IF(I356="PremiumW",IF(J356=5,"premium",I356),"Premium")))</f>
        <v>PremiumSSS</v>
      </c>
      <c r="E356" s="7" t="str">
        <f>IF(COUNTIF('R6追加前'!A:A,B356)=0,IF(OR(I356="PremiumSS",I356="PremiumSSw"),"R5only","R3less"),"")</f>
        <v>R3less</v>
      </c>
      <c r="F356" s="7" t="str">
        <f>IF(COUNTIF('R6開放'!A:A,B356)&gt;0,"R6release","")</f>
        <v/>
      </c>
      <c r="G356" s="7"/>
      <c r="H356" s="7" t="str">
        <f>VLOOKUP(B356,[1]characters!$A:$C,3,FALSE)</f>
        <v>ディラック</v>
      </c>
      <c r="I356" s="7" t="str">
        <f>VLOOKUP(B356,[1]characters!$A:$J,10,FALSE)</f>
        <v>PremiumSSS</v>
      </c>
      <c r="J356" s="7">
        <f>VLOOKUP(B356,[1]characters!$A:$I,9,FALSE)</f>
        <v>5</v>
      </c>
      <c r="K356" s="7" t="str">
        <f>VLOOKUP(B356,[1]characters!$A:$H,8,FALSE)</f>
        <v>blue</v>
      </c>
      <c r="L356" s="7" t="str">
        <f>VLOOKUP(B356,[1]characters!$A:$K,11,FALSE)</f>
        <v>technical</v>
      </c>
      <c r="M356" s="7" t="str">
        <f>VLOOKUP(B356,[1]characters!$A:$M,13,FALSE)</f>
        <v>academia</v>
      </c>
      <c r="N356" s="7" t="str">
        <f>VLOOKUP(B356,[1]characters!$A:$G,7,FALSE)</f>
        <v>男性</v>
      </c>
      <c r="O356" s="45">
        <f>IFERROR(VLOOKUP(B356,input_586100!L:R,7,FALSE),VLOOKUP(tables_586100!C356,input_586100!A:H,8,FALSE))</f>
        <v>482400</v>
      </c>
      <c r="P356" s="46">
        <f t="shared" ca="1" si="19"/>
        <v>3.7499999999906762E-3</v>
      </c>
      <c r="Q356" s="30">
        <v>1</v>
      </c>
      <c r="R356" s="30">
        <v>0</v>
      </c>
      <c r="S356" s="30">
        <v>0</v>
      </c>
      <c r="T356" s="30">
        <v>0</v>
      </c>
      <c r="U356" s="30">
        <v>0</v>
      </c>
      <c r="V356" s="30">
        <v>1</v>
      </c>
    </row>
    <row r="357" spans="1:22" ht="21" customHeight="1" x14ac:dyDescent="0.15">
      <c r="A357" s="2" t="str">
        <f ca="1">input_586100!A$2</f>
        <v>586100</v>
      </c>
      <c r="B357" s="95">
        <v>1090</v>
      </c>
      <c r="C357" s="7" t="str">
        <f t="shared" si="22"/>
        <v>PremiumSSS5R3less</v>
      </c>
      <c r="D357" s="7" t="str">
        <f t="shared" si="23"/>
        <v>PremiumSSS</v>
      </c>
      <c r="E357" s="7" t="str">
        <f>IF(COUNTIF('R6追加前'!A:A,B357)=0,IF(OR(I357="PremiumSS",I357="PremiumSSw"),"R5only","R3less"),"")</f>
        <v>R3less</v>
      </c>
      <c r="F357" s="7" t="str">
        <f>IF(COUNTIF('R6開放'!A:A,B357)&gt;0,"R6release","")</f>
        <v/>
      </c>
      <c r="G357" s="7"/>
      <c r="H357" s="7" t="str">
        <f>VLOOKUP(B357,[1]characters!$A:$C,3,FALSE)</f>
        <v>ラプラス</v>
      </c>
      <c r="I357" s="7" t="str">
        <f>VLOOKUP(B357,[1]characters!$A:$J,10,FALSE)</f>
        <v>PremiumSSS</v>
      </c>
      <c r="J357" s="7">
        <f>VLOOKUP(B357,[1]characters!$A:$I,9,FALSE)</f>
        <v>5</v>
      </c>
      <c r="K357" s="7" t="str">
        <f>VLOOKUP(B357,[1]characters!$A:$H,8,FALSE)</f>
        <v>yellow</v>
      </c>
      <c r="L357" s="7" t="str">
        <f>VLOOKUP(B357,[1]characters!$A:$K,11,FALSE)</f>
        <v>attack</v>
      </c>
      <c r="M357" s="7" t="str">
        <f>VLOOKUP(B357,[1]characters!$A:$M,13,FALSE)</f>
        <v>academia</v>
      </c>
      <c r="N357" s="7" t="str">
        <f>VLOOKUP(B357,[1]characters!$A:$G,7,FALSE)</f>
        <v>不明</v>
      </c>
      <c r="O357" s="45">
        <f>IFERROR(VLOOKUP(B357,input_586100!L:R,7,FALSE),VLOOKUP(tables_586100!C357,input_586100!A:H,8,FALSE))</f>
        <v>482400</v>
      </c>
      <c r="P357" s="46">
        <f t="shared" ca="1" si="19"/>
        <v>3.7499999999906762E-3</v>
      </c>
      <c r="Q357" s="30">
        <v>1</v>
      </c>
      <c r="R357" s="30">
        <v>0</v>
      </c>
      <c r="S357" s="30">
        <v>0</v>
      </c>
      <c r="T357" s="30">
        <v>0</v>
      </c>
      <c r="U357" s="30">
        <v>0</v>
      </c>
      <c r="V357" s="30">
        <v>1</v>
      </c>
    </row>
    <row r="358" spans="1:22" ht="21" customHeight="1" x14ac:dyDescent="0.15">
      <c r="A358" s="2" t="str">
        <f ca="1">input_586100!A$2</f>
        <v>586100</v>
      </c>
      <c r="B358" s="95">
        <v>484</v>
      </c>
      <c r="C358" s="7" t="str">
        <f t="shared" si="22"/>
        <v>PremiumSSS4R3less</v>
      </c>
      <c r="D358" s="7" t="str">
        <f t="shared" si="23"/>
        <v>PremiumSSS</v>
      </c>
      <c r="E358" s="7" t="str">
        <f>IF(COUNTIF('R6追加前'!A:A,B358)=0,IF(OR(I358="PremiumSS",I358="PremiumSSw"),"R5only","R3less"),"")</f>
        <v>R3less</v>
      </c>
      <c r="F358" s="7" t="str">
        <f>IF(COUNTIF('R6開放'!A:A,B358)&gt;0,"R6release","")</f>
        <v/>
      </c>
      <c r="G358" s="7"/>
      <c r="H358" s="7" t="str">
        <f>VLOOKUP(B358,[1]characters!$A:$C,3,FALSE)</f>
        <v>ラグランジュ</v>
      </c>
      <c r="I358" s="7" t="str">
        <f>VLOOKUP(B358,[1]characters!$A:$J,10,FALSE)</f>
        <v>PremiumSSS</v>
      </c>
      <c r="J358" s="7">
        <f>VLOOKUP(B358,[1]characters!$A:$I,9,FALSE)</f>
        <v>4</v>
      </c>
      <c r="K358" s="7" t="str">
        <f>VLOOKUP(B358,[1]characters!$A:$H,8,FALSE)</f>
        <v>red</v>
      </c>
      <c r="L358" s="7" t="str">
        <f>VLOOKUP(B358,[1]characters!$A:$K,11,FALSE)</f>
        <v>technical</v>
      </c>
      <c r="M358" s="7" t="str">
        <f>VLOOKUP(B358,[1]characters!$A:$M,13,FALSE)</f>
        <v>human</v>
      </c>
      <c r="N358" s="7" t="str">
        <f>VLOOKUP(B358,[1]characters!$A:$G,7,FALSE)</f>
        <v>女性</v>
      </c>
      <c r="O358" s="45">
        <f>IFERROR(VLOOKUP(B358,input_586100!L:R,7,FALSE),VLOOKUP(tables_586100!C358,input_586100!A:H,8,FALSE))</f>
        <v>241200</v>
      </c>
      <c r="P358" s="46">
        <f t="shared" ca="1" si="19"/>
        <v>1.8749999999953381E-3</v>
      </c>
      <c r="Q358" s="30">
        <v>1</v>
      </c>
      <c r="R358" s="30">
        <v>0</v>
      </c>
      <c r="S358" s="30">
        <v>0</v>
      </c>
      <c r="T358" s="30">
        <v>0</v>
      </c>
      <c r="U358" s="30">
        <v>0</v>
      </c>
      <c r="V358" s="30">
        <v>1</v>
      </c>
    </row>
    <row r="359" spans="1:22" ht="21" customHeight="1" x14ac:dyDescent="0.15">
      <c r="A359" s="2" t="str">
        <f ca="1">input_586100!A$2</f>
        <v>586100</v>
      </c>
      <c r="B359" s="95">
        <v>485</v>
      </c>
      <c r="C359" s="7" t="str">
        <f t="shared" si="22"/>
        <v>PremiumSSS5R3less</v>
      </c>
      <c r="D359" s="7" t="str">
        <f t="shared" si="23"/>
        <v>PremiumSSS</v>
      </c>
      <c r="E359" s="7" t="str">
        <f>IF(COUNTIF('R6追加前'!A:A,B359)=0,IF(OR(I359="PremiumSS",I359="PremiumSSw"),"R5only","R3less"),"")</f>
        <v>R3less</v>
      </c>
      <c r="F359" s="7" t="str">
        <f>IF(COUNTIF('R6開放'!A:A,B359)&gt;0,"R6release","")</f>
        <v/>
      </c>
      <c r="G359" s="7"/>
      <c r="H359" s="7" t="str">
        <f>VLOOKUP(B359,[1]characters!$A:$C,3,FALSE)</f>
        <v>超越自我 ラグランジュ</v>
      </c>
      <c r="I359" s="7" t="str">
        <f>VLOOKUP(B359,[1]characters!$A:$J,10,FALSE)</f>
        <v>PremiumSSS</v>
      </c>
      <c r="J359" s="7">
        <f>VLOOKUP(B359,[1]characters!$A:$I,9,FALSE)</f>
        <v>5</v>
      </c>
      <c r="K359" s="7" t="str">
        <f>VLOOKUP(B359,[1]characters!$A:$H,8,FALSE)</f>
        <v>red</v>
      </c>
      <c r="L359" s="7" t="str">
        <f>VLOOKUP(B359,[1]characters!$A:$K,11,FALSE)</f>
        <v>technical</v>
      </c>
      <c r="M359" s="7" t="str">
        <f>VLOOKUP(B359,[1]characters!$A:$M,13,FALSE)</f>
        <v>human</v>
      </c>
      <c r="N359" s="7" t="str">
        <f>VLOOKUP(B359,[1]characters!$A:$G,7,FALSE)</f>
        <v>女性</v>
      </c>
      <c r="O359" s="45">
        <f>IFERROR(VLOOKUP(B359,input_586100!L:R,7,FALSE),VLOOKUP(tables_586100!C359,input_586100!A:H,8,FALSE))</f>
        <v>241200</v>
      </c>
      <c r="P359" s="46">
        <f t="shared" ca="1" si="19"/>
        <v>1.8749999999953381E-3</v>
      </c>
      <c r="Q359" s="30">
        <v>1</v>
      </c>
      <c r="R359" s="30">
        <v>0</v>
      </c>
      <c r="S359" s="30">
        <v>0</v>
      </c>
      <c r="T359" s="30">
        <v>0</v>
      </c>
      <c r="U359" s="30">
        <v>0</v>
      </c>
      <c r="V359" s="30">
        <v>1</v>
      </c>
    </row>
    <row r="360" spans="1:22" ht="21" customHeight="1" x14ac:dyDescent="0.15">
      <c r="A360" s="2" t="str">
        <f ca="1">input_586100!A$2</f>
        <v>586100</v>
      </c>
      <c r="B360" s="95">
        <v>1159</v>
      </c>
      <c r="C360" s="7" t="str">
        <f t="shared" ref="C360" si="24">D360&amp;J360&amp;E360&amp;F360&amp;G360</f>
        <v>PremiumSSS5R3less</v>
      </c>
      <c r="D360" s="7" t="str">
        <f t="shared" ref="D360" si="25">IF(OR(I360="PremiumSS",I360="PremiumSSw"),"PremiumSS",IF(I360="PremiumSSS",I360,IF(I360="PremiumW",IF(J360=5,"premium",I360),"Premium")))</f>
        <v>PremiumSSS</v>
      </c>
      <c r="E360" s="7" t="str">
        <f>IF(COUNTIF('R6追加前'!A:A,B360)=0,IF(OR(I360="PremiumSS",I360="PremiumSSw"),"R5only","R3less"),"")</f>
        <v>R3less</v>
      </c>
      <c r="F360" s="7" t="str">
        <f>IF(COUNTIF('R6開放'!A:A,B360)&gt;0,"R6release","")</f>
        <v/>
      </c>
      <c r="G360" s="7"/>
      <c r="H360" s="7" t="str">
        <f>VLOOKUP(B360,[1]characters!$A:$C,3,FALSE)</f>
        <v>ガロア</v>
      </c>
      <c r="I360" s="7" t="str">
        <f>VLOOKUP(B360,[1]characters!$A:$J,10,FALSE)</f>
        <v>PremiumSSS</v>
      </c>
      <c r="J360" s="7">
        <f>VLOOKUP(B360,[1]characters!$A:$I,9,FALSE)</f>
        <v>5</v>
      </c>
      <c r="K360" s="7" t="str">
        <f>VLOOKUP(B360,[1]characters!$A:$H,8,FALSE)</f>
        <v>green</v>
      </c>
      <c r="L360" s="7" t="str">
        <f>VLOOKUP(B360,[1]characters!$A:$K,11,FALSE)</f>
        <v>attack</v>
      </c>
      <c r="M360" s="7" t="str">
        <f>VLOOKUP(B360,[1]characters!$A:$M,13,FALSE)</f>
        <v>academia</v>
      </c>
      <c r="N360" s="7" t="str">
        <f>VLOOKUP(B360,[1]characters!$A:$G,7,FALSE)</f>
        <v>不明</v>
      </c>
      <c r="O360" s="45">
        <f>IFERROR(VLOOKUP(B360,input_586100!L:R,7,FALSE),VLOOKUP(tables_586100!C360,input_586100!A:H,8,FALSE))</f>
        <v>482400</v>
      </c>
      <c r="P360" s="46">
        <f t="shared" ca="1" si="19"/>
        <v>3.7499999999906762E-3</v>
      </c>
      <c r="Q360" s="30">
        <v>1</v>
      </c>
      <c r="R360" s="30">
        <v>0</v>
      </c>
      <c r="S360" s="30">
        <v>0</v>
      </c>
      <c r="T360" s="30">
        <v>0</v>
      </c>
      <c r="U360" s="30">
        <v>0</v>
      </c>
      <c r="V360" s="30">
        <v>1</v>
      </c>
    </row>
  </sheetData>
  <autoFilter ref="A1:V359"/>
  <phoneticPr fontId="22"/>
  <pageMargins left="0.75" right="0.75" top="1" bottom="1" header="0.3" footer="0.3"/>
  <pageSetup paperSize="9" orientation="portrait" horizontalDpi="4294967292" verticalDpi="4294967292"/>
  <legacy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9" enableFormatConditionsCalculation="0">
    <tabColor rgb="FF0000FF"/>
    <outlinePr summaryBelow="0" summaryRight="0"/>
  </sheetPr>
  <dimension ref="A1:Y160"/>
  <sheetViews>
    <sheetView showGridLines="0" zoomScale="75" zoomScaleNormal="75" zoomScalePageLayoutView="75" workbookViewId="0">
      <pane ySplit="1" topLeftCell="A124" activePane="bottomLeft" state="frozen"/>
      <selection activeCell="D34" sqref="D34"/>
      <selection pane="bottomLeft" activeCell="H164" sqref="H164"/>
    </sheetView>
  </sheetViews>
  <sheetFormatPr baseColWidth="12" defaultRowHeight="21" customHeight="1" outlineLevelCol="1" x14ac:dyDescent="0.15"/>
  <cols>
    <col min="1" max="1" width="12.59765625" style="1" bestFit="1" customWidth="1"/>
    <col min="2" max="2" width="10.3984375" style="1" customWidth="1"/>
    <col min="3" max="3" width="17.59765625" style="1" bestFit="1" customWidth="1" outlineLevel="1"/>
    <col min="4" max="7" width="17.59765625" style="1" customWidth="1" outlineLevel="1"/>
    <col min="8" max="8" width="23.3984375" style="1" customWidth="1" outlineLevel="1"/>
    <col min="9" max="9" width="13.59765625" style="1" customWidth="1" outlineLevel="1"/>
    <col min="10" max="10" width="9.59765625" style="1" customWidth="1" outlineLevel="1"/>
    <col min="11" max="11" width="10.3984375" style="4" customWidth="1" outlineLevel="1"/>
    <col min="12" max="12" width="18.796875" style="1" customWidth="1" outlineLevel="1"/>
    <col min="13" max="14" width="19" style="1" customWidth="1" outlineLevel="1"/>
    <col min="15" max="15" width="11.3984375" style="1" bestFit="1" customWidth="1"/>
    <col min="16" max="16" width="11.3984375" style="1" customWidth="1"/>
    <col min="17" max="17" width="13.19921875" style="1" bestFit="1" customWidth="1"/>
    <col min="18" max="16384" width="13" style="1"/>
  </cols>
  <sheetData>
    <row r="1" spans="1:25" ht="21" customHeight="1" x14ac:dyDescent="0.15">
      <c r="A1" s="13" t="s">
        <v>84</v>
      </c>
      <c r="B1" s="15" t="s">
        <v>1</v>
      </c>
      <c r="C1" s="3" t="s">
        <v>31</v>
      </c>
      <c r="D1" s="3" t="s">
        <v>95</v>
      </c>
      <c r="E1" s="3" t="s">
        <v>188</v>
      </c>
      <c r="F1" s="3" t="s">
        <v>189</v>
      </c>
      <c r="G1" s="3" t="s">
        <v>102</v>
      </c>
      <c r="H1" s="3" t="s">
        <v>33</v>
      </c>
      <c r="I1" s="3" t="s">
        <v>34</v>
      </c>
      <c r="J1" s="3" t="s">
        <v>35</v>
      </c>
      <c r="K1" s="3" t="s">
        <v>52</v>
      </c>
      <c r="L1" s="3" t="s">
        <v>36</v>
      </c>
      <c r="M1" s="3" t="s">
        <v>37</v>
      </c>
      <c r="N1" s="3" t="s">
        <v>58</v>
      </c>
      <c r="O1" s="15" t="s">
        <v>2</v>
      </c>
      <c r="P1" s="3" t="s">
        <v>63</v>
      </c>
      <c r="Q1" s="15" t="s">
        <v>38</v>
      </c>
      <c r="R1" s="29" t="s">
        <v>5</v>
      </c>
      <c r="S1" s="29" t="s">
        <v>6</v>
      </c>
      <c r="T1" s="29" t="s">
        <v>7</v>
      </c>
      <c r="U1" s="29" t="s">
        <v>8</v>
      </c>
      <c r="V1" s="29" t="s">
        <v>9</v>
      </c>
    </row>
    <row r="2" spans="1:25" ht="21" customHeight="1" x14ac:dyDescent="0.15">
      <c r="A2" s="2" t="str">
        <f ca="1">input_586100!A$2</f>
        <v>586100</v>
      </c>
      <c r="B2" s="6">
        <v>168</v>
      </c>
      <c r="C2" s="7" t="str">
        <f t="shared" ref="C2:C37" si="0">D2&amp;J2&amp;E2&amp;F2&amp;G2</f>
        <v>Premium5R6release</v>
      </c>
      <c r="D2" s="7" t="str">
        <f>IF(OR(I2="PremiumSS",I2="PremiumSSw"),"PremiumSS",IF(I2="PremiumSSS",I2,IF(I2="PremiumW",IF(J2=5,"premium",I2),"Premium")))</f>
        <v>Premium</v>
      </c>
      <c r="E2" s="7" t="str">
        <f>IF(COUNTIF('R6追加前'!A:A,B2)=0,IF(OR(I2="PremiumSS",I2="PremiumSSw"),"R5only","R3less"),"")</f>
        <v/>
      </c>
      <c r="F2" s="7" t="str">
        <f>IF(COUNTIF('R6開放'!A:A,B2)&gt;0,"R6release","")</f>
        <v>R6release</v>
      </c>
      <c r="G2" s="7"/>
      <c r="H2" s="7" t="str">
        <f>VLOOKUP(B2,[1]characters!$A:$C,3,FALSE)</f>
        <v>猛進の大逆者 ベリアル</v>
      </c>
      <c r="I2" s="7" t="str">
        <f>VLOOKUP(B2,[1]characters!$A:$J,10,FALSE)</f>
        <v>PremiumN</v>
      </c>
      <c r="J2" s="7">
        <f>VLOOKUP(B2,[1]characters!$A:$I,9,FALSE)</f>
        <v>5</v>
      </c>
      <c r="K2" s="7" t="str">
        <f>VLOOKUP(B2,[1]characters!$A:$H,8,FALSE)</f>
        <v>red</v>
      </c>
      <c r="L2" s="7" t="str">
        <f>VLOOKUP(B2,[1]characters!$A:$K,11,FALSE)</f>
        <v>attack</v>
      </c>
      <c r="M2" s="7" t="str">
        <f>VLOOKUP(B2,[1]characters!$A:$M,13,FALSE)</f>
        <v>god</v>
      </c>
      <c r="N2" s="7" t="str">
        <f>VLOOKUP(B2,[1]characters!$A:$G,7,FALSE)</f>
        <v>男性</v>
      </c>
      <c r="O2" s="45">
        <f>VLOOKUP(D2,$W$2:$Y$4,3,FALSE)</f>
        <v>26208</v>
      </c>
      <c r="P2" s="46">
        <f t="shared" ref="P2:P33" si="1">O2/SUM(O:O)</f>
        <v>1.1097560975609756E-2</v>
      </c>
      <c r="Q2" s="30">
        <v>1</v>
      </c>
      <c r="R2" s="30">
        <v>0</v>
      </c>
      <c r="S2" s="30">
        <v>0</v>
      </c>
      <c r="T2" s="30">
        <v>0</v>
      </c>
      <c r="U2" s="30">
        <v>0</v>
      </c>
      <c r="V2" s="30">
        <v>1</v>
      </c>
      <c r="W2" s="1" t="s">
        <v>252</v>
      </c>
      <c r="X2" s="1">
        <f>COUNTIF(D:D,"Premium")</f>
        <v>82</v>
      </c>
      <c r="Y2" s="1">
        <f>X5/X2*0.91</f>
        <v>26208</v>
      </c>
    </row>
    <row r="3" spans="1:25" ht="21" customHeight="1" x14ac:dyDescent="0.15">
      <c r="A3" s="2" t="str">
        <f ca="1">input_586100!A$2</f>
        <v>586100</v>
      </c>
      <c r="B3" s="6">
        <v>171</v>
      </c>
      <c r="C3" s="7" t="str">
        <f t="shared" si="0"/>
        <v>Premium5R6release</v>
      </c>
      <c r="D3" s="7" t="str">
        <f t="shared" ref="D3:D37" si="2">IF(OR(I3="PremiumSS",I3="PremiumSSw"),"PremiumSS",IF(I3="PremiumSSS",I3,IF(I3="PremiumW",IF(J3=5,"premium",I3),"Premium")))</f>
        <v>Premium</v>
      </c>
      <c r="E3" s="7" t="str">
        <f>IF(COUNTIF('R6追加前'!A:A,B3)=0,IF(OR(I3="PremiumSS",I3="PremiumSSw"),"R5only","R3less"),"")</f>
        <v/>
      </c>
      <c r="F3" s="7" t="str">
        <f>IF(COUNTIF('R6開放'!A:A,B3)&gt;0,"R6release","")</f>
        <v>R6release</v>
      </c>
      <c r="G3" s="7"/>
      <c r="H3" s="7" t="str">
        <f>VLOOKUP(B3,[1]characters!$A:$C,3,FALSE)</f>
        <v>精解の預知者 オセ</v>
      </c>
      <c r="I3" s="7" t="str">
        <f>VLOOKUP(B3,[1]characters!$A:$J,10,FALSE)</f>
        <v>PremiumN</v>
      </c>
      <c r="J3" s="7">
        <f>VLOOKUP(B3,[1]characters!$A:$I,9,FALSE)</f>
        <v>5</v>
      </c>
      <c r="K3" s="7" t="str">
        <f>VLOOKUP(B3,[1]characters!$A:$H,8,FALSE)</f>
        <v>green</v>
      </c>
      <c r="L3" s="7" t="str">
        <f>VLOOKUP(B3,[1]characters!$A:$K,11,FALSE)</f>
        <v>attack</v>
      </c>
      <c r="M3" s="7" t="str">
        <f>VLOOKUP(B3,[1]characters!$A:$M,13,FALSE)</f>
        <v>god</v>
      </c>
      <c r="N3" s="7" t="str">
        <f>VLOOKUP(B3,[1]characters!$A:$G,7,FALSE)</f>
        <v>女性</v>
      </c>
      <c r="O3" s="45">
        <f>VLOOKUP(D3,$W$2:$Y$4,3,FALSE)</f>
        <v>26208</v>
      </c>
      <c r="P3" s="46">
        <f t="shared" si="1"/>
        <v>1.1097560975609756E-2</v>
      </c>
      <c r="Q3" s="30">
        <v>1</v>
      </c>
      <c r="R3" s="30">
        <v>0</v>
      </c>
      <c r="S3" s="30">
        <v>0</v>
      </c>
      <c r="T3" s="30">
        <v>0</v>
      </c>
      <c r="U3" s="30">
        <v>0</v>
      </c>
      <c r="V3" s="30">
        <v>1</v>
      </c>
      <c r="W3" s="1" t="s">
        <v>253</v>
      </c>
      <c r="X3" s="1">
        <f>COUNTIF(D:D,"PremiumSS")</f>
        <v>72</v>
      </c>
      <c r="Y3" s="1">
        <f>X5/X3*0.075</f>
        <v>2460</v>
      </c>
    </row>
    <row r="4" spans="1:25" ht="21" customHeight="1" x14ac:dyDescent="0.15">
      <c r="A4" s="2" t="str">
        <f ca="1">input_586100!A$2</f>
        <v>586100</v>
      </c>
      <c r="B4" s="6">
        <v>174</v>
      </c>
      <c r="C4" s="7" t="str">
        <f t="shared" si="0"/>
        <v>Premium5R6release</v>
      </c>
      <c r="D4" s="7" t="str">
        <f t="shared" si="2"/>
        <v>Premium</v>
      </c>
      <c r="E4" s="7" t="str">
        <f>IF(COUNTIF('R6追加前'!A:A,B4)=0,IF(OR(I4="PremiumSS",I4="PremiumSSw"),"R5only","R3less"),"")</f>
        <v/>
      </c>
      <c r="F4" s="7" t="str">
        <f>IF(COUNTIF('R6開放'!A:A,B4)&gt;0,"R6release","")</f>
        <v>R6release</v>
      </c>
      <c r="G4" s="7"/>
      <c r="H4" s="7" t="str">
        <f>VLOOKUP(B4,[1]characters!$A:$C,3,FALSE)</f>
        <v>偽愛の大公爵 フォルネウス</v>
      </c>
      <c r="I4" s="7" t="str">
        <f>VLOOKUP(B4,[1]characters!$A:$J,10,FALSE)</f>
        <v>PremiumN</v>
      </c>
      <c r="J4" s="7">
        <f>VLOOKUP(B4,[1]characters!$A:$I,9,FALSE)</f>
        <v>5</v>
      </c>
      <c r="K4" s="7" t="str">
        <f>VLOOKUP(B4,[1]characters!$A:$H,8,FALSE)</f>
        <v>blue</v>
      </c>
      <c r="L4" s="7" t="str">
        <f>VLOOKUP(B4,[1]characters!$A:$K,11,FALSE)</f>
        <v>attack</v>
      </c>
      <c r="M4" s="7" t="str">
        <f>VLOOKUP(B4,[1]characters!$A:$M,13,FALSE)</f>
        <v>god</v>
      </c>
      <c r="N4" s="7" t="str">
        <f>VLOOKUP(B4,[1]characters!$A:$G,7,FALSE)</f>
        <v>女性</v>
      </c>
      <c r="O4" s="45">
        <f>VLOOKUP(D4,$W$2:$Y$4,3,FALSE)</f>
        <v>26208</v>
      </c>
      <c r="P4" s="46">
        <f t="shared" si="1"/>
        <v>1.1097560975609756E-2</v>
      </c>
      <c r="Q4" s="30">
        <v>1</v>
      </c>
      <c r="R4" s="30">
        <v>0</v>
      </c>
      <c r="S4" s="30">
        <v>0</v>
      </c>
      <c r="T4" s="30">
        <v>0</v>
      </c>
      <c r="U4" s="30">
        <v>0</v>
      </c>
      <c r="V4" s="30">
        <v>1</v>
      </c>
      <c r="W4" s="1" t="s">
        <v>250</v>
      </c>
      <c r="X4" s="1">
        <f>COUNTIF(D:D,"PremiumSSS")</f>
        <v>4</v>
      </c>
      <c r="Y4" s="1">
        <f>X5/X4*0.015</f>
        <v>8856</v>
      </c>
    </row>
    <row r="5" spans="1:25" ht="21" customHeight="1" x14ac:dyDescent="0.15">
      <c r="A5" s="2" t="str">
        <f ca="1">input_586100!A$2</f>
        <v>586100</v>
      </c>
      <c r="B5" s="6">
        <v>177</v>
      </c>
      <c r="C5" s="7" t="str">
        <f t="shared" si="0"/>
        <v>Premium5</v>
      </c>
      <c r="D5" s="7" t="str">
        <f t="shared" si="2"/>
        <v>Premium</v>
      </c>
      <c r="E5" s="7" t="str">
        <f>IF(COUNTIF('R6追加前'!A:A,B5)=0,IF(OR(I5="PremiumSS",I5="PremiumSSw"),"R5only","R3less"),"")</f>
        <v/>
      </c>
      <c r="F5" s="7" t="str">
        <f>IF(COUNTIF('R6開放'!A:A,B5)&gt;0,"R6release","")</f>
        <v/>
      </c>
      <c r="G5" s="7"/>
      <c r="H5" s="7" t="str">
        <f>VLOOKUP(B5,[1]characters!$A:$C,3,FALSE)</f>
        <v>黒魔の異端師 バフォメット</v>
      </c>
      <c r="I5" s="7" t="str">
        <f>VLOOKUP(B5,[1]characters!$A:$J,10,FALSE)</f>
        <v>PremiumN</v>
      </c>
      <c r="J5" s="7">
        <f>VLOOKUP(B5,[1]characters!$A:$I,9,FALSE)</f>
        <v>5</v>
      </c>
      <c r="K5" s="7" t="str">
        <f>VLOOKUP(B5,[1]characters!$A:$H,8,FALSE)</f>
        <v>yellow</v>
      </c>
      <c r="L5" s="7" t="str">
        <f>VLOOKUP(B5,[1]characters!$A:$K,11,FALSE)</f>
        <v>attack</v>
      </c>
      <c r="M5" s="7" t="str">
        <f>VLOOKUP(B5,[1]characters!$A:$M,13,FALSE)</f>
        <v>god</v>
      </c>
      <c r="N5" s="7" t="str">
        <f>VLOOKUP(B5,[1]characters!$A:$G,7,FALSE)</f>
        <v>女性</v>
      </c>
      <c r="O5" s="45">
        <f t="shared" ref="O5:O66" si="3">VLOOKUP(D5,$W$2:$Y$4,3,FALSE)</f>
        <v>26208</v>
      </c>
      <c r="P5" s="46">
        <f t="shared" si="1"/>
        <v>1.1097560975609756E-2</v>
      </c>
      <c r="Q5" s="30">
        <v>1</v>
      </c>
      <c r="R5" s="30">
        <v>0</v>
      </c>
      <c r="S5" s="30">
        <v>0</v>
      </c>
      <c r="T5" s="30">
        <v>0</v>
      </c>
      <c r="U5" s="30">
        <v>0</v>
      </c>
      <c r="V5" s="30">
        <v>1</v>
      </c>
      <c r="X5" s="1">
        <f>X2*X3*X4*100</f>
        <v>2361600</v>
      </c>
    </row>
    <row r="6" spans="1:25" ht="21" customHeight="1" x14ac:dyDescent="0.15">
      <c r="A6" s="2" t="str">
        <f ca="1">input_586100!A$2</f>
        <v>586100</v>
      </c>
      <c r="B6" s="6">
        <v>180</v>
      </c>
      <c r="C6" s="7" t="str">
        <f t="shared" si="0"/>
        <v>Premium5</v>
      </c>
      <c r="D6" s="7" t="str">
        <f t="shared" si="2"/>
        <v>Premium</v>
      </c>
      <c r="E6" s="7" t="str">
        <f>IF(COUNTIF('R6追加前'!A:A,B6)=0,IF(OR(I6="PremiumSS",I6="PremiumSSw"),"R5only","R3less"),"")</f>
        <v/>
      </c>
      <c r="F6" s="7" t="str">
        <f>IF(COUNTIF('R6開放'!A:A,B6)&gt;0,"R6release","")</f>
        <v/>
      </c>
      <c r="G6" s="7"/>
      <c r="H6" s="7" t="str">
        <f>VLOOKUP(B6,[1]characters!$A:$C,3,FALSE)</f>
        <v>地獄の大門番 ケルベロス</v>
      </c>
      <c r="I6" s="7" t="str">
        <f>VLOOKUP(B6,[1]characters!$A:$J,10,FALSE)</f>
        <v>PremiumN</v>
      </c>
      <c r="J6" s="7">
        <f>VLOOKUP(B6,[1]characters!$A:$I,9,FALSE)</f>
        <v>5</v>
      </c>
      <c r="K6" s="7" t="str">
        <f>VLOOKUP(B6,[1]characters!$A:$H,8,FALSE)</f>
        <v>red</v>
      </c>
      <c r="L6" s="7" t="str">
        <f>VLOOKUP(B6,[1]characters!$A:$K,11,FALSE)</f>
        <v>balance</v>
      </c>
      <c r="M6" s="7" t="str">
        <f>VLOOKUP(B6,[1]characters!$A:$M,13,FALSE)</f>
        <v>animal</v>
      </c>
      <c r="N6" s="7" t="str">
        <f>VLOOKUP(B6,[1]characters!$A:$G,7,FALSE)</f>
        <v>女性</v>
      </c>
      <c r="O6" s="45">
        <f t="shared" si="3"/>
        <v>26208</v>
      </c>
      <c r="P6" s="46">
        <f t="shared" si="1"/>
        <v>1.1097560975609756E-2</v>
      </c>
      <c r="Q6" s="30">
        <v>1</v>
      </c>
      <c r="R6" s="30">
        <v>0</v>
      </c>
      <c r="S6" s="30">
        <v>0</v>
      </c>
      <c r="T6" s="30">
        <v>0</v>
      </c>
      <c r="U6" s="30">
        <v>0</v>
      </c>
      <c r="V6" s="30">
        <v>1</v>
      </c>
    </row>
    <row r="7" spans="1:25" ht="21" customHeight="1" x14ac:dyDescent="0.15">
      <c r="A7" s="2" t="str">
        <f ca="1">input_586100!A$2</f>
        <v>586100</v>
      </c>
      <c r="B7" s="6">
        <v>183</v>
      </c>
      <c r="C7" s="7" t="str">
        <f t="shared" si="0"/>
        <v>Premium5</v>
      </c>
      <c r="D7" s="7" t="str">
        <f t="shared" si="2"/>
        <v>Premium</v>
      </c>
      <c r="E7" s="7" t="str">
        <f>IF(COUNTIF('R6追加前'!A:A,B7)=0,IF(OR(I7="PremiumSS",I7="PremiumSSw"),"R5only","R3less"),"")</f>
        <v/>
      </c>
      <c r="F7" s="7" t="str">
        <f>IF(COUNTIF('R6開放'!A:A,B7)&gt;0,"R6release","")</f>
        <v/>
      </c>
      <c r="G7" s="7"/>
      <c r="H7" s="7" t="str">
        <f>VLOOKUP(B7,[1]characters!$A:$C,3,FALSE)</f>
        <v>鈍重な彷徨者 ベヒモス</v>
      </c>
      <c r="I7" s="7" t="str">
        <f>VLOOKUP(B7,[1]characters!$A:$J,10,FALSE)</f>
        <v>PremiumN</v>
      </c>
      <c r="J7" s="7">
        <f>VLOOKUP(B7,[1]characters!$A:$I,9,FALSE)</f>
        <v>5</v>
      </c>
      <c r="K7" s="7" t="str">
        <f>VLOOKUP(B7,[1]characters!$A:$H,8,FALSE)</f>
        <v>green</v>
      </c>
      <c r="L7" s="7" t="str">
        <f>VLOOKUP(B7,[1]characters!$A:$K,11,FALSE)</f>
        <v>hp</v>
      </c>
      <c r="M7" s="7" t="str">
        <f>VLOOKUP(B7,[1]characters!$A:$M,13,FALSE)</f>
        <v>animal</v>
      </c>
      <c r="N7" s="7" t="str">
        <f>VLOOKUP(B7,[1]characters!$A:$G,7,FALSE)</f>
        <v>女性</v>
      </c>
      <c r="O7" s="45">
        <f t="shared" si="3"/>
        <v>26208</v>
      </c>
      <c r="P7" s="46">
        <f t="shared" si="1"/>
        <v>1.1097560975609756E-2</v>
      </c>
      <c r="Q7" s="30">
        <v>1</v>
      </c>
      <c r="R7" s="30">
        <v>0</v>
      </c>
      <c r="S7" s="30">
        <v>0</v>
      </c>
      <c r="T7" s="30">
        <v>0</v>
      </c>
      <c r="U7" s="30">
        <v>0</v>
      </c>
      <c r="V7" s="30">
        <v>1</v>
      </c>
    </row>
    <row r="8" spans="1:25" ht="21" customHeight="1" x14ac:dyDescent="0.15">
      <c r="A8" s="2" t="str">
        <f ca="1">input_586100!A$2</f>
        <v>586100</v>
      </c>
      <c r="B8" s="6">
        <v>186</v>
      </c>
      <c r="C8" s="7" t="str">
        <f t="shared" si="0"/>
        <v>Premium5</v>
      </c>
      <c r="D8" s="7" t="str">
        <f t="shared" si="2"/>
        <v>Premium</v>
      </c>
      <c r="E8" s="7" t="str">
        <f>IF(COUNTIF('R6追加前'!A:A,B8)=0,IF(OR(I8="PremiumSS",I8="PremiumSSw"),"R5only","R3less"),"")</f>
        <v/>
      </c>
      <c r="F8" s="7" t="str">
        <f>IF(COUNTIF('R6開放'!A:A,B8)&gt;0,"R6release","")</f>
        <v/>
      </c>
      <c r="G8" s="7"/>
      <c r="H8" s="7" t="str">
        <f>VLOOKUP(B8,[1]characters!$A:$C,3,FALSE)</f>
        <v>誇り高き多触姫・クラーケン</v>
      </c>
      <c r="I8" s="7" t="str">
        <f>VLOOKUP(B8,[1]characters!$A:$J,10,FALSE)</f>
        <v>PremiumN</v>
      </c>
      <c r="J8" s="7">
        <f>VLOOKUP(B8,[1]characters!$A:$I,9,FALSE)</f>
        <v>5</v>
      </c>
      <c r="K8" s="7" t="str">
        <f>VLOOKUP(B8,[1]characters!$A:$H,8,FALSE)</f>
        <v>blue</v>
      </c>
      <c r="L8" s="7" t="str">
        <f>VLOOKUP(B8,[1]characters!$A:$K,11,FALSE)</f>
        <v>heal</v>
      </c>
      <c r="M8" s="7" t="str">
        <f>VLOOKUP(B8,[1]characters!$A:$M,13,FALSE)</f>
        <v>animal</v>
      </c>
      <c r="N8" s="7" t="str">
        <f>VLOOKUP(B8,[1]characters!$A:$G,7,FALSE)</f>
        <v>女性</v>
      </c>
      <c r="O8" s="45">
        <f t="shared" si="3"/>
        <v>26208</v>
      </c>
      <c r="P8" s="46">
        <f t="shared" si="1"/>
        <v>1.1097560975609756E-2</v>
      </c>
      <c r="Q8" s="30">
        <v>1</v>
      </c>
      <c r="R8" s="30">
        <v>0</v>
      </c>
      <c r="S8" s="30">
        <v>0</v>
      </c>
      <c r="T8" s="30">
        <v>0</v>
      </c>
      <c r="U8" s="30">
        <v>0</v>
      </c>
      <c r="V8" s="30">
        <v>1</v>
      </c>
    </row>
    <row r="9" spans="1:25" ht="21" customHeight="1" x14ac:dyDescent="0.15">
      <c r="A9" s="2" t="str">
        <f ca="1">input_586100!A$2</f>
        <v>586100</v>
      </c>
      <c r="B9" s="6">
        <v>189</v>
      </c>
      <c r="C9" s="7" t="str">
        <f t="shared" si="0"/>
        <v>Premium5</v>
      </c>
      <c r="D9" s="7" t="str">
        <f t="shared" si="2"/>
        <v>Premium</v>
      </c>
      <c r="E9" s="7" t="str">
        <f>IF(COUNTIF('R6追加前'!A:A,B9)=0,IF(OR(I9="PremiumSS",I9="PremiumSSw"),"R5only","R3less"),"")</f>
        <v/>
      </c>
      <c r="F9" s="7" t="str">
        <f>IF(COUNTIF('R6開放'!A:A,B9)&gt;0,"R6release","")</f>
        <v/>
      </c>
      <c r="G9" s="7"/>
      <c r="H9" s="7" t="str">
        <f>VLOOKUP(B9,[1]characters!$A:$C,3,FALSE)</f>
        <v>迅雷の王禽 ホルス</v>
      </c>
      <c r="I9" s="7" t="str">
        <f>VLOOKUP(B9,[1]characters!$A:$J,10,FALSE)</f>
        <v>PremiumN</v>
      </c>
      <c r="J9" s="7">
        <f>VLOOKUP(B9,[1]characters!$A:$I,9,FALSE)</f>
        <v>5</v>
      </c>
      <c r="K9" s="7" t="str">
        <f>VLOOKUP(B9,[1]characters!$A:$H,8,FALSE)</f>
        <v>yellow</v>
      </c>
      <c r="L9" s="7" t="str">
        <f>VLOOKUP(B9,[1]characters!$A:$K,11,FALSE)</f>
        <v>attack</v>
      </c>
      <c r="M9" s="7" t="str">
        <f>VLOOKUP(B9,[1]characters!$A:$M,13,FALSE)</f>
        <v>animal</v>
      </c>
      <c r="N9" s="7" t="str">
        <f>VLOOKUP(B9,[1]characters!$A:$G,7,FALSE)</f>
        <v>女性</v>
      </c>
      <c r="O9" s="45">
        <f t="shared" si="3"/>
        <v>26208</v>
      </c>
      <c r="P9" s="46">
        <f t="shared" si="1"/>
        <v>1.1097560975609756E-2</v>
      </c>
      <c r="Q9" s="30">
        <v>1</v>
      </c>
      <c r="R9" s="30">
        <v>0</v>
      </c>
      <c r="S9" s="30">
        <v>0</v>
      </c>
      <c r="T9" s="30">
        <v>0</v>
      </c>
      <c r="U9" s="30">
        <v>0</v>
      </c>
      <c r="V9" s="30">
        <v>1</v>
      </c>
    </row>
    <row r="10" spans="1:25" ht="21" customHeight="1" x14ac:dyDescent="0.15">
      <c r="A10" s="2" t="str">
        <f ca="1">input_586100!A$2</f>
        <v>586100</v>
      </c>
      <c r="B10" s="6">
        <v>192</v>
      </c>
      <c r="C10" s="7" t="str">
        <f t="shared" si="0"/>
        <v>Premium5</v>
      </c>
      <c r="D10" s="7" t="str">
        <f t="shared" si="2"/>
        <v>Premium</v>
      </c>
      <c r="E10" s="7" t="str">
        <f>IF(COUNTIF('R6追加前'!A:A,B10)=0,IF(OR(I10="PremiumSS",I10="PremiumSSw"),"R5only","R3less"),"")</f>
        <v/>
      </c>
      <c r="F10" s="7" t="str">
        <f>IF(COUNTIF('R6開放'!A:A,B10)&gt;0,"R6release","")</f>
        <v/>
      </c>
      <c r="G10" s="7"/>
      <c r="H10" s="7" t="str">
        <f>VLOOKUP(B10,[1]characters!$A:$C,3,FALSE)</f>
        <v>荘厳なる始祖帝 卑弥呼</v>
      </c>
      <c r="I10" s="7" t="str">
        <f>VLOOKUP(B10,[1]characters!$A:$J,10,FALSE)</f>
        <v>PremiumN</v>
      </c>
      <c r="J10" s="7">
        <f>VLOOKUP(B10,[1]characters!$A:$I,9,FALSE)</f>
        <v>5</v>
      </c>
      <c r="K10" s="7" t="str">
        <f>VLOOKUP(B10,[1]characters!$A:$H,8,FALSE)</f>
        <v>red</v>
      </c>
      <c r="L10" s="7" t="str">
        <f>VLOOKUP(B10,[1]characters!$A:$K,11,FALSE)</f>
        <v>balance</v>
      </c>
      <c r="M10" s="7" t="str">
        <f>VLOOKUP(B10,[1]characters!$A:$M,13,FALSE)</f>
        <v>human</v>
      </c>
      <c r="N10" s="7" t="str">
        <f>VLOOKUP(B10,[1]characters!$A:$G,7,FALSE)</f>
        <v>女性</v>
      </c>
      <c r="O10" s="45">
        <f t="shared" si="3"/>
        <v>26208</v>
      </c>
      <c r="P10" s="46">
        <f t="shared" si="1"/>
        <v>1.1097560975609756E-2</v>
      </c>
      <c r="Q10" s="30">
        <v>1</v>
      </c>
      <c r="R10" s="30">
        <v>0</v>
      </c>
      <c r="S10" s="30">
        <v>0</v>
      </c>
      <c r="T10" s="30">
        <v>0</v>
      </c>
      <c r="U10" s="30">
        <v>0</v>
      </c>
      <c r="V10" s="30">
        <v>1</v>
      </c>
    </row>
    <row r="11" spans="1:25" ht="21" customHeight="1" x14ac:dyDescent="0.15">
      <c r="A11" s="2" t="str">
        <f ca="1">input_586100!A$2</f>
        <v>586100</v>
      </c>
      <c r="B11" s="6">
        <v>195</v>
      </c>
      <c r="C11" s="7" t="str">
        <f t="shared" si="0"/>
        <v>Premium5</v>
      </c>
      <c r="D11" s="7" t="str">
        <f t="shared" si="2"/>
        <v>Premium</v>
      </c>
      <c r="E11" s="7" t="str">
        <f>IF(COUNTIF('R6追加前'!A:A,B11)=0,IF(OR(I11="PremiumSS",I11="PremiumSSw"),"R5only","R3less"),"")</f>
        <v/>
      </c>
      <c r="F11" s="7" t="str">
        <f>IF(COUNTIF('R6開放'!A:A,B11)&gt;0,"R6release","")</f>
        <v/>
      </c>
      <c r="G11" s="7"/>
      <c r="H11" s="7" t="str">
        <f>VLOOKUP(B11,[1]characters!$A:$C,3,FALSE)</f>
        <v>グランドハンター ロビンフッド</v>
      </c>
      <c r="I11" s="7" t="str">
        <f>VLOOKUP(B11,[1]characters!$A:$J,10,FALSE)</f>
        <v>PremiumN</v>
      </c>
      <c r="J11" s="7">
        <f>VLOOKUP(B11,[1]characters!$A:$I,9,FALSE)</f>
        <v>5</v>
      </c>
      <c r="K11" s="7" t="str">
        <f>VLOOKUP(B11,[1]characters!$A:$H,8,FALSE)</f>
        <v>green</v>
      </c>
      <c r="L11" s="7" t="str">
        <f>VLOOKUP(B11,[1]characters!$A:$K,11,FALSE)</f>
        <v>balance</v>
      </c>
      <c r="M11" s="7" t="str">
        <f>VLOOKUP(B11,[1]characters!$A:$M,13,FALSE)</f>
        <v>human</v>
      </c>
      <c r="N11" s="7" t="str">
        <f>VLOOKUP(B11,[1]characters!$A:$G,7,FALSE)</f>
        <v>女性</v>
      </c>
      <c r="O11" s="45">
        <f t="shared" si="3"/>
        <v>26208</v>
      </c>
      <c r="P11" s="46">
        <f t="shared" si="1"/>
        <v>1.1097560975609756E-2</v>
      </c>
      <c r="Q11" s="30">
        <v>1</v>
      </c>
      <c r="R11" s="30">
        <v>0</v>
      </c>
      <c r="S11" s="30">
        <v>0</v>
      </c>
      <c r="T11" s="30">
        <v>0</v>
      </c>
      <c r="U11" s="30">
        <v>0</v>
      </c>
      <c r="V11" s="30">
        <v>1</v>
      </c>
    </row>
    <row r="12" spans="1:25" ht="21" customHeight="1" x14ac:dyDescent="0.15">
      <c r="A12" s="2" t="str">
        <f ca="1">input_586100!A$2</f>
        <v>586100</v>
      </c>
      <c r="B12" s="8">
        <v>198</v>
      </c>
      <c r="C12" s="7" t="str">
        <f t="shared" si="0"/>
        <v>Premium5</v>
      </c>
      <c r="D12" s="7" t="str">
        <f t="shared" si="2"/>
        <v>Premium</v>
      </c>
      <c r="E12" s="7" t="str">
        <f>IF(COUNTIF('R6追加前'!A:A,B12)=0,IF(OR(I12="PremiumSS",I12="PremiumSSw"),"R5only","R3less"),"")</f>
        <v/>
      </c>
      <c r="F12" s="7" t="str">
        <f>IF(COUNTIF('R6開放'!A:A,B12)&gt;0,"R6release","")</f>
        <v/>
      </c>
      <c r="G12" s="7"/>
      <c r="H12" s="7" t="str">
        <f>VLOOKUP(B12,[1]characters!$A:$C,3,FALSE)</f>
        <v>砕骨の剛腕 アキレス</v>
      </c>
      <c r="I12" s="7" t="str">
        <f>VLOOKUP(B12,[1]characters!$A:$J,10,FALSE)</f>
        <v>PremiumN</v>
      </c>
      <c r="J12" s="7">
        <f>VLOOKUP(B12,[1]characters!$A:$I,9,FALSE)</f>
        <v>5</v>
      </c>
      <c r="K12" s="7" t="str">
        <f>VLOOKUP(B12,[1]characters!$A:$H,8,FALSE)</f>
        <v>yellow</v>
      </c>
      <c r="L12" s="7" t="str">
        <f>VLOOKUP(B12,[1]characters!$A:$K,11,FALSE)</f>
        <v>balance</v>
      </c>
      <c r="M12" s="7" t="str">
        <f>VLOOKUP(B12,[1]characters!$A:$M,13,FALSE)</f>
        <v>human</v>
      </c>
      <c r="N12" s="7" t="str">
        <f>VLOOKUP(B12,[1]characters!$A:$G,7,FALSE)</f>
        <v>女性</v>
      </c>
      <c r="O12" s="45">
        <f t="shared" si="3"/>
        <v>26208</v>
      </c>
      <c r="P12" s="46">
        <f t="shared" si="1"/>
        <v>1.1097560975609756E-2</v>
      </c>
      <c r="Q12" s="30">
        <v>1</v>
      </c>
      <c r="R12" s="30">
        <v>0</v>
      </c>
      <c r="S12" s="30">
        <v>0</v>
      </c>
      <c r="T12" s="30">
        <v>0</v>
      </c>
      <c r="U12" s="30">
        <v>0</v>
      </c>
      <c r="V12" s="30">
        <v>1</v>
      </c>
    </row>
    <row r="13" spans="1:25" ht="21" customHeight="1" x14ac:dyDescent="0.15">
      <c r="A13" s="2" t="str">
        <f ca="1">input_586100!A$2</f>
        <v>586100</v>
      </c>
      <c r="B13" s="8">
        <v>201</v>
      </c>
      <c r="C13" s="7" t="str">
        <f t="shared" si="0"/>
        <v>Premium5</v>
      </c>
      <c r="D13" s="7" t="str">
        <f t="shared" si="2"/>
        <v>Premium</v>
      </c>
      <c r="E13" s="7" t="str">
        <f>IF(COUNTIF('R6追加前'!A:A,B13)=0,IF(OR(I13="PremiumSS",I13="PremiumSSw"),"R5only","R3less"),"")</f>
        <v/>
      </c>
      <c r="F13" s="7" t="str">
        <f>IF(COUNTIF('R6開放'!A:A,B13)&gt;0,"R6release","")</f>
        <v/>
      </c>
      <c r="G13" s="7"/>
      <c r="H13" s="7" t="str">
        <f>VLOOKUP(B13,[1]characters!$A:$C,3,FALSE)</f>
        <v>斬空の大破剣 ジークフリート</v>
      </c>
      <c r="I13" s="7" t="str">
        <f>VLOOKUP(B13,[1]characters!$A:$J,10,FALSE)</f>
        <v>PremiumN</v>
      </c>
      <c r="J13" s="7">
        <f>VLOOKUP(B13,[1]characters!$A:$I,9,FALSE)</f>
        <v>5</v>
      </c>
      <c r="K13" s="7" t="str">
        <f>VLOOKUP(B13,[1]characters!$A:$H,8,FALSE)</f>
        <v>blue</v>
      </c>
      <c r="L13" s="7" t="str">
        <f>VLOOKUP(B13,[1]characters!$A:$K,11,FALSE)</f>
        <v>balance</v>
      </c>
      <c r="M13" s="7" t="str">
        <f>VLOOKUP(B13,[1]characters!$A:$M,13,FALSE)</f>
        <v>human</v>
      </c>
      <c r="N13" s="7" t="str">
        <f>VLOOKUP(B13,[1]characters!$A:$G,7,FALSE)</f>
        <v>男性</v>
      </c>
      <c r="O13" s="45">
        <f t="shared" si="3"/>
        <v>26208</v>
      </c>
      <c r="P13" s="46">
        <f t="shared" si="1"/>
        <v>1.1097560975609756E-2</v>
      </c>
      <c r="Q13" s="30">
        <v>1</v>
      </c>
      <c r="R13" s="30">
        <v>0</v>
      </c>
      <c r="S13" s="30">
        <v>0</v>
      </c>
      <c r="T13" s="30">
        <v>0</v>
      </c>
      <c r="U13" s="30">
        <v>0</v>
      </c>
      <c r="V13" s="30">
        <v>1</v>
      </c>
    </row>
    <row r="14" spans="1:25" ht="21" customHeight="1" x14ac:dyDescent="0.15">
      <c r="A14" s="2" t="str">
        <f ca="1">input_586100!A$2</f>
        <v>586100</v>
      </c>
      <c r="B14" s="6">
        <v>204</v>
      </c>
      <c r="C14" s="7" t="str">
        <f t="shared" si="0"/>
        <v>Premium5</v>
      </c>
      <c r="D14" s="7" t="str">
        <f t="shared" si="2"/>
        <v>Premium</v>
      </c>
      <c r="E14" s="7" t="str">
        <f>IF(COUNTIF('R6追加前'!A:A,B14)=0,IF(OR(I14="PremiumSS",I14="PremiumSSw"),"R5only","R3less"),"")</f>
        <v/>
      </c>
      <c r="F14" s="7" t="str">
        <f>IF(COUNTIF('R6開放'!A:A,B14)&gt;0,"R6release","")</f>
        <v/>
      </c>
      <c r="G14" s="7"/>
      <c r="H14" s="7" t="str">
        <f>VLOOKUP(B14,[1]characters!$A:$C,3,FALSE)</f>
        <v>慟哭の巨焔 プロメテウス</v>
      </c>
      <c r="I14" s="7" t="str">
        <f>VLOOKUP(B14,[1]characters!$A:$J,10,FALSE)</f>
        <v>PremiumN</v>
      </c>
      <c r="J14" s="7">
        <f>VLOOKUP(B14,[1]characters!$A:$I,9,FALSE)</f>
        <v>5</v>
      </c>
      <c r="K14" s="7" t="str">
        <f>VLOOKUP(B14,[1]characters!$A:$H,8,FALSE)</f>
        <v>red</v>
      </c>
      <c r="L14" s="7" t="str">
        <f>VLOOKUP(B14,[1]characters!$A:$K,11,FALSE)</f>
        <v>hp</v>
      </c>
      <c r="M14" s="7" t="str">
        <f>VLOOKUP(B14,[1]characters!$A:$M,13,FALSE)</f>
        <v>god</v>
      </c>
      <c r="N14" s="7" t="str">
        <f>VLOOKUP(B14,[1]characters!$A:$G,7,FALSE)</f>
        <v>男性</v>
      </c>
      <c r="O14" s="45">
        <f t="shared" si="3"/>
        <v>26208</v>
      </c>
      <c r="P14" s="46">
        <f t="shared" si="1"/>
        <v>1.1097560975609756E-2</v>
      </c>
      <c r="Q14" s="30">
        <v>1</v>
      </c>
      <c r="R14" s="30">
        <v>0</v>
      </c>
      <c r="S14" s="30">
        <v>0</v>
      </c>
      <c r="T14" s="30">
        <v>0</v>
      </c>
      <c r="U14" s="30">
        <v>0</v>
      </c>
      <c r="V14" s="30">
        <v>1</v>
      </c>
    </row>
    <row r="15" spans="1:25" ht="21" customHeight="1" x14ac:dyDescent="0.15">
      <c r="A15" s="2" t="str">
        <f ca="1">input_586100!A$2</f>
        <v>586100</v>
      </c>
      <c r="B15" s="6">
        <v>207</v>
      </c>
      <c r="C15" s="7" t="str">
        <f t="shared" si="0"/>
        <v>Premium5</v>
      </c>
      <c r="D15" s="7" t="str">
        <f t="shared" si="2"/>
        <v>Premium</v>
      </c>
      <c r="E15" s="7" t="str">
        <f>IF(COUNTIF('R6追加前'!A:A,B15)=0,IF(OR(I15="PremiumSS",I15="PremiumSSw"),"R5only","R3less"),"")</f>
        <v/>
      </c>
      <c r="F15" s="7" t="str">
        <f>IF(COUNTIF('R6開放'!A:A,B15)&gt;0,"R6release","")</f>
        <v/>
      </c>
      <c r="G15" s="7"/>
      <c r="H15" s="7" t="str">
        <f>VLOOKUP(B15,[1]characters!$A:$C,3,FALSE)</f>
        <v>豊穣の麗神・アフロディーテ</v>
      </c>
      <c r="I15" s="7" t="str">
        <f>VLOOKUP(B15,[1]characters!$A:$J,10,FALSE)</f>
        <v>PremiumN</v>
      </c>
      <c r="J15" s="7">
        <f>VLOOKUP(B15,[1]characters!$A:$I,9,FALSE)</f>
        <v>5</v>
      </c>
      <c r="K15" s="7" t="str">
        <f>VLOOKUP(B15,[1]characters!$A:$H,8,FALSE)</f>
        <v>green</v>
      </c>
      <c r="L15" s="7" t="str">
        <f>VLOOKUP(B15,[1]characters!$A:$K,11,FALSE)</f>
        <v>hp</v>
      </c>
      <c r="M15" s="7" t="str">
        <f>VLOOKUP(B15,[1]characters!$A:$M,13,FALSE)</f>
        <v>god</v>
      </c>
      <c r="N15" s="7" t="str">
        <f>VLOOKUP(B15,[1]characters!$A:$G,7,FALSE)</f>
        <v>女性</v>
      </c>
      <c r="O15" s="45">
        <f t="shared" si="3"/>
        <v>26208</v>
      </c>
      <c r="P15" s="46">
        <f t="shared" si="1"/>
        <v>1.1097560975609756E-2</v>
      </c>
      <c r="Q15" s="30">
        <v>1</v>
      </c>
      <c r="R15" s="30">
        <v>0</v>
      </c>
      <c r="S15" s="30">
        <v>0</v>
      </c>
      <c r="T15" s="30">
        <v>0</v>
      </c>
      <c r="U15" s="30">
        <v>0</v>
      </c>
      <c r="V15" s="30">
        <v>1</v>
      </c>
    </row>
    <row r="16" spans="1:25" ht="21" customHeight="1" x14ac:dyDescent="0.15">
      <c r="A16" s="2" t="str">
        <f ca="1">input_586100!A$2</f>
        <v>586100</v>
      </c>
      <c r="B16" s="10">
        <v>210</v>
      </c>
      <c r="C16" s="7" t="str">
        <f t="shared" si="0"/>
        <v>Premium5</v>
      </c>
      <c r="D16" s="7" t="str">
        <f t="shared" si="2"/>
        <v>Premium</v>
      </c>
      <c r="E16" s="7" t="str">
        <f>IF(COUNTIF('R6追加前'!A:A,B16)=0,IF(OR(I16="PremiumSS",I16="PremiumSSw"),"R5only","R3less"),"")</f>
        <v/>
      </c>
      <c r="F16" s="7" t="str">
        <f>IF(COUNTIF('R6開放'!A:A,B16)&gt;0,"R6release","")</f>
        <v/>
      </c>
      <c r="G16" s="7"/>
      <c r="H16" s="7" t="str">
        <f>VLOOKUP(B16,[1]characters!$A:$C,3,FALSE)</f>
        <v>海底の孤高神 テティス</v>
      </c>
      <c r="I16" s="7" t="str">
        <f>VLOOKUP(B16,[1]characters!$A:$J,10,FALSE)</f>
        <v>PremiumN</v>
      </c>
      <c r="J16" s="7">
        <f>VLOOKUP(B16,[1]characters!$A:$I,9,FALSE)</f>
        <v>5</v>
      </c>
      <c r="K16" s="7" t="str">
        <f>VLOOKUP(B16,[1]characters!$A:$H,8,FALSE)</f>
        <v>blue</v>
      </c>
      <c r="L16" s="7" t="str">
        <f>VLOOKUP(B16,[1]characters!$A:$K,11,FALSE)</f>
        <v>hp</v>
      </c>
      <c r="M16" s="7" t="str">
        <f>VLOOKUP(B16,[1]characters!$A:$M,13,FALSE)</f>
        <v>god</v>
      </c>
      <c r="N16" s="7" t="str">
        <f>VLOOKUP(B16,[1]characters!$A:$G,7,FALSE)</f>
        <v>女性</v>
      </c>
      <c r="O16" s="45">
        <f t="shared" si="3"/>
        <v>26208</v>
      </c>
      <c r="P16" s="46">
        <f t="shared" si="1"/>
        <v>1.1097560975609756E-2</v>
      </c>
      <c r="Q16" s="30">
        <v>1</v>
      </c>
      <c r="R16" s="30">
        <v>0</v>
      </c>
      <c r="S16" s="30">
        <v>0</v>
      </c>
      <c r="T16" s="30">
        <v>0</v>
      </c>
      <c r="U16" s="30">
        <v>0</v>
      </c>
      <c r="V16" s="30">
        <v>1</v>
      </c>
    </row>
    <row r="17" spans="1:22" ht="21" customHeight="1" x14ac:dyDescent="0.15">
      <c r="A17" s="2" t="str">
        <f ca="1">input_586100!A$2</f>
        <v>586100</v>
      </c>
      <c r="B17" s="11">
        <v>213</v>
      </c>
      <c r="C17" s="7" t="str">
        <f t="shared" si="0"/>
        <v>Premium5</v>
      </c>
      <c r="D17" s="7" t="str">
        <f t="shared" si="2"/>
        <v>Premium</v>
      </c>
      <c r="E17" s="7" t="str">
        <f>IF(COUNTIF('R6追加前'!A:A,B17)=0,IF(OR(I17="PremiumSS",I17="PremiumSSw"),"R5only","R3less"),"")</f>
        <v/>
      </c>
      <c r="F17" s="7" t="str">
        <f>IF(COUNTIF('R6開放'!A:A,B17)&gt;0,"R6release","")</f>
        <v/>
      </c>
      <c r="G17" s="7"/>
      <c r="H17" s="7" t="str">
        <f>VLOOKUP(B17,[1]characters!$A:$C,3,FALSE)</f>
        <v>満天の星降神 アストライアー</v>
      </c>
      <c r="I17" s="7" t="str">
        <f>VLOOKUP(B17,[1]characters!$A:$J,10,FALSE)</f>
        <v>PremiumN</v>
      </c>
      <c r="J17" s="7">
        <f>VLOOKUP(B17,[1]characters!$A:$I,9,FALSE)</f>
        <v>5</v>
      </c>
      <c r="K17" s="7" t="str">
        <f>VLOOKUP(B17,[1]characters!$A:$H,8,FALSE)</f>
        <v>yellow</v>
      </c>
      <c r="L17" s="7" t="str">
        <f>VLOOKUP(B17,[1]characters!$A:$K,11,FALSE)</f>
        <v>balance</v>
      </c>
      <c r="M17" s="7" t="str">
        <f>VLOOKUP(B17,[1]characters!$A:$M,13,FALSE)</f>
        <v>god</v>
      </c>
      <c r="N17" s="7" t="str">
        <f>VLOOKUP(B17,[1]characters!$A:$G,7,FALSE)</f>
        <v>女性</v>
      </c>
      <c r="O17" s="45">
        <f t="shared" si="3"/>
        <v>26208</v>
      </c>
      <c r="P17" s="46">
        <f t="shared" si="1"/>
        <v>1.1097560975609756E-2</v>
      </c>
      <c r="Q17" s="30">
        <v>1</v>
      </c>
      <c r="R17" s="30">
        <v>0</v>
      </c>
      <c r="S17" s="30">
        <v>0</v>
      </c>
      <c r="T17" s="30">
        <v>0</v>
      </c>
      <c r="U17" s="30">
        <v>0</v>
      </c>
      <c r="V17" s="30">
        <v>1</v>
      </c>
    </row>
    <row r="18" spans="1:22" ht="21" customHeight="1" x14ac:dyDescent="0.15">
      <c r="A18" s="2" t="str">
        <f ca="1">input_586100!A$2</f>
        <v>586100</v>
      </c>
      <c r="B18" s="6">
        <v>216</v>
      </c>
      <c r="C18" s="7" t="str">
        <f t="shared" si="0"/>
        <v>Premium5</v>
      </c>
      <c r="D18" s="7" t="str">
        <f t="shared" si="2"/>
        <v>Premium</v>
      </c>
      <c r="E18" s="7" t="str">
        <f>IF(COUNTIF('R6追加前'!A:A,B18)=0,IF(OR(I18="PremiumSS",I18="PremiumSSw"),"R5only","R3less"),"")</f>
        <v/>
      </c>
      <c r="F18" s="7" t="str">
        <f>IF(COUNTIF('R6開放'!A:A,B18)&gt;0,"R6release","")</f>
        <v/>
      </c>
      <c r="G18" s="7"/>
      <c r="H18" s="7" t="str">
        <f>VLOOKUP(B18,[1]characters!$A:$C,3,FALSE)</f>
        <v>百読の死導司書 アズラエル</v>
      </c>
      <c r="I18" s="7" t="str">
        <f>VLOOKUP(B18,[1]characters!$A:$J,10,FALSE)</f>
        <v>PremiumN</v>
      </c>
      <c r="J18" s="7">
        <f>VLOOKUP(B18,[1]characters!$A:$I,9,FALSE)</f>
        <v>5</v>
      </c>
      <c r="K18" s="7" t="str">
        <f>VLOOKUP(B18,[1]characters!$A:$H,8,FALSE)</f>
        <v>red</v>
      </c>
      <c r="L18" s="7" t="str">
        <f>VLOOKUP(B18,[1]characters!$A:$K,11,FALSE)</f>
        <v>balance</v>
      </c>
      <c r="M18" s="7" t="str">
        <f>VLOOKUP(B18,[1]characters!$A:$M,13,FALSE)</f>
        <v>god</v>
      </c>
      <c r="N18" s="7" t="str">
        <f>VLOOKUP(B18,[1]characters!$A:$G,7,FALSE)</f>
        <v>女性</v>
      </c>
      <c r="O18" s="45">
        <f t="shared" si="3"/>
        <v>26208</v>
      </c>
      <c r="P18" s="46">
        <f t="shared" si="1"/>
        <v>1.1097560975609756E-2</v>
      </c>
      <c r="Q18" s="30">
        <v>1</v>
      </c>
      <c r="R18" s="30">
        <v>0</v>
      </c>
      <c r="S18" s="30">
        <v>0</v>
      </c>
      <c r="T18" s="30">
        <v>0</v>
      </c>
      <c r="U18" s="30">
        <v>0</v>
      </c>
      <c r="V18" s="30">
        <v>1</v>
      </c>
    </row>
    <row r="19" spans="1:22" s="12" customFormat="1" ht="21" customHeight="1" thickBot="1" x14ac:dyDescent="0.2">
      <c r="A19" s="2" t="str">
        <f ca="1">input_586100!A$2</f>
        <v>586100</v>
      </c>
      <c r="B19" s="6">
        <v>219</v>
      </c>
      <c r="C19" s="7" t="str">
        <f t="shared" si="0"/>
        <v>Premium5</v>
      </c>
      <c r="D19" s="7" t="str">
        <f t="shared" si="2"/>
        <v>Premium</v>
      </c>
      <c r="E19" s="7" t="str">
        <f>IF(COUNTIF('R6追加前'!A:A,B19)=0,IF(OR(I19="PremiumSS",I19="PremiumSSw"),"R5only","R3less"),"")</f>
        <v/>
      </c>
      <c r="F19" s="7" t="str">
        <f>IF(COUNTIF('R6開放'!A:A,B19)&gt;0,"R6release","")</f>
        <v/>
      </c>
      <c r="G19" s="7"/>
      <c r="H19" s="7" t="str">
        <f>VLOOKUP(B19,[1]characters!$A:$C,3,FALSE)</f>
        <v>覇翼の聖蛇竜 ケツァクアトル</v>
      </c>
      <c r="I19" s="7" t="str">
        <f>VLOOKUP(B19,[1]characters!$A:$J,10,FALSE)</f>
        <v>PremiumN</v>
      </c>
      <c r="J19" s="7">
        <f>VLOOKUP(B19,[1]characters!$A:$I,9,FALSE)</f>
        <v>5</v>
      </c>
      <c r="K19" s="7" t="str">
        <f>VLOOKUP(B19,[1]characters!$A:$H,8,FALSE)</f>
        <v>green</v>
      </c>
      <c r="L19" s="7" t="str">
        <f>VLOOKUP(B19,[1]characters!$A:$K,11,FALSE)</f>
        <v>hp</v>
      </c>
      <c r="M19" s="7" t="str">
        <f>VLOOKUP(B19,[1]characters!$A:$M,13,FALSE)</f>
        <v>dragon</v>
      </c>
      <c r="N19" s="7" t="str">
        <f>VLOOKUP(B19,[1]characters!$A:$G,7,FALSE)</f>
        <v>女性</v>
      </c>
      <c r="O19" s="45">
        <f t="shared" si="3"/>
        <v>26208</v>
      </c>
      <c r="P19" s="46">
        <f t="shared" si="1"/>
        <v>1.1097560975609756E-2</v>
      </c>
      <c r="Q19" s="30">
        <v>1</v>
      </c>
      <c r="R19" s="30">
        <v>0</v>
      </c>
      <c r="S19" s="30">
        <v>0</v>
      </c>
      <c r="T19" s="30">
        <v>0</v>
      </c>
      <c r="U19" s="30">
        <v>0</v>
      </c>
      <c r="V19" s="30">
        <v>1</v>
      </c>
    </row>
    <row r="20" spans="1:22" ht="21" customHeight="1" x14ac:dyDescent="0.15">
      <c r="A20" s="2" t="str">
        <f ca="1">input_586100!A$2</f>
        <v>586100</v>
      </c>
      <c r="B20" s="10">
        <v>222</v>
      </c>
      <c r="C20" s="7" t="str">
        <f t="shared" si="0"/>
        <v>Premium5</v>
      </c>
      <c r="D20" s="7" t="str">
        <f t="shared" si="2"/>
        <v>Premium</v>
      </c>
      <c r="E20" s="7" t="str">
        <f>IF(COUNTIF('R6追加前'!A:A,B20)=0,IF(OR(I20="PremiumSS",I20="PremiumSSw"),"R5only","R3less"),"")</f>
        <v/>
      </c>
      <c r="F20" s="7" t="str">
        <f>IF(COUNTIF('R6開放'!A:A,B20)&gt;0,"R6release","")</f>
        <v/>
      </c>
      <c r="G20" s="7"/>
      <c r="H20" s="7" t="str">
        <f>VLOOKUP(B20,[1]characters!$A:$C,3,FALSE)</f>
        <v>避光の鉄鎖宰相 ルキフグス</v>
      </c>
      <c r="I20" s="7" t="str">
        <f>VLOOKUP(B20,[1]characters!$A:$J,10,FALSE)</f>
        <v>PremiumN</v>
      </c>
      <c r="J20" s="7">
        <f>VLOOKUP(B20,[1]characters!$A:$I,9,FALSE)</f>
        <v>5</v>
      </c>
      <c r="K20" s="7" t="str">
        <f>VLOOKUP(B20,[1]characters!$A:$H,8,FALSE)</f>
        <v>blue</v>
      </c>
      <c r="L20" s="7" t="str">
        <f>VLOOKUP(B20,[1]characters!$A:$K,11,FALSE)</f>
        <v>balance</v>
      </c>
      <c r="M20" s="7" t="str">
        <f>VLOOKUP(B20,[1]characters!$A:$M,13,FALSE)</f>
        <v>god</v>
      </c>
      <c r="N20" s="7" t="str">
        <f>VLOOKUP(B20,[1]characters!$A:$G,7,FALSE)</f>
        <v>女性</v>
      </c>
      <c r="O20" s="45">
        <f t="shared" si="3"/>
        <v>26208</v>
      </c>
      <c r="P20" s="46">
        <f t="shared" si="1"/>
        <v>1.1097560975609756E-2</v>
      </c>
      <c r="Q20" s="30">
        <v>1</v>
      </c>
      <c r="R20" s="30">
        <v>0</v>
      </c>
      <c r="S20" s="30">
        <v>0</v>
      </c>
      <c r="T20" s="30">
        <v>0</v>
      </c>
      <c r="U20" s="30">
        <v>0</v>
      </c>
      <c r="V20" s="30">
        <v>1</v>
      </c>
    </row>
    <row r="21" spans="1:22" ht="21" customHeight="1" x14ac:dyDescent="0.15">
      <c r="A21" s="2" t="str">
        <f ca="1">input_586100!A$2</f>
        <v>586100</v>
      </c>
      <c r="B21" s="6">
        <v>225</v>
      </c>
      <c r="C21" s="7" t="str">
        <f t="shared" si="0"/>
        <v>Premium5</v>
      </c>
      <c r="D21" s="7" t="str">
        <f t="shared" si="2"/>
        <v>Premium</v>
      </c>
      <c r="E21" s="7" t="str">
        <f>IF(COUNTIF('R6追加前'!A:A,B21)=0,IF(OR(I21="PremiumSS",I21="PremiumSSw"),"R5only","R3less"),"")</f>
        <v/>
      </c>
      <c r="F21" s="7" t="str">
        <f>IF(COUNTIF('R6開放'!A:A,B21)&gt;0,"R6release","")</f>
        <v/>
      </c>
      <c r="G21" s="7"/>
      <c r="H21" s="7" t="str">
        <f>VLOOKUP(B21,[1]characters!$A:$C,3,FALSE)</f>
        <v>咆哮の巨獅腕 ヘラクレス</v>
      </c>
      <c r="I21" s="7" t="str">
        <f>VLOOKUP(B21,[1]characters!$A:$J,10,FALSE)</f>
        <v>PremiumN</v>
      </c>
      <c r="J21" s="7">
        <f>VLOOKUP(B21,[1]characters!$A:$I,9,FALSE)</f>
        <v>5</v>
      </c>
      <c r="K21" s="7" t="str">
        <f>VLOOKUP(B21,[1]characters!$A:$H,8,FALSE)</f>
        <v>yellow</v>
      </c>
      <c r="L21" s="7" t="str">
        <f>VLOOKUP(B21,[1]characters!$A:$K,11,FALSE)</f>
        <v>balance</v>
      </c>
      <c r="M21" s="7" t="str">
        <f>VLOOKUP(B21,[1]characters!$A:$M,13,FALSE)</f>
        <v>human</v>
      </c>
      <c r="N21" s="7" t="str">
        <f>VLOOKUP(B21,[1]characters!$A:$G,7,FALSE)</f>
        <v>男性</v>
      </c>
      <c r="O21" s="45">
        <f t="shared" si="3"/>
        <v>26208</v>
      </c>
      <c r="P21" s="46">
        <f t="shared" si="1"/>
        <v>1.1097560975609756E-2</v>
      </c>
      <c r="Q21" s="30">
        <v>1</v>
      </c>
      <c r="R21" s="30">
        <v>0</v>
      </c>
      <c r="S21" s="30">
        <v>0</v>
      </c>
      <c r="T21" s="30">
        <v>0</v>
      </c>
      <c r="U21" s="30">
        <v>0</v>
      </c>
      <c r="V21" s="30">
        <v>1</v>
      </c>
    </row>
    <row r="22" spans="1:22" ht="21" customHeight="1" x14ac:dyDescent="0.15">
      <c r="A22" s="2" t="str">
        <f ca="1">input_586100!A$2</f>
        <v>586100</v>
      </c>
      <c r="B22" s="6">
        <v>228</v>
      </c>
      <c r="C22" s="7" t="str">
        <f t="shared" si="0"/>
        <v>Premium5</v>
      </c>
      <c r="D22" s="7" t="str">
        <f t="shared" si="2"/>
        <v>Premium</v>
      </c>
      <c r="E22" s="7" t="str">
        <f>IF(COUNTIF('R6追加前'!A:A,B22)=0,IF(OR(I22="PremiumSS",I22="PremiumSSw"),"R5only","R3less"),"")</f>
        <v/>
      </c>
      <c r="F22" s="7" t="str">
        <f>IF(COUNTIF('R6開放'!A:A,B22)&gt;0,"R6release","")</f>
        <v/>
      </c>
      <c r="G22" s="7"/>
      <c r="H22" s="7" t="str">
        <f>VLOOKUP(B22,[1]characters!$A:$C,3,FALSE)</f>
        <v>殲滅の掃射砲 アレス</v>
      </c>
      <c r="I22" s="7" t="str">
        <f>VLOOKUP(B22,[1]characters!$A:$J,10,FALSE)</f>
        <v>PremiumS</v>
      </c>
      <c r="J22" s="7">
        <f>VLOOKUP(B22,[1]characters!$A:$I,9,FALSE)</f>
        <v>5</v>
      </c>
      <c r="K22" s="7" t="str">
        <f>VLOOKUP(B22,[1]characters!$A:$H,8,FALSE)</f>
        <v>red</v>
      </c>
      <c r="L22" s="7" t="str">
        <f>VLOOKUP(B22,[1]characters!$A:$K,11,FALSE)</f>
        <v>attack</v>
      </c>
      <c r="M22" s="7" t="str">
        <f>VLOOKUP(B22,[1]characters!$A:$M,13,FALSE)</f>
        <v>god</v>
      </c>
      <c r="N22" s="7" t="str">
        <f>VLOOKUP(B22,[1]characters!$A:$G,7,FALSE)</f>
        <v>男性</v>
      </c>
      <c r="O22" s="45">
        <f t="shared" si="3"/>
        <v>26208</v>
      </c>
      <c r="P22" s="46">
        <f t="shared" si="1"/>
        <v>1.1097560975609756E-2</v>
      </c>
      <c r="Q22" s="30">
        <v>1</v>
      </c>
      <c r="R22" s="30">
        <v>0</v>
      </c>
      <c r="S22" s="30">
        <v>0</v>
      </c>
      <c r="T22" s="30">
        <v>0</v>
      </c>
      <c r="U22" s="30">
        <v>0</v>
      </c>
      <c r="V22" s="30">
        <v>1</v>
      </c>
    </row>
    <row r="23" spans="1:22" ht="21" customHeight="1" x14ac:dyDescent="0.15">
      <c r="A23" s="2" t="str">
        <f ca="1">input_586100!A$2</f>
        <v>586100</v>
      </c>
      <c r="B23" s="6">
        <v>231</v>
      </c>
      <c r="C23" s="7" t="str">
        <f t="shared" si="0"/>
        <v>Premium5</v>
      </c>
      <c r="D23" s="7" t="str">
        <f t="shared" si="2"/>
        <v>Premium</v>
      </c>
      <c r="E23" s="7" t="str">
        <f>IF(COUNTIF('R6追加前'!A:A,B23)=0,IF(OR(I23="PremiumSS",I23="PremiumSSw"),"R5only","R3less"),"")</f>
        <v/>
      </c>
      <c r="F23" s="7" t="str">
        <f>IF(COUNTIF('R6開放'!A:A,B23)&gt;0,"R6release","")</f>
        <v/>
      </c>
      <c r="G23" s="7"/>
      <c r="H23" s="7" t="str">
        <f>VLOOKUP(B23,[1]characters!$A:$C,3,FALSE)</f>
        <v>必中の咬銃 ヨルムンガンド</v>
      </c>
      <c r="I23" s="7" t="str">
        <f>VLOOKUP(B23,[1]characters!$A:$J,10,FALSE)</f>
        <v>PremiumS</v>
      </c>
      <c r="J23" s="7">
        <f>VLOOKUP(B23,[1]characters!$A:$I,9,FALSE)</f>
        <v>5</v>
      </c>
      <c r="K23" s="7" t="str">
        <f>VLOOKUP(B23,[1]characters!$A:$H,8,FALSE)</f>
        <v>green</v>
      </c>
      <c r="L23" s="7" t="str">
        <f>VLOOKUP(B23,[1]characters!$A:$K,11,FALSE)</f>
        <v>technical</v>
      </c>
      <c r="M23" s="7" t="str">
        <f>VLOOKUP(B23,[1]characters!$A:$M,13,FALSE)</f>
        <v>dragon</v>
      </c>
      <c r="N23" s="7" t="str">
        <f>VLOOKUP(B23,[1]characters!$A:$G,7,FALSE)</f>
        <v>女性</v>
      </c>
      <c r="O23" s="45">
        <f t="shared" si="3"/>
        <v>26208</v>
      </c>
      <c r="P23" s="46">
        <f t="shared" si="1"/>
        <v>1.1097560975609756E-2</v>
      </c>
      <c r="Q23" s="30">
        <v>1</v>
      </c>
      <c r="R23" s="30">
        <v>0</v>
      </c>
      <c r="S23" s="30">
        <v>0</v>
      </c>
      <c r="T23" s="30">
        <v>0</v>
      </c>
      <c r="U23" s="30">
        <v>0</v>
      </c>
      <c r="V23" s="30">
        <v>1</v>
      </c>
    </row>
    <row r="24" spans="1:22" ht="21" customHeight="1" x14ac:dyDescent="0.15">
      <c r="A24" s="2" t="str">
        <f ca="1">input_586100!A$2</f>
        <v>586100</v>
      </c>
      <c r="B24" s="6">
        <v>234</v>
      </c>
      <c r="C24" s="7" t="str">
        <f t="shared" si="0"/>
        <v>Premium5</v>
      </c>
      <c r="D24" s="7" t="str">
        <f t="shared" si="2"/>
        <v>Premium</v>
      </c>
      <c r="E24" s="7" t="str">
        <f>IF(COUNTIF('R6追加前'!A:A,B24)=0,IF(OR(I24="PremiumSS",I24="PremiumSSw"),"R5only","R3less"),"")</f>
        <v/>
      </c>
      <c r="F24" s="7" t="str">
        <f>IF(COUNTIF('R6開放'!A:A,B24)&gt;0,"R6release","")</f>
        <v/>
      </c>
      <c r="G24" s="7"/>
      <c r="H24" s="7" t="str">
        <f>VLOOKUP(B24,[1]characters!$A:$C,3,FALSE)</f>
        <v>精密なる照準 パーシヴァル</v>
      </c>
      <c r="I24" s="7" t="str">
        <f>VLOOKUP(B24,[1]characters!$A:$J,10,FALSE)</f>
        <v>PremiumS</v>
      </c>
      <c r="J24" s="7">
        <f>VLOOKUP(B24,[1]characters!$A:$I,9,FALSE)</f>
        <v>5</v>
      </c>
      <c r="K24" s="7" t="str">
        <f>VLOOKUP(B24,[1]characters!$A:$H,8,FALSE)</f>
        <v>blue</v>
      </c>
      <c r="L24" s="7" t="str">
        <f>VLOOKUP(B24,[1]characters!$A:$K,11,FALSE)</f>
        <v>technical</v>
      </c>
      <c r="M24" s="7" t="str">
        <f>VLOOKUP(B24,[1]characters!$A:$M,13,FALSE)</f>
        <v>human</v>
      </c>
      <c r="N24" s="7" t="str">
        <f>VLOOKUP(B24,[1]characters!$A:$G,7,FALSE)</f>
        <v>女性</v>
      </c>
      <c r="O24" s="45">
        <f t="shared" si="3"/>
        <v>26208</v>
      </c>
      <c r="P24" s="46">
        <f t="shared" si="1"/>
        <v>1.1097560975609756E-2</v>
      </c>
      <c r="Q24" s="30">
        <v>1</v>
      </c>
      <c r="R24" s="30">
        <v>0</v>
      </c>
      <c r="S24" s="30">
        <v>0</v>
      </c>
      <c r="T24" s="30">
        <v>0</v>
      </c>
      <c r="U24" s="30">
        <v>0</v>
      </c>
      <c r="V24" s="30">
        <v>1</v>
      </c>
    </row>
    <row r="25" spans="1:22" ht="21" customHeight="1" x14ac:dyDescent="0.15">
      <c r="A25" s="2" t="str">
        <f ca="1">input_586100!A$2</f>
        <v>586100</v>
      </c>
      <c r="B25" s="6">
        <v>237</v>
      </c>
      <c r="C25" s="7" t="str">
        <f t="shared" si="0"/>
        <v>Premium5R6release</v>
      </c>
      <c r="D25" s="7" t="str">
        <f t="shared" si="2"/>
        <v>Premium</v>
      </c>
      <c r="E25" s="7" t="str">
        <f>IF(COUNTIF('R6追加前'!A:A,B25)=0,IF(OR(I25="PremiumSS",I25="PremiumSSw"),"R5only","R3less"),"")</f>
        <v/>
      </c>
      <c r="F25" s="7" t="str">
        <f>IF(COUNTIF('R6開放'!A:A,B25)&gt;0,"R6release","")</f>
        <v>R6release</v>
      </c>
      <c r="G25" s="7"/>
      <c r="H25" s="7" t="str">
        <f>VLOOKUP(B25,[1]characters!$A:$C,3,FALSE)</f>
        <v>森羅万象の神母 イザナミ</v>
      </c>
      <c r="I25" s="7" t="str">
        <f>VLOOKUP(B25,[1]characters!$A:$J,10,FALSE)</f>
        <v>PremiumS</v>
      </c>
      <c r="J25" s="7">
        <f>VLOOKUP(B25,[1]characters!$A:$I,9,FALSE)</f>
        <v>5</v>
      </c>
      <c r="K25" s="7" t="str">
        <f>VLOOKUP(B25,[1]characters!$A:$H,8,FALSE)</f>
        <v>yellow</v>
      </c>
      <c r="L25" s="7" t="str">
        <f>VLOOKUP(B25,[1]characters!$A:$K,11,FALSE)</f>
        <v>attack</v>
      </c>
      <c r="M25" s="7" t="str">
        <f>VLOOKUP(B25,[1]characters!$A:$M,13,FALSE)</f>
        <v>god</v>
      </c>
      <c r="N25" s="7" t="str">
        <f>VLOOKUP(B25,[1]characters!$A:$G,7,FALSE)</f>
        <v>女性</v>
      </c>
      <c r="O25" s="45">
        <f t="shared" si="3"/>
        <v>26208</v>
      </c>
      <c r="P25" s="46">
        <f t="shared" si="1"/>
        <v>1.1097560975609756E-2</v>
      </c>
      <c r="Q25" s="30">
        <v>1</v>
      </c>
      <c r="R25" s="30">
        <v>0</v>
      </c>
      <c r="S25" s="30">
        <v>0</v>
      </c>
      <c r="T25" s="30">
        <v>0</v>
      </c>
      <c r="U25" s="30">
        <v>0</v>
      </c>
      <c r="V25" s="30">
        <v>1</v>
      </c>
    </row>
    <row r="26" spans="1:22" ht="21" customHeight="1" x14ac:dyDescent="0.15">
      <c r="A26" s="2" t="str">
        <f ca="1">input_586100!A$2</f>
        <v>586100</v>
      </c>
      <c r="B26" s="6">
        <v>240</v>
      </c>
      <c r="C26" s="7" t="str">
        <f t="shared" si="0"/>
        <v>Premium5</v>
      </c>
      <c r="D26" s="7" t="str">
        <f t="shared" si="2"/>
        <v>Premium</v>
      </c>
      <c r="E26" s="7" t="str">
        <f>IF(COUNTIF('R6追加前'!A:A,B26)=0,IF(OR(I26="PremiumSS",I26="PremiumSSw"),"R5only","R3less"),"")</f>
        <v/>
      </c>
      <c r="F26" s="7" t="str">
        <f>IF(COUNTIF('R6開放'!A:A,B26)&gt;0,"R6release","")</f>
        <v/>
      </c>
      <c r="G26" s="7"/>
      <c r="H26" s="7" t="str">
        <f>VLOOKUP(B26,[1]characters!$A:$C,3,FALSE)</f>
        <v>轟炎の天使 ウリエル・スレイヤー</v>
      </c>
      <c r="I26" s="7" t="str">
        <f>VLOOKUP(B26,[1]characters!$A:$J,10,FALSE)</f>
        <v>PremiumS</v>
      </c>
      <c r="J26" s="7">
        <f>VLOOKUP(B26,[1]characters!$A:$I,9,FALSE)</f>
        <v>5</v>
      </c>
      <c r="K26" s="7" t="str">
        <f>VLOOKUP(B26,[1]characters!$A:$H,8,FALSE)</f>
        <v>red</v>
      </c>
      <c r="L26" s="7" t="str">
        <f>VLOOKUP(B26,[1]characters!$A:$K,11,FALSE)</f>
        <v>hp</v>
      </c>
      <c r="M26" s="7" t="str">
        <f>VLOOKUP(B26,[1]characters!$A:$M,13,FALSE)</f>
        <v>machine</v>
      </c>
      <c r="N26" s="7" t="str">
        <f>VLOOKUP(B26,[1]characters!$A:$G,7,FALSE)</f>
        <v>女性</v>
      </c>
      <c r="O26" s="45">
        <f t="shared" si="3"/>
        <v>26208</v>
      </c>
      <c r="P26" s="46">
        <f t="shared" si="1"/>
        <v>1.1097560975609756E-2</v>
      </c>
      <c r="Q26" s="30">
        <v>1</v>
      </c>
      <c r="R26" s="30">
        <v>0</v>
      </c>
      <c r="S26" s="30">
        <v>0</v>
      </c>
      <c r="T26" s="30">
        <v>0</v>
      </c>
      <c r="U26" s="30">
        <v>0</v>
      </c>
      <c r="V26" s="30">
        <v>1</v>
      </c>
    </row>
    <row r="27" spans="1:22" ht="21" customHeight="1" x14ac:dyDescent="0.15">
      <c r="A27" s="2" t="str">
        <f ca="1">input_586100!A$2</f>
        <v>586100</v>
      </c>
      <c r="B27" s="6">
        <v>243</v>
      </c>
      <c r="C27" s="7" t="str">
        <f t="shared" si="0"/>
        <v>Premium5</v>
      </c>
      <c r="D27" s="7" t="str">
        <f t="shared" si="2"/>
        <v>Premium</v>
      </c>
      <c r="E27" s="7" t="str">
        <f>IF(COUNTIF('R6追加前'!A:A,B27)=0,IF(OR(I27="PremiumSS",I27="PremiumSSw"),"R5only","R3less"),"")</f>
        <v/>
      </c>
      <c r="F27" s="7" t="str">
        <f>IF(COUNTIF('R6開放'!A:A,B27)&gt;0,"R6release","")</f>
        <v/>
      </c>
      <c r="G27" s="7"/>
      <c r="H27" s="7" t="str">
        <f>VLOOKUP(B27,[1]characters!$A:$C,3,FALSE)</f>
        <v>万花の天使 ガブリエル・ブルーム</v>
      </c>
      <c r="I27" s="7" t="str">
        <f>VLOOKUP(B27,[1]characters!$A:$J,10,FALSE)</f>
        <v>PremiumS</v>
      </c>
      <c r="J27" s="7">
        <f>VLOOKUP(B27,[1]characters!$A:$I,9,FALSE)</f>
        <v>5</v>
      </c>
      <c r="K27" s="7" t="str">
        <f>VLOOKUP(B27,[1]characters!$A:$H,8,FALSE)</f>
        <v>green</v>
      </c>
      <c r="L27" s="7" t="str">
        <f>VLOOKUP(B27,[1]characters!$A:$K,11,FALSE)</f>
        <v>balance</v>
      </c>
      <c r="M27" s="7" t="str">
        <f>VLOOKUP(B27,[1]characters!$A:$M,13,FALSE)</f>
        <v>machine</v>
      </c>
      <c r="N27" s="7" t="str">
        <f>VLOOKUP(B27,[1]characters!$A:$G,7,FALSE)</f>
        <v>女性</v>
      </c>
      <c r="O27" s="45">
        <f t="shared" si="3"/>
        <v>26208</v>
      </c>
      <c r="P27" s="46">
        <f t="shared" si="1"/>
        <v>1.1097560975609756E-2</v>
      </c>
      <c r="Q27" s="30">
        <v>1</v>
      </c>
      <c r="R27" s="30">
        <v>0</v>
      </c>
      <c r="S27" s="30">
        <v>0</v>
      </c>
      <c r="T27" s="30">
        <v>0</v>
      </c>
      <c r="U27" s="30">
        <v>0</v>
      </c>
      <c r="V27" s="30">
        <v>1</v>
      </c>
    </row>
    <row r="28" spans="1:22" ht="21" customHeight="1" x14ac:dyDescent="0.15">
      <c r="A28" s="2" t="str">
        <f ca="1">input_586100!A$2</f>
        <v>586100</v>
      </c>
      <c r="B28" s="6">
        <v>246</v>
      </c>
      <c r="C28" s="7" t="str">
        <f t="shared" si="0"/>
        <v>Premium5</v>
      </c>
      <c r="D28" s="7" t="str">
        <f t="shared" si="2"/>
        <v>Premium</v>
      </c>
      <c r="E28" s="7" t="str">
        <f>IF(COUNTIF('R6追加前'!A:A,B28)=0,IF(OR(I28="PremiumSS",I28="PremiumSSw"),"R5only","R3less"),"")</f>
        <v/>
      </c>
      <c r="F28" s="7" t="str">
        <f>IF(COUNTIF('R6開放'!A:A,B28)&gt;0,"R6release","")</f>
        <v/>
      </c>
      <c r="G28" s="7"/>
      <c r="H28" s="7" t="str">
        <f>VLOOKUP(B28,[1]characters!$A:$C,3,FALSE)</f>
        <v>真癒の天使 ラファエル・メディカ</v>
      </c>
      <c r="I28" s="7" t="str">
        <f>VLOOKUP(B28,[1]characters!$A:$J,10,FALSE)</f>
        <v>PremiumS</v>
      </c>
      <c r="J28" s="7">
        <f>VLOOKUP(B28,[1]characters!$A:$I,9,FALSE)</f>
        <v>5</v>
      </c>
      <c r="K28" s="7" t="str">
        <f>VLOOKUP(B28,[1]characters!$A:$H,8,FALSE)</f>
        <v>blue</v>
      </c>
      <c r="L28" s="7" t="str">
        <f>VLOOKUP(B28,[1]characters!$A:$K,11,FALSE)</f>
        <v>balance</v>
      </c>
      <c r="M28" s="7" t="str">
        <f>VLOOKUP(B28,[1]characters!$A:$M,13,FALSE)</f>
        <v>machine</v>
      </c>
      <c r="N28" s="7" t="str">
        <f>VLOOKUP(B28,[1]characters!$A:$G,7,FALSE)</f>
        <v>女性</v>
      </c>
      <c r="O28" s="45">
        <f t="shared" si="3"/>
        <v>26208</v>
      </c>
      <c r="P28" s="46">
        <f t="shared" si="1"/>
        <v>1.1097560975609756E-2</v>
      </c>
      <c r="Q28" s="30">
        <v>1</v>
      </c>
      <c r="R28" s="30">
        <v>0</v>
      </c>
      <c r="S28" s="30">
        <v>0</v>
      </c>
      <c r="T28" s="30">
        <v>0</v>
      </c>
      <c r="U28" s="30">
        <v>0</v>
      </c>
      <c r="V28" s="30">
        <v>1</v>
      </c>
    </row>
    <row r="29" spans="1:22" ht="21" customHeight="1" x14ac:dyDescent="0.15">
      <c r="A29" s="2" t="str">
        <f ca="1">input_586100!A$2</f>
        <v>586100</v>
      </c>
      <c r="B29" s="6">
        <v>249</v>
      </c>
      <c r="C29" s="7" t="str">
        <f t="shared" si="0"/>
        <v>Premium5</v>
      </c>
      <c r="D29" s="7" t="str">
        <f t="shared" si="2"/>
        <v>Premium</v>
      </c>
      <c r="E29" s="7" t="str">
        <f>IF(COUNTIF('R6追加前'!A:A,B29)=0,IF(OR(I29="PremiumSS",I29="PremiumSSw"),"R5only","R3less"),"")</f>
        <v/>
      </c>
      <c r="F29" s="7" t="str">
        <f>IF(COUNTIF('R6開放'!A:A,B29)&gt;0,"R6release","")</f>
        <v/>
      </c>
      <c r="G29" s="7"/>
      <c r="H29" s="7" t="str">
        <f>VLOOKUP(B29,[1]characters!$A:$C,3,FALSE)</f>
        <v>雷電の天使 ミカエル・ゲイナー</v>
      </c>
      <c r="I29" s="7" t="str">
        <f>VLOOKUP(B29,[1]characters!$A:$J,10,FALSE)</f>
        <v>PremiumS</v>
      </c>
      <c r="J29" s="7">
        <f>VLOOKUP(B29,[1]characters!$A:$I,9,FALSE)</f>
        <v>5</v>
      </c>
      <c r="K29" s="7" t="str">
        <f>VLOOKUP(B29,[1]characters!$A:$H,8,FALSE)</f>
        <v>yellow</v>
      </c>
      <c r="L29" s="7" t="str">
        <f>VLOOKUP(B29,[1]characters!$A:$K,11,FALSE)</f>
        <v>attack</v>
      </c>
      <c r="M29" s="7" t="str">
        <f>VLOOKUP(B29,[1]characters!$A:$M,13,FALSE)</f>
        <v>machine</v>
      </c>
      <c r="N29" s="7" t="str">
        <f>VLOOKUP(B29,[1]characters!$A:$G,7,FALSE)</f>
        <v>女性</v>
      </c>
      <c r="O29" s="45">
        <f t="shared" si="3"/>
        <v>26208</v>
      </c>
      <c r="P29" s="46">
        <f t="shared" si="1"/>
        <v>1.1097560975609756E-2</v>
      </c>
      <c r="Q29" s="30">
        <v>1</v>
      </c>
      <c r="R29" s="30">
        <v>0</v>
      </c>
      <c r="S29" s="30">
        <v>0</v>
      </c>
      <c r="T29" s="30">
        <v>0</v>
      </c>
      <c r="U29" s="30">
        <v>0</v>
      </c>
      <c r="V29" s="30">
        <v>1</v>
      </c>
    </row>
    <row r="30" spans="1:22" ht="21" customHeight="1" x14ac:dyDescent="0.15">
      <c r="A30" s="2" t="str">
        <f ca="1">input_586100!A$2</f>
        <v>586100</v>
      </c>
      <c r="B30" s="6">
        <v>252</v>
      </c>
      <c r="C30" s="7" t="str">
        <f t="shared" si="0"/>
        <v>Premium5</v>
      </c>
      <c r="D30" s="7" t="str">
        <f t="shared" si="2"/>
        <v>Premium</v>
      </c>
      <c r="E30" s="7" t="str">
        <f>IF(COUNTIF('R6追加前'!A:A,B30)=0,IF(OR(I30="PremiumSS",I30="PremiumSSw"),"R5only","R3less"),"")</f>
        <v/>
      </c>
      <c r="F30" s="7" t="str">
        <f>IF(COUNTIF('R6開放'!A:A,B30)&gt;0,"R6release","")</f>
        <v/>
      </c>
      <c r="G30" s="7"/>
      <c r="H30" s="7" t="str">
        <f>VLOOKUP(B30,[1]characters!$A:$C,3,FALSE)</f>
        <v>強欲の沸騰 マンモン</v>
      </c>
      <c r="I30" s="7" t="str">
        <f>VLOOKUP(B30,[1]characters!$A:$J,10,FALSE)</f>
        <v>PremiumS</v>
      </c>
      <c r="J30" s="7">
        <f>VLOOKUP(B30,[1]characters!$A:$I,9,FALSE)</f>
        <v>5</v>
      </c>
      <c r="K30" s="7" t="str">
        <f>VLOOKUP(B30,[1]characters!$A:$H,8,FALSE)</f>
        <v>red</v>
      </c>
      <c r="L30" s="7" t="str">
        <f>VLOOKUP(B30,[1]characters!$A:$K,11,FALSE)</f>
        <v>balance</v>
      </c>
      <c r="M30" s="7" t="str">
        <f>VLOOKUP(B30,[1]characters!$A:$M,13,FALSE)</f>
        <v>god</v>
      </c>
      <c r="N30" s="7" t="str">
        <f>VLOOKUP(B30,[1]characters!$A:$G,7,FALSE)</f>
        <v>女性</v>
      </c>
      <c r="O30" s="45">
        <f t="shared" si="3"/>
        <v>26208</v>
      </c>
      <c r="P30" s="46">
        <f t="shared" si="1"/>
        <v>1.1097560975609756E-2</v>
      </c>
      <c r="Q30" s="30">
        <v>1</v>
      </c>
      <c r="R30" s="30">
        <v>0</v>
      </c>
      <c r="S30" s="30">
        <v>0</v>
      </c>
      <c r="T30" s="30">
        <v>0</v>
      </c>
      <c r="U30" s="30">
        <v>0</v>
      </c>
      <c r="V30" s="30">
        <v>1</v>
      </c>
    </row>
    <row r="31" spans="1:22" ht="21" customHeight="1" x14ac:dyDescent="0.15">
      <c r="A31" s="2" t="str">
        <f ca="1">input_586100!A$2</f>
        <v>586100</v>
      </c>
      <c r="B31" s="6">
        <v>255</v>
      </c>
      <c r="C31" s="7" t="str">
        <f t="shared" si="0"/>
        <v>Premium5</v>
      </c>
      <c r="D31" s="7" t="str">
        <f t="shared" si="2"/>
        <v>Premium</v>
      </c>
      <c r="E31" s="7" t="str">
        <f>IF(COUNTIF('R6追加前'!A:A,B31)=0,IF(OR(I31="PremiumSS",I31="PremiumSSw"),"R5only","R3less"),"")</f>
        <v/>
      </c>
      <c r="F31" s="7" t="str">
        <f>IF(COUNTIF('R6開放'!A:A,B31)&gt;0,"R6release","")</f>
        <v/>
      </c>
      <c r="G31" s="7"/>
      <c r="H31" s="7" t="str">
        <f>VLOOKUP(B31,[1]characters!$A:$C,3,FALSE)</f>
        <v>怠惰の頂点 ベルフェゴール</v>
      </c>
      <c r="I31" s="7" t="str">
        <f>VLOOKUP(B31,[1]characters!$A:$J,10,FALSE)</f>
        <v>PremiumS</v>
      </c>
      <c r="J31" s="7">
        <f>VLOOKUP(B31,[1]characters!$A:$I,9,FALSE)</f>
        <v>5</v>
      </c>
      <c r="K31" s="7" t="str">
        <f>VLOOKUP(B31,[1]characters!$A:$H,8,FALSE)</f>
        <v>green</v>
      </c>
      <c r="L31" s="7" t="str">
        <f>VLOOKUP(B31,[1]characters!$A:$K,11,FALSE)</f>
        <v>technical</v>
      </c>
      <c r="M31" s="7" t="str">
        <f>VLOOKUP(B31,[1]characters!$A:$M,13,FALSE)</f>
        <v>god</v>
      </c>
      <c r="N31" s="7" t="str">
        <f>VLOOKUP(B31,[1]characters!$A:$G,7,FALSE)</f>
        <v>女性</v>
      </c>
      <c r="O31" s="45">
        <f t="shared" si="3"/>
        <v>26208</v>
      </c>
      <c r="P31" s="46">
        <f t="shared" si="1"/>
        <v>1.1097560975609756E-2</v>
      </c>
      <c r="Q31" s="30">
        <v>1</v>
      </c>
      <c r="R31" s="30">
        <v>0</v>
      </c>
      <c r="S31" s="30">
        <v>0</v>
      </c>
      <c r="T31" s="30">
        <v>0</v>
      </c>
      <c r="U31" s="30">
        <v>0</v>
      </c>
      <c r="V31" s="30">
        <v>1</v>
      </c>
    </row>
    <row r="32" spans="1:22" ht="21" customHeight="1" x14ac:dyDescent="0.15">
      <c r="A32" s="2" t="str">
        <f ca="1">input_586100!A$2</f>
        <v>586100</v>
      </c>
      <c r="B32" s="6">
        <v>258</v>
      </c>
      <c r="C32" s="7" t="str">
        <f t="shared" si="0"/>
        <v>Premium5</v>
      </c>
      <c r="D32" s="7" t="str">
        <f t="shared" si="2"/>
        <v>Premium</v>
      </c>
      <c r="E32" s="7" t="str">
        <f>IF(COUNTIF('R6追加前'!A:A,B32)=0,IF(OR(I32="PremiumSS",I32="PremiumSSw"),"R5only","R3less"),"")</f>
        <v/>
      </c>
      <c r="F32" s="7" t="str">
        <f>IF(COUNTIF('R6開放'!A:A,B32)&gt;0,"R6release","")</f>
        <v/>
      </c>
      <c r="G32" s="7"/>
      <c r="H32" s="7" t="str">
        <f>VLOOKUP(B32,[1]characters!$A:$C,3,FALSE)</f>
        <v>色欲の源流 アスモデウス</v>
      </c>
      <c r="I32" s="7" t="str">
        <f>VLOOKUP(B32,[1]characters!$A:$J,10,FALSE)</f>
        <v>PremiumS</v>
      </c>
      <c r="J32" s="7">
        <f>VLOOKUP(B32,[1]characters!$A:$I,9,FALSE)</f>
        <v>5</v>
      </c>
      <c r="K32" s="7" t="str">
        <f>VLOOKUP(B32,[1]characters!$A:$H,8,FALSE)</f>
        <v>blue</v>
      </c>
      <c r="L32" s="7" t="str">
        <f>VLOOKUP(B32,[1]characters!$A:$K,11,FALSE)</f>
        <v>attack</v>
      </c>
      <c r="M32" s="7" t="str">
        <f>VLOOKUP(B32,[1]characters!$A:$M,13,FALSE)</f>
        <v>god</v>
      </c>
      <c r="N32" s="7" t="str">
        <f>VLOOKUP(B32,[1]characters!$A:$G,7,FALSE)</f>
        <v>女性</v>
      </c>
      <c r="O32" s="45">
        <f t="shared" si="3"/>
        <v>26208</v>
      </c>
      <c r="P32" s="46">
        <f t="shared" si="1"/>
        <v>1.1097560975609756E-2</v>
      </c>
      <c r="Q32" s="30">
        <v>1</v>
      </c>
      <c r="R32" s="30">
        <v>0</v>
      </c>
      <c r="S32" s="30">
        <v>0</v>
      </c>
      <c r="T32" s="30">
        <v>0</v>
      </c>
      <c r="U32" s="30">
        <v>0</v>
      </c>
      <c r="V32" s="30">
        <v>1</v>
      </c>
    </row>
    <row r="33" spans="1:22" ht="21" customHeight="1" x14ac:dyDescent="0.15">
      <c r="A33" s="2" t="str">
        <f ca="1">input_586100!A$2</f>
        <v>586100</v>
      </c>
      <c r="B33" s="6">
        <v>261</v>
      </c>
      <c r="C33" s="7" t="str">
        <f t="shared" si="0"/>
        <v>Premium5</v>
      </c>
      <c r="D33" s="7" t="str">
        <f t="shared" si="2"/>
        <v>Premium</v>
      </c>
      <c r="E33" s="7" t="str">
        <f>IF(COUNTIF('R6追加前'!A:A,B33)=0,IF(OR(I33="PremiumSS",I33="PremiumSSw"),"R5only","R3less"),"")</f>
        <v/>
      </c>
      <c r="F33" s="7" t="str">
        <f>IF(COUNTIF('R6開放'!A:A,B33)&gt;0,"R6release","")</f>
        <v/>
      </c>
      <c r="G33" s="7"/>
      <c r="H33" s="7" t="str">
        <f>VLOOKUP(B33,[1]characters!$A:$C,3,FALSE)</f>
        <v>輪廻の蛇龍 ウロボロス</v>
      </c>
      <c r="I33" s="7" t="str">
        <f>VLOOKUP(B33,[1]characters!$A:$J,10,FALSE)</f>
        <v>PremiumS</v>
      </c>
      <c r="J33" s="7">
        <f>VLOOKUP(B33,[1]characters!$A:$I,9,FALSE)</f>
        <v>5</v>
      </c>
      <c r="K33" s="7" t="str">
        <f>VLOOKUP(B33,[1]characters!$A:$H,8,FALSE)</f>
        <v>yellow</v>
      </c>
      <c r="L33" s="7" t="str">
        <f>VLOOKUP(B33,[1]characters!$A:$K,11,FALSE)</f>
        <v>balance</v>
      </c>
      <c r="M33" s="7" t="str">
        <f>VLOOKUP(B33,[1]characters!$A:$M,13,FALSE)</f>
        <v>dragon</v>
      </c>
      <c r="N33" s="7" t="str">
        <f>VLOOKUP(B33,[1]characters!$A:$G,7,FALSE)</f>
        <v>女性</v>
      </c>
      <c r="O33" s="45">
        <f t="shared" si="3"/>
        <v>26208</v>
      </c>
      <c r="P33" s="46">
        <f t="shared" si="1"/>
        <v>1.1097560975609756E-2</v>
      </c>
      <c r="Q33" s="30">
        <v>1</v>
      </c>
      <c r="R33" s="30">
        <v>0</v>
      </c>
      <c r="S33" s="30">
        <v>0</v>
      </c>
      <c r="T33" s="30">
        <v>0</v>
      </c>
      <c r="U33" s="30">
        <v>0</v>
      </c>
      <c r="V33" s="30">
        <v>1</v>
      </c>
    </row>
    <row r="34" spans="1:22" ht="21" customHeight="1" x14ac:dyDescent="0.15">
      <c r="A34" s="2" t="str">
        <f ca="1">input_586100!A$2</f>
        <v>586100</v>
      </c>
      <c r="B34" s="6">
        <v>321</v>
      </c>
      <c r="C34" s="7" t="str">
        <f t="shared" si="0"/>
        <v>PremiumSS5</v>
      </c>
      <c r="D34" s="7" t="str">
        <f t="shared" si="2"/>
        <v>PremiumSS</v>
      </c>
      <c r="E34" s="7" t="str">
        <f>IF(COUNTIF('R6追加前'!A:A,B34)=0,IF(OR(I34="PremiumSS",I34="PremiumSSw"),"R5only","R3less"),"")</f>
        <v/>
      </c>
      <c r="F34" s="7" t="str">
        <f>IF(COUNTIF('R6開放'!A:A,B34)&gt;0,"R6release","")</f>
        <v/>
      </c>
      <c r="G34" s="7"/>
      <c r="H34" s="7" t="str">
        <f>VLOOKUP(B34,[1]characters!$A:$C,3,FALSE)</f>
        <v>巌鉄の烈志士 近藤勇</v>
      </c>
      <c r="I34" s="7" t="str">
        <f>VLOOKUP(B34,[1]characters!$A:$J,10,FALSE)</f>
        <v>PremiumSS</v>
      </c>
      <c r="J34" s="7">
        <f>VLOOKUP(B34,[1]characters!$A:$I,9,FALSE)</f>
        <v>5</v>
      </c>
      <c r="K34" s="7" t="str">
        <f>VLOOKUP(B34,[1]characters!$A:$H,8,FALSE)</f>
        <v>red</v>
      </c>
      <c r="L34" s="7" t="str">
        <f>VLOOKUP(B34,[1]characters!$A:$K,11,FALSE)</f>
        <v>hp</v>
      </c>
      <c r="M34" s="7" t="str">
        <f>VLOOKUP(B34,[1]characters!$A:$M,13,FALSE)</f>
        <v>human</v>
      </c>
      <c r="N34" s="7" t="str">
        <f>VLOOKUP(B34,[1]characters!$A:$G,7,FALSE)</f>
        <v>男性</v>
      </c>
      <c r="O34" s="45">
        <f t="shared" si="3"/>
        <v>2460</v>
      </c>
      <c r="P34" s="46">
        <f t="shared" ref="P34:P65" si="4">O34/SUM(O:O)</f>
        <v>1.0416666666666667E-3</v>
      </c>
      <c r="Q34" s="30">
        <v>1</v>
      </c>
      <c r="R34" s="30">
        <v>0</v>
      </c>
      <c r="S34" s="30">
        <v>0</v>
      </c>
      <c r="T34" s="30">
        <v>0</v>
      </c>
      <c r="U34" s="30">
        <v>0</v>
      </c>
      <c r="V34" s="30">
        <v>1</v>
      </c>
    </row>
    <row r="35" spans="1:22" ht="21" customHeight="1" x14ac:dyDescent="0.15">
      <c r="A35" s="2" t="str">
        <f ca="1">input_586100!A$2</f>
        <v>586100</v>
      </c>
      <c r="B35" s="6">
        <v>323</v>
      </c>
      <c r="C35" s="7" t="str">
        <f t="shared" si="0"/>
        <v>PremiumSS5</v>
      </c>
      <c r="D35" s="7" t="str">
        <f t="shared" si="2"/>
        <v>PremiumSS</v>
      </c>
      <c r="E35" s="7" t="str">
        <f>IF(COUNTIF('R6追加前'!A:A,B35)=0,IF(OR(I35="PremiumSS",I35="PremiumSSw"),"R5only","R3less"),"")</f>
        <v/>
      </c>
      <c r="F35" s="7" t="str">
        <f>IF(COUNTIF('R6開放'!A:A,B35)&gt;0,"R6release","")</f>
        <v/>
      </c>
      <c r="G35" s="7"/>
      <c r="H35" s="7" t="str">
        <f>VLOOKUP(B35,[1]characters!$A:$C,3,FALSE)</f>
        <v>流麗の愛志士 土方歳三</v>
      </c>
      <c r="I35" s="7" t="str">
        <f>VLOOKUP(B35,[1]characters!$A:$J,10,FALSE)</f>
        <v>PremiumSS</v>
      </c>
      <c r="J35" s="7">
        <f>VLOOKUP(B35,[1]characters!$A:$I,9,FALSE)</f>
        <v>5</v>
      </c>
      <c r="K35" s="7" t="str">
        <f>VLOOKUP(B35,[1]characters!$A:$H,8,FALSE)</f>
        <v>green</v>
      </c>
      <c r="L35" s="7" t="str">
        <f>VLOOKUP(B35,[1]characters!$A:$K,11,FALSE)</f>
        <v>attack</v>
      </c>
      <c r="M35" s="7" t="str">
        <f>VLOOKUP(B35,[1]characters!$A:$M,13,FALSE)</f>
        <v>human</v>
      </c>
      <c r="N35" s="7" t="str">
        <f>VLOOKUP(B35,[1]characters!$A:$G,7,FALSE)</f>
        <v>女性</v>
      </c>
      <c r="O35" s="45">
        <f t="shared" si="3"/>
        <v>2460</v>
      </c>
      <c r="P35" s="46">
        <f t="shared" si="4"/>
        <v>1.0416666666666667E-3</v>
      </c>
      <c r="Q35" s="30">
        <v>1</v>
      </c>
      <c r="R35" s="30">
        <v>0</v>
      </c>
      <c r="S35" s="30">
        <v>0</v>
      </c>
      <c r="T35" s="30">
        <v>0</v>
      </c>
      <c r="U35" s="30">
        <v>0</v>
      </c>
      <c r="V35" s="30">
        <v>1</v>
      </c>
    </row>
    <row r="36" spans="1:22" ht="21" customHeight="1" x14ac:dyDescent="0.15">
      <c r="A36" s="2" t="str">
        <f ca="1">input_586100!A$2</f>
        <v>586100</v>
      </c>
      <c r="B36" s="6">
        <v>325</v>
      </c>
      <c r="C36" s="7" t="str">
        <f t="shared" si="0"/>
        <v>PremiumSS5</v>
      </c>
      <c r="D36" s="7" t="str">
        <f t="shared" si="2"/>
        <v>PremiumSS</v>
      </c>
      <c r="E36" s="7" t="str">
        <f>IF(COUNTIF('R6追加前'!A:A,B36)=0,IF(OR(I36="PremiumSS",I36="PremiumSSw"),"R5only","R3less"),"")</f>
        <v/>
      </c>
      <c r="F36" s="7" t="str">
        <f>IF(COUNTIF('R6開放'!A:A,B36)&gt;0,"R6release","")</f>
        <v/>
      </c>
      <c r="G36" s="7"/>
      <c r="H36" s="7" t="str">
        <f>VLOOKUP(B36,[1]characters!$A:$C,3,FALSE)</f>
        <v>天賦の凛志士 沖田総司</v>
      </c>
      <c r="I36" s="7" t="str">
        <f>VLOOKUP(B36,[1]characters!$A:$J,10,FALSE)</f>
        <v>PremiumSS</v>
      </c>
      <c r="J36" s="7">
        <f>VLOOKUP(B36,[1]characters!$A:$I,9,FALSE)</f>
        <v>5</v>
      </c>
      <c r="K36" s="7" t="str">
        <f>VLOOKUP(B36,[1]characters!$A:$H,8,FALSE)</f>
        <v>blue</v>
      </c>
      <c r="L36" s="7" t="str">
        <f>VLOOKUP(B36,[1]characters!$A:$K,11,FALSE)</f>
        <v>balance</v>
      </c>
      <c r="M36" s="7" t="str">
        <f>VLOOKUP(B36,[1]characters!$A:$M,13,FALSE)</f>
        <v>human</v>
      </c>
      <c r="N36" s="7" t="str">
        <f>VLOOKUP(B36,[1]characters!$A:$G,7,FALSE)</f>
        <v>女性</v>
      </c>
      <c r="O36" s="45">
        <f t="shared" si="3"/>
        <v>2460</v>
      </c>
      <c r="P36" s="46">
        <f t="shared" si="4"/>
        <v>1.0416666666666667E-3</v>
      </c>
      <c r="Q36" s="30">
        <v>1</v>
      </c>
      <c r="R36" s="30">
        <v>0</v>
      </c>
      <c r="S36" s="30">
        <v>0</v>
      </c>
      <c r="T36" s="30">
        <v>0</v>
      </c>
      <c r="U36" s="30">
        <v>0</v>
      </c>
      <c r="V36" s="30">
        <v>1</v>
      </c>
    </row>
    <row r="37" spans="1:22" ht="21" customHeight="1" x14ac:dyDescent="0.15">
      <c r="A37" s="2" t="str">
        <f ca="1">input_586100!A$2</f>
        <v>586100</v>
      </c>
      <c r="B37" s="6">
        <v>327</v>
      </c>
      <c r="C37" s="7" t="str">
        <f t="shared" si="0"/>
        <v>PremiumSS5</v>
      </c>
      <c r="D37" s="7" t="str">
        <f t="shared" si="2"/>
        <v>PremiumSS</v>
      </c>
      <c r="E37" s="7" t="str">
        <f>IF(COUNTIF('R6追加前'!A:A,B37)=0,IF(OR(I37="PremiumSS",I37="PremiumSSw"),"R5only","R3less"),"")</f>
        <v/>
      </c>
      <c r="F37" s="7" t="str">
        <f>IF(COUNTIF('R6開放'!A:A,B37)&gt;0,"R6release","")</f>
        <v/>
      </c>
      <c r="G37" s="7"/>
      <c r="H37" s="7" t="str">
        <f>VLOOKUP(B37,[1]characters!$A:$C,3,FALSE)</f>
        <v>千殺の妖志士 斎藤一</v>
      </c>
      <c r="I37" s="7" t="str">
        <f>VLOOKUP(B37,[1]characters!$A:$J,10,FALSE)</f>
        <v>PremiumSS</v>
      </c>
      <c r="J37" s="7">
        <f>VLOOKUP(B37,[1]characters!$A:$I,9,FALSE)</f>
        <v>5</v>
      </c>
      <c r="K37" s="7" t="str">
        <f>VLOOKUP(B37,[1]characters!$A:$H,8,FALSE)</f>
        <v>yellow</v>
      </c>
      <c r="L37" s="7" t="str">
        <f>VLOOKUP(B37,[1]characters!$A:$K,11,FALSE)</f>
        <v>technical</v>
      </c>
      <c r="M37" s="7" t="str">
        <f>VLOOKUP(B37,[1]characters!$A:$M,13,FALSE)</f>
        <v>human</v>
      </c>
      <c r="N37" s="7" t="str">
        <f>VLOOKUP(B37,[1]characters!$A:$G,7,FALSE)</f>
        <v>女性</v>
      </c>
      <c r="O37" s="45">
        <f t="shared" si="3"/>
        <v>2460</v>
      </c>
      <c r="P37" s="46">
        <f t="shared" si="4"/>
        <v>1.0416666666666667E-3</v>
      </c>
      <c r="Q37" s="30">
        <v>1</v>
      </c>
      <c r="R37" s="30">
        <v>0</v>
      </c>
      <c r="S37" s="30">
        <v>0</v>
      </c>
      <c r="T37" s="30">
        <v>0</v>
      </c>
      <c r="U37" s="30">
        <v>0</v>
      </c>
      <c r="V37" s="30">
        <v>1</v>
      </c>
    </row>
    <row r="38" spans="1:22" ht="21" customHeight="1" x14ac:dyDescent="0.15">
      <c r="A38" s="2" t="str">
        <f ca="1">input_586100!A$2</f>
        <v>586100</v>
      </c>
      <c r="B38" s="60">
        <v>382</v>
      </c>
      <c r="C38" s="7" t="str">
        <f t="shared" ref="C38:C43" si="5">D38&amp;J38&amp;E38&amp;F38&amp;G38</f>
        <v>Premium5</v>
      </c>
      <c r="D38" s="7" t="str">
        <f t="shared" ref="D38:D43" si="6">IF(OR(I38="PremiumSS",I38="PremiumSSw"),"PremiumSS",IF(I38="PremiumSSS",I38,IF(I38="PremiumW",IF(J38=5,"premium",I38),"Premium")))</f>
        <v>Premium</v>
      </c>
      <c r="E38" s="7" t="str">
        <f>IF(COUNTIF('R6追加前'!A:A,B38)=0,IF(OR(I38="PremiumSS",I38="PremiumSSw"),"R5only","R3less"),"")</f>
        <v/>
      </c>
      <c r="F38" s="7" t="str">
        <f>IF(COUNTIF('R6開放'!A:A,B38)&gt;0,"R6release","")</f>
        <v/>
      </c>
      <c r="G38" s="7"/>
      <c r="H38" s="7" t="str">
        <f>VLOOKUP(B38,[1]characters!$A:$C,3,FALSE)</f>
        <v>激情の愛炎 バハムート</v>
      </c>
      <c r="I38" s="7" t="str">
        <f>VLOOKUP(B38,[1]characters!$A:$J,10,FALSE)</f>
        <v>PremiumS</v>
      </c>
      <c r="J38" s="7">
        <f>VLOOKUP(B38,[1]characters!$A:$I,9,FALSE)</f>
        <v>5</v>
      </c>
      <c r="K38" s="7" t="str">
        <f>VLOOKUP(B38,[1]characters!$A:$H,8,FALSE)</f>
        <v>red</v>
      </c>
      <c r="L38" s="7" t="str">
        <f>VLOOKUP(B38,[1]characters!$A:$K,11,FALSE)</f>
        <v>technical</v>
      </c>
      <c r="M38" s="7" t="str">
        <f>VLOOKUP(B38,[1]characters!$A:$M,13,FALSE)</f>
        <v>dragon</v>
      </c>
      <c r="N38" s="7" t="str">
        <f>VLOOKUP(B38,[1]characters!$A:$G,7,FALSE)</f>
        <v>女性</v>
      </c>
      <c r="O38" s="45">
        <f t="shared" si="3"/>
        <v>26208</v>
      </c>
      <c r="P38" s="46">
        <f t="shared" si="4"/>
        <v>1.1097560975609756E-2</v>
      </c>
      <c r="Q38" s="30">
        <v>1</v>
      </c>
      <c r="R38" s="30">
        <v>0</v>
      </c>
      <c r="S38" s="30">
        <v>0</v>
      </c>
      <c r="T38" s="30">
        <v>0</v>
      </c>
      <c r="U38" s="30">
        <v>0</v>
      </c>
      <c r="V38" s="30">
        <v>1</v>
      </c>
    </row>
    <row r="39" spans="1:22" ht="21" customHeight="1" x14ac:dyDescent="0.15">
      <c r="A39" s="2" t="str">
        <f ca="1">input_586100!A$2</f>
        <v>586100</v>
      </c>
      <c r="B39" s="60">
        <v>384</v>
      </c>
      <c r="C39" s="7" t="str">
        <f t="shared" si="5"/>
        <v>PremiumSS5</v>
      </c>
      <c r="D39" s="7" t="str">
        <f t="shared" si="6"/>
        <v>PremiumSS</v>
      </c>
      <c r="E39" s="7" t="str">
        <f>IF(COUNTIF('R6追加前'!A:A,B39)=0,IF(OR(I39="PremiumSS",I39="PremiumSSw"),"R5only","R3less"),"")</f>
        <v/>
      </c>
      <c r="F39" s="7" t="str">
        <f>IF(COUNTIF('R6開放'!A:A,B39)&gt;0,"R6release","")</f>
        <v/>
      </c>
      <c r="G39" s="7"/>
      <c r="H39" s="7" t="str">
        <f>VLOOKUP(B39,[1]characters!$A:$C,3,FALSE)</f>
        <v>破国の呑龍 ヤマタノオロチ</v>
      </c>
      <c r="I39" s="7" t="str">
        <f>VLOOKUP(B39,[1]characters!$A:$J,10,FALSE)</f>
        <v>PremiumSS</v>
      </c>
      <c r="J39" s="7">
        <f>VLOOKUP(B39,[1]characters!$A:$I,9,FALSE)</f>
        <v>5</v>
      </c>
      <c r="K39" s="7" t="str">
        <f>VLOOKUP(B39,[1]characters!$A:$H,8,FALSE)</f>
        <v>green</v>
      </c>
      <c r="L39" s="7" t="str">
        <f>VLOOKUP(B39,[1]characters!$A:$K,11,FALSE)</f>
        <v>hp</v>
      </c>
      <c r="M39" s="7" t="str">
        <f>VLOOKUP(B39,[1]characters!$A:$M,13,FALSE)</f>
        <v>dragon</v>
      </c>
      <c r="N39" s="7" t="str">
        <f>VLOOKUP(B39,[1]characters!$A:$G,7,FALSE)</f>
        <v>女性</v>
      </c>
      <c r="O39" s="45">
        <f t="shared" si="3"/>
        <v>2460</v>
      </c>
      <c r="P39" s="46">
        <f t="shared" si="4"/>
        <v>1.0416666666666667E-3</v>
      </c>
      <c r="Q39" s="30">
        <v>1</v>
      </c>
      <c r="R39" s="30">
        <v>0</v>
      </c>
      <c r="S39" s="30">
        <v>0</v>
      </c>
      <c r="T39" s="30">
        <v>0</v>
      </c>
      <c r="U39" s="30">
        <v>0</v>
      </c>
      <c r="V39" s="30">
        <v>1</v>
      </c>
    </row>
    <row r="40" spans="1:22" ht="21" customHeight="1" x14ac:dyDescent="0.15">
      <c r="A40" s="2" t="str">
        <f ca="1">input_586100!A$2</f>
        <v>586100</v>
      </c>
      <c r="B40" s="60">
        <v>386</v>
      </c>
      <c r="C40" s="7" t="str">
        <f t="shared" si="5"/>
        <v>PremiumSS5</v>
      </c>
      <c r="D40" s="7" t="str">
        <f t="shared" si="6"/>
        <v>PremiumSS</v>
      </c>
      <c r="E40" s="7" t="str">
        <f>IF(COUNTIF('R6追加前'!A:A,B40)=0,IF(OR(I40="PremiumSS",I40="PremiumSSw"),"R5only","R3less"),"")</f>
        <v/>
      </c>
      <c r="F40" s="7" t="str">
        <f>IF(COUNTIF('R6開放'!A:A,B40)&gt;0,"R6release","")</f>
        <v/>
      </c>
      <c r="G40" s="7"/>
      <c r="H40" s="7" t="str">
        <f>VLOOKUP(B40,[1]characters!$A:$C,3,FALSE)</f>
        <v>氾乱の海龍 リヴァイアサン</v>
      </c>
      <c r="I40" s="7" t="str">
        <f>VLOOKUP(B40,[1]characters!$A:$J,10,FALSE)</f>
        <v>PremiumSS</v>
      </c>
      <c r="J40" s="7">
        <f>VLOOKUP(B40,[1]characters!$A:$I,9,FALSE)</f>
        <v>5</v>
      </c>
      <c r="K40" s="7" t="str">
        <f>VLOOKUP(B40,[1]characters!$A:$H,8,FALSE)</f>
        <v>blue</v>
      </c>
      <c r="L40" s="7" t="str">
        <f>VLOOKUP(B40,[1]characters!$A:$K,11,FALSE)</f>
        <v>balance</v>
      </c>
      <c r="M40" s="7" t="str">
        <f>VLOOKUP(B40,[1]characters!$A:$M,13,FALSE)</f>
        <v>dragon</v>
      </c>
      <c r="N40" s="7" t="str">
        <f>VLOOKUP(B40,[1]characters!$A:$G,7,FALSE)</f>
        <v>女性</v>
      </c>
      <c r="O40" s="45">
        <f t="shared" si="3"/>
        <v>2460</v>
      </c>
      <c r="P40" s="46">
        <f t="shared" si="4"/>
        <v>1.0416666666666667E-3</v>
      </c>
      <c r="Q40" s="30">
        <v>1</v>
      </c>
      <c r="R40" s="30">
        <v>0</v>
      </c>
      <c r="S40" s="30">
        <v>0</v>
      </c>
      <c r="T40" s="30">
        <v>0</v>
      </c>
      <c r="U40" s="30">
        <v>0</v>
      </c>
      <c r="V40" s="30">
        <v>1</v>
      </c>
    </row>
    <row r="41" spans="1:22" ht="21" customHeight="1" x14ac:dyDescent="0.15">
      <c r="A41" s="2" t="str">
        <f ca="1">input_586100!A$2</f>
        <v>586100</v>
      </c>
      <c r="B41" s="60">
        <v>389</v>
      </c>
      <c r="C41" s="7" t="str">
        <f t="shared" si="5"/>
        <v>Premium5</v>
      </c>
      <c r="D41" s="7" t="str">
        <f t="shared" si="6"/>
        <v>Premium</v>
      </c>
      <c r="E41" s="7" t="str">
        <f>IF(COUNTIF('R6追加前'!A:A,B41)=0,IF(OR(I41="PremiumSS",I41="PremiumSSw"),"R5only","R3less"),"")</f>
        <v/>
      </c>
      <c r="F41" s="7" t="str">
        <f>IF(COUNTIF('R6開放'!A:A,B41)&gt;0,"R6release","")</f>
        <v/>
      </c>
      <c r="G41" s="7"/>
      <c r="H41" s="7" t="str">
        <f>VLOOKUP(B41,[1]characters!$A:$C,3,FALSE)</f>
        <v>操神の愛姫 スフィンクス</v>
      </c>
      <c r="I41" s="7" t="str">
        <f>VLOOKUP(B41,[1]characters!$A:$J,10,FALSE)</f>
        <v>PremiumS</v>
      </c>
      <c r="J41" s="7">
        <f>VLOOKUP(B41,[1]characters!$A:$I,9,FALSE)</f>
        <v>5</v>
      </c>
      <c r="K41" s="7" t="str">
        <f>VLOOKUP(B41,[1]characters!$A:$H,8,FALSE)</f>
        <v>yellow</v>
      </c>
      <c r="L41" s="7" t="str">
        <f>VLOOKUP(B41,[1]characters!$A:$K,11,FALSE)</f>
        <v>heal</v>
      </c>
      <c r="M41" s="7" t="str">
        <f>VLOOKUP(B41,[1]characters!$A:$M,13,FALSE)</f>
        <v>animal</v>
      </c>
      <c r="N41" s="7" t="str">
        <f>VLOOKUP(B41,[1]characters!$A:$G,7,FALSE)</f>
        <v>女性</v>
      </c>
      <c r="O41" s="45">
        <f t="shared" si="3"/>
        <v>26208</v>
      </c>
      <c r="P41" s="46">
        <f t="shared" si="4"/>
        <v>1.1097560975609756E-2</v>
      </c>
      <c r="Q41" s="30">
        <v>1</v>
      </c>
      <c r="R41" s="30">
        <v>0</v>
      </c>
      <c r="S41" s="30">
        <v>0</v>
      </c>
      <c r="T41" s="30">
        <v>0</v>
      </c>
      <c r="U41" s="30">
        <v>0</v>
      </c>
      <c r="V41" s="30">
        <v>1</v>
      </c>
    </row>
    <row r="42" spans="1:22" ht="21" customHeight="1" x14ac:dyDescent="0.15">
      <c r="A42" s="2" t="str">
        <f ca="1">input_586100!A$2</f>
        <v>586100</v>
      </c>
      <c r="B42" s="60">
        <v>391</v>
      </c>
      <c r="C42" s="7" t="str">
        <f t="shared" si="5"/>
        <v>PremiumSS5</v>
      </c>
      <c r="D42" s="7" t="str">
        <f t="shared" si="6"/>
        <v>PremiumSS</v>
      </c>
      <c r="E42" s="7" t="str">
        <f>IF(COUNTIF('R6追加前'!A:A,B42)=0,IF(OR(I42="PremiumSS",I42="PremiumSSw"),"R5only","R3less"),"")</f>
        <v/>
      </c>
      <c r="F42" s="7" t="str">
        <f>IF(COUNTIF('R6開放'!A:A,B42)&gt;0,"R6release","")</f>
        <v/>
      </c>
      <c r="G42" s="7"/>
      <c r="H42" s="7" t="str">
        <f>VLOOKUP(B42,[1]characters!$A:$C,3,FALSE)</f>
        <v>燕翼の旅人 親指姫</v>
      </c>
      <c r="I42" s="7" t="str">
        <f>VLOOKUP(B42,[1]characters!$A:$J,10,FALSE)</f>
        <v>PremiumSS</v>
      </c>
      <c r="J42" s="7">
        <f>VLOOKUP(B42,[1]characters!$A:$I,9,FALSE)</f>
        <v>5</v>
      </c>
      <c r="K42" s="7" t="str">
        <f>VLOOKUP(B42,[1]characters!$A:$H,8,FALSE)</f>
        <v>red</v>
      </c>
      <c r="L42" s="7" t="str">
        <f>VLOOKUP(B42,[1]characters!$A:$K,11,FALSE)</f>
        <v>heal</v>
      </c>
      <c r="M42" s="7" t="str">
        <f>VLOOKUP(B42,[1]characters!$A:$M,13,FALSE)</f>
        <v>human</v>
      </c>
      <c r="N42" s="7" t="str">
        <f>VLOOKUP(B42,[1]characters!$A:$G,7,FALSE)</f>
        <v>女性</v>
      </c>
      <c r="O42" s="45">
        <f t="shared" si="3"/>
        <v>2460</v>
      </c>
      <c r="P42" s="46">
        <f t="shared" si="4"/>
        <v>1.0416666666666667E-3</v>
      </c>
      <c r="Q42" s="30">
        <v>1</v>
      </c>
      <c r="R42" s="30">
        <v>0</v>
      </c>
      <c r="S42" s="30">
        <v>0</v>
      </c>
      <c r="T42" s="30">
        <v>0</v>
      </c>
      <c r="U42" s="30">
        <v>0</v>
      </c>
      <c r="V42" s="30">
        <v>1</v>
      </c>
    </row>
    <row r="43" spans="1:22" ht="21" customHeight="1" x14ac:dyDescent="0.15">
      <c r="A43" s="2" t="str">
        <f ca="1">input_586100!A$2</f>
        <v>586100</v>
      </c>
      <c r="B43" s="89">
        <v>394</v>
      </c>
      <c r="C43" s="7" t="str">
        <f t="shared" si="5"/>
        <v>Premium5</v>
      </c>
      <c r="D43" s="7" t="str">
        <f t="shared" si="6"/>
        <v>Premium</v>
      </c>
      <c r="E43" s="7" t="str">
        <f>IF(COUNTIF('R6追加前'!A:A,B43)=0,IF(OR(I43="PremiumSS",I43="PremiumSSw"),"R5only","R3less"),"")</f>
        <v/>
      </c>
      <c r="F43" s="7" t="str">
        <f>IF(COUNTIF('R6開放'!A:A,B43)&gt;0,"R6release","")</f>
        <v/>
      </c>
      <c r="G43" s="7"/>
      <c r="H43" s="7" t="str">
        <f>VLOOKUP(B43,[1]characters!$A:$C,3,FALSE)</f>
        <v>影求の悪童 ピーターパン</v>
      </c>
      <c r="I43" s="7" t="str">
        <f>VLOOKUP(B43,[1]characters!$A:$J,10,FALSE)</f>
        <v>PremiumS</v>
      </c>
      <c r="J43" s="7">
        <f>VLOOKUP(B43,[1]characters!$A:$I,9,FALSE)</f>
        <v>5</v>
      </c>
      <c r="K43" s="7" t="str">
        <f>VLOOKUP(B43,[1]characters!$A:$H,8,FALSE)</f>
        <v>green</v>
      </c>
      <c r="L43" s="7" t="str">
        <f>VLOOKUP(B43,[1]characters!$A:$K,11,FALSE)</f>
        <v>attack</v>
      </c>
      <c r="M43" s="7" t="str">
        <f>VLOOKUP(B43,[1]characters!$A:$M,13,FALSE)</f>
        <v>human</v>
      </c>
      <c r="N43" s="7" t="str">
        <f>VLOOKUP(B43,[1]characters!$A:$G,7,FALSE)</f>
        <v>男性</v>
      </c>
      <c r="O43" s="45">
        <f t="shared" si="3"/>
        <v>26208</v>
      </c>
      <c r="P43" s="46">
        <f t="shared" si="4"/>
        <v>1.1097560975609756E-2</v>
      </c>
      <c r="Q43" s="30">
        <v>1</v>
      </c>
      <c r="R43" s="30">
        <v>0</v>
      </c>
      <c r="S43" s="30">
        <v>0</v>
      </c>
      <c r="T43" s="30">
        <v>0</v>
      </c>
      <c r="U43" s="30">
        <v>0</v>
      </c>
      <c r="V43" s="30">
        <v>1</v>
      </c>
    </row>
    <row r="44" spans="1:22" ht="21" customHeight="1" x14ac:dyDescent="0.15">
      <c r="A44" s="2" t="str">
        <f ca="1">input_586100!A$2</f>
        <v>586100</v>
      </c>
      <c r="B44" s="1">
        <v>397</v>
      </c>
      <c r="C44" s="7" t="str">
        <f t="shared" ref="C44:C107" si="7">D44&amp;J44&amp;E44&amp;F44&amp;G44</f>
        <v>Premium5</v>
      </c>
      <c r="D44" s="7" t="str">
        <f t="shared" ref="D44:D107" si="8">IF(OR(I44="PremiumSS",I44="PremiumSSw"),"PremiumSS",IF(I44="PremiumSSS",I44,IF(I44="PremiumW",IF(J44=5,"premium",I44),"Premium")))</f>
        <v>Premium</v>
      </c>
      <c r="E44" s="7" t="str">
        <f>IF(COUNTIF('R6追加前'!A:A,B44)=0,IF(OR(I44="PremiumSS",I44="PremiumSSw"),"R5only","R3less"),"")</f>
        <v/>
      </c>
      <c r="F44" s="7" t="str">
        <f>IF(COUNTIF('R6開放'!A:A,B44)&gt;0,"R6release","")</f>
        <v/>
      </c>
      <c r="G44" s="7"/>
      <c r="H44" s="7" t="str">
        <f>VLOOKUP(B44,[1]characters!$A:$C,3,FALSE)</f>
        <v>禁断の追箱 乙姫</v>
      </c>
      <c r="I44" s="7" t="str">
        <f>VLOOKUP(B44,[1]characters!$A:$J,10,FALSE)</f>
        <v>PremiumS</v>
      </c>
      <c r="J44" s="7">
        <f>VLOOKUP(B44,[1]characters!$A:$I,9,FALSE)</f>
        <v>5</v>
      </c>
      <c r="K44" s="7" t="str">
        <f>VLOOKUP(B44,[1]characters!$A:$H,8,FALSE)</f>
        <v>blue</v>
      </c>
      <c r="L44" s="7" t="str">
        <f>VLOOKUP(B44,[1]characters!$A:$K,11,FALSE)</f>
        <v>hp</v>
      </c>
      <c r="M44" s="7" t="str">
        <f>VLOOKUP(B44,[1]characters!$A:$M,13,FALSE)</f>
        <v>human</v>
      </c>
      <c r="N44" s="7" t="str">
        <f>VLOOKUP(B44,[1]characters!$A:$G,7,FALSE)</f>
        <v>女性</v>
      </c>
      <c r="O44" s="45">
        <f t="shared" si="3"/>
        <v>26208</v>
      </c>
      <c r="P44" s="46">
        <f t="shared" si="4"/>
        <v>1.1097560975609756E-2</v>
      </c>
      <c r="Q44" s="30">
        <v>1</v>
      </c>
      <c r="R44" s="30">
        <v>0</v>
      </c>
      <c r="S44" s="30">
        <v>0</v>
      </c>
      <c r="T44" s="30">
        <v>0</v>
      </c>
      <c r="U44" s="30">
        <v>0</v>
      </c>
      <c r="V44" s="30">
        <v>1</v>
      </c>
    </row>
    <row r="45" spans="1:22" ht="21" customHeight="1" x14ac:dyDescent="0.15">
      <c r="A45" s="2" t="str">
        <f ca="1">input_586100!A$2</f>
        <v>586100</v>
      </c>
      <c r="B45" s="1">
        <v>399</v>
      </c>
      <c r="C45" s="7" t="str">
        <f t="shared" si="7"/>
        <v>PremiumSS5</v>
      </c>
      <c r="D45" s="7" t="str">
        <f t="shared" si="8"/>
        <v>PremiumSS</v>
      </c>
      <c r="E45" s="7" t="str">
        <f>IF(COUNTIF('R6追加前'!A:A,B45)=0,IF(OR(I45="PremiumSS",I45="PremiumSSw"),"R5only","R3less"),"")</f>
        <v/>
      </c>
      <c r="F45" s="7" t="str">
        <f>IF(COUNTIF('R6開放'!A:A,B45)&gt;0,"R6release","")</f>
        <v/>
      </c>
      <c r="G45" s="7"/>
      <c r="H45" s="7" t="str">
        <f>VLOOKUP(B45,[1]characters!$A:$C,3,FALSE)</f>
        <v>信愛の兄妹 ヘンゼル＆グレーテル</v>
      </c>
      <c r="I45" s="7" t="str">
        <f>VLOOKUP(B45,[1]characters!$A:$J,10,FALSE)</f>
        <v>PremiumSS</v>
      </c>
      <c r="J45" s="7">
        <f>VLOOKUP(B45,[1]characters!$A:$I,9,FALSE)</f>
        <v>5</v>
      </c>
      <c r="K45" s="7" t="str">
        <f>VLOOKUP(B45,[1]characters!$A:$H,8,FALSE)</f>
        <v>yellow</v>
      </c>
      <c r="L45" s="7" t="str">
        <f>VLOOKUP(B45,[1]characters!$A:$K,11,FALSE)</f>
        <v>balance</v>
      </c>
      <c r="M45" s="7" t="str">
        <f>VLOOKUP(B45,[1]characters!$A:$M,13,FALSE)</f>
        <v>human</v>
      </c>
      <c r="N45" s="7" t="str">
        <f>VLOOKUP(B45,[1]characters!$A:$G,7,FALSE)</f>
        <v>女性</v>
      </c>
      <c r="O45" s="45">
        <f t="shared" si="3"/>
        <v>2460</v>
      </c>
      <c r="P45" s="46">
        <f t="shared" si="4"/>
        <v>1.0416666666666667E-3</v>
      </c>
      <c r="Q45" s="30">
        <v>1</v>
      </c>
      <c r="R45" s="30">
        <v>0</v>
      </c>
      <c r="S45" s="30">
        <v>0</v>
      </c>
      <c r="T45" s="30">
        <v>0</v>
      </c>
      <c r="U45" s="30">
        <v>0</v>
      </c>
      <c r="V45" s="30">
        <v>1</v>
      </c>
    </row>
    <row r="46" spans="1:22" ht="21" customHeight="1" x14ac:dyDescent="0.15">
      <c r="A46" s="2" t="str">
        <f ca="1">input_586100!A$2</f>
        <v>586100</v>
      </c>
      <c r="B46" s="1">
        <v>402</v>
      </c>
      <c r="C46" s="7" t="str">
        <f t="shared" si="7"/>
        <v>Premium5</v>
      </c>
      <c r="D46" s="7" t="str">
        <f t="shared" si="8"/>
        <v>Premium</v>
      </c>
      <c r="E46" s="7" t="str">
        <f>IF(COUNTIF('R6追加前'!A:A,B46)=0,IF(OR(I46="PremiumSS",I46="PremiumSSw"),"R5only","R3less"),"")</f>
        <v/>
      </c>
      <c r="F46" s="7" t="str">
        <f>IF(COUNTIF('R6開放'!A:A,B46)&gt;0,"R6release","")</f>
        <v/>
      </c>
      <c r="G46" s="7"/>
      <c r="H46" s="7" t="str">
        <f>VLOOKUP(B46,[1]characters!$A:$C,3,FALSE)</f>
        <v>天災の神狼 フェンリル</v>
      </c>
      <c r="I46" s="7" t="str">
        <f>VLOOKUP(B46,[1]characters!$A:$J,10,FALSE)</f>
        <v>PremiumS</v>
      </c>
      <c r="J46" s="7">
        <f>VLOOKUP(B46,[1]characters!$A:$I,9,FALSE)</f>
        <v>5</v>
      </c>
      <c r="K46" s="7" t="str">
        <f>VLOOKUP(B46,[1]characters!$A:$H,8,FALSE)</f>
        <v>red</v>
      </c>
      <c r="L46" s="7" t="str">
        <f>VLOOKUP(B46,[1]characters!$A:$K,11,FALSE)</f>
        <v>attack</v>
      </c>
      <c r="M46" s="7" t="str">
        <f>VLOOKUP(B46,[1]characters!$A:$M,13,FALSE)</f>
        <v>animal</v>
      </c>
      <c r="N46" s="7" t="str">
        <f>VLOOKUP(B46,[1]characters!$A:$G,7,FALSE)</f>
        <v>女性</v>
      </c>
      <c r="O46" s="45">
        <f t="shared" si="3"/>
        <v>26208</v>
      </c>
      <c r="P46" s="46">
        <f t="shared" si="4"/>
        <v>1.1097560975609756E-2</v>
      </c>
      <c r="Q46" s="30">
        <v>1</v>
      </c>
      <c r="R46" s="30">
        <v>0</v>
      </c>
      <c r="S46" s="30">
        <v>0</v>
      </c>
      <c r="T46" s="30">
        <v>0</v>
      </c>
      <c r="U46" s="30">
        <v>0</v>
      </c>
      <c r="V46" s="30">
        <v>1</v>
      </c>
    </row>
    <row r="47" spans="1:22" ht="21" customHeight="1" x14ac:dyDescent="0.15">
      <c r="A47" s="2" t="str">
        <f ca="1">input_586100!A$2</f>
        <v>586100</v>
      </c>
      <c r="B47" s="1">
        <v>404</v>
      </c>
      <c r="C47" s="7" t="str">
        <f t="shared" si="7"/>
        <v>PremiumSS5</v>
      </c>
      <c r="D47" s="7" t="str">
        <f t="shared" si="8"/>
        <v>PremiumSS</v>
      </c>
      <c r="E47" s="7" t="str">
        <f>IF(COUNTIF('R6追加前'!A:A,B47)=0,IF(OR(I47="PremiumSS",I47="PremiumSSw"),"R5only","R3less"),"")</f>
        <v/>
      </c>
      <c r="F47" s="7" t="str">
        <f>IF(COUNTIF('R6開放'!A:A,B47)&gt;0,"R6release","")</f>
        <v/>
      </c>
      <c r="G47" s="7"/>
      <c r="H47" s="7" t="str">
        <f>VLOOKUP(B47,[1]characters!$A:$C,3,FALSE)</f>
        <v>空襲の神眼 八咫烏</v>
      </c>
      <c r="I47" s="7" t="str">
        <f>VLOOKUP(B47,[1]characters!$A:$J,10,FALSE)</f>
        <v>PremiumSS</v>
      </c>
      <c r="J47" s="7">
        <f>VLOOKUP(B47,[1]characters!$A:$I,9,FALSE)</f>
        <v>5</v>
      </c>
      <c r="K47" s="7" t="str">
        <f>VLOOKUP(B47,[1]characters!$A:$H,8,FALSE)</f>
        <v>green</v>
      </c>
      <c r="L47" s="7" t="str">
        <f>VLOOKUP(B47,[1]characters!$A:$K,11,FALSE)</f>
        <v>balance</v>
      </c>
      <c r="M47" s="7" t="str">
        <f>VLOOKUP(B47,[1]characters!$A:$M,13,FALSE)</f>
        <v>animal</v>
      </c>
      <c r="N47" s="7" t="str">
        <f>VLOOKUP(B47,[1]characters!$A:$G,7,FALSE)</f>
        <v>女性</v>
      </c>
      <c r="O47" s="45">
        <f t="shared" si="3"/>
        <v>2460</v>
      </c>
      <c r="P47" s="46">
        <f t="shared" si="4"/>
        <v>1.0416666666666667E-3</v>
      </c>
      <c r="Q47" s="30">
        <v>1</v>
      </c>
      <c r="R47" s="30">
        <v>0</v>
      </c>
      <c r="S47" s="30">
        <v>0</v>
      </c>
      <c r="T47" s="30">
        <v>0</v>
      </c>
      <c r="U47" s="30">
        <v>0</v>
      </c>
      <c r="V47" s="30">
        <v>1</v>
      </c>
    </row>
    <row r="48" spans="1:22" ht="21" customHeight="1" x14ac:dyDescent="0.15">
      <c r="A48" s="2" t="str">
        <f ca="1">input_586100!A$2</f>
        <v>586100</v>
      </c>
      <c r="B48" s="1">
        <v>407</v>
      </c>
      <c r="C48" s="7" t="str">
        <f t="shared" si="7"/>
        <v>Premium5</v>
      </c>
      <c r="D48" s="7" t="str">
        <f t="shared" si="8"/>
        <v>Premium</v>
      </c>
      <c r="E48" s="7" t="str">
        <f>IF(COUNTIF('R6追加前'!A:A,B48)=0,IF(OR(I48="PremiumSS",I48="PremiumSSw"),"R5only","R3less"),"")</f>
        <v/>
      </c>
      <c r="F48" s="7" t="str">
        <f>IF(COUNTIF('R6開放'!A:A,B48)&gt;0,"R6release","")</f>
        <v/>
      </c>
      <c r="G48" s="7"/>
      <c r="H48" s="7" t="str">
        <f>VLOOKUP(B48,[1]characters!$A:$C,3,FALSE)</f>
        <v>蠱惑の飛刀 エキドナ</v>
      </c>
      <c r="I48" s="7" t="str">
        <f>VLOOKUP(B48,[1]characters!$A:$J,10,FALSE)</f>
        <v>PremiumS</v>
      </c>
      <c r="J48" s="7">
        <f>VLOOKUP(B48,[1]characters!$A:$I,9,FALSE)</f>
        <v>5</v>
      </c>
      <c r="K48" s="7" t="str">
        <f>VLOOKUP(B48,[1]characters!$A:$H,8,FALSE)</f>
        <v>blue</v>
      </c>
      <c r="L48" s="7" t="str">
        <f>VLOOKUP(B48,[1]characters!$A:$K,11,FALSE)</f>
        <v>technical</v>
      </c>
      <c r="M48" s="7" t="str">
        <f>VLOOKUP(B48,[1]characters!$A:$M,13,FALSE)</f>
        <v>animal</v>
      </c>
      <c r="N48" s="7" t="str">
        <f>VLOOKUP(B48,[1]characters!$A:$G,7,FALSE)</f>
        <v>女性</v>
      </c>
      <c r="O48" s="45">
        <f t="shared" si="3"/>
        <v>26208</v>
      </c>
      <c r="P48" s="46">
        <f t="shared" si="4"/>
        <v>1.1097560975609756E-2</v>
      </c>
      <c r="Q48" s="30">
        <v>1</v>
      </c>
      <c r="R48" s="30">
        <v>0</v>
      </c>
      <c r="S48" s="30">
        <v>0</v>
      </c>
      <c r="T48" s="30">
        <v>0</v>
      </c>
      <c r="U48" s="30">
        <v>0</v>
      </c>
      <c r="V48" s="30">
        <v>1</v>
      </c>
    </row>
    <row r="49" spans="1:22" ht="21" customHeight="1" x14ac:dyDescent="0.15">
      <c r="A49" s="2" t="str">
        <f ca="1">input_586100!A$2</f>
        <v>586100</v>
      </c>
      <c r="B49" s="1">
        <v>409</v>
      </c>
      <c r="C49" s="7" t="str">
        <f t="shared" si="7"/>
        <v>PremiumSS5</v>
      </c>
      <c r="D49" s="7" t="str">
        <f t="shared" si="8"/>
        <v>PremiumSS</v>
      </c>
      <c r="E49" s="7" t="str">
        <f>IF(COUNTIF('R6追加前'!A:A,B49)=0,IF(OR(I49="PremiumSS",I49="PremiumSSw"),"R5only","R3less"),"")</f>
        <v/>
      </c>
      <c r="F49" s="7" t="str">
        <f>IF(COUNTIF('R6開放'!A:A,B49)&gt;0,"R6release","")</f>
        <v/>
      </c>
      <c r="G49" s="7"/>
      <c r="H49" s="7" t="str">
        <f>VLOOKUP(B49,[1]characters!$A:$C,3,FALSE)</f>
        <v>天眼の皇貴魔 アスタロト</v>
      </c>
      <c r="I49" s="7" t="str">
        <f>VLOOKUP(B49,[1]characters!$A:$J,10,FALSE)</f>
        <v>PremiumSS</v>
      </c>
      <c r="J49" s="7">
        <f>VLOOKUP(B49,[1]characters!$A:$I,9,FALSE)</f>
        <v>5</v>
      </c>
      <c r="K49" s="7" t="str">
        <f>VLOOKUP(B49,[1]characters!$A:$H,8,FALSE)</f>
        <v>yellow</v>
      </c>
      <c r="L49" s="7" t="str">
        <f>VLOOKUP(B49,[1]characters!$A:$K,11,FALSE)</f>
        <v>attack</v>
      </c>
      <c r="M49" s="7" t="str">
        <f>VLOOKUP(B49,[1]characters!$A:$M,13,FALSE)</f>
        <v>god</v>
      </c>
      <c r="N49" s="7" t="str">
        <f>VLOOKUP(B49,[1]characters!$A:$G,7,FALSE)</f>
        <v>男性</v>
      </c>
      <c r="O49" s="45">
        <f t="shared" si="3"/>
        <v>2460</v>
      </c>
      <c r="P49" s="46">
        <f t="shared" si="4"/>
        <v>1.0416666666666667E-3</v>
      </c>
      <c r="Q49" s="30">
        <v>1</v>
      </c>
      <c r="R49" s="30">
        <v>0</v>
      </c>
      <c r="S49" s="30">
        <v>0</v>
      </c>
      <c r="T49" s="30">
        <v>0</v>
      </c>
      <c r="U49" s="30">
        <v>0</v>
      </c>
      <c r="V49" s="30">
        <v>1</v>
      </c>
    </row>
    <row r="50" spans="1:22" ht="21" customHeight="1" x14ac:dyDescent="0.15">
      <c r="A50" s="2" t="str">
        <f ca="1">input_586100!A$2</f>
        <v>586100</v>
      </c>
      <c r="B50" s="1">
        <v>435</v>
      </c>
      <c r="C50" s="7" t="str">
        <f t="shared" si="7"/>
        <v>PremiumSS5</v>
      </c>
      <c r="D50" s="7" t="str">
        <f t="shared" si="8"/>
        <v>PremiumSS</v>
      </c>
      <c r="E50" s="7" t="str">
        <f>IF(COUNTIF('R6追加前'!A:A,B50)=0,IF(OR(I50="PremiumSS",I50="PremiumSSw"),"R5only","R3less"),"")</f>
        <v/>
      </c>
      <c r="F50" s="7" t="str">
        <f>IF(COUNTIF('R6開放'!A:A,B50)&gt;0,"R6release","")</f>
        <v/>
      </c>
      <c r="G50" s="7"/>
      <c r="H50" s="7" t="str">
        <f>VLOOKUP(B50,[1]characters!$A:$C,3,FALSE)</f>
        <v>曝弾の密偵 D.R.T.H.</v>
      </c>
      <c r="I50" s="7" t="str">
        <f>VLOOKUP(B50,[1]characters!$A:$J,10,FALSE)</f>
        <v>PremiumSS</v>
      </c>
      <c r="J50" s="7">
        <f>VLOOKUP(B50,[1]characters!$A:$I,9,FALSE)</f>
        <v>5</v>
      </c>
      <c r="K50" s="7" t="str">
        <f>VLOOKUP(B50,[1]characters!$A:$H,8,FALSE)</f>
        <v>red</v>
      </c>
      <c r="L50" s="7" t="str">
        <f>VLOOKUP(B50,[1]characters!$A:$K,11,FALSE)</f>
        <v>balance</v>
      </c>
      <c r="M50" s="7" t="str">
        <f>VLOOKUP(B50,[1]characters!$A:$M,13,FALSE)</f>
        <v>human</v>
      </c>
      <c r="N50" s="7" t="str">
        <f>VLOOKUP(B50,[1]characters!$A:$G,7,FALSE)</f>
        <v>女性</v>
      </c>
      <c r="O50" s="45">
        <f t="shared" si="3"/>
        <v>2460</v>
      </c>
      <c r="P50" s="46">
        <f t="shared" si="4"/>
        <v>1.0416666666666667E-3</v>
      </c>
      <c r="Q50" s="30">
        <v>1</v>
      </c>
      <c r="R50" s="30">
        <v>0</v>
      </c>
      <c r="S50" s="30">
        <v>0</v>
      </c>
      <c r="T50" s="30">
        <v>0</v>
      </c>
      <c r="U50" s="30">
        <v>0</v>
      </c>
      <c r="V50" s="30">
        <v>1</v>
      </c>
    </row>
    <row r="51" spans="1:22" ht="21" customHeight="1" x14ac:dyDescent="0.15">
      <c r="A51" s="2" t="str">
        <f ca="1">input_586100!A$2</f>
        <v>586100</v>
      </c>
      <c r="B51" s="1">
        <v>438</v>
      </c>
      <c r="C51" s="7" t="str">
        <f t="shared" si="7"/>
        <v>Premium5</v>
      </c>
      <c r="D51" s="7" t="str">
        <f t="shared" si="8"/>
        <v>Premium</v>
      </c>
      <c r="E51" s="7" t="str">
        <f>IF(COUNTIF('R6追加前'!A:A,B51)=0,IF(OR(I51="PremiumSS",I51="PremiumSSw"),"R5only","R3less"),"")</f>
        <v/>
      </c>
      <c r="F51" s="7" t="str">
        <f>IF(COUNTIF('R6開放'!A:A,B51)&gt;0,"R6release","")</f>
        <v/>
      </c>
      <c r="G51" s="7"/>
      <c r="H51" s="7" t="str">
        <f>VLOOKUP(B51,[1]characters!$A:$C,3,FALSE)</f>
        <v>記憶の奪還 カカシ</v>
      </c>
      <c r="I51" s="7" t="str">
        <f>VLOOKUP(B51,[1]characters!$A:$J,10,FALSE)</f>
        <v>PremiumS</v>
      </c>
      <c r="J51" s="7">
        <f>VLOOKUP(B51,[1]characters!$A:$I,9,FALSE)</f>
        <v>5</v>
      </c>
      <c r="K51" s="7" t="str">
        <f>VLOOKUP(B51,[1]characters!$A:$H,8,FALSE)</f>
        <v>green</v>
      </c>
      <c r="L51" s="7" t="str">
        <f>VLOOKUP(B51,[1]characters!$A:$K,11,FALSE)</f>
        <v>technical</v>
      </c>
      <c r="M51" s="7" t="str">
        <f>VLOOKUP(B51,[1]characters!$A:$M,13,FALSE)</f>
        <v>human</v>
      </c>
      <c r="N51" s="7" t="str">
        <f>VLOOKUP(B51,[1]characters!$A:$G,7,FALSE)</f>
        <v>男性</v>
      </c>
      <c r="O51" s="45">
        <f>VLOOKUP(D51,$W$2:$Y$4,3,FALSE)</f>
        <v>26208</v>
      </c>
      <c r="P51" s="46">
        <f t="shared" si="4"/>
        <v>1.1097560975609756E-2</v>
      </c>
      <c r="Q51" s="30">
        <v>1</v>
      </c>
      <c r="R51" s="30">
        <v>0</v>
      </c>
      <c r="S51" s="30">
        <v>0</v>
      </c>
      <c r="T51" s="30">
        <v>0</v>
      </c>
      <c r="U51" s="30">
        <v>0</v>
      </c>
      <c r="V51" s="30">
        <v>1</v>
      </c>
    </row>
    <row r="52" spans="1:22" ht="21" customHeight="1" x14ac:dyDescent="0.15">
      <c r="A52" s="2" t="str">
        <f ca="1">input_586100!A$2</f>
        <v>586100</v>
      </c>
      <c r="B52" s="1">
        <v>441</v>
      </c>
      <c r="C52" s="7" t="str">
        <f t="shared" si="7"/>
        <v>Premium5</v>
      </c>
      <c r="D52" s="7" t="str">
        <f t="shared" si="8"/>
        <v>Premium</v>
      </c>
      <c r="E52" s="7" t="str">
        <f>IF(COUNTIF('R6追加前'!A:A,B52)=0,IF(OR(I52="PremiumSS",I52="PremiumSSw"),"R5only","R3less"),"")</f>
        <v/>
      </c>
      <c r="F52" s="7" t="str">
        <f>IF(COUNTIF('R6開放'!A:A,B52)&gt;0,"R6release","")</f>
        <v/>
      </c>
      <c r="G52" s="7"/>
      <c r="H52" s="7" t="str">
        <f>VLOOKUP(B52,[1]characters!$A:$C,3,FALSE)</f>
        <v>求心の錻装 ブリキロガー</v>
      </c>
      <c r="I52" s="7" t="str">
        <f>VLOOKUP(B52,[1]characters!$A:$J,10,FALSE)</f>
        <v>PremiumS</v>
      </c>
      <c r="J52" s="7">
        <f>VLOOKUP(B52,[1]characters!$A:$I,9,FALSE)</f>
        <v>5</v>
      </c>
      <c r="K52" s="7" t="str">
        <f>VLOOKUP(B52,[1]characters!$A:$H,8,FALSE)</f>
        <v>blue</v>
      </c>
      <c r="L52" s="7" t="str">
        <f>VLOOKUP(B52,[1]characters!$A:$K,11,FALSE)</f>
        <v>attack</v>
      </c>
      <c r="M52" s="7" t="str">
        <f>VLOOKUP(B52,[1]characters!$A:$M,13,FALSE)</f>
        <v>machine</v>
      </c>
      <c r="N52" s="7" t="str">
        <f>VLOOKUP(B52,[1]characters!$A:$G,7,FALSE)</f>
        <v>不明</v>
      </c>
      <c r="O52" s="45">
        <f t="shared" si="3"/>
        <v>26208</v>
      </c>
      <c r="P52" s="46">
        <f t="shared" si="4"/>
        <v>1.1097560975609756E-2</v>
      </c>
      <c r="Q52" s="30">
        <v>1</v>
      </c>
      <c r="R52" s="30">
        <v>0</v>
      </c>
      <c r="S52" s="30">
        <v>0</v>
      </c>
      <c r="T52" s="30">
        <v>0</v>
      </c>
      <c r="U52" s="30">
        <v>0</v>
      </c>
      <c r="V52" s="30">
        <v>1</v>
      </c>
    </row>
    <row r="53" spans="1:22" ht="21" customHeight="1" x14ac:dyDescent="0.15">
      <c r="A53" s="2" t="str">
        <f ca="1">input_586100!A$2</f>
        <v>586100</v>
      </c>
      <c r="B53" s="1">
        <v>443</v>
      </c>
      <c r="C53" s="7" t="str">
        <f t="shared" si="7"/>
        <v>PremiumSS5</v>
      </c>
      <c r="D53" s="7" t="str">
        <f t="shared" si="8"/>
        <v>PremiumSS</v>
      </c>
      <c r="E53" s="7" t="str">
        <f>IF(COUNTIF('R6追加前'!A:A,B53)=0,IF(OR(I53="PremiumSS",I53="PremiumSSw"),"R5only","R3less"),"")</f>
        <v/>
      </c>
      <c r="F53" s="7" t="str">
        <f>IF(COUNTIF('R6開放'!A:A,B53)&gt;0,"R6release","")</f>
        <v/>
      </c>
      <c r="G53" s="7"/>
      <c r="H53" s="7" t="str">
        <f>VLOOKUP(B53,[1]characters!$A:$C,3,FALSE)</f>
        <v>勇機結集 ブレイブリー・ライオン</v>
      </c>
      <c r="I53" s="7" t="str">
        <f>VLOOKUP(B53,[1]characters!$A:$J,10,FALSE)</f>
        <v>PremiumSS</v>
      </c>
      <c r="J53" s="7">
        <f>VLOOKUP(B53,[1]characters!$A:$I,9,FALSE)</f>
        <v>5</v>
      </c>
      <c r="K53" s="7" t="str">
        <f>VLOOKUP(B53,[1]characters!$A:$H,8,FALSE)</f>
        <v>yellow</v>
      </c>
      <c r="L53" s="7" t="str">
        <f>VLOOKUP(B53,[1]characters!$A:$K,11,FALSE)</f>
        <v>hp</v>
      </c>
      <c r="M53" s="7" t="str">
        <f>VLOOKUP(B53,[1]characters!$A:$M,13,FALSE)</f>
        <v>animal</v>
      </c>
      <c r="N53" s="7" t="str">
        <f>VLOOKUP(B53,[1]characters!$A:$G,7,FALSE)</f>
        <v>不明</v>
      </c>
      <c r="O53" s="45">
        <f t="shared" si="3"/>
        <v>2460</v>
      </c>
      <c r="P53" s="46">
        <f t="shared" si="4"/>
        <v>1.0416666666666667E-3</v>
      </c>
      <c r="Q53" s="30">
        <v>1</v>
      </c>
      <c r="R53" s="30">
        <v>0</v>
      </c>
      <c r="S53" s="30">
        <v>0</v>
      </c>
      <c r="T53" s="30">
        <v>0</v>
      </c>
      <c r="U53" s="30">
        <v>0</v>
      </c>
      <c r="V53" s="30">
        <v>1</v>
      </c>
    </row>
    <row r="54" spans="1:22" ht="21" customHeight="1" x14ac:dyDescent="0.15">
      <c r="A54" s="2" t="str">
        <f ca="1">input_586100!A$2</f>
        <v>586100</v>
      </c>
      <c r="B54" s="1">
        <v>464</v>
      </c>
      <c r="C54" s="7" t="str">
        <f t="shared" si="7"/>
        <v>Premium5</v>
      </c>
      <c r="D54" s="7" t="str">
        <f t="shared" si="8"/>
        <v>Premium</v>
      </c>
      <c r="E54" s="7" t="str">
        <f>IF(COUNTIF('R6追加前'!A:A,B54)=0,IF(OR(I54="PremiumSS",I54="PremiumSSw"),"R5only","R3less"),"")</f>
        <v/>
      </c>
      <c r="F54" s="7" t="str">
        <f>IF(COUNTIF('R6開放'!A:A,B54)&gt;0,"R6release","")</f>
        <v/>
      </c>
      <c r="G54" s="7"/>
      <c r="H54" s="7" t="str">
        <f>VLOOKUP(B54,[1]characters!$A:$C,3,FALSE)</f>
        <v>円熟の弾導 ガウェイン</v>
      </c>
      <c r="I54" s="7" t="str">
        <f>VLOOKUP(B54,[1]characters!$A:$J,10,FALSE)</f>
        <v>PremiumS</v>
      </c>
      <c r="J54" s="7">
        <f>VLOOKUP(B54,[1]characters!$A:$I,9,FALSE)</f>
        <v>5</v>
      </c>
      <c r="K54" s="7" t="str">
        <f>VLOOKUP(B54,[1]characters!$A:$H,8,FALSE)</f>
        <v>red</v>
      </c>
      <c r="L54" s="7" t="str">
        <f>VLOOKUP(B54,[1]characters!$A:$K,11,FALSE)</f>
        <v>hp</v>
      </c>
      <c r="M54" s="7" t="str">
        <f>VLOOKUP(B54,[1]characters!$A:$M,13,FALSE)</f>
        <v>human</v>
      </c>
      <c r="N54" s="7" t="str">
        <f>VLOOKUP(B54,[1]characters!$A:$G,7,FALSE)</f>
        <v>男性</v>
      </c>
      <c r="O54" s="45">
        <f t="shared" si="3"/>
        <v>26208</v>
      </c>
      <c r="P54" s="46">
        <f t="shared" si="4"/>
        <v>1.1097560975609756E-2</v>
      </c>
      <c r="Q54" s="30">
        <v>1</v>
      </c>
      <c r="R54" s="30">
        <v>0</v>
      </c>
      <c r="S54" s="30">
        <v>0</v>
      </c>
      <c r="T54" s="30">
        <v>0</v>
      </c>
      <c r="U54" s="30">
        <v>0</v>
      </c>
      <c r="V54" s="30">
        <v>1</v>
      </c>
    </row>
    <row r="55" spans="1:22" ht="21" customHeight="1" x14ac:dyDescent="0.15">
      <c r="A55" s="2" t="str">
        <f ca="1">input_586100!A$2</f>
        <v>586100</v>
      </c>
      <c r="B55" s="1">
        <v>466</v>
      </c>
      <c r="C55" s="7" t="str">
        <f t="shared" si="7"/>
        <v>PremiumSS5</v>
      </c>
      <c r="D55" s="7" t="str">
        <f t="shared" si="8"/>
        <v>PremiumSS</v>
      </c>
      <c r="E55" s="7" t="str">
        <f>IF(COUNTIF('R6追加前'!A:A,B55)=0,IF(OR(I55="PremiumSS",I55="PremiumSSw"),"R5only","R3less"),"")</f>
        <v/>
      </c>
      <c r="F55" s="7" t="str">
        <f>IF(COUNTIF('R6開放'!A:A,B55)&gt;0,"R6release","")</f>
        <v/>
      </c>
      <c r="G55" s="7"/>
      <c r="H55" s="7" t="str">
        <f>VLOOKUP(B55,[1]characters!$A:$C,3,FALSE)</f>
        <v>真断の勇覇 ランスロット</v>
      </c>
      <c r="I55" s="7" t="str">
        <f>VLOOKUP(B55,[1]characters!$A:$J,10,FALSE)</f>
        <v>PremiumSS</v>
      </c>
      <c r="J55" s="7">
        <f>VLOOKUP(B55,[1]characters!$A:$I,9,FALSE)</f>
        <v>5</v>
      </c>
      <c r="K55" s="7" t="str">
        <f>VLOOKUP(B55,[1]characters!$A:$H,8,FALSE)</f>
        <v>green</v>
      </c>
      <c r="L55" s="7" t="str">
        <f>VLOOKUP(B55,[1]characters!$A:$K,11,FALSE)</f>
        <v>balance</v>
      </c>
      <c r="M55" s="7" t="str">
        <f>VLOOKUP(B55,[1]characters!$A:$M,13,FALSE)</f>
        <v>human</v>
      </c>
      <c r="N55" s="7" t="str">
        <f>VLOOKUP(B55,[1]characters!$A:$G,7,FALSE)</f>
        <v>男性</v>
      </c>
      <c r="O55" s="45">
        <f t="shared" si="3"/>
        <v>2460</v>
      </c>
      <c r="P55" s="46">
        <f t="shared" si="4"/>
        <v>1.0416666666666667E-3</v>
      </c>
      <c r="Q55" s="30">
        <v>1</v>
      </c>
      <c r="R55" s="30">
        <v>0</v>
      </c>
      <c r="S55" s="30">
        <v>0</v>
      </c>
      <c r="T55" s="30">
        <v>0</v>
      </c>
      <c r="U55" s="30">
        <v>0</v>
      </c>
      <c r="V55" s="30">
        <v>1</v>
      </c>
    </row>
    <row r="56" spans="1:22" ht="21" customHeight="1" x14ac:dyDescent="0.15">
      <c r="A56" s="2" t="str">
        <f ca="1">input_586100!A$2</f>
        <v>586100</v>
      </c>
      <c r="B56" s="1">
        <v>468</v>
      </c>
      <c r="C56" s="7" t="str">
        <f t="shared" si="7"/>
        <v>PremiumSS5</v>
      </c>
      <c r="D56" s="7" t="str">
        <f t="shared" si="8"/>
        <v>PremiumSS</v>
      </c>
      <c r="E56" s="7" t="str">
        <f>IF(COUNTIF('R6追加前'!A:A,B56)=0,IF(OR(I56="PremiumSS",I56="PremiumSSw"),"R5only","R3less"),"")</f>
        <v/>
      </c>
      <c r="F56" s="7" t="str">
        <f>IF(COUNTIF('R6開放'!A:A,B56)&gt;0,"R6release","")</f>
        <v/>
      </c>
      <c r="G56" s="7"/>
      <c r="H56" s="7" t="str">
        <f>VLOOKUP(B56,[1]characters!$A:$C,3,FALSE)</f>
        <v>憎愛の尖鋒 モルドレッド</v>
      </c>
      <c r="I56" s="7" t="str">
        <f>VLOOKUP(B56,[1]characters!$A:$J,10,FALSE)</f>
        <v>PremiumSS</v>
      </c>
      <c r="J56" s="7">
        <f>VLOOKUP(B56,[1]characters!$A:$I,9,FALSE)</f>
        <v>5</v>
      </c>
      <c r="K56" s="7" t="str">
        <f>VLOOKUP(B56,[1]characters!$A:$H,8,FALSE)</f>
        <v>blue</v>
      </c>
      <c r="L56" s="7" t="str">
        <f>VLOOKUP(B56,[1]characters!$A:$K,11,FALSE)</f>
        <v>technical</v>
      </c>
      <c r="M56" s="7" t="str">
        <f>VLOOKUP(B56,[1]characters!$A:$M,13,FALSE)</f>
        <v>human</v>
      </c>
      <c r="N56" s="7" t="str">
        <f>VLOOKUP(B56,[1]characters!$A:$G,7,FALSE)</f>
        <v>女性</v>
      </c>
      <c r="O56" s="45">
        <f t="shared" si="3"/>
        <v>2460</v>
      </c>
      <c r="P56" s="46">
        <f t="shared" si="4"/>
        <v>1.0416666666666667E-3</v>
      </c>
      <c r="Q56" s="30">
        <v>1</v>
      </c>
      <c r="R56" s="30">
        <v>0</v>
      </c>
      <c r="S56" s="30">
        <v>0</v>
      </c>
      <c r="T56" s="30">
        <v>0</v>
      </c>
      <c r="U56" s="30">
        <v>0</v>
      </c>
      <c r="V56" s="30">
        <v>1</v>
      </c>
    </row>
    <row r="57" spans="1:22" ht="21" customHeight="1" x14ac:dyDescent="0.15">
      <c r="A57" s="2" t="str">
        <f ca="1">input_586100!A$2</f>
        <v>586100</v>
      </c>
      <c r="B57" s="1">
        <v>471</v>
      </c>
      <c r="C57" s="7" t="str">
        <f t="shared" si="7"/>
        <v>Premium5</v>
      </c>
      <c r="D57" s="7" t="str">
        <f t="shared" si="8"/>
        <v>Premium</v>
      </c>
      <c r="E57" s="7" t="str">
        <f>IF(COUNTIF('R6追加前'!A:A,B57)=0,IF(OR(I57="PremiumSS",I57="PremiumSSw"),"R5only","R3less"),"")</f>
        <v/>
      </c>
      <c r="F57" s="7" t="str">
        <f>IF(COUNTIF('R6開放'!A:A,B57)&gt;0,"R6release","")</f>
        <v/>
      </c>
      <c r="G57" s="7"/>
      <c r="H57" s="7" t="str">
        <f>VLOOKUP(B57,[1]characters!$A:$C,3,FALSE)</f>
        <v>不可避の爆激 トリスタン</v>
      </c>
      <c r="I57" s="7" t="str">
        <f>VLOOKUP(B57,[1]characters!$A:$J,10,FALSE)</f>
        <v>PremiumS</v>
      </c>
      <c r="J57" s="7">
        <f>VLOOKUP(B57,[1]characters!$A:$I,9,FALSE)</f>
        <v>5</v>
      </c>
      <c r="K57" s="7" t="str">
        <f>VLOOKUP(B57,[1]characters!$A:$H,8,FALSE)</f>
        <v>yellow</v>
      </c>
      <c r="L57" s="7" t="str">
        <f>VLOOKUP(B57,[1]characters!$A:$K,11,FALSE)</f>
        <v>attack</v>
      </c>
      <c r="M57" s="7" t="str">
        <f>VLOOKUP(B57,[1]characters!$A:$M,13,FALSE)</f>
        <v>human</v>
      </c>
      <c r="N57" s="7" t="str">
        <f>VLOOKUP(B57,[1]characters!$A:$G,7,FALSE)</f>
        <v>男性</v>
      </c>
      <c r="O57" s="45">
        <f t="shared" si="3"/>
        <v>26208</v>
      </c>
      <c r="P57" s="46">
        <f t="shared" si="4"/>
        <v>1.1097560975609756E-2</v>
      </c>
      <c r="Q57" s="30">
        <v>1</v>
      </c>
      <c r="R57" s="30">
        <v>0</v>
      </c>
      <c r="S57" s="30">
        <v>0</v>
      </c>
      <c r="T57" s="30">
        <v>0</v>
      </c>
      <c r="U57" s="30">
        <v>0</v>
      </c>
      <c r="V57" s="30">
        <v>1</v>
      </c>
    </row>
    <row r="58" spans="1:22" ht="21" customHeight="1" x14ac:dyDescent="0.15">
      <c r="A58" s="2" t="str">
        <f ca="1">input_586100!A$2</f>
        <v>586100</v>
      </c>
      <c r="B58" s="1">
        <v>475</v>
      </c>
      <c r="C58" s="7" t="str">
        <f t="shared" si="7"/>
        <v>PremiumSS5</v>
      </c>
      <c r="D58" s="7" t="str">
        <f t="shared" si="8"/>
        <v>PremiumSS</v>
      </c>
      <c r="E58" s="7" t="str">
        <f>IF(COUNTIF('R6追加前'!A:A,B58)=0,IF(OR(I58="PremiumSS",I58="PremiumSSw"),"R5only","R3less"),"")</f>
        <v/>
      </c>
      <c r="F58" s="7" t="str">
        <f>IF(COUNTIF('R6開放'!A:A,B58)&gt;0,"R6release","")</f>
        <v/>
      </c>
      <c r="G58" s="7"/>
      <c r="H58" s="7" t="str">
        <f>VLOOKUP(B58,[1]characters!$A:$C,3,FALSE)</f>
        <v>緋王 キング・ドライグ</v>
      </c>
      <c r="I58" s="7" t="str">
        <f>VLOOKUP(B58,[1]characters!$A:$J,10,FALSE)</f>
        <v>PremiumSS</v>
      </c>
      <c r="J58" s="7">
        <f>VLOOKUP(B58,[1]characters!$A:$I,9,FALSE)</f>
        <v>5</v>
      </c>
      <c r="K58" s="7" t="str">
        <f>VLOOKUP(B58,[1]characters!$A:$H,8,FALSE)</f>
        <v>red</v>
      </c>
      <c r="L58" s="7" t="str">
        <f>VLOOKUP(B58,[1]characters!$A:$K,11,FALSE)</f>
        <v>attack</v>
      </c>
      <c r="M58" s="7" t="str">
        <f>VLOOKUP(B58,[1]characters!$A:$M,13,FALSE)</f>
        <v>dragon</v>
      </c>
      <c r="N58" s="7" t="str">
        <f>VLOOKUP(B58,[1]characters!$A:$G,7,FALSE)</f>
        <v>不明</v>
      </c>
      <c r="O58" s="45">
        <f t="shared" si="3"/>
        <v>2460</v>
      </c>
      <c r="P58" s="46">
        <f t="shared" si="4"/>
        <v>1.0416666666666667E-3</v>
      </c>
      <c r="Q58" s="30">
        <v>1</v>
      </c>
      <c r="R58" s="30">
        <v>0</v>
      </c>
      <c r="S58" s="30">
        <v>0</v>
      </c>
      <c r="T58" s="30">
        <v>0</v>
      </c>
      <c r="U58" s="30">
        <v>0</v>
      </c>
      <c r="V58" s="30">
        <v>1</v>
      </c>
    </row>
    <row r="59" spans="1:22" ht="21" customHeight="1" x14ac:dyDescent="0.15">
      <c r="A59" s="2" t="str">
        <f ca="1">input_586100!A$2</f>
        <v>586100</v>
      </c>
      <c r="B59" s="1">
        <v>478</v>
      </c>
      <c r="C59" s="7" t="str">
        <f t="shared" si="7"/>
        <v>Premium5</v>
      </c>
      <c r="D59" s="7" t="str">
        <f t="shared" si="8"/>
        <v>Premium</v>
      </c>
      <c r="E59" s="7" t="str">
        <f>IF(COUNTIF('R6追加前'!A:A,B59)=0,IF(OR(I59="PremiumSS",I59="PremiumSSw"),"R5only","R3less"),"")</f>
        <v/>
      </c>
      <c r="F59" s="7" t="str">
        <f>IF(COUNTIF('R6開放'!A:A,B59)&gt;0,"R6release","")</f>
        <v/>
      </c>
      <c r="G59" s="7"/>
      <c r="H59" s="7" t="str">
        <f>VLOOKUP(B59,[1]characters!$A:$C,3,FALSE)</f>
        <v>時計仕掛けの愛羽妖精 ファータ</v>
      </c>
      <c r="I59" s="7" t="str">
        <f>VLOOKUP(B59,[1]characters!$A:$J,10,FALSE)</f>
        <v>PremiumS</v>
      </c>
      <c r="J59" s="7">
        <f>VLOOKUP(B59,[1]characters!$A:$I,9,FALSE)</f>
        <v>5</v>
      </c>
      <c r="K59" s="7" t="str">
        <f>VLOOKUP(B59,[1]characters!$A:$H,8,FALSE)</f>
        <v>green</v>
      </c>
      <c r="L59" s="7" t="str">
        <f>VLOOKUP(B59,[1]characters!$A:$K,11,FALSE)</f>
        <v>heal</v>
      </c>
      <c r="M59" s="7" t="str">
        <f>VLOOKUP(B59,[1]characters!$A:$M,13,FALSE)</f>
        <v>unknown</v>
      </c>
      <c r="N59" s="7" t="str">
        <f>VLOOKUP(B59,[1]characters!$A:$G,7,FALSE)</f>
        <v>女性</v>
      </c>
      <c r="O59" s="45">
        <f t="shared" si="3"/>
        <v>26208</v>
      </c>
      <c r="P59" s="46">
        <f t="shared" si="4"/>
        <v>1.1097560975609756E-2</v>
      </c>
      <c r="Q59" s="30">
        <v>1</v>
      </c>
      <c r="R59" s="30">
        <v>0</v>
      </c>
      <c r="S59" s="30">
        <v>0</v>
      </c>
      <c r="T59" s="30">
        <v>0</v>
      </c>
      <c r="U59" s="30">
        <v>0</v>
      </c>
      <c r="V59" s="30">
        <v>1</v>
      </c>
    </row>
    <row r="60" spans="1:22" ht="21" customHeight="1" x14ac:dyDescent="0.15">
      <c r="A60" s="2" t="str">
        <f ca="1">input_586100!A$2</f>
        <v>586100</v>
      </c>
      <c r="B60" s="1">
        <v>480</v>
      </c>
      <c r="C60" s="7" t="str">
        <f t="shared" si="7"/>
        <v>PremiumSS5</v>
      </c>
      <c r="D60" s="7" t="str">
        <f t="shared" si="8"/>
        <v>PremiumSS</v>
      </c>
      <c r="E60" s="7" t="str">
        <f>IF(COUNTIF('R6追加前'!A:A,B60)=0,IF(OR(I60="PremiumSS",I60="PremiumSSw"),"R5only","R3less"),"")</f>
        <v/>
      </c>
      <c r="F60" s="7" t="str">
        <f>IF(COUNTIF('R6開放'!A:A,B60)&gt;0,"R6release","")</f>
        <v/>
      </c>
      <c r="G60" s="7"/>
      <c r="H60" s="7" t="str">
        <f>VLOOKUP(B60,[1]characters!$A:$C,3,FALSE)</f>
        <v>夢幻の愚者フール</v>
      </c>
      <c r="I60" s="7" t="str">
        <f>VLOOKUP(B60,[1]characters!$A:$J,10,FALSE)</f>
        <v>PremiumSS</v>
      </c>
      <c r="J60" s="7">
        <f>VLOOKUP(B60,[1]characters!$A:$I,9,FALSE)</f>
        <v>5</v>
      </c>
      <c r="K60" s="7" t="str">
        <f>VLOOKUP(B60,[1]characters!$A:$H,8,FALSE)</f>
        <v>blue</v>
      </c>
      <c r="L60" s="7" t="str">
        <f>VLOOKUP(B60,[1]characters!$A:$K,11,FALSE)</f>
        <v>technical</v>
      </c>
      <c r="M60" s="7" t="str">
        <f>VLOOKUP(B60,[1]characters!$A:$M,13,FALSE)</f>
        <v>god</v>
      </c>
      <c r="N60" s="7" t="str">
        <f>VLOOKUP(B60,[1]characters!$A:$G,7,FALSE)</f>
        <v>男性</v>
      </c>
      <c r="O60" s="45">
        <f t="shared" si="3"/>
        <v>2460</v>
      </c>
      <c r="P60" s="46">
        <f t="shared" si="4"/>
        <v>1.0416666666666667E-3</v>
      </c>
      <c r="Q60" s="30">
        <v>1</v>
      </c>
      <c r="R60" s="30">
        <v>0</v>
      </c>
      <c r="S60" s="30">
        <v>0</v>
      </c>
      <c r="T60" s="30">
        <v>0</v>
      </c>
      <c r="U60" s="30">
        <v>0</v>
      </c>
      <c r="V60" s="30">
        <v>1</v>
      </c>
    </row>
    <row r="61" spans="1:22" ht="21" customHeight="1" x14ac:dyDescent="0.15">
      <c r="A61" s="2" t="str">
        <f ca="1">input_586100!A$2</f>
        <v>586100</v>
      </c>
      <c r="B61" s="1">
        <v>483</v>
      </c>
      <c r="C61" s="7" t="str">
        <f t="shared" si="7"/>
        <v>Premium5</v>
      </c>
      <c r="D61" s="7" t="str">
        <f t="shared" si="8"/>
        <v>Premium</v>
      </c>
      <c r="E61" s="7" t="str">
        <f>IF(COUNTIF('R6追加前'!A:A,B61)=0,IF(OR(I61="PremiumSS",I61="PremiumSSw"),"R5only","R3less"),"")</f>
        <v/>
      </c>
      <c r="F61" s="7" t="str">
        <f>IF(COUNTIF('R6開放'!A:A,B61)&gt;0,"R6release","")</f>
        <v/>
      </c>
      <c r="G61" s="7"/>
      <c r="H61" s="7" t="str">
        <f>VLOOKUP(B61,[1]characters!$A:$C,3,FALSE)</f>
        <v xml:space="preserve">命経死遂 沢庵宗彭 </v>
      </c>
      <c r="I61" s="7" t="str">
        <f>VLOOKUP(B61,[1]characters!$A:$J,10,FALSE)</f>
        <v>PremiumS</v>
      </c>
      <c r="J61" s="7">
        <f>VLOOKUP(B61,[1]characters!$A:$I,9,FALSE)</f>
        <v>5</v>
      </c>
      <c r="K61" s="7" t="str">
        <f>VLOOKUP(B61,[1]characters!$A:$H,8,FALSE)</f>
        <v>yellow</v>
      </c>
      <c r="L61" s="7" t="str">
        <f>VLOOKUP(B61,[1]characters!$A:$K,11,FALSE)</f>
        <v>hp</v>
      </c>
      <c r="M61" s="7" t="str">
        <f>VLOOKUP(B61,[1]characters!$A:$M,13,FALSE)</f>
        <v>human</v>
      </c>
      <c r="N61" s="7" t="str">
        <f>VLOOKUP(B61,[1]characters!$A:$G,7,FALSE)</f>
        <v>男性</v>
      </c>
      <c r="O61" s="45">
        <f t="shared" si="3"/>
        <v>26208</v>
      </c>
      <c r="P61" s="46">
        <f t="shared" si="4"/>
        <v>1.1097560975609756E-2</v>
      </c>
      <c r="Q61" s="30">
        <v>1</v>
      </c>
      <c r="R61" s="30">
        <v>0</v>
      </c>
      <c r="S61" s="30">
        <v>0</v>
      </c>
      <c r="T61" s="30">
        <v>0</v>
      </c>
      <c r="U61" s="30">
        <v>0</v>
      </c>
      <c r="V61" s="30">
        <v>1</v>
      </c>
    </row>
    <row r="62" spans="1:22" ht="21" customHeight="1" x14ac:dyDescent="0.15">
      <c r="A62" s="2" t="str">
        <f ca="1">input_586100!A$2</f>
        <v>586100</v>
      </c>
      <c r="B62" s="1">
        <v>493</v>
      </c>
      <c r="C62" s="7" t="str">
        <f t="shared" si="7"/>
        <v>PremiumSS5</v>
      </c>
      <c r="D62" s="7" t="str">
        <f t="shared" si="8"/>
        <v>PremiumSS</v>
      </c>
      <c r="E62" s="7" t="str">
        <f>IF(COUNTIF('R6追加前'!A:A,B62)=0,IF(OR(I62="PremiumSS",I62="PremiumSSw"),"R5only","R3less"),"")</f>
        <v/>
      </c>
      <c r="F62" s="7" t="str">
        <f>IF(COUNTIF('R6開放'!A:A,B62)&gt;0,"R6release","")</f>
        <v/>
      </c>
      <c r="G62" s="7"/>
      <c r="H62" s="7" t="str">
        <f>VLOOKUP(B62,[1]characters!$A:$C,3,FALSE)</f>
        <v>跋扈の機脚 ブートレグ・ペロー</v>
      </c>
      <c r="I62" s="7" t="str">
        <f>VLOOKUP(B62,[1]characters!$A:$J,10,FALSE)</f>
        <v>PremiumSS</v>
      </c>
      <c r="J62" s="7">
        <f>VLOOKUP(B62,[1]characters!$A:$I,9,FALSE)</f>
        <v>5</v>
      </c>
      <c r="K62" s="7" t="str">
        <f>VLOOKUP(B62,[1]characters!$A:$H,8,FALSE)</f>
        <v>red</v>
      </c>
      <c r="L62" s="7" t="str">
        <f>VLOOKUP(B62,[1]characters!$A:$K,11,FALSE)</f>
        <v>hp</v>
      </c>
      <c r="M62" s="7" t="str">
        <f>VLOOKUP(B62,[1]characters!$A:$M,13,FALSE)</f>
        <v>animal</v>
      </c>
      <c r="N62" s="7" t="str">
        <f>VLOOKUP(B62,[1]characters!$A:$G,7,FALSE)</f>
        <v>不明</v>
      </c>
      <c r="O62" s="45">
        <f t="shared" si="3"/>
        <v>2460</v>
      </c>
      <c r="P62" s="46">
        <f t="shared" si="4"/>
        <v>1.0416666666666667E-3</v>
      </c>
      <c r="Q62" s="30">
        <v>1</v>
      </c>
      <c r="R62" s="30">
        <v>0</v>
      </c>
      <c r="S62" s="30">
        <v>0</v>
      </c>
      <c r="T62" s="30">
        <v>0</v>
      </c>
      <c r="U62" s="30">
        <v>0</v>
      </c>
      <c r="V62" s="30">
        <v>1</v>
      </c>
    </row>
    <row r="63" spans="1:22" ht="21" customHeight="1" x14ac:dyDescent="0.15">
      <c r="A63" s="2" t="str">
        <f ca="1">input_586100!A$2</f>
        <v>586100</v>
      </c>
      <c r="B63" s="1">
        <v>495</v>
      </c>
      <c r="C63" s="7" t="str">
        <f t="shared" si="7"/>
        <v>PremiumSS5</v>
      </c>
      <c r="D63" s="7" t="str">
        <f t="shared" si="8"/>
        <v>PremiumSS</v>
      </c>
      <c r="E63" s="7" t="str">
        <f>IF(COUNTIF('R6追加前'!A:A,B63)=0,IF(OR(I63="PremiumSS",I63="PremiumSSw"),"R5only","R3less"),"")</f>
        <v/>
      </c>
      <c r="F63" s="7" t="str">
        <f>IF(COUNTIF('R6開放'!A:A,B63)&gt;0,"R6release","")</f>
        <v/>
      </c>
      <c r="G63" s="7"/>
      <c r="H63" s="7" t="str">
        <f>VLOOKUP(B63,[1]characters!$A:$C,3,FALSE)</f>
        <v>鼠災呼ぶ笛音 ハーメルン</v>
      </c>
      <c r="I63" s="7" t="str">
        <f>VLOOKUP(B63,[1]characters!$A:$J,10,FALSE)</f>
        <v>PremiumSS</v>
      </c>
      <c r="J63" s="7">
        <f>VLOOKUP(B63,[1]characters!$A:$I,9,FALSE)</f>
        <v>5</v>
      </c>
      <c r="K63" s="7" t="str">
        <f>VLOOKUP(B63,[1]characters!$A:$H,8,FALSE)</f>
        <v>green</v>
      </c>
      <c r="L63" s="7" t="str">
        <f>VLOOKUP(B63,[1]characters!$A:$K,11,FALSE)</f>
        <v>technical</v>
      </c>
      <c r="M63" s="7" t="str">
        <f>VLOOKUP(B63,[1]characters!$A:$M,13,FALSE)</f>
        <v>human</v>
      </c>
      <c r="N63" s="7" t="str">
        <f>VLOOKUP(B63,[1]characters!$A:$G,7,FALSE)</f>
        <v>男性</v>
      </c>
      <c r="O63" s="45">
        <f t="shared" si="3"/>
        <v>2460</v>
      </c>
      <c r="P63" s="46">
        <f t="shared" si="4"/>
        <v>1.0416666666666667E-3</v>
      </c>
      <c r="Q63" s="30">
        <v>1</v>
      </c>
      <c r="R63" s="30">
        <v>0</v>
      </c>
      <c r="S63" s="30">
        <v>0</v>
      </c>
      <c r="T63" s="30">
        <v>0</v>
      </c>
      <c r="U63" s="30">
        <v>0</v>
      </c>
      <c r="V63" s="30">
        <v>1</v>
      </c>
    </row>
    <row r="64" spans="1:22" ht="21" customHeight="1" x14ac:dyDescent="0.15">
      <c r="A64" s="2" t="str">
        <f ca="1">input_586100!A$2</f>
        <v>586100</v>
      </c>
      <c r="B64" s="1">
        <v>498</v>
      </c>
      <c r="C64" s="7" t="str">
        <f t="shared" si="7"/>
        <v>Premium5</v>
      </c>
      <c r="D64" s="7" t="str">
        <f t="shared" si="8"/>
        <v>Premium</v>
      </c>
      <c r="E64" s="7" t="str">
        <f>IF(COUNTIF('R6追加前'!A:A,B64)=0,IF(OR(I64="PremiumSS",I64="PremiumSSw"),"R5only","R3less"),"")</f>
        <v/>
      </c>
      <c r="F64" s="7" t="str">
        <f>IF(COUNTIF('R6開放'!A:A,B64)&gt;0,"R6release","")</f>
        <v/>
      </c>
      <c r="G64" s="7"/>
      <c r="H64" s="7" t="str">
        <f>VLOOKUP(B64,[1]characters!$A:$C,3,FALSE)</f>
        <v>自愛の高魔 エスタブ</v>
      </c>
      <c r="I64" s="7" t="str">
        <f>VLOOKUP(B64,[1]characters!$A:$J,10,FALSE)</f>
        <v>PremiumS</v>
      </c>
      <c r="J64" s="7">
        <f>VLOOKUP(B64,[1]characters!$A:$I,9,FALSE)</f>
        <v>5</v>
      </c>
      <c r="K64" s="7" t="str">
        <f>VLOOKUP(B64,[1]characters!$A:$H,8,FALSE)</f>
        <v>blue</v>
      </c>
      <c r="L64" s="7" t="str">
        <f>VLOOKUP(B64,[1]characters!$A:$K,11,FALSE)</f>
        <v>attack</v>
      </c>
      <c r="M64" s="7" t="str">
        <f>VLOOKUP(B64,[1]characters!$A:$M,13,FALSE)</f>
        <v>human</v>
      </c>
      <c r="N64" s="7" t="str">
        <f>VLOOKUP(B64,[1]characters!$A:$G,7,FALSE)</f>
        <v>男性</v>
      </c>
      <c r="O64" s="45">
        <f t="shared" si="3"/>
        <v>26208</v>
      </c>
      <c r="P64" s="46">
        <f t="shared" si="4"/>
        <v>1.1097560975609756E-2</v>
      </c>
      <c r="Q64" s="30">
        <v>1</v>
      </c>
      <c r="R64" s="30">
        <v>0</v>
      </c>
      <c r="S64" s="30">
        <v>0</v>
      </c>
      <c r="T64" s="30">
        <v>0</v>
      </c>
      <c r="U64" s="30">
        <v>0</v>
      </c>
      <c r="V64" s="30">
        <v>1</v>
      </c>
    </row>
    <row r="65" spans="1:22" ht="21" customHeight="1" x14ac:dyDescent="0.15">
      <c r="A65" s="2" t="str">
        <f ca="1">input_586100!A$2</f>
        <v>586100</v>
      </c>
      <c r="B65" s="1">
        <v>500</v>
      </c>
      <c r="C65" s="7" t="str">
        <f t="shared" si="7"/>
        <v>PremiumSS5</v>
      </c>
      <c r="D65" s="7" t="str">
        <f t="shared" si="8"/>
        <v>PremiumSS</v>
      </c>
      <c r="E65" s="7" t="str">
        <f>IF(COUNTIF('R6追加前'!A:A,B65)=0,IF(OR(I65="PremiumSS",I65="PremiumSSw"),"R5only","R3less"),"")</f>
        <v/>
      </c>
      <c r="F65" s="7" t="str">
        <f>IF(COUNTIF('R6開放'!A:A,B65)&gt;0,"R6release","")</f>
        <v/>
      </c>
      <c r="G65" s="7"/>
      <c r="H65" s="7" t="str">
        <f>VLOOKUP(B65,[1]characters!$A:$C,3,FALSE)</f>
        <v>脈動の禁髪 ラプンツェル</v>
      </c>
      <c r="I65" s="7" t="str">
        <f>VLOOKUP(B65,[1]characters!$A:$J,10,FALSE)</f>
        <v>PremiumSS</v>
      </c>
      <c r="J65" s="7">
        <f>VLOOKUP(B65,[1]characters!$A:$I,9,FALSE)</f>
        <v>5</v>
      </c>
      <c r="K65" s="7" t="str">
        <f>VLOOKUP(B65,[1]characters!$A:$H,8,FALSE)</f>
        <v>yellow</v>
      </c>
      <c r="L65" s="7" t="str">
        <f>VLOOKUP(B65,[1]characters!$A:$K,11,FALSE)</f>
        <v>balance</v>
      </c>
      <c r="M65" s="7" t="str">
        <f>VLOOKUP(B65,[1]characters!$A:$M,13,FALSE)</f>
        <v>human</v>
      </c>
      <c r="N65" s="7" t="str">
        <f>VLOOKUP(B65,[1]characters!$A:$G,7,FALSE)</f>
        <v>女性</v>
      </c>
      <c r="O65" s="45">
        <f t="shared" si="3"/>
        <v>2460</v>
      </c>
      <c r="P65" s="46">
        <f t="shared" si="4"/>
        <v>1.0416666666666667E-3</v>
      </c>
      <c r="Q65" s="30">
        <v>1</v>
      </c>
      <c r="R65" s="30">
        <v>0</v>
      </c>
      <c r="S65" s="30">
        <v>0</v>
      </c>
      <c r="T65" s="30">
        <v>0</v>
      </c>
      <c r="U65" s="30">
        <v>0</v>
      </c>
      <c r="V65" s="30">
        <v>1</v>
      </c>
    </row>
    <row r="66" spans="1:22" ht="21" customHeight="1" x14ac:dyDescent="0.15">
      <c r="A66" s="2" t="str">
        <f ca="1">input_586100!A$2</f>
        <v>586100</v>
      </c>
      <c r="B66" s="1">
        <v>560</v>
      </c>
      <c r="C66" s="7" t="str">
        <f t="shared" si="7"/>
        <v>premium5R3less</v>
      </c>
      <c r="D66" s="7" t="str">
        <f t="shared" si="8"/>
        <v>premium</v>
      </c>
      <c r="E66" s="7" t="str">
        <f>IF(COUNTIF('R6追加前'!A:A,B66)=0,IF(OR(I66="PremiumSS",I66="PremiumSSw"),"R5only","R3less"),"")</f>
        <v>R3less</v>
      </c>
      <c r="F66" s="7" t="str">
        <f>IF(COUNTIF('R6開放'!A:A,B66)&gt;0,"R6release","")</f>
        <v/>
      </c>
      <c r="G66" s="7"/>
      <c r="H66" s="7" t="str">
        <f>VLOOKUP(B66,[1]characters!$A:$C,3,FALSE)</f>
        <v>暴骨炎舞の狂賢者 ユノ</v>
      </c>
      <c r="I66" s="7" t="str">
        <f>VLOOKUP(B66,[1]characters!$A:$J,10,FALSE)</f>
        <v>PremiumW</v>
      </c>
      <c r="J66" s="7">
        <f>VLOOKUP(B66,[1]characters!$A:$I,9,FALSE)</f>
        <v>5</v>
      </c>
      <c r="K66" s="7" t="str">
        <f>VLOOKUP(B66,[1]characters!$A:$H,8,FALSE)</f>
        <v>red</v>
      </c>
      <c r="L66" s="7" t="str">
        <f>VLOOKUP(B66,[1]characters!$A:$K,11,FALSE)</f>
        <v>attack</v>
      </c>
      <c r="M66" s="7" t="str">
        <f>VLOOKUP(B66,[1]characters!$A:$M,13,FALSE)</f>
        <v>human</v>
      </c>
      <c r="N66" s="7" t="str">
        <f>VLOOKUP(B66,[1]characters!$A:$G,7,FALSE)</f>
        <v>女性</v>
      </c>
      <c r="O66" s="45">
        <f t="shared" si="3"/>
        <v>26208</v>
      </c>
      <c r="P66" s="46">
        <f t="shared" ref="P66:P97" si="9">O66/SUM(O:O)</f>
        <v>1.1097560975609756E-2</v>
      </c>
      <c r="Q66" s="30">
        <v>1</v>
      </c>
      <c r="R66" s="30">
        <v>0</v>
      </c>
      <c r="S66" s="30">
        <v>0</v>
      </c>
      <c r="T66" s="30">
        <v>0</v>
      </c>
      <c r="U66" s="30">
        <v>0</v>
      </c>
      <c r="V66" s="30">
        <v>1</v>
      </c>
    </row>
    <row r="67" spans="1:22" ht="21" customHeight="1" x14ac:dyDescent="0.15">
      <c r="A67" s="2" t="str">
        <f ca="1">input_586100!A$2</f>
        <v>586100</v>
      </c>
      <c r="B67" s="1">
        <v>561</v>
      </c>
      <c r="C67" s="7" t="str">
        <f t="shared" si="7"/>
        <v>premium5R3less</v>
      </c>
      <c r="D67" s="7" t="str">
        <f t="shared" si="8"/>
        <v>premium</v>
      </c>
      <c r="E67" s="7" t="str">
        <f>IF(COUNTIF('R6追加前'!A:A,B67)=0,IF(OR(I67="PremiumSS",I67="PremiumSSw"),"R5only","R3less"),"")</f>
        <v>R3less</v>
      </c>
      <c r="F67" s="7" t="str">
        <f>IF(COUNTIF('R6開放'!A:A,B67)&gt;0,"R6release","")</f>
        <v/>
      </c>
      <c r="G67" s="7"/>
      <c r="H67" s="7" t="str">
        <f>VLOOKUP(B67,[1]characters!$A:$C,3,FALSE)</f>
        <v>森翠統べる獣姫 アマラ</v>
      </c>
      <c r="I67" s="7" t="str">
        <f>VLOOKUP(B67,[1]characters!$A:$J,10,FALSE)</f>
        <v>PremiumW</v>
      </c>
      <c r="J67" s="7">
        <f>VLOOKUP(B67,[1]characters!$A:$I,9,FALSE)</f>
        <v>5</v>
      </c>
      <c r="K67" s="7" t="str">
        <f>VLOOKUP(B67,[1]characters!$A:$H,8,FALSE)</f>
        <v>green</v>
      </c>
      <c r="L67" s="7" t="str">
        <f>VLOOKUP(B67,[1]characters!$A:$K,11,FALSE)</f>
        <v>attack</v>
      </c>
      <c r="M67" s="7" t="str">
        <f>VLOOKUP(B67,[1]characters!$A:$M,13,FALSE)</f>
        <v>human</v>
      </c>
      <c r="N67" s="7" t="str">
        <f>VLOOKUP(B67,[1]characters!$A:$G,7,FALSE)</f>
        <v>女性</v>
      </c>
      <c r="O67" s="45">
        <f t="shared" ref="O67:O71" si="10">VLOOKUP(D67,$W$2:$Y$4,3,FALSE)</f>
        <v>26208</v>
      </c>
      <c r="P67" s="46">
        <f t="shared" si="9"/>
        <v>1.1097560975609756E-2</v>
      </c>
      <c r="Q67" s="30">
        <v>1</v>
      </c>
      <c r="R67" s="30">
        <v>0</v>
      </c>
      <c r="S67" s="30">
        <v>0</v>
      </c>
      <c r="T67" s="30">
        <v>0</v>
      </c>
      <c r="U67" s="30">
        <v>0</v>
      </c>
      <c r="V67" s="30">
        <v>1</v>
      </c>
    </row>
    <row r="68" spans="1:22" ht="21" customHeight="1" x14ac:dyDescent="0.15">
      <c r="A68" s="2" t="str">
        <f ca="1">input_586100!A$2</f>
        <v>586100</v>
      </c>
      <c r="B68" s="1">
        <v>562</v>
      </c>
      <c r="C68" s="7" t="str">
        <f t="shared" si="7"/>
        <v>premium5R3less</v>
      </c>
      <c r="D68" s="7" t="str">
        <f t="shared" si="8"/>
        <v>premium</v>
      </c>
      <c r="E68" s="7" t="str">
        <f>IF(COUNTIF('R6追加前'!A:A,B68)=0,IF(OR(I68="PremiumSS",I68="PremiumSSw"),"R5only","R3less"),"")</f>
        <v>R3less</v>
      </c>
      <c r="F68" s="7" t="str">
        <f>IF(COUNTIF('R6開放'!A:A,B68)&gt;0,"R6release","")</f>
        <v/>
      </c>
      <c r="G68" s="7"/>
      <c r="H68" s="7" t="str">
        <f>VLOOKUP(B68,[1]characters!$A:$C,3,FALSE)</f>
        <v>月夜砕く蒼狂狼 ローレンス</v>
      </c>
      <c r="I68" s="7" t="str">
        <f>VLOOKUP(B68,[1]characters!$A:$J,10,FALSE)</f>
        <v>PremiumW</v>
      </c>
      <c r="J68" s="7">
        <f>VLOOKUP(B68,[1]characters!$A:$I,9,FALSE)</f>
        <v>5</v>
      </c>
      <c r="K68" s="7" t="str">
        <f>VLOOKUP(B68,[1]characters!$A:$H,8,FALSE)</f>
        <v>blue</v>
      </c>
      <c r="L68" s="7" t="str">
        <f>VLOOKUP(B68,[1]characters!$A:$K,11,FALSE)</f>
        <v>attack</v>
      </c>
      <c r="M68" s="7" t="str">
        <f>VLOOKUP(B68,[1]characters!$A:$M,13,FALSE)</f>
        <v>animal</v>
      </c>
      <c r="N68" s="7" t="str">
        <f>VLOOKUP(B68,[1]characters!$A:$G,7,FALSE)</f>
        <v>不明</v>
      </c>
      <c r="O68" s="45">
        <f t="shared" si="10"/>
        <v>26208</v>
      </c>
      <c r="P68" s="46">
        <f t="shared" si="9"/>
        <v>1.1097560975609756E-2</v>
      </c>
      <c r="Q68" s="30">
        <v>1</v>
      </c>
      <c r="R68" s="30">
        <v>0</v>
      </c>
      <c r="S68" s="30">
        <v>0</v>
      </c>
      <c r="T68" s="30">
        <v>0</v>
      </c>
      <c r="U68" s="30">
        <v>0</v>
      </c>
      <c r="V68" s="30">
        <v>1</v>
      </c>
    </row>
    <row r="69" spans="1:22" ht="21" customHeight="1" x14ac:dyDescent="0.15">
      <c r="A69" s="2" t="str">
        <f ca="1">input_586100!A$2</f>
        <v>586100</v>
      </c>
      <c r="B69" s="1">
        <v>563</v>
      </c>
      <c r="C69" s="7" t="str">
        <f t="shared" si="7"/>
        <v>premium5R3less</v>
      </c>
      <c r="D69" s="7" t="str">
        <f t="shared" si="8"/>
        <v>premium</v>
      </c>
      <c r="E69" s="7" t="str">
        <f>IF(COUNTIF('R6追加前'!A:A,B69)=0,IF(OR(I69="PremiumSS",I69="PremiumSSw"),"R5only","R3less"),"")</f>
        <v>R3less</v>
      </c>
      <c r="F69" s="7" t="str">
        <f>IF(COUNTIF('R6開放'!A:A,B69)&gt;0,"R6release","")</f>
        <v/>
      </c>
      <c r="G69" s="7"/>
      <c r="H69" s="7" t="str">
        <f>VLOOKUP(B69,[1]characters!$A:$C,3,FALSE)</f>
        <v>電翔紫閃の雷刃 ハヤト</v>
      </c>
      <c r="I69" s="7" t="str">
        <f>VLOOKUP(B69,[1]characters!$A:$J,10,FALSE)</f>
        <v>PremiumW</v>
      </c>
      <c r="J69" s="7">
        <f>VLOOKUP(B69,[1]characters!$A:$I,9,FALSE)</f>
        <v>5</v>
      </c>
      <c r="K69" s="7" t="str">
        <f>VLOOKUP(B69,[1]characters!$A:$H,8,FALSE)</f>
        <v>yellow</v>
      </c>
      <c r="L69" s="7" t="str">
        <f>VLOOKUP(B69,[1]characters!$A:$K,11,FALSE)</f>
        <v>attack</v>
      </c>
      <c r="M69" s="7" t="str">
        <f>VLOOKUP(B69,[1]characters!$A:$M,13,FALSE)</f>
        <v>human</v>
      </c>
      <c r="N69" s="7" t="str">
        <f>VLOOKUP(B69,[1]characters!$A:$G,7,FALSE)</f>
        <v>男性</v>
      </c>
      <c r="O69" s="45">
        <f t="shared" si="10"/>
        <v>26208</v>
      </c>
      <c r="P69" s="46">
        <f t="shared" si="9"/>
        <v>1.1097560975609756E-2</v>
      </c>
      <c r="Q69" s="30">
        <v>1</v>
      </c>
      <c r="R69" s="30">
        <v>0</v>
      </c>
      <c r="S69" s="30">
        <v>0</v>
      </c>
      <c r="T69" s="30">
        <v>0</v>
      </c>
      <c r="U69" s="30">
        <v>0</v>
      </c>
      <c r="V69" s="30">
        <v>1</v>
      </c>
    </row>
    <row r="70" spans="1:22" ht="21" customHeight="1" x14ac:dyDescent="0.15">
      <c r="A70" s="2" t="str">
        <f ca="1">input_586100!A$2</f>
        <v>586100</v>
      </c>
      <c r="B70" s="1">
        <v>566</v>
      </c>
      <c r="C70" s="7" t="str">
        <f t="shared" si="7"/>
        <v>premium5R3less</v>
      </c>
      <c r="D70" s="7" t="str">
        <f t="shared" si="8"/>
        <v>premium</v>
      </c>
      <c r="E70" s="7" t="str">
        <f>IF(COUNTIF('R6追加前'!A:A,B70)=0,IF(OR(I70="PremiumSS",I70="PremiumSSw"),"R5only","R3less"),"")</f>
        <v>R3less</v>
      </c>
      <c r="F70" s="7" t="str">
        <f>IF(COUNTIF('R6開放'!A:A,B70)&gt;0,"R6release","")</f>
        <v/>
      </c>
      <c r="G70" s="7"/>
      <c r="H70" s="7" t="str">
        <f>VLOOKUP(B70,[1]characters!$A:$C,3,FALSE)</f>
        <v>遊歩遊泳プリンセス マーメイド</v>
      </c>
      <c r="I70" s="7" t="str">
        <f>VLOOKUP(B70,[1]characters!$A:$J,10,FALSE)</f>
        <v>PremiumW</v>
      </c>
      <c r="J70" s="7">
        <f>VLOOKUP(B70,[1]characters!$A:$I,9,FALSE)</f>
        <v>5</v>
      </c>
      <c r="K70" s="7" t="str">
        <f>VLOOKUP(B70,[1]characters!$A:$H,8,FALSE)</f>
        <v>blue</v>
      </c>
      <c r="L70" s="7" t="str">
        <f>VLOOKUP(B70,[1]characters!$A:$K,11,FALSE)</f>
        <v>hp</v>
      </c>
      <c r="M70" s="7" t="str">
        <f>VLOOKUP(B70,[1]characters!$A:$M,13,FALSE)</f>
        <v>human</v>
      </c>
      <c r="N70" s="7" t="str">
        <f>VLOOKUP(B70,[1]characters!$A:$G,7,FALSE)</f>
        <v>不明</v>
      </c>
      <c r="O70" s="45">
        <f t="shared" si="10"/>
        <v>26208</v>
      </c>
      <c r="P70" s="46">
        <f t="shared" si="9"/>
        <v>1.1097560975609756E-2</v>
      </c>
      <c r="Q70" s="30">
        <v>1</v>
      </c>
      <c r="R70" s="30">
        <v>0</v>
      </c>
      <c r="S70" s="30">
        <v>0</v>
      </c>
      <c r="T70" s="30">
        <v>0</v>
      </c>
      <c r="U70" s="30">
        <v>0</v>
      </c>
      <c r="V70" s="30">
        <v>1</v>
      </c>
    </row>
    <row r="71" spans="1:22" ht="21" customHeight="1" x14ac:dyDescent="0.15">
      <c r="A71" s="2" t="str">
        <f ca="1">input_586100!A$2</f>
        <v>586100</v>
      </c>
      <c r="B71" s="1">
        <v>567</v>
      </c>
      <c r="C71" s="7" t="str">
        <f t="shared" si="7"/>
        <v>premium5R3less</v>
      </c>
      <c r="D71" s="7" t="str">
        <f t="shared" si="8"/>
        <v>premium</v>
      </c>
      <c r="E71" s="7" t="str">
        <f>IF(COUNTIF('R6追加前'!A:A,B71)=0,IF(OR(I71="PremiumSS",I71="PremiumSSw"),"R5only","R3less"),"")</f>
        <v>R3less</v>
      </c>
      <c r="F71" s="7" t="str">
        <f>IF(COUNTIF('R6開放'!A:A,B71)&gt;0,"R6release","")</f>
        <v/>
      </c>
      <c r="G71" s="7"/>
      <c r="H71" s="7" t="str">
        <f>VLOOKUP(B71,[1]characters!$A:$C,3,FALSE)</f>
        <v>紅揚の祭狐宴舞 タマモ</v>
      </c>
      <c r="I71" s="7" t="str">
        <f>VLOOKUP(B71,[1]characters!$A:$J,10,FALSE)</f>
        <v>PremiumW</v>
      </c>
      <c r="J71" s="7">
        <f>VLOOKUP(B71,[1]characters!$A:$I,9,FALSE)</f>
        <v>5</v>
      </c>
      <c r="K71" s="7" t="str">
        <f>VLOOKUP(B71,[1]characters!$A:$H,8,FALSE)</f>
        <v>yellow</v>
      </c>
      <c r="L71" s="7" t="str">
        <f>VLOOKUP(B71,[1]characters!$A:$K,11,FALSE)</f>
        <v>balance</v>
      </c>
      <c r="M71" s="7" t="str">
        <f>VLOOKUP(B71,[1]characters!$A:$M,13,FALSE)</f>
        <v>animal</v>
      </c>
      <c r="N71" s="7" t="str">
        <f>VLOOKUP(B71,[1]characters!$A:$G,7,FALSE)</f>
        <v>不明</v>
      </c>
      <c r="O71" s="45">
        <f t="shared" si="10"/>
        <v>26208</v>
      </c>
      <c r="P71" s="46">
        <f t="shared" si="9"/>
        <v>1.1097560975609756E-2</v>
      </c>
      <c r="Q71" s="30">
        <v>1</v>
      </c>
      <c r="R71" s="30">
        <v>0</v>
      </c>
      <c r="S71" s="30">
        <v>0</v>
      </c>
      <c r="T71" s="30">
        <v>0</v>
      </c>
      <c r="U71" s="30">
        <v>0</v>
      </c>
      <c r="V71" s="30">
        <v>1</v>
      </c>
    </row>
    <row r="72" spans="1:22" ht="21" customHeight="1" x14ac:dyDescent="0.15">
      <c r="A72" s="2" t="str">
        <f ca="1">input_586100!A$2</f>
        <v>586100</v>
      </c>
      <c r="B72" s="1">
        <v>587</v>
      </c>
      <c r="C72" s="7" t="str">
        <f t="shared" si="7"/>
        <v>PremiumSS5</v>
      </c>
      <c r="D72" s="7" t="str">
        <f t="shared" si="8"/>
        <v>PremiumSS</v>
      </c>
      <c r="E72" s="7" t="str">
        <f>IF(COUNTIF('R6追加前'!A:A,B72)=0,IF(OR(I72="PremiumSS",I72="PremiumSSw"),"R5only","R3less"),"")</f>
        <v/>
      </c>
      <c r="F72" s="7" t="str">
        <f>IF(COUNTIF('R6開放'!A:A,B72)&gt;0,"R6release","")</f>
        <v/>
      </c>
      <c r="G72" s="7"/>
      <c r="H72" s="7" t="str">
        <f>VLOOKUP(B72,[1]characters!$A:$C,3,FALSE)</f>
        <v>原初の煉鋼巨刃 ユミル</v>
      </c>
      <c r="I72" s="7" t="str">
        <f>VLOOKUP(B72,[1]characters!$A:$J,10,FALSE)</f>
        <v>PremiumSS</v>
      </c>
      <c r="J72" s="7">
        <f>VLOOKUP(B72,[1]characters!$A:$I,9,FALSE)</f>
        <v>5</v>
      </c>
      <c r="K72" s="7" t="str">
        <f>VLOOKUP(B72,[1]characters!$A:$H,8,FALSE)</f>
        <v>red</v>
      </c>
      <c r="L72" s="7" t="str">
        <f>VLOOKUP(B72,[1]characters!$A:$K,11,FALSE)</f>
        <v>hp</v>
      </c>
      <c r="M72" s="7" t="str">
        <f>VLOOKUP(B72,[1]characters!$A:$M,13,FALSE)</f>
        <v>machine</v>
      </c>
      <c r="N72" s="7" t="str">
        <f>VLOOKUP(B72,[1]characters!$A:$G,7,FALSE)</f>
        <v>不明</v>
      </c>
      <c r="O72" s="45">
        <f>VLOOKUP(D72,$W$2:$Y$4,3,FALSE)</f>
        <v>2460</v>
      </c>
      <c r="P72" s="46">
        <f t="shared" si="9"/>
        <v>1.0416666666666667E-3</v>
      </c>
      <c r="Q72" s="30">
        <v>1</v>
      </c>
      <c r="R72" s="30">
        <v>0</v>
      </c>
      <c r="S72" s="30">
        <v>0</v>
      </c>
      <c r="T72" s="30">
        <v>0</v>
      </c>
      <c r="U72" s="30">
        <v>0</v>
      </c>
      <c r="V72" s="30">
        <v>1</v>
      </c>
    </row>
    <row r="73" spans="1:22" ht="21" customHeight="1" x14ac:dyDescent="0.15">
      <c r="A73" s="2" t="str">
        <f ca="1">input_586100!A$2</f>
        <v>586100</v>
      </c>
      <c r="B73" s="1">
        <v>590</v>
      </c>
      <c r="C73" s="7" t="str">
        <f t="shared" si="7"/>
        <v>Premium5</v>
      </c>
      <c r="D73" s="7" t="str">
        <f t="shared" si="8"/>
        <v>Premium</v>
      </c>
      <c r="E73" s="7" t="str">
        <f>IF(COUNTIF('R6追加前'!A:A,B73)=0,IF(OR(I73="PremiumSS",I73="PremiumSSw"),"R5only","R3less"),"")</f>
        <v/>
      </c>
      <c r="F73" s="7" t="str">
        <f>IF(COUNTIF('R6開放'!A:A,B73)&gt;0,"R6release","")</f>
        <v/>
      </c>
      <c r="G73" s="7"/>
      <c r="H73" s="7" t="str">
        <f>VLOOKUP(B73,[1]characters!$A:$C,3,FALSE)</f>
        <v>永遠を廻る呪い ニーベルゲン</v>
      </c>
      <c r="I73" s="7" t="str">
        <f>VLOOKUP(B73,[1]characters!$A:$J,10,FALSE)</f>
        <v>PremiumS</v>
      </c>
      <c r="J73" s="7">
        <f>VLOOKUP(B73,[1]characters!$A:$I,9,FALSE)</f>
        <v>5</v>
      </c>
      <c r="K73" s="7" t="str">
        <f>VLOOKUP(B73,[1]characters!$A:$H,8,FALSE)</f>
        <v>green</v>
      </c>
      <c r="L73" s="7" t="str">
        <f>VLOOKUP(B73,[1]characters!$A:$K,11,FALSE)</f>
        <v>balance</v>
      </c>
      <c r="M73" s="7" t="str">
        <f>VLOOKUP(B73,[1]characters!$A:$M,13,FALSE)</f>
        <v>unknown</v>
      </c>
      <c r="N73" s="7" t="str">
        <f>VLOOKUP(B73,[1]characters!$A:$G,7,FALSE)</f>
        <v>女性</v>
      </c>
      <c r="O73" s="45">
        <f t="shared" ref="O73:O99" si="11">VLOOKUP(D73,$W$2:$Y$4,3,FALSE)</f>
        <v>26208</v>
      </c>
      <c r="P73" s="46">
        <f t="shared" si="9"/>
        <v>1.1097560975609756E-2</v>
      </c>
      <c r="Q73" s="30">
        <v>1</v>
      </c>
      <c r="R73" s="30">
        <v>0</v>
      </c>
      <c r="S73" s="30">
        <v>0</v>
      </c>
      <c r="T73" s="30">
        <v>0</v>
      </c>
      <c r="U73" s="30">
        <v>0</v>
      </c>
      <c r="V73" s="30">
        <v>1</v>
      </c>
    </row>
    <row r="74" spans="1:22" ht="21" customHeight="1" x14ac:dyDescent="0.15">
      <c r="A74" s="2" t="str">
        <f ca="1">input_586100!A$2</f>
        <v>586100</v>
      </c>
      <c r="B74" s="1">
        <v>593</v>
      </c>
      <c r="C74" s="7" t="str">
        <f t="shared" si="7"/>
        <v>Premium5</v>
      </c>
      <c r="D74" s="7" t="str">
        <f t="shared" si="8"/>
        <v>Premium</v>
      </c>
      <c r="E74" s="7" t="str">
        <f>IF(COUNTIF('R6追加前'!A:A,B74)=0,IF(OR(I74="PremiumSS",I74="PremiumSSw"),"R5only","R3less"),"")</f>
        <v/>
      </c>
      <c r="F74" s="7" t="str">
        <f>IF(COUNTIF('R6開放'!A:A,B74)&gt;0,"R6release","")</f>
        <v/>
      </c>
      <c r="G74" s="7"/>
      <c r="H74" s="7" t="str">
        <f>VLOOKUP(B74,[1]characters!$A:$C,3,FALSE)</f>
        <v>妄執する邪毒龍 ファフニール</v>
      </c>
      <c r="I74" s="7" t="str">
        <f>VLOOKUP(B74,[1]characters!$A:$J,10,FALSE)</f>
        <v>PremiumS</v>
      </c>
      <c r="J74" s="7">
        <f>VLOOKUP(B74,[1]characters!$A:$I,9,FALSE)</f>
        <v>5</v>
      </c>
      <c r="K74" s="7" t="str">
        <f>VLOOKUP(B74,[1]characters!$A:$H,8,FALSE)</f>
        <v>blue</v>
      </c>
      <c r="L74" s="7" t="str">
        <f>VLOOKUP(B74,[1]characters!$A:$K,11,FALSE)</f>
        <v>technical</v>
      </c>
      <c r="M74" s="7" t="str">
        <f>VLOOKUP(B74,[1]characters!$A:$M,13,FALSE)</f>
        <v>dragon</v>
      </c>
      <c r="N74" s="7" t="str">
        <f>VLOOKUP(B74,[1]characters!$A:$G,7,FALSE)</f>
        <v>不明</v>
      </c>
      <c r="O74" s="45">
        <f t="shared" si="11"/>
        <v>26208</v>
      </c>
      <c r="P74" s="46">
        <f t="shared" si="9"/>
        <v>1.1097560975609756E-2</v>
      </c>
      <c r="Q74" s="30">
        <v>1</v>
      </c>
      <c r="R74" s="30">
        <v>0</v>
      </c>
      <c r="S74" s="30">
        <v>0</v>
      </c>
      <c r="T74" s="30">
        <v>0</v>
      </c>
      <c r="U74" s="30">
        <v>0</v>
      </c>
      <c r="V74" s="30">
        <v>1</v>
      </c>
    </row>
    <row r="75" spans="1:22" ht="21" customHeight="1" x14ac:dyDescent="0.15">
      <c r="A75" s="2" t="str">
        <f ca="1">input_586100!A$2</f>
        <v>586100</v>
      </c>
      <c r="B75" s="1">
        <v>595</v>
      </c>
      <c r="C75" s="7" t="str">
        <f t="shared" si="7"/>
        <v>PremiumSS5</v>
      </c>
      <c r="D75" s="7" t="str">
        <f t="shared" si="8"/>
        <v>PremiumSS</v>
      </c>
      <c r="E75" s="7" t="str">
        <f>IF(COUNTIF('R6追加前'!A:A,B75)=0,IF(OR(I75="PremiumSS",I75="PremiumSSw"),"R5only","R3less"),"")</f>
        <v/>
      </c>
      <c r="F75" s="7" t="str">
        <f>IF(COUNTIF('R6開放'!A:A,B75)&gt;0,"R6release","")</f>
        <v/>
      </c>
      <c r="G75" s="7"/>
      <c r="H75" s="7" t="str">
        <f>VLOOKUP(B75,[1]characters!$A:$C,3,FALSE)</f>
        <v>光華なる神域 アルフヘイム</v>
      </c>
      <c r="I75" s="7" t="str">
        <f>VLOOKUP(B75,[1]characters!$A:$J,10,FALSE)</f>
        <v>PremiumSS</v>
      </c>
      <c r="J75" s="7">
        <f>VLOOKUP(B75,[1]characters!$A:$I,9,FALSE)</f>
        <v>5</v>
      </c>
      <c r="K75" s="7" t="str">
        <f>VLOOKUP(B75,[1]characters!$A:$H,8,FALSE)</f>
        <v>yellow</v>
      </c>
      <c r="L75" s="7" t="str">
        <f>VLOOKUP(B75,[1]characters!$A:$K,11,FALSE)</f>
        <v>attack</v>
      </c>
      <c r="M75" s="7" t="str">
        <f>VLOOKUP(B75,[1]characters!$A:$M,13,FALSE)</f>
        <v>dragon</v>
      </c>
      <c r="N75" s="7" t="str">
        <f>VLOOKUP(B75,[1]characters!$A:$G,7,FALSE)</f>
        <v>不明</v>
      </c>
      <c r="O75" s="45">
        <f t="shared" si="11"/>
        <v>2460</v>
      </c>
      <c r="P75" s="46">
        <f t="shared" si="9"/>
        <v>1.0416666666666667E-3</v>
      </c>
      <c r="Q75" s="30">
        <v>1</v>
      </c>
      <c r="R75" s="30">
        <v>0</v>
      </c>
      <c r="S75" s="30">
        <v>0</v>
      </c>
      <c r="T75" s="30">
        <v>0</v>
      </c>
      <c r="U75" s="30">
        <v>0</v>
      </c>
      <c r="V75" s="30">
        <v>1</v>
      </c>
    </row>
    <row r="76" spans="1:22" ht="21" customHeight="1" x14ac:dyDescent="0.15">
      <c r="A76" s="2" t="str">
        <f ca="1">input_586100!A$2</f>
        <v>586100</v>
      </c>
      <c r="B76" s="1">
        <v>598</v>
      </c>
      <c r="C76" s="7" t="str">
        <f t="shared" si="7"/>
        <v>Premium5</v>
      </c>
      <c r="D76" s="7" t="str">
        <f t="shared" si="8"/>
        <v>Premium</v>
      </c>
      <c r="E76" s="7" t="str">
        <f>IF(COUNTIF('R6追加前'!A:A,B76)=0,IF(OR(I76="PremiumSS",I76="PremiumSSw"),"R5only","R3less"),"")</f>
        <v/>
      </c>
      <c r="F76" s="7" t="str">
        <f>IF(COUNTIF('R6開放'!A:A,B76)&gt;0,"R6release","")</f>
        <v/>
      </c>
      <c r="G76" s="7"/>
      <c r="H76" s="7" t="str">
        <f>VLOOKUP(B76,[1]characters!$A:$C,3,FALSE)</f>
        <v>焼燃の情熱 ムスペルヘイム</v>
      </c>
      <c r="I76" s="7" t="str">
        <f>VLOOKUP(B76,[1]characters!$A:$J,10,FALSE)</f>
        <v>PremiumS</v>
      </c>
      <c r="J76" s="7">
        <f>VLOOKUP(B76,[1]characters!$A:$I,9,FALSE)</f>
        <v>5</v>
      </c>
      <c r="K76" s="7" t="str">
        <f>VLOOKUP(B76,[1]characters!$A:$H,8,FALSE)</f>
        <v>red</v>
      </c>
      <c r="L76" s="7" t="str">
        <f>VLOOKUP(B76,[1]characters!$A:$K,11,FALSE)</f>
        <v>balance</v>
      </c>
      <c r="M76" s="7" t="str">
        <f>VLOOKUP(B76,[1]characters!$A:$M,13,FALSE)</f>
        <v>human</v>
      </c>
      <c r="N76" s="7" t="str">
        <f>VLOOKUP(B76,[1]characters!$A:$G,7,FALSE)</f>
        <v>男性</v>
      </c>
      <c r="O76" s="45">
        <f t="shared" si="11"/>
        <v>26208</v>
      </c>
      <c r="P76" s="46">
        <f t="shared" si="9"/>
        <v>1.1097560975609756E-2</v>
      </c>
      <c r="Q76" s="30">
        <v>1</v>
      </c>
      <c r="R76" s="30">
        <v>0</v>
      </c>
      <c r="S76" s="30">
        <v>0</v>
      </c>
      <c r="T76" s="30">
        <v>0</v>
      </c>
      <c r="U76" s="30">
        <v>0</v>
      </c>
      <c r="V76" s="30">
        <v>1</v>
      </c>
    </row>
    <row r="77" spans="1:22" ht="21" customHeight="1" x14ac:dyDescent="0.15">
      <c r="A77" s="2" t="str">
        <f ca="1">input_586100!A$2</f>
        <v>586100</v>
      </c>
      <c r="B77" s="1">
        <v>601</v>
      </c>
      <c r="C77" s="7" t="str">
        <f t="shared" si="7"/>
        <v>Premium5</v>
      </c>
      <c r="D77" s="7" t="str">
        <f t="shared" si="8"/>
        <v>Premium</v>
      </c>
      <c r="E77" s="7" t="str">
        <f>IF(COUNTIF('R6追加前'!A:A,B77)=0,IF(OR(I77="PremiumSS",I77="PremiumSSw"),"R5only","R3less"),"")</f>
        <v/>
      </c>
      <c r="F77" s="7" t="str">
        <f>IF(COUNTIF('R6開放'!A:A,B77)&gt;0,"R6release","")</f>
        <v/>
      </c>
      <c r="G77" s="7"/>
      <c r="H77" s="7" t="str">
        <f>VLOOKUP(B77,[1]characters!$A:$C,3,FALSE)</f>
        <v>界根蝕む悪食 ニーズヘッグ</v>
      </c>
      <c r="I77" s="7" t="str">
        <f>VLOOKUP(B77,[1]characters!$A:$J,10,FALSE)</f>
        <v>PremiumS</v>
      </c>
      <c r="J77" s="7">
        <f>VLOOKUP(B77,[1]characters!$A:$I,9,FALSE)</f>
        <v>5</v>
      </c>
      <c r="K77" s="7" t="str">
        <f>VLOOKUP(B77,[1]characters!$A:$H,8,FALSE)</f>
        <v>green</v>
      </c>
      <c r="L77" s="7" t="str">
        <f>VLOOKUP(B77,[1]characters!$A:$K,11,FALSE)</f>
        <v>attack</v>
      </c>
      <c r="M77" s="7" t="str">
        <f>VLOOKUP(B77,[1]characters!$A:$M,13,FALSE)</f>
        <v>dragon</v>
      </c>
      <c r="N77" s="7" t="str">
        <f>VLOOKUP(B77,[1]characters!$A:$G,7,FALSE)</f>
        <v>不明</v>
      </c>
      <c r="O77" s="45">
        <f t="shared" si="11"/>
        <v>26208</v>
      </c>
      <c r="P77" s="46">
        <f t="shared" si="9"/>
        <v>1.1097560975609756E-2</v>
      </c>
      <c r="Q77" s="30">
        <v>1</v>
      </c>
      <c r="R77" s="30">
        <v>0</v>
      </c>
      <c r="S77" s="30">
        <v>0</v>
      </c>
      <c r="T77" s="30">
        <v>0</v>
      </c>
      <c r="U77" s="30">
        <v>0</v>
      </c>
      <c r="V77" s="30">
        <v>1</v>
      </c>
    </row>
    <row r="78" spans="1:22" ht="21" customHeight="1" x14ac:dyDescent="0.15">
      <c r="A78" s="2" t="str">
        <f ca="1">input_586100!A$2</f>
        <v>586100</v>
      </c>
      <c r="B78" s="1">
        <v>603</v>
      </c>
      <c r="C78" s="7" t="str">
        <f t="shared" si="7"/>
        <v>PremiumSS5</v>
      </c>
      <c r="D78" s="7" t="str">
        <f t="shared" si="8"/>
        <v>PremiumSS</v>
      </c>
      <c r="E78" s="7" t="str">
        <f>IF(COUNTIF('R6追加前'!A:A,B78)=0,IF(OR(I78="PremiumSS",I78="PremiumSSw"),"R5only","R3less"),"")</f>
        <v/>
      </c>
      <c r="F78" s="7" t="str">
        <f>IF(COUNTIF('R6開放'!A:A,B78)&gt;0,"R6release","")</f>
        <v/>
      </c>
      <c r="G78" s="7"/>
      <c r="H78" s="7" t="str">
        <f>VLOOKUP(B78,[1]characters!$A:$C,3,FALSE)</f>
        <v>掌愛の豊穣女神 フレイヤ</v>
      </c>
      <c r="I78" s="7" t="str">
        <f>VLOOKUP(B78,[1]characters!$A:$J,10,FALSE)</f>
        <v>PremiumSS</v>
      </c>
      <c r="J78" s="7">
        <f>VLOOKUP(B78,[1]characters!$A:$I,9,FALSE)</f>
        <v>5</v>
      </c>
      <c r="K78" s="7" t="str">
        <f>VLOOKUP(B78,[1]characters!$A:$H,8,FALSE)</f>
        <v>blue</v>
      </c>
      <c r="L78" s="7" t="str">
        <f>VLOOKUP(B78,[1]characters!$A:$K,11,FALSE)</f>
        <v>heal</v>
      </c>
      <c r="M78" s="7" t="str">
        <f>VLOOKUP(B78,[1]characters!$A:$M,13,FALSE)</f>
        <v>animal</v>
      </c>
      <c r="N78" s="7" t="str">
        <f>VLOOKUP(B78,[1]characters!$A:$G,7,FALSE)</f>
        <v>女性</v>
      </c>
      <c r="O78" s="45">
        <f t="shared" si="11"/>
        <v>2460</v>
      </c>
      <c r="P78" s="46">
        <f t="shared" si="9"/>
        <v>1.0416666666666667E-3</v>
      </c>
      <c r="Q78" s="30">
        <v>1</v>
      </c>
      <c r="R78" s="30">
        <v>0</v>
      </c>
      <c r="S78" s="30">
        <v>0</v>
      </c>
      <c r="T78" s="30">
        <v>0</v>
      </c>
      <c r="U78" s="30">
        <v>0</v>
      </c>
      <c r="V78" s="30">
        <v>1</v>
      </c>
    </row>
    <row r="79" spans="1:22" ht="21" customHeight="1" x14ac:dyDescent="0.15">
      <c r="A79" s="2" t="str">
        <f ca="1">input_586100!A$2</f>
        <v>586100</v>
      </c>
      <c r="B79" s="1">
        <v>606</v>
      </c>
      <c r="C79" s="7" t="str">
        <f t="shared" si="7"/>
        <v>Premium5</v>
      </c>
      <c r="D79" s="7" t="str">
        <f t="shared" si="8"/>
        <v>Premium</v>
      </c>
      <c r="E79" s="7" t="str">
        <f>IF(COUNTIF('R6追加前'!A:A,B79)=0,IF(OR(I79="PremiumSS",I79="PremiumSSw"),"R5only","R3less"),"")</f>
        <v/>
      </c>
      <c r="F79" s="7" t="str">
        <f>IF(COUNTIF('R6開放'!A:A,B79)&gt;0,"R6release","")</f>
        <v/>
      </c>
      <c r="G79" s="7"/>
      <c r="H79" s="7" t="str">
        <f>VLOOKUP(B79,[1]characters!$A:$C,3,FALSE)</f>
        <v>冀望の光芒 バルドル</v>
      </c>
      <c r="I79" s="7" t="str">
        <f>VLOOKUP(B79,[1]characters!$A:$J,10,FALSE)</f>
        <v>PremiumS</v>
      </c>
      <c r="J79" s="7">
        <f>VLOOKUP(B79,[1]characters!$A:$I,9,FALSE)</f>
        <v>5</v>
      </c>
      <c r="K79" s="7" t="str">
        <f>VLOOKUP(B79,[1]characters!$A:$H,8,FALSE)</f>
        <v>yellow</v>
      </c>
      <c r="L79" s="7" t="str">
        <f>VLOOKUP(B79,[1]characters!$A:$K,11,FALSE)</f>
        <v>heal</v>
      </c>
      <c r="M79" s="7" t="str">
        <f>VLOOKUP(B79,[1]characters!$A:$M,13,FALSE)</f>
        <v>god</v>
      </c>
      <c r="N79" s="7" t="str">
        <f>VLOOKUP(B79,[1]characters!$A:$G,7,FALSE)</f>
        <v>男性</v>
      </c>
      <c r="O79" s="45">
        <f t="shared" si="11"/>
        <v>26208</v>
      </c>
      <c r="P79" s="46">
        <f t="shared" si="9"/>
        <v>1.1097560975609756E-2</v>
      </c>
      <c r="Q79" s="30">
        <v>1</v>
      </c>
      <c r="R79" s="30">
        <v>0</v>
      </c>
      <c r="S79" s="30">
        <v>0</v>
      </c>
      <c r="T79" s="30">
        <v>0</v>
      </c>
      <c r="U79" s="30">
        <v>0</v>
      </c>
      <c r="V79" s="30">
        <v>1</v>
      </c>
    </row>
    <row r="80" spans="1:22" ht="21" customHeight="1" x14ac:dyDescent="0.15">
      <c r="A80" s="2" t="str">
        <f ca="1">input_586100!A$2</f>
        <v>586100</v>
      </c>
      <c r="B80" s="1">
        <v>659</v>
      </c>
      <c r="C80" s="7" t="str">
        <f t="shared" si="7"/>
        <v>PremiumSS5</v>
      </c>
      <c r="D80" s="7" t="str">
        <f t="shared" si="8"/>
        <v>PremiumSS</v>
      </c>
      <c r="E80" s="7" t="str">
        <f>IF(COUNTIF('R6追加前'!A:A,B80)=0,IF(OR(I80="PremiumSS",I80="PremiumSSw"),"R5only","R3less"),"")</f>
        <v/>
      </c>
      <c r="F80" s="7" t="str">
        <f>IF(COUNTIF('R6開放'!A:A,B80)&gt;0,"R6release","")</f>
        <v/>
      </c>
      <c r="G80" s="7"/>
      <c r="H80" s="7" t="str">
        <f>VLOOKUP(B80,[1]characters!$A:$C,3,FALSE)</f>
        <v>跳梁する化猫 クルミ</v>
      </c>
      <c r="I80" s="7" t="str">
        <f>VLOOKUP(B80,[1]characters!$A:$J,10,FALSE)</f>
        <v>PremiumSS</v>
      </c>
      <c r="J80" s="7">
        <f>VLOOKUP(B80,[1]characters!$A:$I,9,FALSE)</f>
        <v>5</v>
      </c>
      <c r="K80" s="7" t="str">
        <f>VLOOKUP(B80,[1]characters!$A:$H,8,FALSE)</f>
        <v>red</v>
      </c>
      <c r="L80" s="7" t="str">
        <f>VLOOKUP(B80,[1]characters!$A:$K,11,FALSE)</f>
        <v>attack</v>
      </c>
      <c r="M80" s="7" t="str">
        <f>VLOOKUP(B80,[1]characters!$A:$M,13,FALSE)</f>
        <v>animal</v>
      </c>
      <c r="N80" s="7" t="str">
        <f>VLOOKUP(B80,[1]characters!$A:$G,7,FALSE)</f>
        <v>女性</v>
      </c>
      <c r="O80" s="45">
        <f t="shared" si="11"/>
        <v>2460</v>
      </c>
      <c r="P80" s="46">
        <f t="shared" si="9"/>
        <v>1.0416666666666667E-3</v>
      </c>
      <c r="Q80" s="30">
        <v>1</v>
      </c>
      <c r="R80" s="30">
        <v>0</v>
      </c>
      <c r="S80" s="30">
        <v>0</v>
      </c>
      <c r="T80" s="30">
        <v>0</v>
      </c>
      <c r="U80" s="30">
        <v>0</v>
      </c>
      <c r="V80" s="30">
        <v>1</v>
      </c>
    </row>
    <row r="81" spans="1:22" ht="21" customHeight="1" x14ac:dyDescent="0.15">
      <c r="A81" s="2" t="str">
        <f ca="1">input_586100!A$2</f>
        <v>586100</v>
      </c>
      <c r="B81" s="1">
        <v>661</v>
      </c>
      <c r="C81" s="7" t="str">
        <f t="shared" si="7"/>
        <v>PremiumSS5</v>
      </c>
      <c r="D81" s="7" t="str">
        <f t="shared" si="8"/>
        <v>PremiumSS</v>
      </c>
      <c r="E81" s="7" t="str">
        <f>IF(COUNTIF('R6追加前'!A:A,B81)=0,IF(OR(I81="PremiumSS",I81="PremiumSSw"),"R5only","R3less"),"")</f>
        <v/>
      </c>
      <c r="F81" s="7" t="str">
        <f>IF(COUNTIF('R6開放'!A:A,B81)&gt;0,"R6release","")</f>
        <v/>
      </c>
      <c r="G81" s="7"/>
      <c r="H81" s="7" t="str">
        <f>VLOOKUP(B81,[1]characters!$A:$C,3,FALSE)</f>
        <v>疾風の天狗礫 フウガ</v>
      </c>
      <c r="I81" s="7" t="str">
        <f>VLOOKUP(B81,[1]characters!$A:$J,10,FALSE)</f>
        <v>PremiumSS</v>
      </c>
      <c r="J81" s="7">
        <f>VLOOKUP(B81,[1]characters!$A:$I,9,FALSE)</f>
        <v>5</v>
      </c>
      <c r="K81" s="7" t="str">
        <f>VLOOKUP(B81,[1]characters!$A:$H,8,FALSE)</f>
        <v>green</v>
      </c>
      <c r="L81" s="7" t="str">
        <f>VLOOKUP(B81,[1]characters!$A:$K,11,FALSE)</f>
        <v>balance</v>
      </c>
      <c r="M81" s="7" t="str">
        <f>VLOOKUP(B81,[1]characters!$A:$M,13,FALSE)</f>
        <v>animal</v>
      </c>
      <c r="N81" s="7" t="str">
        <f>VLOOKUP(B81,[1]characters!$A:$G,7,FALSE)</f>
        <v>男性</v>
      </c>
      <c r="O81" s="45">
        <f t="shared" si="11"/>
        <v>2460</v>
      </c>
      <c r="P81" s="46">
        <f t="shared" si="9"/>
        <v>1.0416666666666667E-3</v>
      </c>
      <c r="Q81" s="30">
        <v>1</v>
      </c>
      <c r="R81" s="30">
        <v>0</v>
      </c>
      <c r="S81" s="30">
        <v>0</v>
      </c>
      <c r="T81" s="30">
        <v>0</v>
      </c>
      <c r="U81" s="30">
        <v>0</v>
      </c>
      <c r="V81" s="30">
        <v>1</v>
      </c>
    </row>
    <row r="82" spans="1:22" ht="21" customHeight="1" x14ac:dyDescent="0.15">
      <c r="A82" s="2" t="str">
        <f ca="1">input_586100!A$2</f>
        <v>586100</v>
      </c>
      <c r="B82" s="1">
        <v>664</v>
      </c>
      <c r="C82" s="7" t="str">
        <f t="shared" si="7"/>
        <v>Premium5</v>
      </c>
      <c r="D82" s="7" t="str">
        <f t="shared" si="8"/>
        <v>Premium</v>
      </c>
      <c r="E82" s="7" t="str">
        <f>IF(COUNTIF('R6追加前'!A:A,B82)=0,IF(OR(I82="PremiumSS",I82="PremiumSSw"),"R5only","R3less"),"")</f>
        <v/>
      </c>
      <c r="F82" s="7" t="str">
        <f>IF(COUNTIF('R6開放'!A:A,B82)&gt;0,"R6release","")</f>
        <v/>
      </c>
      <c r="G82" s="7"/>
      <c r="H82" s="7" t="str">
        <f>VLOOKUP(B82,[1]characters!$A:$C,3,FALSE)</f>
        <v>山掴み国造り ダイダラ</v>
      </c>
      <c r="I82" s="7" t="str">
        <f>VLOOKUP(B82,[1]characters!$A:$J,10,FALSE)</f>
        <v>PremiumS</v>
      </c>
      <c r="J82" s="7">
        <f>VLOOKUP(B82,[1]characters!$A:$I,9,FALSE)</f>
        <v>5</v>
      </c>
      <c r="K82" s="7" t="str">
        <f>VLOOKUP(B82,[1]characters!$A:$H,8,FALSE)</f>
        <v>blue</v>
      </c>
      <c r="L82" s="7" t="str">
        <f>VLOOKUP(B82,[1]characters!$A:$K,11,FALSE)</f>
        <v>hp</v>
      </c>
      <c r="M82" s="7" t="str">
        <f>VLOOKUP(B82,[1]characters!$A:$M,13,FALSE)</f>
        <v>unknown</v>
      </c>
      <c r="N82" s="7" t="str">
        <f>VLOOKUP(B82,[1]characters!$A:$G,7,FALSE)</f>
        <v>不明</v>
      </c>
      <c r="O82" s="45">
        <f t="shared" si="11"/>
        <v>26208</v>
      </c>
      <c r="P82" s="46">
        <f t="shared" si="9"/>
        <v>1.1097560975609756E-2</v>
      </c>
      <c r="Q82" s="30">
        <v>1</v>
      </c>
      <c r="R82" s="30">
        <v>0</v>
      </c>
      <c r="S82" s="30">
        <v>0</v>
      </c>
      <c r="T82" s="30">
        <v>0</v>
      </c>
      <c r="U82" s="30">
        <v>0</v>
      </c>
      <c r="V82" s="30">
        <v>1</v>
      </c>
    </row>
    <row r="83" spans="1:22" ht="21" customHeight="1" x14ac:dyDescent="0.15">
      <c r="A83" s="2" t="str">
        <f ca="1">input_586100!A$2</f>
        <v>586100</v>
      </c>
      <c r="B83" s="1">
        <v>667</v>
      </c>
      <c r="C83" s="7" t="str">
        <f t="shared" si="7"/>
        <v>Premium5</v>
      </c>
      <c r="D83" s="7" t="str">
        <f t="shared" si="8"/>
        <v>Premium</v>
      </c>
      <c r="E83" s="7" t="str">
        <f>IF(COUNTIF('R6追加前'!A:A,B83)=0,IF(OR(I83="PremiumSS",I83="PremiumSSw"),"R5only","R3less"),"")</f>
        <v/>
      </c>
      <c r="F83" s="7" t="str">
        <f>IF(COUNTIF('R6開放'!A:A,B83)&gt;0,"R6release","")</f>
        <v/>
      </c>
      <c r="G83" s="7"/>
      <c r="H83" s="7" t="str">
        <f>VLOOKUP(B83,[1]characters!$A:$C,3,FALSE)</f>
        <v>最幸運の妖童 テマリ</v>
      </c>
      <c r="I83" s="7" t="str">
        <f>VLOOKUP(B83,[1]characters!$A:$J,10,FALSE)</f>
        <v>PremiumS</v>
      </c>
      <c r="J83" s="7">
        <f>VLOOKUP(B83,[1]characters!$A:$I,9,FALSE)</f>
        <v>5</v>
      </c>
      <c r="K83" s="7" t="str">
        <f>VLOOKUP(B83,[1]characters!$A:$H,8,FALSE)</f>
        <v>yellow</v>
      </c>
      <c r="L83" s="7" t="str">
        <f>VLOOKUP(B83,[1]characters!$A:$K,11,FALSE)</f>
        <v>balance</v>
      </c>
      <c r="M83" s="7" t="str">
        <f>VLOOKUP(B83,[1]characters!$A:$M,13,FALSE)</f>
        <v>unknown</v>
      </c>
      <c r="N83" s="7" t="str">
        <f>VLOOKUP(B83,[1]characters!$A:$G,7,FALSE)</f>
        <v>女性</v>
      </c>
      <c r="O83" s="45">
        <f t="shared" si="11"/>
        <v>26208</v>
      </c>
      <c r="P83" s="46">
        <f t="shared" si="9"/>
        <v>1.1097560975609756E-2</v>
      </c>
      <c r="Q83" s="30">
        <v>1</v>
      </c>
      <c r="R83" s="30">
        <v>0</v>
      </c>
      <c r="S83" s="30">
        <v>0</v>
      </c>
      <c r="T83" s="30">
        <v>0</v>
      </c>
      <c r="U83" s="30">
        <v>0</v>
      </c>
      <c r="V83" s="30">
        <v>1</v>
      </c>
    </row>
    <row r="84" spans="1:22" ht="21" customHeight="1" x14ac:dyDescent="0.15">
      <c r="A84" s="2" t="str">
        <f ca="1">input_586100!A$2</f>
        <v>586100</v>
      </c>
      <c r="B84" s="1">
        <v>670</v>
      </c>
      <c r="C84" s="7" t="str">
        <f t="shared" si="7"/>
        <v>Premium5</v>
      </c>
      <c r="D84" s="7" t="str">
        <f t="shared" si="8"/>
        <v>Premium</v>
      </c>
      <c r="E84" s="7" t="str">
        <f>IF(COUNTIF('R6追加前'!A:A,B84)=0,IF(OR(I84="PremiumSS",I84="PremiumSSw"),"R5only","R3less"),"")</f>
        <v/>
      </c>
      <c r="F84" s="7" t="str">
        <f>IF(COUNTIF('R6開放'!A:A,B84)&gt;0,"R6release","")</f>
        <v/>
      </c>
      <c r="G84" s="7"/>
      <c r="H84" s="7" t="str">
        <f>VLOOKUP(B84,[1]characters!$A:$C,3,FALSE)</f>
        <v>陽天の噴煙 アグニ</v>
      </c>
      <c r="I84" s="7" t="str">
        <f>VLOOKUP(B84,[1]characters!$A:$J,10,FALSE)</f>
        <v>PremiumS</v>
      </c>
      <c r="J84" s="7">
        <f>VLOOKUP(B84,[1]characters!$A:$I,9,FALSE)</f>
        <v>5</v>
      </c>
      <c r="K84" s="7" t="str">
        <f>VLOOKUP(B84,[1]characters!$A:$H,8,FALSE)</f>
        <v>red</v>
      </c>
      <c r="L84" s="7" t="str">
        <f>VLOOKUP(B84,[1]characters!$A:$K,11,FALSE)</f>
        <v>hp</v>
      </c>
      <c r="M84" s="7" t="str">
        <f>VLOOKUP(B84,[1]characters!$A:$M,13,FALSE)</f>
        <v>god</v>
      </c>
      <c r="N84" s="7" t="str">
        <f>VLOOKUP(B84,[1]characters!$A:$G,7,FALSE)</f>
        <v>男性</v>
      </c>
      <c r="O84" s="45">
        <f t="shared" si="11"/>
        <v>26208</v>
      </c>
      <c r="P84" s="46">
        <f t="shared" si="9"/>
        <v>1.1097560975609756E-2</v>
      </c>
      <c r="Q84" s="30">
        <v>1</v>
      </c>
      <c r="R84" s="30">
        <v>0</v>
      </c>
      <c r="S84" s="30">
        <v>0</v>
      </c>
      <c r="T84" s="30">
        <v>0</v>
      </c>
      <c r="U84" s="30">
        <v>0</v>
      </c>
      <c r="V84" s="30">
        <v>1</v>
      </c>
    </row>
    <row r="85" spans="1:22" ht="21" customHeight="1" x14ac:dyDescent="0.15">
      <c r="A85" s="2" t="str">
        <f ca="1">input_586100!A$2</f>
        <v>586100</v>
      </c>
      <c r="B85" s="1">
        <v>673</v>
      </c>
      <c r="C85" s="7" t="str">
        <f t="shared" si="7"/>
        <v>Premium5</v>
      </c>
      <c r="D85" s="7" t="str">
        <f t="shared" si="8"/>
        <v>Premium</v>
      </c>
      <c r="E85" s="7" t="str">
        <f>IF(COUNTIF('R6追加前'!A:A,B85)=0,IF(OR(I85="PremiumSS",I85="PremiumSSw"),"R5only","R3less"),"")</f>
        <v/>
      </c>
      <c r="F85" s="7" t="str">
        <f>IF(COUNTIF('R6開放'!A:A,B85)&gt;0,"R6release","")</f>
        <v/>
      </c>
      <c r="G85" s="7"/>
      <c r="H85" s="7" t="str">
        <f>VLOOKUP(B85,[1]characters!$A:$C,3,FALSE)</f>
        <v>変幻自在の猿王 ハヌマーン</v>
      </c>
      <c r="I85" s="7" t="str">
        <f>VLOOKUP(B85,[1]characters!$A:$J,10,FALSE)</f>
        <v>PremiumS</v>
      </c>
      <c r="J85" s="7">
        <f>VLOOKUP(B85,[1]characters!$A:$I,9,FALSE)</f>
        <v>5</v>
      </c>
      <c r="K85" s="7" t="str">
        <f>VLOOKUP(B85,[1]characters!$A:$H,8,FALSE)</f>
        <v>green</v>
      </c>
      <c r="L85" s="7" t="str">
        <f>VLOOKUP(B85,[1]characters!$A:$K,11,FALSE)</f>
        <v>attack</v>
      </c>
      <c r="M85" s="7" t="str">
        <f>VLOOKUP(B85,[1]characters!$A:$M,13,FALSE)</f>
        <v>animal</v>
      </c>
      <c r="N85" s="7" t="str">
        <f>VLOOKUP(B85,[1]characters!$A:$G,7,FALSE)</f>
        <v>男性</v>
      </c>
      <c r="O85" s="45">
        <f t="shared" si="11"/>
        <v>26208</v>
      </c>
      <c r="P85" s="46">
        <f t="shared" si="9"/>
        <v>1.1097560975609756E-2</v>
      </c>
      <c r="Q85" s="30">
        <v>1</v>
      </c>
      <c r="R85" s="30">
        <v>0</v>
      </c>
      <c r="S85" s="30">
        <v>0</v>
      </c>
      <c r="T85" s="30">
        <v>0</v>
      </c>
      <c r="U85" s="30">
        <v>0</v>
      </c>
      <c r="V85" s="30">
        <v>1</v>
      </c>
    </row>
    <row r="86" spans="1:22" ht="21" customHeight="1" x14ac:dyDescent="0.15">
      <c r="A86" s="2" t="str">
        <f ca="1">input_586100!A$2</f>
        <v>586100</v>
      </c>
      <c r="B86" s="1">
        <v>675</v>
      </c>
      <c r="C86" s="7" t="str">
        <f t="shared" si="7"/>
        <v>PremiumSS5</v>
      </c>
      <c r="D86" s="7" t="str">
        <f t="shared" si="8"/>
        <v>PremiumSS</v>
      </c>
      <c r="E86" s="7" t="str">
        <f>IF(COUNTIF('R6追加前'!A:A,B86)=0,IF(OR(I86="PremiumSS",I86="PremiumSSw"),"R5only","R3less"),"")</f>
        <v/>
      </c>
      <c r="F86" s="7" t="str">
        <f>IF(COUNTIF('R6開放'!A:A,B86)&gt;0,"R6release","")</f>
        <v/>
      </c>
      <c r="G86" s="7"/>
      <c r="H86" s="7" t="str">
        <f>VLOOKUP(B86,[1]characters!$A:$C,3,FALSE)</f>
        <v>芸楽の奔流 サラスヴァティ</v>
      </c>
      <c r="I86" s="7" t="str">
        <f>VLOOKUP(B86,[1]characters!$A:$J,10,FALSE)</f>
        <v>PremiumSS</v>
      </c>
      <c r="J86" s="7">
        <f>VLOOKUP(B86,[1]characters!$A:$I,9,FALSE)</f>
        <v>5</v>
      </c>
      <c r="K86" s="7" t="str">
        <f>VLOOKUP(B86,[1]characters!$A:$H,8,FALSE)</f>
        <v>blue</v>
      </c>
      <c r="L86" s="7" t="str">
        <f>VLOOKUP(B86,[1]characters!$A:$K,11,FALSE)</f>
        <v>balance</v>
      </c>
      <c r="M86" s="7" t="str">
        <f>VLOOKUP(B86,[1]characters!$A:$M,13,FALSE)</f>
        <v>god</v>
      </c>
      <c r="N86" s="7" t="str">
        <f>VLOOKUP(B86,[1]characters!$A:$G,7,FALSE)</f>
        <v>女性</v>
      </c>
      <c r="O86" s="45">
        <f t="shared" si="11"/>
        <v>2460</v>
      </c>
      <c r="P86" s="46">
        <f t="shared" si="9"/>
        <v>1.0416666666666667E-3</v>
      </c>
      <c r="Q86" s="30">
        <v>1</v>
      </c>
      <c r="R86" s="30">
        <v>0</v>
      </c>
      <c r="S86" s="30">
        <v>0</v>
      </c>
      <c r="T86" s="30">
        <v>0</v>
      </c>
      <c r="U86" s="30">
        <v>0</v>
      </c>
      <c r="V86" s="30">
        <v>1</v>
      </c>
    </row>
    <row r="87" spans="1:22" ht="21" customHeight="1" x14ac:dyDescent="0.15">
      <c r="A87" s="2" t="str">
        <f ca="1">input_586100!A$2</f>
        <v>586100</v>
      </c>
      <c r="B87" s="1">
        <v>677</v>
      </c>
      <c r="C87" s="7" t="str">
        <f t="shared" si="7"/>
        <v>PremiumSS5</v>
      </c>
      <c r="D87" s="7" t="str">
        <f t="shared" si="8"/>
        <v>PremiumSS</v>
      </c>
      <c r="E87" s="7" t="str">
        <f>IF(COUNTIF('R6追加前'!A:A,B87)=0,IF(OR(I87="PremiumSS",I87="PremiumSSw"),"R5only","R3less"),"")</f>
        <v/>
      </c>
      <c r="F87" s="7" t="str">
        <f>IF(COUNTIF('R6開放'!A:A,B87)&gt;0,"R6release","")</f>
        <v/>
      </c>
      <c r="G87" s="7"/>
      <c r="H87" s="7" t="str">
        <f>VLOOKUP(B87,[1]characters!$A:$C,3,FALSE)</f>
        <v>武遊闊歩 ヴィシュヌ</v>
      </c>
      <c r="I87" s="7" t="str">
        <f>VLOOKUP(B87,[1]characters!$A:$J,10,FALSE)</f>
        <v>PremiumSS</v>
      </c>
      <c r="J87" s="7">
        <f>VLOOKUP(B87,[1]characters!$A:$I,9,FALSE)</f>
        <v>5</v>
      </c>
      <c r="K87" s="7" t="str">
        <f>VLOOKUP(B87,[1]characters!$A:$H,8,FALSE)</f>
        <v>yellow</v>
      </c>
      <c r="L87" s="7" t="str">
        <f>VLOOKUP(B87,[1]characters!$A:$K,11,FALSE)</f>
        <v>attack</v>
      </c>
      <c r="M87" s="7" t="str">
        <f>VLOOKUP(B87,[1]characters!$A:$M,13,FALSE)</f>
        <v>god</v>
      </c>
      <c r="N87" s="7" t="str">
        <f>VLOOKUP(B87,[1]characters!$A:$G,7,FALSE)</f>
        <v>女性</v>
      </c>
      <c r="O87" s="45">
        <f t="shared" si="11"/>
        <v>2460</v>
      </c>
      <c r="P87" s="46">
        <f t="shared" si="9"/>
        <v>1.0416666666666667E-3</v>
      </c>
      <c r="Q87" s="30">
        <v>1</v>
      </c>
      <c r="R87" s="30">
        <v>0</v>
      </c>
      <c r="S87" s="30">
        <v>0</v>
      </c>
      <c r="T87" s="30">
        <v>0</v>
      </c>
      <c r="U87" s="30">
        <v>0</v>
      </c>
      <c r="V87" s="30">
        <v>1</v>
      </c>
    </row>
    <row r="88" spans="1:22" ht="21" customHeight="1" x14ac:dyDescent="0.15">
      <c r="A88" s="2" t="str">
        <f ca="1">input_586100!A$2</f>
        <v>586100</v>
      </c>
      <c r="B88" s="1">
        <v>729</v>
      </c>
      <c r="C88" s="7" t="str">
        <f t="shared" si="7"/>
        <v>Premium5R3less</v>
      </c>
      <c r="D88" s="7" t="str">
        <f t="shared" si="8"/>
        <v>Premium</v>
      </c>
      <c r="E88" s="7" t="str">
        <f>IF(COUNTIF('R6追加前'!A:A,B88)=0,IF(OR(I88="PremiumSS",I88="PremiumSSw"),"R5only","R3less"),"")</f>
        <v>R3less</v>
      </c>
      <c r="F88" s="7" t="str">
        <f>IF(COUNTIF('R6開放'!A:A,B88)&gt;0,"R6release","")</f>
        <v/>
      </c>
      <c r="G88" s="7"/>
      <c r="H88" s="7" t="str">
        <f>VLOOKUP(B88,[1]characters!$A:$C,3,FALSE)</f>
        <v>暗厄の双刀 井伊直虎</v>
      </c>
      <c r="I88" s="7" t="str">
        <f>VLOOKUP(B88,[1]characters!$A:$J,10,FALSE)</f>
        <v>PremiumS</v>
      </c>
      <c r="J88" s="7">
        <f>VLOOKUP(B88,[1]characters!$A:$I,9,FALSE)</f>
        <v>5</v>
      </c>
      <c r="K88" s="7" t="str">
        <f>VLOOKUP(B88,[1]characters!$A:$H,8,FALSE)</f>
        <v>red</v>
      </c>
      <c r="L88" s="7" t="str">
        <f>VLOOKUP(B88,[1]characters!$A:$K,11,FALSE)</f>
        <v>balance</v>
      </c>
      <c r="M88" s="7" t="str">
        <f>VLOOKUP(B88,[1]characters!$A:$M,13,FALSE)</f>
        <v>human</v>
      </c>
      <c r="N88" s="7" t="str">
        <f>VLOOKUP(B88,[1]characters!$A:$G,7,FALSE)</f>
        <v>女性</v>
      </c>
      <c r="O88" s="45">
        <f t="shared" si="11"/>
        <v>26208</v>
      </c>
      <c r="P88" s="46">
        <f t="shared" si="9"/>
        <v>1.1097560975609756E-2</v>
      </c>
      <c r="Q88" s="30">
        <v>1</v>
      </c>
      <c r="R88" s="30">
        <v>0</v>
      </c>
      <c r="S88" s="30">
        <v>0</v>
      </c>
      <c r="T88" s="30">
        <v>0</v>
      </c>
      <c r="U88" s="30">
        <v>0</v>
      </c>
      <c r="V88" s="30">
        <v>1</v>
      </c>
    </row>
    <row r="89" spans="1:22" ht="21" customHeight="1" x14ac:dyDescent="0.15">
      <c r="A89" s="2" t="str">
        <f ca="1">input_586100!A$2</f>
        <v>586100</v>
      </c>
      <c r="B89" s="1">
        <v>731</v>
      </c>
      <c r="C89" s="7" t="str">
        <f t="shared" si="7"/>
        <v>Premium5R3less</v>
      </c>
      <c r="D89" s="7" t="str">
        <f t="shared" si="8"/>
        <v>Premium</v>
      </c>
      <c r="E89" s="7" t="str">
        <f>IF(COUNTIF('R6追加前'!A:A,B89)=0,IF(OR(I89="PremiumSS",I89="PremiumSSw"),"R5only","R3less"),"")</f>
        <v>R3less</v>
      </c>
      <c r="F89" s="7" t="str">
        <f>IF(COUNTIF('R6開放'!A:A,B89)&gt;0,"R6release","")</f>
        <v/>
      </c>
      <c r="G89" s="7"/>
      <c r="H89" s="7" t="str">
        <f>VLOOKUP(B89,[1]characters!$A:$C,3,FALSE)</f>
        <v>敬虔なる追銃 ガラシャ</v>
      </c>
      <c r="I89" s="7" t="str">
        <f>VLOOKUP(B89,[1]characters!$A:$J,10,FALSE)</f>
        <v>PremiumS</v>
      </c>
      <c r="J89" s="7">
        <f>VLOOKUP(B89,[1]characters!$A:$I,9,FALSE)</f>
        <v>5</v>
      </c>
      <c r="K89" s="7" t="str">
        <f>VLOOKUP(B89,[1]characters!$A:$H,8,FALSE)</f>
        <v>green</v>
      </c>
      <c r="L89" s="7" t="str">
        <f>VLOOKUP(B89,[1]characters!$A:$K,11,FALSE)</f>
        <v>heal</v>
      </c>
      <c r="M89" s="7" t="str">
        <f>VLOOKUP(B89,[1]characters!$A:$M,13,FALSE)</f>
        <v>human</v>
      </c>
      <c r="N89" s="7" t="str">
        <f>VLOOKUP(B89,[1]characters!$A:$G,7,FALSE)</f>
        <v>女性</v>
      </c>
      <c r="O89" s="45">
        <f t="shared" si="11"/>
        <v>26208</v>
      </c>
      <c r="P89" s="46">
        <f t="shared" si="9"/>
        <v>1.1097560975609756E-2</v>
      </c>
      <c r="Q89" s="30">
        <v>1</v>
      </c>
      <c r="R89" s="30">
        <v>0</v>
      </c>
      <c r="S89" s="30">
        <v>0</v>
      </c>
      <c r="T89" s="30">
        <v>0</v>
      </c>
      <c r="U89" s="30">
        <v>0</v>
      </c>
      <c r="V89" s="30">
        <v>1</v>
      </c>
    </row>
    <row r="90" spans="1:22" ht="21" customHeight="1" x14ac:dyDescent="0.15">
      <c r="A90" s="2" t="str">
        <f ca="1">input_586100!A$2</f>
        <v>586100</v>
      </c>
      <c r="B90" s="1">
        <v>732</v>
      </c>
      <c r="C90" s="7" t="str">
        <f t="shared" si="7"/>
        <v>PremiumSS5R5only</v>
      </c>
      <c r="D90" s="7" t="str">
        <f t="shared" si="8"/>
        <v>PremiumSS</v>
      </c>
      <c r="E90" s="7" t="str">
        <f>IF(COUNTIF('R6追加前'!A:A,B90)=0,IF(OR(I90="PremiumSS",I90="PremiumSSw"),"R5only","R3less"),"")</f>
        <v>R5only</v>
      </c>
      <c r="F90" s="7" t="str">
        <f>IF(COUNTIF('R6開放'!A:A,B90)&gt;0,"R6release","")</f>
        <v/>
      </c>
      <c r="G90" s="7"/>
      <c r="H90" s="7" t="str">
        <f>VLOOKUP(B90,[1]characters!$A:$C,3,FALSE)</f>
        <v>上杉謙信</v>
      </c>
      <c r="I90" s="7" t="str">
        <f>VLOOKUP(B90,[1]characters!$A:$J,10,FALSE)</f>
        <v>PremiumSS</v>
      </c>
      <c r="J90" s="7">
        <f>VLOOKUP(B90,[1]characters!$A:$I,9,FALSE)</f>
        <v>5</v>
      </c>
      <c r="K90" s="7" t="str">
        <f>VLOOKUP(B90,[1]characters!$A:$H,8,FALSE)</f>
        <v>blue</v>
      </c>
      <c r="L90" s="7" t="str">
        <f>VLOOKUP(B90,[1]characters!$A:$K,11,FALSE)</f>
        <v>attack</v>
      </c>
      <c r="M90" s="7" t="str">
        <f>VLOOKUP(B90,[1]characters!$A:$M,13,FALSE)</f>
        <v>human</v>
      </c>
      <c r="N90" s="7" t="str">
        <f>VLOOKUP(B90,[1]characters!$A:$G,7,FALSE)</f>
        <v>女性</v>
      </c>
      <c r="O90" s="45">
        <f t="shared" si="11"/>
        <v>2460</v>
      </c>
      <c r="P90" s="46">
        <f t="shared" si="9"/>
        <v>1.0416666666666667E-3</v>
      </c>
      <c r="Q90" s="30">
        <v>1</v>
      </c>
      <c r="R90" s="30">
        <v>0</v>
      </c>
      <c r="S90" s="30">
        <v>0</v>
      </c>
      <c r="T90" s="30">
        <v>0</v>
      </c>
      <c r="U90" s="30">
        <v>0</v>
      </c>
      <c r="V90" s="30">
        <v>1</v>
      </c>
    </row>
    <row r="91" spans="1:22" ht="21" customHeight="1" x14ac:dyDescent="0.15">
      <c r="A91" s="2" t="str">
        <f ca="1">input_586100!A$2</f>
        <v>586100</v>
      </c>
      <c r="B91" s="1">
        <v>734</v>
      </c>
      <c r="C91" s="7" t="str">
        <f t="shared" si="7"/>
        <v>PremiumSS5R5only</v>
      </c>
      <c r="D91" s="7" t="str">
        <f t="shared" si="8"/>
        <v>PremiumSS</v>
      </c>
      <c r="E91" s="7" t="str">
        <f>IF(COUNTIF('R6追加前'!A:A,B91)=0,IF(OR(I91="PremiumSS",I91="PremiumSSw"),"R5only","R3less"),"")</f>
        <v>R5only</v>
      </c>
      <c r="F91" s="7" t="str">
        <f>IF(COUNTIF('R6開放'!A:A,B91)&gt;0,"R6release","")</f>
        <v/>
      </c>
      <c r="G91" s="7"/>
      <c r="H91" s="7" t="str">
        <f>VLOOKUP(B91,[1]characters!$A:$C,3,FALSE)</f>
        <v>伊達政宗</v>
      </c>
      <c r="I91" s="7" t="str">
        <f>VLOOKUP(B91,[1]characters!$A:$J,10,FALSE)</f>
        <v>PremiumSS</v>
      </c>
      <c r="J91" s="7">
        <f>VLOOKUP(B91,[1]characters!$A:$I,9,FALSE)</f>
        <v>5</v>
      </c>
      <c r="K91" s="7" t="str">
        <f>VLOOKUP(B91,[1]characters!$A:$H,8,FALSE)</f>
        <v>yellow</v>
      </c>
      <c r="L91" s="7" t="str">
        <f>VLOOKUP(B91,[1]characters!$A:$K,11,FALSE)</f>
        <v>balance</v>
      </c>
      <c r="M91" s="7" t="str">
        <f>VLOOKUP(B91,[1]characters!$A:$M,13,FALSE)</f>
        <v>human</v>
      </c>
      <c r="N91" s="7" t="str">
        <f>VLOOKUP(B91,[1]characters!$A:$G,7,FALSE)</f>
        <v>男性</v>
      </c>
      <c r="O91" s="45">
        <f t="shared" si="11"/>
        <v>2460</v>
      </c>
      <c r="P91" s="46">
        <f t="shared" si="9"/>
        <v>1.0416666666666667E-3</v>
      </c>
      <c r="Q91" s="30">
        <v>1</v>
      </c>
      <c r="R91" s="30">
        <v>0</v>
      </c>
      <c r="S91" s="30">
        <v>0</v>
      </c>
      <c r="T91" s="30">
        <v>0</v>
      </c>
      <c r="U91" s="30">
        <v>0</v>
      </c>
      <c r="V91" s="30">
        <v>1</v>
      </c>
    </row>
    <row r="92" spans="1:22" ht="21" customHeight="1" x14ac:dyDescent="0.15">
      <c r="A92" s="2" t="str">
        <f ca="1">input_586100!A$2</f>
        <v>586100</v>
      </c>
      <c r="B92" s="1">
        <v>742</v>
      </c>
      <c r="C92" s="7" t="str">
        <f t="shared" si="7"/>
        <v>PremiumSS5R5only</v>
      </c>
      <c r="D92" s="7" t="str">
        <f t="shared" si="8"/>
        <v>PremiumSS</v>
      </c>
      <c r="E92" s="7" t="str">
        <f>IF(COUNTIF('R6追加前'!A:A,B92)=0,IF(OR(I92="PremiumSS",I92="PremiumSSw"),"R5only","R3less"),"")</f>
        <v>R5only</v>
      </c>
      <c r="F92" s="7" t="str">
        <f>IF(COUNTIF('R6開放'!A:A,B92)&gt;0,"R6release","")</f>
        <v/>
      </c>
      <c r="G92" s="7"/>
      <c r="H92" s="7" t="str">
        <f>VLOOKUP(B92,[1]characters!$A:$C,3,FALSE)</f>
        <v>アポロン</v>
      </c>
      <c r="I92" s="7" t="str">
        <f>VLOOKUP(B92,[1]characters!$A:$J,10,FALSE)</f>
        <v>PremiumSS</v>
      </c>
      <c r="J92" s="7">
        <f>VLOOKUP(B92,[1]characters!$A:$I,9,FALSE)</f>
        <v>5</v>
      </c>
      <c r="K92" s="7" t="str">
        <f>VLOOKUP(B92,[1]characters!$A:$H,8,FALSE)</f>
        <v>red</v>
      </c>
      <c r="L92" s="7" t="str">
        <f>VLOOKUP(B92,[1]characters!$A:$K,11,FALSE)</f>
        <v>attack</v>
      </c>
      <c r="M92" s="7" t="str">
        <f>VLOOKUP(B92,[1]characters!$A:$M,13,FALSE)</f>
        <v>god</v>
      </c>
      <c r="N92" s="7" t="str">
        <f>VLOOKUP(B92,[1]characters!$A:$G,7,FALSE)</f>
        <v>男性</v>
      </c>
      <c r="O92" s="45">
        <f t="shared" si="11"/>
        <v>2460</v>
      </c>
      <c r="P92" s="46">
        <f t="shared" si="9"/>
        <v>1.0416666666666667E-3</v>
      </c>
      <c r="Q92" s="30">
        <v>1</v>
      </c>
      <c r="R92" s="30">
        <v>0</v>
      </c>
      <c r="S92" s="30">
        <v>0</v>
      </c>
      <c r="T92" s="30">
        <v>0</v>
      </c>
      <c r="U92" s="30">
        <v>0</v>
      </c>
      <c r="V92" s="30">
        <v>1</v>
      </c>
    </row>
    <row r="93" spans="1:22" ht="21" customHeight="1" x14ac:dyDescent="0.15">
      <c r="A93" s="2" t="str">
        <f ca="1">input_586100!A$2</f>
        <v>586100</v>
      </c>
      <c r="B93" s="1">
        <v>744</v>
      </c>
      <c r="C93" s="7" t="str">
        <f t="shared" si="7"/>
        <v>PremiumSS5R5only</v>
      </c>
      <c r="D93" s="7" t="str">
        <f t="shared" si="8"/>
        <v>PremiumSS</v>
      </c>
      <c r="E93" s="7" t="str">
        <f>IF(COUNTIF('R6追加前'!A:A,B93)=0,IF(OR(I93="PremiumSS",I93="PremiumSSw"),"R5only","R3less"),"")</f>
        <v>R5only</v>
      </c>
      <c r="F93" s="7" t="str">
        <f>IF(COUNTIF('R6開放'!A:A,B93)&gt;0,"R6release","")</f>
        <v/>
      </c>
      <c r="G93" s="7"/>
      <c r="H93" s="7" t="str">
        <f>VLOOKUP(B93,[1]characters!$A:$C,3,FALSE)</f>
        <v>ヘルメス</v>
      </c>
      <c r="I93" s="7" t="str">
        <f>VLOOKUP(B93,[1]characters!$A:$J,10,FALSE)</f>
        <v>PremiumSS</v>
      </c>
      <c r="J93" s="7">
        <f>VLOOKUP(B93,[1]characters!$A:$I,9,FALSE)</f>
        <v>5</v>
      </c>
      <c r="K93" s="7" t="str">
        <f>VLOOKUP(B93,[1]characters!$A:$H,8,FALSE)</f>
        <v>green</v>
      </c>
      <c r="L93" s="7" t="str">
        <f>VLOOKUP(B93,[1]characters!$A:$K,11,FALSE)</f>
        <v>technical</v>
      </c>
      <c r="M93" s="7" t="str">
        <f>VLOOKUP(B93,[1]characters!$A:$M,13,FALSE)</f>
        <v>god</v>
      </c>
      <c r="N93" s="7" t="str">
        <f>VLOOKUP(B93,[1]characters!$A:$G,7,FALSE)</f>
        <v>男性</v>
      </c>
      <c r="O93" s="45">
        <f t="shared" si="11"/>
        <v>2460</v>
      </c>
      <c r="P93" s="46">
        <f t="shared" si="9"/>
        <v>1.0416666666666667E-3</v>
      </c>
      <c r="Q93" s="30">
        <v>1</v>
      </c>
      <c r="R93" s="30">
        <v>0</v>
      </c>
      <c r="S93" s="30">
        <v>0</v>
      </c>
      <c r="T93" s="30">
        <v>0</v>
      </c>
      <c r="U93" s="30">
        <v>0</v>
      </c>
      <c r="V93" s="30">
        <v>1</v>
      </c>
    </row>
    <row r="94" spans="1:22" ht="21" customHeight="1" x14ac:dyDescent="0.15">
      <c r="A94" s="2" t="str">
        <f ca="1">input_586100!A$2</f>
        <v>586100</v>
      </c>
      <c r="B94" s="1">
        <v>747</v>
      </c>
      <c r="C94" s="7" t="str">
        <f t="shared" si="7"/>
        <v>Premium5R3less</v>
      </c>
      <c r="D94" s="7" t="str">
        <f t="shared" si="8"/>
        <v>Premium</v>
      </c>
      <c r="E94" s="7" t="str">
        <f>IF(COUNTIF('R6追加前'!A:A,B94)=0,IF(OR(I94="PremiumSS",I94="PremiumSSw"),"R5only","R3less"),"")</f>
        <v>R3less</v>
      </c>
      <c r="F94" s="7" t="str">
        <f>IF(COUNTIF('R6開放'!A:A,B94)&gt;0,"R6release","")</f>
        <v/>
      </c>
      <c r="G94" s="7"/>
      <c r="H94" s="7" t="str">
        <f>VLOOKUP(B94,[1]characters!$A:$C,3,FALSE)</f>
        <v>潔碧の巡励神 ノルン</v>
      </c>
      <c r="I94" s="7" t="str">
        <f>VLOOKUP(B94,[1]characters!$A:$J,10,FALSE)</f>
        <v>PremiumS</v>
      </c>
      <c r="J94" s="7">
        <f>VLOOKUP(B94,[1]characters!$A:$I,9,FALSE)</f>
        <v>5</v>
      </c>
      <c r="K94" s="7" t="str">
        <f>VLOOKUP(B94,[1]characters!$A:$H,8,FALSE)</f>
        <v>blue</v>
      </c>
      <c r="L94" s="7" t="str">
        <f>VLOOKUP(B94,[1]characters!$A:$K,11,FALSE)</f>
        <v>balance</v>
      </c>
      <c r="M94" s="7" t="str">
        <f>VLOOKUP(B94,[1]characters!$A:$M,13,FALSE)</f>
        <v>god</v>
      </c>
      <c r="N94" s="7" t="str">
        <f>VLOOKUP(B94,[1]characters!$A:$G,7,FALSE)</f>
        <v>男性</v>
      </c>
      <c r="O94" s="45">
        <f t="shared" si="11"/>
        <v>26208</v>
      </c>
      <c r="P94" s="46">
        <f t="shared" si="9"/>
        <v>1.1097560975609756E-2</v>
      </c>
      <c r="Q94" s="30">
        <v>1</v>
      </c>
      <c r="R94" s="30">
        <v>0</v>
      </c>
      <c r="S94" s="30">
        <v>0</v>
      </c>
      <c r="T94" s="30">
        <v>0</v>
      </c>
      <c r="U94" s="30">
        <v>0</v>
      </c>
      <c r="V94" s="30">
        <v>1</v>
      </c>
    </row>
    <row r="95" spans="1:22" ht="21" customHeight="1" x14ac:dyDescent="0.15">
      <c r="A95" s="2" t="str">
        <f ca="1">input_586100!A$2</f>
        <v>586100</v>
      </c>
      <c r="B95" s="1">
        <v>749</v>
      </c>
      <c r="C95" s="7" t="str">
        <f t="shared" si="7"/>
        <v>Premium5R3less</v>
      </c>
      <c r="D95" s="7" t="str">
        <f t="shared" si="8"/>
        <v>Premium</v>
      </c>
      <c r="E95" s="7" t="str">
        <f>IF(COUNTIF('R6追加前'!A:A,B95)=0,IF(OR(I95="PremiumSS",I95="PremiumSSw"),"R5only","R3less"),"")</f>
        <v>R3less</v>
      </c>
      <c r="F95" s="7" t="str">
        <f>IF(COUNTIF('R6開放'!A:A,B95)&gt;0,"R6release","")</f>
        <v/>
      </c>
      <c r="G95" s="7"/>
      <c r="H95" s="7" t="str">
        <f>VLOOKUP(B95,[1]characters!$A:$C,3,FALSE)</f>
        <v>光喜の牧童 パーン</v>
      </c>
      <c r="I95" s="7" t="str">
        <f>VLOOKUP(B95,[1]characters!$A:$J,10,FALSE)</f>
        <v>PremiumS</v>
      </c>
      <c r="J95" s="7">
        <f>VLOOKUP(B95,[1]characters!$A:$I,9,FALSE)</f>
        <v>5</v>
      </c>
      <c r="K95" s="7" t="str">
        <f>VLOOKUP(B95,[1]characters!$A:$H,8,FALSE)</f>
        <v>yellow</v>
      </c>
      <c r="L95" s="7" t="str">
        <f>VLOOKUP(B95,[1]characters!$A:$K,11,FALSE)</f>
        <v>heal</v>
      </c>
      <c r="M95" s="7" t="str">
        <f>VLOOKUP(B95,[1]characters!$A:$M,13,FALSE)</f>
        <v>animal</v>
      </c>
      <c r="N95" s="7" t="str">
        <f>VLOOKUP(B95,[1]characters!$A:$G,7,FALSE)</f>
        <v>男性</v>
      </c>
      <c r="O95" s="45">
        <f t="shared" si="11"/>
        <v>26208</v>
      </c>
      <c r="P95" s="46">
        <f t="shared" si="9"/>
        <v>1.1097560975609756E-2</v>
      </c>
      <c r="Q95" s="30">
        <v>1</v>
      </c>
      <c r="R95" s="30">
        <v>0</v>
      </c>
      <c r="S95" s="30">
        <v>0</v>
      </c>
      <c r="T95" s="30">
        <v>0</v>
      </c>
      <c r="U95" s="30">
        <v>0</v>
      </c>
      <c r="V95" s="30">
        <v>1</v>
      </c>
    </row>
    <row r="96" spans="1:22" ht="21" customHeight="1" x14ac:dyDescent="0.15">
      <c r="A96" s="2" t="str">
        <f ca="1">input_586100!A$2</f>
        <v>586100</v>
      </c>
      <c r="B96" s="1">
        <v>771</v>
      </c>
      <c r="C96" s="7" t="str">
        <f t="shared" si="7"/>
        <v>PremiumSS5</v>
      </c>
      <c r="D96" s="7" t="str">
        <f t="shared" si="8"/>
        <v>PremiumSS</v>
      </c>
      <c r="E96" s="7" t="str">
        <f>IF(COUNTIF('R6追加前'!A:A,B96)=0,IF(OR(I96="PremiumSS",I96="PremiumSSw"),"R5only","R3less"),"")</f>
        <v/>
      </c>
      <c r="F96" s="7" t="str">
        <f>IF(COUNTIF('R6開放'!A:A,B96)&gt;0,"R6release","")</f>
        <v/>
      </c>
      <c r="G96" s="7"/>
      <c r="H96" s="7" t="str">
        <f>VLOOKUP(B96,[1]characters!$A:$C,3,FALSE)</f>
        <v>天織羽鶴 ハヅル</v>
      </c>
      <c r="I96" s="7" t="str">
        <f>VLOOKUP(B96,[1]characters!$A:$J,10,FALSE)</f>
        <v>PremiumSS</v>
      </c>
      <c r="J96" s="7">
        <f>VLOOKUP(B96,[1]characters!$A:$I,9,FALSE)</f>
        <v>5</v>
      </c>
      <c r="K96" s="7" t="str">
        <f>VLOOKUP(B96,[1]characters!$A:$H,8,FALSE)</f>
        <v>red</v>
      </c>
      <c r="L96" s="7" t="str">
        <f>VLOOKUP(B96,[1]characters!$A:$K,11,FALSE)</f>
        <v>balance</v>
      </c>
      <c r="M96" s="7" t="str">
        <f>VLOOKUP(B96,[1]characters!$A:$M,13,FALSE)</f>
        <v>animal</v>
      </c>
      <c r="N96" s="7" t="str">
        <f>VLOOKUP(B96,[1]characters!$A:$G,7,FALSE)</f>
        <v>女性</v>
      </c>
      <c r="O96" s="45">
        <f t="shared" si="11"/>
        <v>2460</v>
      </c>
      <c r="P96" s="46">
        <f t="shared" si="9"/>
        <v>1.0416666666666667E-3</v>
      </c>
      <c r="Q96" s="30">
        <v>1</v>
      </c>
      <c r="R96" s="30">
        <v>0</v>
      </c>
      <c r="S96" s="30">
        <v>0</v>
      </c>
      <c r="T96" s="30">
        <v>0</v>
      </c>
      <c r="U96" s="30">
        <v>0</v>
      </c>
      <c r="V96" s="30">
        <v>1</v>
      </c>
    </row>
    <row r="97" spans="1:22" ht="21" customHeight="1" x14ac:dyDescent="0.15">
      <c r="A97" s="2" t="str">
        <f ca="1">input_586100!A$2</f>
        <v>586100</v>
      </c>
      <c r="B97" s="1">
        <v>773</v>
      </c>
      <c r="C97" s="7" t="str">
        <f t="shared" si="7"/>
        <v>PremiumSS5</v>
      </c>
      <c r="D97" s="7" t="str">
        <f t="shared" si="8"/>
        <v>PremiumSS</v>
      </c>
      <c r="E97" s="7" t="str">
        <f>IF(COUNTIF('R6追加前'!A:A,B97)=0,IF(OR(I97="PremiumSS",I97="PremiumSSw"),"R5only","R3less"),"")</f>
        <v/>
      </c>
      <c r="F97" s="7" t="str">
        <f>IF(COUNTIF('R6開放'!A:A,B97)&gt;0,"R6release","")</f>
        <v/>
      </c>
      <c r="G97" s="7"/>
      <c r="H97" s="7" t="str">
        <f>VLOOKUP(B97,[1]characters!$A:$C,3,FALSE)</f>
        <v>浮跳天兎 イナバ</v>
      </c>
      <c r="I97" s="7" t="str">
        <f>VLOOKUP(B97,[1]characters!$A:$J,10,FALSE)</f>
        <v>PremiumSS</v>
      </c>
      <c r="J97" s="7">
        <f>VLOOKUP(B97,[1]characters!$A:$I,9,FALSE)</f>
        <v>5</v>
      </c>
      <c r="K97" s="7" t="str">
        <f>VLOOKUP(B97,[1]characters!$A:$H,8,FALSE)</f>
        <v>green</v>
      </c>
      <c r="L97" s="7" t="str">
        <f>VLOOKUP(B97,[1]characters!$A:$K,11,FALSE)</f>
        <v>balance</v>
      </c>
      <c r="M97" s="7" t="str">
        <f>VLOOKUP(B97,[1]characters!$A:$M,13,FALSE)</f>
        <v>animal</v>
      </c>
      <c r="N97" s="7" t="str">
        <f>VLOOKUP(B97,[1]characters!$A:$G,7,FALSE)</f>
        <v>女性</v>
      </c>
      <c r="O97" s="45">
        <f t="shared" si="11"/>
        <v>2460</v>
      </c>
      <c r="P97" s="46">
        <f t="shared" si="9"/>
        <v>1.0416666666666667E-3</v>
      </c>
      <c r="Q97" s="30">
        <v>1</v>
      </c>
      <c r="R97" s="30">
        <v>0</v>
      </c>
      <c r="S97" s="30">
        <v>0</v>
      </c>
      <c r="T97" s="30">
        <v>0</v>
      </c>
      <c r="U97" s="30">
        <v>0</v>
      </c>
      <c r="V97" s="30">
        <v>1</v>
      </c>
    </row>
    <row r="98" spans="1:22" ht="21" customHeight="1" x14ac:dyDescent="0.15">
      <c r="A98" s="2" t="str">
        <f ca="1">input_586100!A$2</f>
        <v>586100</v>
      </c>
      <c r="B98" s="1">
        <v>776</v>
      </c>
      <c r="C98" s="7" t="str">
        <f t="shared" si="7"/>
        <v>Premium5</v>
      </c>
      <c r="D98" s="7" t="str">
        <f t="shared" si="8"/>
        <v>Premium</v>
      </c>
      <c r="E98" s="7" t="str">
        <f>IF(COUNTIF('R6追加前'!A:A,B98)=0,IF(OR(I98="PremiumSS",I98="PremiumSSw"),"R5only","R3less"),"")</f>
        <v/>
      </c>
      <c r="F98" s="7" t="str">
        <f>IF(COUNTIF('R6開放'!A:A,B98)&gt;0,"R6release","")</f>
        <v/>
      </c>
      <c r="G98" s="7"/>
      <c r="H98" s="7" t="str">
        <f>VLOOKUP(B98,[1]characters!$A:$C,3,FALSE)</f>
        <v>水竜底主 ミズチ</v>
      </c>
      <c r="I98" s="7" t="str">
        <f>VLOOKUP(B98,[1]characters!$A:$J,10,FALSE)</f>
        <v>PremiumS</v>
      </c>
      <c r="J98" s="7">
        <f>VLOOKUP(B98,[1]characters!$A:$I,9,FALSE)</f>
        <v>5</v>
      </c>
      <c r="K98" s="7" t="str">
        <f>VLOOKUP(B98,[1]characters!$A:$H,8,FALSE)</f>
        <v>blue</v>
      </c>
      <c r="L98" s="7" t="str">
        <f>VLOOKUP(B98,[1]characters!$A:$K,11,FALSE)</f>
        <v>heal</v>
      </c>
      <c r="M98" s="7" t="str">
        <f>VLOOKUP(B98,[1]characters!$A:$M,13,FALSE)</f>
        <v>dragon</v>
      </c>
      <c r="N98" s="7" t="str">
        <f>VLOOKUP(B98,[1]characters!$A:$G,7,FALSE)</f>
        <v>不明</v>
      </c>
      <c r="O98" s="45">
        <f t="shared" si="11"/>
        <v>26208</v>
      </c>
      <c r="P98" s="46">
        <f t="shared" ref="P98:P129" si="12">O98/SUM(O:O)</f>
        <v>1.1097560975609756E-2</v>
      </c>
      <c r="Q98" s="30">
        <v>1</v>
      </c>
      <c r="R98" s="30">
        <v>0</v>
      </c>
      <c r="S98" s="30">
        <v>0</v>
      </c>
      <c r="T98" s="30">
        <v>0</v>
      </c>
      <c r="U98" s="30">
        <v>0</v>
      </c>
      <c r="V98" s="30">
        <v>1</v>
      </c>
    </row>
    <row r="99" spans="1:22" ht="21" customHeight="1" x14ac:dyDescent="0.15">
      <c r="A99" s="2" t="str">
        <f ca="1">input_586100!A$2</f>
        <v>586100</v>
      </c>
      <c r="B99" s="1">
        <v>779</v>
      </c>
      <c r="C99" s="7" t="str">
        <f t="shared" si="7"/>
        <v>Premium5</v>
      </c>
      <c r="D99" s="7" t="str">
        <f t="shared" si="8"/>
        <v>Premium</v>
      </c>
      <c r="E99" s="7" t="str">
        <f>IF(COUNTIF('R6追加前'!A:A,B99)=0,IF(OR(I99="PremiumSS",I99="PremiumSSw"),"R5only","R3less"),"")</f>
        <v/>
      </c>
      <c r="F99" s="7" t="str">
        <f>IF(COUNTIF('R6開放'!A:A,B99)&gt;0,"R6release","")</f>
        <v/>
      </c>
      <c r="G99" s="7"/>
      <c r="H99" s="7" t="str">
        <f>VLOOKUP(B99,[1]characters!$A:$C,3,FALSE)</f>
        <v>頑堅咬亀 ガメック</v>
      </c>
      <c r="I99" s="7" t="str">
        <f>VLOOKUP(B99,[1]characters!$A:$J,10,FALSE)</f>
        <v>PremiumS</v>
      </c>
      <c r="J99" s="7">
        <f>VLOOKUP(B99,[1]characters!$A:$I,9,FALSE)</f>
        <v>5</v>
      </c>
      <c r="K99" s="7" t="str">
        <f>VLOOKUP(B99,[1]characters!$A:$H,8,FALSE)</f>
        <v>yellow</v>
      </c>
      <c r="L99" s="7" t="str">
        <f>VLOOKUP(B99,[1]characters!$A:$K,11,FALSE)</f>
        <v>hp</v>
      </c>
      <c r="M99" s="7" t="str">
        <f>VLOOKUP(B99,[1]characters!$A:$M,13,FALSE)</f>
        <v>animal</v>
      </c>
      <c r="N99" s="7" t="str">
        <f>VLOOKUP(B99,[1]characters!$A:$G,7,FALSE)</f>
        <v>不明</v>
      </c>
      <c r="O99" s="45">
        <f t="shared" si="11"/>
        <v>26208</v>
      </c>
      <c r="P99" s="46">
        <f t="shared" si="12"/>
        <v>1.1097560975609756E-2</v>
      </c>
      <c r="Q99" s="30">
        <v>1</v>
      </c>
      <c r="R99" s="30">
        <v>0</v>
      </c>
      <c r="S99" s="30">
        <v>0</v>
      </c>
      <c r="T99" s="30">
        <v>0</v>
      </c>
      <c r="U99" s="30">
        <v>0</v>
      </c>
      <c r="V99" s="30">
        <v>1</v>
      </c>
    </row>
    <row r="100" spans="1:22" ht="21" customHeight="1" x14ac:dyDescent="0.15">
      <c r="A100" s="2" t="str">
        <f ca="1">input_586100!A$2</f>
        <v>586100</v>
      </c>
      <c r="B100" s="1">
        <v>848</v>
      </c>
      <c r="C100" s="7" t="str">
        <f t="shared" si="7"/>
        <v>PremiumSS5R5only</v>
      </c>
      <c r="D100" s="7" t="str">
        <f t="shared" si="8"/>
        <v>PremiumSS</v>
      </c>
      <c r="E100" s="7" t="str">
        <f>IF(COUNTIF('R6追加前'!A:A,B100)=0,IF(OR(I100="PremiumSS",I100="PremiumSSw"),"R5only","R3less"),"")</f>
        <v>R5only</v>
      </c>
      <c r="F100" s="7" t="str">
        <f>IF(COUNTIF('R6開放'!A:A,B100)&gt;0,"R6release","")</f>
        <v/>
      </c>
      <c r="G100" s="7"/>
      <c r="H100" s="7" t="str">
        <f>VLOOKUP(B100,[1]characters!$A:$C,3,FALSE)</f>
        <v>メタトロン</v>
      </c>
      <c r="I100" s="7" t="str">
        <f>VLOOKUP(B100,[1]characters!$A:$J,10,FALSE)</f>
        <v>PremiumSS</v>
      </c>
      <c r="J100" s="7">
        <f>VLOOKUP(B100,[1]characters!$A:$I,9,FALSE)</f>
        <v>5</v>
      </c>
      <c r="K100" s="7" t="str">
        <f>VLOOKUP(B100,[1]characters!$A:$H,8,FALSE)</f>
        <v>red</v>
      </c>
      <c r="L100" s="7" t="str">
        <f>VLOOKUP(B100,[1]characters!$A:$K,11,FALSE)</f>
        <v>balance</v>
      </c>
      <c r="M100" s="7" t="str">
        <f>VLOOKUP(B100,[1]characters!$A:$M,13,FALSE)</f>
        <v>god</v>
      </c>
      <c r="N100" s="7" t="str">
        <f>VLOOKUP(B100,[1]characters!$A:$G,7,FALSE)</f>
        <v>男性</v>
      </c>
      <c r="O100" s="45">
        <f>VLOOKUP(D100,$W$2:$Y$4,3,FALSE)</f>
        <v>2460</v>
      </c>
      <c r="P100" s="46">
        <f t="shared" si="12"/>
        <v>1.0416666666666667E-3</v>
      </c>
      <c r="Q100" s="30">
        <v>1</v>
      </c>
      <c r="R100" s="30">
        <v>0</v>
      </c>
      <c r="S100" s="30">
        <v>0</v>
      </c>
      <c r="T100" s="30">
        <v>0</v>
      </c>
      <c r="U100" s="30">
        <v>0</v>
      </c>
      <c r="V100" s="30">
        <v>1</v>
      </c>
    </row>
    <row r="101" spans="1:22" ht="21" customHeight="1" x14ac:dyDescent="0.15">
      <c r="A101" s="2" t="str">
        <f ca="1">input_586100!A$2</f>
        <v>586100</v>
      </c>
      <c r="B101" s="1">
        <v>850</v>
      </c>
      <c r="C101" s="7" t="str">
        <f t="shared" si="7"/>
        <v>PremiumSS5R5only</v>
      </c>
      <c r="D101" s="7" t="str">
        <f t="shared" si="8"/>
        <v>PremiumSS</v>
      </c>
      <c r="E101" s="7" t="str">
        <f>IF(COUNTIF('R6追加前'!A:A,B101)=0,IF(OR(I101="PremiumSS",I101="PremiumSSw"),"R5only","R3less"),"")</f>
        <v>R5only</v>
      </c>
      <c r="F101" s="7" t="str">
        <f>IF(COUNTIF('R6開放'!A:A,B101)&gt;0,"R6release","")</f>
        <v/>
      </c>
      <c r="G101" s="7"/>
      <c r="H101" s="7" t="str">
        <f>VLOOKUP(B101,[1]characters!$A:$C,3,FALSE)</f>
        <v>バアル</v>
      </c>
      <c r="I101" s="7" t="str">
        <f>VLOOKUP(B101,[1]characters!$A:$J,10,FALSE)</f>
        <v>PremiumSS</v>
      </c>
      <c r="J101" s="7">
        <f>VLOOKUP(B101,[1]characters!$A:$I,9,FALSE)</f>
        <v>5</v>
      </c>
      <c r="K101" s="7" t="str">
        <f>VLOOKUP(B101,[1]characters!$A:$H,8,FALSE)</f>
        <v>green</v>
      </c>
      <c r="L101" s="7" t="str">
        <f>VLOOKUP(B101,[1]characters!$A:$K,11,FALSE)</f>
        <v>technical</v>
      </c>
      <c r="M101" s="7" t="str">
        <f>VLOOKUP(B101,[1]characters!$A:$M,13,FALSE)</f>
        <v>god</v>
      </c>
      <c r="N101" s="7" t="str">
        <f>VLOOKUP(B101,[1]characters!$A:$G,7,FALSE)</f>
        <v>男性</v>
      </c>
      <c r="O101" s="45">
        <f t="shared" ref="O101:O117" si="13">VLOOKUP(D101,$W$2:$Y$4,3,FALSE)</f>
        <v>2460</v>
      </c>
      <c r="P101" s="46">
        <f t="shared" si="12"/>
        <v>1.0416666666666667E-3</v>
      </c>
      <c r="Q101" s="30">
        <v>1</v>
      </c>
      <c r="R101" s="30">
        <v>0</v>
      </c>
      <c r="S101" s="30">
        <v>0</v>
      </c>
      <c r="T101" s="30">
        <v>0</v>
      </c>
      <c r="U101" s="30">
        <v>0</v>
      </c>
      <c r="V101" s="30">
        <v>1</v>
      </c>
    </row>
    <row r="102" spans="1:22" ht="21" customHeight="1" x14ac:dyDescent="0.15">
      <c r="A102" s="2" t="str">
        <f ca="1">input_586100!A$2</f>
        <v>586100</v>
      </c>
      <c r="B102" s="1">
        <v>853</v>
      </c>
      <c r="C102" s="7" t="str">
        <f t="shared" si="7"/>
        <v>Premium5R3less</v>
      </c>
      <c r="D102" s="7" t="str">
        <f t="shared" si="8"/>
        <v>Premium</v>
      </c>
      <c r="E102" s="7" t="str">
        <f>IF(COUNTIF('R6追加前'!A:A,B102)=0,IF(OR(I102="PremiumSS",I102="PremiumSSw"),"R5only","R3less"),"")</f>
        <v>R3less</v>
      </c>
      <c r="F102" s="7" t="str">
        <f>IF(COUNTIF('R6開放'!A:A,B102)&gt;0,"R6release","")</f>
        <v/>
      </c>
      <c r="G102" s="7"/>
      <c r="H102" s="7" t="str">
        <f>VLOOKUP(B102,[1]characters!$A:$C,3,FALSE)</f>
        <v>裂爪の天使 サキエル・ティア</v>
      </c>
      <c r="I102" s="7" t="str">
        <f>VLOOKUP(B102,[1]characters!$A:$J,10,FALSE)</f>
        <v>PremiumS</v>
      </c>
      <c r="J102" s="7">
        <f>VLOOKUP(B102,[1]characters!$A:$I,9,FALSE)</f>
        <v>5</v>
      </c>
      <c r="K102" s="7" t="str">
        <f>VLOOKUP(B102,[1]characters!$A:$H,8,FALSE)</f>
        <v>blue</v>
      </c>
      <c r="L102" s="7" t="str">
        <f>VLOOKUP(B102,[1]characters!$A:$K,11,FALSE)</f>
        <v>hp</v>
      </c>
      <c r="M102" s="7" t="str">
        <f>VLOOKUP(B102,[1]characters!$A:$M,13,FALSE)</f>
        <v>god</v>
      </c>
      <c r="N102" s="7" t="str">
        <f>VLOOKUP(B102,[1]characters!$A:$G,7,FALSE)</f>
        <v>男性</v>
      </c>
      <c r="O102" s="45">
        <f t="shared" si="13"/>
        <v>26208</v>
      </c>
      <c r="P102" s="46">
        <f t="shared" si="12"/>
        <v>1.1097560975609756E-2</v>
      </c>
      <c r="Q102" s="30">
        <v>1</v>
      </c>
      <c r="R102" s="30">
        <v>0</v>
      </c>
      <c r="S102" s="30">
        <v>0</v>
      </c>
      <c r="T102" s="30">
        <v>0</v>
      </c>
      <c r="U102" s="30">
        <v>0</v>
      </c>
      <c r="V102" s="30">
        <v>1</v>
      </c>
    </row>
    <row r="103" spans="1:22" ht="21" customHeight="1" x14ac:dyDescent="0.15">
      <c r="A103" s="2" t="str">
        <f ca="1">input_586100!A$2</f>
        <v>586100</v>
      </c>
      <c r="B103" s="1">
        <v>855</v>
      </c>
      <c r="C103" s="7" t="str">
        <f t="shared" si="7"/>
        <v>Premium5R3less</v>
      </c>
      <c r="D103" s="7" t="str">
        <f t="shared" si="8"/>
        <v>Premium</v>
      </c>
      <c r="E103" s="7" t="str">
        <f>IF(COUNTIF('R6追加前'!A:A,B103)=0,IF(OR(I103="PremiumSS",I103="PremiumSSw"),"R5only","R3less"),"")</f>
        <v>R3less</v>
      </c>
      <c r="F103" s="7" t="str">
        <f>IF(COUNTIF('R6開放'!A:A,B103)&gt;0,"R6release","")</f>
        <v/>
      </c>
      <c r="G103" s="7"/>
      <c r="H103" s="7" t="str">
        <f>VLOOKUP(B103,[1]characters!$A:$C,3,FALSE)</f>
        <v>豹魔の侠客 フラウロス</v>
      </c>
      <c r="I103" s="7" t="str">
        <f>VLOOKUP(B103,[1]characters!$A:$J,10,FALSE)</f>
        <v>PremiumS</v>
      </c>
      <c r="J103" s="7">
        <f>VLOOKUP(B103,[1]characters!$A:$I,9,FALSE)</f>
        <v>5</v>
      </c>
      <c r="K103" s="7" t="str">
        <f>VLOOKUP(B103,[1]characters!$A:$H,8,FALSE)</f>
        <v>yellow</v>
      </c>
      <c r="L103" s="7" t="str">
        <f>VLOOKUP(B103,[1]characters!$A:$K,11,FALSE)</f>
        <v>attack</v>
      </c>
      <c r="M103" s="7" t="str">
        <f>VLOOKUP(B103,[1]characters!$A:$M,13,FALSE)</f>
        <v>animal</v>
      </c>
      <c r="N103" s="7" t="str">
        <f>VLOOKUP(B103,[1]characters!$A:$G,7,FALSE)</f>
        <v>男性</v>
      </c>
      <c r="O103" s="45">
        <f t="shared" si="13"/>
        <v>26208</v>
      </c>
      <c r="P103" s="46">
        <f t="shared" si="12"/>
        <v>1.1097560975609756E-2</v>
      </c>
      <c r="Q103" s="30">
        <v>1</v>
      </c>
      <c r="R103" s="30">
        <v>0</v>
      </c>
      <c r="S103" s="30">
        <v>0</v>
      </c>
      <c r="T103" s="30">
        <v>0</v>
      </c>
      <c r="U103" s="30">
        <v>0</v>
      </c>
      <c r="V103" s="30">
        <v>1</v>
      </c>
    </row>
    <row r="104" spans="1:22" ht="21" customHeight="1" x14ac:dyDescent="0.15">
      <c r="A104" s="2" t="str">
        <f ca="1">input_586100!A$2</f>
        <v>586100</v>
      </c>
      <c r="B104" s="1">
        <v>863</v>
      </c>
      <c r="C104" s="7" t="str">
        <f t="shared" si="7"/>
        <v>Premium5R3less</v>
      </c>
      <c r="D104" s="7" t="str">
        <f t="shared" si="8"/>
        <v>Premium</v>
      </c>
      <c r="E104" s="7" t="str">
        <f>IF(COUNTIF('R6追加前'!A:A,B104)=0,IF(OR(I104="PremiumSS",I104="PremiumSSw"),"R5only","R3less"),"")</f>
        <v>R3less</v>
      </c>
      <c r="F104" s="7" t="str">
        <f>IF(COUNTIF('R6開放'!A:A,B104)&gt;0,"R6release","")</f>
        <v/>
      </c>
      <c r="G104" s="7"/>
      <c r="H104" s="7" t="str">
        <f>VLOOKUP(B104,[1]characters!$A:$C,3,FALSE)</f>
        <v>歓揮の楽団長 ブレーメン</v>
      </c>
      <c r="I104" s="7" t="str">
        <f>VLOOKUP(B104,[1]characters!$A:$J,10,FALSE)</f>
        <v>PremiumS</v>
      </c>
      <c r="J104" s="7">
        <f>VLOOKUP(B104,[1]characters!$A:$I,9,FALSE)</f>
        <v>5</v>
      </c>
      <c r="K104" s="7" t="str">
        <f>VLOOKUP(B104,[1]characters!$A:$H,8,FALSE)</f>
        <v>red</v>
      </c>
      <c r="L104" s="7" t="str">
        <f>VLOOKUP(B104,[1]characters!$A:$K,11,FALSE)</f>
        <v>balance</v>
      </c>
      <c r="M104" s="7" t="str">
        <f>VLOOKUP(B104,[1]characters!$A:$M,13,FALSE)</f>
        <v>animal</v>
      </c>
      <c r="N104" s="7" t="str">
        <f>VLOOKUP(B104,[1]characters!$A:$G,7,FALSE)</f>
        <v>男性</v>
      </c>
      <c r="O104" s="45">
        <f t="shared" si="13"/>
        <v>26208</v>
      </c>
      <c r="P104" s="46">
        <f t="shared" si="12"/>
        <v>1.1097560975609756E-2</v>
      </c>
      <c r="Q104" s="30">
        <v>1</v>
      </c>
      <c r="R104" s="30">
        <v>0</v>
      </c>
      <c r="S104" s="30">
        <v>0</v>
      </c>
      <c r="T104" s="30">
        <v>0</v>
      </c>
      <c r="U104" s="30">
        <v>0</v>
      </c>
      <c r="V104" s="30">
        <v>1</v>
      </c>
    </row>
    <row r="105" spans="1:22" ht="21" customHeight="1" x14ac:dyDescent="0.15">
      <c r="A105" s="2" t="str">
        <f ca="1">input_586100!A$2</f>
        <v>586100</v>
      </c>
      <c r="B105" s="1">
        <v>865</v>
      </c>
      <c r="C105" s="7" t="str">
        <f t="shared" si="7"/>
        <v>Premium5R3less</v>
      </c>
      <c r="D105" s="7" t="str">
        <f t="shared" si="8"/>
        <v>Premium</v>
      </c>
      <c r="E105" s="7" t="str">
        <f>IF(COUNTIF('R6追加前'!A:A,B105)=0,IF(OR(I105="PremiumSS",I105="PremiumSSw"),"R5only","R3less"),"")</f>
        <v>R3less</v>
      </c>
      <c r="F105" s="7" t="str">
        <f>IF(COUNTIF('R6開放'!A:A,B105)&gt;0,"R6release","")</f>
        <v/>
      </c>
      <c r="G105" s="7"/>
      <c r="H105" s="7" t="str">
        <f>VLOOKUP(B105,[1]characters!$A:$C,3,FALSE)</f>
        <v>無情の感線 ピノキオ</v>
      </c>
      <c r="I105" s="7" t="str">
        <f>VLOOKUP(B105,[1]characters!$A:$J,10,FALSE)</f>
        <v>PremiumS</v>
      </c>
      <c r="J105" s="7">
        <f>VLOOKUP(B105,[1]characters!$A:$I,9,FALSE)</f>
        <v>5</v>
      </c>
      <c r="K105" s="7" t="str">
        <f>VLOOKUP(B105,[1]characters!$A:$H,8,FALSE)</f>
        <v>green</v>
      </c>
      <c r="L105" s="7" t="str">
        <f>VLOOKUP(B105,[1]characters!$A:$K,11,FALSE)</f>
        <v>attack</v>
      </c>
      <c r="M105" s="7" t="str">
        <f>VLOOKUP(B105,[1]characters!$A:$M,13,FALSE)</f>
        <v>machine</v>
      </c>
      <c r="N105" s="7" t="str">
        <f>VLOOKUP(B105,[1]characters!$A:$G,7,FALSE)</f>
        <v>男性</v>
      </c>
      <c r="O105" s="45">
        <f t="shared" si="13"/>
        <v>26208</v>
      </c>
      <c r="P105" s="46">
        <f t="shared" si="12"/>
        <v>1.1097560975609756E-2</v>
      </c>
      <c r="Q105" s="30">
        <v>1</v>
      </c>
      <c r="R105" s="30">
        <v>0</v>
      </c>
      <c r="S105" s="30">
        <v>0</v>
      </c>
      <c r="T105" s="30">
        <v>0</v>
      </c>
      <c r="U105" s="30">
        <v>0</v>
      </c>
      <c r="V105" s="30">
        <v>1</v>
      </c>
    </row>
    <row r="106" spans="1:22" ht="21" customHeight="1" x14ac:dyDescent="0.15">
      <c r="A106" s="2" t="str">
        <f ca="1">input_586100!A$2</f>
        <v>586100</v>
      </c>
      <c r="B106" s="1">
        <v>866</v>
      </c>
      <c r="C106" s="7" t="str">
        <f t="shared" si="7"/>
        <v>PremiumSS5R5only</v>
      </c>
      <c r="D106" s="7" t="str">
        <f t="shared" si="8"/>
        <v>PremiumSS</v>
      </c>
      <c r="E106" s="7" t="str">
        <f>IF(COUNTIF('R6追加前'!A:A,B106)=0,IF(OR(I106="PremiumSS",I106="PremiumSSw"),"R5only","R3less"),"")</f>
        <v>R5only</v>
      </c>
      <c r="F106" s="7" t="str">
        <f>IF(COUNTIF('R6開放'!A:A,B106)&gt;0,"R6release","")</f>
        <v/>
      </c>
      <c r="G106" s="7"/>
      <c r="H106" s="7" t="str">
        <f>VLOOKUP(B106,[1]characters!$A:$C,3,FALSE)</f>
        <v>無敗の司令姫 白雪姫</v>
      </c>
      <c r="I106" s="7" t="str">
        <f>VLOOKUP(B106,[1]characters!$A:$J,10,FALSE)</f>
        <v>PremiumSS</v>
      </c>
      <c r="J106" s="7">
        <f>VLOOKUP(B106,[1]characters!$A:$I,9,FALSE)</f>
        <v>5</v>
      </c>
      <c r="K106" s="7" t="str">
        <f>VLOOKUP(B106,[1]characters!$A:$H,8,FALSE)</f>
        <v>blue</v>
      </c>
      <c r="L106" s="7" t="str">
        <f>VLOOKUP(B106,[1]characters!$A:$K,11,FALSE)</f>
        <v>balance</v>
      </c>
      <c r="M106" s="7" t="str">
        <f>VLOOKUP(B106,[1]characters!$A:$M,13,FALSE)</f>
        <v>human</v>
      </c>
      <c r="N106" s="7" t="str">
        <f>VLOOKUP(B106,[1]characters!$A:$G,7,FALSE)</f>
        <v>男性</v>
      </c>
      <c r="O106" s="45">
        <f t="shared" si="13"/>
        <v>2460</v>
      </c>
      <c r="P106" s="46">
        <f t="shared" si="12"/>
        <v>1.0416666666666667E-3</v>
      </c>
      <c r="Q106" s="30">
        <v>1</v>
      </c>
      <c r="R106" s="30">
        <v>0</v>
      </c>
      <c r="S106" s="30">
        <v>0</v>
      </c>
      <c r="T106" s="30">
        <v>0</v>
      </c>
      <c r="U106" s="30">
        <v>0</v>
      </c>
      <c r="V106" s="30">
        <v>1</v>
      </c>
    </row>
    <row r="107" spans="1:22" ht="21" customHeight="1" x14ac:dyDescent="0.15">
      <c r="A107" s="2" t="str">
        <f ca="1">input_586100!A$2</f>
        <v>586100</v>
      </c>
      <c r="B107" s="1">
        <v>868</v>
      </c>
      <c r="C107" s="7" t="str">
        <f t="shared" si="7"/>
        <v>PremiumSS5R5only</v>
      </c>
      <c r="D107" s="7" t="str">
        <f t="shared" si="8"/>
        <v>PremiumSS</v>
      </c>
      <c r="E107" s="7" t="str">
        <f>IF(COUNTIF('R6追加前'!A:A,B107)=0,IF(OR(I107="PremiumSS",I107="PremiumSSw"),"R5only","R3less"),"")</f>
        <v>R5only</v>
      </c>
      <c r="F107" s="7" t="str">
        <f>IF(COUNTIF('R6開放'!A:A,B107)&gt;0,"R6release","")</f>
        <v/>
      </c>
      <c r="G107" s="7"/>
      <c r="H107" s="7" t="str">
        <f>VLOOKUP(B107,[1]characters!$A:$C,3,FALSE)</f>
        <v>アラジンと殲滅機兵LAMP</v>
      </c>
      <c r="I107" s="7" t="str">
        <f>VLOOKUP(B107,[1]characters!$A:$J,10,FALSE)</f>
        <v>PremiumSS</v>
      </c>
      <c r="J107" s="7">
        <f>VLOOKUP(B107,[1]characters!$A:$I,9,FALSE)</f>
        <v>5</v>
      </c>
      <c r="K107" s="7" t="str">
        <f>VLOOKUP(B107,[1]characters!$A:$H,8,FALSE)</f>
        <v>yellow</v>
      </c>
      <c r="L107" s="7" t="str">
        <f>VLOOKUP(B107,[1]characters!$A:$K,11,FALSE)</f>
        <v>hp</v>
      </c>
      <c r="M107" s="7" t="str">
        <f>VLOOKUP(B107,[1]characters!$A:$M,13,FALSE)</f>
        <v>human</v>
      </c>
      <c r="N107" s="7" t="str">
        <f>VLOOKUP(B107,[1]characters!$A:$G,7,FALSE)</f>
        <v>男性</v>
      </c>
      <c r="O107" s="45">
        <f t="shared" si="13"/>
        <v>2460</v>
      </c>
      <c r="P107" s="46">
        <f t="shared" si="12"/>
        <v>1.0416666666666667E-3</v>
      </c>
      <c r="Q107" s="30">
        <v>1</v>
      </c>
      <c r="R107" s="30">
        <v>0</v>
      </c>
      <c r="S107" s="30">
        <v>0</v>
      </c>
      <c r="T107" s="30">
        <v>0</v>
      </c>
      <c r="U107" s="30">
        <v>0</v>
      </c>
      <c r="V107" s="30">
        <v>1</v>
      </c>
    </row>
    <row r="108" spans="1:22" ht="21" customHeight="1" x14ac:dyDescent="0.15">
      <c r="A108" s="2" t="str">
        <f ca="1">input_586100!A$2</f>
        <v>586100</v>
      </c>
      <c r="B108" s="1">
        <v>937</v>
      </c>
      <c r="C108" s="7" t="str">
        <f t="shared" ref="C108:C157" si="14">D108&amp;J108&amp;E108&amp;F108&amp;G108</f>
        <v>PremiumSS5R5only</v>
      </c>
      <c r="D108" s="7" t="str">
        <f t="shared" ref="D108:D157" si="15">IF(OR(I108="PremiumSS",I108="PremiumSSw"),"PremiumSS",IF(I108="PremiumSSS",I108,IF(I108="PremiumW",IF(J108=5,"premium",I108),"Premium")))</f>
        <v>PremiumSS</v>
      </c>
      <c r="E108" s="7" t="str">
        <f>IF(COUNTIF('R6追加前'!A:A,B108)=0,IF(OR(I108="PremiumSS",I108="PremiumSSw"),"R5only","R3less"),"")</f>
        <v>R5only</v>
      </c>
      <c r="F108" s="7" t="str">
        <f>IF(COUNTIF('R6開放'!A:A,B108)&gt;0,"R6release","")</f>
        <v/>
      </c>
      <c r="G108" s="7"/>
      <c r="H108" s="7" t="str">
        <f>VLOOKUP(B108,[1]characters!$A:$C,3,FALSE)</f>
        <v>ナポレオン</v>
      </c>
      <c r="I108" s="7" t="str">
        <f>VLOOKUP(B108,[1]characters!$A:$J,10,FALSE)</f>
        <v>PremiumSS</v>
      </c>
      <c r="J108" s="7">
        <f>VLOOKUP(B108,[1]characters!$A:$I,9,FALSE)</f>
        <v>5</v>
      </c>
      <c r="K108" s="7" t="str">
        <f>VLOOKUP(B108,[1]characters!$A:$H,8,FALSE)</f>
        <v>red</v>
      </c>
      <c r="L108" s="7" t="str">
        <f>VLOOKUP(B108,[1]characters!$A:$K,11,FALSE)</f>
        <v>balance</v>
      </c>
      <c r="M108" s="7" t="str">
        <f>VLOOKUP(B108,[1]characters!$A:$M,13,FALSE)</f>
        <v>human</v>
      </c>
      <c r="N108" s="7" t="str">
        <f>VLOOKUP(B108,[1]characters!$A:$G,7,FALSE)</f>
        <v>男性</v>
      </c>
      <c r="O108" s="45">
        <f t="shared" si="13"/>
        <v>2460</v>
      </c>
      <c r="P108" s="46">
        <f t="shared" si="12"/>
        <v>1.0416666666666667E-3</v>
      </c>
      <c r="Q108" s="30">
        <v>1</v>
      </c>
      <c r="R108" s="30">
        <v>0</v>
      </c>
      <c r="S108" s="30">
        <v>0</v>
      </c>
      <c r="T108" s="30">
        <v>0</v>
      </c>
      <c r="U108" s="30">
        <v>0</v>
      </c>
      <c r="V108" s="30">
        <v>1</v>
      </c>
    </row>
    <row r="109" spans="1:22" ht="21" customHeight="1" x14ac:dyDescent="0.15">
      <c r="A109" s="2" t="str">
        <f ca="1">input_586100!A$2</f>
        <v>586100</v>
      </c>
      <c r="B109" s="1">
        <v>940</v>
      </c>
      <c r="C109" s="7" t="str">
        <f t="shared" si="14"/>
        <v>Premium5R3less</v>
      </c>
      <c r="D109" s="7" t="str">
        <f t="shared" si="15"/>
        <v>Premium</v>
      </c>
      <c r="E109" s="7" t="str">
        <f>IF(COUNTIF('R6追加前'!A:A,B109)=0,IF(OR(I109="PremiumSS",I109="PremiumSSw"),"R5only","R3less"),"")</f>
        <v>R3less</v>
      </c>
      <c r="F109" s="7" t="str">
        <f>IF(COUNTIF('R6開放'!A:A,B109)&gt;0,"R6release","")</f>
        <v/>
      </c>
      <c r="G109" s="7"/>
      <c r="H109" s="7" t="str">
        <f>VLOOKUP(B109,[1]characters!$A:$C,3,FALSE)</f>
        <v>不壊の大要塞 バスティーユ</v>
      </c>
      <c r="I109" s="7" t="str">
        <f>VLOOKUP(B109,[1]characters!$A:$J,10,FALSE)</f>
        <v>PremiumS</v>
      </c>
      <c r="J109" s="7">
        <f>VLOOKUP(B109,[1]characters!$A:$I,9,FALSE)</f>
        <v>5</v>
      </c>
      <c r="K109" s="7" t="str">
        <f>VLOOKUP(B109,[1]characters!$A:$H,8,FALSE)</f>
        <v>green</v>
      </c>
      <c r="L109" s="7" t="str">
        <f>VLOOKUP(B109,[1]characters!$A:$K,11,FALSE)</f>
        <v>hp</v>
      </c>
      <c r="M109" s="7" t="str">
        <f>VLOOKUP(B109,[1]characters!$A:$M,13,FALSE)</f>
        <v>unknown</v>
      </c>
      <c r="N109" s="7" t="str">
        <f>VLOOKUP(B109,[1]characters!$A:$G,7,FALSE)</f>
        <v>男性</v>
      </c>
      <c r="O109" s="45">
        <f t="shared" si="13"/>
        <v>26208</v>
      </c>
      <c r="P109" s="46">
        <f t="shared" si="12"/>
        <v>1.1097560975609756E-2</v>
      </c>
      <c r="Q109" s="30">
        <v>1</v>
      </c>
      <c r="R109" s="30">
        <v>0</v>
      </c>
      <c r="S109" s="30">
        <v>0</v>
      </c>
      <c r="T109" s="30">
        <v>0</v>
      </c>
      <c r="U109" s="30">
        <v>0</v>
      </c>
      <c r="V109" s="30">
        <v>1</v>
      </c>
    </row>
    <row r="110" spans="1:22" ht="21" customHeight="1" x14ac:dyDescent="0.15">
      <c r="A110" s="2" t="str">
        <f ca="1">input_586100!A$2</f>
        <v>586100</v>
      </c>
      <c r="B110" s="1">
        <v>941</v>
      </c>
      <c r="C110" s="7" t="str">
        <f t="shared" si="14"/>
        <v>PremiumSS5R5only</v>
      </c>
      <c r="D110" s="7" t="str">
        <f t="shared" si="15"/>
        <v>PremiumSS</v>
      </c>
      <c r="E110" s="7" t="str">
        <f>IF(COUNTIF('R6追加前'!A:A,B110)=0,IF(OR(I110="PremiumSS",I110="PremiumSSw"),"R5only","R3less"),"")</f>
        <v>R5only</v>
      </c>
      <c r="F110" s="7" t="str">
        <f>IF(COUNTIF('R6開放'!A:A,B110)&gt;0,"R6release","")</f>
        <v/>
      </c>
      <c r="G110" s="7"/>
      <c r="H110" s="7" t="str">
        <f>VLOOKUP(B110,[1]characters!$A:$C,3,FALSE)</f>
        <v>アントワネット</v>
      </c>
      <c r="I110" s="7" t="str">
        <f>VLOOKUP(B110,[1]characters!$A:$J,10,FALSE)</f>
        <v>PremiumSS</v>
      </c>
      <c r="J110" s="7">
        <f>VLOOKUP(B110,[1]characters!$A:$I,9,FALSE)</f>
        <v>5</v>
      </c>
      <c r="K110" s="7" t="str">
        <f>VLOOKUP(B110,[1]characters!$A:$H,8,FALSE)</f>
        <v>blue</v>
      </c>
      <c r="L110" s="7" t="str">
        <f>VLOOKUP(B110,[1]characters!$A:$K,11,FALSE)</f>
        <v>technical</v>
      </c>
      <c r="M110" s="7" t="str">
        <f>VLOOKUP(B110,[1]characters!$A:$M,13,FALSE)</f>
        <v>human</v>
      </c>
      <c r="N110" s="7" t="str">
        <f>VLOOKUP(B110,[1]characters!$A:$G,7,FALSE)</f>
        <v>男性</v>
      </c>
      <c r="O110" s="45">
        <f t="shared" si="13"/>
        <v>2460</v>
      </c>
      <c r="P110" s="46">
        <f t="shared" si="12"/>
        <v>1.0416666666666667E-3</v>
      </c>
      <c r="Q110" s="30">
        <v>1</v>
      </c>
      <c r="R110" s="30">
        <v>0</v>
      </c>
      <c r="S110" s="30">
        <v>0</v>
      </c>
      <c r="T110" s="30">
        <v>0</v>
      </c>
      <c r="U110" s="30">
        <v>0</v>
      </c>
      <c r="V110" s="30">
        <v>1</v>
      </c>
    </row>
    <row r="111" spans="1:22" ht="21" customHeight="1" x14ac:dyDescent="0.15">
      <c r="A111" s="2" t="str">
        <f ca="1">input_586100!A$2</f>
        <v>586100</v>
      </c>
      <c r="B111" s="1">
        <v>943</v>
      </c>
      <c r="C111" s="7" t="str">
        <f t="shared" si="14"/>
        <v>PremiumSS5R5only</v>
      </c>
      <c r="D111" s="7" t="str">
        <f t="shared" si="15"/>
        <v>PremiumSS</v>
      </c>
      <c r="E111" s="7" t="str">
        <f>IF(COUNTIF('R6追加前'!A:A,B111)=0,IF(OR(I111="PremiumSS",I111="PremiumSSw"),"R5only","R3less"),"")</f>
        <v>R5only</v>
      </c>
      <c r="F111" s="7" t="str">
        <f>IF(COUNTIF('R6開放'!A:A,B111)&gt;0,"R6release","")</f>
        <v/>
      </c>
      <c r="G111" s="7"/>
      <c r="H111" s="7" t="str">
        <f>VLOOKUP(B111,[1]characters!$A:$C,3,FALSE)</f>
        <v>サンソン</v>
      </c>
      <c r="I111" s="7" t="str">
        <f>VLOOKUP(B111,[1]characters!$A:$J,10,FALSE)</f>
        <v>PremiumSS</v>
      </c>
      <c r="J111" s="7">
        <f>VLOOKUP(B111,[1]characters!$A:$I,9,FALSE)</f>
        <v>5</v>
      </c>
      <c r="K111" s="7" t="str">
        <f>VLOOKUP(B111,[1]characters!$A:$H,8,FALSE)</f>
        <v>yellow</v>
      </c>
      <c r="L111" s="7" t="str">
        <f>VLOOKUP(B111,[1]characters!$A:$K,11,FALSE)</f>
        <v>attack</v>
      </c>
      <c r="M111" s="7" t="str">
        <f>VLOOKUP(B111,[1]characters!$A:$M,13,FALSE)</f>
        <v>human</v>
      </c>
      <c r="N111" s="7" t="str">
        <f>VLOOKUP(B111,[1]characters!$A:$G,7,FALSE)</f>
        <v>男性</v>
      </c>
      <c r="O111" s="45">
        <f t="shared" si="13"/>
        <v>2460</v>
      </c>
      <c r="P111" s="46">
        <f t="shared" si="12"/>
        <v>1.0416666666666667E-3</v>
      </c>
      <c r="Q111" s="30">
        <v>1</v>
      </c>
      <c r="R111" s="30">
        <v>0</v>
      </c>
      <c r="S111" s="30">
        <v>0</v>
      </c>
      <c r="T111" s="30">
        <v>0</v>
      </c>
      <c r="U111" s="30">
        <v>0</v>
      </c>
      <c r="V111" s="30">
        <v>1</v>
      </c>
    </row>
    <row r="112" spans="1:22" ht="21" customHeight="1" x14ac:dyDescent="0.15">
      <c r="A112" s="2" t="str">
        <f ca="1">input_586100!A$2</f>
        <v>586100</v>
      </c>
      <c r="B112" s="1">
        <v>1012</v>
      </c>
      <c r="C112" s="7" t="str">
        <f t="shared" si="14"/>
        <v>PremiumSS5R5only</v>
      </c>
      <c r="D112" s="7" t="str">
        <f t="shared" si="15"/>
        <v>PremiumSS</v>
      </c>
      <c r="E112" s="7" t="str">
        <f>IF(COUNTIF('R6追加前'!A:A,B112)=0,IF(OR(I112="PremiumSS",I112="PremiumSSw"),"R5only","R3less"),"")</f>
        <v>R5only</v>
      </c>
      <c r="F112" s="7" t="str">
        <f>IF(COUNTIF('R6開放'!A:A,B112)&gt;0,"R6release","")</f>
        <v/>
      </c>
      <c r="G112" s="7"/>
      <c r="H112" s="7" t="str">
        <f>VLOOKUP(B112,[1]characters!$A:$C,3,FALSE)</f>
        <v>ラー</v>
      </c>
      <c r="I112" s="7" t="str">
        <f>VLOOKUP(B112,[1]characters!$A:$J,10,FALSE)</f>
        <v>PremiumSS</v>
      </c>
      <c r="J112" s="7">
        <f>VLOOKUP(B112,[1]characters!$A:$I,9,FALSE)</f>
        <v>5</v>
      </c>
      <c r="K112" s="7" t="str">
        <f>VLOOKUP(B112,[1]characters!$A:$H,8,FALSE)</f>
        <v>red</v>
      </c>
      <c r="L112" s="7" t="str">
        <f>VLOOKUP(B112,[1]characters!$A:$K,11,FALSE)</f>
        <v>balance</v>
      </c>
      <c r="M112" s="7" t="str">
        <f>VLOOKUP(B112,[1]characters!$A:$M,13,FALSE)</f>
        <v>god</v>
      </c>
      <c r="N112" s="7" t="str">
        <f>VLOOKUP(B112,[1]characters!$A:$G,7,FALSE)</f>
        <v>男性</v>
      </c>
      <c r="O112" s="45">
        <f t="shared" si="13"/>
        <v>2460</v>
      </c>
      <c r="P112" s="46">
        <f t="shared" si="12"/>
        <v>1.0416666666666667E-3</v>
      </c>
      <c r="Q112" s="30">
        <v>1</v>
      </c>
      <c r="R112" s="30">
        <v>0</v>
      </c>
      <c r="S112" s="30">
        <v>0</v>
      </c>
      <c r="T112" s="30">
        <v>0</v>
      </c>
      <c r="U112" s="30">
        <v>0</v>
      </c>
      <c r="V112" s="30">
        <v>1</v>
      </c>
    </row>
    <row r="113" spans="1:22" ht="21" customHeight="1" x14ac:dyDescent="0.15">
      <c r="A113" s="2" t="str">
        <f ca="1">input_586100!A$2</f>
        <v>586100</v>
      </c>
      <c r="B113" s="1">
        <v>1014</v>
      </c>
      <c r="C113" s="7" t="str">
        <f t="shared" si="14"/>
        <v>PremiumSS5R5only</v>
      </c>
      <c r="D113" s="7" t="str">
        <f t="shared" si="15"/>
        <v>PremiumSS</v>
      </c>
      <c r="E113" s="7" t="str">
        <f>IF(COUNTIF('R6追加前'!A:A,B113)=0,IF(OR(I113="PremiumSS",I113="PremiumSSw"),"R5only","R3less"),"")</f>
        <v>R5only</v>
      </c>
      <c r="F113" s="7" t="str">
        <f>IF(COUNTIF('R6開放'!A:A,B113)&gt;0,"R6release","")</f>
        <v/>
      </c>
      <c r="G113" s="7"/>
      <c r="H113" s="7" t="str">
        <f>VLOOKUP(B113,[1]characters!$A:$C,3,FALSE)</f>
        <v>イシス</v>
      </c>
      <c r="I113" s="7" t="str">
        <f>VLOOKUP(B113,[1]characters!$A:$J,10,FALSE)</f>
        <v>PremiumSS</v>
      </c>
      <c r="J113" s="7">
        <f>VLOOKUP(B113,[1]characters!$A:$I,9,FALSE)</f>
        <v>5</v>
      </c>
      <c r="K113" s="7" t="str">
        <f>VLOOKUP(B113,[1]characters!$A:$H,8,FALSE)</f>
        <v>green</v>
      </c>
      <c r="L113" s="7" t="str">
        <f>VLOOKUP(B113,[1]characters!$A:$K,11,FALSE)</f>
        <v>hp</v>
      </c>
      <c r="M113" s="7" t="str">
        <f>VLOOKUP(B113,[1]characters!$A:$M,13,FALSE)</f>
        <v>god</v>
      </c>
      <c r="N113" s="7" t="str">
        <f>VLOOKUP(B113,[1]characters!$A:$G,7,FALSE)</f>
        <v>男性</v>
      </c>
      <c r="O113" s="45">
        <f t="shared" si="13"/>
        <v>2460</v>
      </c>
      <c r="P113" s="46">
        <f t="shared" si="12"/>
        <v>1.0416666666666667E-3</v>
      </c>
      <c r="Q113" s="30">
        <v>1</v>
      </c>
      <c r="R113" s="30">
        <v>0</v>
      </c>
      <c r="S113" s="30">
        <v>0</v>
      </c>
      <c r="T113" s="30">
        <v>0</v>
      </c>
      <c r="U113" s="30">
        <v>0</v>
      </c>
      <c r="V113" s="30">
        <v>1</v>
      </c>
    </row>
    <row r="114" spans="1:22" ht="21" customHeight="1" x14ac:dyDescent="0.15">
      <c r="A114" s="2" t="str">
        <f ca="1">input_586100!A$2</f>
        <v>586100</v>
      </c>
      <c r="B114" s="1">
        <v>1017</v>
      </c>
      <c r="C114" s="7" t="str">
        <f t="shared" si="14"/>
        <v>Premium5R3less</v>
      </c>
      <c r="D114" s="7" t="str">
        <f t="shared" si="15"/>
        <v>Premium</v>
      </c>
      <c r="E114" s="7" t="str">
        <f>IF(COUNTIF('R6追加前'!A:A,B114)=0,IF(OR(I114="PremiumSS",I114="PremiumSSw"),"R5only","R3less"),"")</f>
        <v>R3less</v>
      </c>
      <c r="F114" s="7" t="str">
        <f>IF(COUNTIF('R6開放'!A:A,B114)&gt;0,"R6release","")</f>
        <v/>
      </c>
      <c r="G114" s="7"/>
      <c r="H114" s="7" t="str">
        <f>VLOOKUP(B114,[1]characters!$A:$C,3,FALSE)</f>
        <v>命瞳の慈母神 ハトホル</v>
      </c>
      <c r="I114" s="7" t="str">
        <f>VLOOKUP(B114,[1]characters!$A:$J,10,FALSE)</f>
        <v>PremiumS</v>
      </c>
      <c r="J114" s="7">
        <f>VLOOKUP(B114,[1]characters!$A:$I,9,FALSE)</f>
        <v>5</v>
      </c>
      <c r="K114" s="7" t="str">
        <f>VLOOKUP(B114,[1]characters!$A:$H,8,FALSE)</f>
        <v>blue</v>
      </c>
      <c r="L114" s="7" t="str">
        <f>VLOOKUP(B114,[1]characters!$A:$K,11,FALSE)</f>
        <v>heal</v>
      </c>
      <c r="M114" s="7" t="str">
        <f>VLOOKUP(B114,[1]characters!$A:$M,13,FALSE)</f>
        <v>god</v>
      </c>
      <c r="N114" s="7" t="str">
        <f>VLOOKUP(B114,[1]characters!$A:$G,7,FALSE)</f>
        <v>男性</v>
      </c>
      <c r="O114" s="45">
        <f t="shared" si="13"/>
        <v>26208</v>
      </c>
      <c r="P114" s="46">
        <f t="shared" si="12"/>
        <v>1.1097560975609756E-2</v>
      </c>
      <c r="Q114" s="30">
        <v>1</v>
      </c>
      <c r="R114" s="30">
        <v>0</v>
      </c>
      <c r="S114" s="30">
        <v>0</v>
      </c>
      <c r="T114" s="30">
        <v>0</v>
      </c>
      <c r="U114" s="30">
        <v>0</v>
      </c>
      <c r="V114" s="30">
        <v>1</v>
      </c>
    </row>
    <row r="115" spans="1:22" ht="21" customHeight="1" x14ac:dyDescent="0.15">
      <c r="A115" s="2" t="str">
        <f ca="1">input_586100!A$2</f>
        <v>586100</v>
      </c>
      <c r="B115" s="1">
        <v>1018</v>
      </c>
      <c r="C115" s="7" t="str">
        <f t="shared" si="14"/>
        <v>PremiumSS5R5only</v>
      </c>
      <c r="D115" s="7" t="str">
        <f t="shared" si="15"/>
        <v>PremiumSS</v>
      </c>
      <c r="E115" s="7" t="str">
        <f>IF(COUNTIF('R6追加前'!A:A,B115)=0,IF(OR(I115="PremiumSS",I115="PremiumSSw"),"R5only","R3less"),"")</f>
        <v>R5only</v>
      </c>
      <c r="F115" s="7" t="str">
        <f>IF(COUNTIF('R6開放'!A:A,B115)&gt;0,"R6release","")</f>
        <v/>
      </c>
      <c r="G115" s="7"/>
      <c r="H115" s="7" t="str">
        <f>VLOOKUP(B115,[1]characters!$A:$C,3,FALSE)</f>
        <v>バステト</v>
      </c>
      <c r="I115" s="7" t="str">
        <f>VLOOKUP(B115,[1]characters!$A:$J,10,FALSE)</f>
        <v>PremiumSS</v>
      </c>
      <c r="J115" s="7">
        <f>VLOOKUP(B115,[1]characters!$A:$I,9,FALSE)</f>
        <v>5</v>
      </c>
      <c r="K115" s="7" t="str">
        <f>VLOOKUP(B115,[1]characters!$A:$H,8,FALSE)</f>
        <v>yellow</v>
      </c>
      <c r="L115" s="7" t="str">
        <f>VLOOKUP(B115,[1]characters!$A:$K,11,FALSE)</f>
        <v>attack</v>
      </c>
      <c r="M115" s="7" t="str">
        <f>VLOOKUP(B115,[1]characters!$A:$M,13,FALSE)</f>
        <v>god</v>
      </c>
      <c r="N115" s="7" t="str">
        <f>VLOOKUP(B115,[1]characters!$A:$G,7,FALSE)</f>
        <v>男性</v>
      </c>
      <c r="O115" s="45">
        <f t="shared" si="13"/>
        <v>2460</v>
      </c>
      <c r="P115" s="46">
        <f t="shared" si="12"/>
        <v>1.0416666666666667E-3</v>
      </c>
      <c r="Q115" s="30">
        <v>1</v>
      </c>
      <c r="R115" s="30">
        <v>0</v>
      </c>
      <c r="S115" s="30">
        <v>0</v>
      </c>
      <c r="T115" s="30">
        <v>0</v>
      </c>
      <c r="U115" s="30">
        <v>0</v>
      </c>
      <c r="V115" s="30">
        <v>1</v>
      </c>
    </row>
    <row r="116" spans="1:22" ht="21" customHeight="1" x14ac:dyDescent="0.15">
      <c r="A116" s="2" t="str">
        <f ca="1">input_586100!A$2</f>
        <v>586100</v>
      </c>
      <c r="B116" s="1">
        <v>1027</v>
      </c>
      <c r="C116" s="7" t="str">
        <f t="shared" si="14"/>
        <v>Premium5R3less</v>
      </c>
      <c r="D116" s="7" t="str">
        <f t="shared" si="15"/>
        <v>Premium</v>
      </c>
      <c r="E116" s="7" t="str">
        <f>IF(COUNTIF('R6追加前'!A:A,B116)=0,IF(OR(I116="PremiumSS",I116="PremiumSSw"),"R5only","R3less"),"")</f>
        <v>R3less</v>
      </c>
      <c r="F116" s="7" t="str">
        <f>IF(COUNTIF('R6開放'!A:A,B116)&gt;0,"R6release","")</f>
        <v/>
      </c>
      <c r="G116" s="7"/>
      <c r="H116" s="7" t="str">
        <f>VLOOKUP(B116,[1]characters!$A:$C,3,FALSE)</f>
        <v>弾丸多重奏 蝉丸</v>
      </c>
      <c r="I116" s="7" t="str">
        <f>VLOOKUP(B116,[1]characters!$A:$J,10,FALSE)</f>
        <v>PremiumS</v>
      </c>
      <c r="J116" s="7">
        <f>VLOOKUP(B116,[1]characters!$A:$I,9,FALSE)</f>
        <v>5</v>
      </c>
      <c r="K116" s="7" t="str">
        <f>VLOOKUP(B116,[1]characters!$A:$H,8,FALSE)</f>
        <v>red</v>
      </c>
      <c r="L116" s="7" t="str">
        <f>VLOOKUP(B116,[1]characters!$A:$K,11,FALSE)</f>
        <v>attack</v>
      </c>
      <c r="M116" s="7" t="str">
        <f>VLOOKUP(B116,[1]characters!$A:$M,13,FALSE)</f>
        <v>human</v>
      </c>
      <c r="N116" s="7" t="str">
        <f>VLOOKUP(B116,[1]characters!$A:$G,7,FALSE)</f>
        <v>男性</v>
      </c>
      <c r="O116" s="45">
        <f t="shared" si="13"/>
        <v>26208</v>
      </c>
      <c r="P116" s="46">
        <f t="shared" si="12"/>
        <v>1.1097560975609756E-2</v>
      </c>
      <c r="Q116" s="30">
        <v>1</v>
      </c>
      <c r="R116" s="30">
        <v>0</v>
      </c>
      <c r="S116" s="30">
        <v>0</v>
      </c>
      <c r="T116" s="30">
        <v>0</v>
      </c>
      <c r="U116" s="30">
        <v>0</v>
      </c>
      <c r="V116" s="30">
        <v>1</v>
      </c>
    </row>
    <row r="117" spans="1:22" ht="21" customHeight="1" x14ac:dyDescent="0.15">
      <c r="A117" s="2" t="str">
        <f ca="1">input_586100!A$2</f>
        <v>586100</v>
      </c>
      <c r="B117" s="1">
        <v>1028</v>
      </c>
      <c r="C117" s="7" t="str">
        <f t="shared" si="14"/>
        <v>PremiumSS5R5only</v>
      </c>
      <c r="D117" s="7" t="str">
        <f t="shared" si="15"/>
        <v>PremiumSS</v>
      </c>
      <c r="E117" s="7" t="str">
        <f>IF(COUNTIF('R6追加前'!A:A,B117)=0,IF(OR(I117="PremiumSS",I117="PremiumSSw"),"R5only","R3less"),"")</f>
        <v>R5only</v>
      </c>
      <c r="F117" s="7" t="str">
        <f>IF(COUNTIF('R6開放'!A:A,B117)&gt;0,"R6release","")</f>
        <v/>
      </c>
      <c r="G117" s="7"/>
      <c r="H117" s="7" t="str">
        <f>VLOOKUP(B117,[1]characters!$A:$C,3,FALSE)</f>
        <v>牛若丸</v>
      </c>
      <c r="I117" s="7" t="str">
        <f>VLOOKUP(B117,[1]characters!$A:$J,10,FALSE)</f>
        <v>PremiumSS</v>
      </c>
      <c r="J117" s="7">
        <f>VLOOKUP(B117,[1]characters!$A:$I,9,FALSE)</f>
        <v>5</v>
      </c>
      <c r="K117" s="7" t="str">
        <f>VLOOKUP(B117,[1]characters!$A:$H,8,FALSE)</f>
        <v>green</v>
      </c>
      <c r="L117" s="7" t="str">
        <f>VLOOKUP(B117,[1]characters!$A:$K,11,FALSE)</f>
        <v>balance</v>
      </c>
      <c r="M117" s="7" t="str">
        <f>VLOOKUP(B117,[1]characters!$A:$M,13,FALSE)</f>
        <v>human</v>
      </c>
      <c r="N117" s="7" t="str">
        <f>VLOOKUP(B117,[1]characters!$A:$G,7,FALSE)</f>
        <v>男性</v>
      </c>
      <c r="O117" s="45">
        <f t="shared" si="13"/>
        <v>2460</v>
      </c>
      <c r="P117" s="46">
        <f t="shared" si="12"/>
        <v>1.0416666666666667E-3</v>
      </c>
      <c r="Q117" s="30">
        <v>1</v>
      </c>
      <c r="R117" s="30">
        <v>0</v>
      </c>
      <c r="S117" s="30">
        <v>0</v>
      </c>
      <c r="T117" s="30">
        <v>0</v>
      </c>
      <c r="U117" s="30">
        <v>0</v>
      </c>
      <c r="V117" s="30">
        <v>1</v>
      </c>
    </row>
    <row r="118" spans="1:22" ht="21" customHeight="1" x14ac:dyDescent="0.15">
      <c r="A118" s="2" t="str">
        <f ca="1">input_586100!A$2</f>
        <v>586100</v>
      </c>
      <c r="B118" s="1">
        <v>1031</v>
      </c>
      <c r="C118" s="7" t="str">
        <f t="shared" si="14"/>
        <v>PremiumSS5R5only</v>
      </c>
      <c r="D118" s="7" t="str">
        <f t="shared" si="15"/>
        <v>PremiumSS</v>
      </c>
      <c r="E118" s="7" t="str">
        <f>IF(COUNTIF('R6追加前'!A:A,B118)=0,IF(OR(I118="PremiumSS",I118="PremiumSSw"),"R5only","R3less"),"")</f>
        <v>R5only</v>
      </c>
      <c r="F118" s="7" t="str">
        <f>IF(COUNTIF('R6開放'!A:A,B118)&gt;0,"R6release","")</f>
        <v/>
      </c>
      <c r="G118" s="7"/>
      <c r="H118" s="7" t="str">
        <f>VLOOKUP(B118,[1]characters!$A:$C,3,FALSE)</f>
        <v>紫式部</v>
      </c>
      <c r="I118" s="7" t="str">
        <f>VLOOKUP(B118,[1]characters!$A:$J,10,FALSE)</f>
        <v>PremiumSS</v>
      </c>
      <c r="J118" s="7">
        <f>VLOOKUP(B118,[1]characters!$A:$I,9,FALSE)</f>
        <v>5</v>
      </c>
      <c r="K118" s="7" t="str">
        <f>VLOOKUP(B118,[1]characters!$A:$H,8,FALSE)</f>
        <v>blue</v>
      </c>
      <c r="L118" s="7" t="str">
        <f>VLOOKUP(B118,[1]characters!$A:$K,11,FALSE)</f>
        <v>technical</v>
      </c>
      <c r="M118" s="7" t="str">
        <f>VLOOKUP(B118,[1]characters!$A:$M,13,FALSE)</f>
        <v>human</v>
      </c>
      <c r="N118" s="7" t="str">
        <f>VLOOKUP(B118,[1]characters!$A:$G,7,FALSE)</f>
        <v>男性</v>
      </c>
      <c r="O118" s="45">
        <f>VLOOKUP(D118,$W$2:$Y$4,3,FALSE)</f>
        <v>2460</v>
      </c>
      <c r="P118" s="46">
        <f t="shared" si="12"/>
        <v>1.0416666666666667E-3</v>
      </c>
      <c r="Q118" s="30">
        <v>1</v>
      </c>
      <c r="R118" s="30">
        <v>0</v>
      </c>
      <c r="S118" s="30">
        <v>0</v>
      </c>
      <c r="T118" s="30">
        <v>0</v>
      </c>
      <c r="U118" s="30">
        <v>0</v>
      </c>
      <c r="V118" s="30">
        <v>1</v>
      </c>
    </row>
    <row r="119" spans="1:22" ht="21" customHeight="1" x14ac:dyDescent="0.15">
      <c r="A119" s="2" t="str">
        <f ca="1">input_586100!A$2</f>
        <v>586100</v>
      </c>
      <c r="B119" s="1">
        <v>1033</v>
      </c>
      <c r="C119" s="7" t="str">
        <f t="shared" si="14"/>
        <v>PremiumSS5R5only</v>
      </c>
      <c r="D119" s="7" t="str">
        <f t="shared" si="15"/>
        <v>PremiumSS</v>
      </c>
      <c r="E119" s="7" t="str">
        <f>IF(COUNTIF('R6追加前'!A:A,B119)=0,IF(OR(I119="PremiumSS",I119="PremiumSSw"),"R5only","R3less"),"")</f>
        <v>R5only</v>
      </c>
      <c r="F119" s="7" t="str">
        <f>IF(COUNTIF('R6開放'!A:A,B119)&gt;0,"R6release","")</f>
        <v/>
      </c>
      <c r="G119" s="7"/>
      <c r="H119" s="7" t="str">
        <f>VLOOKUP(B119,[1]characters!$A:$C,3,FALSE)</f>
        <v>清少納言</v>
      </c>
      <c r="I119" s="7" t="str">
        <f>VLOOKUP(B119,[1]characters!$A:$J,10,FALSE)</f>
        <v>PremiumSS</v>
      </c>
      <c r="J119" s="7">
        <f>VLOOKUP(B119,[1]characters!$A:$I,9,FALSE)</f>
        <v>5</v>
      </c>
      <c r="K119" s="7" t="str">
        <f>VLOOKUP(B119,[1]characters!$A:$H,8,FALSE)</f>
        <v>yellow</v>
      </c>
      <c r="L119" s="7" t="str">
        <f>VLOOKUP(B119,[1]characters!$A:$K,11,FALSE)</f>
        <v>heal</v>
      </c>
      <c r="M119" s="7" t="str">
        <f>VLOOKUP(B119,[1]characters!$A:$M,13,FALSE)</f>
        <v>human</v>
      </c>
      <c r="N119" s="7" t="str">
        <f>VLOOKUP(B119,[1]characters!$A:$G,7,FALSE)</f>
        <v>男性</v>
      </c>
      <c r="O119" s="45">
        <f t="shared" ref="O119:O148" si="16">VLOOKUP(D119,$W$2:$Y$4,3,FALSE)</f>
        <v>2460</v>
      </c>
      <c r="P119" s="46">
        <f t="shared" si="12"/>
        <v>1.0416666666666667E-3</v>
      </c>
      <c r="Q119" s="30">
        <v>1</v>
      </c>
      <c r="R119" s="30">
        <v>0</v>
      </c>
      <c r="S119" s="30">
        <v>0</v>
      </c>
      <c r="T119" s="30">
        <v>0</v>
      </c>
      <c r="U119" s="30">
        <v>0</v>
      </c>
      <c r="V119" s="30">
        <v>1</v>
      </c>
    </row>
    <row r="120" spans="1:22" ht="21" customHeight="1" x14ac:dyDescent="0.15">
      <c r="A120" s="2" t="str">
        <f ca="1">input_586100!A$2</f>
        <v>586100</v>
      </c>
      <c r="B120" s="1">
        <v>1068</v>
      </c>
      <c r="C120" s="7" t="str">
        <f t="shared" si="14"/>
        <v>Premium5R3less</v>
      </c>
      <c r="D120" s="7" t="str">
        <f t="shared" si="15"/>
        <v>Premium</v>
      </c>
      <c r="E120" s="7" t="str">
        <f>IF(COUNTIF('R6追加前'!A:A,B120)=0,IF(OR(I120="PremiumSS",I120="PremiumSSw"),"R5only","R3less"),"")</f>
        <v>R3less</v>
      </c>
      <c r="F120" s="7" t="str">
        <f>IF(COUNTIF('R6開放'!A:A,B120)&gt;0,"R6release","")</f>
        <v/>
      </c>
      <c r="G120" s="7"/>
      <c r="H120" s="7" t="str">
        <f>VLOOKUP(B120,[1]characters!$A:$C,3,FALSE)</f>
        <v>想母の羽龍 ウシュムガル</v>
      </c>
      <c r="I120" s="7" t="str">
        <f>VLOOKUP(B120,[1]characters!$A:$J,10,FALSE)</f>
        <v>PremiumS</v>
      </c>
      <c r="J120" s="7">
        <f>VLOOKUP(B120,[1]characters!$A:$I,9,FALSE)</f>
        <v>5</v>
      </c>
      <c r="K120" s="7" t="str">
        <f>VLOOKUP(B120,[1]characters!$A:$H,8,FALSE)</f>
        <v>red</v>
      </c>
      <c r="L120" s="7" t="str">
        <f>VLOOKUP(B120,[1]characters!$A:$K,11,FALSE)</f>
        <v>balance</v>
      </c>
      <c r="M120" s="7" t="str">
        <f>VLOOKUP(B120,[1]characters!$A:$M,13,FALSE)</f>
        <v>dragon</v>
      </c>
      <c r="N120" s="7" t="str">
        <f>VLOOKUP(B120,[1]characters!$A:$G,7,FALSE)</f>
        <v>男性</v>
      </c>
      <c r="O120" s="45">
        <f t="shared" si="16"/>
        <v>26208</v>
      </c>
      <c r="P120" s="46">
        <f t="shared" si="12"/>
        <v>1.1097560975609756E-2</v>
      </c>
      <c r="Q120" s="30">
        <v>1</v>
      </c>
      <c r="R120" s="30">
        <v>0</v>
      </c>
      <c r="S120" s="30">
        <v>0</v>
      </c>
      <c r="T120" s="30">
        <v>0</v>
      </c>
      <c r="U120" s="30">
        <v>0</v>
      </c>
      <c r="V120" s="30">
        <v>1</v>
      </c>
    </row>
    <row r="121" spans="1:22" ht="21" customHeight="1" x14ac:dyDescent="0.15">
      <c r="A121" s="2" t="str">
        <f ca="1">input_586100!A$2</f>
        <v>586100</v>
      </c>
      <c r="B121" s="1">
        <v>1069</v>
      </c>
      <c r="C121" s="7" t="str">
        <f t="shared" si="14"/>
        <v>PremiumSS5R5only</v>
      </c>
      <c r="D121" s="7" t="str">
        <f t="shared" si="15"/>
        <v>PremiumSS</v>
      </c>
      <c r="E121" s="7" t="str">
        <f>IF(COUNTIF('R6追加前'!A:A,B121)=0,IF(OR(I121="PremiumSS",I121="PremiumSSw"),"R5only","R3less"),"")</f>
        <v>R5only</v>
      </c>
      <c r="F121" s="7" t="str">
        <f>IF(COUNTIF('R6開放'!A:A,B121)&gt;0,"R6release","")</f>
        <v/>
      </c>
      <c r="G121" s="7"/>
      <c r="H121" s="7" t="str">
        <f>VLOOKUP(B121,[1]characters!$A:$C,3,FALSE)</f>
        <v>イシュタル</v>
      </c>
      <c r="I121" s="7" t="str">
        <f>VLOOKUP(B121,[1]characters!$A:$J,10,FALSE)</f>
        <v>PremiumSS</v>
      </c>
      <c r="J121" s="7">
        <f>VLOOKUP(B121,[1]characters!$A:$I,9,FALSE)</f>
        <v>5</v>
      </c>
      <c r="K121" s="7" t="str">
        <f>VLOOKUP(B121,[1]characters!$A:$H,8,FALSE)</f>
        <v>green</v>
      </c>
      <c r="L121" s="7" t="str">
        <f>VLOOKUP(B121,[1]characters!$A:$K,11,FALSE)</f>
        <v>technical</v>
      </c>
      <c r="M121" s="7" t="str">
        <f>VLOOKUP(B121,[1]characters!$A:$M,13,FALSE)</f>
        <v>god</v>
      </c>
      <c r="N121" s="7" t="str">
        <f>VLOOKUP(B121,[1]characters!$A:$G,7,FALSE)</f>
        <v>男性</v>
      </c>
      <c r="O121" s="45">
        <f t="shared" si="16"/>
        <v>2460</v>
      </c>
      <c r="P121" s="46">
        <f t="shared" si="12"/>
        <v>1.0416666666666667E-3</v>
      </c>
      <c r="Q121" s="30">
        <v>1</v>
      </c>
      <c r="R121" s="30">
        <v>0</v>
      </c>
      <c r="S121" s="30">
        <v>0</v>
      </c>
      <c r="T121" s="30">
        <v>0</v>
      </c>
      <c r="U121" s="30">
        <v>0</v>
      </c>
      <c r="V121" s="30">
        <v>1</v>
      </c>
    </row>
    <row r="122" spans="1:22" ht="21" customHeight="1" x14ac:dyDescent="0.15">
      <c r="A122" s="2" t="str">
        <f ca="1">input_586100!A$2</f>
        <v>586100</v>
      </c>
      <c r="B122" s="1">
        <v>1072</v>
      </c>
      <c r="C122" s="7" t="str">
        <f t="shared" si="14"/>
        <v>PremiumSS5R5only</v>
      </c>
      <c r="D122" s="7" t="str">
        <f t="shared" si="15"/>
        <v>PremiumSS</v>
      </c>
      <c r="E122" s="7" t="str">
        <f>IF(COUNTIF('R6追加前'!A:A,B122)=0,IF(OR(I122="PremiumSS",I122="PremiumSSw"),"R5only","R3less"),"")</f>
        <v>R5only</v>
      </c>
      <c r="F122" s="7" t="str">
        <f>IF(COUNTIF('R6開放'!A:A,B122)&gt;0,"R6release","")</f>
        <v/>
      </c>
      <c r="G122" s="7"/>
      <c r="H122" s="7" t="str">
        <f>VLOOKUP(B122,[1]characters!$A:$C,3,FALSE)</f>
        <v>エンキドゥ</v>
      </c>
      <c r="I122" s="7" t="str">
        <f>VLOOKUP(B122,[1]characters!$A:$J,10,FALSE)</f>
        <v>PremiumSSw</v>
      </c>
      <c r="J122" s="7">
        <f>VLOOKUP(B122,[1]characters!$A:$I,9,FALSE)</f>
        <v>5</v>
      </c>
      <c r="K122" s="7" t="str">
        <f>VLOOKUP(B122,[1]characters!$A:$H,8,FALSE)</f>
        <v>blue</v>
      </c>
      <c r="L122" s="7" t="str">
        <f>VLOOKUP(B122,[1]characters!$A:$K,11,FALSE)</f>
        <v>attack</v>
      </c>
      <c r="M122" s="7" t="str">
        <f>VLOOKUP(B122,[1]characters!$A:$M,13,FALSE)</f>
        <v>human</v>
      </c>
      <c r="N122" s="7" t="str">
        <f>VLOOKUP(B122,[1]characters!$A:$G,7,FALSE)</f>
        <v>男性</v>
      </c>
      <c r="O122" s="45">
        <f t="shared" si="16"/>
        <v>2460</v>
      </c>
      <c r="P122" s="46">
        <f t="shared" si="12"/>
        <v>1.0416666666666667E-3</v>
      </c>
      <c r="Q122" s="30">
        <v>1</v>
      </c>
      <c r="R122" s="30">
        <v>0</v>
      </c>
      <c r="S122" s="30">
        <v>0</v>
      </c>
      <c r="T122" s="30">
        <v>0</v>
      </c>
      <c r="U122" s="30">
        <v>0</v>
      </c>
      <c r="V122" s="30">
        <v>1</v>
      </c>
    </row>
    <row r="123" spans="1:22" ht="21" customHeight="1" x14ac:dyDescent="0.15">
      <c r="A123" s="2" t="str">
        <f ca="1">input_586100!A$2</f>
        <v>586100</v>
      </c>
      <c r="B123" s="1">
        <v>1074</v>
      </c>
      <c r="C123" s="7" t="str">
        <f t="shared" si="14"/>
        <v>PremiumSS5R5only</v>
      </c>
      <c r="D123" s="7" t="str">
        <f t="shared" si="15"/>
        <v>PremiumSS</v>
      </c>
      <c r="E123" s="7" t="str">
        <f>IF(COUNTIF('R6追加前'!A:A,B123)=0,IF(OR(I123="PremiumSS",I123="PremiumSSw"),"R5only","R3less"),"")</f>
        <v>R5only</v>
      </c>
      <c r="F123" s="7" t="str">
        <f>IF(COUNTIF('R6開放'!A:A,B123)&gt;0,"R6release","")</f>
        <v/>
      </c>
      <c r="G123" s="7"/>
      <c r="H123" s="7" t="str">
        <f>VLOOKUP(B123,[1]characters!$A:$C,3,FALSE)</f>
        <v>マルドゥク</v>
      </c>
      <c r="I123" s="7" t="str">
        <f>VLOOKUP(B123,[1]characters!$A:$J,10,FALSE)</f>
        <v>PremiumSS</v>
      </c>
      <c r="J123" s="7">
        <f>VLOOKUP(B123,[1]characters!$A:$I,9,FALSE)</f>
        <v>5</v>
      </c>
      <c r="K123" s="7" t="str">
        <f>VLOOKUP(B123,[1]characters!$A:$H,8,FALSE)</f>
        <v>yellow</v>
      </c>
      <c r="L123" s="7" t="str">
        <f>VLOOKUP(B123,[1]characters!$A:$K,11,FALSE)</f>
        <v>technical</v>
      </c>
      <c r="M123" s="7" t="str">
        <f>VLOOKUP(B123,[1]characters!$A:$M,13,FALSE)</f>
        <v>god</v>
      </c>
      <c r="N123" s="7" t="str">
        <f>VLOOKUP(B123,[1]characters!$A:$G,7,FALSE)</f>
        <v>男性</v>
      </c>
      <c r="O123" s="45">
        <f t="shared" si="16"/>
        <v>2460</v>
      </c>
      <c r="P123" s="46">
        <f t="shared" si="12"/>
        <v>1.0416666666666667E-3</v>
      </c>
      <c r="Q123" s="30">
        <v>1</v>
      </c>
      <c r="R123" s="30">
        <v>0</v>
      </c>
      <c r="S123" s="30">
        <v>0</v>
      </c>
      <c r="T123" s="30">
        <v>0</v>
      </c>
      <c r="U123" s="30">
        <v>0</v>
      </c>
      <c r="V123" s="30">
        <v>1</v>
      </c>
    </row>
    <row r="124" spans="1:22" ht="21" customHeight="1" x14ac:dyDescent="0.15">
      <c r="A124" s="2" t="str">
        <f ca="1">input_586100!A$2</f>
        <v>586100</v>
      </c>
      <c r="B124" s="1">
        <v>1100</v>
      </c>
      <c r="C124" s="7" t="str">
        <f t="shared" si="14"/>
        <v>PremiumSS5R5only</v>
      </c>
      <c r="D124" s="7" t="str">
        <f t="shared" si="15"/>
        <v>PremiumSS</v>
      </c>
      <c r="E124" s="7" t="str">
        <f>IF(COUNTIF('R6追加前'!A:A,B124)=0,IF(OR(I124="PremiumSS",I124="PremiumSSw"),"R5only","R3less"),"")</f>
        <v>R5only</v>
      </c>
      <c r="F124" s="7" t="str">
        <f>IF(COUNTIF('R6開放'!A:A,B124)&gt;0,"R6release","")</f>
        <v/>
      </c>
      <c r="G124" s="7"/>
      <c r="H124" s="7" t="str">
        <f>VLOOKUP(B124,[1]characters!$A:$C,3,FALSE)</f>
        <v>北斎</v>
      </c>
      <c r="I124" s="7" t="str">
        <f>VLOOKUP(B124,[1]characters!$A:$J,10,FALSE)</f>
        <v>PremiumSS</v>
      </c>
      <c r="J124" s="7">
        <f>VLOOKUP(B124,[1]characters!$A:$I,9,FALSE)</f>
        <v>5</v>
      </c>
      <c r="K124" s="7" t="str">
        <f>VLOOKUP(B124,[1]characters!$A:$H,8,FALSE)</f>
        <v>red</v>
      </c>
      <c r="L124" s="7" t="str">
        <f>VLOOKUP(B124,[1]characters!$A:$K,11,FALSE)</f>
        <v>attack</v>
      </c>
      <c r="M124" s="7" t="str">
        <f>VLOOKUP(B124,[1]characters!$A:$M,13,FALSE)</f>
        <v>human</v>
      </c>
      <c r="N124" s="7" t="str">
        <f>VLOOKUP(B124,[1]characters!$A:$G,7,FALSE)</f>
        <v>不明</v>
      </c>
      <c r="O124" s="45">
        <f t="shared" si="16"/>
        <v>2460</v>
      </c>
      <c r="P124" s="46">
        <f t="shared" si="12"/>
        <v>1.0416666666666667E-3</v>
      </c>
      <c r="Q124" s="30">
        <v>1</v>
      </c>
      <c r="R124" s="30">
        <v>0</v>
      </c>
      <c r="S124" s="30">
        <v>0</v>
      </c>
      <c r="T124" s="30">
        <v>0</v>
      </c>
      <c r="U124" s="30">
        <v>0</v>
      </c>
      <c r="V124" s="30">
        <v>1</v>
      </c>
    </row>
    <row r="125" spans="1:22" ht="21" customHeight="1" x14ac:dyDescent="0.15">
      <c r="A125" s="2" t="str">
        <f ca="1">input_586100!A$2</f>
        <v>586100</v>
      </c>
      <c r="B125" s="1">
        <v>1102</v>
      </c>
      <c r="C125" s="7" t="str">
        <f t="shared" si="14"/>
        <v>PremiumSS5R5only</v>
      </c>
      <c r="D125" s="7" t="str">
        <f t="shared" si="15"/>
        <v>PremiumSS</v>
      </c>
      <c r="E125" s="7" t="str">
        <f>IF(COUNTIF('R6追加前'!A:A,B125)=0,IF(OR(I125="PremiumSS",I125="PremiumSSw"),"R5only","R3less"),"")</f>
        <v>R5only</v>
      </c>
      <c r="F125" s="7" t="str">
        <f>IF(COUNTIF('R6開放'!A:A,B125)&gt;0,"R6release","")</f>
        <v/>
      </c>
      <c r="G125" s="7"/>
      <c r="H125" s="7" t="str">
        <f>VLOOKUP(B125,[1]characters!$A:$C,3,FALSE)</f>
        <v>ドガ</v>
      </c>
      <c r="I125" s="7" t="str">
        <f>VLOOKUP(B125,[1]characters!$A:$J,10,FALSE)</f>
        <v>PremiumSSw</v>
      </c>
      <c r="J125" s="7">
        <f>VLOOKUP(B125,[1]characters!$A:$I,9,FALSE)</f>
        <v>5</v>
      </c>
      <c r="K125" s="7" t="str">
        <f>VLOOKUP(B125,[1]characters!$A:$H,8,FALSE)</f>
        <v>green</v>
      </c>
      <c r="L125" s="7" t="str">
        <f>VLOOKUP(B125,[1]characters!$A:$K,11,FALSE)</f>
        <v>balance</v>
      </c>
      <c r="M125" s="7" t="str">
        <f>VLOOKUP(B125,[1]characters!$A:$M,13,FALSE)</f>
        <v>animal</v>
      </c>
      <c r="N125" s="7" t="str">
        <f>VLOOKUP(B125,[1]characters!$A:$G,7,FALSE)</f>
        <v>不明</v>
      </c>
      <c r="O125" s="45">
        <f t="shared" si="16"/>
        <v>2460</v>
      </c>
      <c r="P125" s="46">
        <f t="shared" si="12"/>
        <v>1.0416666666666667E-3</v>
      </c>
      <c r="Q125" s="30">
        <v>1</v>
      </c>
      <c r="R125" s="30">
        <v>0</v>
      </c>
      <c r="S125" s="30">
        <v>0</v>
      </c>
      <c r="T125" s="30">
        <v>0</v>
      </c>
      <c r="U125" s="30">
        <v>0</v>
      </c>
      <c r="V125" s="30">
        <v>1</v>
      </c>
    </row>
    <row r="126" spans="1:22" ht="21" customHeight="1" x14ac:dyDescent="0.15">
      <c r="A126" s="2" t="str">
        <f ca="1">input_586100!A$2</f>
        <v>586100</v>
      </c>
      <c r="B126" s="1">
        <v>1105</v>
      </c>
      <c r="C126" s="7" t="str">
        <f t="shared" si="14"/>
        <v>Premium5R3less</v>
      </c>
      <c r="D126" s="7" t="str">
        <f t="shared" si="15"/>
        <v>Premium</v>
      </c>
      <c r="E126" s="7" t="str">
        <f>IF(COUNTIF('R6追加前'!A:A,B126)=0,IF(OR(I126="PremiumSS",I126="PremiumSSw"),"R5only","R3less"),"")</f>
        <v>R3less</v>
      </c>
      <c r="F126" s="7" t="str">
        <f>IF(COUNTIF('R6開放'!A:A,B126)&gt;0,"R6release","")</f>
        <v/>
      </c>
      <c r="G126" s="7"/>
      <c r="H126" s="7" t="str">
        <f>VLOOKUP(B126,[1]characters!$A:$C,3,FALSE)</f>
        <v>甘美なる背徳 クリムト</v>
      </c>
      <c r="I126" s="7" t="str">
        <f>VLOOKUP(B126,[1]characters!$A:$J,10,FALSE)</f>
        <v>PremiumS</v>
      </c>
      <c r="J126" s="7">
        <f>VLOOKUP(B126,[1]characters!$A:$I,9,FALSE)</f>
        <v>5</v>
      </c>
      <c r="K126" s="7" t="str">
        <f>VLOOKUP(B126,[1]characters!$A:$H,8,FALSE)</f>
        <v>blue</v>
      </c>
      <c r="L126" s="7" t="str">
        <f>VLOOKUP(B126,[1]characters!$A:$K,11,FALSE)</f>
        <v>technical</v>
      </c>
      <c r="M126" s="7" t="str">
        <f>VLOOKUP(B126,[1]characters!$A:$M,13,FALSE)</f>
        <v>human</v>
      </c>
      <c r="N126" s="7" t="str">
        <f>VLOOKUP(B126,[1]characters!$A:$G,7,FALSE)</f>
        <v>不明</v>
      </c>
      <c r="O126" s="45">
        <f t="shared" si="16"/>
        <v>26208</v>
      </c>
      <c r="P126" s="46">
        <f t="shared" si="12"/>
        <v>1.1097560975609756E-2</v>
      </c>
      <c r="Q126" s="30">
        <v>1</v>
      </c>
      <c r="R126" s="30">
        <v>0</v>
      </c>
      <c r="S126" s="30">
        <v>0</v>
      </c>
      <c r="T126" s="30">
        <v>0</v>
      </c>
      <c r="U126" s="30">
        <v>0</v>
      </c>
      <c r="V126" s="30">
        <v>1</v>
      </c>
    </row>
    <row r="127" spans="1:22" ht="21" customHeight="1" x14ac:dyDescent="0.15">
      <c r="A127" s="2" t="str">
        <f ca="1">input_586100!A$2</f>
        <v>586100</v>
      </c>
      <c r="B127" s="1">
        <v>1106</v>
      </c>
      <c r="C127" s="7" t="str">
        <f t="shared" si="14"/>
        <v>PremiumSS5R5only</v>
      </c>
      <c r="D127" s="7" t="str">
        <f t="shared" si="15"/>
        <v>PremiumSS</v>
      </c>
      <c r="E127" s="7" t="str">
        <f>IF(COUNTIF('R6追加前'!A:A,B127)=0,IF(OR(I127="PremiumSS",I127="PremiumSSw"),"R5only","R3less"),"")</f>
        <v>R5only</v>
      </c>
      <c r="F127" s="7" t="str">
        <f>IF(COUNTIF('R6開放'!A:A,B127)&gt;0,"R6release","")</f>
        <v/>
      </c>
      <c r="G127" s="7"/>
      <c r="H127" s="7" t="str">
        <f>VLOOKUP(B127,[1]characters!$A:$C,3,FALSE)</f>
        <v>ラファエロ</v>
      </c>
      <c r="I127" s="7" t="str">
        <f>VLOOKUP(B127,[1]characters!$A:$J,10,FALSE)</f>
        <v>PremiumSS</v>
      </c>
      <c r="J127" s="7">
        <f>VLOOKUP(B127,[1]characters!$A:$I,9,FALSE)</f>
        <v>5</v>
      </c>
      <c r="K127" s="7" t="str">
        <f>VLOOKUP(B127,[1]characters!$A:$H,8,FALSE)</f>
        <v>yellow</v>
      </c>
      <c r="L127" s="7" t="str">
        <f>VLOOKUP(B127,[1]characters!$A:$K,11,FALSE)</f>
        <v>attack</v>
      </c>
      <c r="M127" s="7" t="str">
        <f>VLOOKUP(B127,[1]characters!$A:$M,13,FALSE)</f>
        <v>human</v>
      </c>
      <c r="N127" s="7" t="str">
        <f>VLOOKUP(B127,[1]characters!$A:$G,7,FALSE)</f>
        <v>不明</v>
      </c>
      <c r="O127" s="45">
        <f t="shared" si="16"/>
        <v>2460</v>
      </c>
      <c r="P127" s="46">
        <f t="shared" si="12"/>
        <v>1.0416666666666667E-3</v>
      </c>
      <c r="Q127" s="30">
        <v>1</v>
      </c>
      <c r="R127" s="30">
        <v>0</v>
      </c>
      <c r="S127" s="30">
        <v>0</v>
      </c>
      <c r="T127" s="30">
        <v>0</v>
      </c>
      <c r="U127" s="30">
        <v>0</v>
      </c>
      <c r="V127" s="30">
        <v>1</v>
      </c>
    </row>
    <row r="128" spans="1:22" ht="21" customHeight="1" x14ac:dyDescent="0.15">
      <c r="A128" s="2" t="str">
        <f ca="1">input_586100!A$2</f>
        <v>586100</v>
      </c>
      <c r="B128" s="1">
        <v>1137</v>
      </c>
      <c r="C128" s="7" t="str">
        <f t="shared" si="14"/>
        <v>PremiumSS5R5only</v>
      </c>
      <c r="D128" s="7" t="str">
        <f t="shared" si="15"/>
        <v>PremiumSS</v>
      </c>
      <c r="E128" s="7" t="str">
        <f>IF(COUNTIF('R6追加前'!A:A,B128)=0,IF(OR(I128="PremiumSS",I128="PremiumSSw"),"R5only","R3less"),"")</f>
        <v>R5only</v>
      </c>
      <c r="F128" s="7" t="str">
        <f>IF(COUNTIF('R6開放'!A:A,B128)&gt;0,"R6release","")</f>
        <v/>
      </c>
      <c r="G128" s="7"/>
      <c r="H128" s="7" t="str">
        <f>VLOOKUP(B128,[1]characters!$A:$C,3,FALSE)</f>
        <v>諸葛亮</v>
      </c>
      <c r="I128" s="7" t="str">
        <f>VLOOKUP(B128,[1]characters!$A:$J,10,FALSE)</f>
        <v>PremiumSSw</v>
      </c>
      <c r="J128" s="7">
        <f>VLOOKUP(B128,[1]characters!$A:$I,9,FALSE)</f>
        <v>5</v>
      </c>
      <c r="K128" s="7" t="str">
        <f>VLOOKUP(B128,[1]characters!$A:$H,8,FALSE)</f>
        <v>red</v>
      </c>
      <c r="L128" s="7" t="str">
        <f>VLOOKUP(B128,[1]characters!$A:$K,11,FALSE)</f>
        <v>technical</v>
      </c>
      <c r="M128" s="7" t="str">
        <f>VLOOKUP(B128,[1]characters!$A:$M,13,FALSE)</f>
        <v>samurai</v>
      </c>
      <c r="N128" s="7" t="str">
        <f>VLOOKUP(B128,[1]characters!$A:$G,7,FALSE)</f>
        <v>不明</v>
      </c>
      <c r="O128" s="45">
        <f t="shared" si="16"/>
        <v>2460</v>
      </c>
      <c r="P128" s="46">
        <f t="shared" si="12"/>
        <v>1.0416666666666667E-3</v>
      </c>
      <c r="Q128" s="30">
        <v>1</v>
      </c>
      <c r="R128" s="30">
        <v>0</v>
      </c>
      <c r="S128" s="30">
        <v>0</v>
      </c>
      <c r="T128" s="30">
        <v>0</v>
      </c>
      <c r="U128" s="30">
        <v>0</v>
      </c>
      <c r="V128" s="30">
        <v>1</v>
      </c>
    </row>
    <row r="129" spans="1:22" ht="21" customHeight="1" x14ac:dyDescent="0.15">
      <c r="A129" s="2" t="str">
        <f ca="1">input_586100!A$2</f>
        <v>586100</v>
      </c>
      <c r="B129" s="1">
        <v>1139</v>
      </c>
      <c r="C129" s="7" t="str">
        <f t="shared" si="14"/>
        <v>PremiumSS5R5only</v>
      </c>
      <c r="D129" s="7" t="str">
        <f t="shared" si="15"/>
        <v>PremiumSS</v>
      </c>
      <c r="E129" s="7" t="str">
        <f>IF(COUNTIF('R6追加前'!A:A,B129)=0,IF(OR(I129="PremiumSS",I129="PremiumSSw"),"R5only","R3less"),"")</f>
        <v>R5only</v>
      </c>
      <c r="F129" s="7" t="str">
        <f>IF(COUNTIF('R6開放'!A:A,B129)&gt;0,"R6release","")</f>
        <v/>
      </c>
      <c r="G129" s="7"/>
      <c r="H129" s="7" t="str">
        <f>VLOOKUP(B129,[1]characters!$A:$C,3,FALSE)</f>
        <v>趙雲</v>
      </c>
      <c r="I129" s="7" t="str">
        <f>VLOOKUP(B129,[1]characters!$A:$J,10,FALSE)</f>
        <v>PremiumSS</v>
      </c>
      <c r="J129" s="7">
        <f>VLOOKUP(B129,[1]characters!$A:$I,9,FALSE)</f>
        <v>5</v>
      </c>
      <c r="K129" s="7" t="str">
        <f>VLOOKUP(B129,[1]characters!$A:$H,8,FALSE)</f>
        <v>green</v>
      </c>
      <c r="L129" s="7" t="str">
        <f>VLOOKUP(B129,[1]characters!$A:$K,11,FALSE)</f>
        <v>balance</v>
      </c>
      <c r="M129" s="7" t="str">
        <f>VLOOKUP(B129,[1]characters!$A:$M,13,FALSE)</f>
        <v>samurai</v>
      </c>
      <c r="N129" s="7" t="str">
        <f>VLOOKUP(B129,[1]characters!$A:$G,7,FALSE)</f>
        <v>不明</v>
      </c>
      <c r="O129" s="45">
        <f t="shared" si="16"/>
        <v>2460</v>
      </c>
      <c r="P129" s="46">
        <f t="shared" si="12"/>
        <v>1.0416666666666667E-3</v>
      </c>
      <c r="Q129" s="30">
        <v>1</v>
      </c>
      <c r="R129" s="30">
        <v>0</v>
      </c>
      <c r="S129" s="30">
        <v>0</v>
      </c>
      <c r="T129" s="30">
        <v>0</v>
      </c>
      <c r="U129" s="30">
        <v>0</v>
      </c>
      <c r="V129" s="30">
        <v>1</v>
      </c>
    </row>
    <row r="130" spans="1:22" ht="21" customHeight="1" x14ac:dyDescent="0.15">
      <c r="A130" s="2" t="str">
        <f ca="1">input_586100!A$2</f>
        <v>586100</v>
      </c>
      <c r="B130" s="1">
        <v>1141</v>
      </c>
      <c r="C130" s="7" t="str">
        <f t="shared" si="14"/>
        <v>PremiumSS5R5only</v>
      </c>
      <c r="D130" s="7" t="str">
        <f t="shared" si="15"/>
        <v>PremiumSS</v>
      </c>
      <c r="E130" s="7" t="str">
        <f>IF(COUNTIF('R6追加前'!A:A,B130)=0,IF(OR(I130="PremiumSS",I130="PremiumSSw"),"R5only","R3less"),"")</f>
        <v>R5only</v>
      </c>
      <c r="F130" s="7" t="str">
        <f>IF(COUNTIF('R6開放'!A:A,B130)&gt;0,"R6release","")</f>
        <v/>
      </c>
      <c r="G130" s="7"/>
      <c r="H130" s="7" t="str">
        <f>VLOOKUP(B130,[1]characters!$A:$C,3,FALSE)</f>
        <v>月英</v>
      </c>
      <c r="I130" s="7" t="str">
        <f>VLOOKUP(B130,[1]characters!$A:$J,10,FALSE)</f>
        <v>PremiumSS</v>
      </c>
      <c r="J130" s="7">
        <f>VLOOKUP(B130,[1]characters!$A:$I,9,FALSE)</f>
        <v>5</v>
      </c>
      <c r="K130" s="7" t="str">
        <f>VLOOKUP(B130,[1]characters!$A:$H,8,FALSE)</f>
        <v>blue</v>
      </c>
      <c r="L130" s="7" t="str">
        <f>VLOOKUP(B130,[1]characters!$A:$K,11,FALSE)</f>
        <v>balance</v>
      </c>
      <c r="M130" s="7" t="str">
        <f>VLOOKUP(B130,[1]characters!$A:$M,13,FALSE)</f>
        <v>human</v>
      </c>
      <c r="N130" s="7" t="str">
        <f>VLOOKUP(B130,[1]characters!$A:$G,7,FALSE)</f>
        <v>不明</v>
      </c>
      <c r="O130" s="45">
        <f t="shared" si="16"/>
        <v>2460</v>
      </c>
      <c r="P130" s="46">
        <f t="shared" ref="P130:P159" si="17">O130/SUM(O:O)</f>
        <v>1.0416666666666667E-3</v>
      </c>
      <c r="Q130" s="30">
        <v>1</v>
      </c>
      <c r="R130" s="30">
        <v>0</v>
      </c>
      <c r="S130" s="30">
        <v>0</v>
      </c>
      <c r="T130" s="30">
        <v>0</v>
      </c>
      <c r="U130" s="30">
        <v>0</v>
      </c>
      <c r="V130" s="30">
        <v>1</v>
      </c>
    </row>
    <row r="131" spans="1:22" ht="21" customHeight="1" x14ac:dyDescent="0.15">
      <c r="A131" s="2" t="str">
        <f ca="1">input_586100!A$2</f>
        <v>586100</v>
      </c>
      <c r="B131" s="1">
        <v>1144</v>
      </c>
      <c r="C131" s="7" t="str">
        <f t="shared" si="14"/>
        <v>Premium5R3less</v>
      </c>
      <c r="D131" s="7" t="str">
        <f t="shared" si="15"/>
        <v>Premium</v>
      </c>
      <c r="E131" s="7" t="str">
        <f>IF(COUNTIF('R6追加前'!A:A,B131)=0,IF(OR(I131="PremiumSS",I131="PremiumSSw"),"R5only","R3less"),"")</f>
        <v>R3less</v>
      </c>
      <c r="F131" s="7" t="str">
        <f>IF(COUNTIF('R6開放'!A:A,B131)&gt;0,"R6release","")</f>
        <v/>
      </c>
      <c r="G131" s="7"/>
      <c r="H131" s="7" t="str">
        <f>VLOOKUP(B131,[1]characters!$A:$C,3,FALSE)</f>
        <v>白星を射る老将 黄忠</v>
      </c>
      <c r="I131" s="7" t="str">
        <f>VLOOKUP(B131,[1]characters!$A:$J,10,FALSE)</f>
        <v>PremiumS</v>
      </c>
      <c r="J131" s="7">
        <f>VLOOKUP(B131,[1]characters!$A:$I,9,FALSE)</f>
        <v>5</v>
      </c>
      <c r="K131" s="7" t="str">
        <f>VLOOKUP(B131,[1]characters!$A:$H,8,FALSE)</f>
        <v>yellow</v>
      </c>
      <c r="L131" s="7" t="str">
        <f>VLOOKUP(B131,[1]characters!$A:$K,11,FALSE)</f>
        <v>technical</v>
      </c>
      <c r="M131" s="7" t="str">
        <f>VLOOKUP(B131,[1]characters!$A:$M,13,FALSE)</f>
        <v>samurai</v>
      </c>
      <c r="N131" s="7" t="str">
        <f>VLOOKUP(B131,[1]characters!$A:$G,7,FALSE)</f>
        <v>不明</v>
      </c>
      <c r="O131" s="45">
        <f t="shared" si="16"/>
        <v>26208</v>
      </c>
      <c r="P131" s="46">
        <f t="shared" si="17"/>
        <v>1.1097560975609756E-2</v>
      </c>
      <c r="Q131" s="30">
        <v>1</v>
      </c>
      <c r="R131" s="30">
        <v>0</v>
      </c>
      <c r="S131" s="30">
        <v>0</v>
      </c>
      <c r="T131" s="30">
        <v>0</v>
      </c>
      <c r="U131" s="30">
        <v>0</v>
      </c>
      <c r="V131" s="30">
        <v>1</v>
      </c>
    </row>
    <row r="132" spans="1:22" ht="21" customHeight="1" x14ac:dyDescent="0.15">
      <c r="A132" s="2" t="str">
        <f ca="1">input_586100!A$2</f>
        <v>586100</v>
      </c>
      <c r="B132" s="1">
        <v>1152</v>
      </c>
      <c r="C132" s="7" t="str">
        <f t="shared" si="14"/>
        <v>Premium5R3less</v>
      </c>
      <c r="D132" s="7" t="str">
        <f t="shared" si="15"/>
        <v>Premium</v>
      </c>
      <c r="E132" s="7" t="str">
        <f>IF(COUNTIF('R6追加前'!A:A,B132)=0,IF(OR(I132="PremiumSS",I132="PremiumSSw"),"R5only","R3less"),"")</f>
        <v>R3less</v>
      </c>
      <c r="F132" s="7" t="str">
        <f>IF(COUNTIF('R6開放'!A:A,B132)&gt;0,"R6release","")</f>
        <v/>
      </c>
      <c r="G132" s="7"/>
      <c r="H132" s="7" t="str">
        <f>VLOOKUP(B132,[1]characters!$A:$C,3,FALSE)</f>
        <v>衆知の富益神 ガネーシャ</v>
      </c>
      <c r="I132" s="7" t="str">
        <f>VLOOKUP(B132,[1]characters!$A:$J,10,FALSE)</f>
        <v>PremiumS</v>
      </c>
      <c r="J132" s="7">
        <f>VLOOKUP(B132,[1]characters!$A:$I,9,FALSE)</f>
        <v>5</v>
      </c>
      <c r="K132" s="7" t="str">
        <f>VLOOKUP(B132,[1]characters!$A:$H,8,FALSE)</f>
        <v>red</v>
      </c>
      <c r="L132" s="7" t="str">
        <f>VLOOKUP(B132,[1]characters!$A:$K,11,FALSE)</f>
        <v>heal</v>
      </c>
      <c r="M132" s="7" t="str">
        <f>VLOOKUP(B132,[1]characters!$A:$M,13,FALSE)</f>
        <v>god</v>
      </c>
      <c r="N132" s="7" t="str">
        <f>VLOOKUP(B132,[1]characters!$A:$G,7,FALSE)</f>
        <v>不明</v>
      </c>
      <c r="O132" s="45">
        <f t="shared" si="16"/>
        <v>26208</v>
      </c>
      <c r="P132" s="46">
        <f t="shared" si="17"/>
        <v>1.1097560975609756E-2</v>
      </c>
      <c r="Q132" s="30">
        <v>1</v>
      </c>
      <c r="R132" s="30">
        <v>0</v>
      </c>
      <c r="S132" s="30">
        <v>0</v>
      </c>
      <c r="T132" s="30">
        <v>0</v>
      </c>
      <c r="U132" s="30">
        <v>0</v>
      </c>
      <c r="V132" s="30">
        <v>1</v>
      </c>
    </row>
    <row r="133" spans="1:22" ht="21" customHeight="1" x14ac:dyDescent="0.15">
      <c r="A133" s="2" t="str">
        <f ca="1">input_586100!A$2</f>
        <v>586100</v>
      </c>
      <c r="B133" s="1">
        <v>1153</v>
      </c>
      <c r="C133" s="7" t="str">
        <f t="shared" si="14"/>
        <v>PremiumSS5R5only</v>
      </c>
      <c r="D133" s="7" t="str">
        <f t="shared" si="15"/>
        <v>PremiumSS</v>
      </c>
      <c r="E133" s="7" t="str">
        <f>IF(COUNTIF('R6追加前'!A:A,B133)=0,IF(OR(I133="PremiumSS",I133="PremiumSSw"),"R5only","R3less"),"")</f>
        <v>R5only</v>
      </c>
      <c r="F133" s="7" t="str">
        <f>IF(COUNTIF('R6開放'!A:A,B133)&gt;0,"R6release","")</f>
        <v/>
      </c>
      <c r="G133" s="7"/>
      <c r="H133" s="7" t="str">
        <f>VLOOKUP(B133,[1]characters!$A:$C,3,FALSE)</f>
        <v>ラクシュミー</v>
      </c>
      <c r="I133" s="7" t="str">
        <f>VLOOKUP(B133,[1]characters!$A:$J,10,FALSE)</f>
        <v>PremiumSSw</v>
      </c>
      <c r="J133" s="7">
        <f>VLOOKUP(B133,[1]characters!$A:$I,9,FALSE)</f>
        <v>5</v>
      </c>
      <c r="K133" s="7" t="str">
        <f>VLOOKUP(B133,[1]characters!$A:$H,8,FALSE)</f>
        <v>green</v>
      </c>
      <c r="L133" s="7" t="str">
        <f>VLOOKUP(B133,[1]characters!$A:$K,11,FALSE)</f>
        <v>hp</v>
      </c>
      <c r="M133" s="7" t="str">
        <f>VLOOKUP(B133,[1]characters!$A:$M,13,FALSE)</f>
        <v>god</v>
      </c>
      <c r="N133" s="7" t="str">
        <f>VLOOKUP(B133,[1]characters!$A:$G,7,FALSE)</f>
        <v>不明</v>
      </c>
      <c r="O133" s="45">
        <f t="shared" si="16"/>
        <v>2460</v>
      </c>
      <c r="P133" s="46">
        <f t="shared" si="17"/>
        <v>1.0416666666666667E-3</v>
      </c>
      <c r="Q133" s="30">
        <v>1</v>
      </c>
      <c r="R133" s="30">
        <v>0</v>
      </c>
      <c r="S133" s="30">
        <v>0</v>
      </c>
      <c r="T133" s="30">
        <v>0</v>
      </c>
      <c r="U133" s="30">
        <v>0</v>
      </c>
      <c r="V133" s="30">
        <v>1</v>
      </c>
    </row>
    <row r="134" spans="1:22" ht="21" customHeight="1" x14ac:dyDescent="0.15">
      <c r="A134" s="2" t="str">
        <f ca="1">input_586100!A$2</f>
        <v>586100</v>
      </c>
      <c r="B134" s="1">
        <v>1155</v>
      </c>
      <c r="C134" s="7" t="str">
        <f t="shared" si="14"/>
        <v>PremiumSS5R5only</v>
      </c>
      <c r="D134" s="7" t="str">
        <f t="shared" si="15"/>
        <v>PremiumSS</v>
      </c>
      <c r="E134" s="7" t="str">
        <f>IF(COUNTIF('R6追加前'!A:A,B134)=0,IF(OR(I134="PremiumSS",I134="PremiumSSw"),"R5only","R3less"),"")</f>
        <v>R5only</v>
      </c>
      <c r="F134" s="7" t="str">
        <f>IF(COUNTIF('R6開放'!A:A,B134)&gt;0,"R6release","")</f>
        <v/>
      </c>
      <c r="G134" s="7"/>
      <c r="H134" s="7" t="str">
        <f>VLOOKUP(B134,[1]characters!$A:$C,3,FALSE)</f>
        <v>ドゥルガー</v>
      </c>
      <c r="I134" s="7" t="str">
        <f>VLOOKUP(B134,[1]characters!$A:$J,10,FALSE)</f>
        <v>PremiumSS</v>
      </c>
      <c r="J134" s="7">
        <f>VLOOKUP(B134,[1]characters!$A:$I,9,FALSE)</f>
        <v>5</v>
      </c>
      <c r="K134" s="7" t="str">
        <f>VLOOKUP(B134,[1]characters!$A:$H,8,FALSE)</f>
        <v>blue</v>
      </c>
      <c r="L134" s="7" t="str">
        <f>VLOOKUP(B134,[1]characters!$A:$K,11,FALSE)</f>
        <v>balance</v>
      </c>
      <c r="M134" s="7" t="str">
        <f>VLOOKUP(B134,[1]characters!$A:$M,13,FALSE)</f>
        <v>god</v>
      </c>
      <c r="N134" s="7" t="str">
        <f>VLOOKUP(B134,[1]characters!$A:$G,7,FALSE)</f>
        <v>不明</v>
      </c>
      <c r="O134" s="45">
        <f t="shared" si="16"/>
        <v>2460</v>
      </c>
      <c r="P134" s="46">
        <f t="shared" si="17"/>
        <v>1.0416666666666667E-3</v>
      </c>
      <c r="Q134" s="30">
        <v>1</v>
      </c>
      <c r="R134" s="30">
        <v>0</v>
      </c>
      <c r="S134" s="30">
        <v>0</v>
      </c>
      <c r="T134" s="30">
        <v>0</v>
      </c>
      <c r="U134" s="30">
        <v>0</v>
      </c>
      <c r="V134" s="30">
        <v>1</v>
      </c>
    </row>
    <row r="135" spans="1:22" ht="21" customHeight="1" x14ac:dyDescent="0.15">
      <c r="A135" s="2" t="str">
        <f ca="1">input_586100!A$2</f>
        <v>586100</v>
      </c>
      <c r="B135" s="1">
        <v>1157</v>
      </c>
      <c r="C135" s="7" t="str">
        <f t="shared" si="14"/>
        <v>PremiumSS5R5only</v>
      </c>
      <c r="D135" s="7" t="str">
        <f t="shared" si="15"/>
        <v>PremiumSS</v>
      </c>
      <c r="E135" s="7" t="str">
        <f>IF(COUNTIF('R6追加前'!A:A,B135)=0,IF(OR(I135="PremiumSS",I135="PremiumSSw"),"R5only","R3less"),"")</f>
        <v>R5only</v>
      </c>
      <c r="F135" s="7" t="str">
        <f>IF(COUNTIF('R6開放'!A:A,B135)&gt;0,"R6release","")</f>
        <v/>
      </c>
      <c r="G135" s="7"/>
      <c r="H135" s="7" t="str">
        <f>VLOOKUP(B135,[1]characters!$A:$C,3,FALSE)</f>
        <v>インドラ</v>
      </c>
      <c r="I135" s="7" t="str">
        <f>VLOOKUP(B135,[1]characters!$A:$J,10,FALSE)</f>
        <v>PremiumSS</v>
      </c>
      <c r="J135" s="7">
        <f>VLOOKUP(B135,[1]characters!$A:$I,9,FALSE)</f>
        <v>5</v>
      </c>
      <c r="K135" s="7" t="str">
        <f>VLOOKUP(B135,[1]characters!$A:$H,8,FALSE)</f>
        <v>yellow</v>
      </c>
      <c r="L135" s="7" t="str">
        <f>VLOOKUP(B135,[1]characters!$A:$K,11,FALSE)</f>
        <v>attack</v>
      </c>
      <c r="M135" s="7" t="str">
        <f>VLOOKUP(B135,[1]characters!$A:$M,13,FALSE)</f>
        <v>god</v>
      </c>
      <c r="N135" s="7" t="str">
        <f>VLOOKUP(B135,[1]characters!$A:$G,7,FALSE)</f>
        <v>不明</v>
      </c>
      <c r="O135" s="45">
        <f t="shared" si="16"/>
        <v>2460</v>
      </c>
      <c r="P135" s="46">
        <f t="shared" si="17"/>
        <v>1.0416666666666667E-3</v>
      </c>
      <c r="Q135" s="30">
        <v>1</v>
      </c>
      <c r="R135" s="30">
        <v>0</v>
      </c>
      <c r="S135" s="30">
        <v>0</v>
      </c>
      <c r="T135" s="30">
        <v>0</v>
      </c>
      <c r="U135" s="30">
        <v>0</v>
      </c>
      <c r="V135" s="30">
        <v>1</v>
      </c>
    </row>
    <row r="136" spans="1:22" ht="21" customHeight="1" x14ac:dyDescent="0.15">
      <c r="A136" s="2" t="str">
        <f ca="1">input_586100!A$2</f>
        <v>586100</v>
      </c>
      <c r="B136" s="1">
        <v>1214</v>
      </c>
      <c r="C136" s="7" t="str">
        <f t="shared" si="14"/>
        <v>PremiumSS5R5only</v>
      </c>
      <c r="D136" s="7" t="str">
        <f t="shared" si="15"/>
        <v>PremiumSS</v>
      </c>
      <c r="E136" s="7" t="str">
        <f>IF(COUNTIF('R6追加前'!A:A,B136)=0,IF(OR(I136="PremiumSS",I136="PremiumSSw"),"R5only","R3less"),"")</f>
        <v>R5only</v>
      </c>
      <c r="F136" s="7" t="str">
        <f>IF(COUNTIF('R6開放'!A:A,B136)&gt;0,"R6release","")</f>
        <v/>
      </c>
      <c r="G136" s="7"/>
      <c r="H136" s="7" t="str">
        <f>VLOOKUP(B136,[1]characters!$A:$C,3,FALSE)</f>
        <v>アルテミス</v>
      </c>
      <c r="I136" s="7" t="str">
        <f>VLOOKUP(B136,[1]characters!$A:$J,10,FALSE)</f>
        <v>PremiumSSw</v>
      </c>
      <c r="J136" s="7">
        <f>VLOOKUP(B136,[1]characters!$A:$I,9,FALSE)</f>
        <v>5</v>
      </c>
      <c r="K136" s="7" t="str">
        <f>VLOOKUP(B136,[1]characters!$A:$H,8,FALSE)</f>
        <v>yellow</v>
      </c>
      <c r="L136" s="7" t="str">
        <f>VLOOKUP(B136,[1]characters!$A:$K,11,FALSE)</f>
        <v>balance</v>
      </c>
      <c r="M136" s="7" t="str">
        <f>VLOOKUP(B136,[1]characters!$A:$M,13,FALSE)</f>
        <v>god</v>
      </c>
      <c r="N136" s="7">
        <f>VLOOKUP(B136,[1]characters!$A:$G,7,FALSE)</f>
        <v>0</v>
      </c>
      <c r="O136" s="45">
        <f t="shared" si="16"/>
        <v>2460</v>
      </c>
      <c r="P136" s="46">
        <f t="shared" si="17"/>
        <v>1.0416666666666667E-3</v>
      </c>
      <c r="Q136" s="30">
        <v>1</v>
      </c>
      <c r="R136" s="30">
        <v>0</v>
      </c>
      <c r="S136" s="30">
        <v>0</v>
      </c>
      <c r="T136" s="30">
        <v>0</v>
      </c>
      <c r="U136" s="30">
        <v>0</v>
      </c>
      <c r="V136" s="30">
        <v>1</v>
      </c>
    </row>
    <row r="137" spans="1:22" ht="21" customHeight="1" x14ac:dyDescent="0.15">
      <c r="A137" s="2" t="str">
        <f ca="1">input_586100!A$2</f>
        <v>586100</v>
      </c>
      <c r="B137" s="1">
        <v>1212</v>
      </c>
      <c r="C137" s="7" t="str">
        <f t="shared" si="14"/>
        <v>PremiumSS5R5only</v>
      </c>
      <c r="D137" s="7" t="str">
        <f t="shared" si="15"/>
        <v>PremiumSS</v>
      </c>
      <c r="E137" s="7" t="str">
        <f>IF(COUNTIF('R6追加前'!A:A,B137)=0,IF(OR(I137="PremiumSS",I137="PremiumSSw"),"R5only","R3less"),"")</f>
        <v>R5only</v>
      </c>
      <c r="F137" s="7" t="str">
        <f>IF(COUNTIF('R6開放'!A:A,B137)&gt;0,"R6release","")</f>
        <v/>
      </c>
      <c r="G137" s="7"/>
      <c r="H137" s="7" t="str">
        <f>VLOOKUP(B137,[1]characters!$A:$C,3,FALSE)</f>
        <v>クロノス</v>
      </c>
      <c r="I137" s="7" t="str">
        <f>VLOOKUP(B137,[1]characters!$A:$J,10,FALSE)</f>
        <v>PremiumSS</v>
      </c>
      <c r="J137" s="7">
        <f>VLOOKUP(B137,[1]characters!$A:$I,9,FALSE)</f>
        <v>5</v>
      </c>
      <c r="K137" s="7" t="str">
        <f>VLOOKUP(B137,[1]characters!$A:$H,8,FALSE)</f>
        <v>blue</v>
      </c>
      <c r="L137" s="7" t="str">
        <f>VLOOKUP(B137,[1]characters!$A:$K,11,FALSE)</f>
        <v>technical</v>
      </c>
      <c r="M137" s="7" t="str">
        <f>VLOOKUP(B137,[1]characters!$A:$M,13,FALSE)</f>
        <v>god</v>
      </c>
      <c r="N137" s="7">
        <f>VLOOKUP(B137,[1]characters!$A:$G,7,FALSE)</f>
        <v>0</v>
      </c>
      <c r="O137" s="45">
        <f t="shared" si="16"/>
        <v>2460</v>
      </c>
      <c r="P137" s="46">
        <f t="shared" si="17"/>
        <v>1.0416666666666667E-3</v>
      </c>
      <c r="Q137" s="30">
        <v>1</v>
      </c>
      <c r="R137" s="30">
        <v>0</v>
      </c>
      <c r="S137" s="30">
        <v>0</v>
      </c>
      <c r="T137" s="30">
        <v>0</v>
      </c>
      <c r="U137" s="30">
        <v>0</v>
      </c>
      <c r="V137" s="30">
        <v>1</v>
      </c>
    </row>
    <row r="138" spans="1:22" ht="21" customHeight="1" x14ac:dyDescent="0.15">
      <c r="A138" s="2" t="str">
        <f ca="1">input_586100!A$2</f>
        <v>586100</v>
      </c>
      <c r="B138" s="1">
        <v>1208</v>
      </c>
      <c r="C138" s="7" t="str">
        <f t="shared" si="14"/>
        <v>PremiumSS5R5only</v>
      </c>
      <c r="D138" s="7" t="str">
        <f t="shared" si="15"/>
        <v>PremiumSS</v>
      </c>
      <c r="E138" s="7" t="str">
        <f>IF(COUNTIF('R6追加前'!A:A,B138)=0,IF(OR(I138="PremiumSS",I138="PremiumSSw"),"R5only","R3less"),"")</f>
        <v>R5only</v>
      </c>
      <c r="F138" s="7" t="str">
        <f>IF(COUNTIF('R6開放'!A:A,B138)&gt;0,"R6release","")</f>
        <v/>
      </c>
      <c r="G138" s="7"/>
      <c r="H138" s="7" t="str">
        <f>VLOOKUP(B138,[1]characters!$A:$C,3,FALSE)</f>
        <v>ネメシス</v>
      </c>
      <c r="I138" s="7" t="str">
        <f>VLOOKUP(B138,[1]characters!$A:$J,10,FALSE)</f>
        <v>PremiumSS</v>
      </c>
      <c r="J138" s="7">
        <f>VLOOKUP(B138,[1]characters!$A:$I,9,FALSE)</f>
        <v>5</v>
      </c>
      <c r="K138" s="7" t="str">
        <f>VLOOKUP(B138,[1]characters!$A:$H,8,FALSE)</f>
        <v>red</v>
      </c>
      <c r="L138" s="7" t="str">
        <f>VLOOKUP(B138,[1]characters!$A:$K,11,FALSE)</f>
        <v>hp</v>
      </c>
      <c r="M138" s="7" t="str">
        <f>VLOOKUP(B138,[1]characters!$A:$M,13,FALSE)</f>
        <v>god</v>
      </c>
      <c r="N138" s="7">
        <f>VLOOKUP(B138,[1]characters!$A:$G,7,FALSE)</f>
        <v>0</v>
      </c>
      <c r="O138" s="45">
        <f t="shared" si="16"/>
        <v>2460</v>
      </c>
      <c r="P138" s="46">
        <f t="shared" si="17"/>
        <v>1.0416666666666667E-3</v>
      </c>
      <c r="Q138" s="30">
        <v>1</v>
      </c>
      <c r="R138" s="30">
        <v>0</v>
      </c>
      <c r="S138" s="30">
        <v>0</v>
      </c>
      <c r="T138" s="30">
        <v>0</v>
      </c>
      <c r="U138" s="30">
        <v>0</v>
      </c>
      <c r="V138" s="30">
        <v>1</v>
      </c>
    </row>
    <row r="139" spans="1:22" ht="21" customHeight="1" x14ac:dyDescent="0.15">
      <c r="A139" s="2" t="str">
        <f ca="1">input_586100!A$2</f>
        <v>586100</v>
      </c>
      <c r="B139" s="1">
        <v>1211</v>
      </c>
      <c r="C139" s="7" t="str">
        <f t="shared" si="14"/>
        <v>Premium5R3less</v>
      </c>
      <c r="D139" s="7" t="str">
        <f t="shared" si="15"/>
        <v>Premium</v>
      </c>
      <c r="E139" s="7" t="str">
        <f>IF(COUNTIF('R6追加前'!A:A,B139)=0,IF(OR(I139="PremiumSS",I139="PremiumSSw"),"R5only","R3less"),"")</f>
        <v>R3less</v>
      </c>
      <c r="F139" s="7" t="str">
        <f>IF(COUNTIF('R6開放'!A:A,B139)&gt;0,"R6release","")</f>
        <v/>
      </c>
      <c r="G139" s="7"/>
      <c r="H139" s="7" t="str">
        <f>VLOOKUP(B139,[1]characters!$A:$C,3,FALSE)</f>
        <v>奏駆の翻騎 ケンタウロス</v>
      </c>
      <c r="I139" s="7" t="str">
        <f>VLOOKUP(B139,[1]characters!$A:$J,10,FALSE)</f>
        <v>PremiumS</v>
      </c>
      <c r="J139" s="7">
        <f>VLOOKUP(B139,[1]characters!$A:$I,9,FALSE)</f>
        <v>5</v>
      </c>
      <c r="K139" s="7" t="str">
        <f>VLOOKUP(B139,[1]characters!$A:$H,8,FALSE)</f>
        <v>green</v>
      </c>
      <c r="L139" s="7" t="str">
        <f>VLOOKUP(B139,[1]characters!$A:$K,11,FALSE)</f>
        <v>attack</v>
      </c>
      <c r="M139" s="7" t="str">
        <f>VLOOKUP(B139,[1]characters!$A:$M,13,FALSE)</f>
        <v>god</v>
      </c>
      <c r="N139" s="7">
        <f>VLOOKUP(B139,[1]characters!$A:$G,7,FALSE)</f>
        <v>0</v>
      </c>
      <c r="O139" s="45">
        <f t="shared" si="16"/>
        <v>26208</v>
      </c>
      <c r="P139" s="46">
        <f t="shared" si="17"/>
        <v>1.1097560975609756E-2</v>
      </c>
      <c r="Q139" s="30">
        <v>1</v>
      </c>
      <c r="R139" s="30">
        <v>0</v>
      </c>
      <c r="S139" s="30">
        <v>0</v>
      </c>
      <c r="T139" s="30">
        <v>0</v>
      </c>
      <c r="U139" s="30">
        <v>0</v>
      </c>
      <c r="V139" s="30">
        <v>1</v>
      </c>
    </row>
    <row r="140" spans="1:22" ht="21" customHeight="1" x14ac:dyDescent="0.15">
      <c r="A140" s="2" t="str">
        <f ca="1">input_586100!A$2</f>
        <v>586100</v>
      </c>
      <c r="B140" s="1">
        <v>1225</v>
      </c>
      <c r="C140" s="7" t="str">
        <f t="shared" si="14"/>
        <v>Premium5R3less</v>
      </c>
      <c r="D140" s="7" t="str">
        <f t="shared" si="15"/>
        <v>Premium</v>
      </c>
      <c r="E140" s="7" t="str">
        <f>IF(COUNTIF('R6追加前'!A:A,B140)=0,IF(OR(I140="PremiumSS",I140="PremiumSSw"),"R5only","R3less"),"")</f>
        <v>R3less</v>
      </c>
      <c r="F140" s="7" t="str">
        <f>IF(COUNTIF('R6開放'!A:A,B140)&gt;0,"R6release","")</f>
        <v/>
      </c>
      <c r="G140" s="7"/>
      <c r="H140" s="7" t="str">
        <f>VLOOKUP(B140,[1]characters!$A:$C,3,FALSE)</f>
        <v>優柔なる風断者 セルバンテス</v>
      </c>
      <c r="I140" s="7" t="str">
        <f>VLOOKUP(B140,[1]characters!$A:$J,10,FALSE)</f>
        <v>PremiumS</v>
      </c>
      <c r="J140" s="7">
        <f>VLOOKUP(B140,[1]characters!$A:$I,9,FALSE)</f>
        <v>5</v>
      </c>
      <c r="K140" s="7" t="str">
        <f>VLOOKUP(B140,[1]characters!$A:$H,8,FALSE)</f>
        <v>red</v>
      </c>
      <c r="L140" s="7" t="str">
        <f>VLOOKUP(B140,[1]characters!$A:$K,11,FALSE)</f>
        <v>attack</v>
      </c>
      <c r="M140" s="7" t="str">
        <f>VLOOKUP(B140,[1]characters!$A:$M,13,FALSE)</f>
        <v>human</v>
      </c>
      <c r="N140" s="7">
        <f>VLOOKUP(B140,[1]characters!$A:$G,7,FALSE)</f>
        <v>0</v>
      </c>
      <c r="O140" s="45">
        <f t="shared" si="16"/>
        <v>26208</v>
      </c>
      <c r="P140" s="46">
        <f t="shared" si="17"/>
        <v>1.1097560975609756E-2</v>
      </c>
      <c r="Q140" s="30">
        <v>1</v>
      </c>
      <c r="R140" s="30">
        <v>0</v>
      </c>
      <c r="S140" s="30">
        <v>0</v>
      </c>
      <c r="T140" s="30">
        <v>0</v>
      </c>
      <c r="U140" s="30">
        <v>0</v>
      </c>
      <c r="V140" s="30">
        <v>1</v>
      </c>
    </row>
    <row r="141" spans="1:22" ht="21" customHeight="1" x14ac:dyDescent="0.15">
      <c r="A141" s="2" t="str">
        <f ca="1">input_586100!A$2</f>
        <v>586100</v>
      </c>
      <c r="B141" s="1">
        <v>1226</v>
      </c>
      <c r="C141" s="7" t="str">
        <f t="shared" si="14"/>
        <v>PremiumSS5R5only</v>
      </c>
      <c r="D141" s="7" t="str">
        <f t="shared" si="15"/>
        <v>PremiumSS</v>
      </c>
      <c r="E141" s="7" t="str">
        <f>IF(COUNTIF('R6追加前'!A:A,B141)=0,IF(OR(I141="PremiumSS",I141="PremiumSSw"),"R5only","R3less"),"")</f>
        <v>R5only</v>
      </c>
      <c r="F141" s="7" t="str">
        <f>IF(COUNTIF('R6開放'!A:A,B141)&gt;0,"R6release","")</f>
        <v/>
      </c>
      <c r="G141" s="7"/>
      <c r="H141" s="7" t="str">
        <f>VLOOKUP(B141,[1]characters!$A:$C,3,FALSE)</f>
        <v>トルストイ</v>
      </c>
      <c r="I141" s="7" t="str">
        <f>VLOOKUP(B141,[1]characters!$A:$J,10,FALSE)</f>
        <v>PremiumSS</v>
      </c>
      <c r="J141" s="7">
        <f>VLOOKUP(B141,[1]characters!$A:$I,9,FALSE)</f>
        <v>5</v>
      </c>
      <c r="K141" s="7" t="str">
        <f>VLOOKUP(B141,[1]characters!$A:$H,8,FALSE)</f>
        <v>green</v>
      </c>
      <c r="L141" s="7" t="str">
        <f>VLOOKUP(B141,[1]characters!$A:$K,11,FALSE)</f>
        <v>attack</v>
      </c>
      <c r="M141" s="7" t="str">
        <f>VLOOKUP(B141,[1]characters!$A:$M,13,FALSE)</f>
        <v>human</v>
      </c>
      <c r="N141" s="7">
        <f>VLOOKUP(B141,[1]characters!$A:$G,7,FALSE)</f>
        <v>0</v>
      </c>
      <c r="O141" s="45">
        <f t="shared" si="16"/>
        <v>2460</v>
      </c>
      <c r="P141" s="46">
        <f t="shared" si="17"/>
        <v>1.0416666666666667E-3</v>
      </c>
      <c r="Q141" s="30">
        <v>1</v>
      </c>
      <c r="R141" s="30">
        <v>0</v>
      </c>
      <c r="S141" s="30">
        <v>0</v>
      </c>
      <c r="T141" s="30">
        <v>0</v>
      </c>
      <c r="U141" s="30">
        <v>0</v>
      </c>
      <c r="V141" s="30">
        <v>1</v>
      </c>
    </row>
    <row r="142" spans="1:22" ht="21" customHeight="1" x14ac:dyDescent="0.15">
      <c r="A142" s="2" t="str">
        <f ca="1">input_586100!A$2</f>
        <v>586100</v>
      </c>
      <c r="B142" s="1">
        <v>1228</v>
      </c>
      <c r="C142" s="7" t="str">
        <f t="shared" si="14"/>
        <v>PremiumSS5R5only</v>
      </c>
      <c r="D142" s="7" t="str">
        <f t="shared" si="15"/>
        <v>PremiumSS</v>
      </c>
      <c r="E142" s="7" t="str">
        <f>IF(COUNTIF('R6追加前'!A:A,B142)=0,IF(OR(I142="PremiumSS",I142="PremiumSSw"),"R5only","R3less"),"")</f>
        <v>R5only</v>
      </c>
      <c r="F142" s="7" t="str">
        <f>IF(COUNTIF('R6開放'!A:A,B142)&gt;0,"R6release","")</f>
        <v/>
      </c>
      <c r="G142" s="7"/>
      <c r="H142" s="7" t="str">
        <f>VLOOKUP(B142,[1]characters!$A:$C,3,FALSE)</f>
        <v>芥川龍之介</v>
      </c>
      <c r="I142" s="7" t="str">
        <f>VLOOKUP(B142,[1]characters!$A:$J,10,FALSE)</f>
        <v>PremiumSSw</v>
      </c>
      <c r="J142" s="7">
        <f>VLOOKUP(B142,[1]characters!$A:$I,9,FALSE)</f>
        <v>5</v>
      </c>
      <c r="K142" s="7" t="str">
        <f>VLOOKUP(B142,[1]characters!$A:$H,8,FALSE)</f>
        <v>blue</v>
      </c>
      <c r="L142" s="7" t="str">
        <f>VLOOKUP(B142,[1]characters!$A:$K,11,FALSE)</f>
        <v>attack</v>
      </c>
      <c r="M142" s="7" t="str">
        <f>VLOOKUP(B142,[1]characters!$A:$M,13,FALSE)</f>
        <v>human</v>
      </c>
      <c r="N142" s="7">
        <f>VLOOKUP(B142,[1]characters!$A:$G,7,FALSE)</f>
        <v>0</v>
      </c>
      <c r="O142" s="45">
        <f t="shared" si="16"/>
        <v>2460</v>
      </c>
      <c r="P142" s="46">
        <f t="shared" si="17"/>
        <v>1.0416666666666667E-3</v>
      </c>
      <c r="Q142" s="30">
        <v>1</v>
      </c>
      <c r="R142" s="30">
        <v>0</v>
      </c>
      <c r="S142" s="30">
        <v>0</v>
      </c>
      <c r="T142" s="30">
        <v>0</v>
      </c>
      <c r="U142" s="30">
        <v>0</v>
      </c>
      <c r="V142" s="30">
        <v>1</v>
      </c>
    </row>
    <row r="143" spans="1:22" ht="21" customHeight="1" x14ac:dyDescent="0.15">
      <c r="A143" s="2" t="str">
        <f ca="1">input_586100!A$2</f>
        <v>586100</v>
      </c>
      <c r="B143" s="1">
        <v>1230</v>
      </c>
      <c r="C143" s="7" t="str">
        <f t="shared" si="14"/>
        <v>PremiumSS5R5only</v>
      </c>
      <c r="D143" s="7" t="str">
        <f t="shared" si="15"/>
        <v>PremiumSS</v>
      </c>
      <c r="E143" s="7" t="str">
        <f>IF(COUNTIF('R6追加前'!A:A,B143)=0,IF(OR(I143="PremiumSS",I143="PremiumSSw"),"R5only","R3less"),"")</f>
        <v>R5only</v>
      </c>
      <c r="F143" s="7" t="str">
        <f>IF(COUNTIF('R6開放'!A:A,B143)&gt;0,"R6release","")</f>
        <v/>
      </c>
      <c r="G143" s="7"/>
      <c r="H143" s="7" t="str">
        <f>VLOOKUP(B143,[1]characters!$A:$C,3,FALSE)</f>
        <v>夏目漱石</v>
      </c>
      <c r="I143" s="7" t="str">
        <f>VLOOKUP(B143,[1]characters!$A:$J,10,FALSE)</f>
        <v>PremiumSS</v>
      </c>
      <c r="J143" s="7">
        <f>VLOOKUP(B143,[1]characters!$A:$I,9,FALSE)</f>
        <v>5</v>
      </c>
      <c r="K143" s="7" t="str">
        <f>VLOOKUP(B143,[1]characters!$A:$H,8,FALSE)</f>
        <v>yellow</v>
      </c>
      <c r="L143" s="7" t="str">
        <f>VLOOKUP(B143,[1]characters!$A:$K,11,FALSE)</f>
        <v>heal</v>
      </c>
      <c r="M143" s="7" t="str">
        <f>VLOOKUP(B143,[1]characters!$A:$M,13,FALSE)</f>
        <v>animal</v>
      </c>
      <c r="N143" s="7">
        <f>VLOOKUP(B143,[1]characters!$A:$G,7,FALSE)</f>
        <v>0</v>
      </c>
      <c r="O143" s="45">
        <f t="shared" si="16"/>
        <v>2460</v>
      </c>
      <c r="P143" s="46">
        <f t="shared" si="17"/>
        <v>1.0416666666666667E-3</v>
      </c>
      <c r="Q143" s="30">
        <v>1</v>
      </c>
      <c r="R143" s="30">
        <v>0</v>
      </c>
      <c r="S143" s="30">
        <v>0</v>
      </c>
      <c r="T143" s="30">
        <v>0</v>
      </c>
      <c r="U143" s="30">
        <v>0</v>
      </c>
      <c r="V143" s="30">
        <v>1</v>
      </c>
    </row>
    <row r="144" spans="1:22" ht="21" customHeight="1" x14ac:dyDescent="0.15">
      <c r="A144" s="2" t="str">
        <f ca="1">input_586100!A$2</f>
        <v>586100</v>
      </c>
      <c r="B144" s="1">
        <v>1250</v>
      </c>
      <c r="C144" s="7" t="str">
        <f t="shared" si="14"/>
        <v>PremiumSS5R5only</v>
      </c>
      <c r="D144" s="7" t="str">
        <f t="shared" si="15"/>
        <v>PremiumSS</v>
      </c>
      <c r="E144" s="7" t="str">
        <f>IF(COUNTIF('R6追加前'!A:A,B144)=0,IF(OR(I144="PremiumSS",I144="PremiumSSw"),"R5only","R3less"),"")</f>
        <v>R5only</v>
      </c>
      <c r="F144" s="7" t="str">
        <f>IF(COUNTIF('R6開放'!A:A,B144)&gt;0,"R6release","")</f>
        <v/>
      </c>
      <c r="G144" s="7"/>
      <c r="H144" s="7" t="str">
        <f>VLOOKUP(B144,[1]characters!$A:$C,3,FALSE)</f>
        <v>真田幸村</v>
      </c>
      <c r="I144" s="7" t="str">
        <f>VLOOKUP(B144,[1]characters!$A:$J,10,FALSE)</f>
        <v>PremiumSSw</v>
      </c>
      <c r="J144" s="7">
        <f>VLOOKUP(B144,[1]characters!$A:$I,9,FALSE)</f>
        <v>5</v>
      </c>
      <c r="K144" s="7" t="str">
        <f>VLOOKUP(B144,[1]characters!$A:$H,8,FALSE)</f>
        <v>yellow</v>
      </c>
      <c r="L144" s="7" t="str">
        <f>VLOOKUP(B144,[1]characters!$A:$K,11,FALSE)</f>
        <v>attack</v>
      </c>
      <c r="M144" s="7" t="str">
        <f>VLOOKUP(B144,[1]characters!$A:$M,13,FALSE)</f>
        <v>human</v>
      </c>
      <c r="N144" s="7">
        <f>VLOOKUP(B144,[1]characters!$A:$G,7,FALSE)</f>
        <v>0</v>
      </c>
      <c r="O144" s="45">
        <f t="shared" si="16"/>
        <v>2460</v>
      </c>
      <c r="P144" s="46">
        <f t="shared" si="17"/>
        <v>1.0416666666666667E-3</v>
      </c>
      <c r="Q144" s="30">
        <v>1</v>
      </c>
      <c r="R144" s="30">
        <v>0</v>
      </c>
      <c r="S144" s="30">
        <v>0</v>
      </c>
      <c r="T144" s="30">
        <v>0</v>
      </c>
      <c r="U144" s="30">
        <v>0</v>
      </c>
      <c r="V144" s="30">
        <v>1</v>
      </c>
    </row>
    <row r="145" spans="1:22" ht="21" customHeight="1" x14ac:dyDescent="0.15">
      <c r="A145" s="2" t="str">
        <f ca="1">input_586100!A$2</f>
        <v>586100</v>
      </c>
      <c r="B145" s="1">
        <v>1249</v>
      </c>
      <c r="C145" s="7" t="str">
        <f t="shared" si="14"/>
        <v>Premium5R3less</v>
      </c>
      <c r="D145" s="7" t="str">
        <f t="shared" si="15"/>
        <v>Premium</v>
      </c>
      <c r="E145" s="7" t="str">
        <f>IF(COUNTIF('R6追加前'!A:A,B145)=0,IF(OR(I145="PremiumSS",I145="PremiumSSw"),"R5only","R3less"),"")</f>
        <v>R3less</v>
      </c>
      <c r="F145" s="7" t="str">
        <f>IF(COUNTIF('R6開放'!A:A,B145)&gt;0,"R6release","")</f>
        <v/>
      </c>
      <c r="G145" s="7"/>
      <c r="H145" s="7" t="str">
        <f>VLOOKUP(B145,[1]characters!$A:$C,3,FALSE)</f>
        <v>君臨する姐御様 寧々</v>
      </c>
      <c r="I145" s="7" t="str">
        <f>VLOOKUP(B145,[1]characters!$A:$J,10,FALSE)</f>
        <v>PremiumS</v>
      </c>
      <c r="J145" s="7">
        <f>VLOOKUP(B145,[1]characters!$A:$I,9,FALSE)</f>
        <v>5</v>
      </c>
      <c r="K145" s="7" t="str">
        <f>VLOOKUP(B145,[1]characters!$A:$H,8,FALSE)</f>
        <v>blue</v>
      </c>
      <c r="L145" s="7" t="str">
        <f>VLOOKUP(B145,[1]characters!$A:$K,11,FALSE)</f>
        <v>heal</v>
      </c>
      <c r="M145" s="7" t="str">
        <f>VLOOKUP(B145,[1]characters!$A:$M,13,FALSE)</f>
        <v>human</v>
      </c>
      <c r="N145" s="7">
        <f>VLOOKUP(B145,[1]characters!$A:$G,7,FALSE)</f>
        <v>0</v>
      </c>
      <c r="O145" s="45">
        <f t="shared" si="16"/>
        <v>26208</v>
      </c>
      <c r="P145" s="46">
        <f t="shared" si="17"/>
        <v>1.1097560975609756E-2</v>
      </c>
      <c r="Q145" s="30">
        <v>1</v>
      </c>
      <c r="R145" s="30">
        <v>0</v>
      </c>
      <c r="S145" s="30">
        <v>0</v>
      </c>
      <c r="T145" s="30">
        <v>0</v>
      </c>
      <c r="U145" s="30">
        <v>0</v>
      </c>
      <c r="V145" s="30">
        <v>1</v>
      </c>
    </row>
    <row r="146" spans="1:22" ht="21" customHeight="1" x14ac:dyDescent="0.15">
      <c r="A146" s="2" t="str">
        <f ca="1">input_586100!A$2</f>
        <v>586100</v>
      </c>
      <c r="B146" s="1">
        <v>1246</v>
      </c>
      <c r="C146" s="7" t="str">
        <f t="shared" si="14"/>
        <v>PremiumSS5R5only</v>
      </c>
      <c r="D146" s="7" t="str">
        <f t="shared" si="15"/>
        <v>PremiumSS</v>
      </c>
      <c r="E146" s="7" t="str">
        <f>IF(COUNTIF('R6追加前'!A:A,B146)=0,IF(OR(I146="PremiumSS",I146="PremiumSSw"),"R5only","R3less"),"")</f>
        <v>R5only</v>
      </c>
      <c r="F146" s="7" t="str">
        <f>IF(COUNTIF('R6開放'!A:A,B146)&gt;0,"R6release","")</f>
        <v/>
      </c>
      <c r="G146" s="7"/>
      <c r="H146" s="7" t="str">
        <f>VLOOKUP(B146,[1]characters!$A:$C,3,FALSE)</f>
        <v>望月千代女</v>
      </c>
      <c r="I146" s="7" t="str">
        <f>VLOOKUP(B146,[1]characters!$A:$J,10,FALSE)</f>
        <v>PremiumSS</v>
      </c>
      <c r="J146" s="7">
        <f>VLOOKUP(B146,[1]characters!$A:$I,9,FALSE)</f>
        <v>5</v>
      </c>
      <c r="K146" s="7" t="str">
        <f>VLOOKUP(B146,[1]characters!$A:$H,8,FALSE)</f>
        <v>green</v>
      </c>
      <c r="L146" s="7" t="str">
        <f>VLOOKUP(B146,[1]characters!$A:$K,11,FALSE)</f>
        <v>heal</v>
      </c>
      <c r="M146" s="7" t="str">
        <f>VLOOKUP(B146,[1]characters!$A:$M,13,FALSE)</f>
        <v>human</v>
      </c>
      <c r="N146" s="7">
        <f>VLOOKUP(B146,[1]characters!$A:$G,7,FALSE)</f>
        <v>0</v>
      </c>
      <c r="O146" s="45">
        <f t="shared" si="16"/>
        <v>2460</v>
      </c>
      <c r="P146" s="46">
        <f t="shared" si="17"/>
        <v>1.0416666666666667E-3</v>
      </c>
      <c r="Q146" s="30">
        <v>1</v>
      </c>
      <c r="R146" s="30">
        <v>0</v>
      </c>
      <c r="S146" s="30">
        <v>0</v>
      </c>
      <c r="T146" s="30">
        <v>0</v>
      </c>
      <c r="U146" s="30">
        <v>0</v>
      </c>
      <c r="V146" s="30">
        <v>1</v>
      </c>
    </row>
    <row r="147" spans="1:22" ht="21" customHeight="1" x14ac:dyDescent="0.15">
      <c r="A147" s="2" t="str">
        <f ca="1">input_586100!A$2</f>
        <v>586100</v>
      </c>
      <c r="B147" s="1">
        <v>1244</v>
      </c>
      <c r="C147" s="7" t="str">
        <f t="shared" si="14"/>
        <v>PremiumSS5R5only</v>
      </c>
      <c r="D147" s="7" t="str">
        <f t="shared" si="15"/>
        <v>PremiumSS</v>
      </c>
      <c r="E147" s="7" t="str">
        <f>IF(COUNTIF('R6追加前'!A:A,B147)=0,IF(OR(I147="PremiumSS",I147="PremiumSSw"),"R5only","R3less"),"")</f>
        <v>R5only</v>
      </c>
      <c r="F147" s="7" t="str">
        <f>IF(COUNTIF('R6開放'!A:A,B147)&gt;0,"R6release","")</f>
        <v/>
      </c>
      <c r="G147" s="7"/>
      <c r="H147" s="7" t="str">
        <f>VLOOKUP(B147,[1]characters!$A:$C,3,FALSE)</f>
        <v>猿飛佐助</v>
      </c>
      <c r="I147" s="7" t="str">
        <f>VLOOKUP(B147,[1]characters!$A:$J,10,FALSE)</f>
        <v>PremiumSS</v>
      </c>
      <c r="J147" s="7">
        <f>VLOOKUP(B147,[1]characters!$A:$I,9,FALSE)</f>
        <v>5</v>
      </c>
      <c r="K147" s="7" t="str">
        <f>VLOOKUP(B147,[1]characters!$A:$H,8,FALSE)</f>
        <v>red</v>
      </c>
      <c r="L147" s="7" t="str">
        <f>VLOOKUP(B147,[1]characters!$A:$K,11,FALSE)</f>
        <v>attack</v>
      </c>
      <c r="M147" s="7" t="str">
        <f>VLOOKUP(B147,[1]characters!$A:$M,13,FALSE)</f>
        <v>human</v>
      </c>
      <c r="N147" s="7">
        <f>VLOOKUP(B147,[1]characters!$A:$G,7,FALSE)</f>
        <v>0</v>
      </c>
      <c r="O147" s="45">
        <f t="shared" si="16"/>
        <v>2460</v>
      </c>
      <c r="P147" s="46">
        <f t="shared" si="17"/>
        <v>1.0416666666666667E-3</v>
      </c>
      <c r="Q147" s="30">
        <v>1</v>
      </c>
      <c r="R147" s="30">
        <v>0</v>
      </c>
      <c r="S147" s="30">
        <v>0</v>
      </c>
      <c r="T147" s="30">
        <v>0</v>
      </c>
      <c r="U147" s="30">
        <v>0</v>
      </c>
      <c r="V147" s="30">
        <v>1</v>
      </c>
    </row>
    <row r="148" spans="1:22" ht="21" customHeight="1" x14ac:dyDescent="0.15">
      <c r="A148" s="2" t="str">
        <f ca="1">input_586100!A$2</f>
        <v>586100</v>
      </c>
      <c r="B148" s="1">
        <v>1260</v>
      </c>
      <c r="C148" s="7" t="str">
        <f t="shared" si="14"/>
        <v>PremiumSS5R5only</v>
      </c>
      <c r="D148" s="7" t="str">
        <f t="shared" si="15"/>
        <v>PremiumSS</v>
      </c>
      <c r="E148" s="7" t="str">
        <f>IF(COUNTIF('R6追加前'!A:A,B148)=0,IF(OR(I148="PremiumSS",I148="PremiumSSw"),"R5only","R3less"),"")</f>
        <v>R5only</v>
      </c>
      <c r="F148" s="7" t="str">
        <f>IF(COUNTIF('R6開放'!A:A,B148)&gt;0,"R6release","")</f>
        <v/>
      </c>
      <c r="G148" s="7"/>
      <c r="H148" s="7" t="str">
        <f>VLOOKUP(B148,[1]characters!$A:$C,3,FALSE)</f>
        <v>トール</v>
      </c>
      <c r="I148" s="7" t="str">
        <f>VLOOKUP(B148,[1]characters!$A:$J,10,FALSE)</f>
        <v>PremiumSS</v>
      </c>
      <c r="J148" s="7">
        <f>VLOOKUP(B148,[1]characters!$A:$I,9,FALSE)</f>
        <v>5</v>
      </c>
      <c r="K148" s="7" t="str">
        <f>VLOOKUP(B148,[1]characters!$A:$H,8,FALSE)</f>
        <v>red</v>
      </c>
      <c r="L148" s="7" t="str">
        <f>VLOOKUP(B148,[1]characters!$A:$K,11,FALSE)</f>
        <v>balance</v>
      </c>
      <c r="M148" s="7" t="str">
        <f>VLOOKUP(B148,[1]characters!$A:$M,13,FALSE)</f>
        <v>god</v>
      </c>
      <c r="N148" s="7">
        <f>VLOOKUP(B148,[1]characters!$A:$G,7,FALSE)</f>
        <v>0</v>
      </c>
      <c r="O148" s="45">
        <f t="shared" si="16"/>
        <v>2460</v>
      </c>
      <c r="P148" s="46">
        <f t="shared" si="17"/>
        <v>1.0416666666666667E-3</v>
      </c>
      <c r="Q148" s="30">
        <v>1</v>
      </c>
      <c r="R148" s="30">
        <v>0</v>
      </c>
      <c r="S148" s="30">
        <v>0</v>
      </c>
      <c r="T148" s="30">
        <v>0</v>
      </c>
      <c r="U148" s="30">
        <v>0</v>
      </c>
      <c r="V148" s="30">
        <v>1</v>
      </c>
    </row>
    <row r="149" spans="1:22" ht="21" customHeight="1" x14ac:dyDescent="0.15">
      <c r="A149" s="2" t="str">
        <f ca="1">input_586100!A$2</f>
        <v>586100</v>
      </c>
      <c r="B149" s="1">
        <v>1262</v>
      </c>
      <c r="C149" s="7" t="str">
        <f t="shared" si="14"/>
        <v>PremiumSS5R5only</v>
      </c>
      <c r="D149" s="7" t="str">
        <f t="shared" si="15"/>
        <v>PremiumSS</v>
      </c>
      <c r="E149" s="7" t="str">
        <f>IF(COUNTIF('R6追加前'!A:A,B149)=0,IF(OR(I149="PremiumSS",I149="PremiumSSw"),"R5only","R3less"),"")</f>
        <v>R5only</v>
      </c>
      <c r="F149" s="7" t="str">
        <f>IF(COUNTIF('R6開放'!A:A,B149)&gt;0,"R6release","")</f>
        <v/>
      </c>
      <c r="G149" s="7"/>
      <c r="H149" s="7" t="str">
        <f>VLOOKUP(B149,[1]characters!$A:$C,3,FALSE)</f>
        <v>イズン</v>
      </c>
      <c r="I149" s="7" t="str">
        <f>VLOOKUP(B149,[1]characters!$A:$J,10,FALSE)</f>
        <v>PremiumSSw</v>
      </c>
      <c r="J149" s="7">
        <f>VLOOKUP(B149,[1]characters!$A:$I,9,FALSE)</f>
        <v>5</v>
      </c>
      <c r="K149" s="7" t="str">
        <f>VLOOKUP(B149,[1]characters!$A:$H,8,FALSE)</f>
        <v>green</v>
      </c>
      <c r="L149" s="7" t="str">
        <f>VLOOKUP(B149,[1]characters!$A:$K,11,FALSE)</f>
        <v>heal</v>
      </c>
      <c r="M149" s="7" t="str">
        <f>VLOOKUP(B149,[1]characters!$A:$M,13,FALSE)</f>
        <v>god</v>
      </c>
      <c r="N149" s="7">
        <f>VLOOKUP(B149,[1]characters!$A:$G,7,FALSE)</f>
        <v>0</v>
      </c>
      <c r="O149" s="45">
        <f>VLOOKUP(D149,$W$2:$Y$4,3,FALSE)</f>
        <v>2460</v>
      </c>
      <c r="P149" s="46">
        <f t="shared" si="17"/>
        <v>1.0416666666666667E-3</v>
      </c>
      <c r="Q149" s="30">
        <v>1</v>
      </c>
      <c r="R149" s="30">
        <v>0</v>
      </c>
      <c r="S149" s="30">
        <v>0</v>
      </c>
      <c r="T149" s="30">
        <v>0</v>
      </c>
      <c r="U149" s="30">
        <v>0</v>
      </c>
      <c r="V149" s="30">
        <v>1</v>
      </c>
    </row>
    <row r="150" spans="1:22" ht="21" customHeight="1" x14ac:dyDescent="0.15">
      <c r="A150" s="2" t="str">
        <f ca="1">input_586100!A$2</f>
        <v>586100</v>
      </c>
      <c r="B150" s="1">
        <v>1264</v>
      </c>
      <c r="C150" s="7" t="str">
        <f t="shared" si="14"/>
        <v>PremiumSS5R5only</v>
      </c>
      <c r="D150" s="7" t="str">
        <f t="shared" si="15"/>
        <v>PremiumSS</v>
      </c>
      <c r="E150" s="7" t="str">
        <f>IF(COUNTIF('R6追加前'!A:A,B150)=0,IF(OR(I150="PremiumSS",I150="PremiumSSw"),"R5only","R3less"),"")</f>
        <v>R5only</v>
      </c>
      <c r="F150" s="7" t="str">
        <f>IF(COUNTIF('R6開放'!A:A,B150)&gt;0,"R6release","")</f>
        <v/>
      </c>
      <c r="G150" s="7"/>
      <c r="H150" s="7" t="str">
        <f>VLOOKUP(B150,[1]characters!$A:$C,3,FALSE)</f>
        <v>ウルズ</v>
      </c>
      <c r="I150" s="7" t="str">
        <f>VLOOKUP(B150,[1]characters!$A:$J,10,FALSE)</f>
        <v>PremiumSS</v>
      </c>
      <c r="J150" s="7">
        <f>VLOOKUP(B150,[1]characters!$A:$I,9,FALSE)</f>
        <v>5</v>
      </c>
      <c r="K150" s="7" t="str">
        <f>VLOOKUP(B150,[1]characters!$A:$H,8,FALSE)</f>
        <v>blue</v>
      </c>
      <c r="L150" s="7" t="str">
        <f>VLOOKUP(B150,[1]characters!$A:$K,11,FALSE)</f>
        <v>heal</v>
      </c>
      <c r="M150" s="7" t="str">
        <f>VLOOKUP(B150,[1]characters!$A:$M,13,FALSE)</f>
        <v>god</v>
      </c>
      <c r="N150" s="7">
        <f>VLOOKUP(B150,[1]characters!$A:$G,7,FALSE)</f>
        <v>0</v>
      </c>
      <c r="O150" s="45">
        <f t="shared" ref="O150:O157" si="18">VLOOKUP(D150,$W$2:$Y$4,3,FALSE)</f>
        <v>2460</v>
      </c>
      <c r="P150" s="46">
        <f t="shared" si="17"/>
        <v>1.0416666666666667E-3</v>
      </c>
      <c r="Q150" s="30">
        <v>1</v>
      </c>
      <c r="R150" s="30">
        <v>0</v>
      </c>
      <c r="S150" s="30">
        <v>0</v>
      </c>
      <c r="T150" s="30">
        <v>0</v>
      </c>
      <c r="U150" s="30">
        <v>0</v>
      </c>
      <c r="V150" s="30">
        <v>1</v>
      </c>
    </row>
    <row r="151" spans="1:22" ht="21" customHeight="1" x14ac:dyDescent="0.15">
      <c r="A151" s="2" t="str">
        <f ca="1">input_586100!A$2</f>
        <v>586100</v>
      </c>
      <c r="B151" s="1">
        <v>1267</v>
      </c>
      <c r="C151" s="7" t="str">
        <f t="shared" si="14"/>
        <v>Premium5R3less</v>
      </c>
      <c r="D151" s="7" t="str">
        <f t="shared" si="15"/>
        <v>Premium</v>
      </c>
      <c r="E151" s="7" t="str">
        <f>IF(COUNTIF('R6追加前'!A:A,B151)=0,IF(OR(I151="PremiumSS",I151="PremiumSSw"),"R5only","R3less"),"")</f>
        <v>R3less</v>
      </c>
      <c r="F151" s="7" t="str">
        <f>IF(COUNTIF('R6開放'!A:A,B151)&gt;0,"R6release","")</f>
        <v/>
      </c>
      <c r="G151" s="7"/>
      <c r="H151" s="7" t="str">
        <f>VLOOKUP(B151,[1]characters!$A:$C,3,FALSE)</f>
        <v>不遜の冥番犬 ガルム</v>
      </c>
      <c r="I151" s="7" t="str">
        <f>VLOOKUP(B151,[1]characters!$A:$J,10,FALSE)</f>
        <v>PremiumS</v>
      </c>
      <c r="J151" s="7">
        <f>VLOOKUP(B151,[1]characters!$A:$I,9,FALSE)</f>
        <v>5</v>
      </c>
      <c r="K151" s="7" t="str">
        <f>VLOOKUP(B151,[1]characters!$A:$H,8,FALSE)</f>
        <v>yellow</v>
      </c>
      <c r="L151" s="7" t="str">
        <f>VLOOKUP(B151,[1]characters!$A:$K,11,FALSE)</f>
        <v>hp</v>
      </c>
      <c r="M151" s="7" t="str">
        <f>VLOOKUP(B151,[1]characters!$A:$M,13,FALSE)</f>
        <v>god</v>
      </c>
      <c r="N151" s="7">
        <f>VLOOKUP(B151,[1]characters!$A:$G,7,FALSE)</f>
        <v>0</v>
      </c>
      <c r="O151" s="45">
        <f t="shared" si="18"/>
        <v>26208</v>
      </c>
      <c r="P151" s="46">
        <f t="shared" si="17"/>
        <v>1.1097560975609756E-2</v>
      </c>
      <c r="Q151" s="30">
        <v>1</v>
      </c>
      <c r="R151" s="30">
        <v>0</v>
      </c>
      <c r="S151" s="30">
        <v>0</v>
      </c>
      <c r="T151" s="30">
        <v>0</v>
      </c>
      <c r="U151" s="30">
        <v>0</v>
      </c>
      <c r="V151" s="30">
        <v>1</v>
      </c>
    </row>
    <row r="152" spans="1:22" ht="21" customHeight="1" x14ac:dyDescent="0.15">
      <c r="A152" s="2" t="str">
        <f ca="1">input_586100!A$2</f>
        <v>586100</v>
      </c>
      <c r="B152" s="1">
        <v>1332</v>
      </c>
      <c r="C152" s="7" t="str">
        <f t="shared" si="14"/>
        <v>PremiumSS5R5only</v>
      </c>
      <c r="D152" s="7" t="str">
        <f t="shared" si="15"/>
        <v>PremiumSS</v>
      </c>
      <c r="E152" s="7" t="str">
        <f>IF(COUNTIF('R6追加前'!A:A,B152)=0,IF(OR(I152="PremiumSS",I152="PremiumSSw"),"R5only","R3less"),"")</f>
        <v>R5only</v>
      </c>
      <c r="F152" s="7" t="str">
        <f>IF(COUNTIF('R6開放'!A:A,B152)&gt;0,"R6release","")</f>
        <v/>
      </c>
      <c r="G152" s="7"/>
      <c r="H152" s="7" t="str">
        <f>VLOOKUP(B152,[1]characters!$A:$C,3,FALSE)</f>
        <v>クシナダヒメ</v>
      </c>
      <c r="I152" s="7" t="str">
        <f>VLOOKUP(B152,[1]characters!$A:$J,10,FALSE)</f>
        <v>PremiumSSw</v>
      </c>
      <c r="J152" s="7">
        <f>VLOOKUP(B152,[1]characters!$A:$I,9,FALSE)</f>
        <v>5</v>
      </c>
      <c r="K152" s="7" t="str">
        <f>VLOOKUP(B152,[1]characters!$A:$H,8,FALSE)</f>
        <v>red</v>
      </c>
      <c r="L152" s="7" t="str">
        <f>VLOOKUP(B152,[1]characters!$A:$K,11,FALSE)</f>
        <v>hp</v>
      </c>
      <c r="M152" s="7" t="str">
        <f>VLOOKUP(B152,[1]characters!$A:$M,13,FALSE)</f>
        <v>god</v>
      </c>
      <c r="N152" s="7">
        <f>VLOOKUP(B152,[1]characters!$A:$G,7,FALSE)</f>
        <v>0</v>
      </c>
      <c r="O152" s="45">
        <f t="shared" si="18"/>
        <v>2460</v>
      </c>
      <c r="P152" s="46">
        <f t="shared" si="17"/>
        <v>1.0416666666666667E-3</v>
      </c>
      <c r="Q152" s="30">
        <v>1</v>
      </c>
      <c r="R152" s="30">
        <v>0</v>
      </c>
      <c r="S152" s="30">
        <v>0</v>
      </c>
      <c r="T152" s="30">
        <v>0</v>
      </c>
      <c r="U152" s="30">
        <v>0</v>
      </c>
      <c r="V152" s="30">
        <v>1</v>
      </c>
    </row>
    <row r="153" spans="1:22" ht="21" customHeight="1" x14ac:dyDescent="0.15">
      <c r="A153" s="2" t="str">
        <f ca="1">input_586100!A$2</f>
        <v>586100</v>
      </c>
      <c r="B153" s="1">
        <v>1336</v>
      </c>
      <c r="C153" s="7" t="str">
        <f t="shared" si="14"/>
        <v>PremiumSS5R5only</v>
      </c>
      <c r="D153" s="7" t="str">
        <f t="shared" si="15"/>
        <v>PremiumSS</v>
      </c>
      <c r="E153" s="7" t="str">
        <f>IF(COUNTIF('R6追加前'!A:A,B153)=0,IF(OR(I153="PremiumSS",I153="PremiumSSw"),"R5only","R3less"),"")</f>
        <v>R5only</v>
      </c>
      <c r="F153" s="7" t="str">
        <f>IF(COUNTIF('R6開放'!A:A,B153)&gt;0,"R6release","")</f>
        <v/>
      </c>
      <c r="G153" s="7"/>
      <c r="H153" s="7" t="str">
        <f>VLOOKUP(B153,[1]characters!$A:$C,3,FALSE)</f>
        <v>イザナギ</v>
      </c>
      <c r="I153" s="7" t="str">
        <f>VLOOKUP(B153,[1]characters!$A:$J,10,FALSE)</f>
        <v>PremiumSS</v>
      </c>
      <c r="J153" s="7">
        <f>VLOOKUP(B153,[1]characters!$A:$I,9,FALSE)</f>
        <v>5</v>
      </c>
      <c r="K153" s="7" t="str">
        <f>VLOOKUP(B153,[1]characters!$A:$H,8,FALSE)</f>
        <v>blue</v>
      </c>
      <c r="L153" s="7" t="str">
        <f>VLOOKUP(B153,[1]characters!$A:$K,11,FALSE)</f>
        <v>technical</v>
      </c>
      <c r="M153" s="7" t="str">
        <f>VLOOKUP(B153,[1]characters!$A:$M,13,FALSE)</f>
        <v>god</v>
      </c>
      <c r="N153" s="7">
        <f>VLOOKUP(B153,[1]characters!$A:$G,7,FALSE)</f>
        <v>0</v>
      </c>
      <c r="O153" s="45">
        <f t="shared" si="18"/>
        <v>2460</v>
      </c>
      <c r="P153" s="46">
        <f t="shared" si="17"/>
        <v>1.0416666666666667E-3</v>
      </c>
      <c r="Q153" s="30">
        <v>1</v>
      </c>
      <c r="R153" s="30">
        <v>0</v>
      </c>
      <c r="S153" s="30">
        <v>0</v>
      </c>
      <c r="T153" s="30">
        <v>0</v>
      </c>
      <c r="U153" s="30">
        <v>0</v>
      </c>
      <c r="V153" s="30">
        <v>1</v>
      </c>
    </row>
    <row r="154" spans="1:22" ht="21" customHeight="1" x14ac:dyDescent="0.15">
      <c r="A154" s="2" t="str">
        <f ca="1">input_586100!A$2</f>
        <v>586100</v>
      </c>
      <c r="B154" s="1">
        <v>1338</v>
      </c>
      <c r="C154" s="7" t="str">
        <f t="shared" si="14"/>
        <v>PremiumSS5R5only</v>
      </c>
      <c r="D154" s="7" t="str">
        <f t="shared" si="15"/>
        <v>PremiumSS</v>
      </c>
      <c r="E154" s="7" t="str">
        <f>IF(COUNTIF('R6追加前'!A:A,B154)=0,IF(OR(I154="PremiumSS",I154="PremiumSSw"),"R5only","R3less"),"")</f>
        <v>R5only</v>
      </c>
      <c r="F154" s="7" t="str">
        <f>IF(COUNTIF('R6開放'!A:A,B154)&gt;0,"R6release","")</f>
        <v/>
      </c>
      <c r="G154" s="7"/>
      <c r="H154" s="7" t="str">
        <f>VLOOKUP(B154,[1]characters!$A:$C,3,FALSE)</f>
        <v>アメノウズメ</v>
      </c>
      <c r="I154" s="7" t="str">
        <f>VLOOKUP(B154,[1]characters!$A:$J,10,FALSE)</f>
        <v>PremiumSS</v>
      </c>
      <c r="J154" s="7">
        <f>VLOOKUP(B154,[1]characters!$A:$I,9,FALSE)</f>
        <v>5</v>
      </c>
      <c r="K154" s="7" t="str">
        <f>VLOOKUP(B154,[1]characters!$A:$H,8,FALSE)</f>
        <v>yellow</v>
      </c>
      <c r="L154" s="7" t="str">
        <f>VLOOKUP(B154,[1]characters!$A:$K,11,FALSE)</f>
        <v>attack</v>
      </c>
      <c r="M154" s="7" t="str">
        <f>VLOOKUP(B154,[1]characters!$A:$M,13,FALSE)</f>
        <v>god</v>
      </c>
      <c r="N154" s="7">
        <f>VLOOKUP(B154,[1]characters!$A:$G,7,FALSE)</f>
        <v>0</v>
      </c>
      <c r="O154" s="45">
        <f t="shared" si="18"/>
        <v>2460</v>
      </c>
      <c r="P154" s="46">
        <f t="shared" si="17"/>
        <v>1.0416666666666667E-3</v>
      </c>
      <c r="Q154" s="30">
        <v>1</v>
      </c>
      <c r="R154" s="30">
        <v>0</v>
      </c>
      <c r="S154" s="30">
        <v>0</v>
      </c>
      <c r="T154" s="30">
        <v>0</v>
      </c>
      <c r="U154" s="30">
        <v>0</v>
      </c>
      <c r="V154" s="30">
        <v>1</v>
      </c>
    </row>
    <row r="155" spans="1:22" ht="21" customHeight="1" x14ac:dyDescent="0.15">
      <c r="A155" s="2" t="str">
        <f ca="1">input_586100!A$2</f>
        <v>586100</v>
      </c>
      <c r="B155" s="1">
        <v>1335</v>
      </c>
      <c r="C155" s="7" t="str">
        <f t="shared" si="14"/>
        <v>Premium5R3less</v>
      </c>
      <c r="D155" s="7" t="str">
        <f t="shared" si="15"/>
        <v>Premium</v>
      </c>
      <c r="E155" s="7" t="str">
        <f>IF(COUNTIF('R6追加前'!A:A,B155)=0,IF(OR(I155="PremiumSS",I155="PremiumSSw"),"R5only","R3less"),"")</f>
        <v>R3less</v>
      </c>
      <c r="F155" s="7" t="str">
        <f>IF(COUNTIF('R6開放'!A:A,B155)&gt;0,"R6release","")</f>
        <v/>
      </c>
      <c r="G155" s="7"/>
      <c r="H155" s="7" t="str">
        <f>VLOOKUP(B155,[1]characters!$A:$C,3,FALSE)</f>
        <v>霊司の神憑 タマヨリヒメ</v>
      </c>
      <c r="I155" s="7" t="str">
        <f>VLOOKUP(B155,[1]characters!$A:$J,10,FALSE)</f>
        <v>PremiumS</v>
      </c>
      <c r="J155" s="7">
        <f>VLOOKUP(B155,[1]characters!$A:$I,9,FALSE)</f>
        <v>5</v>
      </c>
      <c r="K155" s="7" t="str">
        <f>VLOOKUP(B155,[1]characters!$A:$H,8,FALSE)</f>
        <v>green</v>
      </c>
      <c r="L155" s="7" t="str">
        <f>VLOOKUP(B155,[1]characters!$A:$K,11,FALSE)</f>
        <v>heal</v>
      </c>
      <c r="M155" s="7" t="str">
        <f>VLOOKUP(B155,[1]characters!$A:$M,13,FALSE)</f>
        <v>god</v>
      </c>
      <c r="N155" s="7">
        <f>VLOOKUP(B155,[1]characters!$A:$G,7,FALSE)</f>
        <v>0</v>
      </c>
      <c r="O155" s="45">
        <f t="shared" si="18"/>
        <v>26208</v>
      </c>
      <c r="P155" s="46">
        <f t="shared" si="17"/>
        <v>1.1097560975609756E-2</v>
      </c>
      <c r="Q155" s="30">
        <v>1</v>
      </c>
      <c r="R155" s="30">
        <v>0</v>
      </c>
      <c r="S155" s="30">
        <v>0</v>
      </c>
      <c r="T155" s="30">
        <v>0</v>
      </c>
      <c r="U155" s="30">
        <v>0</v>
      </c>
      <c r="V155" s="30">
        <v>1</v>
      </c>
    </row>
    <row r="156" spans="1:22" ht="21" customHeight="1" x14ac:dyDescent="0.15">
      <c r="A156" s="2" t="str">
        <f ca="1">input_586100!A$2</f>
        <v>586100</v>
      </c>
      <c r="B156" s="95">
        <v>1039</v>
      </c>
      <c r="C156" s="7" t="str">
        <f t="shared" si="14"/>
        <v>PremiumSSS5R3less</v>
      </c>
      <c r="D156" s="7" t="str">
        <f t="shared" si="15"/>
        <v>PremiumSSS</v>
      </c>
      <c r="E156" s="7" t="str">
        <f>IF(COUNTIF('R6追加前'!A:A,B156)=0,IF(OR(I156="PremiumSS",I156="PremiumSSw"),"R5only","R3less"),"")</f>
        <v>R3less</v>
      </c>
      <c r="F156" s="7" t="str">
        <f>IF(COUNTIF('R6開放'!A:A,B156)&gt;0,"R6release","")</f>
        <v/>
      </c>
      <c r="G156" s="7"/>
      <c r="H156" s="7" t="str">
        <f>VLOOKUP(B156,[1]characters!$A:$C,3,FALSE)</f>
        <v>ディラック</v>
      </c>
      <c r="I156" s="7" t="str">
        <f>VLOOKUP(B156,[1]characters!$A:$J,10,FALSE)</f>
        <v>PremiumSSS</v>
      </c>
      <c r="J156" s="7">
        <f>VLOOKUP(B156,[1]characters!$A:$I,9,FALSE)</f>
        <v>5</v>
      </c>
      <c r="K156" s="7" t="str">
        <f>VLOOKUP(B156,[1]characters!$A:$H,8,FALSE)</f>
        <v>blue</v>
      </c>
      <c r="L156" s="7" t="str">
        <f>VLOOKUP(B156,[1]characters!$A:$K,11,FALSE)</f>
        <v>technical</v>
      </c>
      <c r="M156" s="7" t="str">
        <f>VLOOKUP(B156,[1]characters!$A:$M,13,FALSE)</f>
        <v>academia</v>
      </c>
      <c r="N156" s="7" t="str">
        <f>VLOOKUP(B156,[1]characters!$A:$G,7,FALSE)</f>
        <v>男性</v>
      </c>
      <c r="O156" s="45">
        <f t="shared" si="18"/>
        <v>8856</v>
      </c>
      <c r="P156" s="46">
        <f t="shared" si="17"/>
        <v>3.7499999999999999E-3</v>
      </c>
      <c r="Q156" s="30">
        <v>1</v>
      </c>
      <c r="R156" s="30">
        <v>0</v>
      </c>
      <c r="S156" s="30">
        <v>0</v>
      </c>
      <c r="T156" s="30">
        <v>0</v>
      </c>
      <c r="U156" s="30">
        <v>0</v>
      </c>
      <c r="V156" s="30">
        <v>1</v>
      </c>
    </row>
    <row r="157" spans="1:22" ht="21" customHeight="1" x14ac:dyDescent="0.15">
      <c r="A157" s="2" t="str">
        <f ca="1">input_586100!A$2</f>
        <v>586100</v>
      </c>
      <c r="B157" s="95">
        <v>1090</v>
      </c>
      <c r="C157" s="7" t="str">
        <f t="shared" si="14"/>
        <v>PremiumSSS5R3less</v>
      </c>
      <c r="D157" s="7" t="str">
        <f t="shared" si="15"/>
        <v>PremiumSSS</v>
      </c>
      <c r="E157" s="7" t="str">
        <f>IF(COUNTIF('R6追加前'!A:A,B157)=0,IF(OR(I157="PremiumSS",I157="PremiumSSw"),"R5only","R3less"),"")</f>
        <v>R3less</v>
      </c>
      <c r="F157" s="7" t="str">
        <f>IF(COUNTIF('R6開放'!A:A,B157)&gt;0,"R6release","")</f>
        <v/>
      </c>
      <c r="G157" s="7"/>
      <c r="H157" s="7" t="str">
        <f>VLOOKUP(B157,[1]characters!$A:$C,3,FALSE)</f>
        <v>ラプラス</v>
      </c>
      <c r="I157" s="7" t="str">
        <f>VLOOKUP(B157,[1]characters!$A:$J,10,FALSE)</f>
        <v>PremiumSSS</v>
      </c>
      <c r="J157" s="7">
        <f>VLOOKUP(B157,[1]characters!$A:$I,9,FALSE)</f>
        <v>5</v>
      </c>
      <c r="K157" s="7" t="str">
        <f>VLOOKUP(B157,[1]characters!$A:$H,8,FALSE)</f>
        <v>yellow</v>
      </c>
      <c r="L157" s="7" t="str">
        <f>VLOOKUP(B157,[1]characters!$A:$K,11,FALSE)</f>
        <v>attack</v>
      </c>
      <c r="M157" s="7" t="str">
        <f>VLOOKUP(B157,[1]characters!$A:$M,13,FALSE)</f>
        <v>academia</v>
      </c>
      <c r="N157" s="7" t="str">
        <f>VLOOKUP(B157,[1]characters!$A:$G,7,FALSE)</f>
        <v>不明</v>
      </c>
      <c r="O157" s="45">
        <f t="shared" si="18"/>
        <v>8856</v>
      </c>
      <c r="P157" s="46">
        <f t="shared" si="17"/>
        <v>3.7499999999999999E-3</v>
      </c>
      <c r="Q157" s="30">
        <v>1</v>
      </c>
      <c r="R157" s="30">
        <v>0</v>
      </c>
      <c r="S157" s="30">
        <v>0</v>
      </c>
      <c r="T157" s="30">
        <v>0</v>
      </c>
      <c r="U157" s="30">
        <v>0</v>
      </c>
      <c r="V157" s="30">
        <v>1</v>
      </c>
    </row>
    <row r="158" spans="1:22" ht="21" customHeight="1" x14ac:dyDescent="0.15">
      <c r="A158" s="2" t="str">
        <f ca="1">input_586100!A$2</f>
        <v>586100</v>
      </c>
      <c r="B158" s="95">
        <v>485</v>
      </c>
      <c r="C158" s="7" t="str">
        <f t="shared" ref="C158:C159" si="19">D158&amp;J158&amp;E158&amp;F158&amp;G158</f>
        <v>PremiumSSS5R3less</v>
      </c>
      <c r="D158" s="7" t="str">
        <f t="shared" ref="D158:D159" si="20">IF(OR(I158="PremiumSS",I158="PremiumSSw"),"PremiumSS",IF(I158="PremiumSSS",I158,IF(I158="PremiumW",IF(J158=5,"premium",I158),"Premium")))</f>
        <v>PremiumSSS</v>
      </c>
      <c r="E158" s="7" t="str">
        <f>IF(COUNTIF('R6追加前'!A:A,B158)=0,IF(OR(I158="PremiumSS",I158="PremiumSSw"),"R5only","R3less"),"")</f>
        <v>R3less</v>
      </c>
      <c r="F158" s="7" t="str">
        <f>IF(COUNTIF('R6開放'!A:A,B158)&gt;0,"R6release","")</f>
        <v/>
      </c>
      <c r="G158" s="7"/>
      <c r="H158" s="7" t="str">
        <f>VLOOKUP(B158,[1]characters!$A:$C,3,FALSE)</f>
        <v>超越自我 ラグランジュ</v>
      </c>
      <c r="I158" s="7" t="str">
        <f>VLOOKUP(B158,[1]characters!$A:$J,10,FALSE)</f>
        <v>PremiumSSS</v>
      </c>
      <c r="J158" s="7">
        <f>VLOOKUP(B158,[1]characters!$A:$I,9,FALSE)</f>
        <v>5</v>
      </c>
      <c r="K158" s="7" t="str">
        <f>VLOOKUP(B158,[1]characters!$A:$H,8,FALSE)</f>
        <v>red</v>
      </c>
      <c r="L158" s="7" t="str">
        <f>VLOOKUP(B158,[1]characters!$A:$K,11,FALSE)</f>
        <v>technical</v>
      </c>
      <c r="M158" s="7" t="str">
        <f>VLOOKUP(B158,[1]characters!$A:$M,13,FALSE)</f>
        <v>human</v>
      </c>
      <c r="N158" s="7" t="str">
        <f>VLOOKUP(B158,[1]characters!$A:$G,7,FALSE)</f>
        <v>女性</v>
      </c>
      <c r="O158" s="45">
        <f t="shared" ref="O158:O159" si="21">VLOOKUP(D158,$W$2:$Y$4,3,FALSE)</f>
        <v>8856</v>
      </c>
      <c r="P158" s="46">
        <f t="shared" si="17"/>
        <v>3.7499999999999999E-3</v>
      </c>
      <c r="Q158" s="30">
        <v>1</v>
      </c>
      <c r="R158" s="30">
        <v>0</v>
      </c>
      <c r="S158" s="30">
        <v>0</v>
      </c>
      <c r="T158" s="30">
        <v>0</v>
      </c>
      <c r="U158" s="30">
        <v>0</v>
      </c>
      <c r="V158" s="30">
        <v>1</v>
      </c>
    </row>
    <row r="159" spans="1:22" ht="21" customHeight="1" x14ac:dyDescent="0.15">
      <c r="A159" s="2" t="str">
        <f ca="1">input_586100!A$2</f>
        <v>586100</v>
      </c>
      <c r="B159" s="95">
        <v>1159</v>
      </c>
      <c r="C159" s="7" t="str">
        <f t="shared" si="19"/>
        <v>PremiumSSS5R3less</v>
      </c>
      <c r="D159" s="7" t="str">
        <f t="shared" si="20"/>
        <v>PremiumSSS</v>
      </c>
      <c r="E159" s="7" t="str">
        <f>IF(COUNTIF('R6追加前'!A:A,B159)=0,IF(OR(I159="PremiumSS",I159="PremiumSSw"),"R5only","R3less"),"")</f>
        <v>R3less</v>
      </c>
      <c r="F159" s="7" t="str">
        <f>IF(COUNTIF('R6開放'!A:A,B159)&gt;0,"R6release","")</f>
        <v/>
      </c>
      <c r="G159" s="7"/>
      <c r="H159" s="7" t="str">
        <f>VLOOKUP(B159,[1]characters!$A:$C,3,FALSE)</f>
        <v>ガロア</v>
      </c>
      <c r="I159" s="7" t="str">
        <f>VLOOKUP(B159,[1]characters!$A:$J,10,FALSE)</f>
        <v>PremiumSSS</v>
      </c>
      <c r="J159" s="7">
        <f>VLOOKUP(B159,[1]characters!$A:$I,9,FALSE)</f>
        <v>5</v>
      </c>
      <c r="K159" s="7" t="str">
        <f>VLOOKUP(B159,[1]characters!$A:$H,8,FALSE)</f>
        <v>green</v>
      </c>
      <c r="L159" s="7" t="str">
        <f>VLOOKUP(B159,[1]characters!$A:$K,11,FALSE)</f>
        <v>attack</v>
      </c>
      <c r="M159" s="7" t="str">
        <f>VLOOKUP(B159,[1]characters!$A:$M,13,FALSE)</f>
        <v>academia</v>
      </c>
      <c r="N159" s="7" t="str">
        <f>VLOOKUP(B159,[1]characters!$A:$G,7,FALSE)</f>
        <v>不明</v>
      </c>
      <c r="O159" s="45">
        <f t="shared" si="21"/>
        <v>8856</v>
      </c>
      <c r="P159" s="46">
        <f t="shared" si="17"/>
        <v>3.7499999999999999E-3</v>
      </c>
      <c r="Q159" s="30">
        <v>1</v>
      </c>
      <c r="R159" s="30">
        <v>0</v>
      </c>
      <c r="S159" s="30">
        <v>0</v>
      </c>
      <c r="T159" s="30">
        <v>0</v>
      </c>
      <c r="U159" s="30">
        <v>0</v>
      </c>
      <c r="V159" s="30">
        <v>1</v>
      </c>
    </row>
    <row r="160" spans="1:22" ht="21" customHeight="1" x14ac:dyDescent="0.15">
      <c r="B160"/>
    </row>
  </sheetData>
  <autoFilter ref="A1:V157"/>
  <phoneticPr fontId="22"/>
  <pageMargins left="0.75" right="0.75" top="1" bottom="1" header="0.3" footer="0.3"/>
  <pageSetup paperSize="9" orientation="portrait" horizontalDpi="4294967292" verticalDpi="4294967292"/>
  <legacy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4" enableFormatConditionsCalculation="0">
    <tabColor rgb="FF0000FF"/>
    <outlinePr summaryBelow="0" summaryRight="0"/>
  </sheetPr>
  <dimension ref="A1:Q5"/>
  <sheetViews>
    <sheetView showGridLines="0" workbookViewId="0">
      <pane ySplit="1" topLeftCell="A2" activePane="bottomLeft" state="frozen"/>
      <selection activeCell="M24" sqref="M24"/>
      <selection pane="bottomLeft" activeCell="A2" sqref="A2:Q5"/>
    </sheetView>
  </sheetViews>
  <sheetFormatPr baseColWidth="12" defaultRowHeight="21" customHeight="1" x14ac:dyDescent="0.15"/>
  <cols>
    <col min="1" max="1" width="14.59765625" style="1" bestFit="1" customWidth="1"/>
    <col min="2" max="2" width="14.19921875" style="1" bestFit="1" customWidth="1"/>
    <col min="3" max="4" width="14.19921875" style="1" customWidth="1"/>
    <col min="5" max="5" width="16.3984375" style="1" customWidth="1"/>
    <col min="6" max="6" width="8.59765625" style="1" bestFit="1" customWidth="1"/>
    <col min="14" max="14" width="8.59765625" style="1" bestFit="1" customWidth="1"/>
    <col min="15" max="16" width="13" style="1"/>
    <col min="17" max="17" width="18.796875" style="1" bestFit="1" customWidth="1"/>
    <col min="18" max="16384" width="13" style="1"/>
  </cols>
  <sheetData>
    <row r="1" spans="1:17" ht="21" customHeight="1" x14ac:dyDescent="0.15">
      <c r="A1" s="13" t="s">
        <v>10</v>
      </c>
      <c r="B1" s="23" t="s">
        <v>13</v>
      </c>
      <c r="C1" s="14" t="s">
        <v>15</v>
      </c>
      <c r="D1" s="14" t="s">
        <v>16</v>
      </c>
      <c r="E1" s="14" t="s">
        <v>17</v>
      </c>
      <c r="F1" s="13" t="s">
        <v>2</v>
      </c>
      <c r="G1" s="52" t="s">
        <v>88</v>
      </c>
      <c r="H1" s="52" t="s">
        <v>89</v>
      </c>
      <c r="I1" s="53" t="s">
        <v>90</v>
      </c>
      <c r="J1" s="53" t="s">
        <v>91</v>
      </c>
      <c r="K1" s="53" t="s">
        <v>92</v>
      </c>
      <c r="L1" s="53" t="s">
        <v>93</v>
      </c>
      <c r="M1" s="53" t="s">
        <v>94</v>
      </c>
      <c r="N1" s="13" t="s">
        <v>18</v>
      </c>
      <c r="O1" s="13" t="s">
        <v>19</v>
      </c>
      <c r="P1" s="13" t="s">
        <v>20</v>
      </c>
      <c r="Q1" s="13" t="s">
        <v>21</v>
      </c>
    </row>
    <row r="2" spans="1:17" ht="21" customHeight="1" x14ac:dyDescent="0.15">
      <c r="A2" s="78"/>
      <c r="B2" s="78"/>
      <c r="C2" s="79"/>
      <c r="D2" s="79"/>
      <c r="E2" s="79"/>
      <c r="F2" s="79"/>
      <c r="G2" s="1"/>
      <c r="H2" s="1"/>
      <c r="I2" s="1"/>
      <c r="J2" s="1"/>
      <c r="K2" s="1"/>
      <c r="L2" s="1"/>
      <c r="M2" s="1"/>
      <c r="N2" s="79"/>
      <c r="O2" s="79"/>
      <c r="P2" s="79"/>
      <c r="Q2" s="80"/>
    </row>
    <row r="3" spans="1:17" ht="21" customHeight="1" x14ac:dyDescent="0.15">
      <c r="A3" s="78"/>
      <c r="B3" s="78"/>
      <c r="G3" s="84"/>
      <c r="H3" s="84"/>
      <c r="I3" s="84"/>
      <c r="J3" s="84"/>
      <c r="K3" s="84"/>
      <c r="L3" s="84"/>
      <c r="M3" s="84"/>
      <c r="N3" s="79"/>
      <c r="O3" s="79"/>
      <c r="P3" s="79"/>
      <c r="Q3" s="80"/>
    </row>
    <row r="4" spans="1:17" ht="21" customHeight="1" x14ac:dyDescent="0.15">
      <c r="A4" s="78"/>
      <c r="B4" s="78"/>
      <c r="G4" s="84"/>
      <c r="H4" s="84"/>
      <c r="I4" s="84"/>
      <c r="J4" s="84"/>
      <c r="K4" s="84"/>
      <c r="L4" s="84"/>
      <c r="M4" s="84"/>
      <c r="N4" s="79"/>
      <c r="O4" s="79"/>
      <c r="P4" s="79"/>
      <c r="Q4" s="80"/>
    </row>
    <row r="5" spans="1:17" ht="21" customHeight="1" x14ac:dyDescent="0.15">
      <c r="A5" s="78"/>
      <c r="B5" s="78"/>
      <c r="G5" s="84"/>
      <c r="H5" s="84"/>
      <c r="I5" s="84"/>
      <c r="J5" s="84"/>
      <c r="K5" s="84"/>
      <c r="L5" s="84"/>
      <c r="M5" s="84"/>
      <c r="N5" s="79"/>
      <c r="O5" s="79"/>
      <c r="P5" s="79"/>
      <c r="Q5" s="80"/>
    </row>
  </sheetData>
  <autoFilter ref="A1:F1"/>
  <phoneticPr fontId="22"/>
  <pageMargins left="0.75" right="0.75" top="1" bottom="1" header="0.3" footer="0.3"/>
  <pageSetup paperSize="9" orientation="portrait" horizontalDpi="4294967292" verticalDpi="4294967292"/>
  <legacy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 enableFormatConditionsCalculation="0"/>
  <dimension ref="A1:B266"/>
  <sheetViews>
    <sheetView topLeftCell="A11" workbookViewId="0">
      <selection activeCell="H279" sqref="H279"/>
    </sheetView>
  </sheetViews>
  <sheetFormatPr baseColWidth="12" defaultRowHeight="14" outlineLevelCol="1" x14ac:dyDescent="0.15"/>
  <cols>
    <col min="1" max="1" width="10.3984375" style="1" customWidth="1"/>
    <col min="2" max="2" width="23.3984375" style="1" customWidth="1" outlineLevel="1"/>
  </cols>
  <sheetData>
    <row r="1" spans="1:2" x14ac:dyDescent="0.15">
      <c r="A1" s="15" t="s">
        <v>32</v>
      </c>
      <c r="B1" s="3" t="s">
        <v>33</v>
      </c>
    </row>
    <row r="2" spans="1:2" x14ac:dyDescent="0.15">
      <c r="A2" s="6">
        <v>126</v>
      </c>
      <c r="B2" s="7" t="str">
        <f>VLOOKUP(A2,[1]characters!$A:$C,3,FALSE)</f>
        <v>骨器使い ユノ</v>
      </c>
    </row>
    <row r="3" spans="1:2" x14ac:dyDescent="0.15">
      <c r="A3" s="6">
        <v>127</v>
      </c>
      <c r="B3" s="7" t="str">
        <f>VLOOKUP(A3,[1]characters!$A:$C,3,FALSE)</f>
        <v>狂喜の賢者 ユノ</v>
      </c>
    </row>
    <row r="4" spans="1:2" x14ac:dyDescent="0.15">
      <c r="A4" s="6">
        <v>128</v>
      </c>
      <c r="B4" s="7" t="str">
        <f>VLOOKUP(A4,[1]characters!$A:$C,3,FALSE)</f>
        <v>野生児 アマラ</v>
      </c>
    </row>
    <row r="5" spans="1:2" x14ac:dyDescent="0.15">
      <c r="A5" s="6">
        <v>129</v>
      </c>
      <c r="B5" s="7" t="str">
        <f>VLOOKUP(A5,[1]characters!$A:$C,3,FALSE)</f>
        <v>孤高の狼憑き アマラ</v>
      </c>
    </row>
    <row r="6" spans="1:2" x14ac:dyDescent="0.15">
      <c r="A6" s="6">
        <v>130</v>
      </c>
      <c r="B6" s="7" t="str">
        <f>VLOOKUP(A6,[1]characters!$A:$C,3,FALSE)</f>
        <v>狼男 ローレンス</v>
      </c>
    </row>
    <row r="7" spans="1:2" x14ac:dyDescent="0.15">
      <c r="A7" s="6">
        <v>131</v>
      </c>
      <c r="B7" s="7" t="str">
        <f>VLOOKUP(A7,[1]characters!$A:$C,3,FALSE)</f>
        <v>月下の人狼 ローレンス</v>
      </c>
    </row>
    <row r="8" spans="1:2" x14ac:dyDescent="0.15">
      <c r="A8" s="6">
        <v>132</v>
      </c>
      <c r="B8" s="7" t="str">
        <f>VLOOKUP(A8,[1]characters!$A:$C,3,FALSE)</f>
        <v>鳥人ハヤト</v>
      </c>
    </row>
    <row r="9" spans="1:2" x14ac:dyDescent="0.15">
      <c r="A9" s="6">
        <v>133</v>
      </c>
      <c r="B9" s="7" t="str">
        <f>VLOOKUP(A9,[1]characters!$A:$C,3,FALSE)</f>
        <v>迅雷の刀剣 ハヤト</v>
      </c>
    </row>
    <row r="10" spans="1:2" x14ac:dyDescent="0.15">
      <c r="A10" s="6">
        <v>134</v>
      </c>
      <c r="B10" s="7" t="str">
        <f>VLOOKUP(A10,[1]characters!$A:$C,3,FALSE)</f>
        <v>妖炎の夕霧</v>
      </c>
    </row>
    <row r="11" spans="1:2" x14ac:dyDescent="0.15">
      <c r="A11" s="6">
        <v>135</v>
      </c>
      <c r="B11" s="7" t="str">
        <f>VLOOKUP(A11,[1]characters!$A:$C,3,FALSE)</f>
        <v>京の炎華夕霧</v>
      </c>
    </row>
    <row r="12" spans="1:2" x14ac:dyDescent="0.15">
      <c r="A12" s="8">
        <v>136</v>
      </c>
      <c r="B12" s="7" t="str">
        <f>VLOOKUP(A12,[1]characters!$A:$C,3,FALSE)</f>
        <v>お針子チハヤ</v>
      </c>
    </row>
    <row r="13" spans="1:2" x14ac:dyDescent="0.15">
      <c r="A13" s="8">
        <v>137</v>
      </c>
      <c r="B13" s="7" t="str">
        <f>VLOOKUP(A13,[1]characters!$A:$C,3,FALSE)</f>
        <v>清福の仕立屋 チハヤ</v>
      </c>
    </row>
    <row r="14" spans="1:2" x14ac:dyDescent="0.15">
      <c r="A14" s="6">
        <v>138</v>
      </c>
      <c r="B14" s="7" t="str">
        <f>VLOOKUP(A14,[1]characters!$A:$C,3,FALSE)</f>
        <v>蒼薙のトモエ</v>
      </c>
    </row>
    <row r="15" spans="1:2" x14ac:dyDescent="0.15">
      <c r="A15" s="6">
        <v>139</v>
      </c>
      <c r="B15" s="7" t="str">
        <f>VLOOKUP(A15,[1]characters!$A:$C,3,FALSE)</f>
        <v>蒼昇刃姫 トモエ</v>
      </c>
    </row>
    <row r="16" spans="1:2" x14ac:dyDescent="0.15">
      <c r="A16" s="10">
        <v>140</v>
      </c>
      <c r="B16" s="7" t="str">
        <f>VLOOKUP(A16,[1]characters!$A:$C,3,FALSE)</f>
        <v>秋祭のタマモ</v>
      </c>
    </row>
    <row r="17" spans="1:2" x14ac:dyDescent="0.15">
      <c r="A17" s="11">
        <v>141</v>
      </c>
      <c r="B17" s="7" t="str">
        <f>VLOOKUP(A17,[1]characters!$A:$C,3,FALSE)</f>
        <v>妖狐演舞 タマモ</v>
      </c>
    </row>
    <row r="18" spans="1:2" x14ac:dyDescent="0.15">
      <c r="A18" s="6">
        <v>142</v>
      </c>
      <c r="B18" s="7" t="str">
        <f>VLOOKUP(A18,[1]characters!$A:$C,3,FALSE)</f>
        <v>赤ずきん</v>
      </c>
    </row>
    <row r="19" spans="1:2" x14ac:dyDescent="0.15">
      <c r="A19" s="6">
        <v>143</v>
      </c>
      <c r="B19" s="7" t="str">
        <f>VLOOKUP(A19,[1]characters!$A:$C,3,FALSE)</f>
        <v>深紅の死神 赤ずきん</v>
      </c>
    </row>
    <row r="20" spans="1:2" x14ac:dyDescent="0.15">
      <c r="A20" s="10">
        <v>144</v>
      </c>
      <c r="B20" s="7" t="str">
        <f>VLOOKUP(A20,[1]characters!$A:$C,3,FALSE)</f>
        <v>かぐや</v>
      </c>
    </row>
    <row r="21" spans="1:2" x14ac:dyDescent="0.15">
      <c r="A21" s="6">
        <v>145</v>
      </c>
      <c r="B21" s="7" t="str">
        <f>VLOOKUP(A21,[1]characters!$A:$C,3,FALSE)</f>
        <v>魔性妖艶 かぐや</v>
      </c>
    </row>
    <row r="22" spans="1:2" x14ac:dyDescent="0.15">
      <c r="A22" s="6">
        <v>146</v>
      </c>
      <c r="B22" s="7" t="str">
        <f>VLOOKUP(A22,[1]characters!$A:$C,3,FALSE)</f>
        <v>マーメイド</v>
      </c>
    </row>
    <row r="23" spans="1:2" x14ac:dyDescent="0.15">
      <c r="A23" s="6">
        <v>147</v>
      </c>
      <c r="B23" s="7" t="str">
        <f>VLOOKUP(A23,[1]characters!$A:$C,3,FALSE)</f>
        <v>蒼き閃光 元マーメイド</v>
      </c>
    </row>
    <row r="24" spans="1:2" x14ac:dyDescent="0.15">
      <c r="A24" s="6">
        <v>148</v>
      </c>
      <c r="B24" s="7" t="str">
        <f>VLOOKUP(A24,[1]characters!$A:$C,3,FALSE)</f>
        <v>シンデレラ</v>
      </c>
    </row>
    <row r="25" spans="1:2" x14ac:dyDescent="0.15">
      <c r="A25" s="6">
        <v>149</v>
      </c>
      <c r="B25" s="7" t="str">
        <f>VLOOKUP(A25,[1]characters!$A:$C,3,FALSE)</f>
        <v>雷撃蹴技を極めし者 シンデレラ</v>
      </c>
    </row>
    <row r="26" spans="1:2" x14ac:dyDescent="0.15">
      <c r="A26" s="6">
        <v>150</v>
      </c>
      <c r="B26" s="7" t="str">
        <f>VLOOKUP(A26,[1]characters!$A:$C,3,FALSE)</f>
        <v>ポイズンマスターサキ</v>
      </c>
    </row>
    <row r="27" spans="1:2" x14ac:dyDescent="0.15">
      <c r="A27" s="6">
        <v>151</v>
      </c>
      <c r="B27" s="7" t="str">
        <f>VLOOKUP(A27,[1]characters!$A:$C,3,FALSE)</f>
        <v>毒煙の処刑人サキ</v>
      </c>
    </row>
    <row r="28" spans="1:2" x14ac:dyDescent="0.15">
      <c r="A28" s="6">
        <v>152</v>
      </c>
      <c r="B28" s="7" t="str">
        <f>VLOOKUP(A28,[1]characters!$A:$C,3,FALSE)</f>
        <v>功夫少女ランラン</v>
      </c>
    </row>
    <row r="29" spans="1:2" x14ac:dyDescent="0.15">
      <c r="A29" s="6">
        <v>153</v>
      </c>
      <c r="B29" s="7" t="str">
        <f>VLOOKUP(A29,[1]characters!$A:$C,3,FALSE)</f>
        <v>拳聖ランラン</v>
      </c>
    </row>
    <row r="30" spans="1:2" x14ac:dyDescent="0.15">
      <c r="A30" s="6">
        <v>154</v>
      </c>
      <c r="B30" s="7" t="str">
        <f>VLOOKUP(A30,[1]characters!$A:$C,3,FALSE)</f>
        <v>始末屋 ハンナ</v>
      </c>
    </row>
    <row r="31" spans="1:2" x14ac:dyDescent="0.15">
      <c r="A31" s="6">
        <v>155</v>
      </c>
      <c r="B31" s="7" t="str">
        <f>VLOOKUP(A31,[1]characters!$A:$C,3,FALSE)</f>
        <v>隻眼の掃除屋 ハンナ</v>
      </c>
    </row>
    <row r="32" spans="1:2" x14ac:dyDescent="0.15">
      <c r="A32" s="6">
        <v>156</v>
      </c>
      <c r="B32" s="7" t="str">
        <f>VLOOKUP(A32,[1]characters!$A:$C,3,FALSE)</f>
        <v>踊り子 エレナ</v>
      </c>
    </row>
    <row r="33" spans="1:2" x14ac:dyDescent="0.15">
      <c r="A33" s="6">
        <v>157</v>
      </c>
      <c r="B33" s="7" t="str">
        <f>VLOOKUP(A33,[1]characters!$A:$C,3,FALSE)</f>
        <v>雷光舞姫 エレナ</v>
      </c>
    </row>
    <row r="34" spans="1:2" x14ac:dyDescent="0.15">
      <c r="A34" s="6">
        <v>158</v>
      </c>
      <c r="B34" s="7" t="str">
        <f>VLOOKUP(A34,[1]characters!$A:$C,3,FALSE)</f>
        <v>シスター シャルロッテ</v>
      </c>
    </row>
    <row r="35" spans="1:2" x14ac:dyDescent="0.15">
      <c r="A35" s="6">
        <v>159</v>
      </c>
      <c r="B35" s="7" t="str">
        <f>VLOOKUP(A35,[1]characters!$A:$C,3,FALSE)</f>
        <v>邪を狩りし者 シャルロッテ</v>
      </c>
    </row>
    <row r="36" spans="1:2" x14ac:dyDescent="0.15">
      <c r="A36" s="6">
        <v>160</v>
      </c>
      <c r="B36" s="7" t="str">
        <f>VLOOKUP(A36,[1]characters!$A:$C,3,FALSE)</f>
        <v>反逆者 クリエ</v>
      </c>
    </row>
    <row r="37" spans="1:2" x14ac:dyDescent="0.15">
      <c r="A37" s="6">
        <v>161</v>
      </c>
      <c r="B37" s="7" t="str">
        <f>VLOOKUP(A37,[1]characters!$A:$C,3,FALSE)</f>
        <v>咆哮の先導者 クリエ</v>
      </c>
    </row>
    <row r="38" spans="1:2" x14ac:dyDescent="0.15">
      <c r="A38" s="6">
        <v>162</v>
      </c>
      <c r="B38" s="7" t="str">
        <f>VLOOKUP(A38,[1]characters!$A:$C,3,FALSE)</f>
        <v>狂女 クララ</v>
      </c>
    </row>
    <row r="39" spans="1:2" x14ac:dyDescent="0.15">
      <c r="A39" s="6">
        <v>163</v>
      </c>
      <c r="B39" s="7" t="str">
        <f>VLOOKUP(A39,[1]characters!$A:$C,3,FALSE)</f>
        <v>冷酷な狂嬢 クララ</v>
      </c>
    </row>
    <row r="40" spans="1:2" x14ac:dyDescent="0.15">
      <c r="A40" s="6">
        <v>164</v>
      </c>
      <c r="B40" s="7" t="str">
        <f>VLOOKUP(A40,[1]characters!$A:$C,3,FALSE)</f>
        <v>イブとトモダチ</v>
      </c>
    </row>
    <row r="41" spans="1:2" x14ac:dyDescent="0.15">
      <c r="A41" s="6">
        <v>165</v>
      </c>
      <c r="B41" s="7" t="str">
        <f>VLOOKUP(A41,[1]characters!$A:$C,3,FALSE)</f>
        <v>イブとたったひとりのトモダチ</v>
      </c>
    </row>
    <row r="42" spans="1:2" x14ac:dyDescent="0.15">
      <c r="A42" s="6">
        <v>166</v>
      </c>
      <c r="B42" s="7" t="str">
        <f>VLOOKUP(A42,[1]characters!$A:$C,3,FALSE)</f>
        <v>ベリアル</v>
      </c>
    </row>
    <row r="43" spans="1:2" x14ac:dyDescent="0.15">
      <c r="A43" s="6">
        <v>167</v>
      </c>
      <c r="B43" s="7" t="str">
        <f>VLOOKUP(A43,[1]characters!$A:$C,3,FALSE)</f>
        <v>逆徒 ベリアル</v>
      </c>
    </row>
    <row r="44" spans="1:2" x14ac:dyDescent="0.15">
      <c r="A44" s="6">
        <v>168</v>
      </c>
      <c r="B44" s="7" t="str">
        <f>VLOOKUP(A44,[1]characters!$A:$C,3,FALSE)</f>
        <v>猛進の大逆者 ベリアル</v>
      </c>
    </row>
    <row r="45" spans="1:2" x14ac:dyDescent="0.15">
      <c r="A45" s="6">
        <v>169</v>
      </c>
      <c r="B45" s="7" t="str">
        <f>VLOOKUP(A45,[1]characters!$A:$C,3,FALSE)</f>
        <v>オセ</v>
      </c>
    </row>
    <row r="46" spans="1:2" x14ac:dyDescent="0.15">
      <c r="A46" s="6">
        <v>170</v>
      </c>
      <c r="B46" s="7" t="str">
        <f>VLOOKUP(A46,[1]characters!$A:$C,3,FALSE)</f>
        <v>識徒 オセ</v>
      </c>
    </row>
    <row r="47" spans="1:2" x14ac:dyDescent="0.15">
      <c r="A47" s="6">
        <v>171</v>
      </c>
      <c r="B47" s="7" t="str">
        <f>VLOOKUP(A47,[1]characters!$A:$C,3,FALSE)</f>
        <v>精解の預知者 オセ</v>
      </c>
    </row>
    <row r="48" spans="1:2" x14ac:dyDescent="0.15">
      <c r="A48" s="6">
        <v>172</v>
      </c>
      <c r="B48" s="7" t="str">
        <f>VLOOKUP(A48,[1]characters!$A:$C,3,FALSE)</f>
        <v>フォルネウス</v>
      </c>
    </row>
    <row r="49" spans="1:2" x14ac:dyDescent="0.15">
      <c r="A49" s="6">
        <v>173</v>
      </c>
      <c r="B49" s="7" t="str">
        <f>VLOOKUP(A49,[1]characters!$A:$C,3,FALSE)</f>
        <v>公爵 フォルネウス</v>
      </c>
    </row>
    <row r="50" spans="1:2" x14ac:dyDescent="0.15">
      <c r="A50" s="6">
        <v>174</v>
      </c>
      <c r="B50" s="7" t="str">
        <f>VLOOKUP(A50,[1]characters!$A:$C,3,FALSE)</f>
        <v>偽愛の大公爵 フォルネウス</v>
      </c>
    </row>
    <row r="51" spans="1:2" x14ac:dyDescent="0.15">
      <c r="A51" s="6">
        <v>175</v>
      </c>
      <c r="B51" s="7" t="str">
        <f>VLOOKUP(A51,[1]characters!$A:$C,3,FALSE)</f>
        <v>バフォメット</v>
      </c>
    </row>
    <row r="52" spans="1:2" x14ac:dyDescent="0.15">
      <c r="A52" s="6">
        <v>176</v>
      </c>
      <c r="B52" s="7" t="str">
        <f>VLOOKUP(A52,[1]characters!$A:$C,3,FALSE)</f>
        <v>異教徒 バフォメット</v>
      </c>
    </row>
    <row r="53" spans="1:2" x14ac:dyDescent="0.15">
      <c r="A53" s="6">
        <v>177</v>
      </c>
      <c r="B53" s="7" t="str">
        <f>VLOOKUP(A53,[1]characters!$A:$C,3,FALSE)</f>
        <v>黒魔の異端師 バフォメット</v>
      </c>
    </row>
    <row r="54" spans="1:2" x14ac:dyDescent="0.15">
      <c r="A54" s="6">
        <v>178</v>
      </c>
      <c r="B54" s="7" t="str">
        <f>VLOOKUP(A54,[1]characters!$A:$C,3,FALSE)</f>
        <v>ケルベロス</v>
      </c>
    </row>
    <row r="55" spans="1:2" x14ac:dyDescent="0.15">
      <c r="A55" s="6">
        <v>179</v>
      </c>
      <c r="B55" s="7" t="str">
        <f>VLOOKUP(A55,[1]characters!$A:$C,3,FALSE)</f>
        <v>番犬 ケルベロス</v>
      </c>
    </row>
    <row r="56" spans="1:2" x14ac:dyDescent="0.15">
      <c r="A56" s="6">
        <v>180</v>
      </c>
      <c r="B56" s="7" t="str">
        <f>VLOOKUP(A56,[1]characters!$A:$C,3,FALSE)</f>
        <v>地獄の大門番 ケルベロス</v>
      </c>
    </row>
    <row r="57" spans="1:2" x14ac:dyDescent="0.15">
      <c r="A57" s="6">
        <v>181</v>
      </c>
      <c r="B57" s="7" t="str">
        <f>VLOOKUP(A57,[1]characters!$A:$C,3,FALSE)</f>
        <v>ベヒモス</v>
      </c>
    </row>
    <row r="58" spans="1:2" x14ac:dyDescent="0.15">
      <c r="A58" s="6">
        <v>182</v>
      </c>
      <c r="B58" s="7" t="str">
        <f>VLOOKUP(A58,[1]characters!$A:$C,3,FALSE)</f>
        <v>放蕩者 ベヒモス</v>
      </c>
    </row>
    <row r="59" spans="1:2" x14ac:dyDescent="0.15">
      <c r="A59" s="6">
        <v>183</v>
      </c>
      <c r="B59" s="7" t="str">
        <f>VLOOKUP(A59,[1]characters!$A:$C,3,FALSE)</f>
        <v>鈍重な彷徨者 ベヒモス</v>
      </c>
    </row>
    <row r="60" spans="1:2" x14ac:dyDescent="0.15">
      <c r="A60" s="6">
        <v>184</v>
      </c>
      <c r="B60" s="7" t="str">
        <f>VLOOKUP(A60,[1]characters!$A:$C,3,FALSE)</f>
        <v>クラーケン</v>
      </c>
    </row>
    <row r="61" spans="1:2" x14ac:dyDescent="0.15">
      <c r="A61" s="6">
        <v>185</v>
      </c>
      <c r="B61" s="7" t="str">
        <f>VLOOKUP(A61,[1]characters!$A:$C,3,FALSE)</f>
        <v>海姫 クラーケン</v>
      </c>
    </row>
    <row r="62" spans="1:2" x14ac:dyDescent="0.15">
      <c r="A62" s="8">
        <v>186</v>
      </c>
      <c r="B62" s="7" t="str">
        <f>VLOOKUP(A62,[1]characters!$A:$C,3,FALSE)</f>
        <v>誇り高き多触姫・クラーケン</v>
      </c>
    </row>
    <row r="63" spans="1:2" x14ac:dyDescent="0.15">
      <c r="A63" s="8">
        <v>187</v>
      </c>
      <c r="B63" s="7" t="str">
        <f>VLOOKUP(A63,[1]characters!$A:$C,3,FALSE)</f>
        <v>ホルス</v>
      </c>
    </row>
    <row r="64" spans="1:2" x14ac:dyDescent="0.15">
      <c r="A64" s="8">
        <v>188</v>
      </c>
      <c r="B64" s="7" t="str">
        <f>VLOOKUP(A64,[1]characters!$A:$C,3,FALSE)</f>
        <v>猛禽 ホルス</v>
      </c>
    </row>
    <row r="65" spans="1:2" x14ac:dyDescent="0.15">
      <c r="A65" s="8">
        <v>189</v>
      </c>
      <c r="B65" s="7" t="str">
        <f>VLOOKUP(A65,[1]characters!$A:$C,3,FALSE)</f>
        <v>迅雷の王禽 ホルス</v>
      </c>
    </row>
    <row r="66" spans="1:2" x14ac:dyDescent="0.15">
      <c r="A66" s="6">
        <v>190</v>
      </c>
      <c r="B66" s="7" t="str">
        <f>VLOOKUP(A66,[1]characters!$A:$C,3,FALSE)</f>
        <v>卑弥呼</v>
      </c>
    </row>
    <row r="67" spans="1:2" x14ac:dyDescent="0.15">
      <c r="A67" s="6">
        <v>191</v>
      </c>
      <c r="B67" s="7" t="str">
        <f>VLOOKUP(A67,[1]characters!$A:$C,3,FALSE)</f>
        <v>始祖 卑弥呼</v>
      </c>
    </row>
    <row r="68" spans="1:2" x14ac:dyDescent="0.15">
      <c r="A68" s="6">
        <v>192</v>
      </c>
      <c r="B68" s="7" t="str">
        <f>VLOOKUP(A68,[1]characters!$A:$C,3,FALSE)</f>
        <v>荘厳なる始祖帝 卑弥呼</v>
      </c>
    </row>
    <row r="69" spans="1:2" x14ac:dyDescent="0.15">
      <c r="A69" s="6">
        <v>193</v>
      </c>
      <c r="B69" s="7" t="str">
        <f>VLOOKUP(A69,[1]characters!$A:$C,3,FALSE)</f>
        <v>ロビンフッド</v>
      </c>
    </row>
    <row r="70" spans="1:2" x14ac:dyDescent="0.15">
      <c r="A70" s="10">
        <v>194</v>
      </c>
      <c r="B70" s="7" t="str">
        <f>VLOOKUP(A70,[1]characters!$A:$C,3,FALSE)</f>
        <v>スナイパー ロビンフッド</v>
      </c>
    </row>
    <row r="71" spans="1:2" x14ac:dyDescent="0.15">
      <c r="A71" s="6">
        <v>195</v>
      </c>
      <c r="B71" s="7" t="str">
        <f>VLOOKUP(A71,[1]characters!$A:$C,3,FALSE)</f>
        <v>グランドハンター ロビンフッド</v>
      </c>
    </row>
    <row r="72" spans="1:2" x14ac:dyDescent="0.15">
      <c r="A72" s="10">
        <v>196</v>
      </c>
      <c r="B72" s="7" t="str">
        <f>VLOOKUP(A72,[1]characters!$A:$C,3,FALSE)</f>
        <v>アキレス</v>
      </c>
    </row>
    <row r="73" spans="1:2" x14ac:dyDescent="0.15">
      <c r="A73" s="11">
        <v>197</v>
      </c>
      <c r="B73" s="7" t="str">
        <f>VLOOKUP(A73,[1]characters!$A:$C,3,FALSE)</f>
        <v>鉄腕 アキレス</v>
      </c>
    </row>
    <row r="74" spans="1:2" x14ac:dyDescent="0.15">
      <c r="A74" s="6">
        <v>198</v>
      </c>
      <c r="B74" s="7" t="str">
        <f>VLOOKUP(A74,[1]characters!$A:$C,3,FALSE)</f>
        <v>砕骨の剛腕 アキレス</v>
      </c>
    </row>
    <row r="75" spans="1:2" x14ac:dyDescent="0.15">
      <c r="A75" s="6">
        <v>199</v>
      </c>
      <c r="B75" s="7" t="str">
        <f>VLOOKUP(A75,[1]characters!$A:$C,3,FALSE)</f>
        <v>ジークフリート</v>
      </c>
    </row>
    <row r="76" spans="1:2" x14ac:dyDescent="0.15">
      <c r="A76" s="6">
        <v>200</v>
      </c>
      <c r="B76" s="7" t="str">
        <f>VLOOKUP(A76,[1]characters!$A:$C,3,FALSE)</f>
        <v>大剣士 ジークフリート</v>
      </c>
    </row>
    <row r="77" spans="1:2" x14ac:dyDescent="0.15">
      <c r="A77" s="5">
        <v>201</v>
      </c>
      <c r="B77" s="7" t="str">
        <f>VLOOKUP(A77,[1]characters!$A:$C,3,FALSE)</f>
        <v>斬空の大破剣 ジークフリート</v>
      </c>
    </row>
    <row r="78" spans="1:2" x14ac:dyDescent="0.15">
      <c r="A78" s="5">
        <v>202</v>
      </c>
      <c r="B78" s="7" t="str">
        <f>VLOOKUP(A78,[1]characters!$A:$C,3,FALSE)</f>
        <v>プロメテウス</v>
      </c>
    </row>
    <row r="79" spans="1:2" x14ac:dyDescent="0.15">
      <c r="A79" s="5">
        <v>203</v>
      </c>
      <c r="B79" s="7" t="str">
        <f>VLOOKUP(A79,[1]characters!$A:$C,3,FALSE)</f>
        <v>焔神 プロメテウス</v>
      </c>
    </row>
    <row r="80" spans="1:2" x14ac:dyDescent="0.15">
      <c r="A80" s="5">
        <v>204</v>
      </c>
      <c r="B80" s="7" t="str">
        <f>VLOOKUP(A80,[1]characters!$A:$C,3,FALSE)</f>
        <v>慟哭の巨焔 プロメテウス</v>
      </c>
    </row>
    <row r="81" spans="1:2" x14ac:dyDescent="0.15">
      <c r="A81" s="5">
        <v>205</v>
      </c>
      <c r="B81" s="7" t="str">
        <f>VLOOKUP(A81,[1]characters!$A:$C,3,FALSE)</f>
        <v>アフロディーテ</v>
      </c>
    </row>
    <row r="82" spans="1:2" x14ac:dyDescent="0.15">
      <c r="A82" s="5">
        <v>206</v>
      </c>
      <c r="B82" s="7" t="str">
        <f>VLOOKUP(A82,[1]characters!$A:$C,3,FALSE)</f>
        <v>美神 アフロディーテ</v>
      </c>
    </row>
    <row r="83" spans="1:2" x14ac:dyDescent="0.15">
      <c r="A83" s="5">
        <v>207</v>
      </c>
      <c r="B83" s="7" t="str">
        <f>VLOOKUP(A83,[1]characters!$A:$C,3,FALSE)</f>
        <v>豊穣の麗神・アフロディーテ</v>
      </c>
    </row>
    <row r="84" spans="1:2" x14ac:dyDescent="0.15">
      <c r="A84" s="5">
        <v>208</v>
      </c>
      <c r="B84" s="7" t="str">
        <f>VLOOKUP(A84,[1]characters!$A:$C,3,FALSE)</f>
        <v>テティス</v>
      </c>
    </row>
    <row r="85" spans="1:2" x14ac:dyDescent="0.15">
      <c r="A85" s="5">
        <v>209</v>
      </c>
      <c r="B85" s="7" t="str">
        <f>VLOOKUP(A85,[1]characters!$A:$C,3,FALSE)</f>
        <v>孤神 テティス</v>
      </c>
    </row>
    <row r="86" spans="1:2" x14ac:dyDescent="0.15">
      <c r="A86" s="5">
        <v>210</v>
      </c>
      <c r="B86" s="7" t="str">
        <f>VLOOKUP(A86,[1]characters!$A:$C,3,FALSE)</f>
        <v>海底の孤高神 テティス</v>
      </c>
    </row>
    <row r="87" spans="1:2" x14ac:dyDescent="0.15">
      <c r="A87" s="5">
        <v>211</v>
      </c>
      <c r="B87" s="7" t="str">
        <f>VLOOKUP(A87,[1]characters!$A:$C,3,FALSE)</f>
        <v>アストライアー</v>
      </c>
    </row>
    <row r="88" spans="1:2" x14ac:dyDescent="0.15">
      <c r="A88" s="5">
        <v>212</v>
      </c>
      <c r="B88" s="7" t="str">
        <f>VLOOKUP(A88,[1]characters!$A:$C,3,FALSE)</f>
        <v>星神 アストライアー</v>
      </c>
    </row>
    <row r="89" spans="1:2" x14ac:dyDescent="0.15">
      <c r="A89" s="5">
        <v>213</v>
      </c>
      <c r="B89" s="7" t="str">
        <f>VLOOKUP(A89,[1]characters!$A:$C,3,FALSE)</f>
        <v>満天の星降神 アストライアー</v>
      </c>
    </row>
    <row r="90" spans="1:2" x14ac:dyDescent="0.15">
      <c r="A90" s="5">
        <v>214</v>
      </c>
      <c r="B90" s="7" t="str">
        <f>VLOOKUP(A90,[1]characters!$A:$C,3,FALSE)</f>
        <v>アズラエル</v>
      </c>
    </row>
    <row r="91" spans="1:2" x14ac:dyDescent="0.15">
      <c r="A91" s="5">
        <v>215</v>
      </c>
      <c r="B91" s="7" t="str">
        <f>VLOOKUP(A91,[1]characters!$A:$C,3,FALSE)</f>
        <v>死導者 アズラエル</v>
      </c>
    </row>
    <row r="92" spans="1:2" x14ac:dyDescent="0.15">
      <c r="A92" s="5">
        <v>216</v>
      </c>
      <c r="B92" s="7" t="str">
        <f>VLOOKUP(A92,[1]characters!$A:$C,3,FALSE)</f>
        <v>百読の死導司書 アズラエル</v>
      </c>
    </row>
    <row r="93" spans="1:2" x14ac:dyDescent="0.15">
      <c r="A93" s="5">
        <v>217</v>
      </c>
      <c r="B93" s="7" t="str">
        <f>VLOOKUP(A93,[1]characters!$A:$C,3,FALSE)</f>
        <v>ケツァクアトル</v>
      </c>
    </row>
    <row r="94" spans="1:2" x14ac:dyDescent="0.15">
      <c r="A94" s="5">
        <v>218</v>
      </c>
      <c r="B94" s="7" t="str">
        <f>VLOOKUP(A94,[1]characters!$A:$C,3,FALSE)</f>
        <v>聖蛇 ケツァクアトル</v>
      </c>
    </row>
    <row r="95" spans="1:2" x14ac:dyDescent="0.15">
      <c r="A95" s="5">
        <v>219</v>
      </c>
      <c r="B95" s="7" t="str">
        <f>VLOOKUP(A95,[1]characters!$A:$C,3,FALSE)</f>
        <v>覇翼の聖蛇竜 ケツァクアトル</v>
      </c>
    </row>
    <row r="96" spans="1:2" x14ac:dyDescent="0.15">
      <c r="A96" s="5">
        <v>220</v>
      </c>
      <c r="B96" s="7" t="str">
        <f>VLOOKUP(A96,[1]characters!$A:$C,3,FALSE)</f>
        <v>ルキフグス</v>
      </c>
    </row>
    <row r="97" spans="1:2" x14ac:dyDescent="0.15">
      <c r="A97" s="5">
        <v>221</v>
      </c>
      <c r="B97" s="7" t="str">
        <f>VLOOKUP(A97,[1]characters!$A:$C,3,FALSE)</f>
        <v>宰相 ルキフグス</v>
      </c>
    </row>
    <row r="98" spans="1:2" x14ac:dyDescent="0.15">
      <c r="A98" s="5">
        <v>222</v>
      </c>
      <c r="B98" s="7" t="str">
        <f>VLOOKUP(A98,[1]characters!$A:$C,3,FALSE)</f>
        <v>避光の鉄鎖宰相 ルキフグス</v>
      </c>
    </row>
    <row r="99" spans="1:2" x14ac:dyDescent="0.15">
      <c r="A99" s="5">
        <v>223</v>
      </c>
      <c r="B99" s="7" t="str">
        <f>VLOOKUP(A99,[1]characters!$A:$C,3,FALSE)</f>
        <v>ヘラクレス</v>
      </c>
    </row>
    <row r="100" spans="1:2" x14ac:dyDescent="0.15">
      <c r="A100" s="5">
        <v>224</v>
      </c>
      <c r="B100" s="7" t="str">
        <f>VLOOKUP(A100,[1]characters!$A:$C,3,FALSE)</f>
        <v>巨腕 ヘラクレス</v>
      </c>
    </row>
    <row r="101" spans="1:2" x14ac:dyDescent="0.15">
      <c r="A101" s="5">
        <v>225</v>
      </c>
      <c r="B101" s="7" t="str">
        <f>VLOOKUP(A101,[1]characters!$A:$C,3,FALSE)</f>
        <v>咆哮の巨獅腕 ヘラクレス</v>
      </c>
    </row>
    <row r="102" spans="1:2" x14ac:dyDescent="0.15">
      <c r="A102" s="5">
        <v>226</v>
      </c>
      <c r="B102" s="7" t="str">
        <f>VLOOKUP(A102,[1]characters!$A:$C,3,FALSE)</f>
        <v>アレス</v>
      </c>
    </row>
    <row r="103" spans="1:2" x14ac:dyDescent="0.15">
      <c r="A103" s="5">
        <v>227</v>
      </c>
      <c r="B103" s="7" t="str">
        <f>VLOOKUP(A103,[1]characters!$A:$C,3,FALSE)</f>
        <v>滅弾 アレス</v>
      </c>
    </row>
    <row r="104" spans="1:2" x14ac:dyDescent="0.15">
      <c r="A104" s="5">
        <v>228</v>
      </c>
      <c r="B104" s="7" t="str">
        <f>VLOOKUP(A104,[1]characters!$A:$C,3,FALSE)</f>
        <v>殲滅の掃射砲 アレス</v>
      </c>
    </row>
    <row r="105" spans="1:2" x14ac:dyDescent="0.15">
      <c r="A105" s="5">
        <v>229</v>
      </c>
      <c r="B105" s="7" t="str">
        <f>VLOOKUP(A105,[1]characters!$A:$C,3,FALSE)</f>
        <v>ヨルムンガンド</v>
      </c>
    </row>
    <row r="106" spans="1:2" x14ac:dyDescent="0.15">
      <c r="A106" s="5">
        <v>230</v>
      </c>
      <c r="B106" s="7" t="str">
        <f>VLOOKUP(A106,[1]characters!$A:$C,3,FALSE)</f>
        <v>毒銃 ヨルムンガンド</v>
      </c>
    </row>
    <row r="107" spans="1:2" x14ac:dyDescent="0.15">
      <c r="A107" s="5">
        <v>231</v>
      </c>
      <c r="B107" s="7" t="str">
        <f>VLOOKUP(A107,[1]characters!$A:$C,3,FALSE)</f>
        <v>必中の咬銃 ヨルムンガンド</v>
      </c>
    </row>
    <row r="108" spans="1:2" x14ac:dyDescent="0.15">
      <c r="A108" s="5">
        <v>232</v>
      </c>
      <c r="B108" s="7" t="str">
        <f>VLOOKUP(A108,[1]characters!$A:$C,3,FALSE)</f>
        <v>パーシヴァル</v>
      </c>
    </row>
    <row r="109" spans="1:2" x14ac:dyDescent="0.15">
      <c r="A109" s="5">
        <v>233</v>
      </c>
      <c r="B109" s="7" t="str">
        <f>VLOOKUP(A109,[1]characters!$A:$C,3,FALSE)</f>
        <v>遂行 パーシヴァル</v>
      </c>
    </row>
    <row r="110" spans="1:2" x14ac:dyDescent="0.15">
      <c r="A110" s="5">
        <v>234</v>
      </c>
      <c r="B110" s="7" t="str">
        <f>VLOOKUP(A110,[1]characters!$A:$C,3,FALSE)</f>
        <v>精密なる照準 パーシヴァル</v>
      </c>
    </row>
    <row r="111" spans="1:2" x14ac:dyDescent="0.15">
      <c r="A111" s="5">
        <v>235</v>
      </c>
      <c r="B111" s="7" t="str">
        <f>VLOOKUP(A111,[1]characters!$A:$C,3,FALSE)</f>
        <v>イザナミ</v>
      </c>
    </row>
    <row r="112" spans="1:2" x14ac:dyDescent="0.15">
      <c r="A112" s="5">
        <v>236</v>
      </c>
      <c r="B112" s="7" t="str">
        <f>VLOOKUP(A112,[1]characters!$A:$C,3,FALSE)</f>
        <v>神産 イザナミ</v>
      </c>
    </row>
    <row r="113" spans="1:2" x14ac:dyDescent="0.15">
      <c r="A113" s="5">
        <v>237</v>
      </c>
      <c r="B113" s="7" t="str">
        <f>VLOOKUP(A113,[1]characters!$A:$C,3,FALSE)</f>
        <v>森羅万象の神母 イザナミ</v>
      </c>
    </row>
    <row r="114" spans="1:2" x14ac:dyDescent="0.15">
      <c r="A114" s="5">
        <v>238</v>
      </c>
      <c r="B114" s="7" t="str">
        <f>VLOOKUP(A114,[1]characters!$A:$C,3,FALSE)</f>
        <v>ウリエル</v>
      </c>
    </row>
    <row r="115" spans="1:2" x14ac:dyDescent="0.15">
      <c r="A115" s="5">
        <v>239</v>
      </c>
      <c r="B115" s="7" t="str">
        <f>VLOOKUP(A115,[1]characters!$A:$C,3,FALSE)</f>
        <v>豪炎の天使 ウリエル</v>
      </c>
    </row>
    <row r="116" spans="1:2" x14ac:dyDescent="0.15">
      <c r="A116" s="5">
        <v>240</v>
      </c>
      <c r="B116" s="7" t="str">
        <f>VLOOKUP(A116,[1]characters!$A:$C,3,FALSE)</f>
        <v>轟炎の天使 ウリエル・スレイヤー</v>
      </c>
    </row>
    <row r="117" spans="1:2" x14ac:dyDescent="0.15">
      <c r="A117" s="5">
        <v>241</v>
      </c>
      <c r="B117" s="7" t="str">
        <f>VLOOKUP(A117,[1]characters!$A:$C,3,FALSE)</f>
        <v>ガブリエル</v>
      </c>
    </row>
    <row r="118" spans="1:2" x14ac:dyDescent="0.15">
      <c r="A118" s="5">
        <v>242</v>
      </c>
      <c r="B118" s="7" t="str">
        <f>VLOOKUP(A118,[1]characters!$A:$C,3,FALSE)</f>
        <v>百花の天使 ガブリエル</v>
      </c>
    </row>
    <row r="119" spans="1:2" x14ac:dyDescent="0.15">
      <c r="A119" s="5">
        <v>243</v>
      </c>
      <c r="B119" s="7" t="str">
        <f>VLOOKUP(A119,[1]characters!$A:$C,3,FALSE)</f>
        <v>万花の天使 ガブリエル・ブルーム</v>
      </c>
    </row>
    <row r="120" spans="1:2" x14ac:dyDescent="0.15">
      <c r="A120" s="5">
        <v>244</v>
      </c>
      <c r="B120" s="7" t="str">
        <f>VLOOKUP(A120,[1]characters!$A:$C,3,FALSE)</f>
        <v>ラファエル</v>
      </c>
    </row>
    <row r="121" spans="1:2" x14ac:dyDescent="0.15">
      <c r="A121" s="5">
        <v>245</v>
      </c>
      <c r="B121" s="7" t="str">
        <f>VLOOKUP(A121,[1]characters!$A:$C,3,FALSE)</f>
        <v>鎮癒の天使 ラファエル</v>
      </c>
    </row>
    <row r="122" spans="1:2" x14ac:dyDescent="0.15">
      <c r="A122" s="5">
        <v>246</v>
      </c>
      <c r="B122" s="7" t="str">
        <f>VLOOKUP(A122,[1]characters!$A:$C,3,FALSE)</f>
        <v>真癒の天使 ラファエル・メディカ</v>
      </c>
    </row>
    <row r="123" spans="1:2" x14ac:dyDescent="0.15">
      <c r="A123" s="5">
        <v>247</v>
      </c>
      <c r="B123" s="7" t="str">
        <f>VLOOKUP(A123,[1]characters!$A:$C,3,FALSE)</f>
        <v>ミカエル</v>
      </c>
    </row>
    <row r="124" spans="1:2" x14ac:dyDescent="0.15">
      <c r="A124" s="5">
        <v>248</v>
      </c>
      <c r="B124" s="7" t="str">
        <f>VLOOKUP(A124,[1]characters!$A:$C,3,FALSE)</f>
        <v>彩電の天使 ミカエル</v>
      </c>
    </row>
    <row r="125" spans="1:2" x14ac:dyDescent="0.15">
      <c r="A125" s="6">
        <v>249</v>
      </c>
      <c r="B125" s="7" t="str">
        <f>VLOOKUP(A125,[1]characters!$A:$C,3,FALSE)</f>
        <v>雷電の天使 ミカエル・ゲイナー</v>
      </c>
    </row>
    <row r="126" spans="1:2" x14ac:dyDescent="0.15">
      <c r="A126" s="6">
        <v>250</v>
      </c>
      <c r="B126" s="7" t="str">
        <f>VLOOKUP(A126,[1]characters!$A:$C,3,FALSE)</f>
        <v>マンモン</v>
      </c>
    </row>
    <row r="127" spans="1:2" x14ac:dyDescent="0.15">
      <c r="A127" s="6">
        <v>251</v>
      </c>
      <c r="B127" s="7" t="str">
        <f>VLOOKUP(A127,[1]characters!$A:$C,3,FALSE)</f>
        <v>強欲 マンモン</v>
      </c>
    </row>
    <row r="128" spans="1:2" x14ac:dyDescent="0.15">
      <c r="A128" s="6">
        <v>252</v>
      </c>
      <c r="B128" s="7" t="str">
        <f>VLOOKUP(A128,[1]characters!$A:$C,3,FALSE)</f>
        <v>強欲の沸騰 マンモン</v>
      </c>
    </row>
    <row r="129" spans="1:2" x14ac:dyDescent="0.15">
      <c r="A129" s="6">
        <v>253</v>
      </c>
      <c r="B129" s="7" t="str">
        <f>VLOOKUP(A129,[1]characters!$A:$C,3,FALSE)</f>
        <v>ベルフェゴール</v>
      </c>
    </row>
    <row r="130" spans="1:2" x14ac:dyDescent="0.15">
      <c r="A130" s="6">
        <v>254</v>
      </c>
      <c r="B130" s="7" t="str">
        <f>VLOOKUP(A130,[1]characters!$A:$C,3,FALSE)</f>
        <v>怠惰 ベルフェゴール</v>
      </c>
    </row>
    <row r="131" spans="1:2" x14ac:dyDescent="0.15">
      <c r="A131" s="6">
        <v>255</v>
      </c>
      <c r="B131" s="7" t="str">
        <f>VLOOKUP(A131,[1]characters!$A:$C,3,FALSE)</f>
        <v>怠惰の頂点 ベルフェゴール</v>
      </c>
    </row>
    <row r="132" spans="1:2" x14ac:dyDescent="0.15">
      <c r="A132" s="6">
        <v>256</v>
      </c>
      <c r="B132" s="7" t="str">
        <f>VLOOKUP(A132,[1]characters!$A:$C,3,FALSE)</f>
        <v>アスモデウス</v>
      </c>
    </row>
    <row r="133" spans="1:2" x14ac:dyDescent="0.15">
      <c r="A133" s="6">
        <v>257</v>
      </c>
      <c r="B133" s="7" t="str">
        <f>VLOOKUP(A133,[1]characters!$A:$C,3,FALSE)</f>
        <v>色欲 アスモデウス</v>
      </c>
    </row>
    <row r="134" spans="1:2" x14ac:dyDescent="0.15">
      <c r="A134" s="6">
        <v>258</v>
      </c>
      <c r="B134" s="7" t="str">
        <f>VLOOKUP(A134,[1]characters!$A:$C,3,FALSE)</f>
        <v>色欲の源流 アスモデウス</v>
      </c>
    </row>
    <row r="135" spans="1:2" x14ac:dyDescent="0.15">
      <c r="A135" s="6">
        <v>259</v>
      </c>
      <c r="B135" s="7" t="str">
        <f>VLOOKUP(A135,[1]characters!$A:$C,3,FALSE)</f>
        <v>ウロボロス</v>
      </c>
    </row>
    <row r="136" spans="1:2" x14ac:dyDescent="0.15">
      <c r="A136" s="8">
        <v>260</v>
      </c>
      <c r="B136" s="7" t="str">
        <f>VLOOKUP(A136,[1]characters!$A:$C,3,FALSE)</f>
        <v>輪廻 ウロボロス</v>
      </c>
    </row>
    <row r="137" spans="1:2" x14ac:dyDescent="0.15">
      <c r="A137" s="8">
        <v>261</v>
      </c>
      <c r="B137" s="7" t="str">
        <f>VLOOKUP(A137,[1]characters!$A:$C,3,FALSE)</f>
        <v>輪廻の蛇龍 ウロボロス</v>
      </c>
    </row>
    <row r="138" spans="1:2" x14ac:dyDescent="0.15">
      <c r="A138" s="6">
        <v>320</v>
      </c>
      <c r="B138" s="7" t="str">
        <f>VLOOKUP(A138,[1]characters!$A:$C,3,FALSE)</f>
        <v>烈志士 近藤勇</v>
      </c>
    </row>
    <row r="139" spans="1:2" x14ac:dyDescent="0.15">
      <c r="A139" s="6">
        <v>321</v>
      </c>
      <c r="B139" s="7" t="str">
        <f>VLOOKUP(A139,[1]characters!$A:$C,3,FALSE)</f>
        <v>巌鉄の烈志士 近藤勇</v>
      </c>
    </row>
    <row r="140" spans="1:2" x14ac:dyDescent="0.15">
      <c r="A140" s="6">
        <v>322</v>
      </c>
      <c r="B140" s="7" t="str">
        <f>VLOOKUP(A140,[1]characters!$A:$C,3,FALSE)</f>
        <v>愛志士 土方歳三</v>
      </c>
    </row>
    <row r="141" spans="1:2" x14ac:dyDescent="0.15">
      <c r="A141" s="6">
        <v>323</v>
      </c>
      <c r="B141" s="7" t="str">
        <f>VLOOKUP(A141,[1]characters!$A:$C,3,FALSE)</f>
        <v>流麗の愛志士 土方歳三</v>
      </c>
    </row>
    <row r="142" spans="1:2" x14ac:dyDescent="0.15">
      <c r="A142" s="6">
        <v>324</v>
      </c>
      <c r="B142" s="7" t="str">
        <f>VLOOKUP(A142,[1]characters!$A:$C,3,FALSE)</f>
        <v>凛志士 沖田総司</v>
      </c>
    </row>
    <row r="143" spans="1:2" x14ac:dyDescent="0.15">
      <c r="A143" s="6">
        <v>325</v>
      </c>
      <c r="B143" s="7" t="str">
        <f>VLOOKUP(A143,[1]characters!$A:$C,3,FALSE)</f>
        <v>天賦の凛志士 沖田総司</v>
      </c>
    </row>
    <row r="144" spans="1:2" x14ac:dyDescent="0.15">
      <c r="A144" s="6">
        <v>326</v>
      </c>
      <c r="B144" s="7" t="str">
        <f>VLOOKUP(A144,[1]characters!$A:$C,3,FALSE)</f>
        <v>妖志士 斎藤一</v>
      </c>
    </row>
    <row r="145" spans="1:2" x14ac:dyDescent="0.15">
      <c r="A145" s="6">
        <v>327</v>
      </c>
      <c r="B145" s="7" t="str">
        <f>VLOOKUP(A145,[1]characters!$A:$C,3,FALSE)</f>
        <v>千殺の妖志士 斎藤一</v>
      </c>
    </row>
    <row r="146" spans="1:2" x14ac:dyDescent="0.15">
      <c r="A146" s="6">
        <v>380</v>
      </c>
      <c r="B146" s="7" t="str">
        <f>VLOOKUP(A146,[1]characters!$A:$C,3,FALSE)</f>
        <v>バハムート</v>
      </c>
    </row>
    <row r="147" spans="1:2" x14ac:dyDescent="0.15">
      <c r="A147" s="6">
        <v>381</v>
      </c>
      <c r="B147" s="7" t="str">
        <f>VLOOKUP(A147,[1]characters!$A:$C,3,FALSE)</f>
        <v>肉食の恋火 バハムート</v>
      </c>
    </row>
    <row r="148" spans="1:2" x14ac:dyDescent="0.15">
      <c r="A148" s="6">
        <v>382</v>
      </c>
      <c r="B148" s="7" t="str">
        <f>VLOOKUP(A148,[1]characters!$A:$C,3,FALSE)</f>
        <v>激情の愛炎 バハムート</v>
      </c>
    </row>
    <row r="149" spans="1:2" x14ac:dyDescent="0.15">
      <c r="A149" s="6">
        <v>383</v>
      </c>
      <c r="B149" s="7" t="str">
        <f>VLOOKUP(A149,[1]characters!$A:$C,3,FALSE)</f>
        <v>酒宴の蟒蛇 ヤマタノオロチ</v>
      </c>
    </row>
    <row r="150" spans="1:2" x14ac:dyDescent="0.15">
      <c r="A150" s="6">
        <v>384</v>
      </c>
      <c r="B150" s="7" t="str">
        <f>VLOOKUP(A150,[1]characters!$A:$C,3,FALSE)</f>
        <v>破国の呑龍 ヤマタノオロチ</v>
      </c>
    </row>
    <row r="151" spans="1:2" x14ac:dyDescent="0.15">
      <c r="A151" s="6">
        <v>385</v>
      </c>
      <c r="B151" s="7" t="str">
        <f>VLOOKUP(A151,[1]characters!$A:$C,3,FALSE)</f>
        <v>波烈の出奔 リヴァイアサン</v>
      </c>
    </row>
    <row r="152" spans="1:2" x14ac:dyDescent="0.15">
      <c r="A152" s="6">
        <v>386</v>
      </c>
      <c r="B152" s="7" t="str">
        <f>VLOOKUP(A152,[1]characters!$A:$C,3,FALSE)</f>
        <v>氾乱の海龍 リヴァイアサン</v>
      </c>
    </row>
    <row r="153" spans="1:2" x14ac:dyDescent="0.15">
      <c r="A153" s="6">
        <v>387</v>
      </c>
      <c r="B153" s="7" t="str">
        <f>VLOOKUP(A153,[1]characters!$A:$C,3,FALSE)</f>
        <v>スフィンクス</v>
      </c>
    </row>
    <row r="154" spans="1:2" x14ac:dyDescent="0.15">
      <c r="A154" s="6">
        <v>388</v>
      </c>
      <c r="B154" s="7" t="str">
        <f>VLOOKUP(A154,[1]characters!$A:$C,3,FALSE)</f>
        <v>神円の恋姫 スフィンクス</v>
      </c>
    </row>
    <row r="155" spans="1:2" x14ac:dyDescent="0.15">
      <c r="A155" s="6">
        <v>389</v>
      </c>
      <c r="B155" s="7" t="str">
        <f>VLOOKUP(A155,[1]characters!$A:$C,3,FALSE)</f>
        <v>操神の愛姫 スフィンクス</v>
      </c>
    </row>
    <row r="156" spans="1:2" x14ac:dyDescent="0.15">
      <c r="A156" s="6">
        <v>390</v>
      </c>
      <c r="B156" s="7" t="str">
        <f>VLOOKUP(A156,[1]characters!$A:$C,3,FALSE)</f>
        <v>華環の旅客 親指姫</v>
      </c>
    </row>
    <row r="157" spans="1:2" x14ac:dyDescent="0.15">
      <c r="A157" s="6">
        <v>391</v>
      </c>
      <c r="B157" s="7" t="str">
        <f>VLOOKUP(A157,[1]characters!$A:$C,3,FALSE)</f>
        <v>燕翼の旅人 親指姫</v>
      </c>
    </row>
    <row r="158" spans="1:2" x14ac:dyDescent="0.15">
      <c r="A158" s="6">
        <v>392</v>
      </c>
      <c r="B158" s="7" t="str">
        <f>VLOOKUP(A158,[1]characters!$A:$C,3,FALSE)</f>
        <v>ピーターパン</v>
      </c>
    </row>
    <row r="159" spans="1:2" x14ac:dyDescent="0.15">
      <c r="A159" s="6">
        <v>393</v>
      </c>
      <c r="B159" s="7" t="str">
        <f>VLOOKUP(A159,[1]characters!$A:$C,3,FALSE)</f>
        <v>影縫い ピーターパン</v>
      </c>
    </row>
    <row r="160" spans="1:2" x14ac:dyDescent="0.15">
      <c r="A160" s="6">
        <v>394</v>
      </c>
      <c r="B160" s="7" t="str">
        <f>VLOOKUP(A160,[1]characters!$A:$C,3,FALSE)</f>
        <v>影求の悪童 ピーターパン</v>
      </c>
    </row>
    <row r="161" spans="1:2" x14ac:dyDescent="0.15">
      <c r="A161" s="6">
        <v>395</v>
      </c>
      <c r="B161" s="7" t="str">
        <f>VLOOKUP(A161,[1]characters!$A:$C,3,FALSE)</f>
        <v>乙姫</v>
      </c>
    </row>
    <row r="162" spans="1:2" x14ac:dyDescent="0.15">
      <c r="A162" s="6">
        <v>396</v>
      </c>
      <c r="B162" s="7" t="str">
        <f>VLOOKUP(A162,[1]characters!$A:$C,3,FALSE)</f>
        <v>竜宮の水雷 乙姫</v>
      </c>
    </row>
    <row r="163" spans="1:2" x14ac:dyDescent="0.15">
      <c r="A163" s="6">
        <v>397</v>
      </c>
      <c r="B163" s="7" t="str">
        <f>VLOOKUP(A163,[1]characters!$A:$C,3,FALSE)</f>
        <v>禁断の追箱 乙姫</v>
      </c>
    </row>
    <row r="164" spans="1:2" x14ac:dyDescent="0.15">
      <c r="A164" s="6">
        <v>398</v>
      </c>
      <c r="B164" s="7" t="str">
        <f>VLOOKUP(A164,[1]characters!$A:$C,3,FALSE)</f>
        <v>ヘンゼル＆グレーテル</v>
      </c>
    </row>
    <row r="165" spans="1:2" x14ac:dyDescent="0.15">
      <c r="A165" s="6">
        <v>399</v>
      </c>
      <c r="B165" s="7" t="str">
        <f>VLOOKUP(A165,[1]characters!$A:$C,3,FALSE)</f>
        <v>信愛の兄妹 ヘンゼル＆グレーテル</v>
      </c>
    </row>
    <row r="166" spans="1:2" x14ac:dyDescent="0.15">
      <c r="A166" s="6">
        <v>400</v>
      </c>
      <c r="B166" s="7" t="str">
        <f>VLOOKUP(A166,[1]characters!$A:$C,3,FALSE)</f>
        <v>フェンリル</v>
      </c>
    </row>
    <row r="167" spans="1:2" x14ac:dyDescent="0.15">
      <c r="A167" s="6">
        <v>401</v>
      </c>
      <c r="B167" s="7" t="str">
        <f>VLOOKUP(A167,[1]characters!$A:$C,3,FALSE)</f>
        <v>紅銀の孤狼 フェンリル</v>
      </c>
    </row>
    <row r="168" spans="1:2" x14ac:dyDescent="0.15">
      <c r="A168" s="6">
        <v>402</v>
      </c>
      <c r="B168" s="7" t="str">
        <f>VLOOKUP(A168,[1]characters!$A:$C,3,FALSE)</f>
        <v>天災の神狼 フェンリル</v>
      </c>
    </row>
    <row r="169" spans="1:2" x14ac:dyDescent="0.15">
      <c r="A169" s="6">
        <v>403</v>
      </c>
      <c r="B169" s="7" t="str">
        <f>VLOOKUP(A169,[1]characters!$A:$C,3,FALSE)</f>
        <v>静撃の翠眼 八咫烏</v>
      </c>
    </row>
    <row r="170" spans="1:2" x14ac:dyDescent="0.15">
      <c r="A170" s="6">
        <v>404</v>
      </c>
      <c r="B170" s="7" t="str">
        <f>VLOOKUP(A170,[1]characters!$A:$C,3,FALSE)</f>
        <v>空襲の神眼 八咫烏</v>
      </c>
    </row>
    <row r="171" spans="1:2" x14ac:dyDescent="0.15">
      <c r="A171" s="6">
        <v>405</v>
      </c>
      <c r="B171" s="7" t="str">
        <f>VLOOKUP(A171,[1]characters!$A:$C,3,FALSE)</f>
        <v>エキドナ</v>
      </c>
    </row>
    <row r="172" spans="1:2" x14ac:dyDescent="0.15">
      <c r="A172" s="6">
        <v>406</v>
      </c>
      <c r="B172" s="7" t="str">
        <f>VLOOKUP(A172,[1]characters!$A:$C,3,FALSE)</f>
        <v>美笑の蒼蛇 エキドナ</v>
      </c>
    </row>
    <row r="173" spans="1:2" x14ac:dyDescent="0.15">
      <c r="A173" s="6">
        <v>407</v>
      </c>
      <c r="B173" s="7" t="str">
        <f>VLOOKUP(A173,[1]characters!$A:$C,3,FALSE)</f>
        <v>蠱惑の飛刀 エキドナ</v>
      </c>
    </row>
    <row r="174" spans="1:2" x14ac:dyDescent="0.15">
      <c r="A174" s="6">
        <v>408</v>
      </c>
      <c r="B174" s="7" t="str">
        <f>VLOOKUP(A174,[1]characters!$A:$C,3,FALSE)</f>
        <v>皇魔 アスタロト</v>
      </c>
    </row>
    <row r="175" spans="1:2" x14ac:dyDescent="0.15">
      <c r="A175" s="6">
        <v>409</v>
      </c>
      <c r="B175" s="7" t="str">
        <f>VLOOKUP(A175,[1]characters!$A:$C,3,FALSE)</f>
        <v>天眼の皇貴魔 アスタロト</v>
      </c>
    </row>
    <row r="176" spans="1:2" x14ac:dyDescent="0.15">
      <c r="A176" s="6">
        <v>434</v>
      </c>
      <c r="B176" s="7" t="str">
        <f>VLOOKUP(A176,[1]characters!$A:$C,3,FALSE)</f>
        <v>D.R.T.H.</v>
      </c>
    </row>
    <row r="177" spans="1:2" x14ac:dyDescent="0.15">
      <c r="A177" s="6">
        <v>435</v>
      </c>
      <c r="B177" s="7" t="str">
        <f>VLOOKUP(A177,[1]characters!$A:$C,3,FALSE)</f>
        <v>曝弾の密偵 D.R.T.H.</v>
      </c>
    </row>
    <row r="178" spans="1:2" x14ac:dyDescent="0.15">
      <c r="A178" s="6">
        <v>436</v>
      </c>
      <c r="B178" s="7" t="str">
        <f>VLOOKUP(A178,[1]characters!$A:$C,3,FALSE)</f>
        <v>カカシ</v>
      </c>
    </row>
    <row r="179" spans="1:2" x14ac:dyDescent="0.15">
      <c r="A179" s="6">
        <v>437</v>
      </c>
      <c r="B179" s="7" t="str">
        <f>VLOOKUP(A179,[1]characters!$A:$C,3,FALSE)</f>
        <v>忘却者 カカシ</v>
      </c>
    </row>
    <row r="180" spans="1:2" x14ac:dyDescent="0.15">
      <c r="A180" s="6">
        <v>438</v>
      </c>
      <c r="B180" s="7" t="str">
        <f>VLOOKUP(A180,[1]characters!$A:$C,3,FALSE)</f>
        <v>記憶の奪還 カカシ</v>
      </c>
    </row>
    <row r="181" spans="1:2" x14ac:dyDescent="0.15">
      <c r="A181" s="6">
        <v>439</v>
      </c>
      <c r="B181" s="7" t="str">
        <f>VLOOKUP(A181,[1]characters!$A:$C,3,FALSE)</f>
        <v>ブリキロガー</v>
      </c>
    </row>
    <row r="182" spans="1:2" x14ac:dyDescent="0.15">
      <c r="A182" s="6">
        <v>440</v>
      </c>
      <c r="B182" s="7" t="str">
        <f>VLOOKUP(A182,[1]characters!$A:$C,3,FALSE)</f>
        <v>改良型 ブリキロガー</v>
      </c>
    </row>
    <row r="183" spans="1:2" x14ac:dyDescent="0.15">
      <c r="A183" s="6">
        <v>441</v>
      </c>
      <c r="B183" s="7" t="str">
        <f>VLOOKUP(A183,[1]characters!$A:$C,3,FALSE)</f>
        <v>求心の錻装 ブリキロガー</v>
      </c>
    </row>
    <row r="184" spans="1:2" x14ac:dyDescent="0.15">
      <c r="A184" s="6">
        <v>442</v>
      </c>
      <c r="B184" s="7" t="str">
        <f>VLOOKUP(A184,[1]characters!$A:$C,3,FALSE)</f>
        <v>ブレイブリー・ライオン</v>
      </c>
    </row>
    <row r="185" spans="1:2" x14ac:dyDescent="0.15">
      <c r="A185" s="6">
        <v>443</v>
      </c>
      <c r="B185" s="7" t="str">
        <f>VLOOKUP(A185,[1]characters!$A:$C,3,FALSE)</f>
        <v>勇機結集 ブレイブリー・ライオン</v>
      </c>
    </row>
    <row r="186" spans="1:2" x14ac:dyDescent="0.15">
      <c r="A186" s="8">
        <v>462</v>
      </c>
      <c r="B186" s="7" t="str">
        <f>VLOOKUP(A186,[1]characters!$A:$C,3,FALSE)</f>
        <v>ガウェイン</v>
      </c>
    </row>
    <row r="187" spans="1:2" x14ac:dyDescent="0.15">
      <c r="A187" s="8">
        <v>463</v>
      </c>
      <c r="B187" s="7" t="str">
        <f>VLOOKUP(A187,[1]characters!$A:$C,3,FALSE)</f>
        <v>燻銀 ガウェイン</v>
      </c>
    </row>
    <row r="188" spans="1:2" x14ac:dyDescent="0.15">
      <c r="A188" s="8">
        <v>464</v>
      </c>
      <c r="B188" s="7" t="str">
        <f>VLOOKUP(A188,[1]characters!$A:$C,3,FALSE)</f>
        <v>円熟の弾導 ガウェイン</v>
      </c>
    </row>
    <row r="189" spans="1:2" x14ac:dyDescent="0.15">
      <c r="A189" s="8">
        <v>465</v>
      </c>
      <c r="B189" s="7" t="str">
        <f>VLOOKUP(A189,[1]characters!$A:$C,3,FALSE)</f>
        <v>真撃 ランスロット</v>
      </c>
    </row>
    <row r="190" spans="1:2" x14ac:dyDescent="0.15">
      <c r="A190" s="6">
        <v>466</v>
      </c>
      <c r="B190" s="7" t="str">
        <f>VLOOKUP(A190,[1]characters!$A:$C,3,FALSE)</f>
        <v>真断の勇覇 ランスロット</v>
      </c>
    </row>
    <row r="191" spans="1:2" x14ac:dyDescent="0.15">
      <c r="A191" s="6">
        <v>467</v>
      </c>
      <c r="B191" s="7" t="str">
        <f>VLOOKUP(A191,[1]characters!$A:$C,3,FALSE)</f>
        <v>報復 モルドレッド</v>
      </c>
    </row>
    <row r="192" spans="1:2" x14ac:dyDescent="0.15">
      <c r="A192" s="6">
        <v>468</v>
      </c>
      <c r="B192" s="7" t="str">
        <f>VLOOKUP(A192,[1]characters!$A:$C,3,FALSE)</f>
        <v>憎愛の尖鋒 モルドレッド</v>
      </c>
    </row>
    <row r="193" spans="1:2" x14ac:dyDescent="0.15">
      <c r="A193" s="6">
        <v>469</v>
      </c>
      <c r="B193" s="7" t="str">
        <f>VLOOKUP(A193,[1]characters!$A:$C,3,FALSE)</f>
        <v>トリスタン</v>
      </c>
    </row>
    <row r="194" spans="1:2" x14ac:dyDescent="0.15">
      <c r="A194" s="6">
        <v>470</v>
      </c>
      <c r="B194" s="7" t="str">
        <f>VLOOKUP(A194,[1]characters!$A:$C,3,FALSE)</f>
        <v>純心 トリスタン</v>
      </c>
    </row>
    <row r="195" spans="1:2" x14ac:dyDescent="0.15">
      <c r="A195" s="6">
        <v>471</v>
      </c>
      <c r="B195" s="7" t="str">
        <f>VLOOKUP(A195,[1]characters!$A:$C,3,FALSE)</f>
        <v>不可避の爆激 トリスタン</v>
      </c>
    </row>
    <row r="196" spans="1:2" x14ac:dyDescent="0.15">
      <c r="A196" s="6">
        <v>474</v>
      </c>
      <c r="B196" s="7" t="str">
        <f>VLOOKUP(A196,[1]characters!$A:$C,3,FALSE)</f>
        <v>キング・ドライグ</v>
      </c>
    </row>
    <row r="197" spans="1:2" x14ac:dyDescent="0.15">
      <c r="A197" s="6">
        <v>475</v>
      </c>
      <c r="B197" s="7" t="str">
        <f>VLOOKUP(A197,[1]characters!$A:$C,3,FALSE)</f>
        <v>緋王 キング・ドライグ</v>
      </c>
    </row>
    <row r="198" spans="1:2" x14ac:dyDescent="0.15">
      <c r="A198" s="6">
        <v>476</v>
      </c>
      <c r="B198" s="7" t="str">
        <f>VLOOKUP(A198,[1]characters!$A:$C,3,FALSE)</f>
        <v>ファータ</v>
      </c>
    </row>
    <row r="199" spans="1:2" x14ac:dyDescent="0.15">
      <c r="A199" s="6">
        <v>477</v>
      </c>
      <c r="B199" s="7" t="str">
        <f>VLOOKUP(A199,[1]characters!$A:$C,3,FALSE)</f>
        <v>愛羽妖精 ファータ</v>
      </c>
    </row>
    <row r="200" spans="1:2" x14ac:dyDescent="0.15">
      <c r="A200" s="6">
        <v>478</v>
      </c>
      <c r="B200" s="7" t="str">
        <f>VLOOKUP(A200,[1]characters!$A:$C,3,FALSE)</f>
        <v>時計仕掛けの愛羽妖精 ファータ</v>
      </c>
    </row>
    <row r="201" spans="1:2" x14ac:dyDescent="0.15">
      <c r="A201" s="6">
        <v>479</v>
      </c>
      <c r="B201" s="7" t="str">
        <f>VLOOKUP(A201,[1]characters!$A:$C,3,FALSE)</f>
        <v>フール</v>
      </c>
    </row>
    <row r="202" spans="1:2" x14ac:dyDescent="0.15">
      <c r="A202" s="6">
        <v>480</v>
      </c>
      <c r="B202" s="7" t="str">
        <f>VLOOKUP(A202,[1]characters!$A:$C,3,FALSE)</f>
        <v>夢幻の愚者フール</v>
      </c>
    </row>
    <row r="203" spans="1:2" x14ac:dyDescent="0.15">
      <c r="A203" s="6">
        <v>481</v>
      </c>
      <c r="B203" s="7" t="str">
        <f>VLOOKUP(A203,[1]characters!$A:$C,3,FALSE)</f>
        <v>沢庵宗彭</v>
      </c>
    </row>
    <row r="204" spans="1:2" x14ac:dyDescent="0.15">
      <c r="A204" s="6">
        <v>482</v>
      </c>
      <c r="B204" s="7" t="str">
        <f>VLOOKUP(A204,[1]characters!$A:$C,3,FALSE)</f>
        <v>魁僧 沢庵宗彭</v>
      </c>
    </row>
    <row r="205" spans="1:2" x14ac:dyDescent="0.15">
      <c r="A205" s="6">
        <v>483</v>
      </c>
      <c r="B205" s="7" t="str">
        <f>VLOOKUP(A205,[1]characters!$A:$C,3,FALSE)</f>
        <v xml:space="preserve">命経死遂 沢庵宗彭 </v>
      </c>
    </row>
    <row r="206" spans="1:2" x14ac:dyDescent="0.15">
      <c r="A206" s="6">
        <v>492</v>
      </c>
      <c r="B206" s="7" t="str">
        <f>VLOOKUP(A206,[1]characters!$A:$C,3,FALSE)</f>
        <v>ブートレグ・ペロー</v>
      </c>
    </row>
    <row r="207" spans="1:2" x14ac:dyDescent="0.15">
      <c r="A207" s="6">
        <v>493</v>
      </c>
      <c r="B207" s="7" t="str">
        <f>VLOOKUP(A207,[1]characters!$A:$C,3,FALSE)</f>
        <v>跋扈の機脚 ブートレグ・ペロー</v>
      </c>
    </row>
    <row r="208" spans="1:2" x14ac:dyDescent="0.15">
      <c r="A208" s="6">
        <v>494</v>
      </c>
      <c r="B208" s="7" t="str">
        <f>VLOOKUP(A208,[1]characters!$A:$C,3,FALSE)</f>
        <v>ハーメルン</v>
      </c>
    </row>
    <row r="209" spans="1:2" x14ac:dyDescent="0.15">
      <c r="A209" s="6">
        <v>495</v>
      </c>
      <c r="B209" s="7" t="str">
        <f>VLOOKUP(A209,[1]characters!$A:$C,3,FALSE)</f>
        <v>鼠災呼ぶ笛音 ハーメルン</v>
      </c>
    </row>
    <row r="210" spans="1:2" x14ac:dyDescent="0.15">
      <c r="A210" s="6">
        <v>496</v>
      </c>
      <c r="B210" s="7" t="str">
        <f>VLOOKUP(A210,[1]characters!$A:$C,3,FALSE)</f>
        <v>エスタブ</v>
      </c>
    </row>
    <row r="211" spans="1:2" x14ac:dyDescent="0.15">
      <c r="A211" s="6">
        <v>497</v>
      </c>
      <c r="B211" s="7" t="str">
        <f>VLOOKUP(A211,[1]characters!$A:$C,3,FALSE)</f>
        <v>偏愛の野獣 エスタブ</v>
      </c>
    </row>
    <row r="212" spans="1:2" x14ac:dyDescent="0.15">
      <c r="A212" s="6">
        <v>498</v>
      </c>
      <c r="B212" s="7" t="str">
        <f>VLOOKUP(A212,[1]characters!$A:$C,3,FALSE)</f>
        <v>自愛の高魔 エスタブ</v>
      </c>
    </row>
    <row r="213" spans="1:2" x14ac:dyDescent="0.15">
      <c r="A213" s="6">
        <v>499</v>
      </c>
      <c r="B213" s="7" t="str">
        <f>VLOOKUP(A213,[1]characters!$A:$C,3,FALSE)</f>
        <v>ラプンツェル</v>
      </c>
    </row>
    <row r="214" spans="1:2" x14ac:dyDescent="0.15">
      <c r="A214" s="6">
        <v>500</v>
      </c>
      <c r="B214" s="7" t="str">
        <f>VLOOKUP(A214,[1]characters!$A:$C,3,FALSE)</f>
        <v>脈動の禁髪 ラプンツェル</v>
      </c>
    </row>
    <row r="215" spans="1:2" x14ac:dyDescent="0.15">
      <c r="A215" s="6">
        <v>586</v>
      </c>
      <c r="B215" s="7" t="str">
        <f>VLOOKUP(A215,[1]characters!$A:$C,3,FALSE)</f>
        <v>ユミル</v>
      </c>
    </row>
    <row r="216" spans="1:2" x14ac:dyDescent="0.15">
      <c r="A216" s="6">
        <v>587</v>
      </c>
      <c r="B216" s="7" t="str">
        <f>VLOOKUP(A216,[1]characters!$A:$C,3,FALSE)</f>
        <v>原初の煉鋼巨刃 ユミル</v>
      </c>
    </row>
    <row r="217" spans="1:2" x14ac:dyDescent="0.15">
      <c r="A217" s="6">
        <v>588</v>
      </c>
      <c r="B217" s="7" t="str">
        <f>VLOOKUP(A217,[1]characters!$A:$C,3,FALSE)</f>
        <v>ニーベルゲン</v>
      </c>
    </row>
    <row r="218" spans="1:2" x14ac:dyDescent="0.15">
      <c r="A218" s="6">
        <v>589</v>
      </c>
      <c r="B218" s="7" t="str">
        <f>VLOOKUP(A218,[1]characters!$A:$C,3,FALSE)</f>
        <v>不幸の円環 ニーベルゲン</v>
      </c>
    </row>
    <row r="219" spans="1:2" x14ac:dyDescent="0.15">
      <c r="A219" s="6">
        <v>590</v>
      </c>
      <c r="B219" s="7" t="str">
        <f>VLOOKUP(A219,[1]characters!$A:$C,3,FALSE)</f>
        <v>永遠を廻る呪い ニーベルゲン</v>
      </c>
    </row>
    <row r="220" spans="1:2" x14ac:dyDescent="0.15">
      <c r="A220" s="6">
        <v>591</v>
      </c>
      <c r="B220" s="7" t="str">
        <f>VLOOKUP(A220,[1]characters!$A:$C,3,FALSE)</f>
        <v>ファフニール</v>
      </c>
    </row>
    <row r="221" spans="1:2" x14ac:dyDescent="0.15">
      <c r="A221" s="6">
        <v>592</v>
      </c>
      <c r="B221" s="7" t="str">
        <f>VLOOKUP(A221,[1]characters!$A:$C,3,FALSE)</f>
        <v>財宝への執着 ファフニール</v>
      </c>
    </row>
    <row r="222" spans="1:2" x14ac:dyDescent="0.15">
      <c r="A222" s="6">
        <v>593</v>
      </c>
      <c r="B222" s="7" t="str">
        <f>VLOOKUP(A222,[1]characters!$A:$C,3,FALSE)</f>
        <v>妄執する邪毒龍 ファフニール</v>
      </c>
    </row>
    <row r="223" spans="1:2" x14ac:dyDescent="0.15">
      <c r="A223" s="6">
        <v>594</v>
      </c>
      <c r="B223" s="7" t="str">
        <f>VLOOKUP(A223,[1]characters!$A:$C,3,FALSE)</f>
        <v>アルフヘイム</v>
      </c>
    </row>
    <row r="224" spans="1:2" x14ac:dyDescent="0.15">
      <c r="A224" s="6">
        <v>595</v>
      </c>
      <c r="B224" s="7" t="str">
        <f>VLOOKUP(A224,[1]characters!$A:$C,3,FALSE)</f>
        <v>光華なる神域 アルフヘイム</v>
      </c>
    </row>
    <row r="225" spans="1:2" x14ac:dyDescent="0.15">
      <c r="A225" s="6">
        <v>596</v>
      </c>
      <c r="B225" s="7" t="str">
        <f>VLOOKUP(A225,[1]characters!$A:$C,3,FALSE)</f>
        <v>ムスペルヘイム</v>
      </c>
    </row>
    <row r="226" spans="1:2" x14ac:dyDescent="0.15">
      <c r="A226" s="6">
        <v>597</v>
      </c>
      <c r="B226" s="7" t="str">
        <f>VLOOKUP(A226,[1]characters!$A:$C,3,FALSE)</f>
        <v>灼熱の魂 ムスペルヘイム</v>
      </c>
    </row>
    <row r="227" spans="1:2" x14ac:dyDescent="0.15">
      <c r="A227" s="6">
        <v>598</v>
      </c>
      <c r="B227" s="7" t="str">
        <f>VLOOKUP(A227,[1]characters!$A:$C,3,FALSE)</f>
        <v>焼燃の情熱 ムスペルヘイム</v>
      </c>
    </row>
    <row r="228" spans="1:2" x14ac:dyDescent="0.15">
      <c r="A228" s="6">
        <v>599</v>
      </c>
      <c r="B228" s="7" t="str">
        <f>VLOOKUP(A228,[1]characters!$A:$C,3,FALSE)</f>
        <v>ニーズヘッグ</v>
      </c>
    </row>
    <row r="229" spans="1:2" x14ac:dyDescent="0.15">
      <c r="A229" s="6">
        <v>600</v>
      </c>
      <c r="B229" s="7" t="str">
        <f>VLOOKUP(A229,[1]characters!$A:$C,3,FALSE)</f>
        <v>界下に潜む蛇 ニーズヘッグ</v>
      </c>
    </row>
    <row r="230" spans="1:2" x14ac:dyDescent="0.15">
      <c r="A230" s="6">
        <v>601</v>
      </c>
      <c r="B230" s="7" t="str">
        <f>VLOOKUP(A230,[1]characters!$A:$C,3,FALSE)</f>
        <v>界根蝕む悪食 ニーズヘッグ</v>
      </c>
    </row>
    <row r="231" spans="1:2" x14ac:dyDescent="0.15">
      <c r="A231" s="6">
        <v>602</v>
      </c>
      <c r="B231" s="7" t="str">
        <f>VLOOKUP(A231,[1]characters!$A:$C,3,FALSE)</f>
        <v>フレイヤ</v>
      </c>
    </row>
    <row r="232" spans="1:2" x14ac:dyDescent="0.15">
      <c r="A232" s="6">
        <v>603</v>
      </c>
      <c r="B232" s="7" t="str">
        <f>VLOOKUP(A232,[1]characters!$A:$C,3,FALSE)</f>
        <v>掌愛の豊穣女神 フレイヤ</v>
      </c>
    </row>
    <row r="233" spans="1:2" x14ac:dyDescent="0.15">
      <c r="A233" s="6">
        <v>604</v>
      </c>
      <c r="B233" s="7" t="str">
        <f>VLOOKUP(A233,[1]characters!$A:$C,3,FALSE)</f>
        <v>バルドル</v>
      </c>
    </row>
    <row r="234" spans="1:2" x14ac:dyDescent="0.15">
      <c r="A234" s="6">
        <v>605</v>
      </c>
      <c r="B234" s="7" t="str">
        <f>VLOOKUP(A234,[1]characters!$A:$C,3,FALSE)</f>
        <v>祝福される光耀 バルドル</v>
      </c>
    </row>
    <row r="235" spans="1:2" x14ac:dyDescent="0.15">
      <c r="A235" s="6">
        <v>606</v>
      </c>
      <c r="B235" s="7" t="str">
        <f>VLOOKUP(A235,[1]characters!$A:$C,3,FALSE)</f>
        <v>冀望の光芒 バルドル</v>
      </c>
    </row>
    <row r="236" spans="1:2" x14ac:dyDescent="0.15">
      <c r="A236" s="6">
        <v>658</v>
      </c>
      <c r="B236" s="7" t="str">
        <f>VLOOKUP(A236,[1]characters!$A:$C,3,FALSE)</f>
        <v>猫又 クルミ</v>
      </c>
    </row>
    <row r="237" spans="1:2" x14ac:dyDescent="0.15">
      <c r="A237" s="6">
        <v>659</v>
      </c>
      <c r="B237" s="7" t="str">
        <f>VLOOKUP(A237,[1]characters!$A:$C,3,FALSE)</f>
        <v>跳梁する化猫 クルミ</v>
      </c>
    </row>
    <row r="238" spans="1:2" x14ac:dyDescent="0.15">
      <c r="A238" s="6">
        <v>660</v>
      </c>
      <c r="B238" s="7" t="str">
        <f>VLOOKUP(A238,[1]characters!$A:$C,3,FALSE)</f>
        <v>烏天狗 フウガ</v>
      </c>
    </row>
    <row r="239" spans="1:2" x14ac:dyDescent="0.15">
      <c r="A239" s="6">
        <v>661</v>
      </c>
      <c r="B239" s="7" t="str">
        <f>VLOOKUP(A239,[1]characters!$A:$C,3,FALSE)</f>
        <v>疾風の天狗礫 フウガ</v>
      </c>
    </row>
    <row r="240" spans="1:2" x14ac:dyDescent="0.15">
      <c r="A240" s="6">
        <v>662</v>
      </c>
      <c r="B240" s="7" t="str">
        <f>VLOOKUP(A240,[1]characters!$A:$C,3,FALSE)</f>
        <v>ダイダラ</v>
      </c>
    </row>
    <row r="241" spans="1:2" x14ac:dyDescent="0.15">
      <c r="A241" s="6">
        <v>663</v>
      </c>
      <c r="B241" s="7" t="str">
        <f>VLOOKUP(A241,[1]characters!$A:$C,3,FALSE)</f>
        <v>都揺らす地響き ダイダラ</v>
      </c>
    </row>
    <row r="242" spans="1:2" x14ac:dyDescent="0.15">
      <c r="A242" s="6">
        <v>664</v>
      </c>
      <c r="B242" s="7" t="str">
        <f>VLOOKUP(A242,[1]characters!$A:$C,3,FALSE)</f>
        <v>山掴み国造り ダイダラ</v>
      </c>
    </row>
    <row r="243" spans="1:2" x14ac:dyDescent="0.15">
      <c r="A243" s="6">
        <v>665</v>
      </c>
      <c r="B243" s="7" t="str">
        <f>VLOOKUP(A243,[1]characters!$A:$C,3,FALSE)</f>
        <v>座敷童子 テマリ</v>
      </c>
    </row>
    <row r="244" spans="1:2" x14ac:dyDescent="0.15">
      <c r="A244" s="6">
        <v>666</v>
      </c>
      <c r="B244" s="7" t="str">
        <f>VLOOKUP(A244,[1]characters!$A:$C,3,FALSE)</f>
        <v>拡散する幸福 テマリ</v>
      </c>
    </row>
    <row r="245" spans="1:2" x14ac:dyDescent="0.15">
      <c r="A245" s="6">
        <v>667</v>
      </c>
      <c r="B245" s="7" t="str">
        <f>VLOOKUP(A245,[1]characters!$A:$C,3,FALSE)</f>
        <v>最幸運の妖童 テマリ</v>
      </c>
    </row>
    <row r="246" spans="1:2" x14ac:dyDescent="0.15">
      <c r="A246" s="60">
        <v>668</v>
      </c>
      <c r="B246" s="7" t="str">
        <f>VLOOKUP(A246,[1]characters!$A:$C,3,FALSE)</f>
        <v>アグニ</v>
      </c>
    </row>
    <row r="247" spans="1:2" x14ac:dyDescent="0.15">
      <c r="A247" s="60">
        <v>669</v>
      </c>
      <c r="B247" s="7" t="str">
        <f>VLOOKUP(A247,[1]characters!$A:$C,3,FALSE)</f>
        <v>天地の仲界 アグニ</v>
      </c>
    </row>
    <row r="248" spans="1:2" x14ac:dyDescent="0.15">
      <c r="A248" s="60">
        <v>670</v>
      </c>
      <c r="B248" s="7" t="str">
        <f>VLOOKUP(A248,[1]characters!$A:$C,3,FALSE)</f>
        <v>陽天の噴煙 アグニ</v>
      </c>
    </row>
    <row r="249" spans="1:2" x14ac:dyDescent="0.15">
      <c r="A249" s="60">
        <v>671</v>
      </c>
      <c r="B249" s="7" t="str">
        <f>VLOOKUP(A249,[1]characters!$A:$C,3,FALSE)</f>
        <v>ハヌマーン</v>
      </c>
    </row>
    <row r="250" spans="1:2" x14ac:dyDescent="0.15">
      <c r="A250" s="60">
        <v>672</v>
      </c>
      <c r="B250" s="7" t="str">
        <f>VLOOKUP(A250,[1]characters!$A:$C,3,FALSE)</f>
        <v>西遊韋駄天 ハヌマーン</v>
      </c>
    </row>
    <row r="251" spans="1:2" x14ac:dyDescent="0.15">
      <c r="A251" s="60">
        <v>673</v>
      </c>
      <c r="B251" s="7" t="str">
        <f>VLOOKUP(A251,[1]characters!$A:$C,3,FALSE)</f>
        <v>変幻自在の猿王 ハヌマーン</v>
      </c>
    </row>
    <row r="252" spans="1:2" x14ac:dyDescent="0.15">
      <c r="A252" s="60">
        <v>674</v>
      </c>
      <c r="B252" s="7" t="str">
        <f>VLOOKUP(A252,[1]characters!$A:$C,3,FALSE)</f>
        <v>サラスヴァティ</v>
      </c>
    </row>
    <row r="253" spans="1:2" x14ac:dyDescent="0.15">
      <c r="A253" s="60">
        <v>675</v>
      </c>
      <c r="B253" s="7" t="str">
        <f>VLOOKUP(A253,[1]characters!$A:$C,3,FALSE)</f>
        <v>芸楽の奔流 サラスヴァティ</v>
      </c>
    </row>
    <row r="254" spans="1:2" x14ac:dyDescent="0.15">
      <c r="A254" s="60">
        <v>676</v>
      </c>
      <c r="B254" s="7" t="str">
        <f>VLOOKUP(A254,[1]characters!$A:$C,3,FALSE)</f>
        <v>ヴィシュヌ</v>
      </c>
    </row>
    <row r="255" spans="1:2" x14ac:dyDescent="0.15">
      <c r="A255" s="60">
        <v>677</v>
      </c>
      <c r="B255" s="7" t="str">
        <f>VLOOKUP(A255,[1]characters!$A:$C,3,FALSE)</f>
        <v>武遊闊歩 ヴィシュヌ</v>
      </c>
    </row>
    <row r="256" spans="1:2" x14ac:dyDescent="0.15">
      <c r="A256" s="60">
        <v>770</v>
      </c>
      <c r="B256" s="7" t="str">
        <f>VLOOKUP(A256,[1]characters!$A:$C,3,FALSE)</f>
        <v>ハヅル</v>
      </c>
    </row>
    <row r="257" spans="1:2" x14ac:dyDescent="0.15">
      <c r="A257" s="60">
        <v>771</v>
      </c>
      <c r="B257" s="7" t="str">
        <f>VLOOKUP(A257,[1]characters!$A:$C,3,FALSE)</f>
        <v>天織羽鶴 ハヅル</v>
      </c>
    </row>
    <row r="258" spans="1:2" x14ac:dyDescent="0.15">
      <c r="A258" s="60">
        <v>772</v>
      </c>
      <c r="B258" s="7" t="str">
        <f>VLOOKUP(A258,[1]characters!$A:$C,3,FALSE)</f>
        <v>イナバ</v>
      </c>
    </row>
    <row r="259" spans="1:2" x14ac:dyDescent="0.15">
      <c r="A259" s="60">
        <v>773</v>
      </c>
      <c r="B259" s="7" t="str">
        <f>VLOOKUP(A259,[1]characters!$A:$C,3,FALSE)</f>
        <v>浮跳天兎 イナバ</v>
      </c>
    </row>
    <row r="260" spans="1:2" x14ac:dyDescent="0.15">
      <c r="A260" s="60">
        <v>774</v>
      </c>
      <c r="B260" s="7" t="str">
        <f>VLOOKUP(A260,[1]characters!$A:$C,3,FALSE)</f>
        <v>ミズチ</v>
      </c>
    </row>
    <row r="261" spans="1:2" x14ac:dyDescent="0.15">
      <c r="A261" s="60">
        <v>775</v>
      </c>
      <c r="B261" s="7" t="str">
        <f>VLOOKUP(A261,[1]characters!$A:$C,3,FALSE)</f>
        <v>水底霊竜 ミズチ</v>
      </c>
    </row>
    <row r="262" spans="1:2" x14ac:dyDescent="0.15">
      <c r="A262" s="60">
        <v>776</v>
      </c>
      <c r="B262" s="7" t="str">
        <f>VLOOKUP(A262,[1]characters!$A:$C,3,FALSE)</f>
        <v>水竜底主 ミズチ</v>
      </c>
    </row>
    <row r="263" spans="1:2" x14ac:dyDescent="0.15">
      <c r="A263" s="60">
        <v>777</v>
      </c>
      <c r="B263" s="7" t="str">
        <f>VLOOKUP(A263,[1]characters!$A:$C,3,FALSE)</f>
        <v>ガメック</v>
      </c>
    </row>
    <row r="264" spans="1:2" x14ac:dyDescent="0.15">
      <c r="A264" s="60">
        <v>778</v>
      </c>
      <c r="B264" s="7" t="str">
        <f>VLOOKUP(A264,[1]characters!$A:$C,3,FALSE)</f>
        <v>一亀懸明 ガメック</v>
      </c>
    </row>
    <row r="265" spans="1:2" x14ac:dyDescent="0.15">
      <c r="A265" s="60">
        <v>779</v>
      </c>
      <c r="B265" s="7" t="str">
        <f>VLOOKUP(A265,[1]characters!$A:$C,3,FALSE)</f>
        <v>頑堅咬亀 ガメック</v>
      </c>
    </row>
    <row r="266" spans="1:2" x14ac:dyDescent="0.15">
      <c r="A266" s="60">
        <v>779</v>
      </c>
      <c r="B266" s="7" t="str">
        <f>VLOOKUP(A266,[1]characters!$A:$C,3,FALSE)</f>
        <v>頑堅咬亀 ガメック</v>
      </c>
    </row>
  </sheetData>
  <phoneticPr fontId="22"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 enableFormatConditionsCalculation="0"/>
  <dimension ref="A1:B14"/>
  <sheetViews>
    <sheetView workbookViewId="0">
      <selection activeCell="A16" sqref="A16"/>
    </sheetView>
  </sheetViews>
  <sheetFormatPr baseColWidth="12" defaultRowHeight="14" x14ac:dyDescent="0.15"/>
  <sheetData>
    <row r="1" spans="1:2" x14ac:dyDescent="0.15">
      <c r="A1" s="38" t="s">
        <v>61</v>
      </c>
      <c r="B1" s="38"/>
    </row>
    <row r="2" spans="1:2" x14ac:dyDescent="0.15">
      <c r="A2" s="33" t="s">
        <v>1</v>
      </c>
      <c r="B2" s="37" t="s">
        <v>65</v>
      </c>
    </row>
    <row r="3" spans="1:2" x14ac:dyDescent="0.15">
      <c r="A3" s="6">
        <v>166</v>
      </c>
      <c r="B3" s="37" t="str">
        <f>VLOOKUP(A3,[1]characters!$A:$C,3,FALSE)</f>
        <v>ベリアル</v>
      </c>
    </row>
    <row r="4" spans="1:2" x14ac:dyDescent="0.15">
      <c r="A4" s="6">
        <v>167</v>
      </c>
      <c r="B4" s="37" t="str">
        <f>VLOOKUP(A4,[1]characters!$A:$C,3,FALSE)</f>
        <v>逆徒 ベリアル</v>
      </c>
    </row>
    <row r="5" spans="1:2" x14ac:dyDescent="0.15">
      <c r="A5" s="6">
        <v>168</v>
      </c>
      <c r="B5" s="37" t="str">
        <f>VLOOKUP(A5,[1]characters!$A:$C,3,FALSE)</f>
        <v>猛進の大逆者 ベリアル</v>
      </c>
    </row>
    <row r="6" spans="1:2" x14ac:dyDescent="0.15">
      <c r="A6" s="33">
        <v>169</v>
      </c>
      <c r="B6" s="37" t="str">
        <f>VLOOKUP(A6,[1]characters!$A:$C,3,FALSE)</f>
        <v>オセ</v>
      </c>
    </row>
    <row r="7" spans="1:2" x14ac:dyDescent="0.15">
      <c r="A7" s="33">
        <v>170</v>
      </c>
      <c r="B7" s="37" t="str">
        <f>VLOOKUP(A7,[1]characters!$A:$C,3,FALSE)</f>
        <v>識徒 オセ</v>
      </c>
    </row>
    <row r="8" spans="1:2" x14ac:dyDescent="0.15">
      <c r="A8" s="33">
        <v>171</v>
      </c>
      <c r="B8" s="37" t="str">
        <f>VLOOKUP(A8,[1]characters!$A:$C,3,FALSE)</f>
        <v>精解の預知者 オセ</v>
      </c>
    </row>
    <row r="9" spans="1:2" x14ac:dyDescent="0.15">
      <c r="A9" s="33">
        <v>172</v>
      </c>
      <c r="B9" s="37" t="str">
        <f>VLOOKUP(A9,[1]characters!$A:$C,3,FALSE)</f>
        <v>フォルネウス</v>
      </c>
    </row>
    <row r="10" spans="1:2" x14ac:dyDescent="0.15">
      <c r="A10" s="33">
        <v>173</v>
      </c>
      <c r="B10" s="37" t="str">
        <f>VLOOKUP(A10,[1]characters!$A:$C,3,FALSE)</f>
        <v>公爵 フォルネウス</v>
      </c>
    </row>
    <row r="11" spans="1:2" x14ac:dyDescent="0.15">
      <c r="A11" s="33">
        <v>174</v>
      </c>
      <c r="B11" s="37" t="str">
        <f>VLOOKUP(A11,[1]characters!$A:$C,3,FALSE)</f>
        <v>偽愛の大公爵 フォルネウス</v>
      </c>
    </row>
    <row r="12" spans="1:2" x14ac:dyDescent="0.15">
      <c r="A12" s="33">
        <v>235</v>
      </c>
      <c r="B12" s="37" t="str">
        <f>VLOOKUP(A12,[1]characters!$A:$C,3,FALSE)</f>
        <v>イザナミ</v>
      </c>
    </row>
    <row r="13" spans="1:2" x14ac:dyDescent="0.15">
      <c r="A13" s="33">
        <v>236</v>
      </c>
      <c r="B13" s="37" t="str">
        <f>VLOOKUP(A13,[1]characters!$A:$C,3,FALSE)</f>
        <v>神産 イザナミ</v>
      </c>
    </row>
    <row r="14" spans="1:2" x14ac:dyDescent="0.15">
      <c r="A14" s="33">
        <v>237</v>
      </c>
      <c r="B14" s="37" t="str">
        <f>VLOOKUP(A14,[1]characters!$A:$C,3,FALSE)</f>
        <v>森羅万象の神母 イザナミ</v>
      </c>
    </row>
  </sheetData>
  <phoneticPr fontId="22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ワークシート</vt:lpstr>
      </vt:variant>
      <vt:variant>
        <vt:i4>9</vt:i4>
      </vt:variant>
    </vt:vector>
  </HeadingPairs>
  <TitlesOfParts>
    <vt:vector size="9" baseType="lpstr">
      <vt:lpstr>確率の考え方</vt:lpstr>
      <vt:lpstr>Sheet1</vt:lpstr>
      <vt:lpstr>output</vt:lpstr>
      <vt:lpstr>input_586100</vt:lpstr>
      <vt:lpstr>tables_586100</vt:lpstr>
      <vt:lpstr>tables_settle_586100</vt:lpstr>
      <vt:lpstr>gacha_bonus_tables</vt:lpstr>
      <vt:lpstr>R6追加前</vt:lpstr>
      <vt:lpstr>R6開放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Microsoft Office ユーザー</cp:lastModifiedBy>
  <dcterms:created xsi:type="dcterms:W3CDTF">2015-04-01T12:34:09Z</dcterms:created>
  <dcterms:modified xsi:type="dcterms:W3CDTF">2017-04-26T04:21:36Z</dcterms:modified>
</cp:coreProperties>
</file>