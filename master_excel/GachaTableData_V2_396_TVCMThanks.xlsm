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2"/>
  </bookViews>
  <sheets>
    <sheet name="確率の考え方" sheetId="110" r:id="rId1"/>
    <sheet name="Sheet1" sheetId="107" r:id="rId2"/>
    <sheet name="output" sheetId="103" r:id="rId3"/>
    <sheet name="input_396100" sheetId="157" r:id="rId4"/>
    <sheet name="tables_396100" sheetId="158" r:id="rId5"/>
    <sheet name="tables_settle_396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tables_396100!$A$1:$V$294</definedName>
    <definedName name="_xlnm._FilterDatabase" localSheetId="5" hidden="1">tables_settle_396100!$A$1:$V$294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57" l="1"/>
  <c r="I2" i="158"/>
  <c r="D2" i="158"/>
  <c r="J2" i="158"/>
  <c r="E2" i="158"/>
  <c r="F2" i="158"/>
  <c r="C2" i="158"/>
  <c r="I3" i="158"/>
  <c r="D3" i="158"/>
  <c r="J3" i="158"/>
  <c r="E3" i="158"/>
  <c r="F3" i="158"/>
  <c r="C3" i="158"/>
  <c r="I4" i="158"/>
  <c r="D4" i="158"/>
  <c r="J4" i="158"/>
  <c r="E4" i="158"/>
  <c r="F4" i="158"/>
  <c r="C4" i="158"/>
  <c r="I5" i="158"/>
  <c r="D5" i="158"/>
  <c r="J5" i="158"/>
  <c r="E5" i="158"/>
  <c r="F5" i="158"/>
  <c r="C5" i="158"/>
  <c r="I6" i="158"/>
  <c r="D6" i="158"/>
  <c r="J6" i="158"/>
  <c r="E6" i="158"/>
  <c r="F6" i="158"/>
  <c r="C6" i="158"/>
  <c r="I7" i="158"/>
  <c r="D7" i="158"/>
  <c r="J7" i="158"/>
  <c r="E7" i="158"/>
  <c r="F7" i="158"/>
  <c r="C7" i="158"/>
  <c r="I8" i="158"/>
  <c r="D8" i="158"/>
  <c r="J8" i="158"/>
  <c r="E8" i="158"/>
  <c r="F8" i="158"/>
  <c r="C8" i="158"/>
  <c r="I9" i="158"/>
  <c r="D9" i="158"/>
  <c r="J9" i="158"/>
  <c r="E9" i="158"/>
  <c r="F9" i="158"/>
  <c r="C9" i="158"/>
  <c r="I10" i="158"/>
  <c r="D10" i="158"/>
  <c r="J10" i="158"/>
  <c r="E10" i="158"/>
  <c r="F10" i="158"/>
  <c r="C10" i="158"/>
  <c r="I11" i="158"/>
  <c r="D11" i="158"/>
  <c r="J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D215" i="158"/>
  <c r="J215" i="158"/>
  <c r="E215" i="158"/>
  <c r="F215" i="158"/>
  <c r="C215" i="158"/>
  <c r="I216" i="158"/>
  <c r="D216" i="158"/>
  <c r="J216" i="158"/>
  <c r="E216" i="158"/>
  <c r="F216" i="158"/>
  <c r="C216" i="158"/>
  <c r="I217" i="158"/>
  <c r="D217" i="158"/>
  <c r="J217" i="158"/>
  <c r="E217" i="158"/>
  <c r="F217" i="158"/>
  <c r="C217" i="158"/>
  <c r="I218" i="158"/>
  <c r="D218" i="158"/>
  <c r="J218" i="158"/>
  <c r="E218" i="158"/>
  <c r="F218" i="158"/>
  <c r="C218" i="158"/>
  <c r="I219" i="158"/>
  <c r="D219" i="158"/>
  <c r="J219" i="158"/>
  <c r="E219" i="158"/>
  <c r="F219" i="158"/>
  <c r="C219" i="158"/>
  <c r="I220" i="158"/>
  <c r="D220" i="158"/>
  <c r="J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G17" i="157"/>
  <c r="E17" i="157"/>
  <c r="H17" i="157"/>
  <c r="O2" i="158"/>
  <c r="P2" i="159"/>
  <c r="E5" i="157"/>
  <c r="E23" i="157"/>
  <c r="B23" i="157"/>
  <c r="E26" i="157"/>
  <c r="B26" i="157"/>
  <c r="E28" i="157"/>
  <c r="B28" i="157"/>
  <c r="E29" i="157"/>
  <c r="B29" i="157"/>
  <c r="B21" i="157"/>
  <c r="E27" i="157"/>
  <c r="B27" i="157"/>
  <c r="G27" i="157"/>
  <c r="H27" i="157"/>
  <c r="O184" i="158"/>
  <c r="G29" i="157"/>
  <c r="H29" i="157"/>
  <c r="I2" i="159"/>
  <c r="D2" i="159"/>
  <c r="J2" i="159"/>
  <c r="E2" i="159"/>
  <c r="F2" i="159"/>
  <c r="C2" i="159"/>
  <c r="I3" i="159"/>
  <c r="D3" i="159"/>
  <c r="J3" i="159"/>
  <c r="E3" i="159"/>
  <c r="F3" i="159"/>
  <c r="C3" i="159"/>
  <c r="E18" i="157"/>
  <c r="B18" i="157"/>
  <c r="G18" i="157"/>
  <c r="H18" i="157"/>
  <c r="I4" i="159"/>
  <c r="D4" i="159"/>
  <c r="J4" i="159"/>
  <c r="E4" i="159"/>
  <c r="F4" i="159"/>
  <c r="C4" i="159"/>
  <c r="I5" i="159"/>
  <c r="D5" i="159"/>
  <c r="J5" i="159"/>
  <c r="E5" i="159"/>
  <c r="F5" i="159"/>
  <c r="C5" i="159"/>
  <c r="I6" i="159"/>
  <c r="D6" i="159"/>
  <c r="J6" i="159"/>
  <c r="E6" i="159"/>
  <c r="F6" i="159"/>
  <c r="C6" i="159"/>
  <c r="I7" i="159"/>
  <c r="D7" i="159"/>
  <c r="J7" i="159"/>
  <c r="E7" i="159"/>
  <c r="F7" i="159"/>
  <c r="C7" i="159"/>
  <c r="I8" i="159"/>
  <c r="D8" i="159"/>
  <c r="J8" i="159"/>
  <c r="E8" i="159"/>
  <c r="F8" i="159"/>
  <c r="C8" i="159"/>
  <c r="I9" i="159"/>
  <c r="D9" i="159"/>
  <c r="J9" i="159"/>
  <c r="E9" i="159"/>
  <c r="F9" i="159"/>
  <c r="C9" i="159"/>
  <c r="I10" i="159"/>
  <c r="D10" i="159"/>
  <c r="J10" i="159"/>
  <c r="E10" i="159"/>
  <c r="F10" i="159"/>
  <c r="C10" i="159"/>
  <c r="I11" i="159"/>
  <c r="D11" i="159"/>
  <c r="J11" i="159"/>
  <c r="E11" i="159"/>
  <c r="F11" i="159"/>
  <c r="C11" i="159"/>
  <c r="I12" i="159"/>
  <c r="D12" i="159"/>
  <c r="J12" i="159"/>
  <c r="E12" i="159"/>
  <c r="F12" i="159"/>
  <c r="C12" i="159"/>
  <c r="I13" i="159"/>
  <c r="D13" i="159"/>
  <c r="J13" i="159"/>
  <c r="E13" i="159"/>
  <c r="F13" i="159"/>
  <c r="C13" i="159"/>
  <c r="I14" i="159"/>
  <c r="D14" i="159"/>
  <c r="J14" i="159"/>
  <c r="E14" i="159"/>
  <c r="F14" i="159"/>
  <c r="C14" i="159"/>
  <c r="I15" i="159"/>
  <c r="D15" i="159"/>
  <c r="J15" i="159"/>
  <c r="E15" i="159"/>
  <c r="F15" i="159"/>
  <c r="C15" i="159"/>
  <c r="I16" i="159"/>
  <c r="D16" i="159"/>
  <c r="J16" i="159"/>
  <c r="E16" i="159"/>
  <c r="F16" i="159"/>
  <c r="C16" i="159"/>
  <c r="I17" i="159"/>
  <c r="D17" i="159"/>
  <c r="J17" i="159"/>
  <c r="E17" i="159"/>
  <c r="F17" i="159"/>
  <c r="C17" i="159"/>
  <c r="I18" i="159"/>
  <c r="D18" i="159"/>
  <c r="J18" i="159"/>
  <c r="E18" i="159"/>
  <c r="F18" i="159"/>
  <c r="C18" i="159"/>
  <c r="I19" i="159"/>
  <c r="D19" i="159"/>
  <c r="J19" i="159"/>
  <c r="E19" i="159"/>
  <c r="F19" i="159"/>
  <c r="C19" i="159"/>
  <c r="I20" i="159"/>
  <c r="D20" i="159"/>
  <c r="J20" i="159"/>
  <c r="E20" i="159"/>
  <c r="F20" i="159"/>
  <c r="C20" i="159"/>
  <c r="I21" i="159"/>
  <c r="D21" i="159"/>
  <c r="J21" i="159"/>
  <c r="E21" i="159"/>
  <c r="F21" i="159"/>
  <c r="C21" i="159"/>
  <c r="I22" i="159"/>
  <c r="D22" i="159"/>
  <c r="J22" i="159"/>
  <c r="E22" i="159"/>
  <c r="F22" i="159"/>
  <c r="C22" i="159"/>
  <c r="I23" i="159"/>
  <c r="D23" i="159"/>
  <c r="J23" i="159"/>
  <c r="E23" i="159"/>
  <c r="F23" i="159"/>
  <c r="C23" i="159"/>
  <c r="I24" i="159"/>
  <c r="D24" i="159"/>
  <c r="J24" i="159"/>
  <c r="E24" i="159"/>
  <c r="F24" i="159"/>
  <c r="C24" i="159"/>
  <c r="I25" i="159"/>
  <c r="D25" i="159"/>
  <c r="J25" i="159"/>
  <c r="E25" i="159"/>
  <c r="F25" i="159"/>
  <c r="C25" i="159"/>
  <c r="I26" i="159"/>
  <c r="D26" i="159"/>
  <c r="J26" i="159"/>
  <c r="E26" i="159"/>
  <c r="F26" i="159"/>
  <c r="C26" i="159"/>
  <c r="I27" i="159"/>
  <c r="D27" i="159"/>
  <c r="J27" i="159"/>
  <c r="E27" i="159"/>
  <c r="F27" i="159"/>
  <c r="C27" i="159"/>
  <c r="I28" i="159"/>
  <c r="D28" i="159"/>
  <c r="J28" i="159"/>
  <c r="E28" i="159"/>
  <c r="F28" i="159"/>
  <c r="C28" i="159"/>
  <c r="I29" i="159"/>
  <c r="D29" i="159"/>
  <c r="J29" i="159"/>
  <c r="E29" i="159"/>
  <c r="F29" i="159"/>
  <c r="C29" i="159"/>
  <c r="I30" i="159"/>
  <c r="D30" i="159"/>
  <c r="J30" i="159"/>
  <c r="E30" i="159"/>
  <c r="F30" i="159"/>
  <c r="C30" i="159"/>
  <c r="I31" i="159"/>
  <c r="D31" i="159"/>
  <c r="J31" i="159"/>
  <c r="E31" i="159"/>
  <c r="F31" i="159"/>
  <c r="C31" i="159"/>
  <c r="I32" i="159"/>
  <c r="D32" i="159"/>
  <c r="J32" i="159"/>
  <c r="E32" i="159"/>
  <c r="F32" i="159"/>
  <c r="C32" i="159"/>
  <c r="I33" i="159"/>
  <c r="D33" i="159"/>
  <c r="J33" i="159"/>
  <c r="E33" i="159"/>
  <c r="F33" i="159"/>
  <c r="C33" i="159"/>
  <c r="I34" i="159"/>
  <c r="D34" i="159"/>
  <c r="J34" i="159"/>
  <c r="E34" i="159"/>
  <c r="F34" i="159"/>
  <c r="C34" i="159"/>
  <c r="I35" i="159"/>
  <c r="D35" i="159"/>
  <c r="J35" i="159"/>
  <c r="E35" i="159"/>
  <c r="F35" i="159"/>
  <c r="C35" i="159"/>
  <c r="I36" i="159"/>
  <c r="D36" i="159"/>
  <c r="J36" i="159"/>
  <c r="E36" i="159"/>
  <c r="F36" i="159"/>
  <c r="C36" i="159"/>
  <c r="G24" i="157"/>
  <c r="H24" i="157"/>
  <c r="E25" i="157"/>
  <c r="B25" i="157"/>
  <c r="G25" i="157"/>
  <c r="H25" i="157"/>
  <c r="G26" i="157"/>
  <c r="H26" i="157"/>
  <c r="G19" i="157"/>
  <c r="H19" i="157"/>
  <c r="E20" i="157"/>
  <c r="B20" i="157"/>
  <c r="G20" i="157"/>
  <c r="H20" i="157"/>
  <c r="G21" i="157"/>
  <c r="E21" i="157"/>
  <c r="H21" i="157"/>
  <c r="G28" i="157"/>
  <c r="H28" i="157"/>
  <c r="E22" i="157"/>
  <c r="B22" i="157"/>
  <c r="G22" i="157"/>
  <c r="H22" i="157"/>
  <c r="G23" i="157"/>
  <c r="H23" i="157"/>
  <c r="P36" i="159"/>
  <c r="N36" i="159"/>
  <c r="M36" i="159"/>
  <c r="L36" i="159"/>
  <c r="K36" i="159"/>
  <c r="H36" i="159"/>
  <c r="A36" i="159"/>
  <c r="P35" i="159"/>
  <c r="N35" i="159"/>
  <c r="M35" i="159"/>
  <c r="L35" i="159"/>
  <c r="K35" i="159"/>
  <c r="H35" i="159"/>
  <c r="A35" i="159"/>
  <c r="P34" i="159"/>
  <c r="N34" i="159"/>
  <c r="M34" i="159"/>
  <c r="L34" i="159"/>
  <c r="K34" i="159"/>
  <c r="H34" i="159"/>
  <c r="A34" i="159"/>
  <c r="P33" i="159"/>
  <c r="N33" i="159"/>
  <c r="M33" i="159"/>
  <c r="L33" i="159"/>
  <c r="K33" i="159"/>
  <c r="H33" i="159"/>
  <c r="A33" i="159"/>
  <c r="P32" i="159"/>
  <c r="N32" i="159"/>
  <c r="M32" i="159"/>
  <c r="L32" i="159"/>
  <c r="K32" i="159"/>
  <c r="H32" i="159"/>
  <c r="A32" i="159"/>
  <c r="P31" i="159"/>
  <c r="N31" i="159"/>
  <c r="M31" i="159"/>
  <c r="L31" i="159"/>
  <c r="K31" i="159"/>
  <c r="H31" i="159"/>
  <c r="A31" i="159"/>
  <c r="P30" i="159"/>
  <c r="N30" i="159"/>
  <c r="M30" i="159"/>
  <c r="L30" i="159"/>
  <c r="K30" i="159"/>
  <c r="H30" i="159"/>
  <c r="A30" i="159"/>
  <c r="P29" i="159"/>
  <c r="N29" i="159"/>
  <c r="M29" i="159"/>
  <c r="L29" i="159"/>
  <c r="K29" i="159"/>
  <c r="H29" i="159"/>
  <c r="A29" i="159"/>
  <c r="P28" i="159"/>
  <c r="N28" i="159"/>
  <c r="M28" i="159"/>
  <c r="L28" i="159"/>
  <c r="K28" i="159"/>
  <c r="H28" i="159"/>
  <c r="A28" i="159"/>
  <c r="P27" i="159"/>
  <c r="N27" i="159"/>
  <c r="M27" i="159"/>
  <c r="L27" i="159"/>
  <c r="K27" i="159"/>
  <c r="H27" i="159"/>
  <c r="A27" i="159"/>
  <c r="P26" i="159"/>
  <c r="N26" i="159"/>
  <c r="M26" i="159"/>
  <c r="L26" i="159"/>
  <c r="K26" i="159"/>
  <c r="H26" i="159"/>
  <c r="A26" i="159"/>
  <c r="P25" i="159"/>
  <c r="N25" i="159"/>
  <c r="M25" i="159"/>
  <c r="L25" i="159"/>
  <c r="K25" i="159"/>
  <c r="H25" i="159"/>
  <c r="A25" i="159"/>
  <c r="P24" i="159"/>
  <c r="N24" i="159"/>
  <c r="M24" i="159"/>
  <c r="L24" i="159"/>
  <c r="K24" i="159"/>
  <c r="H24" i="159"/>
  <c r="A24" i="159"/>
  <c r="P23" i="159"/>
  <c r="N23" i="159"/>
  <c r="M23" i="159"/>
  <c r="L23" i="159"/>
  <c r="K23" i="159"/>
  <c r="H23" i="159"/>
  <c r="A23" i="159"/>
  <c r="P22" i="159"/>
  <c r="N22" i="159"/>
  <c r="M22" i="159"/>
  <c r="L22" i="159"/>
  <c r="K22" i="159"/>
  <c r="H22" i="159"/>
  <c r="A22" i="159"/>
  <c r="P21" i="159"/>
  <c r="N21" i="159"/>
  <c r="M21" i="159"/>
  <c r="L21" i="159"/>
  <c r="K21" i="159"/>
  <c r="H21" i="159"/>
  <c r="A21" i="159"/>
  <c r="P20" i="159"/>
  <c r="N20" i="159"/>
  <c r="M20" i="159"/>
  <c r="L20" i="159"/>
  <c r="K20" i="159"/>
  <c r="H20" i="159"/>
  <c r="A20" i="159"/>
  <c r="P19" i="159"/>
  <c r="N19" i="159"/>
  <c r="M19" i="159"/>
  <c r="L19" i="159"/>
  <c r="K19" i="159"/>
  <c r="H19" i="159"/>
  <c r="A19" i="159"/>
  <c r="P18" i="159"/>
  <c r="N18" i="159"/>
  <c r="M18" i="159"/>
  <c r="L18" i="159"/>
  <c r="K18" i="159"/>
  <c r="H18" i="159"/>
  <c r="A18" i="159"/>
  <c r="P17" i="159"/>
  <c r="N17" i="159"/>
  <c r="M17" i="159"/>
  <c r="L17" i="159"/>
  <c r="K17" i="159"/>
  <c r="H17" i="159"/>
  <c r="A17" i="159"/>
  <c r="P16" i="159"/>
  <c r="N16" i="159"/>
  <c r="M16" i="159"/>
  <c r="L16" i="159"/>
  <c r="K16" i="159"/>
  <c r="H16" i="159"/>
  <c r="A16" i="159"/>
  <c r="P15" i="159"/>
  <c r="N15" i="159"/>
  <c r="M15" i="159"/>
  <c r="L15" i="159"/>
  <c r="K15" i="159"/>
  <c r="H15" i="159"/>
  <c r="A15" i="159"/>
  <c r="P14" i="159"/>
  <c r="N14" i="159"/>
  <c r="M14" i="159"/>
  <c r="L14" i="159"/>
  <c r="K14" i="159"/>
  <c r="H14" i="159"/>
  <c r="A14" i="159"/>
  <c r="P13" i="159"/>
  <c r="N13" i="159"/>
  <c r="M13" i="159"/>
  <c r="L13" i="159"/>
  <c r="K13" i="159"/>
  <c r="H13" i="159"/>
  <c r="A13" i="159"/>
  <c r="P12" i="159"/>
  <c r="N12" i="159"/>
  <c r="M12" i="159"/>
  <c r="L12" i="159"/>
  <c r="K12" i="159"/>
  <c r="H12" i="159"/>
  <c r="A12" i="159"/>
  <c r="P11" i="159"/>
  <c r="N11" i="159"/>
  <c r="M11" i="159"/>
  <c r="L11" i="159"/>
  <c r="K11" i="159"/>
  <c r="H11" i="159"/>
  <c r="A11" i="159"/>
  <c r="P10" i="159"/>
  <c r="N10" i="159"/>
  <c r="M10" i="159"/>
  <c r="L10" i="159"/>
  <c r="K10" i="159"/>
  <c r="H10" i="159"/>
  <c r="A10" i="159"/>
  <c r="P9" i="159"/>
  <c r="N9" i="159"/>
  <c r="M9" i="159"/>
  <c r="L9" i="159"/>
  <c r="K9" i="159"/>
  <c r="H9" i="159"/>
  <c r="A9" i="159"/>
  <c r="P8" i="159"/>
  <c r="N8" i="159"/>
  <c r="M8" i="159"/>
  <c r="L8" i="159"/>
  <c r="K8" i="159"/>
  <c r="H8" i="159"/>
  <c r="A8" i="159"/>
  <c r="P7" i="159"/>
  <c r="N7" i="159"/>
  <c r="M7" i="159"/>
  <c r="L7" i="159"/>
  <c r="K7" i="159"/>
  <c r="H7" i="159"/>
  <c r="A7" i="159"/>
  <c r="P6" i="159"/>
  <c r="N6" i="159"/>
  <c r="M6" i="159"/>
  <c r="L6" i="159"/>
  <c r="K6" i="159"/>
  <c r="H6" i="159"/>
  <c r="A6" i="159"/>
  <c r="P5" i="159"/>
  <c r="N5" i="159"/>
  <c r="M5" i="159"/>
  <c r="L5" i="159"/>
  <c r="K5" i="159"/>
  <c r="H5" i="159"/>
  <c r="A5" i="159"/>
  <c r="P4" i="159"/>
  <c r="N4" i="159"/>
  <c r="M4" i="159"/>
  <c r="L4" i="159"/>
  <c r="K4" i="159"/>
  <c r="H4" i="159"/>
  <c r="A4" i="159"/>
  <c r="P3" i="159"/>
  <c r="N3" i="159"/>
  <c r="M3" i="159"/>
  <c r="L3" i="159"/>
  <c r="K3" i="159"/>
  <c r="H3" i="159"/>
  <c r="A3" i="159"/>
  <c r="N2" i="159"/>
  <c r="M2" i="159"/>
  <c r="L2" i="159"/>
  <c r="K2" i="159"/>
  <c r="H2" i="159"/>
  <c r="A2" i="159"/>
  <c r="E4" i="103"/>
  <c r="C4" i="103"/>
  <c r="B6" i="157"/>
  <c r="B30" i="157"/>
  <c r="O138" i="158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A300" i="158"/>
  <c r="H300" i="158"/>
  <c r="K300" i="158"/>
  <c r="L300" i="158"/>
  <c r="M300" i="158"/>
  <c r="N300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1" i="157"/>
  <c r="G41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<sst xmlns="http://schemas.openxmlformats.org/spreadsheetml/2006/main" count="420" uniqueCount="253">
  <si>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</si>
  <si>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</si>
  <si>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</si>
  <si>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</si>
  <si>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</si>
  <si>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</si>
  <si>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</si>
  <si>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</si>
  <si>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</si>
  <si>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</si>
  <si>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</si>
  <si>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</si>
  <si>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</si>
  <si>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</si>
  <si>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</si>
  <si>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</si>
  <si>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</si>
  <si>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</si>
  <si>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</si>
  <si>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</si>
  <si>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</si>
  <si>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</si>
  <si>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</si>
  <si>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</si>
  <si>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</si>
  <si>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</si>
  <si>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</si>
  <si>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</si>
  <si>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</si>
  <si>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</si>
  <si>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</si>
  <si>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</si>
  <si>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</si>
  <si>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</si>
  <si>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</si>
  <si>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</si>
  <si>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</si>
  <si>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</si>
  <si>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</si>
  <si>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</si>
  <si>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</si>
  <si>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</si>
  <si>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</si>
  <si>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</si>
  <si>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</si>
  <si>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</si>
  <si>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</si>
  <si>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</si>
  <si>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</si>
  <si>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</si>
  <si>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</si>
  <si>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</si>
  <si>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</si>
  <si>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</si>
  <si>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</si>
  <si>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</si>
  <si>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</si>
  <si>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</si>
  <si>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</si>
  <si>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</si>
  <si>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</si>
  <si>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</si>
  <si>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</si>
  <si>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</si>
  <si>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</si>
  <si>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</si>
  <si>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</si>
  <si>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</si>
  <si>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</si>
  <si>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</si>
  <si>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</si>
  <si>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</si>
  <si>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</si>
  <si>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</si>
  <si>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</si>
  <si>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</si>
  <si>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</si>
  <si>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</si>
  <si>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</si>
  <si>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</si>
  <si>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</si>
  <si>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</si>
  <si>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</si>
  <si>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</si>
  <si>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</si>
  <si>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</si>
  <si>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</si>
  <si>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</si>
  <si>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</si>
  <si>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</si>
  <si>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</si>
  <si>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</si>
  <si>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</si>
  <si>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</si>
  <si>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</si>
  <si>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</si>
  <si>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</si>
  <si>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</si>
  <si>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</si>
  <si>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</si>
  <si>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</si>
  <si>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</si>
  <si>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</si>
  <si>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</si>
  <si>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</si>
  <si>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</si>
  <si>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</si>
  <si>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</si>
  <si>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</si>
  <si>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</si>
  <si>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</si>
  <si>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</si>
  <si>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</si>
  <si>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</si>
  <si>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</si>
  <si>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</si>
  <si>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</si>
  <si>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</si>
  <si>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</si>
  <si>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</si>
  <si>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</si>
  <si>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</si>
  <si>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</si>
  <si>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</si>
  <si>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</si>
  <si>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</si>
  <si>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</si>
  <si>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</si>
  <si>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</si>
  <si>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</si>
  <si>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</si>
  <si>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</si>
  <si>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</si>
  <si>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</si>
  <si>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</si>
  <si>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</si>
  <si>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</si>
  <si>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</si>
  <si>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</si>
  <si>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</si>
  <si>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</si>
  <si>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</si>
  <si>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</si>
  <si>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</si>
  <si>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</si>
  <si>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</si>
  <si>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</si>
  <si>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</si>
  <si>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</si>
  <si>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</si>
  <si>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</si>
  <si>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</si>
  <si>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</si>
  <si>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</si>
  <si>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</si>
  <si>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</si>
  <si>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</si>
  <si>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</si>
  <si>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</si>
  <si>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</si>
  <si>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</si>
  <si>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</si>
  <si>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</si>
  <si>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</si>
  <si>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</si>
  <si>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</si>
  <si>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</si>
  <si>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</si>
  <si>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</si>
  <si>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</si>
  <si>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</si>
  <si>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</si>
  <si>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</si>
  <si>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</si>
  <si>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</si>
  <si>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</si>
  <si>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</si>
  <si>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</si>
  <si>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</si>
  <si>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</si>
  <si>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</si>
  <si>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</si>
  <si>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</si>
  <si>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</si>
  <si>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</si>
  <si>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</si>
  <si>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</si>
  <si>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</si>
  <si>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</si>
  <si>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</si>
  <si>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</si>
  <si>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</si>
  <si>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</si>
  <si>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</si>
  <si>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</si>
  <si>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</si>
  <si>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</si>
  <si>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</si>
  <si>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</si>
  <si>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</si>
  <si>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</si>
  <si>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</si>
  <si>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</si>
  <si>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</si>
  <si>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</si>
  <si>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</si>
  <si>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</si>
  <si>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</si>
  <si>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</si>
  <si>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</si>
  <si>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</si>
  <si>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</si>
  <si>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</si>
  <si>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</si>
  <si>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</si>
  <si>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</si>
  <si>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</si>
  <si>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</si>
  <si>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</si>
  <si>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</si>
  <si>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</si>
  <si>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</si>
  <si>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</si>
  <si>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</si>
  <si>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</si>
  <si>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</si>
  <si>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</si>
  <si>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</si>
  <si>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</si>
  <si>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</si>
  <si>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</si>
  <si>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</si>
  <si>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</si>
  <si>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</si>
  <si>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</si>
  <si>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</si>
  <si>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</si>
  <si>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</si>
  <si>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</si>
  <si>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</si>
  <si>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</si>
  <si>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</si>
  <si>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</si>
  <si>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</si>
  <si>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</si>
  <si>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</si>
  <si>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old</t>
    <phoneticPr fontId="20"/>
  </si>
  <si>
    <t>tables_391011</t>
    <phoneticPr fontId="20"/>
  </si>
  <si>
    <t>gacha_select_tables_</t>
    <phoneticPr fontId="20"/>
  </si>
  <si>
    <t>tables_396100</t>
    <phoneticPr fontId="20"/>
  </si>
  <si>
    <t>gacha_settle_tables_</t>
    <phoneticPr fontId="20"/>
  </si>
  <si>
    <t>old</t>
    <phoneticPr fontId="20"/>
  </si>
  <si>
    <t>tables_settle_396100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</si>
</sst>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</cellStyleXfs>
  <cellXfs count="109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25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0" fontId="26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4" borderId="1" xfId="2978" applyFont="1" applyFill="1" applyBorder="1"/>
    <xf numFmtId="0" fontId="2" fillId="0" borderId="1" xfId="2978" applyFont="1" applyBorder="1"/>
    <xf numFmtId="0" fontId="1" fillId="0" borderId="1" xfId="3036" applyFont="1" applyBorder="1"/>
    <xf numFmtId="0" fontId="1" fillId="4" borderId="1" xfId="2978" applyFont="1" applyFill="1" applyBorder="1"/>
    <xf numFmtId="0" fontId="1" fillId="0" borderId="1" xfId="2978" applyFont="1" applyBorder="1"/>
    <xf numFmtId="0" fontId="0" fillId="4" borderId="1" xfId="0" applyNumberFormat="1" applyFill="1" applyBorder="1"/>
    <xf numFmtId="0" fontId="25" fillId="0" borderId="1" xfId="2" applyFont="1" applyFill="1" applyBorder="1" applyAlignment="1">
      <alignment vertical="center"/>
    </xf>
    <xf numFmtId="0" fontId="24" fillId="0" borderId="1" xfId="0" applyFont="1" applyFill="1" applyBorder="1" applyAlignment="1">
      <alignment horizontal="right" vertical="center"/>
    </xf>
    <xf numFmtId="177" fontId="0" fillId="0" borderId="1" xfId="3575" applyNumberFormat="1" applyFont="1" applyFill="1" applyBorder="1"/>
    <xf numFmtId="0" fontId="52" fillId="0" borderId="1" xfId="0" applyFont="1" applyFill="1" applyBorder="1" applyAlignment="1">
      <alignment vertical="center"/>
    </xf>
    <xf numFmtId="0" fontId="25" fillId="0" borderId="0" xfId="2" applyFont="1" applyFill="1" applyAlignment="1">
      <alignment vertical="center"/>
    </xf>
    <xf numFmtId="0" fontId="26" fillId="0" borderId="1" xfId="0" applyFont="1" applyFill="1" applyBorder="1" applyAlignment="1">
      <alignment vertical="center"/>
    </xf>
    <xf numFmtId="0" fontId="25" fillId="0" borderId="13" xfId="2" applyFont="1" applyFill="1" applyBorder="1" applyAlignment="1">
      <alignment vertical="center"/>
    </xf>
    <xf numFmtId="0" fontId="24" fillId="0" borderId="12" xfId="0" applyFont="1" applyFill="1" applyBorder="1" applyAlignment="1">
      <alignment horizontal="right" vertical="center"/>
    </xf>
    <xf numFmtId="0" fontId="24" fillId="0" borderId="14" xfId="0" applyFont="1" applyFill="1" applyBorder="1" applyAlignment="1">
      <alignment horizontal="right" vertical="center"/>
    </xf>
    <xf numFmtId="0" fontId="25" fillId="0" borderId="15" xfId="2" applyFont="1" applyFill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4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  <row r="1180">
          <cell r="A1180">
            <v>8031</v>
          </cell>
          <cell r="B1180" t="str">
            <v>ja</v>
          </cell>
          <cell r="C1180" t="str">
            <v>閻羅王</v>
          </cell>
          <cell r="D1180" t="str">
            <v>Expoミク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red</v>
          </cell>
          <cell r="I1180">
            <v>5</v>
          </cell>
          <cell r="J1180" t="str">
            <v>PremiumSS</v>
          </cell>
          <cell r="K1180" t="str">
            <v>balance</v>
          </cell>
          <cell r="L1180" t="str">
            <v>バランスタイプ</v>
          </cell>
          <cell r="M1180" t="str">
            <v>god</v>
          </cell>
        </row>
        <row r="1181">
          <cell r="A1181">
            <v>8032</v>
          </cell>
          <cell r="B1181" t="str">
            <v>ja</v>
          </cell>
          <cell r="C1181" t="str">
            <v>十殿閻羅王</v>
          </cell>
          <cell r="D1181" t="str">
            <v>Expoミク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red</v>
          </cell>
          <cell r="I1181">
            <v>6</v>
          </cell>
          <cell r="J1181" t="str">
            <v>PremiumSS</v>
          </cell>
          <cell r="K1181" t="str">
            <v>balance</v>
          </cell>
          <cell r="L1181" t="str">
            <v>バランスタイプ</v>
          </cell>
          <cell r="M1181" t="str">
            <v>god</v>
          </cell>
        </row>
        <row r="1182">
          <cell r="A1182">
            <v>8033</v>
          </cell>
          <cell r="B1182" t="str">
            <v>ja</v>
          </cell>
          <cell r="C1182" t="str">
            <v>牛頭馬面</v>
          </cell>
          <cell r="D1182" t="str">
            <v>Expoミク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5</v>
          </cell>
          <cell r="J1182" t="str">
            <v>DropWizS</v>
          </cell>
          <cell r="K1182" t="str">
            <v>attack</v>
          </cell>
          <cell r="L1182" t="str">
            <v>攻撃タイプ</v>
          </cell>
          <cell r="M1182" t="str">
            <v>god</v>
          </cell>
        </row>
        <row r="1183">
          <cell r="A1183">
            <v>8034</v>
          </cell>
          <cell r="B1183" t="str">
            <v>ja</v>
          </cell>
          <cell r="C1183" t="str">
            <v>牛頭馬面</v>
          </cell>
          <cell r="D1183" t="str">
            <v>Expoミク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6</v>
          </cell>
          <cell r="J1183" t="str">
            <v>DropWizS</v>
          </cell>
          <cell r="K1183" t="str">
            <v>attack</v>
          </cell>
          <cell r="L1183" t="str">
            <v>攻撃タイプ</v>
          </cell>
          <cell r="M1183" t="str">
            <v>god</v>
          </cell>
        </row>
        <row r="1184">
          <cell r="A1184">
            <v>8035</v>
          </cell>
          <cell r="B1184" t="str">
            <v>ja</v>
          </cell>
          <cell r="C1184" t="str">
            <v>嫦娥</v>
          </cell>
          <cell r="D1184" t="str">
            <v>Expoミク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blue</v>
          </cell>
          <cell r="I1184">
            <v>4</v>
          </cell>
          <cell r="J1184" t="str">
            <v>Drop2N</v>
          </cell>
          <cell r="K1184" t="str">
            <v>heal</v>
          </cell>
          <cell r="L1184" t="str">
            <v>回復タイプ</v>
          </cell>
          <cell r="M1184" t="str">
            <v>unknown</v>
          </cell>
        </row>
        <row r="1185">
          <cell r="A1185">
            <v>8036</v>
          </cell>
          <cell r="B1185" t="str">
            <v>ja</v>
          </cell>
          <cell r="C1185" t="str">
            <v>嫦娥</v>
          </cell>
          <cell r="D1185" t="str">
            <v>Expoミク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blue</v>
          </cell>
          <cell r="I1185">
            <v>4</v>
          </cell>
          <cell r="J1185" t="str">
            <v>Drop2N</v>
          </cell>
          <cell r="K1185" t="str">
            <v>heal</v>
          </cell>
          <cell r="L1185" t="str">
            <v>回復タイプ</v>
          </cell>
          <cell r="M1185" t="str">
            <v>unknown</v>
          </cell>
        </row>
        <row r="1186">
          <cell r="A1186">
            <v>8037</v>
          </cell>
          <cell r="B1186" t="str">
            <v>ja</v>
          </cell>
          <cell r="C1186" t="str">
            <v>后羿</v>
          </cell>
          <cell r="D1186" t="str">
            <v>Expoミク</v>
          </cell>
          <cell r="E1186" t="str">
            <v>執行者</v>
          </cell>
          <cell r="F1186" t="str">
            <v>格好いい</v>
          </cell>
          <cell r="G1186" t="str">
            <v>女性</v>
          </cell>
          <cell r="H1186" t="str">
            <v>blue</v>
          </cell>
          <cell r="I1186">
            <v>4</v>
          </cell>
          <cell r="J1186" t="str">
            <v>Drop2N</v>
          </cell>
          <cell r="K1186" t="str">
            <v>heal</v>
          </cell>
          <cell r="L1186" t="str">
            <v>回復タイプ</v>
          </cell>
          <cell r="M1186" t="str">
            <v>unknown</v>
          </cell>
        </row>
        <row r="1187">
          <cell r="A1187">
            <v>8038</v>
          </cell>
          <cell r="B1187" t="str">
            <v>ja</v>
          </cell>
          <cell r="C1187" t="str">
            <v>后羿</v>
          </cell>
          <cell r="D1187" t="str">
            <v>Expoミク</v>
          </cell>
          <cell r="E1187" t="str">
            <v>執行者</v>
          </cell>
          <cell r="F1187" t="str">
            <v>格好いい</v>
          </cell>
          <cell r="G1187" t="str">
            <v>女性</v>
          </cell>
          <cell r="H1187" t="str">
            <v>blue</v>
          </cell>
          <cell r="I1187">
            <v>4</v>
          </cell>
          <cell r="J1187" t="str">
            <v>Drop2N</v>
          </cell>
          <cell r="K1187" t="str">
            <v>heal</v>
          </cell>
          <cell r="L1187" t="str">
            <v>回復タイプ</v>
          </cell>
          <cell r="M1187" t="str">
            <v>unknown</v>
          </cell>
        </row>
        <row r="1188">
          <cell r="A1188">
            <v>8039</v>
          </cell>
          <cell r="B1188" t="str">
            <v>ja</v>
          </cell>
          <cell r="C1188" t="str">
            <v>何仙姑</v>
          </cell>
          <cell r="D1188" t="str">
            <v>Expoミク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blue</v>
          </cell>
          <cell r="I1188">
            <v>4</v>
          </cell>
          <cell r="J1188" t="str">
            <v>Drop2N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8040</v>
          </cell>
          <cell r="B1189" t="str">
            <v>ja</v>
          </cell>
          <cell r="C1189" t="str">
            <v>何仙姑</v>
          </cell>
          <cell r="D1189" t="str">
            <v>Expoミク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blue</v>
          </cell>
          <cell r="I1189">
            <v>4</v>
          </cell>
          <cell r="J1189" t="str">
            <v>Drop2N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8041</v>
          </cell>
          <cell r="B1190" t="str">
            <v>ja</v>
          </cell>
          <cell r="C1190" t="str">
            <v>藍采和</v>
          </cell>
          <cell r="D1190" t="str">
            <v>Expoミク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blue</v>
          </cell>
          <cell r="I1190">
            <v>4</v>
          </cell>
          <cell r="J1190" t="str">
            <v>Drop2N</v>
          </cell>
          <cell r="K1190" t="str">
            <v>heal</v>
          </cell>
          <cell r="L1190" t="str">
            <v>回復タイプ</v>
          </cell>
          <cell r="M1190" t="str">
            <v>unknown</v>
          </cell>
        </row>
        <row r="1191">
          <cell r="A1191">
            <v>8042</v>
          </cell>
          <cell r="B1191" t="str">
            <v>ja</v>
          </cell>
          <cell r="C1191" t="str">
            <v>藍采和</v>
          </cell>
          <cell r="D1191" t="str">
            <v>Expoミク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blue</v>
          </cell>
          <cell r="I1191">
            <v>4</v>
          </cell>
          <cell r="J1191" t="str">
            <v>Drop2N</v>
          </cell>
          <cell r="K1191" t="str">
            <v>heal</v>
          </cell>
          <cell r="L1191" t="str">
            <v>回復タイプ</v>
          </cell>
          <cell r="M1191" t="str">
            <v>unknown</v>
          </cell>
        </row>
        <row r="1192">
          <cell r="A1192">
            <v>8043</v>
          </cell>
          <cell r="B1192" t="str">
            <v>ja</v>
          </cell>
          <cell r="C1192" t="str">
            <v>サンリオキャラ大集合+アザゼル</v>
          </cell>
          <cell r="D1192" t="str">
            <v>サンリオキャラ大集合+アザゼル</v>
          </cell>
          <cell r="E1192" t="str">
            <v>執行者</v>
          </cell>
          <cell r="F1192" t="str">
            <v>格好いい</v>
          </cell>
          <cell r="G1192" t="str">
            <v>女性</v>
          </cell>
          <cell r="H1192" t="str">
            <v>green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ss</v>
          </cell>
        </row>
        <row r="1193">
          <cell r="A1193">
            <v>8044</v>
          </cell>
          <cell r="B1193" t="str">
            <v>ja</v>
          </cell>
          <cell r="C1193" t="str">
            <v>サンリオキャラ大集合+アザゼル</v>
          </cell>
          <cell r="D1193" t="str">
            <v>サンリオキャラ大集合+アザゼル</v>
          </cell>
          <cell r="E1193" t="str">
            <v>執行者</v>
          </cell>
          <cell r="F1193" t="str">
            <v>格好いい</v>
          </cell>
          <cell r="G1193" t="str">
            <v>女性</v>
          </cell>
          <cell r="H1193" t="str">
            <v>green</v>
          </cell>
          <cell r="I1193">
            <v>6</v>
          </cell>
          <cell r="J1193" t="str">
            <v>DropWizS</v>
          </cell>
          <cell r="K1193" t="str">
            <v>technical</v>
          </cell>
          <cell r="L1193" t="str">
            <v>テクニカルタイプ</v>
          </cell>
          <cell r="M1193" t="str">
            <v>ss</v>
          </cell>
        </row>
        <row r="1194">
          <cell r="A1194">
            <v>8045</v>
          </cell>
          <cell r="B1194" t="str">
            <v>ja</v>
          </cell>
          <cell r="C1194" t="str">
            <v>ニムダ_サンリオキャラ混じり</v>
          </cell>
          <cell r="D1194" t="str">
            <v>ニムダ_サンリオキャラ混じり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4</v>
          </cell>
          <cell r="J1194" t="str">
            <v>Drop2N</v>
          </cell>
          <cell r="K1194" t="str">
            <v>technical</v>
          </cell>
          <cell r="L1194" t="str">
            <v>テクニカルタイプ</v>
          </cell>
          <cell r="M1194" t="str">
            <v>ss</v>
          </cell>
        </row>
        <row r="1195">
          <cell r="A1195">
            <v>8046</v>
          </cell>
          <cell r="B1195" t="str">
            <v>ja</v>
          </cell>
          <cell r="C1195" t="str">
            <v>ニムダ_サンリオキャラ混じり</v>
          </cell>
          <cell r="D1195" t="str">
            <v>ニムダ_サンリオキャラ混じり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5</v>
          </cell>
          <cell r="J1195" t="str">
            <v>Drop2N</v>
          </cell>
          <cell r="K1195" t="str">
            <v>technical</v>
          </cell>
          <cell r="L1195" t="str">
            <v>テクニカルタイプ</v>
          </cell>
          <cell r="M1195" t="str">
            <v>ss</v>
          </cell>
        </row>
        <row r="1196">
          <cell r="A1196">
            <v>8047</v>
          </cell>
          <cell r="B1196" t="str">
            <v>ja</v>
          </cell>
          <cell r="C1196" t="str">
            <v>ハローキティ</v>
          </cell>
          <cell r="D1196" t="str">
            <v>ハローキティ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red</v>
          </cell>
          <cell r="I1196">
            <v>4</v>
          </cell>
          <cell r="J1196" t="str">
            <v>Drop2N</v>
          </cell>
          <cell r="K1196" t="str">
            <v>balance</v>
          </cell>
          <cell r="L1196" t="str">
            <v>バランスタイプ</v>
          </cell>
          <cell r="M1196" t="str">
            <v>ss</v>
          </cell>
        </row>
        <row r="1197">
          <cell r="A1197">
            <v>8048</v>
          </cell>
          <cell r="B1197" t="str">
            <v>ja</v>
          </cell>
          <cell r="C1197" t="str">
            <v>ハローキティ</v>
          </cell>
          <cell r="D1197" t="str">
            <v>ハローキティ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red</v>
          </cell>
          <cell r="I1197">
            <v>5</v>
          </cell>
          <cell r="J1197" t="str">
            <v>Drop2N</v>
          </cell>
          <cell r="K1197" t="str">
            <v>balance</v>
          </cell>
          <cell r="L1197" t="str">
            <v>バランスタイプ</v>
          </cell>
          <cell r="M1197" t="str">
            <v>ss</v>
          </cell>
        </row>
        <row r="1198">
          <cell r="A1198">
            <v>8049</v>
          </cell>
          <cell r="B1198" t="str">
            <v>ja</v>
          </cell>
          <cell r="C1198" t="str">
            <v>KIRIMIちゃん</v>
          </cell>
          <cell r="D1198" t="str">
            <v>KIRIMIちゃん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4</v>
          </cell>
          <cell r="J1198" t="str">
            <v>Drop2N</v>
          </cell>
          <cell r="K1198" t="str">
            <v>hp</v>
          </cell>
          <cell r="L1198" t="str">
            <v>体力タイプ</v>
          </cell>
          <cell r="M1198" t="str">
            <v>ss</v>
          </cell>
        </row>
        <row r="1199">
          <cell r="A1199">
            <v>8050</v>
          </cell>
          <cell r="B1199" t="str">
            <v>ja</v>
          </cell>
          <cell r="C1199" t="str">
            <v>KIRIMIちゃん</v>
          </cell>
          <cell r="D1199" t="str">
            <v>KIRIMIちゃん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5</v>
          </cell>
          <cell r="J1199" t="str">
            <v>Drop2N</v>
          </cell>
          <cell r="K1199" t="str">
            <v>hp</v>
          </cell>
          <cell r="L1199" t="str">
            <v>体力タイプ</v>
          </cell>
          <cell r="M1199" t="str">
            <v>ss</v>
          </cell>
        </row>
        <row r="1200">
          <cell r="A1200">
            <v>8051</v>
          </cell>
          <cell r="B1200" t="str">
            <v>ja</v>
          </cell>
          <cell r="C1200" t="str">
            <v>ハローキティのリボン</v>
          </cell>
          <cell r="D1200" t="str">
            <v>ハローキティのリボン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red</v>
          </cell>
          <cell r="I1200">
            <v>5</v>
          </cell>
          <cell r="J1200" t="str">
            <v>Drop2N</v>
          </cell>
          <cell r="K1200" t="str">
            <v>evolution</v>
          </cell>
          <cell r="L1200" t="str">
            <v>覚醒素材タイプ</v>
          </cell>
          <cell r="M1200" t="str">
            <v>ss</v>
          </cell>
        </row>
        <row r="1201">
          <cell r="A1201">
            <v>8052</v>
          </cell>
          <cell r="B1201" t="str">
            <v>ja</v>
          </cell>
          <cell r="C1201" t="str">
            <v>ママの作ったアップルパイ</v>
          </cell>
          <cell r="D1201" t="str">
            <v>ママの作ったアップルパイ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red</v>
          </cell>
          <cell r="I1201">
            <v>4</v>
          </cell>
          <cell r="J1201" t="str">
            <v>Drop2N</v>
          </cell>
          <cell r="K1201" t="str">
            <v>evolution</v>
          </cell>
          <cell r="L1201" t="str">
            <v>覚醒素材タイプ</v>
          </cell>
          <cell r="M1201" t="str">
            <v>ss</v>
          </cell>
        </row>
        <row r="1202">
          <cell r="A1202">
            <v>8053</v>
          </cell>
          <cell r="B1202" t="str">
            <v>ja</v>
          </cell>
          <cell r="C1202" t="str">
            <v>D.R.T.H__キティコスプレ</v>
          </cell>
          <cell r="D1202" t="str">
            <v>D.R.T.H__キティコスプレ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red</v>
          </cell>
          <cell r="I1202">
            <v>5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ss</v>
          </cell>
        </row>
        <row r="1203">
          <cell r="A1203">
            <v>8054</v>
          </cell>
          <cell r="B1203" t="str">
            <v>ja</v>
          </cell>
          <cell r="C1203" t="str">
            <v>D.R.T.H__キティコスプレ</v>
          </cell>
          <cell r="D1203" t="str">
            <v>D.R.T.H__キティコスプレ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red</v>
          </cell>
          <cell r="I1203">
            <v>6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ss</v>
          </cell>
        </row>
        <row r="1204">
          <cell r="A1204">
            <v>8055</v>
          </cell>
          <cell r="B1204" t="str">
            <v>ja</v>
          </cell>
          <cell r="C1204" t="str">
            <v>マイメロディ</v>
          </cell>
          <cell r="D1204" t="str">
            <v>マイメロディ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red</v>
          </cell>
          <cell r="I1204">
            <v>4</v>
          </cell>
          <cell r="J1204" t="str">
            <v>PremiumS</v>
          </cell>
          <cell r="K1204" t="str">
            <v>attack</v>
          </cell>
          <cell r="L1204" t="str">
            <v>攻撃タイプ</v>
          </cell>
          <cell r="M1204" t="str">
            <v>ss</v>
          </cell>
        </row>
        <row r="1205">
          <cell r="A1205">
            <v>8056</v>
          </cell>
          <cell r="B1205" t="str">
            <v>ja</v>
          </cell>
          <cell r="C1205" t="str">
            <v>マイメロディ</v>
          </cell>
          <cell r="D1205" t="str">
            <v>マイメロディ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red</v>
          </cell>
          <cell r="I1205">
            <v>5</v>
          </cell>
          <cell r="J1205" t="str">
            <v>PremiumS</v>
          </cell>
          <cell r="K1205" t="str">
            <v>attack</v>
          </cell>
          <cell r="L1205" t="str">
            <v>攻撃タイプ</v>
          </cell>
          <cell r="M1205" t="str">
            <v>ss</v>
          </cell>
        </row>
        <row r="1206">
          <cell r="A1206">
            <v>8057</v>
          </cell>
          <cell r="B1206" t="str">
            <v>ja</v>
          </cell>
          <cell r="C1206" t="str">
            <v>ニーベルゲン_シナモロールコスプレ</v>
          </cell>
          <cell r="D1206" t="str">
            <v>ニーベルゲン_シナモロールコスプレ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green</v>
          </cell>
          <cell r="I1206">
            <v>4</v>
          </cell>
          <cell r="J1206" t="str">
            <v>PremiumS</v>
          </cell>
          <cell r="K1206" t="str">
            <v>balance</v>
          </cell>
          <cell r="L1206" t="str">
            <v>バランスタイプ</v>
          </cell>
          <cell r="M1206" t="str">
            <v>ss</v>
          </cell>
        </row>
        <row r="1207">
          <cell r="A1207">
            <v>8058</v>
          </cell>
          <cell r="B1207" t="str">
            <v>ja</v>
          </cell>
          <cell r="C1207" t="str">
            <v>ニーベルゲン_シナモロールコスプレ</v>
          </cell>
          <cell r="D1207" t="str">
            <v>ニーベルゲン_シナモロールコスプレ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green</v>
          </cell>
          <cell r="I1207">
            <v>5</v>
          </cell>
          <cell r="J1207" t="str">
            <v>PremiumS</v>
          </cell>
          <cell r="K1207" t="str">
            <v>balance</v>
          </cell>
          <cell r="L1207" t="str">
            <v>バランスタイプ</v>
          </cell>
          <cell r="M1207" t="str">
            <v>ss</v>
          </cell>
        </row>
        <row r="1208">
          <cell r="A1208">
            <v>8059</v>
          </cell>
          <cell r="B1208" t="str">
            <v>ja</v>
          </cell>
          <cell r="C1208" t="str">
            <v>カカシ_マイメロディコスプレ</v>
          </cell>
          <cell r="D1208" t="str">
            <v>カカシ_マイメロディコスプレ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green</v>
          </cell>
          <cell r="I1208">
            <v>4</v>
          </cell>
          <cell r="J1208" t="str">
            <v>PremiumS</v>
          </cell>
          <cell r="K1208" t="str">
            <v>technical</v>
          </cell>
          <cell r="L1208" t="str">
            <v>テクニカルタイプ</v>
          </cell>
          <cell r="M1208" t="str">
            <v>ss</v>
          </cell>
        </row>
        <row r="1209">
          <cell r="A1209">
            <v>8060</v>
          </cell>
          <cell r="B1209" t="str">
            <v>ja</v>
          </cell>
          <cell r="C1209" t="str">
            <v>カカシ_マイメロディコスプレ</v>
          </cell>
          <cell r="D1209" t="str">
            <v>カカシ_マイメロディコスプレ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green</v>
          </cell>
          <cell r="I1209">
            <v>5</v>
          </cell>
          <cell r="J1209" t="str">
            <v>PremiumS</v>
          </cell>
          <cell r="K1209" t="str">
            <v>technical</v>
          </cell>
          <cell r="L1209" t="str">
            <v>テクニカルタイプ</v>
          </cell>
          <cell r="M1209" t="str">
            <v>ss</v>
          </cell>
        </row>
        <row r="1210">
          <cell r="A1210">
            <v>8061</v>
          </cell>
          <cell r="B1210" t="str">
            <v>ja</v>
          </cell>
          <cell r="C1210" t="str">
            <v>ケロケロけろっぴ</v>
          </cell>
          <cell r="D1210" t="str">
            <v>ケロケロけろっぴ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3</v>
          </cell>
          <cell r="J1210" t="str">
            <v>PremiumS</v>
          </cell>
          <cell r="K1210" t="str">
            <v>balance</v>
          </cell>
          <cell r="L1210" t="str">
            <v>バランスタイプ</v>
          </cell>
          <cell r="M1210" t="str">
            <v>ss</v>
          </cell>
        </row>
        <row r="1211">
          <cell r="A1211">
            <v>8062</v>
          </cell>
          <cell r="B1211" t="str">
            <v>ja</v>
          </cell>
          <cell r="C1211" t="str">
            <v>ケロケロけろっぴ</v>
          </cell>
          <cell r="D1211" t="str">
            <v>ケロケロけろっぴ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balance</v>
          </cell>
          <cell r="L1211" t="str">
            <v>バランスタイプ</v>
          </cell>
          <cell r="M1211" t="str">
            <v>ss</v>
          </cell>
        </row>
        <row r="1212">
          <cell r="A1212">
            <v>8063</v>
          </cell>
          <cell r="B1212" t="str">
            <v>ja</v>
          </cell>
          <cell r="C1212" t="str">
            <v>モルドレッド_ポムポムプリンコスプレ</v>
          </cell>
          <cell r="D1212" t="str">
            <v>モルドレッド_ポムポムプリンコスプレ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5</v>
          </cell>
          <cell r="J1212" t="str">
            <v>PremiumSS</v>
          </cell>
          <cell r="K1212" t="str">
            <v>heal</v>
          </cell>
          <cell r="L1212" t="str">
            <v>回復タイプ</v>
          </cell>
          <cell r="M1212" t="str">
            <v>ss</v>
          </cell>
        </row>
        <row r="1213">
          <cell r="A1213">
            <v>8064</v>
          </cell>
          <cell r="B1213" t="str">
            <v>ja</v>
          </cell>
          <cell r="C1213" t="str">
            <v>モルドレッド_ポムポムプリンコスプレ</v>
          </cell>
          <cell r="D1213" t="str">
            <v>モルドレッド_ポムポムプリンコスプレ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6</v>
          </cell>
          <cell r="J1213" t="str">
            <v>PremiumSS</v>
          </cell>
          <cell r="K1213" t="str">
            <v>heal</v>
          </cell>
          <cell r="L1213" t="str">
            <v>回復タイプ</v>
          </cell>
          <cell r="M1213" t="str">
            <v>ss</v>
          </cell>
        </row>
        <row r="1214">
          <cell r="A1214">
            <v>8065</v>
          </cell>
          <cell r="B1214" t="str">
            <v>ja</v>
          </cell>
          <cell r="C1214" t="str">
            <v>クロミ</v>
          </cell>
          <cell r="D1214" t="str">
            <v>クロミ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blue</v>
          </cell>
          <cell r="I1214">
            <v>3</v>
          </cell>
          <cell r="J1214" t="str">
            <v>PremiumS</v>
          </cell>
          <cell r="K1214" t="str">
            <v>technical</v>
          </cell>
          <cell r="L1214" t="str">
            <v>テクニカルタイプ</v>
          </cell>
          <cell r="M1214" t="str">
            <v>ss</v>
          </cell>
        </row>
        <row r="1215">
          <cell r="A1215">
            <v>8066</v>
          </cell>
          <cell r="B1215" t="str">
            <v>ja</v>
          </cell>
          <cell r="C1215" t="str">
            <v>クロミ</v>
          </cell>
          <cell r="D1215" t="str">
            <v>クロミ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blue</v>
          </cell>
          <cell r="I1215">
            <v>4</v>
          </cell>
          <cell r="J1215" t="str">
            <v>PremiumS</v>
          </cell>
          <cell r="K1215" t="str">
            <v>technical</v>
          </cell>
          <cell r="L1215" t="str">
            <v>テクニカルタイプ</v>
          </cell>
          <cell r="M1215" t="str">
            <v>ss</v>
          </cell>
        </row>
        <row r="1216">
          <cell r="A1216">
            <v>8067</v>
          </cell>
          <cell r="B1216" t="str">
            <v>ja</v>
          </cell>
          <cell r="C1216" t="str">
            <v>バッドばつ丸</v>
          </cell>
          <cell r="D1216" t="str">
            <v>バッドばつ丸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blue</v>
          </cell>
          <cell r="I1216">
            <v>3</v>
          </cell>
          <cell r="J1216" t="str">
            <v>PremiumS</v>
          </cell>
          <cell r="K1216" t="str">
            <v>attack</v>
          </cell>
          <cell r="L1216" t="str">
            <v>攻撃タイプ</v>
          </cell>
          <cell r="M1216" t="str">
            <v>ss</v>
          </cell>
        </row>
        <row r="1217">
          <cell r="A1217">
            <v>8068</v>
          </cell>
          <cell r="B1217" t="str">
            <v>ja</v>
          </cell>
          <cell r="C1217" t="str">
            <v>バッドばつ丸</v>
          </cell>
          <cell r="D1217" t="str">
            <v>バッドばつ丸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blue</v>
          </cell>
          <cell r="I1217">
            <v>4</v>
          </cell>
          <cell r="J1217" t="str">
            <v>PremiumS</v>
          </cell>
          <cell r="K1217" t="str">
            <v>attack</v>
          </cell>
          <cell r="L1217" t="str">
            <v>攻撃タイプ</v>
          </cell>
          <cell r="M1217" t="str">
            <v>ss</v>
          </cell>
        </row>
        <row r="1218">
          <cell r="A1218">
            <v>8069</v>
          </cell>
          <cell r="B1218" t="str">
            <v>ja</v>
          </cell>
          <cell r="C1218" t="str">
            <v>シナモロール</v>
          </cell>
          <cell r="D1218" t="str">
            <v>シナモロール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yellow</v>
          </cell>
          <cell r="I1218">
            <v>4</v>
          </cell>
          <cell r="J1218" t="str">
            <v>PremiumS</v>
          </cell>
          <cell r="K1218" t="str">
            <v>heal</v>
          </cell>
          <cell r="L1218" t="str">
            <v>回復タイプ</v>
          </cell>
          <cell r="M1218" t="str">
            <v>ss</v>
          </cell>
        </row>
        <row r="1219">
          <cell r="A1219">
            <v>8070</v>
          </cell>
          <cell r="B1219" t="str">
            <v>ja</v>
          </cell>
          <cell r="C1219" t="str">
            <v>シナモロール</v>
          </cell>
          <cell r="D1219" t="str">
            <v>シナモロール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yellow</v>
          </cell>
          <cell r="I1219">
            <v>5</v>
          </cell>
          <cell r="J1219" t="str">
            <v>PremiumS</v>
          </cell>
          <cell r="K1219" t="str">
            <v>heal</v>
          </cell>
          <cell r="L1219" t="str">
            <v>回復タイプ</v>
          </cell>
          <cell r="M1219" t="str">
            <v>ss</v>
          </cell>
        </row>
        <row r="1220">
          <cell r="A1220">
            <v>8071</v>
          </cell>
          <cell r="B1220" t="str">
            <v>ja</v>
          </cell>
          <cell r="C1220" t="str">
            <v>ポムポムプリン</v>
          </cell>
          <cell r="D1220" t="str">
            <v>ポムポムプリン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yellow</v>
          </cell>
          <cell r="I1220">
            <v>3</v>
          </cell>
          <cell r="J1220" t="str">
            <v>PremiumS</v>
          </cell>
          <cell r="K1220" t="str">
            <v>hp</v>
          </cell>
          <cell r="L1220" t="str">
            <v>体力タイプ</v>
          </cell>
          <cell r="M1220" t="str">
            <v>ss</v>
          </cell>
        </row>
        <row r="1221">
          <cell r="A1221">
            <v>8072</v>
          </cell>
          <cell r="B1221" t="str">
            <v>ja</v>
          </cell>
          <cell r="C1221" t="str">
            <v>ポムポムプリン</v>
          </cell>
          <cell r="D1221" t="str">
            <v>ポムポムプリン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yellow</v>
          </cell>
          <cell r="I1221">
            <v>4</v>
          </cell>
          <cell r="J1221" t="str">
            <v>PremiumS</v>
          </cell>
          <cell r="K1221" t="str">
            <v>hp</v>
          </cell>
          <cell r="L1221" t="str">
            <v>体力タイプ</v>
          </cell>
          <cell r="M1221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246</v>
      </c>
      <c r="B2" s="61" t="s">
        <v>110</v>
      </c>
      <c r="C2" s="50" t="str">
        <f t="shared" ref="C2" si="0">RIGHT(F2,6)</f>
        <v>396100</v>
      </c>
      <c r="D2" s="19" t="s">
        <v>45</v>
      </c>
      <c r="E2" s="17" t="str">
        <f t="shared" ref="E2" si="1">B2&amp;C2&amp;D2</f>
        <v>gacha_select_tables_396100.tmp</v>
      </c>
      <c r="F2" s="96" t="s">
        <v>249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251</v>
      </c>
      <c r="B3" s="97" t="s">
        <v>250</v>
      </c>
      <c r="C3" s="50" t="str">
        <f t="shared" ref="C3:C7" si="2">RIGHT(F3,6)</f>
        <v>396100</v>
      </c>
      <c r="D3" s="19" t="s">
        <v>45</v>
      </c>
      <c r="E3" s="17" t="str">
        <f t="shared" ref="E3:E10" si="3">B3&amp;C3&amp;D3</f>
        <v>gacha_settle_tables_396100.tmp</v>
      </c>
      <c r="F3" s="96" t="s">
        <v>252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7" t="s">
        <v>241</v>
      </c>
      <c r="B4" s="94" t="s">
        <v>248</v>
      </c>
      <c r="C4" s="50" t="str">
        <f>RIGHT(F4,6)</f>
        <v>391011</v>
      </c>
      <c r="D4" s="19" t="s">
        <v>45</v>
      </c>
      <c r="E4" s="17" t="str">
        <f>B4&amp;C4&amp;D4</f>
        <v>gacha_select_tables_391011.tmp</v>
      </c>
      <c r="F4" s="93" t="s">
        <v>247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2" workbookViewId="0">
      <selection activeCell="E6" sqref="E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396100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VLOOKUP(L3,tables_396100!B:C,2,FALSE)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VLOOKUP(L4,tables_396100!B:C,2,FALSE)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1.1111111111111111E-3</v>
      </c>
      <c r="F5">
        <f>(COUNTIF(tables_396100!C:C,input_396100!A28)+COUNTIF(tables_396100!C:C,input_396100!A29))</f>
        <v>45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VLOOKUP(L5,tables_396100!B:C,2,FALSE)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0.95</v>
      </c>
      <c r="D6" t="s">
        <v>202</v>
      </c>
      <c r="E6" s="76">
        <f>(B10-H6)/(F6-I6)</f>
        <v>1.0919540229885057E-2</v>
      </c>
      <c r="F6">
        <f>(COUNTIF(tables_396100!C:C,input_396100!A25)+COUNTIF(tables_396100!C:C,input_396100!A18)+COUNTIF(tables_396100!C:C,input_396100!A20)+COUNTIF(tables_396100!C:C,input_396100!A22))</f>
        <v>87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VLOOKUP(L6,tables_396100!B:C,2,FALSE)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VLOOKUP(L7,tables_396100!B:C,2,FALSE)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VLOOKUP(L8,tables_396100!B:C,2,FALSE)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VLOOKUP(L9,tables_396100!B:C,2,FALSE)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VLOOKUP(L10,tables_396100!B:C,2,FALSE)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VLOOKUP(L11,tables_396100!B:C,2,FALSE)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VLOOKUP(L12,tables_396100!B:C,2,FALSE)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VLOOKUP(L13,tables_396100!B:C,2,FALSE)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VLOOKUP(L14,tables_396100!B:C,2,FALSE)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VLOOKUP(L15,tables_396100!B:C,2,FALSE)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VLOOKUP(L16,tables_396100!B:C,2,FALSE)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COUNTIF(tables_396100!C:C,input_396100!A17)-COUNTIF(Q:Q,A17)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VLOOKUP(L17,tables_396100!B:C,2,FALSE)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0.21839080459770116</v>
      </c>
      <c r="C18" s="85">
        <f t="shared" si="2"/>
        <v>0</v>
      </c>
      <c r="D18" s="74">
        <f t="shared" si="3"/>
        <v>0.21839080459770116</v>
      </c>
      <c r="E18">
        <f>COUNTIF(tables_396100!C:C,input_396100!A18)-COUNTIF(Q:Q,A18)</f>
        <v>20</v>
      </c>
      <c r="F18" s="43">
        <f>IFERROR(B18/E18,0)</f>
        <v>1.0919540229885057E-2</v>
      </c>
      <c r="G18">
        <f t="shared" si="4"/>
        <v>5700000</v>
      </c>
      <c r="H18">
        <f t="shared" si="5"/>
        <v>285000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VLOOKUP(L18,tables_396100!B:C,2,FALSE)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COUNTIF(tables_396100!C:C,input_396100!A19)-COUNTIF(Q:Q,A19)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VLOOKUP(L19,tables_396100!B:C,2,FALSE)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E$6*E20*B$6+E34</f>
        <v>0.54645019157088137</v>
      </c>
      <c r="C20" s="85">
        <f t="shared" si="2"/>
        <v>0</v>
      </c>
      <c r="D20" s="74">
        <f t="shared" si="3"/>
        <v>0.54645019157088137</v>
      </c>
      <c r="E20">
        <f>COUNTIF(tables_396100!C:C,input_396100!A20)-COUNTIF(Q:Q,A20)</f>
        <v>52</v>
      </c>
      <c r="F20" s="43">
        <f t="shared" si="8"/>
        <v>1.0508657530209258E-2</v>
      </c>
      <c r="G20">
        <f t="shared" si="4"/>
        <v>14262350.000000004</v>
      </c>
      <c r="H20">
        <f t="shared" si="5"/>
        <v>274275.96153999999</v>
      </c>
      <c r="I20">
        <f t="shared" si="6"/>
        <v>0.96153999998932704</v>
      </c>
      <c r="J20">
        <f t="shared" si="7"/>
        <v>1.0399983360142062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VLOOKUP(L20,tables_396100!B:C,2,FALSE)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8">
        <f>B7-B23-B26-B28-B29</f>
        <v>2.1365900383141765E-2</v>
      </c>
      <c r="C21" s="85">
        <f t="shared" si="2"/>
        <v>0</v>
      </c>
      <c r="D21" s="74">
        <f t="shared" si="3"/>
        <v>2.1365900383141765E-2</v>
      </c>
      <c r="E21">
        <f>COUNTIF(tables_396100!C:C,input_396100!A21)-COUNTIF(Q:Q,A21)</f>
        <v>52</v>
      </c>
      <c r="F21" s="43">
        <f t="shared" si="8"/>
        <v>4.1088269967580319E-4</v>
      </c>
      <c r="G21">
        <f t="shared" si="4"/>
        <v>557650.00000000012</v>
      </c>
      <c r="H21">
        <f t="shared" si="5"/>
        <v>10724.03846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0.11410919540229884</v>
      </c>
      <c r="C22" s="85">
        <f t="shared" si="2"/>
        <v>0</v>
      </c>
      <c r="D22" s="74">
        <f t="shared" si="3"/>
        <v>0.11410919540229884</v>
      </c>
      <c r="E22">
        <f>COUNTIF(tables_396100!C:C,input_396100!A22)-COUNTIF(Q:Q,A22)</f>
        <v>11</v>
      </c>
      <c r="F22" s="43">
        <f t="shared" si="8"/>
        <v>1.0373563218390804E-2</v>
      </c>
      <c r="G22">
        <f t="shared" si="4"/>
        <v>2978250</v>
      </c>
      <c r="H22">
        <f t="shared" si="5"/>
        <v>270750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6.0057471264367817E-3</v>
      </c>
      <c r="C23" s="85">
        <f t="shared" si="2"/>
        <v>0</v>
      </c>
      <c r="D23" s="74">
        <f t="shared" si="3"/>
        <v>6.0057471264367817E-3</v>
      </c>
      <c r="E23">
        <f>COUNTIF(tables_396100!C:C,input_396100!A23)-COUNTIF(Q:Q,A23)</f>
        <v>11</v>
      </c>
      <c r="F23" s="43">
        <f t="shared" si="8"/>
        <v>5.4597701149425293E-4</v>
      </c>
      <c r="G23">
        <f t="shared" si="4"/>
        <v>156750</v>
      </c>
      <c r="H23">
        <f t="shared" si="5"/>
        <v>14250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COUNTIF(tables_396100!C:C,input_396100!A24)-COUNTIF(Q:Q,A24)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4.1494252873563217E-2</v>
      </c>
      <c r="C25" s="85">
        <f t="shared" si="2"/>
        <v>0</v>
      </c>
      <c r="D25" s="74">
        <f t="shared" si="3"/>
        <v>4.1494252873563217E-2</v>
      </c>
      <c r="E25">
        <f>COUNTIF(tables_396100!C:C,input_396100!A25)-COUNTIF(Q:Q,A25)</f>
        <v>4</v>
      </c>
      <c r="F25" s="43">
        <f t="shared" si="8"/>
        <v>1.0373563218390804E-2</v>
      </c>
      <c r="G25">
        <f t="shared" si="4"/>
        <v>1083000</v>
      </c>
      <c r="H25">
        <f t="shared" si="5"/>
        <v>270750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2.1839080459770117E-3</v>
      </c>
      <c r="C26" s="85">
        <f t="shared" si="2"/>
        <v>0</v>
      </c>
      <c r="D26" s="74">
        <f t="shared" si="3"/>
        <v>2.1839080459770117E-3</v>
      </c>
      <c r="E26">
        <f>COUNTIF(tables_396100!C:C,input_396100!A26)-COUNTIF(Q:Q,A26)</f>
        <v>4</v>
      </c>
      <c r="F26" s="43">
        <f t="shared" si="8"/>
        <v>5.4597701149425293E-4</v>
      </c>
      <c r="G26">
        <f t="shared" si="4"/>
        <v>57000.000000000007</v>
      </c>
      <c r="H26">
        <f t="shared" si="5"/>
        <v>14250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2.9555555555555554E-2</v>
      </c>
      <c r="C27" s="85">
        <f t="shared" si="2"/>
        <v>0</v>
      </c>
      <c r="D27" s="74">
        <f t="shared" si="3"/>
        <v>2.9555555555555554E-2</v>
      </c>
      <c r="E27">
        <f>COUNTIF(tables_396100!C:C,input_396100!A27)-COUNTIF(Q:Q,A27)</f>
        <v>28</v>
      </c>
      <c r="F27" s="43">
        <f>IFERROR(B27/E27,0)</f>
        <v>1.0555555555555555E-3</v>
      </c>
      <c r="G27">
        <f t="shared" si="4"/>
        <v>771400</v>
      </c>
      <c r="H27">
        <f t="shared" si="5"/>
        <v>27550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1.5555555555555557E-3</v>
      </c>
      <c r="C28" s="85">
        <f t="shared" si="2"/>
        <v>0</v>
      </c>
      <c r="D28" s="74">
        <f t="shared" si="3"/>
        <v>1.5555555555555557E-3</v>
      </c>
      <c r="E28">
        <f>COUNTIF(tables_396100!C:C,input_396100!A28)-COUNTIF(Q:Q,A28)</f>
        <v>28</v>
      </c>
      <c r="F28" s="43">
        <f t="shared" si="8"/>
        <v>5.5555555555555558E-5</v>
      </c>
      <c r="G28">
        <f t="shared" si="4"/>
        <v>40600</v>
      </c>
      <c r="H28">
        <f t="shared" si="5"/>
        <v>1450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1.8888888888888889E-2</v>
      </c>
      <c r="C29" s="85">
        <f t="shared" si="2"/>
        <v>0</v>
      </c>
      <c r="D29" s="74">
        <f t="shared" si="3"/>
        <v>1.8888888888888889E-2</v>
      </c>
      <c r="E29">
        <f>COUNTIF(tables_396100!C:C,input_396100!A29)-COUNTIF(Q:Q,A29)</f>
        <v>17</v>
      </c>
      <c r="F29" s="43">
        <f t="shared" si="8"/>
        <v>1.1111111111111111E-3</v>
      </c>
      <c r="G29">
        <f t="shared" si="4"/>
        <v>493000</v>
      </c>
      <c r="H29">
        <f t="shared" si="5"/>
        <v>29000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COUNTIF(tables_396100!C:C,input_396100!A30)-COUNTIF(Q:Q,A30)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COUNTIF(tables_396100!C:C,input_396100!A31)-COUNTIF(Q:Q,A31)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7.0249042145595908E-3</v>
      </c>
    </row>
    <row r="35" spans="1:7" x14ac:dyDescent="0.15">
      <c r="A35" t="s">
        <v>73</v>
      </c>
    </row>
    <row r="36" spans="1:7" x14ac:dyDescent="0.15">
      <c r="A36" s="31">
        <f>LCM(F5-I5,F6-I6)*1000*2*2*5</f>
        <v>26100000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SUMIF(tables_396100!C:C,input_396100!A40,tables_396100!O:O)</f>
        <v>0</v>
      </c>
      <c r="C40" s="54">
        <f t="shared" ref="C40:C46" ca="1" si="9">B40/B$47</f>
        <v>0</v>
      </c>
      <c r="E40">
        <v>3</v>
      </c>
      <c r="F40">
        <f ca="1">SUMIF(tables_396100!J:J,input_396100!E40,tables_396100!O:O)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SUMIF(tables_396100!C:C,input_396100!A41,tables_396100!O:O)</f>
        <v>14262350.000080004</v>
      </c>
      <c r="C41" s="54">
        <f t="shared" ca="1" si="9"/>
        <v>0.91238165302456509</v>
      </c>
      <c r="E41">
        <v>4</v>
      </c>
      <c r="F41">
        <f ca="1">SUMIF(tables_396100!J:J,input_396100!E41,tables_396100!O:O)</f>
        <v>24795000.000079989</v>
      </c>
      <c r="G41">
        <f ca="1">F41/A36</f>
        <v>0.95000000000306473</v>
      </c>
    </row>
    <row r="42" spans="1:7" x14ac:dyDescent="0.15">
      <c r="A42" s="33" t="s">
        <v>106</v>
      </c>
      <c r="B42">
        <f ca="1">SUMIF(tables_396100!C:C,input_396100!A42,tables_396100!O:O)</f>
        <v>771400</v>
      </c>
      <c r="C42" s="54">
        <f t="shared" ca="1" si="9"/>
        <v>4.9347492323439088E-2</v>
      </c>
      <c r="E42">
        <v>5</v>
      </c>
      <c r="F42">
        <f ca="1">SUMIF(tables_396100!J:J,input_396100!E42,tables_396100!O:O)</f>
        <v>1304999.9999199999</v>
      </c>
      <c r="G42">
        <f ca="1">F42/A36</f>
        <v>4.9999999996934857E-2</v>
      </c>
    </row>
    <row r="43" spans="1:7" x14ac:dyDescent="0.15">
      <c r="A43" s="33" t="s">
        <v>109</v>
      </c>
      <c r="B43">
        <f>SUMIF(tables_396100!C:C,input_396100!A43,tables_396100!O:O)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SUMIF(tables_396100!C:C,input_396100!A44,tables_396100!O:O)</f>
        <v>557649.99992000021</v>
      </c>
      <c r="C44" s="54">
        <f t="shared" ca="1" si="9"/>
        <v>3.567361821392017E-2</v>
      </c>
      <c r="E44" t="s">
        <v>54</v>
      </c>
      <c r="F44" s="55"/>
    </row>
    <row r="45" spans="1:7" x14ac:dyDescent="0.15">
      <c r="A45" s="33" t="s">
        <v>107</v>
      </c>
      <c r="B45">
        <f ca="1">SUMIF(tables_396100!C:C,input_396100!A45,tables_396100!O:O)</f>
        <v>40600</v>
      </c>
      <c r="C45" s="54">
        <f t="shared" ca="1" si="9"/>
        <v>2.5972364380757416E-3</v>
      </c>
      <c r="E45" t="s">
        <v>204</v>
      </c>
      <c r="F45" s="55">
        <f ca="1">SUMIF(tables_396100!I:I,input_396100!E45,tables_396100!P:P)</f>
        <v>0.21839080459770119</v>
      </c>
    </row>
    <row r="46" spans="1:7" x14ac:dyDescent="0.15">
      <c r="A46" s="33" t="s">
        <v>108</v>
      </c>
      <c r="B46">
        <f>SUMIF(tables_396100!C:C,input_396100!A46,tables_396100!O:O)</f>
        <v>0</v>
      </c>
      <c r="C46" s="54">
        <f t="shared" ca="1" si="9"/>
        <v>0</v>
      </c>
      <c r="E46" t="s">
        <v>205</v>
      </c>
      <c r="F46" s="55">
        <f ca="1">SUMIF(tables_396100!I:I,input_396100!E46,tables_396100!P:P)</f>
        <v>0.21839080459770113</v>
      </c>
    </row>
    <row r="47" spans="1:7" x14ac:dyDescent="0.15">
      <c r="A47" s="39" t="s">
        <v>59</v>
      </c>
      <c r="B47">
        <f ca="1">SUM(B40:B46)</f>
        <v>15632000.000000004</v>
      </c>
      <c r="C47" s="55">
        <f ca="1">SUM(C40:C46)</f>
        <v>1</v>
      </c>
      <c r="E47" t="s">
        <v>206</v>
      </c>
      <c r="F47" s="55">
        <f ca="1">SUMIF(tables_396100!I:I,input_396100!E47,tables_396100!P:P)</f>
        <v>0.5132183908045973</v>
      </c>
    </row>
    <row r="48" spans="1:7" x14ac:dyDescent="0.15">
      <c r="E48" t="s">
        <v>207</v>
      </c>
      <c r="F48" s="55">
        <f ca="1">SUMIF(tables_396100!I:I,input_396100!E48,tables_396100!P:P)</f>
        <v>5.000000000000001E-2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4"/>
  <sheetViews>
    <sheetView showGridLines="0" zoomScale="75" zoomScaleNormal="75" zoomScalePageLayoutView="75" workbookViewId="0">
      <pane ySplit="1" topLeftCell="A295" activePane="bottomLeft" state="frozen"/>
      <selection activeCell="H276" sqref="H276"/>
      <selection pane="bottomLeft" activeCell="F316" sqref="F31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input_396100!A$2</f>
        <v>396100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IFERROR(VLOOKUP(B2,input_396100!L:R,7,FALSE),VLOOKUP(tables_396100!C2,input_396100!A:H,8,FALSE))</f>
        <v>0</v>
      </c>
      <c r="P2" s="46">
        <f t="shared" ref="P2:P65" ca="1" si="2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input_396100!A$2</f>
        <v>396100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IFERROR(VLOOKUP(B3,input_396100!L:R,7,FALSE),VLOOKUP(tables_396100!C3,input_396100!A:H,8,FALSE))</f>
        <v>285000</v>
      </c>
      <c r="P3" s="46">
        <f t="shared" ca="1" si="2"/>
        <v>1.0919540229885057E-2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input_396100!A$2</f>
        <v>396100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IFERROR(VLOOKUP(B4,input_396100!L:R,7,FALSE),VLOOKUP(tables_396100!C4,input_396100!A:H,8,FALSE))</f>
        <v>0</v>
      </c>
      <c r="P4" s="46">
        <f t="shared" ca="1" si="2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input_396100!A$2</f>
        <v>396100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IFERROR(VLOOKUP(B5,input_396100!L:R,7,FALSE),VLOOKUP(tables_396100!C5,input_396100!A:H,8,FALSE))</f>
        <v>285000</v>
      </c>
      <c r="P5" s="46">
        <f t="shared" ca="1" si="2"/>
        <v>1.0919540229885057E-2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input_396100!A$2</f>
        <v>396100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IFERROR(VLOOKUP(B6,input_396100!L:R,7,FALSE),VLOOKUP(tables_396100!C6,input_396100!A:H,8,FALSE))</f>
        <v>0</v>
      </c>
      <c r="P6" s="46">
        <f t="shared" ca="1" si="2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input_396100!A$2</f>
        <v>396100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IFERROR(VLOOKUP(B7,input_396100!L:R,7,FALSE),VLOOKUP(tables_396100!C7,input_396100!A:H,8,FALSE))</f>
        <v>285000</v>
      </c>
      <c r="P7" s="46">
        <f t="shared" ca="1" si="2"/>
        <v>1.0919540229885057E-2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input_396100!A$2</f>
        <v>396100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IFERROR(VLOOKUP(B8,input_396100!L:R,7,FALSE),VLOOKUP(tables_396100!C8,input_396100!A:H,8,FALSE))</f>
        <v>0</v>
      </c>
      <c r="P8" s="46">
        <f t="shared" ca="1" si="2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input_396100!A$2</f>
        <v>396100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IFERROR(VLOOKUP(B9,input_396100!L:R,7,FALSE),VLOOKUP(tables_396100!C9,input_396100!A:H,8,FALSE))</f>
        <v>285000</v>
      </c>
      <c r="P9" s="46">
        <f t="shared" ca="1" si="2"/>
        <v>1.0919540229885057E-2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input_396100!A$2</f>
        <v>396100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IFERROR(VLOOKUP(B10,input_396100!L:R,7,FALSE),VLOOKUP(tables_396100!C10,input_396100!A:H,8,FALSE))</f>
        <v>0</v>
      </c>
      <c r="P10" s="46">
        <f t="shared" ca="1" si="2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input_396100!A$2</f>
        <v>396100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IFERROR(VLOOKUP(B11,input_396100!L:R,7,FALSE),VLOOKUP(tables_396100!C11,input_396100!A:H,8,FALSE))</f>
        <v>285000</v>
      </c>
      <c r="P11" s="46">
        <f t="shared" ca="1" si="2"/>
        <v>1.0919540229885057E-2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input_396100!A$2</f>
        <v>396100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IFERROR(VLOOKUP(B12,input_396100!L:R,7,FALSE),VLOOKUP(tables_396100!C12,input_396100!A:H,8,FALSE))</f>
        <v>0</v>
      </c>
      <c r="P12" s="46">
        <f t="shared" ca="1" si="2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input_396100!A$2</f>
        <v>396100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IFERROR(VLOOKUP(B13,input_396100!L:R,7,FALSE),VLOOKUP(tables_396100!C13,input_396100!A:H,8,FALSE))</f>
        <v>285000</v>
      </c>
      <c r="P13" s="46">
        <f t="shared" ca="1" si="2"/>
        <v>1.0919540229885057E-2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input_396100!A$2</f>
        <v>396100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IFERROR(VLOOKUP(B14,input_396100!L:R,7,FALSE),VLOOKUP(tables_396100!C14,input_396100!A:H,8,FALSE))</f>
        <v>0</v>
      </c>
      <c r="P14" s="46">
        <f t="shared" ca="1" si="2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input_396100!A$2</f>
        <v>396100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IFERROR(VLOOKUP(B15,input_396100!L:R,7,FALSE),VLOOKUP(tables_396100!C15,input_396100!A:H,8,FALSE))</f>
        <v>285000</v>
      </c>
      <c r="P15" s="46">
        <f t="shared" ca="1" si="2"/>
        <v>1.0919540229885057E-2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input_396100!A$2</f>
        <v>396100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IFERROR(VLOOKUP(B16,input_396100!L:R,7,FALSE),VLOOKUP(tables_396100!C16,input_396100!A:H,8,FALSE))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input_396100!A$2</f>
        <v>396100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IFERROR(VLOOKUP(B17,input_396100!L:R,7,FALSE),VLOOKUP(tables_396100!C17,input_396100!A:H,8,FALSE))</f>
        <v>285000</v>
      </c>
      <c r="P17" s="46">
        <f t="shared" ca="1" si="2"/>
        <v>1.0919540229885057E-2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input_396100!A$2</f>
        <v>396100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IFERROR(VLOOKUP(B18,input_396100!L:R,7,FALSE),VLOOKUP(tables_396100!C18,input_396100!A:H,8,FALSE))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input_396100!A$2</f>
        <v>396100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IFERROR(VLOOKUP(B19,input_396100!L:R,7,FALSE),VLOOKUP(tables_396100!C19,input_396100!A:H,8,FALSE))</f>
        <v>285000</v>
      </c>
      <c r="P19" s="46">
        <f t="shared" ca="1" si="2"/>
        <v>1.0919540229885057E-2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input_396100!A$2</f>
        <v>396100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IFERROR(VLOOKUP(B20,input_396100!L:R,7,FALSE),VLOOKUP(tables_396100!C20,input_396100!A:H,8,FALSE))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input_396100!A$2</f>
        <v>396100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IFERROR(VLOOKUP(B21,input_396100!L:R,7,FALSE),VLOOKUP(tables_396100!C21,input_396100!A:H,8,FALSE))</f>
        <v>285000</v>
      </c>
      <c r="P21" s="46">
        <f t="shared" ca="1" si="2"/>
        <v>1.0919540229885057E-2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input_396100!A$2</f>
        <v>396100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IFERROR(VLOOKUP(B22,input_396100!L:R,7,FALSE),VLOOKUP(tables_396100!C22,input_396100!A:H,8,FALSE))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input_396100!A$2</f>
        <v>396100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IFERROR(VLOOKUP(B23,input_396100!L:R,7,FALSE),VLOOKUP(tables_396100!C23,input_396100!A:H,8,FALSE))</f>
        <v>285000</v>
      </c>
      <c r="P23" s="46">
        <f t="shared" ca="1" si="2"/>
        <v>1.0919540229885057E-2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input_396100!A$2</f>
        <v>396100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IFERROR(VLOOKUP(B24,input_396100!L:R,7,FALSE),VLOOKUP(tables_396100!C24,input_396100!A:H,8,FALSE))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input_396100!A$2</f>
        <v>396100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IFERROR(VLOOKUP(B25,input_396100!L:R,7,FALSE),VLOOKUP(tables_396100!C25,input_396100!A:H,8,FALSE))</f>
        <v>285000</v>
      </c>
      <c r="P25" s="46">
        <f t="shared" ca="1" si="2"/>
        <v>1.0919540229885057E-2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input_396100!A$2</f>
        <v>396100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IFERROR(VLOOKUP(B26,input_396100!L:R,7,FALSE),VLOOKUP(tables_396100!C26,input_396100!A:H,8,FALSE))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input_396100!A$2</f>
        <v>396100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IFERROR(VLOOKUP(B27,input_396100!L:R,7,FALSE),VLOOKUP(tables_396100!C27,input_396100!A:H,8,FALSE))</f>
        <v>285000</v>
      </c>
      <c r="P27" s="46">
        <f t="shared" ca="1" si="2"/>
        <v>1.0919540229885057E-2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input_396100!A$2</f>
        <v>396100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IFERROR(VLOOKUP(B28,input_396100!L:R,7,FALSE),VLOOKUP(tables_396100!C28,input_396100!A:H,8,FALSE))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input_396100!A$2</f>
        <v>396100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IFERROR(VLOOKUP(B29,input_396100!L:R,7,FALSE),VLOOKUP(tables_396100!C29,input_396100!A:H,8,FALSE))</f>
        <v>285000</v>
      </c>
      <c r="P29" s="46">
        <f t="shared" ca="1" si="2"/>
        <v>1.0919540229885057E-2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input_396100!A$2</f>
        <v>396100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IFERROR(VLOOKUP(B30,input_396100!L:R,7,FALSE),VLOOKUP(tables_396100!C30,input_396100!A:H,8,FALSE))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input_396100!A$2</f>
        <v>396100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IFERROR(VLOOKUP(B31,input_396100!L:R,7,FALSE),VLOOKUP(tables_396100!C31,input_396100!A:H,8,FALSE))</f>
        <v>285000</v>
      </c>
      <c r="P31" s="46">
        <f t="shared" ca="1" si="2"/>
        <v>1.0919540229885057E-2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input_396100!A$2</f>
        <v>396100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IFERROR(VLOOKUP(B32,input_396100!L:R,7,FALSE),VLOOKUP(tables_396100!C32,input_396100!A:H,8,FALSE))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input_396100!A$2</f>
        <v>396100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IFERROR(VLOOKUP(B33,input_396100!L:R,7,FALSE),VLOOKUP(tables_396100!C33,input_396100!A:H,8,FALSE))</f>
        <v>285000</v>
      </c>
      <c r="P33" s="46">
        <f t="shared" ca="1" si="2"/>
        <v>1.0919540229885057E-2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input_396100!A$2</f>
        <v>396100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IFERROR(VLOOKUP(B34,input_396100!L:R,7,FALSE),VLOOKUP(tables_396100!C34,input_396100!A:H,8,FALSE))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input_396100!A$2</f>
        <v>396100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IFERROR(VLOOKUP(B35,input_396100!L:R,7,FALSE),VLOOKUP(tables_396100!C35,input_396100!A:H,8,FALSE))</f>
        <v>285000</v>
      </c>
      <c r="P35" s="46">
        <f t="shared" ca="1" si="2"/>
        <v>1.0919540229885057E-2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input_396100!A$2</f>
        <v>396100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IFERROR(VLOOKUP(B36,input_396100!L:R,7,FALSE),VLOOKUP(tables_396100!C36,input_396100!A:H,8,FALSE))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input_396100!A$2</f>
        <v>396100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IFERROR(VLOOKUP(B37,input_396100!L:R,7,FALSE),VLOOKUP(tables_396100!C37,input_396100!A:H,8,FALSE))</f>
        <v>285000</v>
      </c>
      <c r="P37" s="46">
        <f t="shared" ca="1" si="2"/>
        <v>1.0919540229885057E-2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input_396100!A$2</f>
        <v>396100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IFERROR(VLOOKUP(B38,input_396100!L:R,7,FALSE),VLOOKUP(tables_396100!C38,input_396100!A:H,8,FALSE))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input_396100!A$2</f>
        <v>396100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IFERROR(VLOOKUP(B39,input_396100!L:R,7,FALSE),VLOOKUP(tables_396100!C39,input_396100!A:H,8,FALSE))</f>
        <v>285000</v>
      </c>
      <c r="P39" s="46">
        <f t="shared" ca="1" si="2"/>
        <v>1.0919540229885057E-2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input_396100!A$2</f>
        <v>396100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IFERROR(VLOOKUP(B40,input_396100!L:R,7,FALSE),VLOOKUP(tables_396100!C40,input_396100!A:H,8,FALSE))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input_396100!A$2</f>
        <v>396100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IFERROR(VLOOKUP(B41,input_396100!L:R,7,FALSE),VLOOKUP(tables_396100!C41,input_396100!A:H,8,FALSE))</f>
        <v>285000</v>
      </c>
      <c r="P41" s="46">
        <f t="shared" ca="1" si="2"/>
        <v>1.0919540229885057E-2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input_396100!A$2</f>
        <v>396100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IFERROR(VLOOKUP(B42,input_396100!L:R,7,FALSE),VLOOKUP(tables_396100!C42,input_396100!A:H,8,FALSE))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input_396100!A$2</f>
        <v>396100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IFERROR(VLOOKUP(B43,input_396100!L:R,7,FALSE),VLOOKUP(tables_396100!C43,input_396100!A:H,8,FALSE))</f>
        <v>270750</v>
      </c>
      <c r="P43" s="46">
        <f t="shared" ca="1" si="2"/>
        <v>1.0373563218390804E-2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input_396100!A$2</f>
        <v>396100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IFERROR(VLOOKUP(B44,input_396100!L:R,7,FALSE),VLOOKUP(tables_396100!C44,input_396100!A:H,8,FALSE))</f>
        <v>14250</v>
      </c>
      <c r="P44" s="46">
        <f t="shared" ca="1" si="2"/>
        <v>5.4597701149425282E-4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input_396100!A$2</f>
        <v>396100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IFERROR(VLOOKUP(B45,input_396100!L:R,7,FALSE),VLOOKUP(tables_396100!C45,input_396100!A:H,8,FALSE))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input_396100!A$2</f>
        <v>396100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IFERROR(VLOOKUP(B46,input_396100!L:R,7,FALSE),VLOOKUP(tables_396100!C46,input_396100!A:H,8,FALSE))</f>
        <v>270750</v>
      </c>
      <c r="P46" s="46">
        <f t="shared" ca="1" si="2"/>
        <v>1.0373563218390804E-2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input_396100!A$2</f>
        <v>396100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IFERROR(VLOOKUP(B47,input_396100!L:R,7,FALSE),VLOOKUP(tables_396100!C47,input_396100!A:H,8,FALSE))</f>
        <v>14250</v>
      </c>
      <c r="P47" s="46">
        <f t="shared" ca="1" si="2"/>
        <v>5.4597701149425282E-4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input_396100!A$2</f>
        <v>396100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IFERROR(VLOOKUP(B48,input_396100!L:R,7,FALSE),VLOOKUP(tables_396100!C48,input_396100!A:H,8,FALSE))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input_396100!A$2</f>
        <v>396100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IFERROR(VLOOKUP(B49,input_396100!L:R,7,FALSE),VLOOKUP(tables_396100!C49,input_396100!A:H,8,FALSE))</f>
        <v>270750</v>
      </c>
      <c r="P49" s="46">
        <f t="shared" ca="1" si="2"/>
        <v>1.0373563218390804E-2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input_396100!A$2</f>
        <v>396100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IFERROR(VLOOKUP(B50,input_396100!L:R,7,FALSE),VLOOKUP(tables_396100!C50,input_396100!A:H,8,FALSE))</f>
        <v>14250</v>
      </c>
      <c r="P50" s="46">
        <f t="shared" ca="1" si="2"/>
        <v>5.4597701149425282E-4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input_396100!A$2</f>
        <v>396100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IFERROR(VLOOKUP(B51,input_396100!L:R,7,FALSE),VLOOKUP(tables_396100!C51,input_396100!A:H,8,FALSE))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input_396100!A$2</f>
        <v>396100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IFERROR(VLOOKUP(B52,input_396100!L:R,7,FALSE),VLOOKUP(tables_396100!C52,input_396100!A:H,8,FALSE))</f>
        <v>274275.96153999999</v>
      </c>
      <c r="P52" s="46">
        <f t="shared" ca="1" si="2"/>
        <v>1.0508657530268199E-2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input_396100!A$2</f>
        <v>396100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IFERROR(VLOOKUP(B53,input_396100!L:R,7,FALSE),VLOOKUP(tables_396100!C53,input_396100!A:H,8,FALSE))</f>
        <v>10724.03846</v>
      </c>
      <c r="P53" s="46">
        <f t="shared" ca="1" si="2"/>
        <v>4.1088269961685821E-4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input_396100!A$2</f>
        <v>396100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IFERROR(VLOOKUP(B54,input_396100!L:R,7,FALSE),VLOOKUP(tables_396100!C54,input_396100!A:H,8,FALSE))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input_396100!A$2</f>
        <v>396100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IFERROR(VLOOKUP(B55,input_396100!L:R,7,FALSE),VLOOKUP(tables_396100!C55,input_396100!A:H,8,FALSE))</f>
        <v>274275.96153999999</v>
      </c>
      <c r="P55" s="46">
        <f t="shared" ca="1" si="2"/>
        <v>1.0508657530268199E-2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input_396100!A$2</f>
        <v>396100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IFERROR(VLOOKUP(B56,input_396100!L:R,7,FALSE),VLOOKUP(tables_396100!C56,input_396100!A:H,8,FALSE))</f>
        <v>10724.03846</v>
      </c>
      <c r="P56" s="46">
        <f t="shared" ca="1" si="2"/>
        <v>4.1088269961685821E-4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input_396100!A$2</f>
        <v>396100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IFERROR(VLOOKUP(B57,input_396100!L:R,7,FALSE),VLOOKUP(tables_396100!C57,input_396100!A:H,8,FALSE))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input_396100!A$2</f>
        <v>396100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IFERROR(VLOOKUP(B58,input_396100!L:R,7,FALSE),VLOOKUP(tables_396100!C58,input_396100!A:H,8,FALSE))</f>
        <v>274275.96153999999</v>
      </c>
      <c r="P58" s="46">
        <f t="shared" ca="1" si="2"/>
        <v>1.0508657530268199E-2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input_396100!A$2</f>
        <v>396100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IFERROR(VLOOKUP(B59,input_396100!L:R,7,FALSE),VLOOKUP(tables_396100!C59,input_396100!A:H,8,FALSE))</f>
        <v>10724.03846</v>
      </c>
      <c r="P59" s="46">
        <f t="shared" ca="1" si="2"/>
        <v>4.1088269961685821E-4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input_396100!A$2</f>
        <v>396100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IFERROR(VLOOKUP(B60,input_396100!L:R,7,FALSE),VLOOKUP(tables_396100!C60,input_396100!A:H,8,FALSE))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input_396100!A$2</f>
        <v>396100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IFERROR(VLOOKUP(B61,input_396100!L:R,7,FALSE),VLOOKUP(tables_396100!C61,input_396100!A:H,8,FALSE))</f>
        <v>274275.96153999999</v>
      </c>
      <c r="P61" s="46">
        <f t="shared" ca="1" si="2"/>
        <v>1.0508657530268199E-2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input_396100!A$2</f>
        <v>396100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IFERROR(VLOOKUP(B62,input_396100!L:R,7,FALSE),VLOOKUP(tables_396100!C62,input_396100!A:H,8,FALSE))</f>
        <v>10724.03846</v>
      </c>
      <c r="P62" s="46">
        <f t="shared" ca="1" si="2"/>
        <v>4.1088269961685821E-4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input_396100!A$2</f>
        <v>396100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IFERROR(VLOOKUP(B63,input_396100!L:R,7,FALSE),VLOOKUP(tables_396100!C63,input_396100!A:H,8,FALSE))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input_396100!A$2</f>
        <v>396100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IFERROR(VLOOKUP(B64,input_396100!L:R,7,FALSE),VLOOKUP(tables_396100!C64,input_396100!A:H,8,FALSE))</f>
        <v>274275.96153999999</v>
      </c>
      <c r="P64" s="46">
        <f t="shared" ca="1" si="2"/>
        <v>1.0508657530268199E-2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input_396100!A$2</f>
        <v>396100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IFERROR(VLOOKUP(B65,input_396100!L:R,7,FALSE),VLOOKUP(tables_396100!C65,input_396100!A:H,8,FALSE))</f>
        <v>10724.03846</v>
      </c>
      <c r="P65" s="46">
        <f t="shared" ca="1" si="2"/>
        <v>4.1088269961685821E-4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input_396100!A$2</f>
        <v>396100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IFERROR(VLOOKUP(B66,input_396100!L:R,7,FALSE),VLOOKUP(tables_396100!C66,input_396100!A:H,8,FALSE))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input_396100!A$2</f>
        <v>396100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IFERROR(VLOOKUP(B67,input_396100!L:R,7,FALSE),VLOOKUP(tables_396100!C67,input_396100!A:H,8,FALSE))</f>
        <v>274275.96153999999</v>
      </c>
      <c r="P67" s="46">
        <f t="shared" ca="1" si="5"/>
        <v>1.0508657530268199E-2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input_396100!A$2</f>
        <v>396100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IFERROR(VLOOKUP(B68,input_396100!L:R,7,FALSE),VLOOKUP(tables_396100!C68,input_396100!A:H,8,FALSE))</f>
        <v>10724.03846</v>
      </c>
      <c r="P68" s="46">
        <f t="shared" ca="1" si="5"/>
        <v>4.1088269961685821E-4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input_396100!A$2</f>
        <v>396100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IFERROR(VLOOKUP(B69,input_396100!L:R,7,FALSE),VLOOKUP(tables_396100!C69,input_396100!A:H,8,FALSE))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input_396100!A$2</f>
        <v>396100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IFERROR(VLOOKUP(B70,input_396100!L:R,7,FALSE),VLOOKUP(tables_396100!C70,input_396100!A:H,8,FALSE))</f>
        <v>274275.96153999999</v>
      </c>
      <c r="P70" s="46">
        <f t="shared" ca="1" si="5"/>
        <v>1.0508657530268199E-2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input_396100!A$2</f>
        <v>396100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IFERROR(VLOOKUP(B71,input_396100!L:R,7,FALSE),VLOOKUP(tables_396100!C71,input_396100!A:H,8,FALSE))</f>
        <v>10724.03846</v>
      </c>
      <c r="P71" s="46">
        <f t="shared" ca="1" si="5"/>
        <v>4.1088269961685821E-4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input_396100!A$2</f>
        <v>396100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IFERROR(VLOOKUP(B72,input_396100!L:R,7,FALSE),VLOOKUP(tables_396100!C72,input_396100!A:H,8,FALSE))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input_396100!A$2</f>
        <v>396100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IFERROR(VLOOKUP(B73,input_396100!L:R,7,FALSE),VLOOKUP(tables_396100!C73,input_396100!A:H,8,FALSE))</f>
        <v>274275.96153999999</v>
      </c>
      <c r="P73" s="46">
        <f t="shared" ca="1" si="5"/>
        <v>1.0508657530268199E-2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input_396100!A$2</f>
        <v>396100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IFERROR(VLOOKUP(B74,input_396100!L:R,7,FALSE),VLOOKUP(tables_396100!C74,input_396100!A:H,8,FALSE))</f>
        <v>10724.03846</v>
      </c>
      <c r="P74" s="46">
        <f t="shared" ca="1" si="5"/>
        <v>4.1088269961685821E-4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input_396100!A$2</f>
        <v>396100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IFERROR(VLOOKUP(B75,input_396100!L:R,7,FALSE),VLOOKUP(tables_396100!C75,input_396100!A:H,8,FALSE))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input_396100!A$2</f>
        <v>396100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IFERROR(VLOOKUP(B76,input_396100!L:R,7,FALSE),VLOOKUP(tables_396100!C76,input_396100!A:H,8,FALSE))</f>
        <v>274275.96153999999</v>
      </c>
      <c r="P76" s="46">
        <f t="shared" ca="1" si="5"/>
        <v>1.0508657530268199E-2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input_396100!A$2</f>
        <v>396100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IFERROR(VLOOKUP(B77,input_396100!L:R,7,FALSE),VLOOKUP(tables_396100!C77,input_396100!A:H,8,FALSE))</f>
        <v>10724.03846</v>
      </c>
      <c r="P77" s="46">
        <f t="shared" ca="1" si="5"/>
        <v>4.1088269961685821E-4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input_396100!A$2</f>
        <v>396100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IFERROR(VLOOKUP(B78,input_396100!L:R,7,FALSE),VLOOKUP(tables_396100!C78,input_396100!A:H,8,FALSE))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input_396100!A$2</f>
        <v>396100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IFERROR(VLOOKUP(B79,input_396100!L:R,7,FALSE),VLOOKUP(tables_396100!C79,input_396100!A:H,8,FALSE))</f>
        <v>274275.96153999999</v>
      </c>
      <c r="P79" s="46">
        <f t="shared" ca="1" si="5"/>
        <v>1.0508657530268199E-2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input_396100!A$2</f>
        <v>396100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IFERROR(VLOOKUP(B80,input_396100!L:R,7,FALSE),VLOOKUP(tables_396100!C80,input_396100!A:H,8,FALSE))</f>
        <v>10724.03846</v>
      </c>
      <c r="P80" s="46">
        <f t="shared" ca="1" si="5"/>
        <v>4.1088269961685821E-4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input_396100!A$2</f>
        <v>396100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IFERROR(VLOOKUP(B81,input_396100!L:R,7,FALSE),VLOOKUP(tables_396100!C81,input_396100!A:H,8,FALSE))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input_396100!A$2</f>
        <v>396100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IFERROR(VLOOKUP(B82,input_396100!L:R,7,FALSE),VLOOKUP(tables_396100!C82,input_396100!A:H,8,FALSE))</f>
        <v>274275.96153999999</v>
      </c>
      <c r="P82" s="46">
        <f t="shared" ca="1" si="5"/>
        <v>1.0508657530268199E-2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input_396100!A$2</f>
        <v>396100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IFERROR(VLOOKUP(B83,input_396100!L:R,7,FALSE),VLOOKUP(tables_396100!C83,input_396100!A:H,8,FALSE))</f>
        <v>10724.03846</v>
      </c>
      <c r="P83" s="46">
        <f t="shared" ca="1" si="5"/>
        <v>4.1088269961685821E-4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input_396100!A$2</f>
        <v>396100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IFERROR(VLOOKUP(B84,input_396100!L:R,7,FALSE),VLOOKUP(tables_396100!C84,input_396100!A:H,8,FALSE))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input_396100!A$2</f>
        <v>396100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IFERROR(VLOOKUP(B85,input_396100!L:R,7,FALSE),VLOOKUP(tables_396100!C85,input_396100!A:H,8,FALSE))</f>
        <v>274275.96153999999</v>
      </c>
      <c r="P85" s="46">
        <f t="shared" ca="1" si="5"/>
        <v>1.0508657530268199E-2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input_396100!A$2</f>
        <v>396100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IFERROR(VLOOKUP(B86,input_396100!L:R,7,FALSE),VLOOKUP(tables_396100!C86,input_396100!A:H,8,FALSE))</f>
        <v>10724.03846</v>
      </c>
      <c r="P86" s="46">
        <f t="shared" ca="1" si="5"/>
        <v>4.1088269961685821E-4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input_396100!A$2</f>
        <v>396100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IFERROR(VLOOKUP(B87,input_396100!L:R,7,FALSE),VLOOKUP(tables_396100!C87,input_396100!A:H,8,FALSE))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input_396100!A$2</f>
        <v>396100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IFERROR(VLOOKUP(B88,input_396100!L:R,7,FALSE),VLOOKUP(tables_396100!C88,input_396100!A:H,8,FALSE))</f>
        <v>274275.96153999999</v>
      </c>
      <c r="P88" s="46">
        <f t="shared" ca="1" si="5"/>
        <v>1.0508657530268199E-2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input_396100!A$2</f>
        <v>396100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IFERROR(VLOOKUP(B89,input_396100!L:R,7,FALSE),VLOOKUP(tables_396100!C89,input_396100!A:H,8,FALSE))</f>
        <v>10724.03846</v>
      </c>
      <c r="P89" s="46">
        <f t="shared" ca="1" si="5"/>
        <v>4.1088269961685821E-4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input_396100!A$2</f>
        <v>396100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IFERROR(VLOOKUP(B90,input_396100!L:R,7,FALSE),VLOOKUP(tables_396100!C90,input_396100!A:H,8,FALSE))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input_396100!A$2</f>
        <v>396100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IFERROR(VLOOKUP(B91,input_396100!L:R,7,FALSE),VLOOKUP(tables_396100!C91,input_396100!A:H,8,FALSE))</f>
        <v>274275.96153999999</v>
      </c>
      <c r="P91" s="46">
        <f t="shared" ca="1" si="5"/>
        <v>1.0508657530268199E-2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input_396100!A$2</f>
        <v>396100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IFERROR(VLOOKUP(B92,input_396100!L:R,7,FALSE),VLOOKUP(tables_396100!C92,input_396100!A:H,8,FALSE))</f>
        <v>10724.03846</v>
      </c>
      <c r="P92" s="46">
        <f t="shared" ca="1" si="5"/>
        <v>4.1088269961685821E-4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input_396100!A$2</f>
        <v>396100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IFERROR(VLOOKUP(B93,input_396100!L:R,7,FALSE),VLOOKUP(tables_396100!C93,input_396100!A:H,8,FALSE))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input_396100!A$2</f>
        <v>396100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IFERROR(VLOOKUP(B94,input_396100!L:R,7,FALSE),VLOOKUP(tables_396100!C94,input_396100!A:H,8,FALSE))</f>
        <v>274275.96153999999</v>
      </c>
      <c r="P94" s="46">
        <f t="shared" ca="1" si="5"/>
        <v>1.0508657530268199E-2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input_396100!A$2</f>
        <v>396100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IFERROR(VLOOKUP(B95,input_396100!L:R,7,FALSE),VLOOKUP(tables_396100!C95,input_396100!A:H,8,FALSE))</f>
        <v>10724.03846</v>
      </c>
      <c r="P95" s="46">
        <f t="shared" ca="1" si="5"/>
        <v>4.1088269961685821E-4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input_396100!A$2</f>
        <v>396100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IFERROR(VLOOKUP(B96,input_396100!L:R,7,FALSE),VLOOKUP(tables_396100!C96,input_396100!A:H,8,FALSE))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input_396100!A$2</f>
        <v>396100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IFERROR(VLOOKUP(B97,input_396100!L:R,7,FALSE),VLOOKUP(tables_396100!C97,input_396100!A:H,8,FALSE))</f>
        <v>274275.96153999999</v>
      </c>
      <c r="P97" s="46">
        <f t="shared" ca="1" si="5"/>
        <v>1.0508657530268199E-2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input_396100!A$2</f>
        <v>396100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IFERROR(VLOOKUP(B98,input_396100!L:R,7,FALSE),VLOOKUP(tables_396100!C98,input_396100!A:H,8,FALSE))</f>
        <v>10724.03846</v>
      </c>
      <c r="P98" s="46">
        <f t="shared" ca="1" si="5"/>
        <v>4.1088269961685821E-4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input_396100!A$2</f>
        <v>396100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IFERROR(VLOOKUP(B99,input_396100!L:R,7,FALSE),VLOOKUP(tables_396100!C99,input_396100!A:H,8,FALSE))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input_396100!A$2</f>
        <v>396100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IFERROR(VLOOKUP(B100,input_396100!L:R,7,FALSE),VLOOKUP(tables_396100!C100,input_396100!A:H,8,FALSE))</f>
        <v>274275.96153999999</v>
      </c>
      <c r="P100" s="46">
        <f t="shared" ca="1" si="5"/>
        <v>1.0508657530268199E-2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input_396100!A$2</f>
        <v>396100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IFERROR(VLOOKUP(B101,input_396100!L:R,7,FALSE),VLOOKUP(tables_396100!C101,input_396100!A:H,8,FALSE))</f>
        <v>10724.03846</v>
      </c>
      <c r="P101" s="46">
        <f t="shared" ca="1" si="5"/>
        <v>4.1088269961685821E-4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input_396100!A$2</f>
        <v>396100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IFERROR(VLOOKUP(B102,input_396100!L:R,7,FALSE),VLOOKUP(tables_396100!C102,input_396100!A:H,8,FALSE))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input_396100!A$2</f>
        <v>396100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IFERROR(VLOOKUP(B103,input_396100!L:R,7,FALSE),VLOOKUP(tables_396100!C103,input_396100!A:H,8,FALSE))</f>
        <v>274275.96153999999</v>
      </c>
      <c r="P103" s="46">
        <f t="shared" ca="1" si="5"/>
        <v>1.0508657530268199E-2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input_396100!A$2</f>
        <v>396100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IFERROR(VLOOKUP(B104,input_396100!L:R,7,FALSE),VLOOKUP(tables_396100!C104,input_396100!A:H,8,FALSE))</f>
        <v>10724.03846</v>
      </c>
      <c r="P104" s="46">
        <f t="shared" ca="1" si="5"/>
        <v>4.1088269961685821E-4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input_396100!A$2</f>
        <v>396100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IFERROR(VLOOKUP(B105,input_396100!L:R,7,FALSE),VLOOKUP(tables_396100!C105,input_396100!A:H,8,FALSE))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input_396100!A$2</f>
        <v>396100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IFERROR(VLOOKUP(B106,input_396100!L:R,7,FALSE),VLOOKUP(tables_396100!C106,input_396100!A:H,8,FALSE))</f>
        <v>274275.96153999999</v>
      </c>
      <c r="P106" s="46">
        <f t="shared" ca="1" si="5"/>
        <v>1.0508657530268199E-2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input_396100!A$2</f>
        <v>396100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IFERROR(VLOOKUP(B107,input_396100!L:R,7,FALSE),VLOOKUP(tables_396100!C107,input_396100!A:H,8,FALSE))</f>
        <v>10724.03846</v>
      </c>
      <c r="P107" s="46">
        <f t="shared" ca="1" si="5"/>
        <v>4.1088269961685821E-4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input_396100!A$2</f>
        <v>396100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IFERROR(VLOOKUP(B108,input_396100!L:R,7,FALSE),VLOOKUP(tables_396100!C108,input_396100!A:H,8,FALSE))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input_396100!A$2</f>
        <v>396100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IFERROR(VLOOKUP(B109,input_396100!L:R,7,FALSE),VLOOKUP(tables_396100!C109,input_396100!A:H,8,FALSE))</f>
        <v>274275.96153999999</v>
      </c>
      <c r="P109" s="46">
        <f t="shared" ca="1" si="5"/>
        <v>1.0508657530268199E-2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input_396100!A$2</f>
        <v>396100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IFERROR(VLOOKUP(B110,input_396100!L:R,7,FALSE),VLOOKUP(tables_396100!C110,input_396100!A:H,8,FALSE))</f>
        <v>10724.03846</v>
      </c>
      <c r="P110" s="46">
        <f t="shared" ca="1" si="5"/>
        <v>4.1088269961685821E-4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input_396100!A$2</f>
        <v>396100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IFERROR(VLOOKUP(B111,input_396100!L:R,7,FALSE),VLOOKUP(tables_396100!C111,input_396100!A:H,8,FALSE))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input_396100!A$2</f>
        <v>396100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IFERROR(VLOOKUP(B112,input_396100!L:R,7,FALSE),VLOOKUP(tables_396100!C112,input_396100!A:H,8,FALSE))</f>
        <v>270750</v>
      </c>
      <c r="P112" s="46">
        <f t="shared" ca="1" si="5"/>
        <v>1.0373563218390804E-2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input_396100!A$2</f>
        <v>396100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IFERROR(VLOOKUP(B113,input_396100!L:R,7,FALSE),VLOOKUP(tables_396100!C113,input_396100!A:H,8,FALSE))</f>
        <v>14250</v>
      </c>
      <c r="P113" s="46">
        <f t="shared" ca="1" si="5"/>
        <v>5.4597701149425282E-4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input_396100!A$2</f>
        <v>396100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IFERROR(VLOOKUP(B114,input_396100!L:R,7,FALSE),VLOOKUP(tables_396100!C114,input_396100!A:H,8,FALSE))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input_396100!A$2</f>
        <v>396100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IFERROR(VLOOKUP(B115,input_396100!L:R,7,FALSE),VLOOKUP(tables_396100!C115,input_396100!A:H,8,FALSE))</f>
        <v>274275.96153999999</v>
      </c>
      <c r="P115" s="46">
        <f t="shared" ca="1" si="5"/>
        <v>1.0508657530268199E-2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input_396100!A$2</f>
        <v>396100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IFERROR(VLOOKUP(B116,input_396100!L:R,7,FALSE),VLOOKUP(tables_396100!C116,input_396100!A:H,8,FALSE))</f>
        <v>10724.03846</v>
      </c>
      <c r="P116" s="46">
        <f t="shared" ca="1" si="5"/>
        <v>4.1088269961685821E-4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input_396100!A$2</f>
        <v>396100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IFERROR(VLOOKUP(B117,input_396100!L:R,7,FALSE),VLOOKUP(tables_396100!C117,input_396100!A:H,8,FALSE))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input_396100!A$2</f>
        <v>396100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IFERROR(VLOOKUP(B118,input_396100!L:R,7,FALSE),VLOOKUP(tables_396100!C118,input_396100!A:H,8,FALSE))</f>
        <v>274275.96153999999</v>
      </c>
      <c r="P118" s="46">
        <f t="shared" ca="1" si="5"/>
        <v>1.0508657530268199E-2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input_396100!A$2</f>
        <v>396100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IFERROR(VLOOKUP(B119,input_396100!L:R,7,FALSE),VLOOKUP(tables_396100!C119,input_396100!A:H,8,FALSE))</f>
        <v>10724.03846</v>
      </c>
      <c r="P119" s="46">
        <f t="shared" ca="1" si="5"/>
        <v>4.1088269961685821E-4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input_396100!A$2</f>
        <v>396100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IFERROR(VLOOKUP(B120,input_396100!L:R,7,FALSE),VLOOKUP(tables_396100!C120,input_396100!A:H,8,FALSE))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input_396100!A$2</f>
        <v>396100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IFERROR(VLOOKUP(B121,input_396100!L:R,7,FALSE),VLOOKUP(tables_396100!C121,input_396100!A:H,8,FALSE))</f>
        <v>274275.96153999999</v>
      </c>
      <c r="P121" s="46">
        <f t="shared" ca="1" si="5"/>
        <v>1.0508657530268199E-2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input_396100!A$2</f>
        <v>396100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IFERROR(VLOOKUP(B122,input_396100!L:R,7,FALSE),VLOOKUP(tables_396100!C122,input_396100!A:H,8,FALSE))</f>
        <v>10724.03846</v>
      </c>
      <c r="P122" s="46">
        <f t="shared" ca="1" si="5"/>
        <v>4.1088269961685821E-4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input_396100!A$2</f>
        <v>396100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IFERROR(VLOOKUP(B123,input_396100!L:R,7,FALSE),VLOOKUP(tables_396100!C123,input_396100!A:H,8,FALSE))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input_396100!A$2</f>
        <v>396100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IFERROR(VLOOKUP(B124,input_396100!L:R,7,FALSE),VLOOKUP(tables_396100!C124,input_396100!A:H,8,FALSE))</f>
        <v>274275.96153999999</v>
      </c>
      <c r="P124" s="46">
        <f t="shared" ca="1" si="5"/>
        <v>1.0508657530268199E-2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input_396100!A$2</f>
        <v>396100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IFERROR(VLOOKUP(B125,input_396100!L:R,7,FALSE),VLOOKUP(tables_396100!C125,input_396100!A:H,8,FALSE))</f>
        <v>10724.03846</v>
      </c>
      <c r="P125" s="46">
        <f t="shared" ca="1" si="5"/>
        <v>4.1088269961685821E-4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input_396100!A$2</f>
        <v>396100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IFERROR(VLOOKUP(B126,input_396100!L:R,7,FALSE),VLOOKUP(tables_396100!C126,input_396100!A:H,8,FALSE))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input_396100!A$2</f>
        <v>396100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IFERROR(VLOOKUP(B127,input_396100!L:R,7,FALSE),VLOOKUP(tables_396100!C127,input_396100!A:H,8,FALSE))</f>
        <v>274275.96153999999</v>
      </c>
      <c r="P127" s="46">
        <f t="shared" ca="1" si="5"/>
        <v>1.0508657530268199E-2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input_396100!A$2</f>
        <v>396100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IFERROR(VLOOKUP(B128,input_396100!L:R,7,FALSE),VLOOKUP(tables_396100!C128,input_396100!A:H,8,FALSE))</f>
        <v>10724.03846</v>
      </c>
      <c r="P128" s="46">
        <f t="shared" ca="1" si="5"/>
        <v>4.1088269961685821E-4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input_396100!A$2</f>
        <v>396100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IFERROR(VLOOKUP(B129,input_396100!L:R,7,FALSE),VLOOKUP(tables_396100!C129,input_396100!A:H,8,FALSE))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input_396100!A$2</f>
        <v>396100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IFERROR(VLOOKUP(B130,input_396100!L:R,7,FALSE),VLOOKUP(tables_396100!C130,input_396100!A:H,8,FALSE))</f>
        <v>274275.96153999999</v>
      </c>
      <c r="P130" s="46">
        <f t="shared" ref="P130:P193" ca="1" si="8">O130/SUM(O:O)</f>
        <v>1.0508657530268199E-2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input_396100!A$2</f>
        <v>396100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IFERROR(VLOOKUP(B131,input_396100!L:R,7,FALSE),VLOOKUP(tables_396100!C131,input_396100!A:H,8,FALSE))</f>
        <v>10724.03846</v>
      </c>
      <c r="P131" s="46">
        <f t="shared" ca="1" si="8"/>
        <v>4.1088269961685821E-4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input_396100!A$2</f>
        <v>396100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IFERROR(VLOOKUP(B132,input_396100!L:R,7,FALSE),VLOOKUP(tables_396100!C132,input_396100!A:H,8,FALSE))</f>
        <v>0</v>
      </c>
      <c r="P132" s="46">
        <f t="shared" ca="1" si="8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input_396100!A$2</f>
        <v>396100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IFERROR(VLOOKUP(B133,input_396100!L:R,7,FALSE),VLOOKUP(tables_396100!C133,input_396100!A:H,8,FALSE))</f>
        <v>274275.96153999999</v>
      </c>
      <c r="P133" s="46">
        <f t="shared" ca="1" si="8"/>
        <v>1.0508657530268199E-2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input_396100!A$2</f>
        <v>396100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IFERROR(VLOOKUP(B134,input_396100!L:R,7,FALSE),VLOOKUP(tables_396100!C134,input_396100!A:H,8,FALSE))</f>
        <v>10724.03846</v>
      </c>
      <c r="P134" s="46">
        <f t="shared" ca="1" si="8"/>
        <v>4.1088269961685821E-4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input_396100!A$2</f>
        <v>396100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IFERROR(VLOOKUP(B135,input_396100!L:R,7,FALSE),VLOOKUP(tables_396100!C135,input_396100!A:H,8,FALSE))</f>
        <v>0</v>
      </c>
      <c r="P135" s="46">
        <f t="shared" ca="1" si="8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input_396100!A$2</f>
        <v>396100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IFERROR(VLOOKUP(B136,input_396100!L:R,7,FALSE),VLOOKUP(tables_396100!C136,input_396100!A:H,8,FALSE))</f>
        <v>274275.96153999999</v>
      </c>
      <c r="P136" s="46">
        <f t="shared" ca="1" si="8"/>
        <v>1.0508657530268199E-2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input_396100!A$2</f>
        <v>396100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IFERROR(VLOOKUP(B137,input_396100!L:R,7,FALSE),VLOOKUP(tables_396100!C137,input_396100!A:H,8,FALSE))</f>
        <v>10724.03846</v>
      </c>
      <c r="P137" s="46">
        <f t="shared" ca="1" si="8"/>
        <v>4.1088269961685821E-4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input_396100!A$2</f>
        <v>396100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IFERROR(VLOOKUP(B138,input_396100!L:R,7,FALSE),VLOOKUP(tables_396100!C138,input_396100!A:H,8,FALSE))</f>
        <v>27550</v>
      </c>
      <c r="P138" s="46">
        <f t="shared" ca="1" si="8"/>
        <v>1.0555555555555555E-3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input_396100!A$2</f>
        <v>396100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IFERROR(VLOOKUP(B139,input_396100!L:R,7,FALSE),VLOOKUP(tables_396100!C139,input_396100!A:H,8,FALSE))</f>
        <v>1450</v>
      </c>
      <c r="P139" s="46">
        <f t="shared" ca="1" si="8"/>
        <v>5.5555555555555558E-5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input_396100!A$2</f>
        <v>396100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IFERROR(VLOOKUP(B140,input_396100!L:R,7,FALSE),VLOOKUP(tables_396100!C140,input_396100!A:H,8,FALSE))</f>
        <v>27550</v>
      </c>
      <c r="P140" s="46">
        <f t="shared" ca="1" si="8"/>
        <v>1.0555555555555555E-3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input_396100!A$2</f>
        <v>396100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IFERROR(VLOOKUP(B141,input_396100!L:R,7,FALSE),VLOOKUP(tables_396100!C141,input_396100!A:H,8,FALSE))</f>
        <v>1450</v>
      </c>
      <c r="P141" s="46">
        <f t="shared" ca="1" si="8"/>
        <v>5.5555555555555558E-5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input_396100!A$2</f>
        <v>396100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IFERROR(VLOOKUP(B142,input_396100!L:R,7,FALSE),VLOOKUP(tables_396100!C142,input_396100!A:H,8,FALSE))</f>
        <v>27550</v>
      </c>
      <c r="P142" s="46">
        <f t="shared" ca="1" si="8"/>
        <v>1.0555555555555555E-3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input_396100!A$2</f>
        <v>396100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IFERROR(VLOOKUP(B143,input_396100!L:R,7,FALSE),VLOOKUP(tables_396100!C143,input_396100!A:H,8,FALSE))</f>
        <v>1450</v>
      </c>
      <c r="P143" s="46">
        <f t="shared" ca="1" si="8"/>
        <v>5.5555555555555558E-5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input_396100!A$2</f>
        <v>396100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IFERROR(VLOOKUP(B144,input_396100!L:R,7,FALSE),VLOOKUP(tables_396100!C144,input_396100!A:H,8,FALSE))</f>
        <v>27550</v>
      </c>
      <c r="P144" s="46">
        <f t="shared" ca="1" si="8"/>
        <v>1.0555555555555555E-3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input_396100!A$2</f>
        <v>396100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IFERROR(VLOOKUP(B145,input_396100!L:R,7,FALSE),VLOOKUP(tables_396100!C145,input_396100!A:H,8,FALSE))</f>
        <v>1450</v>
      </c>
      <c r="P145" s="46">
        <f t="shared" ca="1" si="8"/>
        <v>5.5555555555555558E-5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input_396100!A$2</f>
        <v>396100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IFERROR(VLOOKUP(B146,input_396100!L:R,7,FALSE),VLOOKUP(tables_396100!C146,input_396100!A:H,8,FALSE))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input_396100!A$2</f>
        <v>396100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IFERROR(VLOOKUP(B147,input_396100!L:R,7,FALSE),VLOOKUP(tables_396100!C147,input_396100!A:H,8,FALSE))</f>
        <v>274275.96153999999</v>
      </c>
      <c r="P147" s="46">
        <f t="shared" ca="1" si="8"/>
        <v>1.0508657530268199E-2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input_396100!A$2</f>
        <v>396100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IFERROR(VLOOKUP(B148,input_396100!L:R,7,FALSE),VLOOKUP(tables_396100!C148,input_396100!A:H,8,FALSE))</f>
        <v>10724.03846</v>
      </c>
      <c r="P148" s="46">
        <f t="shared" ca="1" si="8"/>
        <v>4.1088269961685821E-4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input_396100!A$2</f>
        <v>396100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IFERROR(VLOOKUP(B149,input_396100!L:R,7,FALSE),VLOOKUP(tables_396100!C149,input_396100!A:H,8,FALSE))</f>
        <v>27550</v>
      </c>
      <c r="P149" s="46">
        <f t="shared" ca="1" si="8"/>
        <v>1.0555555555555555E-3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input_396100!A$2</f>
        <v>396100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IFERROR(VLOOKUP(B150,input_396100!L:R,7,FALSE),VLOOKUP(tables_396100!C150,input_396100!A:H,8,FALSE))</f>
        <v>1450</v>
      </c>
      <c r="P150" s="46">
        <f t="shared" ca="1" si="8"/>
        <v>5.5555555555555558E-5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input_396100!A$2</f>
        <v>396100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IFERROR(VLOOKUP(B151,input_396100!L:R,7,FALSE),VLOOKUP(tables_396100!C151,input_396100!A:H,8,FALSE))</f>
        <v>27550</v>
      </c>
      <c r="P151" s="46">
        <f t="shared" ca="1" si="8"/>
        <v>1.0555555555555555E-3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input_396100!A$2</f>
        <v>396100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IFERROR(VLOOKUP(B152,input_396100!L:R,7,FALSE),VLOOKUP(tables_396100!C152,input_396100!A:H,8,FALSE))</f>
        <v>1450</v>
      </c>
      <c r="P152" s="46">
        <f t="shared" ca="1" si="8"/>
        <v>5.5555555555555558E-5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input_396100!A$2</f>
        <v>396100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IFERROR(VLOOKUP(B153,input_396100!L:R,7,FALSE),VLOOKUP(tables_396100!C153,input_396100!A:H,8,FALSE))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input_396100!A$2</f>
        <v>396100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IFERROR(VLOOKUP(B154,input_396100!L:R,7,FALSE),VLOOKUP(tables_396100!C154,input_396100!A:H,8,FALSE))</f>
        <v>274275.96153999999</v>
      </c>
      <c r="P154" s="46">
        <f t="shared" ca="1" si="8"/>
        <v>1.0508657530268199E-2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input_396100!A$2</f>
        <v>396100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IFERROR(VLOOKUP(B155,input_396100!L:R,7,FALSE),VLOOKUP(tables_396100!C155,input_396100!A:H,8,FALSE))</f>
        <v>10724.03846</v>
      </c>
      <c r="P155" s="46">
        <f t="shared" ca="1" si="8"/>
        <v>4.1088269961685821E-4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input_396100!A$2</f>
        <v>396100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IFERROR(VLOOKUP(B156,input_396100!L:R,7,FALSE),VLOOKUP(tables_396100!C156,input_396100!A:H,8,FALSE))</f>
        <v>27550</v>
      </c>
      <c r="P156" s="46">
        <f t="shared" ca="1" si="8"/>
        <v>1.0555555555555555E-3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input_396100!A$2</f>
        <v>396100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IFERROR(VLOOKUP(B157,input_396100!L:R,7,FALSE),VLOOKUP(tables_396100!C157,input_396100!A:H,8,FALSE))</f>
        <v>1450</v>
      </c>
      <c r="P157" s="46">
        <f t="shared" ca="1" si="8"/>
        <v>5.5555555555555558E-5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input_396100!A$2</f>
        <v>396100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IFERROR(VLOOKUP(B158,input_396100!L:R,7,FALSE),VLOOKUP(tables_396100!C158,input_396100!A:H,8,FALSE))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input_396100!A$2</f>
        <v>396100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IFERROR(VLOOKUP(B159,input_396100!L:R,7,FALSE),VLOOKUP(tables_396100!C159,input_396100!A:H,8,FALSE))</f>
        <v>274275.96153999999</v>
      </c>
      <c r="P159" s="46">
        <f t="shared" ca="1" si="8"/>
        <v>1.0508657530268199E-2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input_396100!A$2</f>
        <v>396100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IFERROR(VLOOKUP(B160,input_396100!L:R,7,FALSE),VLOOKUP(tables_396100!C160,input_396100!A:H,8,FALSE))</f>
        <v>10724.03846</v>
      </c>
      <c r="P160" s="46">
        <f t="shared" ca="1" si="8"/>
        <v>4.1088269961685821E-4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input_396100!A$2</f>
        <v>396100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IFERROR(VLOOKUP(B161,input_396100!L:R,7,FALSE),VLOOKUP(tables_396100!C161,input_396100!A:H,8,FALSE))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input_396100!A$2</f>
        <v>396100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IFERROR(VLOOKUP(B162,input_396100!L:R,7,FALSE),VLOOKUP(tables_396100!C162,input_396100!A:H,8,FALSE))</f>
        <v>274275.96153999999</v>
      </c>
      <c r="P162" s="46">
        <f t="shared" ca="1" si="8"/>
        <v>1.0508657530268199E-2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input_396100!A$2</f>
        <v>396100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IFERROR(VLOOKUP(B163,input_396100!L:R,7,FALSE),VLOOKUP(tables_396100!C163,input_396100!A:H,8,FALSE))</f>
        <v>10724.03846</v>
      </c>
      <c r="P163" s="46">
        <f t="shared" ca="1" si="8"/>
        <v>4.1088269961685821E-4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input_396100!A$2</f>
        <v>396100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IFERROR(VLOOKUP(B164,input_396100!L:R,7,FALSE),VLOOKUP(tables_396100!C164,input_396100!A:H,8,FALSE))</f>
        <v>27550</v>
      </c>
      <c r="P164" s="46">
        <f t="shared" ca="1" si="8"/>
        <v>1.0555555555555555E-3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input_396100!A$2</f>
        <v>396100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IFERROR(VLOOKUP(B165,input_396100!L:R,7,FALSE),VLOOKUP(tables_396100!C165,input_396100!A:H,8,FALSE))</f>
        <v>1450</v>
      </c>
      <c r="P165" s="46">
        <f t="shared" ca="1" si="8"/>
        <v>5.5555555555555558E-5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input_396100!A$2</f>
        <v>396100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IFERROR(VLOOKUP(B166,input_396100!L:R,7,FALSE),VLOOKUP(tables_396100!C166,input_396100!A:H,8,FALSE))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input_396100!A$2</f>
        <v>396100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IFERROR(VLOOKUP(B167,input_396100!L:R,7,FALSE),VLOOKUP(tables_396100!C167,input_396100!A:H,8,FALSE))</f>
        <v>274275.96153999999</v>
      </c>
      <c r="P167" s="46">
        <f t="shared" ca="1" si="8"/>
        <v>1.0508657530268199E-2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input_396100!A$2</f>
        <v>396100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IFERROR(VLOOKUP(B168,input_396100!L:R,7,FALSE),VLOOKUP(tables_396100!C168,input_396100!A:H,8,FALSE))</f>
        <v>10724.03846</v>
      </c>
      <c r="P168" s="46">
        <f t="shared" ca="1" si="8"/>
        <v>4.1088269961685821E-4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input_396100!A$2</f>
        <v>396100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IFERROR(VLOOKUP(B169,input_396100!L:R,7,FALSE),VLOOKUP(tables_396100!C169,input_396100!A:H,8,FALSE))</f>
        <v>27550</v>
      </c>
      <c r="P169" s="46">
        <f t="shared" ca="1" si="8"/>
        <v>1.0555555555555555E-3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input_396100!A$2</f>
        <v>396100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IFERROR(VLOOKUP(B170,input_396100!L:R,7,FALSE),VLOOKUP(tables_396100!C170,input_396100!A:H,8,FALSE))</f>
        <v>1450</v>
      </c>
      <c r="P170" s="46">
        <f t="shared" ca="1" si="8"/>
        <v>5.5555555555555558E-5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input_396100!A$2</f>
        <v>396100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IFERROR(VLOOKUP(B171,input_396100!L:R,7,FALSE),VLOOKUP(tables_396100!C171,input_396100!A:H,8,FALSE))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input_396100!A$2</f>
        <v>396100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IFERROR(VLOOKUP(B172,input_396100!L:R,7,FALSE),VLOOKUP(tables_396100!C172,input_396100!A:H,8,FALSE))</f>
        <v>274275.96153999999</v>
      </c>
      <c r="P172" s="46">
        <f t="shared" ca="1" si="8"/>
        <v>1.0508657530268199E-2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input_396100!A$2</f>
        <v>396100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IFERROR(VLOOKUP(B173,input_396100!L:R,7,FALSE),VLOOKUP(tables_396100!C173,input_396100!A:H,8,FALSE))</f>
        <v>10724.03846</v>
      </c>
      <c r="P173" s="46">
        <f t="shared" ca="1" si="8"/>
        <v>4.1088269961685821E-4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input_396100!A$2</f>
        <v>396100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IFERROR(VLOOKUP(B174,input_396100!L:R,7,FALSE),VLOOKUP(tables_396100!C174,input_396100!A:H,8,FALSE))</f>
        <v>27550</v>
      </c>
      <c r="P174" s="46">
        <f t="shared" ca="1" si="8"/>
        <v>1.0555555555555555E-3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input_396100!A$2</f>
        <v>396100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IFERROR(VLOOKUP(B175,input_396100!L:R,7,FALSE),VLOOKUP(tables_396100!C175,input_396100!A:H,8,FALSE))</f>
        <v>1450</v>
      </c>
      <c r="P175" s="46">
        <f t="shared" ca="1" si="8"/>
        <v>5.5555555555555558E-5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input_396100!A$2</f>
        <v>396100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IFERROR(VLOOKUP(B176,input_396100!L:R,7,FALSE),VLOOKUP(tables_396100!C176,input_396100!A:H,8,FALSE))</f>
        <v>27550</v>
      </c>
      <c r="P176" s="46">
        <f t="shared" ca="1" si="8"/>
        <v>1.0555555555555555E-3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input_396100!A$2</f>
        <v>396100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IFERROR(VLOOKUP(B177,input_396100!L:R,7,FALSE),VLOOKUP(tables_396100!C177,input_396100!A:H,8,FALSE))</f>
        <v>1450</v>
      </c>
      <c r="P177" s="46">
        <f t="shared" ca="1" si="8"/>
        <v>5.5555555555555558E-5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input_396100!A$2</f>
        <v>396100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IFERROR(VLOOKUP(B178,input_396100!L:R,7,FALSE),VLOOKUP(tables_396100!C178,input_396100!A:H,8,FALSE))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input_396100!A$2</f>
        <v>396100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IFERROR(VLOOKUP(B179,input_396100!L:R,7,FALSE),VLOOKUP(tables_396100!C179,input_396100!A:H,8,FALSE))</f>
        <v>274275.96153999999</v>
      </c>
      <c r="P179" s="46">
        <f t="shared" ca="1" si="8"/>
        <v>1.0508657530268199E-2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input_396100!A$2</f>
        <v>396100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IFERROR(VLOOKUP(B180,input_396100!L:R,7,FALSE),VLOOKUP(tables_396100!C180,input_396100!A:H,8,FALSE))</f>
        <v>10724.03846</v>
      </c>
      <c r="P180" s="46">
        <f t="shared" ca="1" si="8"/>
        <v>4.1088269961685821E-4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input_396100!A$2</f>
        <v>396100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IFERROR(VLOOKUP(B181,input_396100!L:R,7,FALSE),VLOOKUP(tables_396100!C181,input_396100!A:H,8,FALSE))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input_396100!A$2</f>
        <v>396100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IFERROR(VLOOKUP(B182,input_396100!L:R,7,FALSE),VLOOKUP(tables_396100!C182,input_396100!A:H,8,FALSE))</f>
        <v>274275.96153999999</v>
      </c>
      <c r="P182" s="46">
        <f t="shared" ca="1" si="8"/>
        <v>1.0508657530268199E-2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input_396100!A$2</f>
        <v>396100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IFERROR(VLOOKUP(B183,input_396100!L:R,7,FALSE),VLOOKUP(tables_396100!C183,input_396100!A:H,8,FALSE))</f>
        <v>10724.03846</v>
      </c>
      <c r="P183" s="46">
        <f t="shared" ca="1" si="8"/>
        <v>4.1088269961685821E-4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input_396100!A$2</f>
        <v>396100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IFERROR(VLOOKUP(B184,input_396100!L:R,7,FALSE),VLOOKUP(tables_396100!C184,input_396100!A:H,8,FALSE))</f>
        <v>27550</v>
      </c>
      <c r="P184" s="46">
        <f t="shared" ca="1" si="8"/>
        <v>1.0555555555555555E-3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input_396100!A$2</f>
        <v>396100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IFERROR(VLOOKUP(B185,input_396100!L:R,7,FALSE),VLOOKUP(tables_396100!C185,input_396100!A:H,8,FALSE))</f>
        <v>1450</v>
      </c>
      <c r="P185" s="46">
        <f t="shared" ca="1" si="8"/>
        <v>5.5555555555555558E-5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input_396100!A$2</f>
        <v>396100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IFERROR(VLOOKUP(B186,input_396100!L:R,7,FALSE),VLOOKUP(tables_396100!C186,input_396100!A:H,8,FALSE))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input_396100!A$2</f>
        <v>396100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IFERROR(VLOOKUP(B187,input_396100!L:R,7,FALSE),VLOOKUP(tables_396100!C187,input_396100!A:H,8,FALSE))</f>
        <v>274275.96153999999</v>
      </c>
      <c r="P187" s="46">
        <f t="shared" ca="1" si="8"/>
        <v>1.0508657530268199E-2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input_396100!A$2</f>
        <v>396100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IFERROR(VLOOKUP(B188,input_396100!L:R,7,FALSE),VLOOKUP(tables_396100!C188,input_396100!A:H,8,FALSE))</f>
        <v>10724.03846</v>
      </c>
      <c r="P188" s="46">
        <f t="shared" ca="1" si="8"/>
        <v>4.1088269961685821E-4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input_396100!A$2</f>
        <v>396100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IFERROR(VLOOKUP(B189,input_396100!L:R,7,FALSE),VLOOKUP(tables_396100!C189,input_396100!A:H,8,FALSE))</f>
        <v>27550</v>
      </c>
      <c r="P189" s="46">
        <f t="shared" ca="1" si="8"/>
        <v>1.0555555555555555E-3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input_396100!A$2</f>
        <v>396100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IFERROR(VLOOKUP(B190,input_396100!L:R,7,FALSE),VLOOKUP(tables_396100!C190,input_396100!A:H,8,FALSE))</f>
        <v>1450</v>
      </c>
      <c r="P190" s="46">
        <f t="shared" ca="1" si="8"/>
        <v>5.5555555555555558E-5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input_396100!A$2</f>
        <v>396100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IFERROR(VLOOKUP(B191,input_396100!L:R,7,FALSE),VLOOKUP(tables_396100!C191,input_396100!A:H,8,FALSE))</f>
        <v>27550</v>
      </c>
      <c r="P191" s="46">
        <f t="shared" ca="1" si="8"/>
        <v>1.0555555555555555E-3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input_396100!A$2</f>
        <v>396100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IFERROR(VLOOKUP(B192,input_396100!L:R,7,FALSE),VLOOKUP(tables_396100!C192,input_396100!A:H,8,FALSE))</f>
        <v>1450</v>
      </c>
      <c r="P192" s="46">
        <f t="shared" ca="1" si="8"/>
        <v>5.5555555555555558E-5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input_396100!A$2</f>
        <v>396100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IFERROR(VLOOKUP(B193,input_396100!L:R,7,FALSE),VLOOKUP(tables_396100!C193,input_396100!A:H,8,FALSE))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input_396100!A$2</f>
        <v>396100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IFERROR(VLOOKUP(B194,input_396100!L:R,7,FALSE),VLOOKUP(tables_396100!C194,input_396100!A:H,8,FALSE))</f>
        <v>274275.96153999999</v>
      </c>
      <c r="P194" s="46">
        <f t="shared" ref="P194:P257" ca="1" si="11">O194/SUM(O:O)</f>
        <v>1.0508657530268199E-2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input_396100!A$2</f>
        <v>396100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IFERROR(VLOOKUP(B195,input_396100!L:R,7,FALSE),VLOOKUP(tables_396100!C195,input_396100!A:H,8,FALSE))</f>
        <v>10724.03846</v>
      </c>
      <c r="P195" s="46">
        <f t="shared" ca="1" si="11"/>
        <v>4.1088269961685821E-4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input_396100!A$2</f>
        <v>396100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IFERROR(VLOOKUP(B196,input_396100!L:R,7,FALSE),VLOOKUP(tables_396100!C196,input_396100!A:H,8,FALSE))</f>
        <v>27550</v>
      </c>
      <c r="P196" s="46">
        <f t="shared" ca="1" si="11"/>
        <v>1.0555555555555555E-3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input_396100!A$2</f>
        <v>396100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IFERROR(VLOOKUP(B197,input_396100!L:R,7,FALSE),VLOOKUP(tables_396100!C197,input_396100!A:H,8,FALSE))</f>
        <v>1450</v>
      </c>
      <c r="P197" s="46">
        <f t="shared" ca="1" si="11"/>
        <v>5.5555555555555558E-5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input_396100!A$2</f>
        <v>396100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IFERROR(VLOOKUP(B198,input_396100!L:R,7,FALSE),VLOOKUP(tables_396100!C198,input_396100!A:H,8,FALSE))</f>
        <v>0</v>
      </c>
      <c r="P198" s="46">
        <f t="shared" ca="1" si="11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input_396100!A$2</f>
        <v>396100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IFERROR(VLOOKUP(B199,input_396100!L:R,7,FALSE),VLOOKUP(tables_396100!C199,input_396100!A:H,8,FALSE))</f>
        <v>274275.96153999999</v>
      </c>
      <c r="P199" s="46">
        <f t="shared" ca="1" si="11"/>
        <v>1.0508657530268199E-2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input_396100!A$2</f>
        <v>396100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IFERROR(VLOOKUP(B200,input_396100!L:R,7,FALSE),VLOOKUP(tables_396100!C200,input_396100!A:H,8,FALSE))</f>
        <v>10724.03846</v>
      </c>
      <c r="P200" s="46">
        <f t="shared" ca="1" si="11"/>
        <v>4.1088269961685821E-4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input_396100!A$2</f>
        <v>396100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IFERROR(VLOOKUP(B201,input_396100!L:R,7,FALSE),VLOOKUP(tables_396100!C201,input_396100!A:H,8,FALSE))</f>
        <v>27550</v>
      </c>
      <c r="P201" s="46">
        <f t="shared" ca="1" si="11"/>
        <v>1.0555555555555555E-3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input_396100!A$2</f>
        <v>396100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IFERROR(VLOOKUP(B202,input_396100!L:R,7,FALSE),VLOOKUP(tables_396100!C202,input_396100!A:H,8,FALSE))</f>
        <v>1450</v>
      </c>
      <c r="P202" s="46">
        <f t="shared" ca="1" si="11"/>
        <v>5.5555555555555558E-5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input_396100!A$2</f>
        <v>396100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IFERROR(VLOOKUP(B203,input_396100!L:R,7,FALSE),VLOOKUP(tables_396100!C203,input_396100!A:H,8,FALSE))</f>
        <v>0</v>
      </c>
      <c r="P203" s="46">
        <f t="shared" ca="1" si="11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input_396100!A$2</f>
        <v>396100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IFERROR(VLOOKUP(B204,input_396100!L:R,7,FALSE),VLOOKUP(tables_396100!C204,input_396100!A:H,8,FALSE))</f>
        <v>274275.96153999999</v>
      </c>
      <c r="P204" s="46">
        <f t="shared" ca="1" si="11"/>
        <v>1.0508657530268199E-2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input_396100!A$2</f>
        <v>396100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IFERROR(VLOOKUP(B205,input_396100!L:R,7,FALSE),VLOOKUP(tables_396100!C205,input_396100!A:H,8,FALSE))</f>
        <v>10724.03846</v>
      </c>
      <c r="P205" s="46">
        <f t="shared" ca="1" si="11"/>
        <v>4.1088269961685821E-4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input_396100!A$2</f>
        <v>396100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IFERROR(VLOOKUP(B206,input_396100!L:R,7,FALSE),VLOOKUP(tables_396100!C206,input_396100!A:H,8,FALSE))</f>
        <v>27550</v>
      </c>
      <c r="P206" s="46">
        <f t="shared" ca="1" si="11"/>
        <v>1.0555555555555555E-3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input_396100!A$2</f>
        <v>396100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IFERROR(VLOOKUP(B207,input_396100!L:R,7,FALSE),VLOOKUP(tables_396100!C207,input_396100!A:H,8,FALSE))</f>
        <v>1450</v>
      </c>
      <c r="P207" s="46">
        <f t="shared" ca="1" si="11"/>
        <v>5.5555555555555558E-5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input_396100!A$2</f>
        <v>396100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IFERROR(VLOOKUP(B208,input_396100!L:R,7,FALSE),VLOOKUP(tables_396100!C208,input_396100!A:H,8,FALSE))</f>
        <v>27550</v>
      </c>
      <c r="P208" s="46">
        <f t="shared" ca="1" si="11"/>
        <v>1.0555555555555555E-3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input_396100!A$2</f>
        <v>396100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IFERROR(VLOOKUP(B209,input_396100!L:R,7,FALSE),VLOOKUP(tables_396100!C209,input_396100!A:H,8,FALSE))</f>
        <v>1450</v>
      </c>
      <c r="P209" s="46">
        <f t="shared" ca="1" si="11"/>
        <v>5.5555555555555558E-5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input_396100!A$2</f>
        <v>396100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IFERROR(VLOOKUP(B210,input_396100!L:R,7,FALSE),VLOOKUP(tables_396100!C210,input_396100!A:H,8,FALSE))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input_396100!A$2</f>
        <v>396100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IFERROR(VLOOKUP(B211,input_396100!L:R,7,FALSE),VLOOKUP(tables_396100!C211,input_396100!A:H,8,FALSE))</f>
        <v>274275.96153999999</v>
      </c>
      <c r="P211" s="46">
        <f t="shared" ca="1" si="11"/>
        <v>1.0508657530268199E-2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input_396100!A$2</f>
        <v>396100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IFERROR(VLOOKUP(B212,input_396100!L:R,7,FALSE),VLOOKUP(tables_396100!C212,input_396100!A:H,8,FALSE))</f>
        <v>10724.03846</v>
      </c>
      <c r="P212" s="46">
        <f t="shared" ca="1" si="11"/>
        <v>4.1088269961685821E-4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input_396100!A$2</f>
        <v>396100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IFERROR(VLOOKUP(B213,input_396100!L:R,7,FALSE),VLOOKUP(tables_396100!C213,input_396100!A:H,8,FALSE))</f>
        <v>27550</v>
      </c>
      <c r="P213" s="46">
        <f t="shared" ca="1" si="11"/>
        <v>1.0555555555555555E-3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input_396100!A$2</f>
        <v>396100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IFERROR(VLOOKUP(B214,input_396100!L:R,7,FALSE),VLOOKUP(tables_396100!C214,input_396100!A:H,8,FALSE))</f>
        <v>1450</v>
      </c>
      <c r="P214" s="46">
        <f t="shared" ca="1" si="11"/>
        <v>5.5555555555555558E-5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input_396100!A$2</f>
        <v>396100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IFERROR(VLOOKUP(B215,input_396100!L:R,7,FALSE),VLOOKUP(tables_396100!C215,input_396100!A:H,8,FALSE))</f>
        <v>27550</v>
      </c>
      <c r="P215" s="46">
        <f t="shared" ca="1" si="11"/>
        <v>1.0555555555555555E-3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input_396100!A$2</f>
        <v>396100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IFERROR(VLOOKUP(B216,input_396100!L:R,7,FALSE),VLOOKUP(tables_396100!C216,input_396100!A:H,8,FALSE))</f>
        <v>1450</v>
      </c>
      <c r="P216" s="46">
        <f t="shared" ca="1" si="11"/>
        <v>5.5555555555555558E-5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input_396100!A$2</f>
        <v>396100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IFERROR(VLOOKUP(B217,input_396100!L:R,7,FALSE),VLOOKUP(tables_396100!C217,input_396100!A:H,8,FALSE))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input_396100!A$2</f>
        <v>396100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IFERROR(VLOOKUP(B218,input_396100!L:R,7,FALSE),VLOOKUP(tables_396100!C218,input_396100!A:H,8,FALSE))</f>
        <v>274275.96153999999</v>
      </c>
      <c r="P218" s="46">
        <f t="shared" ca="1" si="11"/>
        <v>1.0508657530268199E-2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input_396100!A$2</f>
        <v>396100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IFERROR(VLOOKUP(B219,input_396100!L:R,7,FALSE),VLOOKUP(tables_396100!C219,input_396100!A:H,8,FALSE))</f>
        <v>10724.03846</v>
      </c>
      <c r="P219" s="46">
        <f t="shared" ca="1" si="11"/>
        <v>4.1088269961685821E-4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input_396100!A$2</f>
        <v>396100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IFERROR(VLOOKUP(B220,input_396100!L:R,7,FALSE),VLOOKUP(tables_396100!C220,input_396100!A:H,8,FALSE))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input_396100!A$2</f>
        <v>396100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IFERROR(VLOOKUP(B221,input_396100!L:R,7,FALSE),VLOOKUP(tables_396100!C221,input_396100!A:H,8,FALSE))</f>
        <v>274275.96153999999</v>
      </c>
      <c r="P221" s="46">
        <f t="shared" ca="1" si="11"/>
        <v>1.0508657530268199E-2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input_396100!A$2</f>
        <v>396100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IFERROR(VLOOKUP(B222,input_396100!L:R,7,FALSE),VLOOKUP(tables_396100!C222,input_396100!A:H,8,FALSE))</f>
        <v>10724.03846</v>
      </c>
      <c r="P222" s="46">
        <f t="shared" ca="1" si="11"/>
        <v>4.1088269961685821E-4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input_396100!A$2</f>
        <v>396100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IFERROR(VLOOKUP(B223,input_396100!L:R,7,FALSE),VLOOKUP(tables_396100!C223,input_396100!A:H,8,FALSE))</f>
        <v>27550</v>
      </c>
      <c r="P223" s="46">
        <f t="shared" ca="1" si="11"/>
        <v>1.0555555555555555E-3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input_396100!A$2</f>
        <v>396100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IFERROR(VLOOKUP(B224,input_396100!L:R,7,FALSE),VLOOKUP(tables_396100!C224,input_396100!A:H,8,FALSE))</f>
        <v>1450</v>
      </c>
      <c r="P224" s="46">
        <f t="shared" ca="1" si="11"/>
        <v>5.5555555555555558E-5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input_396100!A$2</f>
        <v>396100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IFERROR(VLOOKUP(B225,input_396100!L:R,7,FALSE),VLOOKUP(tables_396100!C225,input_396100!A:H,8,FALSE))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input_396100!A$2</f>
        <v>396100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IFERROR(VLOOKUP(B226,input_396100!L:R,7,FALSE),VLOOKUP(tables_396100!C226,input_396100!A:H,8,FALSE))</f>
        <v>274275.96153999999</v>
      </c>
      <c r="P226" s="46">
        <f t="shared" ca="1" si="11"/>
        <v>1.0508657530268199E-2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input_396100!A$2</f>
        <v>396100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IFERROR(VLOOKUP(B227,input_396100!L:R,7,FALSE),VLOOKUP(tables_396100!C227,input_396100!A:H,8,FALSE))</f>
        <v>10724.03846</v>
      </c>
      <c r="P227" s="46">
        <f t="shared" ca="1" si="11"/>
        <v>4.1088269961685821E-4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input_396100!A$2</f>
        <v>396100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IFERROR(VLOOKUP(B228,input_396100!L:R,7,FALSE),VLOOKUP(tables_396100!C228,input_396100!A:H,8,FALSE))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input_396100!A$2</f>
        <v>396100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IFERROR(VLOOKUP(B229,input_396100!L:R,7,FALSE),VLOOKUP(tables_396100!C229,input_396100!A:H,8,FALSE))</f>
        <v>274275.96153999999</v>
      </c>
      <c r="P229" s="46">
        <f t="shared" ca="1" si="11"/>
        <v>1.0508657530268199E-2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input_396100!A$2</f>
        <v>396100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IFERROR(VLOOKUP(B230,input_396100!L:R,7,FALSE),VLOOKUP(tables_396100!C230,input_396100!A:H,8,FALSE))</f>
        <v>10724.03846</v>
      </c>
      <c r="P230" s="46">
        <f t="shared" ca="1" si="11"/>
        <v>4.1088269961685821E-4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input_396100!A$2</f>
        <v>396100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IFERROR(VLOOKUP(B231,input_396100!L:R,7,FALSE),VLOOKUP(tables_396100!C231,input_396100!A:H,8,FALSE))</f>
        <v>27550</v>
      </c>
      <c r="P231" s="46">
        <f t="shared" ca="1" si="11"/>
        <v>1.0555555555555555E-3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input_396100!A$2</f>
        <v>396100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IFERROR(VLOOKUP(B232,input_396100!L:R,7,FALSE),VLOOKUP(tables_396100!C232,input_396100!A:H,8,FALSE))</f>
        <v>1450</v>
      </c>
      <c r="P232" s="46">
        <f t="shared" ca="1" si="11"/>
        <v>5.5555555555555558E-5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input_396100!A$2</f>
        <v>396100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IFERROR(VLOOKUP(B233,input_396100!L:R,7,FALSE),VLOOKUP(tables_396100!C233,input_396100!A:H,8,FALSE))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input_396100!A$2</f>
        <v>396100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IFERROR(VLOOKUP(B234,input_396100!L:R,7,FALSE),VLOOKUP(tables_396100!C234,input_396100!A:H,8,FALSE))</f>
        <v>274275.96153999999</v>
      </c>
      <c r="P234" s="46">
        <f t="shared" ca="1" si="11"/>
        <v>1.0508657530268199E-2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input_396100!A$2</f>
        <v>396100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IFERROR(VLOOKUP(B235,input_396100!L:R,7,FALSE),VLOOKUP(tables_396100!C235,input_396100!A:H,8,FALSE))</f>
        <v>10724.03846</v>
      </c>
      <c r="P235" s="46">
        <f t="shared" ca="1" si="11"/>
        <v>4.1088269961685821E-4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input_396100!A$2</f>
        <v>396100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IFERROR(VLOOKUP(B236,input_396100!L:R,7,FALSE),VLOOKUP(tables_396100!C236,input_396100!A:H,8,FALSE))</f>
        <v>27550</v>
      </c>
      <c r="P236" s="46">
        <f t="shared" ca="1" si="11"/>
        <v>1.0555555555555555E-3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input_396100!A$2</f>
        <v>396100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IFERROR(VLOOKUP(B237,input_396100!L:R,7,FALSE),VLOOKUP(tables_396100!C237,input_396100!A:H,8,FALSE))</f>
        <v>1450</v>
      </c>
      <c r="P237" s="46">
        <f t="shared" ca="1" si="11"/>
        <v>5.5555555555555558E-5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input_396100!A$2</f>
        <v>396100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IFERROR(VLOOKUP(B238,input_396100!L:R,7,FALSE),VLOOKUP(tables_396100!C238,input_396100!A:H,8,FALSE))</f>
        <v>27550</v>
      </c>
      <c r="P238" s="46">
        <f t="shared" ca="1" si="11"/>
        <v>1.0555555555555555E-3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input_396100!A$2</f>
        <v>396100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IFERROR(VLOOKUP(B239,input_396100!L:R,7,FALSE),VLOOKUP(tables_396100!C239,input_396100!A:H,8,FALSE))</f>
        <v>1450</v>
      </c>
      <c r="P239" s="46">
        <f t="shared" ca="1" si="11"/>
        <v>5.5555555555555558E-5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input_396100!A$2</f>
        <v>396100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IFERROR(VLOOKUP(B240,input_396100!L:R,7,FALSE),VLOOKUP(tables_396100!C240,input_396100!A:H,8,FALSE))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input_396100!A$2</f>
        <v>396100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IFERROR(VLOOKUP(B241,input_396100!L:R,7,FALSE),VLOOKUP(tables_396100!C241,input_396100!A:H,8,FALSE))</f>
        <v>274275.96153999999</v>
      </c>
      <c r="P241" s="46">
        <f t="shared" ca="1" si="11"/>
        <v>1.0508657530268199E-2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input_396100!A$2</f>
        <v>396100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IFERROR(VLOOKUP(B242,input_396100!L:R,7,FALSE),VLOOKUP(tables_396100!C242,input_396100!A:H,8,FALSE))</f>
        <v>10724.03846</v>
      </c>
      <c r="P242" s="46">
        <f t="shared" ca="1" si="11"/>
        <v>4.1088269961685821E-4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input_396100!A$2</f>
        <v>396100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IFERROR(VLOOKUP(B243,input_396100!L:R,7,FALSE),VLOOKUP(tables_396100!C243,input_396100!A:H,8,FALSE))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input_396100!A$2</f>
        <v>396100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IFERROR(VLOOKUP(B244,input_396100!L:R,7,FALSE),VLOOKUP(tables_396100!C244,input_396100!A:H,8,FALSE))</f>
        <v>274275.96153999999</v>
      </c>
      <c r="P244" s="46">
        <f t="shared" ca="1" si="11"/>
        <v>1.0508657530268199E-2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input_396100!A$2</f>
        <v>396100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IFERROR(VLOOKUP(B245,input_396100!L:R,7,FALSE),VLOOKUP(tables_396100!C245,input_396100!A:H,8,FALSE))</f>
        <v>10724.03846</v>
      </c>
      <c r="P245" s="46">
        <f t="shared" ca="1" si="11"/>
        <v>4.1088269961685821E-4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input_396100!A$2</f>
        <v>396100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IFERROR(VLOOKUP(B246,input_396100!L:R,7,FALSE),VLOOKUP(tables_396100!C246,input_396100!A:H,8,FALSE))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input_396100!A$2</f>
        <v>396100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IFERROR(VLOOKUP(B247,input_396100!L:R,7,FALSE),VLOOKUP(tables_396100!C247,input_396100!A:H,8,FALSE))</f>
        <v>274275.96153999999</v>
      </c>
      <c r="P247" s="46">
        <f t="shared" ca="1" si="11"/>
        <v>1.0508657530268199E-2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input_396100!A$2</f>
        <v>396100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IFERROR(VLOOKUP(B248,input_396100!L:R,7,FALSE),VLOOKUP(tables_396100!C248,input_396100!A:H,8,FALSE))</f>
        <v>10724.03846</v>
      </c>
      <c r="P248" s="46">
        <f t="shared" ca="1" si="11"/>
        <v>4.1088269961685821E-4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input_396100!A$2</f>
        <v>396100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IFERROR(VLOOKUP(B249,input_396100!L:R,7,FALSE),VLOOKUP(tables_396100!C249,input_396100!A:H,8,FALSE))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input_396100!A$2</f>
        <v>396100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IFERROR(VLOOKUP(B250,input_396100!L:R,7,FALSE),VLOOKUP(tables_396100!C250,input_396100!A:H,8,FALSE))</f>
        <v>274275.96153999999</v>
      </c>
      <c r="P250" s="46">
        <f t="shared" ca="1" si="11"/>
        <v>1.0508657530268199E-2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input_396100!A$2</f>
        <v>396100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IFERROR(VLOOKUP(B251,input_396100!L:R,7,FALSE),VLOOKUP(tables_396100!C251,input_396100!A:H,8,FALSE))</f>
        <v>10724.03846</v>
      </c>
      <c r="P251" s="46">
        <f t="shared" ca="1" si="11"/>
        <v>4.1088269961685821E-4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input_396100!A$2</f>
        <v>396100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IFERROR(VLOOKUP(B252,input_396100!L:R,7,FALSE),VLOOKUP(tables_396100!C252,input_396100!A:H,8,FALSE))</f>
        <v>27550</v>
      </c>
      <c r="P252" s="46">
        <f t="shared" ca="1" si="11"/>
        <v>1.0555555555555555E-3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input_396100!A$2</f>
        <v>396100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IFERROR(VLOOKUP(B253,input_396100!L:R,7,FALSE),VLOOKUP(tables_396100!C253,input_396100!A:H,8,FALSE))</f>
        <v>1450</v>
      </c>
      <c r="P253" s="46">
        <f t="shared" ca="1" si="11"/>
        <v>5.5555555555555558E-5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input_396100!A$2</f>
        <v>396100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IFERROR(VLOOKUP(B254,input_396100!L:R,7,FALSE),VLOOKUP(tables_396100!C254,input_396100!A:H,8,FALSE))</f>
        <v>27550</v>
      </c>
      <c r="P254" s="46">
        <f t="shared" ca="1" si="11"/>
        <v>1.0555555555555555E-3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input_396100!A$2</f>
        <v>396100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IFERROR(VLOOKUP(B255,input_396100!L:R,7,FALSE),VLOOKUP(tables_396100!C255,input_396100!A:H,8,FALSE))</f>
        <v>1450</v>
      </c>
      <c r="P255" s="46">
        <f t="shared" ca="1" si="11"/>
        <v>5.5555555555555558E-5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input_396100!A$2</f>
        <v>396100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IFERROR(VLOOKUP(B256,input_396100!L:R,7,FALSE),VLOOKUP(tables_396100!C256,input_396100!A:H,8,FALSE))</f>
        <v>270750</v>
      </c>
      <c r="P256" s="46">
        <f t="shared" ca="1" si="11"/>
        <v>1.0373563218390804E-2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input_396100!A$2</f>
        <v>396100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IFERROR(VLOOKUP(B257,input_396100!L:R,7,FALSE),VLOOKUP(tables_396100!C257,input_396100!A:H,8,FALSE))</f>
        <v>14250</v>
      </c>
      <c r="P257" s="46">
        <f t="shared" ca="1" si="11"/>
        <v>5.4597701149425282E-4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input_396100!A$2</f>
        <v>396100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IFERROR(VLOOKUP(B258,input_396100!L:R,7,FALSE),VLOOKUP(tables_396100!C258,input_396100!A:H,8,FALSE))</f>
        <v>270750</v>
      </c>
      <c r="P258" s="46">
        <f t="shared" ref="P258:P294" ca="1" si="14">O258/SUM(O:O)</f>
        <v>1.0373563218390804E-2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input_396100!A$2</f>
        <v>396100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IFERROR(VLOOKUP(B259,input_396100!L:R,7,FALSE),VLOOKUP(tables_396100!C259,input_396100!A:H,8,FALSE))</f>
        <v>14250</v>
      </c>
      <c r="P259" s="46">
        <f t="shared" ca="1" si="14"/>
        <v>5.4597701149425282E-4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input_396100!A$2</f>
        <v>396100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IFERROR(VLOOKUP(B260,input_396100!L:R,7,FALSE),VLOOKUP(tables_396100!C260,input_396100!A:H,8,FALSE))</f>
        <v>29000</v>
      </c>
      <c r="P260" s="46">
        <f t="shared" ca="1" si="14"/>
        <v>1.1111111111111111E-3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input_396100!A$2</f>
        <v>396100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IFERROR(VLOOKUP(B261,input_396100!L:R,7,FALSE),VLOOKUP(tables_396100!C261,input_396100!A:H,8,FALSE))</f>
        <v>29000</v>
      </c>
      <c r="P261" s="46">
        <f t="shared" ca="1" si="14"/>
        <v>1.1111111111111111E-3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input_396100!A$2</f>
        <v>396100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IFERROR(VLOOKUP(B262,input_396100!L:R,7,FALSE),VLOOKUP(tables_396100!C262,input_396100!A:H,8,FALSE))</f>
        <v>27550</v>
      </c>
      <c r="P262" s="46">
        <f t="shared" ca="1" si="14"/>
        <v>1.0555555555555555E-3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input_396100!A$2</f>
        <v>396100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IFERROR(VLOOKUP(B263,input_396100!L:R,7,FALSE),VLOOKUP(tables_396100!C263,input_396100!A:H,8,FALSE))</f>
        <v>1450</v>
      </c>
      <c r="P263" s="46">
        <f t="shared" ca="1" si="14"/>
        <v>5.5555555555555558E-5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input_396100!A$2</f>
        <v>396100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IFERROR(VLOOKUP(B264,input_396100!L:R,7,FALSE),VLOOKUP(tables_396100!C264,input_396100!A:H,8,FALSE))</f>
        <v>27550</v>
      </c>
      <c r="P264" s="46">
        <f t="shared" ca="1" si="14"/>
        <v>1.0555555555555555E-3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input_396100!A$2</f>
        <v>396100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IFERROR(VLOOKUP(B265,input_396100!L:R,7,FALSE),VLOOKUP(tables_396100!C265,input_396100!A:H,8,FALSE))</f>
        <v>1450</v>
      </c>
      <c r="P265" s="46">
        <f t="shared" ca="1" si="14"/>
        <v>5.5555555555555558E-5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input_396100!A$2</f>
        <v>396100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IFERROR(VLOOKUP(B266,input_396100!L:R,7,FALSE),VLOOKUP(tables_396100!C266,input_396100!A:H,8,FALSE))</f>
        <v>0</v>
      </c>
      <c r="P266" s="46">
        <f t="shared" ca="1" si="14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input_396100!A$2</f>
        <v>396100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IFERROR(VLOOKUP(B267,input_396100!L:R,7,FALSE),VLOOKUP(tables_396100!C267,input_396100!A:H,8,FALSE))</f>
        <v>274275.96153999999</v>
      </c>
      <c r="P267" s="46">
        <f t="shared" ca="1" si="14"/>
        <v>1.0508657530268199E-2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input_396100!A$2</f>
        <v>396100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IFERROR(VLOOKUP(B268,input_396100!L:R,7,FALSE),VLOOKUP(tables_396100!C268,input_396100!A:H,8,FALSE))</f>
        <v>10724.03846</v>
      </c>
      <c r="P268" s="46">
        <f t="shared" ca="1" si="14"/>
        <v>4.1088269961685821E-4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input_396100!A$2</f>
        <v>396100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IFERROR(VLOOKUP(B269,input_396100!L:R,7,FALSE),VLOOKUP(tables_396100!C269,input_396100!A:H,8,FALSE))</f>
        <v>0</v>
      </c>
      <c r="P269" s="46">
        <f t="shared" ca="1" si="14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input_396100!A$2</f>
        <v>396100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IFERROR(VLOOKUP(B270,input_396100!L:R,7,FALSE),VLOOKUP(tables_396100!C270,input_396100!A:H,8,FALSE))</f>
        <v>274275.96153999999</v>
      </c>
      <c r="P270" s="46">
        <f t="shared" ca="1" si="14"/>
        <v>1.0508657530268199E-2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input_396100!A$2</f>
        <v>396100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IFERROR(VLOOKUP(B271,input_396100!L:R,7,FALSE),VLOOKUP(tables_396100!C271,input_396100!A:H,8,FALSE))</f>
        <v>10724.03846</v>
      </c>
      <c r="P271" s="46">
        <f t="shared" ca="1" si="14"/>
        <v>4.1088269961685821E-4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input_396100!A$2</f>
        <v>396100</v>
      </c>
      <c r="B272" s="8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IFERROR(VLOOKUP(B272,input_396100!L:R,7,FALSE),VLOOKUP(tables_396100!C272,input_396100!A:H,8,FALSE))</f>
        <v>29000</v>
      </c>
      <c r="P272" s="46">
        <f t="shared" ca="1" si="14"/>
        <v>1.1111111111111111E-3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input_396100!A$2</f>
        <v>396100</v>
      </c>
      <c r="B273" s="8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IFERROR(VLOOKUP(B273,input_396100!L:R,7,FALSE),VLOOKUP(tables_396100!C273,input_396100!A:H,8,FALSE))</f>
        <v>29000</v>
      </c>
      <c r="P273" s="46">
        <f t="shared" ca="1" si="14"/>
        <v>1.1111111111111111E-3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input_396100!A$2</f>
        <v>396100</v>
      </c>
      <c r="B274" s="8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IFERROR(VLOOKUP(B274,input_396100!L:R,7,FALSE),VLOOKUP(tables_396100!C274,input_396100!A:H,8,FALSE))</f>
        <v>270750</v>
      </c>
      <c r="P274" s="46">
        <f t="shared" ca="1" si="14"/>
        <v>1.0373563218390804E-2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input_396100!A$2</f>
        <v>396100</v>
      </c>
      <c r="B275" s="8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IFERROR(VLOOKUP(B275,input_396100!L:R,7,FALSE),VLOOKUP(tables_396100!C275,input_396100!A:H,8,FALSE))</f>
        <v>14250</v>
      </c>
      <c r="P275" s="46">
        <f t="shared" ca="1" si="14"/>
        <v>5.4597701149425282E-4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input_396100!A$2</f>
        <v>396100</v>
      </c>
      <c r="B276" s="8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IFERROR(VLOOKUP(B276,input_396100!L:R,7,FALSE),VLOOKUP(tables_396100!C276,input_396100!A:H,8,FALSE))</f>
        <v>270750</v>
      </c>
      <c r="P276" s="46">
        <f t="shared" ca="1" si="14"/>
        <v>1.0373563218390804E-2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input_396100!A$2</f>
        <v>396100</v>
      </c>
      <c r="B277" s="8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IFERROR(VLOOKUP(B277,input_396100!L:R,7,FALSE),VLOOKUP(tables_396100!C277,input_396100!A:H,8,FALSE))</f>
        <v>14250</v>
      </c>
      <c r="P277" s="46">
        <f t="shared" ca="1" si="14"/>
        <v>5.4597701149425282E-4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input_396100!A$2</f>
        <v>396100</v>
      </c>
      <c r="B278" s="81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IFERROR(VLOOKUP(B278,input_396100!L:R,7,FALSE),VLOOKUP(tables_396100!C278,input_396100!A:H,8,FALSE))</f>
        <v>270750</v>
      </c>
      <c r="P278" s="46">
        <f t="shared" ca="1" si="14"/>
        <v>1.0373563218390804E-2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input_396100!A$2</f>
        <v>396100</v>
      </c>
      <c r="B279" s="81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IFERROR(VLOOKUP(B279,input_396100!L:R,7,FALSE),VLOOKUP(tables_396100!C279,input_396100!A:H,8,FALSE))</f>
        <v>14250</v>
      </c>
      <c r="P279" s="46">
        <f t="shared" ca="1" si="14"/>
        <v>5.4597701149425282E-4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input_396100!A$2</f>
        <v>396100</v>
      </c>
      <c r="B280" s="81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IFERROR(VLOOKUP(B280,input_396100!L:R,7,FALSE),VLOOKUP(tables_396100!C280,input_396100!A:H,8,FALSE))</f>
        <v>270750</v>
      </c>
      <c r="P280" s="46">
        <f t="shared" ca="1" si="14"/>
        <v>1.0373563218390804E-2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input_396100!A$2</f>
        <v>396100</v>
      </c>
      <c r="B281" s="81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IFERROR(VLOOKUP(B281,input_396100!L:R,7,FALSE),VLOOKUP(tables_396100!C281,input_396100!A:H,8,FALSE))</f>
        <v>14250</v>
      </c>
      <c r="P281" s="46">
        <f t="shared" ca="1" si="14"/>
        <v>5.4597701149425282E-4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input_396100!A$2</f>
        <v>396100</v>
      </c>
      <c r="B282" s="81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IFERROR(VLOOKUP(B282,input_396100!L:R,7,FALSE),VLOOKUP(tables_396100!C282,input_396100!A:H,8,FALSE))</f>
        <v>29000</v>
      </c>
      <c r="P282" s="46">
        <f t="shared" ca="1" si="14"/>
        <v>1.1111111111111111E-3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input_396100!A$2</f>
        <v>396100</v>
      </c>
      <c r="B283" s="81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IFERROR(VLOOKUP(B283,input_396100!L:R,7,FALSE),VLOOKUP(tables_396100!C283,input_396100!A:H,8,FALSE))</f>
        <v>29000</v>
      </c>
      <c r="P283" s="46">
        <f t="shared" ca="1" si="14"/>
        <v>1.1111111111111111E-3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input_396100!A$2</f>
        <v>396100</v>
      </c>
      <c r="B284" s="5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IFERROR(VLOOKUP(B284,input_396100!L:R,7,FALSE),VLOOKUP(tables_396100!C284,input_396100!A:H,8,FALSE))</f>
        <v>29000</v>
      </c>
      <c r="P284" s="46">
        <f t="shared" ca="1" si="14"/>
        <v>1.1111111111111111E-3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input_396100!A$2</f>
        <v>396100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ref="D285:D289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IFERROR(VLOOKUP(B285,input_396100!L:R,7,FALSE),VLOOKUP(tables_396100!C285,input_396100!A:H,8,FALSE))</f>
        <v>29000</v>
      </c>
      <c r="P285" s="46">
        <f t="shared" ca="1" si="14"/>
        <v>1.1111111111111111E-3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input_396100!A$2</f>
        <v>396100</v>
      </c>
      <c r="B286" s="5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IFERROR(VLOOKUP(B286,input_396100!L:R,7,FALSE),VLOOKUP(tables_396100!C286,input_396100!A:H,8,FALSE))</f>
        <v>270750</v>
      </c>
      <c r="P286" s="46">
        <f t="shared" ca="1" si="14"/>
        <v>1.0373563218390804E-2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input_396100!A$2</f>
        <v>396100</v>
      </c>
      <c r="B287" s="5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IFERROR(VLOOKUP(B287,input_396100!L:R,7,FALSE),VLOOKUP(tables_396100!C287,input_396100!A:H,8,FALSE))</f>
        <v>14250</v>
      </c>
      <c r="P287" s="46">
        <f t="shared" ca="1" si="14"/>
        <v>5.4597701149425282E-4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input_396100!A$2</f>
        <v>396100</v>
      </c>
      <c r="B288" s="5">
        <v>748</v>
      </c>
      <c r="C288" s="7" t="str">
        <f t="shared" si="15"/>
        <v>Premium4R3less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IFERROR(VLOOKUP(B288,input_396100!L:R,7,FALSE),VLOOKUP(tables_396100!C288,input_396100!A:H,8,FALSE))</f>
        <v>270750</v>
      </c>
      <c r="P288" s="46">
        <f t="shared" ca="1" si="14"/>
        <v>1.0373563218390804E-2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input_396100!A$2</f>
        <v>396100</v>
      </c>
      <c r="B289" s="5">
        <v>749</v>
      </c>
      <c r="C289" s="7" t="str">
        <f t="shared" si="15"/>
        <v>Premium5R3less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IFERROR(VLOOKUP(B289,input_396100!L:R,7,FALSE),VLOOKUP(tables_396100!C289,input_396100!A:H,8,FALSE))</f>
        <v>14250</v>
      </c>
      <c r="P289" s="46">
        <f t="shared" ca="1" si="14"/>
        <v>5.4597701149425282E-4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input_396100!A$2</f>
        <v>396100</v>
      </c>
      <c r="B290" s="5">
        <v>937</v>
      </c>
      <c r="C290" s="7" t="str">
        <f t="shared" ref="C290:C294" si="17">D290&amp;J290&amp;E290&amp;F290&amp;G290</f>
        <v>PremiumSS5R5only</v>
      </c>
      <c r="D290" s="7" t="str">
        <f t="shared" ref="D290:D294" si="18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IFERROR(VLOOKUP(B290,input_396100!L:R,7,FALSE),VLOOKUP(tables_396100!C290,input_396100!A:H,8,FALSE))</f>
        <v>29000</v>
      </c>
      <c r="P290" s="46">
        <f t="shared" ca="1" si="14"/>
        <v>1.1111111111111111E-3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input_396100!A$2</f>
        <v>396100</v>
      </c>
      <c r="B291" s="5">
        <v>939</v>
      </c>
      <c r="C291" s="7" t="str">
        <f t="shared" si="17"/>
        <v>Premium4R3less</v>
      </c>
      <c r="D291" s="7" t="str">
        <f t="shared" si="18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IFERROR(VLOOKUP(B291,input_396100!L:R,7,FALSE),VLOOKUP(tables_396100!C291,input_396100!A:H,8,FALSE))</f>
        <v>270750</v>
      </c>
      <c r="P291" s="46">
        <f t="shared" ca="1" si="14"/>
        <v>1.0373563218390804E-2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input_396100!A$2</f>
        <v>396100</v>
      </c>
      <c r="B292" s="5">
        <v>940</v>
      </c>
      <c r="C292" s="7" t="str">
        <f t="shared" si="17"/>
        <v>Premium5R3less</v>
      </c>
      <c r="D292" s="7" t="str">
        <f t="shared" si="18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IFERROR(VLOOKUP(B292,input_396100!L:R,7,FALSE),VLOOKUP(tables_396100!C292,input_396100!A:H,8,FALSE))</f>
        <v>14250</v>
      </c>
      <c r="P292" s="46">
        <f t="shared" ca="1" si="14"/>
        <v>5.4597701149425282E-4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input_396100!A$2</f>
        <v>396100</v>
      </c>
      <c r="B293" s="5">
        <v>941</v>
      </c>
      <c r="C293" s="7" t="str">
        <f t="shared" si="17"/>
        <v>PremiumSS5R5only</v>
      </c>
      <c r="D293" s="7" t="str">
        <f t="shared" si="18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IFERROR(VLOOKUP(B293,input_396100!L:R,7,FALSE),VLOOKUP(tables_396100!C293,input_396100!A:H,8,FALSE))</f>
        <v>29000</v>
      </c>
      <c r="P293" s="46">
        <f t="shared" ca="1" si="14"/>
        <v>1.1111111111111111E-3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input_396100!A$2</f>
        <v>396100</v>
      </c>
      <c r="B294" s="5">
        <v>943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IFERROR(VLOOKUP(B294,input_396100!L:R,7,FALSE),VLOOKUP(tables_396100!C294,input_396100!A:H,8,FALSE))</f>
        <v>29000</v>
      </c>
      <c r="P294" s="46">
        <f t="shared" ca="1" si="14"/>
        <v>1.1111111111111111E-3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input_396100!A$2</f>
        <v>396100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ref="D295:D299" si="20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IFERROR(VLOOKUP(B295,input_396100!L:R,7,FALSE),VLOOKUP(tables_396100!C295,input_396100!A:H,8,FALSE))</f>
        <v>29000</v>
      </c>
      <c r="P295" s="46">
        <f t="shared" ref="P295:P299" ca="1" si="21">O295/SUM(O:O)</f>
        <v>1.1111111111111111E-3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input_396100!A$2</f>
        <v>396100</v>
      </c>
      <c r="B296" s="5">
        <v>1014</v>
      </c>
      <c r="C296" s="7" t="str">
        <f t="shared" si="19"/>
        <v>PremiumSS5R5only</v>
      </c>
      <c r="D296" s="7" t="str">
        <f t="shared" si="20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IFERROR(VLOOKUP(B296,input_396100!L:R,7,FALSE),VLOOKUP(tables_396100!C296,input_396100!A:H,8,FALSE))</f>
        <v>29000</v>
      </c>
      <c r="P296" s="46">
        <f t="shared" ca="1" si="21"/>
        <v>1.1111111111111111E-3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input_396100!A$2</f>
        <v>396100</v>
      </c>
      <c r="B297" s="5">
        <v>1016</v>
      </c>
      <c r="C297" s="7" t="str">
        <f t="shared" si="19"/>
        <v>Premium4R3less</v>
      </c>
      <c r="D297" s="7" t="str">
        <f t="shared" si="20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IFERROR(VLOOKUP(B297,input_396100!L:R,7,FALSE),VLOOKUP(tables_396100!C297,input_396100!A:H,8,FALSE))</f>
        <v>270750</v>
      </c>
      <c r="P297" s="46">
        <f t="shared" ca="1" si="21"/>
        <v>1.0373563218390804E-2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input_396100!A$2</f>
        <v>396100</v>
      </c>
      <c r="B298" s="5">
        <v>1017</v>
      </c>
      <c r="C298" s="7" t="str">
        <f t="shared" si="19"/>
        <v>Premium5R3less</v>
      </c>
      <c r="D298" s="7" t="str">
        <f t="shared" si="20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IFERROR(VLOOKUP(B298,input_396100!L:R,7,FALSE),VLOOKUP(tables_396100!C298,input_396100!A:H,8,FALSE))</f>
        <v>14250</v>
      </c>
      <c r="P298" s="46">
        <f t="shared" ca="1" si="21"/>
        <v>5.4597701149425282E-4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input_396100!A$2</f>
        <v>396100</v>
      </c>
      <c r="B299" s="5">
        <v>1018</v>
      </c>
      <c r="C299" s="7" t="str">
        <f t="shared" si="19"/>
        <v>PremiumSS5R5only</v>
      </c>
      <c r="D299" s="7" t="str">
        <f t="shared" si="20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IFERROR(VLOOKUP(B299,input_396100!L:R,7,FALSE),VLOOKUP(tables_396100!C299,input_396100!A:H,8,FALSE))</f>
        <v>29000</v>
      </c>
      <c r="P299" s="46">
        <f t="shared" ca="1" si="21"/>
        <v>1.1111111111111111E-3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input_396100!A$2</f>
        <v>396100</v>
      </c>
      <c r="B300" s="5">
        <v>1026</v>
      </c>
      <c r="C300" s="7" t="str">
        <f t="shared" ref="C300:C304" si="22">D300&amp;J300&amp;E300&amp;F300&amp;G300</f>
        <v>Premium4R3less</v>
      </c>
      <c r="D300" s="7" t="str">
        <f t="shared" ref="D300:D304" si="23">IF(I300="PremiumSS",I300,IF(I300="PremiumSSS",I300,IF(I300="PremiumW",I300,"Premium")))</f>
        <v>Premium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IFERROR(VLOOKUP(B300,input_396100!L:R,7,FALSE),VLOOKUP(tables_396100!C300,input_396100!A:H,8,FALSE))</f>
        <v>270750</v>
      </c>
      <c r="P300" s="46">
        <f t="shared" ref="P300:P304" ca="1" si="24">O300/SUM(O:O)</f>
        <v>1.0373563218390804E-2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input_396100!A$2</f>
        <v>396100</v>
      </c>
      <c r="B301" s="5">
        <v>1027</v>
      </c>
      <c r="C301" s="7" t="str">
        <f t="shared" si="22"/>
        <v>Premium5R3less</v>
      </c>
      <c r="D301" s="7" t="str">
        <f t="shared" si="23"/>
        <v>Premium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IFERROR(VLOOKUP(B301,input_396100!L:R,7,FALSE),VLOOKUP(tables_396100!C301,input_396100!A:H,8,FALSE))</f>
        <v>14250</v>
      </c>
      <c r="P301" s="46">
        <f t="shared" ca="1" si="24"/>
        <v>5.4597701149425282E-4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input_396100!A$2</f>
        <v>396100</v>
      </c>
      <c r="B302" s="5">
        <v>1028</v>
      </c>
      <c r="C302" s="7" t="str">
        <f t="shared" si="22"/>
        <v>PremiumSS5R5only</v>
      </c>
      <c r="D302" s="7" t="str">
        <f t="shared" si="23"/>
        <v>PremiumSS</v>
      </c>
      <c r="E302" s="7" t="str">
        <f>IF(COUNTIF('R6追加前'!A:A,B302)=0,IF(I302="PremiumSS","R5only","R3less"),"")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IFERROR(VLOOKUP(B302,input_396100!L:R,7,FALSE),VLOOKUP(tables_396100!C302,input_396100!A:H,8,FALSE))</f>
        <v>29000</v>
      </c>
      <c r="P302" s="46">
        <f t="shared" ca="1" si="24"/>
        <v>1.1111111111111111E-3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input_396100!A$2</f>
        <v>396100</v>
      </c>
      <c r="B303" s="5">
        <v>1031</v>
      </c>
      <c r="C303" s="7" t="str">
        <f t="shared" si="22"/>
        <v>PremiumSS5R5only</v>
      </c>
      <c r="D303" s="7" t="str">
        <f t="shared" si="23"/>
        <v>PremiumSS</v>
      </c>
      <c r="E303" s="7" t="str">
        <f>IF(COUNTIF('R6追加前'!A:A,B303)=0,IF(I303="PremiumSS","R5only","R3less"),"")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IFERROR(VLOOKUP(B303,input_396100!L:R,7,FALSE),VLOOKUP(tables_396100!C303,input_396100!A:H,8,FALSE))</f>
        <v>29000</v>
      </c>
      <c r="P303" s="46">
        <f t="shared" ca="1" si="24"/>
        <v>1.1111111111111111E-3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input_396100!A$2</f>
        <v>396100</v>
      </c>
      <c r="B304" s="5">
        <v>1033</v>
      </c>
      <c r="C304" s="7" t="str">
        <f t="shared" si="22"/>
        <v>PremiumSS5R5only</v>
      </c>
      <c r="D304" s="7" t="str">
        <f t="shared" si="23"/>
        <v>PremiumSS</v>
      </c>
      <c r="E304" s="7" t="str">
        <f>IF(COUNTIF('R6追加前'!A:A,B304)=0,IF(I304="PremiumSS","R5only","R3less"),"")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IFERROR(VLOOKUP(B304,input_396100!L:R,7,FALSE),VLOOKUP(tables_396100!C304,input_396100!A:H,8,FALSE))</f>
        <v>29000</v>
      </c>
      <c r="P304" s="46">
        <f t="shared" ca="1" si="24"/>
        <v>1.1111111111111111E-3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04"/>
  <sheetViews>
    <sheetView showGridLines="0" zoomScale="75" zoomScaleNormal="75" zoomScalePageLayoutView="75" workbookViewId="0">
      <pane ySplit="1" topLeftCell="A12" activePane="bottomLeft" state="frozen"/>
      <selection activeCell="H276" sqref="H276"/>
      <selection pane="bottomLeft" activeCell="O3" sqref="O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input_396100!A$2</f>
        <v>396100</v>
      </c>
      <c r="B2" s="33">
        <v>733</v>
      </c>
      <c r="C2" s="7" t="str">
        <f t="shared" ref="C2:C65" si="0">D2&amp;J2&amp;E2&amp;F2&amp;G2</f>
        <v>PremiumSS6R5only</v>
      </c>
      <c r="D2" s="7" t="str">
        <f t="shared" ref="D2:D65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夢幻の千刃 上杉謙信</v>
      </c>
      <c r="I2" s="7" t="str">
        <f>VLOOKUP(B2,[1]characters!$A:$J,10,FALSE)</f>
        <v>PremiumSS</v>
      </c>
      <c r="J2" s="7">
        <f>VLOOKUP(B2,[1]characters!$A:$I,9,FALSE)</f>
        <v>6</v>
      </c>
      <c r="K2" s="7" t="str">
        <f>VLOOKUP(B2,[1]characters!$A:$H,8,FALSE)</f>
        <v>blue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10</v>
      </c>
      <c r="P2" s="46">
        <f>O2/SUM(O:O)</f>
        <v>2.8571428571428571E-2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input_396100!A$2</f>
        <v>396100</v>
      </c>
      <c r="B3" s="33">
        <v>735</v>
      </c>
      <c r="C3" s="7" t="str">
        <f t="shared" si="0"/>
        <v>PremiumSS6R5only</v>
      </c>
      <c r="D3" s="7" t="str">
        <f t="shared" si="1"/>
        <v>PremiumSS</v>
      </c>
      <c r="E3" s="7" t="str">
        <f>IF(COUNTIF('R6追加前'!A:A,B3)=0,IF(I3="PremiumSS","R5only","R3less"),"")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破天の隻眼 伊達政宗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v>10</v>
      </c>
      <c r="P3" s="46">
        <f t="shared" ref="P2:P65" si="2">O3/SUM(O:O)</f>
        <v>2.8571428571428571E-2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input_396100!A$2</f>
        <v>396100</v>
      </c>
      <c r="B4" s="33">
        <v>743</v>
      </c>
      <c r="C4" s="7" t="str">
        <f t="shared" si="0"/>
        <v>PremiumSS6R5only</v>
      </c>
      <c r="D4" s="7" t="str">
        <f t="shared" si="1"/>
        <v>PremiumSS</v>
      </c>
      <c r="E4" s="7" t="str">
        <f>IF(COUNTIF('R6追加前'!A:A,B4)=0,IF(I4="PremiumSS","R5only","R3less"),"")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弩級の洸源 アポロン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10</v>
      </c>
      <c r="P4" s="46">
        <f t="shared" si="2"/>
        <v>2.8571428571428571E-2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input_396100!A$2</f>
        <v>396100</v>
      </c>
      <c r="B5" s="33">
        <v>745</v>
      </c>
      <c r="C5" s="7" t="str">
        <f t="shared" si="0"/>
        <v>PremiumSS6R5only</v>
      </c>
      <c r="D5" s="7" t="str">
        <f t="shared" si="1"/>
        <v>PremiumSS</v>
      </c>
      <c r="E5" s="7" t="str">
        <f>IF(COUNTIF('R6追加前'!A:A,B5)=0,IF(I5="PremiumSS","R5only","R3less"),"")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望羅の発神 ヘルメス</v>
      </c>
      <c r="I5" s="7" t="str">
        <f>VLOOKUP(B5,[1]characters!$A:$J,10,FALSE)</f>
        <v>PremiumSS</v>
      </c>
      <c r="J5" s="7">
        <f>VLOOKUP(B5,[1]characters!$A:$I,9,FALSE)</f>
        <v>6</v>
      </c>
      <c r="K5" s="7" t="str">
        <f>VLOOKUP(B5,[1]characters!$A:$H,8,FALSE)</f>
        <v>green</v>
      </c>
      <c r="L5" s="7" t="str">
        <f>VLOOKUP(B5,[1]characters!$A:$K,11,FALSE)</f>
        <v>technical</v>
      </c>
      <c r="M5" s="7" t="str">
        <f>VLOOKUP(B5,[1]characters!$A:$M,13,FALSE)</f>
        <v>god</v>
      </c>
      <c r="N5" s="7" t="str">
        <f>VLOOKUP(B5,[1]characters!$A:$G,7,FALSE)</f>
        <v>男性</v>
      </c>
      <c r="O5" s="45">
        <v>10</v>
      </c>
      <c r="P5" s="46">
        <f t="shared" si="2"/>
        <v>2.8571428571428571E-2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input_396100!A$2</f>
        <v>396100</v>
      </c>
      <c r="B6" s="33">
        <v>809</v>
      </c>
      <c r="C6" s="7" t="str">
        <f t="shared" si="0"/>
        <v>PremiumSS6R5only</v>
      </c>
      <c r="D6" s="7" t="str">
        <f t="shared" si="1"/>
        <v>PremiumSS</v>
      </c>
      <c r="E6" s="7" t="str">
        <f>IF(COUNTIF('R6追加前'!A:A,B6)=0,IF(I6="PremiumSS","R5only","R3less"),"")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天然理心の激凛 沖田総司</v>
      </c>
      <c r="I6" s="7" t="str">
        <f>VLOOKUP(B6,[1]characters!$A:$J,10,FALSE)</f>
        <v>PremiumSS</v>
      </c>
      <c r="J6" s="7">
        <f>VLOOKUP(B6,[1]characters!$A:$I,9,FALSE)</f>
        <v>6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v>10</v>
      </c>
      <c r="P6" s="46">
        <f t="shared" si="2"/>
        <v>2.8571428571428571E-2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input_396100!A$2</f>
        <v>396100</v>
      </c>
      <c r="B7" s="33">
        <v>811</v>
      </c>
      <c r="C7" s="7" t="str">
        <f t="shared" si="0"/>
        <v>PremiumSS6R5only</v>
      </c>
      <c r="D7" s="7" t="str">
        <f t="shared" si="1"/>
        <v>PremiumSS</v>
      </c>
      <c r="E7" s="7" t="str">
        <f>IF(COUNTIF('R6追加前'!A:A,B7)=0,IF(I7="PremiumSS","R5only","R3less"),"")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咲き誇る旅航者 親指姫</v>
      </c>
      <c r="I7" s="7" t="str">
        <f>VLOOKUP(B7,[1]characters!$A:$J,10,FALSE)</f>
        <v>PremiumSS</v>
      </c>
      <c r="J7" s="7">
        <f>VLOOKUP(B7,[1]characters!$A:$I,9,FALSE)</f>
        <v>6</v>
      </c>
      <c r="K7" s="7" t="str">
        <f>VLOOKUP(B7,[1]characters!$A:$H,8,FALSE)</f>
        <v>red</v>
      </c>
      <c r="L7" s="7" t="str">
        <f>VLOOKUP(B7,[1]characters!$A:$K,11,FALSE)</f>
        <v>heal</v>
      </c>
      <c r="M7" s="7" t="str">
        <f>VLOOKUP(B7,[1]characters!$A:$M,13,FALSE)</f>
        <v>human</v>
      </c>
      <c r="N7" s="7" t="str">
        <f>VLOOKUP(B7,[1]characters!$A:$G,7,FALSE)</f>
        <v>男性</v>
      </c>
      <c r="O7" s="45">
        <v>10</v>
      </c>
      <c r="P7" s="46">
        <f t="shared" si="2"/>
        <v>2.8571428571428571E-2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input_396100!A$2</f>
        <v>396100</v>
      </c>
      <c r="B8" s="33">
        <v>813</v>
      </c>
      <c r="C8" s="7" t="str">
        <f t="shared" si="0"/>
        <v>PremiumSS6R5only</v>
      </c>
      <c r="D8" s="7" t="str">
        <f t="shared" si="1"/>
        <v>PremiumSS</v>
      </c>
      <c r="E8" s="7" t="str">
        <f>IF(COUNTIF('R6追加前'!A:A,B8)=0,IF(I8="PremiumSS","R5only","R3less"),"")</f>
        <v>R5only</v>
      </c>
      <c r="F8" s="7" t="str">
        <f>IF(COUNTIF('R6開放'!A:A,B8)&gt;0,"R6release","")</f>
        <v/>
      </c>
      <c r="G8" s="7"/>
      <c r="H8" s="7" t="str">
        <f>VLOOKUP(B8,[1]characters!$A:$C,3,FALSE)</f>
        <v>絆の大冒険 ヘンゼル＆グレーテル</v>
      </c>
      <c r="I8" s="7" t="str">
        <f>VLOOKUP(B8,[1]characters!$A:$J,10,FALSE)</f>
        <v>PremiumSS</v>
      </c>
      <c r="J8" s="7">
        <f>VLOOKUP(B8,[1]characters!$A:$I,9,FALSE)</f>
        <v>6</v>
      </c>
      <c r="K8" s="7" t="str">
        <f>VLOOKUP(B8,[1]characters!$A:$H,8,FALSE)</f>
        <v>yellow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v>10</v>
      </c>
      <c r="P8" s="46">
        <f t="shared" si="2"/>
        <v>2.8571428571428571E-2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input_396100!A$2</f>
        <v>396100</v>
      </c>
      <c r="B9" s="33">
        <v>815</v>
      </c>
      <c r="C9" s="7" t="str">
        <f t="shared" si="0"/>
        <v>PremiumSS6R5only</v>
      </c>
      <c r="D9" s="7" t="str">
        <f t="shared" si="1"/>
        <v>PremiumSS</v>
      </c>
      <c r="E9" s="7" t="str">
        <f>IF(COUNTIF('R6追加前'!A:A,B9)=0,IF(I9="PremiumSS","R5only","R3less"),"")</f>
        <v>R5only</v>
      </c>
      <c r="F9" s="7" t="str">
        <f>IF(COUNTIF('R6開放'!A:A,B9)&gt;0,"R6release","")</f>
        <v/>
      </c>
      <c r="G9" s="7"/>
      <c r="H9" s="7" t="str">
        <f>VLOOKUP(B9,[1]characters!$A:$C,3,FALSE)</f>
        <v>解砲の鴉眼 八咫烏</v>
      </c>
      <c r="I9" s="7" t="str">
        <f>VLOOKUP(B9,[1]characters!$A:$J,10,FALSE)</f>
        <v>PremiumSS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45">
        <v>10</v>
      </c>
      <c r="P9" s="46">
        <f t="shared" si="2"/>
        <v>2.8571428571428571E-2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input_396100!A$2</f>
        <v>396100</v>
      </c>
      <c r="B10" s="33">
        <v>817</v>
      </c>
      <c r="C10" s="7" t="str">
        <f t="shared" si="0"/>
        <v>PremiumSS6R5only</v>
      </c>
      <c r="D10" s="7" t="str">
        <f t="shared" si="1"/>
        <v>PremiumSS</v>
      </c>
      <c r="E10" s="7" t="str">
        <f>IF(COUNTIF('R6追加前'!A:A,B10)=0,IF(I10="PremiumSS","R5only","R3less"),"")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決戦の抗弾 D.R.T.H.</v>
      </c>
      <c r="I10" s="7" t="str">
        <f>VLOOKUP(B10,[1]characters!$A:$J,10,FALSE)</f>
        <v>PremiumSS</v>
      </c>
      <c r="J10" s="7">
        <f>VLOOKUP(B10,[1]characters!$A:$I,9,FALSE)</f>
        <v>6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男性</v>
      </c>
      <c r="O10" s="45">
        <v>10</v>
      </c>
      <c r="P10" s="46">
        <f t="shared" si="2"/>
        <v>2.8571428571428571E-2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input_396100!A$2</f>
        <v>396100</v>
      </c>
      <c r="B11" s="33">
        <v>819</v>
      </c>
      <c r="C11" s="7" t="str">
        <f t="shared" si="0"/>
        <v>PremiumSS6R5only</v>
      </c>
      <c r="D11" s="7" t="str">
        <f t="shared" si="1"/>
        <v>PremiumSS</v>
      </c>
      <c r="E11" s="7" t="str">
        <f>IF(COUNTIF('R6追加前'!A:A,B11)=0,IF(I11="PremiumSS","R5only","R3less"),"")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讐命の我突 モルドレッド</v>
      </c>
      <c r="I11" s="7" t="str">
        <f>VLOOKUP(B11,[1]characters!$A:$J,10,FALSE)</f>
        <v>PremiumSS</v>
      </c>
      <c r="J11" s="7">
        <f>VLOOKUP(B11,[1]characters!$A:$I,9,FALSE)</f>
        <v>6</v>
      </c>
      <c r="K11" s="7" t="str">
        <f>VLOOKUP(B11,[1]characters!$A:$H,8,FALSE)</f>
        <v>blue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男性</v>
      </c>
      <c r="O11" s="45">
        <v>10</v>
      </c>
      <c r="P11" s="46">
        <f t="shared" si="2"/>
        <v>2.8571428571428571E-2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input_396100!A$2</f>
        <v>396100</v>
      </c>
      <c r="B12" s="33">
        <v>821</v>
      </c>
      <c r="C12" s="7" t="str">
        <f t="shared" si="0"/>
        <v>PremiumSS6R5only</v>
      </c>
      <c r="D12" s="7" t="str">
        <f t="shared" si="1"/>
        <v>PremiumSS</v>
      </c>
      <c r="E12" s="7" t="str">
        <f>IF(COUNTIF('R6追加前'!A:A,B12)=0,IF(I12="PremiumSS","R5only","R3less"),"")</f>
        <v>R5only</v>
      </c>
      <c r="F12" s="7" t="str">
        <f>IF(COUNTIF('R6開放'!A:A,B12)&gt;0,"R6release","")</f>
        <v/>
      </c>
      <c r="G12" s="7"/>
      <c r="H12" s="7" t="str">
        <f>VLOOKUP(B12,[1]characters!$A:$C,3,FALSE)</f>
        <v>急蹴の硬機脚 ブートレグ・ペロー</v>
      </c>
      <c r="I12" s="7" t="str">
        <f>VLOOKUP(B12,[1]characters!$A:$J,10,FALSE)</f>
        <v>PremiumSS</v>
      </c>
      <c r="J12" s="7">
        <f>VLOOKUP(B12,[1]characters!$A:$I,9,FALSE)</f>
        <v>6</v>
      </c>
      <c r="K12" s="7" t="str">
        <f>VLOOKUP(B12,[1]characters!$A:$H,8,FALSE)</f>
        <v>red</v>
      </c>
      <c r="L12" s="7" t="str">
        <f>VLOOKUP(B12,[1]characters!$A:$K,11,FALSE)</f>
        <v>hp</v>
      </c>
      <c r="M12" s="7" t="str">
        <f>VLOOKUP(B12,[1]characters!$A:$M,13,FALSE)</f>
        <v>animal</v>
      </c>
      <c r="N12" s="7" t="str">
        <f>VLOOKUP(B12,[1]characters!$A:$G,7,FALSE)</f>
        <v>男性</v>
      </c>
      <c r="O12" s="45">
        <v>10</v>
      </c>
      <c r="P12" s="46">
        <f t="shared" si="2"/>
        <v>2.8571428571428571E-2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input_396100!A$2</f>
        <v>396100</v>
      </c>
      <c r="B13" s="33">
        <v>823</v>
      </c>
      <c r="C13" s="7" t="str">
        <f t="shared" si="0"/>
        <v>PremiumSS6R5only</v>
      </c>
      <c r="D13" s="7" t="str">
        <f t="shared" si="1"/>
        <v>PremiumSS</v>
      </c>
      <c r="E13" s="7" t="str">
        <f>IF(COUNTIF('R6追加前'!A:A,B13)=0,IF(I13="PremiumSS","R5only","R3less"),"")</f>
        <v>R5only</v>
      </c>
      <c r="F13" s="7" t="str">
        <f>IF(COUNTIF('R6開放'!A:A,B13)&gt;0,"R6release","")</f>
        <v/>
      </c>
      <c r="G13" s="7"/>
      <c r="H13" s="7" t="str">
        <f>VLOOKUP(B13,[1]characters!$A:$C,3,FALSE)</f>
        <v>跳鼠の睡奏楽 ハーメルン</v>
      </c>
      <c r="I13" s="7" t="str">
        <f>VLOOKUP(B13,[1]characters!$A:$J,10,FALSE)</f>
        <v>PremiumSS</v>
      </c>
      <c r="J13" s="7">
        <f>VLOOKUP(B13,[1]characters!$A:$I,9,FALSE)</f>
        <v>6</v>
      </c>
      <c r="K13" s="7" t="str">
        <f>VLOOKUP(B13,[1]characters!$A:$H,8,FALSE)</f>
        <v>green</v>
      </c>
      <c r="L13" s="7" t="str">
        <f>VLOOKUP(B13,[1]characters!$A:$K,11,FALSE)</f>
        <v>technical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v>10</v>
      </c>
      <c r="P13" s="46">
        <f t="shared" si="2"/>
        <v>2.8571428571428571E-2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input_396100!A$2</f>
        <v>396100</v>
      </c>
      <c r="B14" s="33">
        <v>825</v>
      </c>
      <c r="C14" s="7" t="str">
        <f t="shared" si="0"/>
        <v>PremiumSS6R5only</v>
      </c>
      <c r="D14" s="7" t="str">
        <f t="shared" si="1"/>
        <v>PremiumSS</v>
      </c>
      <c r="E14" s="7" t="str">
        <f>IF(COUNTIF('R6追加前'!A:A,B14)=0,IF(I14="PremiumSS","R5only","R3less"),"")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彩愛なる豊穣妃神 フレイヤ</v>
      </c>
      <c r="I14" s="7" t="str">
        <f>VLOOKUP(B14,[1]characters!$A:$J,10,FALSE)</f>
        <v>PremiumSS</v>
      </c>
      <c r="J14" s="7">
        <f>VLOOKUP(B14,[1]characters!$A:$I,9,FALSE)</f>
        <v>6</v>
      </c>
      <c r="K14" s="7" t="str">
        <f>VLOOKUP(B14,[1]characters!$A:$H,8,FALSE)</f>
        <v>blue</v>
      </c>
      <c r="L14" s="7" t="str">
        <f>VLOOKUP(B14,[1]characters!$A:$K,11,FALSE)</f>
        <v>heal</v>
      </c>
      <c r="M14" s="7" t="str">
        <f>VLOOKUP(B14,[1]characters!$A:$M,13,FALSE)</f>
        <v>animal</v>
      </c>
      <c r="N14" s="7" t="str">
        <f>VLOOKUP(B14,[1]characters!$A:$G,7,FALSE)</f>
        <v>男性</v>
      </c>
      <c r="O14" s="45">
        <v>10</v>
      </c>
      <c r="P14" s="46">
        <f t="shared" si="2"/>
        <v>2.8571428571428571E-2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input_396100!A$2</f>
        <v>396100</v>
      </c>
      <c r="B15" s="33">
        <v>829</v>
      </c>
      <c r="C15" s="7" t="str">
        <f t="shared" si="0"/>
        <v>PremiumSS6R5only</v>
      </c>
      <c r="D15" s="7" t="str">
        <f t="shared" si="1"/>
        <v>PremiumSS</v>
      </c>
      <c r="E15" s="7" t="str">
        <f>IF(COUNTIF('R6追加前'!A:A,B15)=0,IF(I15="PremiumSS","R5only","R3less"),"")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銃刃乱舞の怪猫 クルミ</v>
      </c>
      <c r="I15" s="7" t="str">
        <f>VLOOKUP(B15,[1]characters!$A:$J,10,FALSE)</f>
        <v>PremiumSS</v>
      </c>
      <c r="J15" s="7">
        <f>VLOOKUP(B15,[1]characters!$A:$I,9,FALSE)</f>
        <v>6</v>
      </c>
      <c r="K15" s="7" t="str">
        <f>VLOOKUP(B15,[1]characters!$A:$H,8,FALSE)</f>
        <v>red</v>
      </c>
      <c r="L15" s="7" t="str">
        <f>VLOOKUP(B15,[1]characters!$A:$K,11,FALSE)</f>
        <v>attack</v>
      </c>
      <c r="M15" s="7" t="str">
        <f>VLOOKUP(B15,[1]characters!$A:$M,13,FALSE)</f>
        <v>unknown</v>
      </c>
      <c r="N15" s="7" t="str">
        <f>VLOOKUP(B15,[1]characters!$A:$G,7,FALSE)</f>
        <v>男性</v>
      </c>
      <c r="O15" s="45">
        <v>10</v>
      </c>
      <c r="P15" s="46">
        <f t="shared" si="2"/>
        <v>2.8571428571428571E-2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input_396100!A$2</f>
        <v>396100</v>
      </c>
      <c r="B16" s="33">
        <v>830</v>
      </c>
      <c r="C16" s="7" t="str">
        <f t="shared" si="0"/>
        <v>PremiumSS6R5only</v>
      </c>
      <c r="D16" s="7" t="str">
        <f t="shared" si="1"/>
        <v>PremiumSS</v>
      </c>
      <c r="E16" s="7" t="str">
        <f>IF(COUNTIF('R6追加前'!A:A,B16)=0,IF(I16="PremiumSS","R5only","R3less"),"")</f>
        <v>R5only</v>
      </c>
      <c r="F16" s="7" t="str">
        <f>IF(COUNTIF('R6開放'!A:A,B16)&gt;0,"R6release","")</f>
        <v/>
      </c>
      <c r="G16" s="7"/>
      <c r="H16" s="7" t="str">
        <f>VLOOKUP(B16,[1]characters!$A:$C,3,FALSE)</f>
        <v>清兆の天狗礫 フウガ</v>
      </c>
      <c r="I16" s="7" t="str">
        <f>VLOOKUP(B16,[1]characters!$A:$J,10,FALSE)</f>
        <v>PremiumSS</v>
      </c>
      <c r="J16" s="7">
        <f>VLOOKUP(B16,[1]characters!$A:$I,9,FALSE)</f>
        <v>6</v>
      </c>
      <c r="K16" s="7" t="str">
        <f>VLOOKUP(B16,[1]characters!$A:$H,8,FALSE)</f>
        <v>green</v>
      </c>
      <c r="L16" s="7" t="str">
        <f>VLOOKUP(B16,[1]characters!$A:$K,11,FALSE)</f>
        <v>balance</v>
      </c>
      <c r="M16" s="7" t="str">
        <f>VLOOKUP(B16,[1]characters!$A:$M,13,FALSE)</f>
        <v>unknown</v>
      </c>
      <c r="N16" s="7" t="str">
        <f>VLOOKUP(B16,[1]characters!$A:$G,7,FALSE)</f>
        <v>男性</v>
      </c>
      <c r="O16" s="45">
        <v>10</v>
      </c>
      <c r="P16" s="46">
        <f t="shared" si="2"/>
        <v>2.8571428571428571E-2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input_396100!A$2</f>
        <v>396100</v>
      </c>
      <c r="B17" s="33">
        <v>833</v>
      </c>
      <c r="C17" s="7" t="str">
        <f t="shared" si="0"/>
        <v>PremiumSS6R5only</v>
      </c>
      <c r="D17" s="7" t="str">
        <f t="shared" si="1"/>
        <v>PremiumSS</v>
      </c>
      <c r="E17" s="7" t="str">
        <f>IF(COUNTIF('R6追加前'!A:A,B17)=0,IF(I17="PremiumSS","R5only","R3less"),"")</f>
        <v>R5only</v>
      </c>
      <c r="F17" s="7" t="str">
        <f>IF(COUNTIF('R6開放'!A:A,B17)&gt;0,"R6release","")</f>
        <v/>
      </c>
      <c r="G17" s="7"/>
      <c r="H17" s="7" t="str">
        <f>VLOOKUP(B17,[1]characters!$A:$C,3,FALSE)</f>
        <v>維界の復世神 ヴィシュヌ</v>
      </c>
      <c r="I17" s="7" t="str">
        <f>VLOOKUP(B17,[1]characters!$A:$J,10,FALSE)</f>
        <v>PremiumSS</v>
      </c>
      <c r="J17" s="7">
        <f>VLOOKUP(B17,[1]characters!$A:$I,9,FALSE)</f>
        <v>6</v>
      </c>
      <c r="K17" s="7" t="str">
        <f>VLOOKUP(B17,[1]characters!$A:$H,8,FALSE)</f>
        <v>yellow</v>
      </c>
      <c r="L17" s="7" t="str">
        <f>VLOOKUP(B17,[1]characters!$A:$K,11,FALSE)</f>
        <v>attack</v>
      </c>
      <c r="M17" s="7" t="str">
        <f>VLOOKUP(B17,[1]characters!$A:$M,13,FALSE)</f>
        <v>god</v>
      </c>
      <c r="N17" s="7" t="str">
        <f>VLOOKUP(B17,[1]characters!$A:$G,7,FALSE)</f>
        <v>男性</v>
      </c>
      <c r="O17" s="45">
        <v>10</v>
      </c>
      <c r="P17" s="46">
        <f t="shared" si="2"/>
        <v>2.8571428571428571E-2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input_396100!A$2</f>
        <v>396100</v>
      </c>
      <c r="B18" s="33">
        <v>835</v>
      </c>
      <c r="C18" s="7" t="str">
        <f t="shared" si="0"/>
        <v>PremiumSS6R5only</v>
      </c>
      <c r="D18" s="7" t="str">
        <f t="shared" si="1"/>
        <v>PremiumSS</v>
      </c>
      <c r="E18" s="7" t="str">
        <f>IF(COUNTIF('R6追加前'!A:A,B18)=0,IF(I18="PremiumSS","R5only","R3less"),"")</f>
        <v>R5only</v>
      </c>
      <c r="F18" s="7" t="str">
        <f>IF(COUNTIF('R6開放'!A:A,B18)&gt;0,"R6release","")</f>
        <v/>
      </c>
      <c r="G18" s="7"/>
      <c r="H18" s="7" t="str">
        <f>VLOOKUP(B18,[1]characters!$A:$C,3,FALSE)</f>
        <v>流奏の鳳楽神 サラスヴァティ</v>
      </c>
      <c r="I18" s="7" t="str">
        <f>VLOOKUP(B18,[1]characters!$A:$J,10,FALSE)</f>
        <v>PremiumSS</v>
      </c>
      <c r="J18" s="7">
        <f>VLOOKUP(B18,[1]characters!$A:$I,9,FALSE)</f>
        <v>6</v>
      </c>
      <c r="K18" s="7" t="str">
        <f>VLOOKUP(B18,[1]characters!$A:$H,8,FALSE)</f>
        <v>blue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男性</v>
      </c>
      <c r="O18" s="45">
        <v>10</v>
      </c>
      <c r="P18" s="46">
        <f t="shared" si="2"/>
        <v>2.8571428571428571E-2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input_396100!A$2</f>
        <v>396100</v>
      </c>
      <c r="B19" s="33">
        <v>838</v>
      </c>
      <c r="C19" s="7" t="str">
        <f t="shared" si="0"/>
        <v>PremiumSS6R5only</v>
      </c>
      <c r="D19" s="7" t="str">
        <f t="shared" si="1"/>
        <v>PremiumSS</v>
      </c>
      <c r="E19" s="7" t="str">
        <f>IF(COUNTIF('R6追加前'!A:A,B19)=0,IF(I19="PremiumSS","R5only","R3less"),"")</f>
        <v>R5only</v>
      </c>
      <c r="F19" s="7" t="str">
        <f>IF(COUNTIF('R6開放'!A:A,B19)&gt;0,"R6release","")</f>
        <v/>
      </c>
      <c r="G19" s="7"/>
      <c r="H19" s="7" t="str">
        <f>VLOOKUP(B19,[1]characters!$A:$C,3,FALSE)</f>
        <v>巌鋼の爆烈志士 近藤勇</v>
      </c>
      <c r="I19" s="7" t="str">
        <f>VLOOKUP(B19,[1]characters!$A:$J,10,FALSE)</f>
        <v>PremiumSS</v>
      </c>
      <c r="J19" s="7">
        <f>VLOOKUP(B19,[1]characters!$A:$I,9,FALSE)</f>
        <v>6</v>
      </c>
      <c r="K19" s="7" t="str">
        <f>VLOOKUP(B19,[1]characters!$A:$H,8,FALSE)</f>
        <v>red</v>
      </c>
      <c r="L19" s="7" t="str">
        <f>VLOOKUP(B19,[1]characters!$A:$K,11,FALSE)</f>
        <v>hp</v>
      </c>
      <c r="M19" s="7" t="str">
        <f>VLOOKUP(B19,[1]characters!$A:$M,13,FALSE)</f>
        <v>human</v>
      </c>
      <c r="N19" s="7" t="str">
        <f>VLOOKUP(B19,[1]characters!$A:$G,7,FALSE)</f>
        <v>男性</v>
      </c>
      <c r="O19" s="45">
        <v>10</v>
      </c>
      <c r="P19" s="46">
        <f t="shared" si="2"/>
        <v>2.8571428571428571E-2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input_396100!A$2</f>
        <v>396100</v>
      </c>
      <c r="B20" s="33">
        <v>839</v>
      </c>
      <c r="C20" s="7" t="str">
        <f t="shared" si="0"/>
        <v>PremiumSS6R5only</v>
      </c>
      <c r="D20" s="7" t="str">
        <f t="shared" si="1"/>
        <v>PremiumSS</v>
      </c>
      <c r="E20" s="7" t="str">
        <f>IF(COUNTIF('R6追加前'!A:A,B20)=0,IF(I20="PremiumSS","R5only","R3less"),"")</f>
        <v>R5only</v>
      </c>
      <c r="F20" s="7" t="str">
        <f>IF(COUNTIF('R6開放'!A:A,B20)&gt;0,"R6release","")</f>
        <v/>
      </c>
      <c r="G20" s="7"/>
      <c r="H20" s="7" t="str">
        <f>VLOOKUP(B20,[1]characters!$A:$C,3,FALSE)</f>
        <v>真覇の勇魔剣 ランスロット</v>
      </c>
      <c r="I20" s="7" t="str">
        <f>VLOOKUP(B20,[1]characters!$A:$J,10,FALSE)</f>
        <v>PremiumSS</v>
      </c>
      <c r="J20" s="7">
        <f>VLOOKUP(B20,[1]characters!$A:$I,9,FALSE)</f>
        <v>6</v>
      </c>
      <c r="K20" s="7" t="str">
        <f>VLOOKUP(B20,[1]characters!$A:$H,8,FALSE)</f>
        <v>green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男性</v>
      </c>
      <c r="O20" s="45">
        <v>10</v>
      </c>
      <c r="P20" s="46">
        <f t="shared" si="2"/>
        <v>2.8571428571428571E-2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input_396100!A$2</f>
        <v>396100</v>
      </c>
      <c r="B21" s="33">
        <v>849</v>
      </c>
      <c r="C21" s="7" t="str">
        <f t="shared" si="0"/>
        <v>PremiumSS6R5only</v>
      </c>
      <c r="D21" s="7" t="str">
        <f t="shared" si="1"/>
        <v>PremiumSS</v>
      </c>
      <c r="E21" s="7" t="str">
        <f>IF(COUNTIF('R6追加前'!A:A,B21)=0,IF(I21="PremiumSS","R5only","R3less"),"")</f>
        <v>R5only</v>
      </c>
      <c r="F21" s="7" t="str">
        <f>IF(COUNTIF('R6開放'!A:A,B21)&gt;0,"R6release","")</f>
        <v/>
      </c>
      <c r="G21" s="7"/>
      <c r="H21" s="7" t="str">
        <f>VLOOKUP(B21,[1]characters!$A:$C,3,FALSE)</f>
        <v>燦然たる天使 メタトロン・ラヴァ</v>
      </c>
      <c r="I21" s="7" t="str">
        <f>VLOOKUP(B21,[1]characters!$A:$J,10,FALSE)</f>
        <v>PremiumSS</v>
      </c>
      <c r="J21" s="7">
        <f>VLOOKUP(B21,[1]characters!$A:$I,9,FALSE)</f>
        <v>6</v>
      </c>
      <c r="K21" s="7" t="str">
        <f>VLOOKUP(B21,[1]characters!$A:$H,8,FALSE)</f>
        <v>red</v>
      </c>
      <c r="L21" s="7" t="str">
        <f>VLOOKUP(B21,[1]characters!$A:$K,11,FALSE)</f>
        <v>balance</v>
      </c>
      <c r="M21" s="7" t="str">
        <f>VLOOKUP(B21,[1]characters!$A:$M,13,FALSE)</f>
        <v>god</v>
      </c>
      <c r="N21" s="7" t="str">
        <f>VLOOKUP(B21,[1]characters!$A:$G,7,FALSE)</f>
        <v>男性</v>
      </c>
      <c r="O21" s="45">
        <v>10</v>
      </c>
      <c r="P21" s="46">
        <f t="shared" si="2"/>
        <v>2.8571428571428571E-2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input_396100!A$2</f>
        <v>396100</v>
      </c>
      <c r="B22" s="33">
        <v>851</v>
      </c>
      <c r="C22" s="7" t="str">
        <f t="shared" si="0"/>
        <v>PremiumSS6R5only</v>
      </c>
      <c r="D22" s="7" t="str">
        <f t="shared" si="1"/>
        <v>PremiumSS</v>
      </c>
      <c r="E22" s="7" t="str">
        <f>IF(COUNTIF('R6追加前'!A:A,B22)=0,IF(I22="PremiumSS","R5only","R3less"),"")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寡黙なる凶王 バアル</v>
      </c>
      <c r="I22" s="7" t="str">
        <f>VLOOKUP(B22,[1]characters!$A:$J,10,FALSE)</f>
        <v>PremiumSS</v>
      </c>
      <c r="J22" s="7">
        <f>VLOOKUP(B22,[1]characters!$A:$I,9,FALSE)</f>
        <v>6</v>
      </c>
      <c r="K22" s="7" t="str">
        <f>VLOOKUP(B22,[1]characters!$A:$H,8,FALSE)</f>
        <v>green</v>
      </c>
      <c r="L22" s="7" t="str">
        <f>VLOOKUP(B22,[1]characters!$A:$K,11,FALSE)</f>
        <v>technical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v>10</v>
      </c>
      <c r="P22" s="46">
        <f t="shared" si="2"/>
        <v>2.8571428571428571E-2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input_396100!A$2</f>
        <v>396100</v>
      </c>
      <c r="B23" s="33">
        <v>867</v>
      </c>
      <c r="C23" s="7" t="str">
        <f t="shared" si="0"/>
        <v>PremiumSS6R5only</v>
      </c>
      <c r="D23" s="7" t="str">
        <f t="shared" si="1"/>
        <v>PremiumSS</v>
      </c>
      <c r="E23" s="7" t="str">
        <f>IF(COUNTIF('R6追加前'!A:A,B23)=0,IF(I23="PremiumSS","R5only","R3less"),"")</f>
        <v>R5only</v>
      </c>
      <c r="F23" s="7" t="str">
        <f>IF(COUNTIF('R6開放'!A:A,B23)&gt;0,"R6release","")</f>
        <v/>
      </c>
      <c r="G23" s="7"/>
      <c r="H23" s="7" t="str">
        <f>VLOOKUP(B23,[1]characters!$A:$C,3,FALSE)</f>
        <v>華麗なる作戦 白雪姫</v>
      </c>
      <c r="I23" s="7" t="str">
        <f>VLOOKUP(B23,[1]characters!$A:$J,10,FALSE)</f>
        <v>PremiumSS</v>
      </c>
      <c r="J23" s="7">
        <f>VLOOKUP(B23,[1]characters!$A:$I,9,FALSE)</f>
        <v>6</v>
      </c>
      <c r="K23" s="7" t="str">
        <f>VLOOKUP(B23,[1]characters!$A:$H,8,FALSE)</f>
        <v>blue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男性</v>
      </c>
      <c r="O23" s="45">
        <v>10</v>
      </c>
      <c r="P23" s="46">
        <f t="shared" si="2"/>
        <v>2.8571428571428571E-2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input_396100!A$2</f>
        <v>396100</v>
      </c>
      <c r="B24" s="33">
        <v>869</v>
      </c>
      <c r="C24" s="7" t="str">
        <f t="shared" si="0"/>
        <v>PremiumSS6R5only</v>
      </c>
      <c r="D24" s="7" t="str">
        <f t="shared" si="1"/>
        <v>PremiumSS</v>
      </c>
      <c r="E24" s="7" t="str">
        <f>IF(COUNTIF('R6追加前'!A:A,B24)=0,IF(I24="PremiumSS","R5only","R3less"),"")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 xml:space="preserve">マスター･アラジンと殲滅機兵LAMP </v>
      </c>
      <c r="I24" s="7" t="str">
        <f>VLOOKUP(B24,[1]characters!$A:$J,10,FALSE)</f>
        <v>PremiumSS</v>
      </c>
      <c r="J24" s="7">
        <f>VLOOKUP(B24,[1]characters!$A:$I,9,FALSE)</f>
        <v>6</v>
      </c>
      <c r="K24" s="7" t="str">
        <f>VLOOKUP(B24,[1]characters!$A:$H,8,FALSE)</f>
        <v>yellow</v>
      </c>
      <c r="L24" s="7" t="str">
        <f>VLOOKUP(B24,[1]characters!$A:$K,11,FALSE)</f>
        <v>hp</v>
      </c>
      <c r="M24" s="7" t="str">
        <f>VLOOKUP(B24,[1]characters!$A:$M,13,FALSE)</f>
        <v>human</v>
      </c>
      <c r="N24" s="7" t="str">
        <f>VLOOKUP(B24,[1]characters!$A:$G,7,FALSE)</f>
        <v>男性</v>
      </c>
      <c r="O24" s="45">
        <v>10</v>
      </c>
      <c r="P24" s="46">
        <f t="shared" si="2"/>
        <v>2.8571428571428571E-2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input_396100!A$2</f>
        <v>396100</v>
      </c>
      <c r="B25" s="33">
        <v>896</v>
      </c>
      <c r="C25" s="7" t="str">
        <f t="shared" si="0"/>
        <v>PremiumSS6R5only</v>
      </c>
      <c r="D25" s="7" t="str">
        <f t="shared" si="1"/>
        <v>PremiumSS</v>
      </c>
      <c r="E25" s="7" t="str">
        <f>IF(COUNTIF('R6追加前'!A:A,B25)=0,IF(I25="PremiumSS","R5only","R3less"),"")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天衣紡ぐ麗鶴 ハヅル</v>
      </c>
      <c r="I25" s="7" t="str">
        <f>VLOOKUP(B25,[1]characters!$A:$J,10,FALSE)</f>
        <v>PremiumSS</v>
      </c>
      <c r="J25" s="7">
        <f>VLOOKUP(B25,[1]characters!$A:$I,9,FALSE)</f>
        <v>6</v>
      </c>
      <c r="K25" s="7" t="str">
        <f>VLOOKUP(B25,[1]characters!$A:$H,8,FALSE)</f>
        <v>red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男性</v>
      </c>
      <c r="O25" s="45">
        <v>10</v>
      </c>
      <c r="P25" s="46">
        <f t="shared" si="2"/>
        <v>2.8571428571428571E-2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input_396100!A$2</f>
        <v>396100</v>
      </c>
      <c r="B26" s="33">
        <v>897</v>
      </c>
      <c r="C26" s="7" t="str">
        <f t="shared" si="0"/>
        <v>PremiumSS6R5only</v>
      </c>
      <c r="D26" s="7" t="str">
        <f t="shared" si="1"/>
        <v>PremiumSS</v>
      </c>
      <c r="E26" s="7" t="str">
        <f>IF(COUNTIF('R6追加前'!A:A,B26)=0,IF(I26="PremiumSS","R5only","R3less"),"")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天跳兎破 イナバ</v>
      </c>
      <c r="I26" s="7" t="str">
        <f>VLOOKUP(B26,[1]characters!$A:$J,10,FALSE)</f>
        <v>PremiumSS</v>
      </c>
      <c r="J26" s="7">
        <f>VLOOKUP(B26,[1]characters!$A:$I,9,FALSE)</f>
        <v>6</v>
      </c>
      <c r="K26" s="7" t="str">
        <f>VLOOKUP(B26,[1]characters!$A:$H,8,FALSE)</f>
        <v>green</v>
      </c>
      <c r="L26" s="7" t="str">
        <f>VLOOKUP(B26,[1]characters!$A:$K,11,FALSE)</f>
        <v>balance</v>
      </c>
      <c r="M26" s="7" t="str">
        <f>VLOOKUP(B26,[1]characters!$A:$M,13,FALSE)</f>
        <v>animal</v>
      </c>
      <c r="N26" s="7" t="str">
        <f>VLOOKUP(B26,[1]characters!$A:$G,7,FALSE)</f>
        <v>男性</v>
      </c>
      <c r="O26" s="45">
        <v>10</v>
      </c>
      <c r="P26" s="46">
        <f t="shared" si="2"/>
        <v>2.8571428571428571E-2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input_396100!A$2</f>
        <v>396100</v>
      </c>
      <c r="B27" s="33">
        <v>938</v>
      </c>
      <c r="C27" s="7" t="str">
        <f t="shared" si="0"/>
        <v>PremiumSS6R5only</v>
      </c>
      <c r="D27" s="7" t="str">
        <f t="shared" si="1"/>
        <v>PremiumSS</v>
      </c>
      <c r="E27" s="7" t="str">
        <f>IF(COUNTIF('R6追加前'!A:A,B27)=0,IF(I27="PremiumSS","R5only","R3less"),"")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炎焔宿す革命皇 ナポレオン</v>
      </c>
      <c r="I27" s="7" t="str">
        <f>VLOOKUP(B27,[1]characters!$A:$J,10,FALSE)</f>
        <v>PremiumSS</v>
      </c>
      <c r="J27" s="7">
        <f>VLOOKUP(B27,[1]characters!$A:$I,9,FALSE)</f>
        <v>6</v>
      </c>
      <c r="K27" s="7" t="str">
        <f>VLOOKUP(B27,[1]characters!$A:$H,8,FALSE)</f>
        <v>red</v>
      </c>
      <c r="L27" s="7" t="str">
        <f>VLOOKUP(B27,[1]characters!$A:$K,11,FALSE)</f>
        <v>balance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v>10</v>
      </c>
      <c r="P27" s="46">
        <f t="shared" si="2"/>
        <v>2.8571428571428571E-2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input_396100!A$2</f>
        <v>396100</v>
      </c>
      <c r="B28" s="33">
        <v>942</v>
      </c>
      <c r="C28" s="7" t="str">
        <f t="shared" si="0"/>
        <v>PremiumSS6R5only</v>
      </c>
      <c r="D28" s="7" t="str">
        <f t="shared" si="1"/>
        <v>PremiumSS</v>
      </c>
      <c r="E28" s="7" t="str">
        <f>IF(COUNTIF('R6追加前'!A:A,B28)=0,IF(I28="PremiumSS","R5only","R3less"),"")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華戯たる傲妃 アントワネット</v>
      </c>
      <c r="I28" s="7" t="str">
        <f>VLOOKUP(B28,[1]characters!$A:$J,10,FALSE)</f>
        <v>PremiumSS</v>
      </c>
      <c r="J28" s="7">
        <f>VLOOKUP(B28,[1]characters!$A:$I,9,FALSE)</f>
        <v>6</v>
      </c>
      <c r="K28" s="7" t="str">
        <f>VLOOKUP(B28,[1]characters!$A:$H,8,FALSE)</f>
        <v>blue</v>
      </c>
      <c r="L28" s="7" t="str">
        <f>VLOOKUP(B28,[1]characters!$A:$K,11,FALSE)</f>
        <v>technical</v>
      </c>
      <c r="M28" s="7" t="str">
        <f>VLOOKUP(B28,[1]characters!$A:$M,13,FALSE)</f>
        <v>human</v>
      </c>
      <c r="N28" s="7" t="str">
        <f>VLOOKUP(B28,[1]characters!$A:$G,7,FALSE)</f>
        <v>男性</v>
      </c>
      <c r="O28" s="45">
        <v>10</v>
      </c>
      <c r="P28" s="46">
        <f t="shared" si="2"/>
        <v>2.8571428571428571E-2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input_396100!A$2</f>
        <v>396100</v>
      </c>
      <c r="B29" s="33">
        <v>944</v>
      </c>
      <c r="C29" s="7" t="str">
        <f t="shared" si="0"/>
        <v>PremiumSS6R5only</v>
      </c>
      <c r="D29" s="7" t="str">
        <f t="shared" si="1"/>
        <v>PremiumSS</v>
      </c>
      <c r="E29" s="7" t="str">
        <f>IF(COUNTIF('R6追加前'!A:A,B29)=0,IF(I29="PremiumSS","R5only","R3less"),"")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王敬の執行者 サンソン</v>
      </c>
      <c r="I29" s="7" t="str">
        <f>VLOOKUP(B29,[1]characters!$A:$J,10,FALSE)</f>
        <v>PremiumSS</v>
      </c>
      <c r="J29" s="7">
        <f>VLOOKUP(B29,[1]characters!$A:$I,9,FALSE)</f>
        <v>6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human</v>
      </c>
      <c r="N29" s="7" t="str">
        <f>VLOOKUP(B29,[1]characters!$A:$G,7,FALSE)</f>
        <v>男性</v>
      </c>
      <c r="O29" s="45">
        <v>10</v>
      </c>
      <c r="P29" s="46">
        <f t="shared" si="2"/>
        <v>2.8571428571428571E-2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input_396100!A$2</f>
        <v>396100</v>
      </c>
      <c r="B30" s="33">
        <v>970</v>
      </c>
      <c r="C30" s="7" t="str">
        <f t="shared" si="0"/>
        <v>PremiumSS6R5only</v>
      </c>
      <c r="D30" s="7" t="str">
        <f t="shared" si="1"/>
        <v>PremiumSS</v>
      </c>
      <c r="E30" s="7" t="str">
        <f>IF(COUNTIF('R6追加前'!A:A,B30)=0,IF(I30="PremiumSS","R5only","R3less"),"")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目醒の鋏牙 ラプンツェル</v>
      </c>
      <c r="I30" s="7" t="str">
        <f>VLOOKUP(B30,[1]characters!$A:$J,10,FALSE)</f>
        <v>PremiumSS</v>
      </c>
      <c r="J30" s="7">
        <f>VLOOKUP(B30,[1]characters!$A:$I,9,FALSE)</f>
        <v>6</v>
      </c>
      <c r="K30" s="7" t="str">
        <f>VLOOKUP(B30,[1]characters!$A:$H,8,FALSE)</f>
        <v>yellow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5">
        <v>10</v>
      </c>
      <c r="P30" s="46">
        <f t="shared" si="2"/>
        <v>2.8571428571428571E-2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input_396100!A$2</f>
        <v>396100</v>
      </c>
      <c r="B31" s="33">
        <v>1013</v>
      </c>
      <c r="C31" s="7" t="str">
        <f t="shared" si="0"/>
        <v>PremiumSS6R5only</v>
      </c>
      <c r="D31" s="7" t="str">
        <f t="shared" si="1"/>
        <v>PremiumSS</v>
      </c>
      <c r="E31" s="7" t="str">
        <f>IF(COUNTIF('R6追加前'!A:A,B31)=0,IF(I31="PremiumSS","R5only","R3less"),"")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聖陽昇る緋洸神 ラー</v>
      </c>
      <c r="I31" s="7" t="str">
        <f>VLOOKUP(B31,[1]characters!$A:$J,10,FALSE)</f>
        <v>PremiumSS</v>
      </c>
      <c r="J31" s="7">
        <f>VLOOKUP(B31,[1]characters!$A:$I,9,FALSE)</f>
        <v>6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5">
        <v>10</v>
      </c>
      <c r="P31" s="46">
        <f t="shared" si="2"/>
        <v>2.8571428571428571E-2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input_396100!A$2</f>
        <v>396100</v>
      </c>
      <c r="B32" s="33">
        <v>1015</v>
      </c>
      <c r="C32" s="7" t="str">
        <f t="shared" si="0"/>
        <v>PremiumSS6R5only</v>
      </c>
      <c r="D32" s="7" t="str">
        <f t="shared" si="1"/>
        <v>PremiumSS</v>
      </c>
      <c r="E32" s="7" t="str">
        <f>IF(COUNTIF('R6追加前'!A:A,B32)=0,IF(I32="PremiumSS","R5only","R3less"),"")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繁翠なる蘇聖神 イシス</v>
      </c>
      <c r="I32" s="7" t="str">
        <f>VLOOKUP(B32,[1]characters!$A:$J,10,FALSE)</f>
        <v>PremiumSS</v>
      </c>
      <c r="J32" s="7">
        <f>VLOOKUP(B32,[1]characters!$A:$I,9,FALSE)</f>
        <v>6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5">
        <v>10</v>
      </c>
      <c r="P32" s="46">
        <f t="shared" si="2"/>
        <v>2.8571428571428571E-2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input_396100!A$2</f>
        <v>396100</v>
      </c>
      <c r="B33" s="33">
        <v>1019</v>
      </c>
      <c r="C33" s="7" t="str">
        <f t="shared" si="0"/>
        <v>PremiumSS6R5only</v>
      </c>
      <c r="D33" s="7" t="str">
        <f t="shared" si="1"/>
        <v>PremiumSS</v>
      </c>
      <c r="E33" s="7" t="str">
        <f>IF(COUNTIF('R6追加前'!A:A,B33)=0,IF(I33="PremiumSS","R5only","R3less"),"")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愛鈴鳴る寵猫神 バステト</v>
      </c>
      <c r="I33" s="7" t="str">
        <f>VLOOKUP(B33,[1]characters!$A:$J,10,FALSE)</f>
        <v>PremiumSS</v>
      </c>
      <c r="J33" s="7">
        <f>VLOOKUP(B33,[1]characters!$A:$I,9,FALSE)</f>
        <v>6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5">
        <v>10</v>
      </c>
      <c r="P33" s="46">
        <f t="shared" si="2"/>
        <v>2.8571428571428571E-2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input_396100!A$2</f>
        <v>396100</v>
      </c>
      <c r="B34" s="33">
        <v>1029</v>
      </c>
      <c r="C34" s="7" t="str">
        <f t="shared" si="0"/>
        <v>PremiumSS6R5only</v>
      </c>
      <c r="D34" s="7" t="str">
        <f t="shared" si="1"/>
        <v>PremiumSS</v>
      </c>
      <c r="E34" s="7" t="str">
        <f>IF(COUNTIF('R6追加前'!A:A,B34)=0,IF(I34="PremiumSS","R5only","R3less"),"")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天賦の軍才 牛若丸</v>
      </c>
      <c r="I34" s="7" t="str">
        <f>VLOOKUP(B34,[1]characters!$A:$J,10,FALSE)</f>
        <v>PremiumSS</v>
      </c>
      <c r="J34" s="7">
        <f>VLOOKUP(B34,[1]characters!$A:$I,9,FALSE)</f>
        <v>6</v>
      </c>
      <c r="K34" s="7" t="str">
        <f>VLOOKUP(B34,[1]characters!$A:$H,8,FALSE)</f>
        <v>green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v>10</v>
      </c>
      <c r="P34" s="46">
        <f t="shared" si="2"/>
        <v>2.8571428571428571E-2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input_396100!A$2</f>
        <v>396100</v>
      </c>
      <c r="B35" s="33">
        <v>1032</v>
      </c>
      <c r="C35" s="7" t="str">
        <f t="shared" si="0"/>
        <v>PremiumSS6R5only</v>
      </c>
      <c r="D35" s="7" t="str">
        <f t="shared" si="1"/>
        <v>PremiumSS</v>
      </c>
      <c r="E35" s="7" t="str">
        <f>IF(COUNTIF('R6追加前'!A:A,B35)=0,IF(I35="PremiumSS","R5only","R3less"),"")</f>
        <v>R5only</v>
      </c>
      <c r="F35" s="7" t="str">
        <f>IF(COUNTIF('R6開放'!A:A,B35)&gt;0,"R6release","")</f>
        <v/>
      </c>
      <c r="G35" s="7"/>
      <c r="H35" s="7" t="str">
        <f>VLOOKUP(B35,[1]characters!$A:$C,3,FALSE)</f>
        <v>彩気煥発の創作人 紫式部</v>
      </c>
      <c r="I35" s="7" t="str">
        <f>VLOOKUP(B35,[1]characters!$A:$J,10,FALSE)</f>
        <v>PremiumSS</v>
      </c>
      <c r="J35" s="7">
        <f>VLOOKUP(B35,[1]characters!$A:$I,9,FALSE)</f>
        <v>6</v>
      </c>
      <c r="K35" s="7" t="str">
        <f>VLOOKUP(B35,[1]characters!$A:$H,8,FALSE)</f>
        <v>blue</v>
      </c>
      <c r="L35" s="7" t="str">
        <f>VLOOKUP(B35,[1]characters!$A:$K,11,FALSE)</f>
        <v>technical</v>
      </c>
      <c r="M35" s="7" t="str">
        <f>VLOOKUP(B35,[1]characters!$A:$M,13,FALSE)</f>
        <v>human</v>
      </c>
      <c r="N35" s="7" t="str">
        <f>VLOOKUP(B35,[1]characters!$A:$G,7,FALSE)</f>
        <v>男性</v>
      </c>
      <c r="O35" s="45">
        <v>10</v>
      </c>
      <c r="P35" s="46">
        <f t="shared" si="2"/>
        <v>2.8571428571428571E-2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input_396100!A$2</f>
        <v>396100</v>
      </c>
      <c r="B36" s="33">
        <v>1034</v>
      </c>
      <c r="C36" s="7" t="str">
        <f t="shared" si="0"/>
        <v>PremiumSS6R5only</v>
      </c>
      <c r="D36" s="7" t="str">
        <f t="shared" si="1"/>
        <v>PremiumSS</v>
      </c>
      <c r="E36" s="7" t="str">
        <f>IF(COUNTIF('R6追加前'!A:A,B36)=0,IF(I36="PremiumSS","R5only","R3less"),"")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爛漫なる随筆家 清少納言</v>
      </c>
      <c r="I36" s="7" t="str">
        <f>VLOOKUP(B36,[1]characters!$A:$J,10,FALSE)</f>
        <v>PremiumSS</v>
      </c>
      <c r="J36" s="7">
        <f>VLOOKUP(B36,[1]characters!$A:$I,9,FALSE)</f>
        <v>6</v>
      </c>
      <c r="K36" s="7" t="str">
        <f>VLOOKUP(B36,[1]characters!$A:$H,8,FALSE)</f>
        <v>yellow</v>
      </c>
      <c r="L36" s="7" t="str">
        <f>VLOOKUP(B36,[1]characters!$A:$K,11,FALSE)</f>
        <v>heal</v>
      </c>
      <c r="M36" s="7" t="str">
        <f>VLOOKUP(B36,[1]characters!$A:$M,13,FALSE)</f>
        <v>human</v>
      </c>
      <c r="N36" s="7" t="str">
        <f>VLOOKUP(B36,[1]characters!$A:$G,7,FALSE)</f>
        <v>男性</v>
      </c>
      <c r="O36" s="45">
        <v>10</v>
      </c>
      <c r="P36" s="46">
        <f t="shared" si="2"/>
        <v>2.8571428571428571E-2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s="103" customFormat="1" ht="21" customHeight="1" x14ac:dyDescent="0.15">
      <c r="A37" s="99"/>
      <c r="B37" s="100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  <c r="O37" s="57"/>
      <c r="P37" s="101"/>
      <c r="Q37" s="102"/>
      <c r="R37" s="102"/>
      <c r="S37" s="102"/>
      <c r="T37" s="102"/>
      <c r="U37" s="102"/>
      <c r="V37" s="102"/>
    </row>
    <row r="38" spans="1:22" s="103" customFormat="1" ht="21" customHeight="1" x14ac:dyDescent="0.15">
      <c r="A38" s="99"/>
      <c r="B38" s="100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57"/>
      <c r="P38" s="101"/>
      <c r="Q38" s="102"/>
      <c r="R38" s="102"/>
      <c r="S38" s="102"/>
      <c r="T38" s="102"/>
      <c r="U38" s="102"/>
      <c r="V38" s="102"/>
    </row>
    <row r="39" spans="1:22" s="103" customFormat="1" ht="21" customHeight="1" x14ac:dyDescent="0.15">
      <c r="A39" s="99"/>
      <c r="B39" s="100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57"/>
      <c r="P39" s="101"/>
      <c r="Q39" s="102"/>
      <c r="R39" s="102"/>
      <c r="S39" s="102"/>
      <c r="T39" s="102"/>
      <c r="U39" s="102"/>
      <c r="V39" s="102"/>
    </row>
    <row r="40" spans="1:22" s="103" customFormat="1" ht="21" customHeight="1" x14ac:dyDescent="0.15">
      <c r="A40" s="99"/>
      <c r="B40" s="100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57"/>
      <c r="P40" s="101"/>
      <c r="Q40" s="102"/>
      <c r="R40" s="102"/>
      <c r="S40" s="102"/>
      <c r="T40" s="102"/>
      <c r="U40" s="102"/>
      <c r="V40" s="102"/>
    </row>
    <row r="41" spans="1:22" s="103" customFormat="1" ht="21" customHeight="1" x14ac:dyDescent="0.15">
      <c r="A41" s="99"/>
      <c r="B41" s="100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99"/>
      <c r="O41" s="57"/>
      <c r="P41" s="101"/>
      <c r="Q41" s="102"/>
      <c r="R41" s="102"/>
      <c r="S41" s="102"/>
      <c r="T41" s="102"/>
      <c r="U41" s="102"/>
      <c r="V41" s="102"/>
    </row>
    <row r="42" spans="1:22" s="103" customFormat="1" ht="21" customHeight="1" x14ac:dyDescent="0.15">
      <c r="A42" s="99"/>
      <c r="B42" s="100"/>
      <c r="C42" s="99"/>
      <c r="D42" s="99"/>
      <c r="E42" s="99"/>
      <c r="F42" s="99"/>
      <c r="G42" s="99"/>
      <c r="H42" s="99"/>
      <c r="I42" s="99"/>
      <c r="J42" s="99"/>
      <c r="K42" s="99"/>
      <c r="L42" s="99"/>
      <c r="M42" s="99"/>
      <c r="N42" s="99"/>
      <c r="O42" s="57"/>
      <c r="P42" s="101"/>
      <c r="Q42" s="102"/>
      <c r="R42" s="102"/>
      <c r="S42" s="102"/>
      <c r="T42" s="102"/>
      <c r="U42" s="102"/>
      <c r="V42" s="102"/>
    </row>
    <row r="43" spans="1:22" s="103" customFormat="1" ht="21" customHeight="1" x14ac:dyDescent="0.15">
      <c r="A43" s="99"/>
      <c r="B43" s="100"/>
      <c r="C43" s="99"/>
      <c r="D43" s="99"/>
      <c r="E43" s="99"/>
      <c r="F43" s="99"/>
      <c r="G43" s="99"/>
      <c r="H43" s="99"/>
      <c r="I43" s="99"/>
      <c r="J43" s="99"/>
      <c r="K43" s="99"/>
      <c r="L43" s="99"/>
      <c r="M43" s="99"/>
      <c r="N43" s="99"/>
      <c r="O43" s="57"/>
      <c r="P43" s="101"/>
      <c r="Q43" s="102"/>
      <c r="R43" s="102"/>
      <c r="S43" s="102"/>
      <c r="T43" s="102"/>
      <c r="U43" s="102"/>
      <c r="V43" s="102"/>
    </row>
    <row r="44" spans="1:22" s="103" customFormat="1" ht="21" customHeight="1" x14ac:dyDescent="0.15">
      <c r="A44" s="99"/>
      <c r="B44" s="100"/>
      <c r="C44" s="99"/>
      <c r="D44" s="99"/>
      <c r="E44" s="99"/>
      <c r="F44" s="99"/>
      <c r="G44" s="99"/>
      <c r="H44" s="99"/>
      <c r="I44" s="99"/>
      <c r="J44" s="99"/>
      <c r="K44" s="99"/>
      <c r="L44" s="99"/>
      <c r="M44" s="99"/>
      <c r="N44" s="99"/>
      <c r="O44" s="57"/>
      <c r="P44" s="101"/>
      <c r="Q44" s="102"/>
      <c r="R44" s="102"/>
      <c r="S44" s="102"/>
      <c r="T44" s="102"/>
      <c r="U44" s="102"/>
      <c r="V44" s="102"/>
    </row>
    <row r="45" spans="1:22" s="103" customFormat="1" ht="21" customHeight="1" x14ac:dyDescent="0.15">
      <c r="A45" s="99"/>
      <c r="B45" s="100"/>
      <c r="C45" s="99"/>
      <c r="D45" s="99"/>
      <c r="E45" s="99"/>
      <c r="F45" s="99"/>
      <c r="G45" s="99"/>
      <c r="H45" s="99"/>
      <c r="I45" s="99"/>
      <c r="J45" s="99"/>
      <c r="K45" s="99"/>
      <c r="L45" s="99"/>
      <c r="M45" s="99"/>
      <c r="N45" s="99"/>
      <c r="O45" s="57"/>
      <c r="P45" s="101"/>
      <c r="Q45" s="102"/>
      <c r="R45" s="102"/>
      <c r="S45" s="102"/>
      <c r="T45" s="102"/>
      <c r="U45" s="102"/>
      <c r="V45" s="102"/>
    </row>
    <row r="46" spans="1:22" s="103" customFormat="1" ht="21" customHeight="1" x14ac:dyDescent="0.15">
      <c r="A46" s="99"/>
      <c r="B46" s="100"/>
      <c r="C46" s="99"/>
      <c r="D46" s="99"/>
      <c r="E46" s="99"/>
      <c r="F46" s="99"/>
      <c r="G46" s="99"/>
      <c r="H46" s="99"/>
      <c r="I46" s="99"/>
      <c r="J46" s="99"/>
      <c r="K46" s="99"/>
      <c r="L46" s="99"/>
      <c r="M46" s="99"/>
      <c r="N46" s="99"/>
      <c r="O46" s="57"/>
      <c r="P46" s="101"/>
      <c r="Q46" s="102"/>
      <c r="R46" s="102"/>
      <c r="S46" s="102"/>
      <c r="T46" s="102"/>
      <c r="U46" s="102"/>
      <c r="V46" s="102"/>
    </row>
    <row r="47" spans="1:22" s="103" customFormat="1" ht="21" customHeight="1" x14ac:dyDescent="0.15">
      <c r="A47" s="99"/>
      <c r="B47" s="100"/>
      <c r="C47" s="99"/>
      <c r="D47" s="99"/>
      <c r="E47" s="99"/>
      <c r="F47" s="99"/>
      <c r="G47" s="99"/>
      <c r="H47" s="99"/>
      <c r="I47" s="99"/>
      <c r="J47" s="99"/>
      <c r="K47" s="99"/>
      <c r="L47" s="99"/>
      <c r="M47" s="99"/>
      <c r="N47" s="99"/>
      <c r="O47" s="57"/>
      <c r="P47" s="101"/>
      <c r="Q47" s="102"/>
      <c r="R47" s="102"/>
      <c r="S47" s="102"/>
      <c r="T47" s="102"/>
      <c r="U47" s="102"/>
      <c r="V47" s="102"/>
    </row>
    <row r="48" spans="1:22" s="103" customFormat="1" ht="21" customHeight="1" x14ac:dyDescent="0.15">
      <c r="A48" s="99"/>
      <c r="B48" s="100"/>
      <c r="C48" s="99"/>
      <c r="D48" s="99"/>
      <c r="E48" s="99"/>
      <c r="F48" s="99"/>
      <c r="G48" s="99"/>
      <c r="H48" s="99"/>
      <c r="I48" s="99"/>
      <c r="J48" s="99"/>
      <c r="K48" s="99"/>
      <c r="L48" s="99"/>
      <c r="M48" s="99"/>
      <c r="N48" s="99"/>
      <c r="O48" s="57"/>
      <c r="P48" s="101"/>
      <c r="Q48" s="102"/>
      <c r="R48" s="102"/>
      <c r="S48" s="102"/>
      <c r="T48" s="102"/>
      <c r="U48" s="102"/>
      <c r="V48" s="102"/>
    </row>
    <row r="49" spans="1:22" s="103" customFormat="1" ht="21" customHeight="1" x14ac:dyDescent="0.15">
      <c r="A49" s="99"/>
      <c r="B49" s="100"/>
      <c r="C49" s="99"/>
      <c r="D49" s="99"/>
      <c r="E49" s="99"/>
      <c r="F49" s="99"/>
      <c r="G49" s="99"/>
      <c r="H49" s="99"/>
      <c r="I49" s="99"/>
      <c r="J49" s="99"/>
      <c r="K49" s="99"/>
      <c r="L49" s="99"/>
      <c r="M49" s="99"/>
      <c r="N49" s="99"/>
      <c r="O49" s="57"/>
      <c r="P49" s="101"/>
      <c r="Q49" s="102"/>
      <c r="R49" s="102"/>
      <c r="S49" s="102"/>
      <c r="T49" s="102"/>
      <c r="U49" s="102"/>
      <c r="V49" s="102"/>
    </row>
    <row r="50" spans="1:22" s="103" customFormat="1" ht="21" customHeight="1" x14ac:dyDescent="0.15">
      <c r="A50" s="99"/>
      <c r="B50" s="100"/>
      <c r="C50" s="99"/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57"/>
      <c r="P50" s="101"/>
      <c r="Q50" s="102"/>
      <c r="R50" s="102"/>
      <c r="S50" s="102"/>
      <c r="T50" s="102"/>
      <c r="U50" s="102"/>
      <c r="V50" s="102"/>
    </row>
    <row r="51" spans="1:22" s="103" customFormat="1" ht="21" customHeight="1" x14ac:dyDescent="0.15">
      <c r="A51" s="99"/>
      <c r="B51" s="100"/>
      <c r="C51" s="99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57"/>
      <c r="P51" s="101"/>
      <c r="Q51" s="102"/>
      <c r="R51" s="102"/>
      <c r="S51" s="102"/>
      <c r="T51" s="102"/>
      <c r="U51" s="102"/>
      <c r="V51" s="102"/>
    </row>
    <row r="52" spans="1:22" s="103" customFormat="1" ht="21" customHeight="1" x14ac:dyDescent="0.15">
      <c r="A52" s="99"/>
      <c r="B52" s="100"/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57"/>
      <c r="P52" s="101"/>
      <c r="Q52" s="102"/>
      <c r="R52" s="102"/>
      <c r="S52" s="102"/>
      <c r="T52" s="102"/>
      <c r="U52" s="102"/>
      <c r="V52" s="102"/>
    </row>
    <row r="53" spans="1:22" s="103" customFormat="1" ht="21" customHeight="1" x14ac:dyDescent="0.15">
      <c r="A53" s="99"/>
      <c r="B53" s="100"/>
      <c r="C53" s="99"/>
      <c r="D53" s="99"/>
      <c r="E53" s="99"/>
      <c r="F53" s="99"/>
      <c r="G53" s="99"/>
      <c r="H53" s="99"/>
      <c r="I53" s="99"/>
      <c r="J53" s="99"/>
      <c r="K53" s="99"/>
      <c r="L53" s="99"/>
      <c r="M53" s="99"/>
      <c r="N53" s="99"/>
      <c r="O53" s="57"/>
      <c r="P53" s="101"/>
      <c r="Q53" s="102"/>
      <c r="R53" s="102"/>
      <c r="S53" s="102"/>
      <c r="T53" s="102"/>
      <c r="U53" s="102"/>
      <c r="V53" s="102"/>
    </row>
    <row r="54" spans="1:22" s="103" customFormat="1" ht="21" customHeight="1" x14ac:dyDescent="0.15">
      <c r="A54" s="99"/>
      <c r="B54" s="100"/>
      <c r="C54" s="99"/>
      <c r="D54" s="99"/>
      <c r="E54" s="99"/>
      <c r="F54" s="99"/>
      <c r="G54" s="99"/>
      <c r="H54" s="99"/>
      <c r="I54" s="99"/>
      <c r="J54" s="99"/>
      <c r="K54" s="99"/>
      <c r="L54" s="99"/>
      <c r="M54" s="99"/>
      <c r="N54" s="99"/>
      <c r="O54" s="57"/>
      <c r="P54" s="101"/>
      <c r="Q54" s="102"/>
      <c r="R54" s="102"/>
      <c r="S54" s="102"/>
      <c r="T54" s="102"/>
      <c r="U54" s="102"/>
      <c r="V54" s="102"/>
    </row>
    <row r="55" spans="1:22" s="103" customFormat="1" ht="21" customHeight="1" x14ac:dyDescent="0.15">
      <c r="A55" s="99"/>
      <c r="B55" s="100"/>
      <c r="C55" s="99"/>
      <c r="D55" s="99"/>
      <c r="E55" s="99"/>
      <c r="F55" s="99"/>
      <c r="G55" s="99"/>
      <c r="H55" s="99"/>
      <c r="I55" s="99"/>
      <c r="J55" s="99"/>
      <c r="K55" s="99"/>
      <c r="L55" s="99"/>
      <c r="M55" s="99"/>
      <c r="N55" s="99"/>
      <c r="O55" s="57"/>
      <c r="P55" s="101"/>
      <c r="Q55" s="102"/>
      <c r="R55" s="102"/>
      <c r="S55" s="102"/>
      <c r="T55" s="102"/>
      <c r="U55" s="102"/>
      <c r="V55" s="102"/>
    </row>
    <row r="56" spans="1:22" s="103" customFormat="1" ht="21" customHeight="1" x14ac:dyDescent="0.15">
      <c r="A56" s="99"/>
      <c r="B56" s="100"/>
      <c r="C56" s="99"/>
      <c r="D56" s="99"/>
      <c r="E56" s="99"/>
      <c r="F56" s="99"/>
      <c r="G56" s="99"/>
      <c r="H56" s="99"/>
      <c r="I56" s="99"/>
      <c r="J56" s="99"/>
      <c r="K56" s="99"/>
      <c r="L56" s="99"/>
      <c r="M56" s="99"/>
      <c r="N56" s="99"/>
      <c r="O56" s="57"/>
      <c r="P56" s="101"/>
      <c r="Q56" s="102"/>
      <c r="R56" s="102"/>
      <c r="S56" s="102"/>
      <c r="T56" s="102"/>
      <c r="U56" s="102"/>
      <c r="V56" s="102"/>
    </row>
    <row r="57" spans="1:22" s="103" customFormat="1" ht="21" customHeight="1" x14ac:dyDescent="0.15">
      <c r="A57" s="99"/>
      <c r="B57" s="100"/>
      <c r="C57" s="99"/>
      <c r="D57" s="99"/>
      <c r="E57" s="99"/>
      <c r="F57" s="99"/>
      <c r="G57" s="99"/>
      <c r="H57" s="99"/>
      <c r="I57" s="99"/>
      <c r="J57" s="99"/>
      <c r="K57" s="99"/>
      <c r="L57" s="99"/>
      <c r="M57" s="99"/>
      <c r="N57" s="99"/>
      <c r="O57" s="57"/>
      <c r="P57" s="101"/>
      <c r="Q57" s="102"/>
      <c r="R57" s="102"/>
      <c r="S57" s="102"/>
      <c r="T57" s="102"/>
      <c r="U57" s="102"/>
      <c r="V57" s="102"/>
    </row>
    <row r="58" spans="1:22" s="103" customFormat="1" ht="21" customHeight="1" x14ac:dyDescent="0.15">
      <c r="A58" s="99"/>
      <c r="B58" s="100"/>
      <c r="C58" s="99"/>
      <c r="D58" s="99"/>
      <c r="E58" s="99"/>
      <c r="F58" s="99"/>
      <c r="G58" s="99"/>
      <c r="H58" s="99"/>
      <c r="I58" s="99"/>
      <c r="J58" s="99"/>
      <c r="K58" s="99"/>
      <c r="L58" s="99"/>
      <c r="M58" s="99"/>
      <c r="N58" s="99"/>
      <c r="O58" s="57"/>
      <c r="P58" s="101"/>
      <c r="Q58" s="102"/>
      <c r="R58" s="102"/>
      <c r="S58" s="102"/>
      <c r="T58" s="102"/>
      <c r="U58" s="102"/>
      <c r="V58" s="102"/>
    </row>
    <row r="59" spans="1:22" s="103" customFormat="1" ht="21" customHeight="1" x14ac:dyDescent="0.15">
      <c r="A59" s="99"/>
      <c r="B59" s="100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99"/>
      <c r="O59" s="57"/>
      <c r="P59" s="101"/>
      <c r="Q59" s="102"/>
      <c r="R59" s="102"/>
      <c r="S59" s="102"/>
      <c r="T59" s="102"/>
      <c r="U59" s="102"/>
      <c r="V59" s="102"/>
    </row>
    <row r="60" spans="1:22" s="103" customFormat="1" ht="21" customHeight="1" x14ac:dyDescent="0.15">
      <c r="A60" s="99"/>
      <c r="B60" s="100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99"/>
      <c r="O60" s="57"/>
      <c r="P60" s="101"/>
      <c r="Q60" s="102"/>
      <c r="R60" s="102"/>
      <c r="S60" s="102"/>
      <c r="T60" s="102"/>
      <c r="U60" s="102"/>
      <c r="V60" s="102"/>
    </row>
    <row r="61" spans="1:22" s="103" customFormat="1" ht="21" customHeight="1" x14ac:dyDescent="0.15">
      <c r="A61" s="99"/>
      <c r="B61" s="100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57"/>
      <c r="P61" s="101"/>
      <c r="Q61" s="102"/>
      <c r="R61" s="102"/>
      <c r="S61" s="102"/>
      <c r="T61" s="102"/>
      <c r="U61" s="102"/>
      <c r="V61" s="102"/>
    </row>
    <row r="62" spans="1:22" s="103" customFormat="1" ht="21" customHeight="1" x14ac:dyDescent="0.15">
      <c r="A62" s="99"/>
      <c r="B62" s="104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57"/>
      <c r="P62" s="101"/>
      <c r="Q62" s="102"/>
      <c r="R62" s="102"/>
      <c r="S62" s="102"/>
      <c r="T62" s="102"/>
      <c r="U62" s="102"/>
      <c r="V62" s="102"/>
    </row>
    <row r="63" spans="1:22" s="103" customFormat="1" ht="21" customHeight="1" x14ac:dyDescent="0.15">
      <c r="A63" s="99"/>
      <c r="B63" s="104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57"/>
      <c r="P63" s="101"/>
      <c r="Q63" s="102"/>
      <c r="R63" s="102"/>
      <c r="S63" s="102"/>
      <c r="T63" s="102"/>
      <c r="U63" s="102"/>
      <c r="V63" s="102"/>
    </row>
    <row r="64" spans="1:22" s="103" customFormat="1" ht="21" customHeight="1" x14ac:dyDescent="0.15">
      <c r="A64" s="99"/>
      <c r="B64" s="104"/>
      <c r="C64" s="99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57"/>
      <c r="P64" s="101"/>
      <c r="Q64" s="102"/>
      <c r="R64" s="102"/>
      <c r="S64" s="102"/>
      <c r="T64" s="102"/>
      <c r="U64" s="102"/>
      <c r="V64" s="102"/>
    </row>
    <row r="65" spans="1:22" s="103" customFormat="1" ht="21" customHeight="1" x14ac:dyDescent="0.15">
      <c r="A65" s="99"/>
      <c r="B65" s="104"/>
      <c r="C65" s="99"/>
      <c r="D65" s="99"/>
      <c r="E65" s="99"/>
      <c r="F65" s="99"/>
      <c r="G65" s="99"/>
      <c r="H65" s="99"/>
      <c r="I65" s="99"/>
      <c r="J65" s="99"/>
      <c r="K65" s="99"/>
      <c r="L65" s="99"/>
      <c r="M65" s="99"/>
      <c r="N65" s="99"/>
      <c r="O65" s="57"/>
      <c r="P65" s="101"/>
      <c r="Q65" s="102"/>
      <c r="R65" s="102"/>
      <c r="S65" s="102"/>
      <c r="T65" s="102"/>
      <c r="U65" s="102"/>
      <c r="V65" s="102"/>
    </row>
    <row r="66" spans="1:22" s="105" customFormat="1" ht="21" customHeight="1" thickBot="1" x14ac:dyDescent="0.2">
      <c r="A66" s="99"/>
      <c r="B66" s="100"/>
      <c r="C66" s="99"/>
      <c r="D66" s="99"/>
      <c r="E66" s="99"/>
      <c r="F66" s="99"/>
      <c r="G66" s="99"/>
      <c r="H66" s="99"/>
      <c r="I66" s="99"/>
      <c r="J66" s="99"/>
      <c r="K66" s="99"/>
      <c r="L66" s="99"/>
      <c r="M66" s="99"/>
      <c r="N66" s="99"/>
      <c r="O66" s="57"/>
      <c r="P66" s="101"/>
      <c r="Q66" s="102"/>
      <c r="R66" s="102"/>
      <c r="S66" s="102"/>
      <c r="T66" s="102"/>
      <c r="U66" s="102"/>
      <c r="V66" s="102"/>
    </row>
    <row r="67" spans="1:22" s="103" customFormat="1" ht="21" customHeight="1" x14ac:dyDescent="0.15">
      <c r="A67" s="99"/>
      <c r="B67" s="100"/>
      <c r="C67" s="99"/>
      <c r="D67" s="99"/>
      <c r="E67" s="99"/>
      <c r="F67" s="99"/>
      <c r="G67" s="99"/>
      <c r="H67" s="99"/>
      <c r="I67" s="99"/>
      <c r="J67" s="99"/>
      <c r="K67" s="99"/>
      <c r="L67" s="99"/>
      <c r="M67" s="99"/>
      <c r="N67" s="99"/>
      <c r="O67" s="57"/>
      <c r="P67" s="101"/>
      <c r="Q67" s="102"/>
      <c r="R67" s="102"/>
      <c r="S67" s="102"/>
      <c r="T67" s="102"/>
      <c r="U67" s="102"/>
      <c r="V67" s="102"/>
    </row>
    <row r="68" spans="1:22" s="103" customFormat="1" ht="21" customHeight="1" x14ac:dyDescent="0.15">
      <c r="A68" s="99"/>
      <c r="B68" s="100"/>
      <c r="C68" s="99"/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57"/>
      <c r="P68" s="101"/>
      <c r="Q68" s="102"/>
      <c r="R68" s="102"/>
      <c r="S68" s="102"/>
      <c r="T68" s="102"/>
      <c r="U68" s="102"/>
      <c r="V68" s="102"/>
    </row>
    <row r="69" spans="1:22" s="103" customFormat="1" ht="21" customHeight="1" x14ac:dyDescent="0.15">
      <c r="A69" s="99"/>
      <c r="B69" s="100"/>
      <c r="C69" s="99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57"/>
      <c r="P69" s="101"/>
      <c r="Q69" s="102"/>
      <c r="R69" s="102"/>
      <c r="S69" s="102"/>
      <c r="T69" s="102"/>
      <c r="U69" s="102"/>
      <c r="V69" s="102"/>
    </row>
    <row r="70" spans="1:22" s="103" customFormat="1" ht="21" customHeight="1" x14ac:dyDescent="0.15">
      <c r="A70" s="99"/>
      <c r="B70" s="106"/>
      <c r="C70" s="99"/>
      <c r="D70" s="99"/>
      <c r="E70" s="99"/>
      <c r="F70" s="99"/>
      <c r="G70" s="99"/>
      <c r="H70" s="99"/>
      <c r="I70" s="99"/>
      <c r="J70" s="99"/>
      <c r="K70" s="99"/>
      <c r="L70" s="99"/>
      <c r="M70" s="99"/>
      <c r="N70" s="99"/>
      <c r="O70" s="57"/>
      <c r="P70" s="101"/>
      <c r="Q70" s="102"/>
      <c r="R70" s="102"/>
      <c r="S70" s="102"/>
      <c r="T70" s="102"/>
      <c r="U70" s="102"/>
      <c r="V70" s="102"/>
    </row>
    <row r="71" spans="1:22" s="103" customFormat="1" ht="21" customHeight="1" x14ac:dyDescent="0.15">
      <c r="A71" s="99"/>
      <c r="B71" s="100"/>
      <c r="C71" s="99"/>
      <c r="D71" s="99"/>
      <c r="E71" s="99"/>
      <c r="F71" s="99"/>
      <c r="G71" s="99"/>
      <c r="H71" s="99"/>
      <c r="I71" s="99"/>
      <c r="J71" s="99"/>
      <c r="K71" s="99"/>
      <c r="L71" s="99"/>
      <c r="M71" s="99"/>
      <c r="N71" s="99"/>
      <c r="O71" s="57"/>
      <c r="P71" s="101"/>
      <c r="Q71" s="102"/>
      <c r="R71" s="102"/>
      <c r="S71" s="102"/>
      <c r="T71" s="102"/>
      <c r="U71" s="102"/>
      <c r="V71" s="102"/>
    </row>
    <row r="72" spans="1:22" s="103" customFormat="1" ht="21" customHeight="1" x14ac:dyDescent="0.15">
      <c r="A72" s="99"/>
      <c r="B72" s="106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99"/>
      <c r="N72" s="99"/>
      <c r="O72" s="57"/>
      <c r="P72" s="101"/>
      <c r="Q72" s="102"/>
      <c r="R72" s="102"/>
      <c r="S72" s="102"/>
      <c r="T72" s="102"/>
      <c r="U72" s="102"/>
      <c r="V72" s="102"/>
    </row>
    <row r="73" spans="1:22" s="103" customFormat="1" ht="21" customHeight="1" x14ac:dyDescent="0.15">
      <c r="A73" s="99"/>
      <c r="B73" s="107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57"/>
      <c r="P73" s="101"/>
      <c r="Q73" s="102"/>
      <c r="R73" s="102"/>
      <c r="S73" s="102"/>
      <c r="T73" s="102"/>
      <c r="U73" s="102"/>
      <c r="V73" s="102"/>
    </row>
    <row r="74" spans="1:22" s="103" customFormat="1" ht="21" customHeight="1" x14ac:dyDescent="0.15">
      <c r="A74" s="99"/>
      <c r="B74" s="100"/>
      <c r="C74" s="99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57"/>
      <c r="P74" s="101"/>
      <c r="Q74" s="102"/>
      <c r="R74" s="102"/>
      <c r="S74" s="102"/>
      <c r="T74" s="102"/>
      <c r="U74" s="102"/>
      <c r="V74" s="102"/>
    </row>
    <row r="75" spans="1:22" s="103" customFormat="1" ht="21" customHeight="1" x14ac:dyDescent="0.15">
      <c r="A75" s="99"/>
      <c r="B75" s="100"/>
      <c r="C75" s="99"/>
      <c r="D75" s="99"/>
      <c r="E75" s="99"/>
      <c r="F75" s="99"/>
      <c r="G75" s="99"/>
      <c r="H75" s="99"/>
      <c r="I75" s="99"/>
      <c r="J75" s="99"/>
      <c r="K75" s="99"/>
      <c r="L75" s="99"/>
      <c r="M75" s="99"/>
      <c r="N75" s="99"/>
      <c r="O75" s="57"/>
      <c r="P75" s="101"/>
      <c r="Q75" s="102"/>
      <c r="R75" s="102"/>
      <c r="S75" s="102"/>
      <c r="T75" s="102"/>
      <c r="U75" s="102"/>
      <c r="V75" s="102"/>
    </row>
    <row r="76" spans="1:22" s="103" customFormat="1" ht="21" customHeight="1" x14ac:dyDescent="0.15">
      <c r="A76" s="99"/>
      <c r="B76" s="100"/>
      <c r="C76" s="99"/>
      <c r="D76" s="99"/>
      <c r="E76" s="99"/>
      <c r="F76" s="99"/>
      <c r="G76" s="99"/>
      <c r="H76" s="99"/>
      <c r="I76" s="99"/>
      <c r="J76" s="99"/>
      <c r="K76" s="99"/>
      <c r="L76" s="99"/>
      <c r="M76" s="99"/>
      <c r="N76" s="99"/>
      <c r="O76" s="57"/>
      <c r="P76" s="101"/>
      <c r="Q76" s="102"/>
      <c r="R76" s="102"/>
      <c r="S76" s="102"/>
      <c r="T76" s="102"/>
      <c r="U76" s="102"/>
      <c r="V76" s="102"/>
    </row>
    <row r="77" spans="1:22" s="103" customFormat="1" ht="21" customHeight="1" x14ac:dyDescent="0.15">
      <c r="A77" s="99"/>
      <c r="B77" s="99"/>
      <c r="C77" s="99"/>
      <c r="D77" s="99"/>
      <c r="E77" s="99"/>
      <c r="F77" s="99"/>
      <c r="G77" s="99"/>
      <c r="H77" s="99"/>
      <c r="I77" s="99"/>
      <c r="J77" s="99"/>
      <c r="K77" s="99"/>
      <c r="L77" s="99"/>
      <c r="M77" s="99"/>
      <c r="N77" s="99"/>
      <c r="O77" s="57"/>
      <c r="P77" s="101"/>
      <c r="Q77" s="102"/>
      <c r="R77" s="102"/>
      <c r="S77" s="102"/>
      <c r="T77" s="102"/>
      <c r="U77" s="102"/>
      <c r="V77" s="102"/>
    </row>
    <row r="78" spans="1:22" s="103" customFormat="1" ht="21" customHeight="1" x14ac:dyDescent="0.15">
      <c r="A78" s="99"/>
      <c r="B78" s="99"/>
      <c r="C78" s="99"/>
      <c r="D78" s="99"/>
      <c r="E78" s="99"/>
      <c r="F78" s="99"/>
      <c r="G78" s="99"/>
      <c r="H78" s="99"/>
      <c r="I78" s="99"/>
      <c r="J78" s="99"/>
      <c r="K78" s="99"/>
      <c r="L78" s="99"/>
      <c r="M78" s="99"/>
      <c r="N78" s="99"/>
      <c r="O78" s="57"/>
      <c r="P78" s="101"/>
      <c r="Q78" s="102"/>
      <c r="R78" s="102"/>
      <c r="S78" s="102"/>
      <c r="T78" s="102"/>
      <c r="U78" s="102"/>
      <c r="V78" s="102"/>
    </row>
    <row r="79" spans="1:22" s="103" customFormat="1" ht="21" customHeight="1" x14ac:dyDescent="0.15">
      <c r="A79" s="99"/>
      <c r="B79" s="99"/>
      <c r="C79" s="99"/>
      <c r="D79" s="99"/>
      <c r="E79" s="99"/>
      <c r="F79" s="99"/>
      <c r="G79" s="99"/>
      <c r="H79" s="99"/>
      <c r="I79" s="99"/>
      <c r="J79" s="99"/>
      <c r="K79" s="99"/>
      <c r="L79" s="99"/>
      <c r="M79" s="99"/>
      <c r="N79" s="99"/>
      <c r="O79" s="57"/>
      <c r="P79" s="101"/>
      <c r="Q79" s="102"/>
      <c r="R79" s="102"/>
      <c r="S79" s="102"/>
      <c r="T79" s="102"/>
      <c r="U79" s="102"/>
      <c r="V79" s="102"/>
    </row>
    <row r="80" spans="1:22" s="103" customFormat="1" ht="21" customHeight="1" x14ac:dyDescent="0.15">
      <c r="A80" s="99"/>
      <c r="B80" s="99"/>
      <c r="C80" s="99"/>
      <c r="D80" s="99"/>
      <c r="E80" s="99"/>
      <c r="F80" s="99"/>
      <c r="G80" s="99"/>
      <c r="H80" s="99"/>
      <c r="I80" s="99"/>
      <c r="J80" s="99"/>
      <c r="K80" s="99"/>
      <c r="L80" s="99"/>
      <c r="M80" s="99"/>
      <c r="N80" s="99"/>
      <c r="O80" s="57"/>
      <c r="P80" s="101"/>
      <c r="Q80" s="102"/>
      <c r="R80" s="102"/>
      <c r="S80" s="102"/>
      <c r="T80" s="102"/>
      <c r="U80" s="102"/>
      <c r="V80" s="102"/>
    </row>
    <row r="81" spans="1:22" s="103" customFormat="1" ht="21" customHeight="1" x14ac:dyDescent="0.15">
      <c r="A81" s="99"/>
      <c r="B81" s="99"/>
      <c r="C81" s="99"/>
      <c r="D81" s="99"/>
      <c r="E81" s="99"/>
      <c r="F81" s="99"/>
      <c r="G81" s="99"/>
      <c r="H81" s="99"/>
      <c r="I81" s="99"/>
      <c r="J81" s="99"/>
      <c r="K81" s="99"/>
      <c r="L81" s="99"/>
      <c r="M81" s="99"/>
      <c r="N81" s="99"/>
      <c r="O81" s="57"/>
      <c r="P81" s="101"/>
      <c r="Q81" s="102"/>
      <c r="R81" s="102"/>
      <c r="S81" s="102"/>
      <c r="T81" s="102"/>
      <c r="U81" s="102"/>
      <c r="V81" s="102"/>
    </row>
    <row r="82" spans="1:22" s="103" customFormat="1" ht="21" customHeight="1" x14ac:dyDescent="0.15">
      <c r="A82" s="99"/>
      <c r="B82" s="99"/>
      <c r="C82" s="99"/>
      <c r="D82" s="99"/>
      <c r="E82" s="99"/>
      <c r="F82" s="99"/>
      <c r="G82" s="99"/>
      <c r="H82" s="99"/>
      <c r="I82" s="99"/>
      <c r="J82" s="99"/>
      <c r="K82" s="99"/>
      <c r="L82" s="99"/>
      <c r="M82" s="99"/>
      <c r="N82" s="99"/>
      <c r="O82" s="57"/>
      <c r="P82" s="101"/>
      <c r="Q82" s="102"/>
      <c r="R82" s="102"/>
      <c r="S82" s="102"/>
      <c r="T82" s="102"/>
      <c r="U82" s="102"/>
      <c r="V82" s="102"/>
    </row>
    <row r="83" spans="1:22" s="103" customFormat="1" ht="21" customHeight="1" x14ac:dyDescent="0.15">
      <c r="A83" s="99"/>
      <c r="B83" s="99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/>
      <c r="N83" s="99"/>
      <c r="O83" s="57"/>
      <c r="P83" s="101"/>
      <c r="Q83" s="102"/>
      <c r="R83" s="102"/>
      <c r="S83" s="102"/>
      <c r="T83" s="102"/>
      <c r="U83" s="102"/>
      <c r="V83" s="102"/>
    </row>
    <row r="84" spans="1:22" s="103" customFormat="1" ht="21" customHeight="1" x14ac:dyDescent="0.15">
      <c r="A84" s="99"/>
      <c r="B84" s="99"/>
      <c r="C84" s="99"/>
      <c r="D84" s="99"/>
      <c r="E84" s="99"/>
      <c r="F84" s="99"/>
      <c r="G84" s="99"/>
      <c r="H84" s="99"/>
      <c r="I84" s="99"/>
      <c r="J84" s="99"/>
      <c r="K84" s="99"/>
      <c r="L84" s="99"/>
      <c r="M84" s="99"/>
      <c r="N84" s="99"/>
      <c r="O84" s="57"/>
      <c r="P84" s="101"/>
      <c r="Q84" s="102"/>
      <c r="R84" s="102"/>
      <c r="S84" s="102"/>
      <c r="T84" s="102"/>
      <c r="U84" s="102"/>
      <c r="V84" s="102"/>
    </row>
    <row r="85" spans="1:22" s="103" customFormat="1" ht="21" customHeight="1" x14ac:dyDescent="0.15">
      <c r="A85" s="99"/>
      <c r="B85" s="99"/>
      <c r="C85" s="99"/>
      <c r="D85" s="99"/>
      <c r="E85" s="99"/>
      <c r="F85" s="99"/>
      <c r="G85" s="99"/>
      <c r="H85" s="99"/>
      <c r="I85" s="99"/>
      <c r="J85" s="99"/>
      <c r="K85" s="99"/>
      <c r="L85" s="99"/>
      <c r="M85" s="99"/>
      <c r="N85" s="99"/>
      <c r="O85" s="57"/>
      <c r="P85" s="101"/>
      <c r="Q85" s="102"/>
      <c r="R85" s="102"/>
      <c r="S85" s="102"/>
      <c r="T85" s="102"/>
      <c r="U85" s="102"/>
      <c r="V85" s="102"/>
    </row>
    <row r="86" spans="1:22" s="103" customFormat="1" ht="21" customHeight="1" x14ac:dyDescent="0.15">
      <c r="A86" s="99"/>
      <c r="B86" s="99"/>
      <c r="C86" s="99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57"/>
      <c r="P86" s="101"/>
      <c r="Q86" s="102"/>
      <c r="R86" s="102"/>
      <c r="S86" s="102"/>
      <c r="T86" s="102"/>
      <c r="U86" s="102"/>
      <c r="V86" s="102"/>
    </row>
    <row r="87" spans="1:22" s="103" customFormat="1" ht="21" customHeight="1" x14ac:dyDescent="0.15">
      <c r="A87" s="99"/>
      <c r="B87" s="99"/>
      <c r="C87" s="99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57"/>
      <c r="P87" s="101"/>
      <c r="Q87" s="102"/>
      <c r="R87" s="102"/>
      <c r="S87" s="102"/>
      <c r="T87" s="102"/>
      <c r="U87" s="102"/>
      <c r="V87" s="102"/>
    </row>
    <row r="88" spans="1:22" s="103" customFormat="1" ht="21" customHeight="1" x14ac:dyDescent="0.15">
      <c r="A88" s="99"/>
      <c r="B88" s="99"/>
      <c r="C88" s="99"/>
      <c r="D88" s="99"/>
      <c r="E88" s="99"/>
      <c r="F88" s="99"/>
      <c r="G88" s="99"/>
      <c r="H88" s="99"/>
      <c r="I88" s="99"/>
      <c r="J88" s="99"/>
      <c r="K88" s="99"/>
      <c r="L88" s="99"/>
      <c r="M88" s="99"/>
      <c r="N88" s="99"/>
      <c r="O88" s="57"/>
      <c r="P88" s="101"/>
      <c r="Q88" s="102"/>
      <c r="R88" s="102"/>
      <c r="S88" s="102"/>
      <c r="T88" s="102"/>
      <c r="U88" s="102"/>
      <c r="V88" s="102"/>
    </row>
    <row r="89" spans="1:22" s="103" customFormat="1" ht="21" customHeight="1" x14ac:dyDescent="0.15">
      <c r="A89" s="99"/>
      <c r="B89" s="99"/>
      <c r="C89" s="99"/>
      <c r="D89" s="99"/>
      <c r="E89" s="99"/>
      <c r="F89" s="99"/>
      <c r="G89" s="99"/>
      <c r="H89" s="99"/>
      <c r="I89" s="99"/>
      <c r="J89" s="99"/>
      <c r="K89" s="99"/>
      <c r="L89" s="99"/>
      <c r="M89" s="99"/>
      <c r="N89" s="99"/>
      <c r="O89" s="57"/>
      <c r="P89" s="101"/>
      <c r="Q89" s="102"/>
      <c r="R89" s="102"/>
      <c r="S89" s="102"/>
      <c r="T89" s="102"/>
      <c r="U89" s="102"/>
      <c r="V89" s="102"/>
    </row>
    <row r="90" spans="1:22" s="103" customFormat="1" ht="21" customHeight="1" x14ac:dyDescent="0.15">
      <c r="A90" s="99"/>
      <c r="B90" s="99"/>
      <c r="C90" s="99"/>
      <c r="D90" s="99"/>
      <c r="E90" s="99"/>
      <c r="F90" s="99"/>
      <c r="G90" s="99"/>
      <c r="H90" s="99"/>
      <c r="I90" s="99"/>
      <c r="J90" s="99"/>
      <c r="K90" s="99"/>
      <c r="L90" s="99"/>
      <c r="M90" s="99"/>
      <c r="N90" s="99"/>
      <c r="O90" s="57"/>
      <c r="P90" s="101"/>
      <c r="Q90" s="102"/>
      <c r="R90" s="102"/>
      <c r="S90" s="102"/>
      <c r="T90" s="102"/>
      <c r="U90" s="102"/>
      <c r="V90" s="102"/>
    </row>
    <row r="91" spans="1:22" s="103" customFormat="1" ht="21" customHeight="1" x14ac:dyDescent="0.15">
      <c r="A91" s="99"/>
      <c r="B91" s="99"/>
      <c r="C91" s="99"/>
      <c r="D91" s="99"/>
      <c r="E91" s="99"/>
      <c r="F91" s="99"/>
      <c r="G91" s="99"/>
      <c r="H91" s="99"/>
      <c r="I91" s="99"/>
      <c r="J91" s="99"/>
      <c r="K91" s="99"/>
      <c r="L91" s="99"/>
      <c r="M91" s="99"/>
      <c r="N91" s="99"/>
      <c r="O91" s="57"/>
      <c r="P91" s="101"/>
      <c r="Q91" s="102"/>
      <c r="R91" s="102"/>
      <c r="S91" s="102"/>
      <c r="T91" s="102"/>
      <c r="U91" s="102"/>
      <c r="V91" s="102"/>
    </row>
    <row r="92" spans="1:22" s="103" customFormat="1" ht="21" customHeight="1" x14ac:dyDescent="0.15">
      <c r="A92" s="99"/>
      <c r="B92" s="99"/>
      <c r="C92" s="99"/>
      <c r="D92" s="99"/>
      <c r="E92" s="99"/>
      <c r="F92" s="99"/>
      <c r="G92" s="99"/>
      <c r="H92" s="99"/>
      <c r="I92" s="99"/>
      <c r="J92" s="99"/>
      <c r="K92" s="99"/>
      <c r="L92" s="99"/>
      <c r="M92" s="99"/>
      <c r="N92" s="99"/>
      <c r="O92" s="57"/>
      <c r="P92" s="101"/>
      <c r="Q92" s="102"/>
      <c r="R92" s="102"/>
      <c r="S92" s="102"/>
      <c r="T92" s="102"/>
      <c r="U92" s="102"/>
      <c r="V92" s="102"/>
    </row>
    <row r="93" spans="1:22" s="103" customFormat="1" ht="21" customHeight="1" x14ac:dyDescent="0.15">
      <c r="A93" s="99"/>
      <c r="B93" s="99"/>
      <c r="C93" s="99"/>
      <c r="D93" s="99"/>
      <c r="E93" s="99"/>
      <c r="F93" s="99"/>
      <c r="G93" s="99"/>
      <c r="H93" s="99"/>
      <c r="I93" s="99"/>
      <c r="J93" s="99"/>
      <c r="K93" s="99"/>
      <c r="L93" s="99"/>
      <c r="M93" s="99"/>
      <c r="N93" s="99"/>
      <c r="O93" s="57"/>
      <c r="P93" s="101"/>
      <c r="Q93" s="102"/>
      <c r="R93" s="102"/>
      <c r="S93" s="102"/>
      <c r="T93" s="102"/>
      <c r="U93" s="102"/>
      <c r="V93" s="102"/>
    </row>
    <row r="94" spans="1:22" s="103" customFormat="1" ht="21" customHeight="1" x14ac:dyDescent="0.15">
      <c r="A94" s="99"/>
      <c r="B94" s="99"/>
      <c r="C94" s="99"/>
      <c r="D94" s="99"/>
      <c r="E94" s="99"/>
      <c r="F94" s="99"/>
      <c r="G94" s="99"/>
      <c r="H94" s="99"/>
      <c r="I94" s="99"/>
      <c r="J94" s="99"/>
      <c r="K94" s="99"/>
      <c r="L94" s="99"/>
      <c r="M94" s="99"/>
      <c r="N94" s="99"/>
      <c r="O94" s="57"/>
      <c r="P94" s="101"/>
      <c r="Q94" s="102"/>
      <c r="R94" s="102"/>
      <c r="S94" s="102"/>
      <c r="T94" s="102"/>
      <c r="U94" s="102"/>
      <c r="V94" s="102"/>
    </row>
    <row r="95" spans="1:22" s="103" customFormat="1" ht="21" customHeight="1" x14ac:dyDescent="0.15">
      <c r="A95" s="99"/>
      <c r="B95" s="99"/>
      <c r="C95" s="99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57"/>
      <c r="P95" s="101"/>
      <c r="Q95" s="102"/>
      <c r="R95" s="102"/>
      <c r="S95" s="102"/>
      <c r="T95" s="102"/>
      <c r="U95" s="102"/>
      <c r="V95" s="102"/>
    </row>
    <row r="96" spans="1:22" s="103" customFormat="1" ht="21" customHeight="1" x14ac:dyDescent="0.15">
      <c r="A96" s="99"/>
      <c r="B96" s="99"/>
      <c r="C96" s="99"/>
      <c r="D96" s="99"/>
      <c r="E96" s="99"/>
      <c r="F96" s="99"/>
      <c r="G96" s="99"/>
      <c r="H96" s="99"/>
      <c r="I96" s="99"/>
      <c r="J96" s="99"/>
      <c r="K96" s="99"/>
      <c r="L96" s="99"/>
      <c r="M96" s="99"/>
      <c r="N96" s="99"/>
      <c r="O96" s="57"/>
      <c r="P96" s="101"/>
      <c r="Q96" s="102"/>
      <c r="R96" s="102"/>
      <c r="S96" s="102"/>
      <c r="T96" s="102"/>
      <c r="U96" s="102"/>
      <c r="V96" s="102"/>
    </row>
    <row r="97" spans="1:22" s="103" customFormat="1" ht="21" customHeight="1" x14ac:dyDescent="0.1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57"/>
      <c r="P97" s="101"/>
      <c r="Q97" s="102"/>
      <c r="R97" s="102"/>
      <c r="S97" s="102"/>
      <c r="T97" s="102"/>
      <c r="U97" s="102"/>
      <c r="V97" s="102"/>
    </row>
    <row r="98" spans="1:22" s="103" customFormat="1" ht="21" customHeight="1" x14ac:dyDescent="0.15">
      <c r="A98" s="99"/>
      <c r="B98" s="99"/>
      <c r="C98" s="99"/>
      <c r="D98" s="99"/>
      <c r="E98" s="99"/>
      <c r="F98" s="99"/>
      <c r="G98" s="99"/>
      <c r="H98" s="99"/>
      <c r="I98" s="99"/>
      <c r="J98" s="99"/>
      <c r="K98" s="99"/>
      <c r="L98" s="99"/>
      <c r="M98" s="99"/>
      <c r="N98" s="99"/>
      <c r="O98" s="57"/>
      <c r="P98" s="101"/>
      <c r="Q98" s="102"/>
      <c r="R98" s="102"/>
      <c r="S98" s="102"/>
      <c r="T98" s="102"/>
      <c r="U98" s="102"/>
      <c r="V98" s="102"/>
    </row>
    <row r="99" spans="1:22" s="103" customFormat="1" ht="21" customHeight="1" x14ac:dyDescent="0.15">
      <c r="A99" s="99"/>
      <c r="B99" s="99"/>
      <c r="C99" s="99"/>
      <c r="D99" s="99"/>
      <c r="E99" s="99"/>
      <c r="F99" s="99"/>
      <c r="G99" s="99"/>
      <c r="H99" s="99"/>
      <c r="I99" s="99"/>
      <c r="J99" s="99"/>
      <c r="K99" s="99"/>
      <c r="L99" s="99"/>
      <c r="M99" s="99"/>
      <c r="N99" s="99"/>
      <c r="O99" s="57"/>
      <c r="P99" s="101"/>
      <c r="Q99" s="102"/>
      <c r="R99" s="102"/>
      <c r="S99" s="102"/>
      <c r="T99" s="102"/>
      <c r="U99" s="102"/>
      <c r="V99" s="102"/>
    </row>
    <row r="100" spans="1:22" s="103" customFormat="1" ht="21" customHeight="1" x14ac:dyDescent="0.15">
      <c r="A100" s="99"/>
      <c r="B100" s="99"/>
      <c r="C100" s="99"/>
      <c r="D100" s="99"/>
      <c r="E100" s="99"/>
      <c r="F100" s="99"/>
      <c r="G100" s="99"/>
      <c r="H100" s="99"/>
      <c r="I100" s="99"/>
      <c r="J100" s="99"/>
      <c r="K100" s="99"/>
      <c r="L100" s="99"/>
      <c r="M100" s="99"/>
      <c r="N100" s="99"/>
      <c r="O100" s="57"/>
      <c r="P100" s="101"/>
      <c r="Q100" s="102"/>
      <c r="R100" s="102"/>
      <c r="S100" s="102"/>
      <c r="T100" s="102"/>
      <c r="U100" s="102"/>
      <c r="V100" s="102"/>
    </row>
    <row r="101" spans="1:22" s="103" customFormat="1" ht="21" customHeight="1" x14ac:dyDescent="0.15">
      <c r="A101" s="99"/>
      <c r="B101" s="99"/>
      <c r="C101" s="99"/>
      <c r="D101" s="99"/>
      <c r="E101" s="99"/>
      <c r="F101" s="99"/>
      <c r="G101" s="99"/>
      <c r="H101" s="99"/>
      <c r="I101" s="99"/>
      <c r="J101" s="99"/>
      <c r="K101" s="99"/>
      <c r="L101" s="99"/>
      <c r="M101" s="99"/>
      <c r="N101" s="99"/>
      <c r="O101" s="57"/>
      <c r="P101" s="101"/>
      <c r="Q101" s="102"/>
      <c r="R101" s="102"/>
      <c r="S101" s="102"/>
      <c r="T101" s="102"/>
      <c r="U101" s="102"/>
      <c r="V101" s="102"/>
    </row>
    <row r="102" spans="1:22" s="103" customFormat="1" ht="21" customHeight="1" x14ac:dyDescent="0.15">
      <c r="A102" s="99"/>
      <c r="B102" s="99"/>
      <c r="C102" s="99"/>
      <c r="D102" s="99"/>
      <c r="E102" s="99"/>
      <c r="F102" s="99"/>
      <c r="G102" s="99"/>
      <c r="H102" s="99"/>
      <c r="I102" s="99"/>
      <c r="J102" s="99"/>
      <c r="K102" s="99"/>
      <c r="L102" s="99"/>
      <c r="M102" s="99"/>
      <c r="N102" s="99"/>
      <c r="O102" s="57"/>
      <c r="P102" s="101"/>
      <c r="Q102" s="102"/>
      <c r="R102" s="102"/>
      <c r="S102" s="102"/>
      <c r="T102" s="102"/>
      <c r="U102" s="102"/>
      <c r="V102" s="102"/>
    </row>
    <row r="103" spans="1:22" s="103" customFormat="1" ht="21" customHeight="1" x14ac:dyDescent="0.15">
      <c r="A103" s="99"/>
      <c r="B103" s="99"/>
      <c r="C103" s="99"/>
      <c r="D103" s="99"/>
      <c r="E103" s="99"/>
      <c r="F103" s="99"/>
      <c r="G103" s="99"/>
      <c r="H103" s="99"/>
      <c r="I103" s="99"/>
      <c r="J103" s="99"/>
      <c r="K103" s="99"/>
      <c r="L103" s="99"/>
      <c r="M103" s="99"/>
      <c r="N103" s="99"/>
      <c r="O103" s="57"/>
      <c r="P103" s="101"/>
      <c r="Q103" s="102"/>
      <c r="R103" s="102"/>
      <c r="S103" s="102"/>
      <c r="T103" s="102"/>
      <c r="U103" s="102"/>
      <c r="V103" s="102"/>
    </row>
    <row r="104" spans="1:22" s="103" customFormat="1" ht="21" customHeight="1" x14ac:dyDescent="0.15">
      <c r="A104" s="99"/>
      <c r="B104" s="99"/>
      <c r="C104" s="99"/>
      <c r="D104" s="99"/>
      <c r="E104" s="99"/>
      <c r="F104" s="99"/>
      <c r="G104" s="99"/>
      <c r="H104" s="99"/>
      <c r="I104" s="99"/>
      <c r="J104" s="99"/>
      <c r="K104" s="99"/>
      <c r="L104" s="99"/>
      <c r="M104" s="99"/>
      <c r="N104" s="99"/>
      <c r="O104" s="57"/>
      <c r="P104" s="101"/>
      <c r="Q104" s="102"/>
      <c r="R104" s="102"/>
      <c r="S104" s="102"/>
      <c r="T104" s="102"/>
      <c r="U104" s="102"/>
      <c r="V104" s="102"/>
    </row>
    <row r="105" spans="1:22" s="103" customFormat="1" ht="21" customHeight="1" x14ac:dyDescent="0.15">
      <c r="A105" s="99"/>
      <c r="B105" s="99"/>
      <c r="C105" s="99"/>
      <c r="D105" s="99"/>
      <c r="E105" s="99"/>
      <c r="F105" s="99"/>
      <c r="G105" s="99"/>
      <c r="H105" s="99"/>
      <c r="I105" s="99"/>
      <c r="J105" s="99"/>
      <c r="K105" s="99"/>
      <c r="L105" s="99"/>
      <c r="M105" s="99"/>
      <c r="N105" s="99"/>
      <c r="O105" s="57"/>
      <c r="P105" s="101"/>
      <c r="Q105" s="102"/>
      <c r="R105" s="102"/>
      <c r="S105" s="102"/>
      <c r="T105" s="102"/>
      <c r="U105" s="102"/>
      <c r="V105" s="102"/>
    </row>
    <row r="106" spans="1:22" s="103" customFormat="1" ht="21" customHeight="1" x14ac:dyDescent="0.15">
      <c r="A106" s="99"/>
      <c r="B106" s="99"/>
      <c r="C106" s="99"/>
      <c r="D106" s="99"/>
      <c r="E106" s="99"/>
      <c r="F106" s="99"/>
      <c r="G106" s="99"/>
      <c r="H106" s="99"/>
      <c r="I106" s="99"/>
      <c r="J106" s="99"/>
      <c r="K106" s="99"/>
      <c r="L106" s="99"/>
      <c r="M106" s="99"/>
      <c r="N106" s="99"/>
      <c r="O106" s="57"/>
      <c r="P106" s="101"/>
      <c r="Q106" s="102"/>
      <c r="R106" s="102"/>
      <c r="S106" s="102"/>
      <c r="T106" s="102"/>
      <c r="U106" s="102"/>
      <c r="V106" s="102"/>
    </row>
    <row r="107" spans="1:22" s="103" customFormat="1" ht="21" customHeight="1" x14ac:dyDescent="0.15">
      <c r="A107" s="99"/>
      <c r="B107" s="99"/>
      <c r="C107" s="99"/>
      <c r="D107" s="99"/>
      <c r="E107" s="99"/>
      <c r="F107" s="99"/>
      <c r="G107" s="99"/>
      <c r="H107" s="99"/>
      <c r="I107" s="99"/>
      <c r="J107" s="99"/>
      <c r="K107" s="99"/>
      <c r="L107" s="99"/>
      <c r="M107" s="99"/>
      <c r="N107" s="99"/>
      <c r="O107" s="57"/>
      <c r="P107" s="101"/>
      <c r="Q107" s="102"/>
      <c r="R107" s="102"/>
      <c r="S107" s="102"/>
      <c r="T107" s="102"/>
      <c r="U107" s="102"/>
      <c r="V107" s="102"/>
    </row>
    <row r="108" spans="1:22" s="103" customFormat="1" ht="21" customHeight="1" x14ac:dyDescent="0.15">
      <c r="A108" s="99"/>
      <c r="B108" s="99"/>
      <c r="C108" s="99"/>
      <c r="D108" s="99"/>
      <c r="E108" s="99"/>
      <c r="F108" s="99"/>
      <c r="G108" s="99"/>
      <c r="H108" s="99"/>
      <c r="I108" s="99"/>
      <c r="J108" s="99"/>
      <c r="K108" s="99"/>
      <c r="L108" s="99"/>
      <c r="M108" s="99"/>
      <c r="N108" s="99"/>
      <c r="O108" s="57"/>
      <c r="P108" s="101"/>
      <c r="Q108" s="102"/>
      <c r="R108" s="102"/>
      <c r="S108" s="102"/>
      <c r="T108" s="102"/>
      <c r="U108" s="102"/>
      <c r="V108" s="102"/>
    </row>
    <row r="109" spans="1:22" s="103" customFormat="1" ht="21" customHeight="1" x14ac:dyDescent="0.15">
      <c r="A109" s="99"/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L109" s="99"/>
      <c r="M109" s="99"/>
      <c r="N109" s="99"/>
      <c r="O109" s="57"/>
      <c r="P109" s="101"/>
      <c r="Q109" s="102"/>
      <c r="R109" s="102"/>
      <c r="S109" s="102"/>
      <c r="T109" s="102"/>
      <c r="U109" s="102"/>
      <c r="V109" s="102"/>
    </row>
    <row r="110" spans="1:22" s="103" customFormat="1" ht="21" customHeight="1" x14ac:dyDescent="0.15">
      <c r="A110" s="99"/>
      <c r="B110" s="99"/>
      <c r="C110" s="99"/>
      <c r="D110" s="99"/>
      <c r="E110" s="99"/>
      <c r="F110" s="99"/>
      <c r="G110" s="99"/>
      <c r="H110" s="99"/>
      <c r="I110" s="99"/>
      <c r="J110" s="99"/>
      <c r="K110" s="99"/>
      <c r="L110" s="99"/>
      <c r="M110" s="99"/>
      <c r="N110" s="99"/>
      <c r="O110" s="57"/>
      <c r="P110" s="101"/>
      <c r="Q110" s="102"/>
      <c r="R110" s="102"/>
      <c r="S110" s="102"/>
      <c r="T110" s="102"/>
      <c r="U110" s="102"/>
      <c r="V110" s="102"/>
    </row>
    <row r="111" spans="1:22" s="103" customFormat="1" ht="21" customHeight="1" x14ac:dyDescent="0.15">
      <c r="A111" s="99"/>
      <c r="B111" s="99"/>
      <c r="C111" s="99"/>
      <c r="D111" s="99"/>
      <c r="E111" s="99"/>
      <c r="F111" s="99"/>
      <c r="G111" s="99"/>
      <c r="H111" s="99"/>
      <c r="I111" s="99"/>
      <c r="J111" s="99"/>
      <c r="K111" s="99"/>
      <c r="L111" s="99"/>
      <c r="M111" s="99"/>
      <c r="N111" s="99"/>
      <c r="O111" s="57"/>
      <c r="P111" s="101"/>
      <c r="Q111" s="102"/>
      <c r="R111" s="102"/>
      <c r="S111" s="102"/>
      <c r="T111" s="102"/>
      <c r="U111" s="102"/>
      <c r="V111" s="102"/>
    </row>
    <row r="112" spans="1:22" s="103" customFormat="1" ht="21" customHeight="1" x14ac:dyDescent="0.15">
      <c r="A112" s="99"/>
      <c r="B112" s="99"/>
      <c r="C112" s="99"/>
      <c r="D112" s="99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57"/>
      <c r="P112" s="101"/>
      <c r="Q112" s="102"/>
      <c r="R112" s="102"/>
      <c r="S112" s="102"/>
      <c r="T112" s="102"/>
      <c r="U112" s="102"/>
      <c r="V112" s="102"/>
    </row>
    <row r="113" spans="1:22" s="103" customFormat="1" ht="21" customHeight="1" x14ac:dyDescent="0.15">
      <c r="A113" s="99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57"/>
      <c r="P113" s="101"/>
      <c r="Q113" s="102"/>
      <c r="R113" s="102"/>
      <c r="S113" s="102"/>
      <c r="T113" s="102"/>
      <c r="U113" s="102"/>
      <c r="V113" s="102"/>
    </row>
    <row r="114" spans="1:22" s="103" customFormat="1" ht="21" customHeight="1" x14ac:dyDescent="0.15">
      <c r="A114" s="99"/>
      <c r="B114" s="99"/>
      <c r="C114" s="99"/>
      <c r="D114" s="99"/>
      <c r="E114" s="99"/>
      <c r="F114" s="99"/>
      <c r="G114" s="99"/>
      <c r="H114" s="99"/>
      <c r="I114" s="99"/>
      <c r="J114" s="99"/>
      <c r="K114" s="99"/>
      <c r="L114" s="99"/>
      <c r="M114" s="99"/>
      <c r="N114" s="99"/>
      <c r="O114" s="57"/>
      <c r="P114" s="101"/>
      <c r="Q114" s="102"/>
      <c r="R114" s="102"/>
      <c r="S114" s="102"/>
      <c r="T114" s="102"/>
      <c r="U114" s="102"/>
      <c r="V114" s="102"/>
    </row>
    <row r="115" spans="1:22" s="103" customFormat="1" ht="21" customHeight="1" x14ac:dyDescent="0.15">
      <c r="A115" s="99"/>
      <c r="B115" s="99"/>
      <c r="C115" s="99"/>
      <c r="D115" s="99"/>
      <c r="E115" s="99"/>
      <c r="F115" s="99"/>
      <c r="G115" s="99"/>
      <c r="H115" s="99"/>
      <c r="I115" s="99"/>
      <c r="J115" s="99"/>
      <c r="K115" s="99"/>
      <c r="L115" s="99"/>
      <c r="M115" s="99"/>
      <c r="N115" s="99"/>
      <c r="O115" s="57"/>
      <c r="P115" s="101"/>
      <c r="Q115" s="102"/>
      <c r="R115" s="102"/>
      <c r="S115" s="102"/>
      <c r="T115" s="102"/>
      <c r="U115" s="102"/>
      <c r="V115" s="102"/>
    </row>
    <row r="116" spans="1:22" s="103" customFormat="1" ht="21" customHeight="1" x14ac:dyDescent="0.15">
      <c r="A116" s="99"/>
      <c r="B116" s="99"/>
      <c r="C116" s="99"/>
      <c r="D116" s="99"/>
      <c r="E116" s="99"/>
      <c r="F116" s="99"/>
      <c r="G116" s="99"/>
      <c r="H116" s="99"/>
      <c r="I116" s="99"/>
      <c r="J116" s="99"/>
      <c r="K116" s="99"/>
      <c r="L116" s="99"/>
      <c r="M116" s="99"/>
      <c r="N116" s="99"/>
      <c r="O116" s="57"/>
      <c r="P116" s="101"/>
      <c r="Q116" s="102"/>
      <c r="R116" s="102"/>
      <c r="S116" s="102"/>
      <c r="T116" s="102"/>
      <c r="U116" s="102"/>
      <c r="V116" s="102"/>
    </row>
    <row r="117" spans="1:22" s="103" customFormat="1" ht="21" customHeight="1" x14ac:dyDescent="0.15">
      <c r="A117" s="99"/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M117" s="99"/>
      <c r="N117" s="99"/>
      <c r="O117" s="57"/>
      <c r="P117" s="101"/>
      <c r="Q117" s="102"/>
      <c r="R117" s="102"/>
      <c r="S117" s="102"/>
      <c r="T117" s="102"/>
      <c r="U117" s="102"/>
      <c r="V117" s="102"/>
    </row>
    <row r="118" spans="1:22" s="103" customFormat="1" ht="21" customHeight="1" x14ac:dyDescent="0.15">
      <c r="A118" s="99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M118" s="99"/>
      <c r="N118" s="99"/>
      <c r="O118" s="57"/>
      <c r="P118" s="101"/>
      <c r="Q118" s="102"/>
      <c r="R118" s="102"/>
      <c r="S118" s="102"/>
      <c r="T118" s="102"/>
      <c r="U118" s="102"/>
      <c r="V118" s="102"/>
    </row>
    <row r="119" spans="1:22" s="103" customFormat="1" ht="21" customHeight="1" x14ac:dyDescent="0.15">
      <c r="A119" s="99"/>
      <c r="B119" s="99"/>
      <c r="C119" s="99"/>
      <c r="D119" s="99"/>
      <c r="E119" s="99"/>
      <c r="F119" s="99"/>
      <c r="G119" s="99"/>
      <c r="H119" s="99"/>
      <c r="I119" s="99"/>
      <c r="J119" s="99"/>
      <c r="K119" s="99"/>
      <c r="L119" s="99"/>
      <c r="M119" s="99"/>
      <c r="N119" s="99"/>
      <c r="O119" s="57"/>
      <c r="P119" s="101"/>
      <c r="Q119" s="102"/>
      <c r="R119" s="102"/>
      <c r="S119" s="102"/>
      <c r="T119" s="102"/>
      <c r="U119" s="102"/>
      <c r="V119" s="102"/>
    </row>
    <row r="120" spans="1:22" s="103" customFormat="1" ht="21" customHeight="1" x14ac:dyDescent="0.15">
      <c r="A120" s="99"/>
      <c r="B120" s="99"/>
      <c r="C120" s="99"/>
      <c r="D120" s="99"/>
      <c r="E120" s="99"/>
      <c r="F120" s="99"/>
      <c r="G120" s="99"/>
      <c r="H120" s="99"/>
      <c r="I120" s="99"/>
      <c r="J120" s="99"/>
      <c r="K120" s="99"/>
      <c r="L120" s="99"/>
      <c r="M120" s="99"/>
      <c r="N120" s="99"/>
      <c r="O120" s="57"/>
      <c r="P120" s="101"/>
      <c r="Q120" s="102"/>
      <c r="R120" s="102"/>
      <c r="S120" s="102"/>
      <c r="T120" s="102"/>
      <c r="U120" s="102"/>
      <c r="V120" s="102"/>
    </row>
    <row r="121" spans="1:22" s="103" customFormat="1" ht="21" customHeight="1" x14ac:dyDescent="0.15">
      <c r="A121" s="99"/>
      <c r="B121" s="99"/>
      <c r="C121" s="99"/>
      <c r="D121" s="99"/>
      <c r="E121" s="99"/>
      <c r="F121" s="99"/>
      <c r="G121" s="99"/>
      <c r="H121" s="99"/>
      <c r="I121" s="99"/>
      <c r="J121" s="99"/>
      <c r="K121" s="99"/>
      <c r="L121" s="99"/>
      <c r="M121" s="99"/>
      <c r="N121" s="99"/>
      <c r="O121" s="57"/>
      <c r="P121" s="101"/>
      <c r="Q121" s="102"/>
      <c r="R121" s="102"/>
      <c r="S121" s="102"/>
      <c r="T121" s="102"/>
      <c r="U121" s="102"/>
      <c r="V121" s="102"/>
    </row>
    <row r="122" spans="1:22" s="103" customFormat="1" ht="21" customHeight="1" x14ac:dyDescent="0.15">
      <c r="A122" s="99"/>
      <c r="B122" s="99"/>
      <c r="C122" s="99"/>
      <c r="D122" s="99"/>
      <c r="E122" s="99"/>
      <c r="F122" s="99"/>
      <c r="G122" s="99"/>
      <c r="H122" s="99"/>
      <c r="I122" s="99"/>
      <c r="J122" s="99"/>
      <c r="K122" s="99"/>
      <c r="L122" s="99"/>
      <c r="M122" s="99"/>
      <c r="N122" s="99"/>
      <c r="O122" s="57"/>
      <c r="P122" s="101"/>
      <c r="Q122" s="102"/>
      <c r="R122" s="102"/>
      <c r="S122" s="102"/>
      <c r="T122" s="102"/>
      <c r="U122" s="102"/>
      <c r="V122" s="102"/>
    </row>
    <row r="123" spans="1:22" s="103" customFormat="1" ht="21" customHeight="1" x14ac:dyDescent="0.15">
      <c r="A123" s="99"/>
      <c r="B123" s="99"/>
      <c r="C123" s="99"/>
      <c r="D123" s="99"/>
      <c r="E123" s="99"/>
      <c r="F123" s="99"/>
      <c r="G123" s="99"/>
      <c r="H123" s="99"/>
      <c r="I123" s="99"/>
      <c r="J123" s="99"/>
      <c r="K123" s="99"/>
      <c r="L123" s="99"/>
      <c r="M123" s="99"/>
      <c r="N123" s="99"/>
      <c r="O123" s="57"/>
      <c r="P123" s="101"/>
      <c r="Q123" s="102"/>
      <c r="R123" s="102"/>
      <c r="S123" s="102"/>
      <c r="T123" s="102"/>
      <c r="U123" s="102"/>
      <c r="V123" s="102"/>
    </row>
    <row r="124" spans="1:22" s="103" customFormat="1" ht="21" customHeight="1" x14ac:dyDescent="0.15">
      <c r="A124" s="99"/>
      <c r="B124" s="99"/>
      <c r="C124" s="99"/>
      <c r="D124" s="99"/>
      <c r="E124" s="99"/>
      <c r="F124" s="99"/>
      <c r="G124" s="99"/>
      <c r="H124" s="99"/>
      <c r="I124" s="99"/>
      <c r="J124" s="99"/>
      <c r="K124" s="99"/>
      <c r="L124" s="99"/>
      <c r="M124" s="99"/>
      <c r="N124" s="99"/>
      <c r="O124" s="57"/>
      <c r="P124" s="101"/>
      <c r="Q124" s="102"/>
      <c r="R124" s="102"/>
      <c r="S124" s="102"/>
      <c r="T124" s="102"/>
      <c r="U124" s="102"/>
      <c r="V124" s="102"/>
    </row>
    <row r="125" spans="1:22" s="103" customFormat="1" ht="21" customHeight="1" x14ac:dyDescent="0.15">
      <c r="A125" s="99"/>
      <c r="B125" s="100"/>
      <c r="C125" s="99"/>
      <c r="D125" s="99"/>
      <c r="E125" s="99"/>
      <c r="F125" s="99"/>
      <c r="G125" s="99"/>
      <c r="H125" s="99"/>
      <c r="I125" s="99"/>
      <c r="J125" s="99"/>
      <c r="K125" s="99"/>
      <c r="L125" s="99"/>
      <c r="M125" s="99"/>
      <c r="N125" s="99"/>
      <c r="O125" s="57"/>
      <c r="P125" s="101"/>
      <c r="Q125" s="102"/>
      <c r="R125" s="102"/>
      <c r="S125" s="102"/>
      <c r="T125" s="102"/>
      <c r="U125" s="102"/>
      <c r="V125" s="102"/>
    </row>
    <row r="126" spans="1:22" s="103" customFormat="1" ht="21" customHeight="1" x14ac:dyDescent="0.15">
      <c r="A126" s="99"/>
      <c r="B126" s="100"/>
      <c r="C126" s="99"/>
      <c r="D126" s="99"/>
      <c r="E126" s="99"/>
      <c r="F126" s="99"/>
      <c r="G126" s="99"/>
      <c r="H126" s="99"/>
      <c r="I126" s="99"/>
      <c r="J126" s="99"/>
      <c r="K126" s="99"/>
      <c r="L126" s="99"/>
      <c r="M126" s="99"/>
      <c r="N126" s="99"/>
      <c r="O126" s="57"/>
      <c r="P126" s="101"/>
      <c r="Q126" s="102"/>
      <c r="R126" s="102"/>
      <c r="S126" s="102"/>
      <c r="T126" s="102"/>
      <c r="U126" s="102"/>
      <c r="V126" s="102"/>
    </row>
    <row r="127" spans="1:22" s="103" customFormat="1" ht="21" customHeight="1" x14ac:dyDescent="0.15">
      <c r="A127" s="99"/>
      <c r="B127" s="100"/>
      <c r="C127" s="99"/>
      <c r="D127" s="99"/>
      <c r="E127" s="99"/>
      <c r="F127" s="99"/>
      <c r="G127" s="99"/>
      <c r="H127" s="99"/>
      <c r="I127" s="99"/>
      <c r="J127" s="99"/>
      <c r="K127" s="99"/>
      <c r="L127" s="99"/>
      <c r="M127" s="99"/>
      <c r="N127" s="99"/>
      <c r="O127" s="57"/>
      <c r="P127" s="101"/>
      <c r="Q127" s="102"/>
      <c r="R127" s="102"/>
      <c r="S127" s="102"/>
      <c r="T127" s="102"/>
      <c r="U127" s="102"/>
      <c r="V127" s="102"/>
    </row>
    <row r="128" spans="1:22" s="103" customFormat="1" ht="21" customHeight="1" x14ac:dyDescent="0.15">
      <c r="A128" s="99"/>
      <c r="B128" s="100"/>
      <c r="C128" s="99"/>
      <c r="D128" s="99"/>
      <c r="E128" s="99"/>
      <c r="F128" s="99"/>
      <c r="G128" s="99"/>
      <c r="H128" s="99"/>
      <c r="I128" s="99"/>
      <c r="J128" s="99"/>
      <c r="K128" s="99"/>
      <c r="L128" s="99"/>
      <c r="M128" s="99"/>
      <c r="N128" s="99"/>
      <c r="O128" s="57"/>
      <c r="P128" s="101"/>
      <c r="Q128" s="102"/>
      <c r="R128" s="102"/>
      <c r="S128" s="102"/>
      <c r="T128" s="102"/>
      <c r="U128" s="102"/>
      <c r="V128" s="102"/>
    </row>
    <row r="129" spans="1:22" s="103" customFormat="1" ht="21" customHeight="1" x14ac:dyDescent="0.15">
      <c r="A129" s="99"/>
      <c r="B129" s="100"/>
      <c r="C129" s="99"/>
      <c r="D129" s="99"/>
      <c r="E129" s="99"/>
      <c r="F129" s="99"/>
      <c r="G129" s="99"/>
      <c r="H129" s="99"/>
      <c r="I129" s="99"/>
      <c r="J129" s="99"/>
      <c r="K129" s="99"/>
      <c r="L129" s="99"/>
      <c r="M129" s="99"/>
      <c r="N129" s="99"/>
      <c r="O129" s="57"/>
      <c r="P129" s="101"/>
      <c r="Q129" s="102"/>
      <c r="R129" s="102"/>
      <c r="S129" s="102"/>
      <c r="T129" s="102"/>
      <c r="U129" s="102"/>
      <c r="V129" s="102"/>
    </row>
    <row r="130" spans="1:22" s="103" customFormat="1" ht="21" customHeight="1" x14ac:dyDescent="0.15">
      <c r="A130" s="99"/>
      <c r="B130" s="100"/>
      <c r="C130" s="99"/>
      <c r="D130" s="99"/>
      <c r="E130" s="99"/>
      <c r="F130" s="99"/>
      <c r="G130" s="99"/>
      <c r="H130" s="99"/>
      <c r="I130" s="99"/>
      <c r="J130" s="99"/>
      <c r="K130" s="99"/>
      <c r="L130" s="99"/>
      <c r="M130" s="99"/>
      <c r="N130" s="99"/>
      <c r="O130" s="57"/>
      <c r="P130" s="101"/>
      <c r="Q130" s="102"/>
      <c r="R130" s="102"/>
      <c r="S130" s="102"/>
      <c r="T130" s="102"/>
      <c r="U130" s="102"/>
      <c r="V130" s="102"/>
    </row>
    <row r="131" spans="1:22" s="103" customFormat="1" ht="21" customHeight="1" x14ac:dyDescent="0.15">
      <c r="A131" s="99"/>
      <c r="B131" s="100"/>
      <c r="C131" s="99"/>
      <c r="D131" s="99"/>
      <c r="E131" s="99"/>
      <c r="F131" s="99"/>
      <c r="G131" s="99"/>
      <c r="H131" s="99"/>
      <c r="I131" s="99"/>
      <c r="J131" s="99"/>
      <c r="K131" s="99"/>
      <c r="L131" s="99"/>
      <c r="M131" s="99"/>
      <c r="N131" s="99"/>
      <c r="O131" s="57"/>
      <c r="P131" s="101"/>
      <c r="Q131" s="102"/>
      <c r="R131" s="102"/>
      <c r="S131" s="102"/>
      <c r="T131" s="102"/>
      <c r="U131" s="102"/>
      <c r="V131" s="102"/>
    </row>
    <row r="132" spans="1:22" s="103" customFormat="1" ht="21" customHeight="1" x14ac:dyDescent="0.15">
      <c r="A132" s="99"/>
      <c r="B132" s="100"/>
      <c r="C132" s="99"/>
      <c r="D132" s="99"/>
      <c r="E132" s="99"/>
      <c r="F132" s="99"/>
      <c r="G132" s="99"/>
      <c r="H132" s="99"/>
      <c r="I132" s="99"/>
      <c r="J132" s="99"/>
      <c r="K132" s="99"/>
      <c r="L132" s="99"/>
      <c r="M132" s="99"/>
      <c r="N132" s="99"/>
      <c r="O132" s="57"/>
      <c r="P132" s="101"/>
      <c r="Q132" s="102"/>
      <c r="R132" s="102"/>
      <c r="S132" s="102"/>
      <c r="T132" s="102"/>
      <c r="U132" s="102"/>
      <c r="V132" s="102"/>
    </row>
    <row r="133" spans="1:22" s="103" customFormat="1" ht="21" customHeight="1" x14ac:dyDescent="0.15">
      <c r="A133" s="99"/>
      <c r="B133" s="100"/>
      <c r="C133" s="99"/>
      <c r="D133" s="99"/>
      <c r="E133" s="99"/>
      <c r="F133" s="99"/>
      <c r="G133" s="99"/>
      <c r="H133" s="99"/>
      <c r="I133" s="99"/>
      <c r="J133" s="99"/>
      <c r="K133" s="99"/>
      <c r="L133" s="99"/>
      <c r="M133" s="99"/>
      <c r="N133" s="99"/>
      <c r="O133" s="57"/>
      <c r="P133" s="101"/>
      <c r="Q133" s="102"/>
      <c r="R133" s="102"/>
      <c r="S133" s="102"/>
      <c r="T133" s="102"/>
      <c r="U133" s="102"/>
      <c r="V133" s="102"/>
    </row>
    <row r="134" spans="1:22" s="103" customFormat="1" ht="21" customHeight="1" x14ac:dyDescent="0.15">
      <c r="A134" s="99"/>
      <c r="B134" s="100"/>
      <c r="C134" s="99"/>
      <c r="D134" s="99"/>
      <c r="E134" s="99"/>
      <c r="F134" s="99"/>
      <c r="G134" s="99"/>
      <c r="H134" s="99"/>
      <c r="I134" s="99"/>
      <c r="J134" s="99"/>
      <c r="K134" s="99"/>
      <c r="L134" s="99"/>
      <c r="M134" s="99"/>
      <c r="N134" s="99"/>
      <c r="O134" s="57"/>
      <c r="P134" s="101"/>
      <c r="Q134" s="102"/>
      <c r="R134" s="102"/>
      <c r="S134" s="102"/>
      <c r="T134" s="102"/>
      <c r="U134" s="102"/>
      <c r="V134" s="102"/>
    </row>
    <row r="135" spans="1:22" s="103" customFormat="1" ht="21" customHeight="1" x14ac:dyDescent="0.15">
      <c r="A135" s="99"/>
      <c r="B135" s="100"/>
      <c r="C135" s="99"/>
      <c r="D135" s="99"/>
      <c r="E135" s="99"/>
      <c r="F135" s="99"/>
      <c r="G135" s="99"/>
      <c r="H135" s="99"/>
      <c r="I135" s="99"/>
      <c r="J135" s="99"/>
      <c r="K135" s="99"/>
      <c r="L135" s="99"/>
      <c r="M135" s="99"/>
      <c r="N135" s="99"/>
      <c r="O135" s="57"/>
      <c r="P135" s="101"/>
      <c r="Q135" s="102"/>
      <c r="R135" s="102"/>
      <c r="S135" s="102"/>
      <c r="T135" s="102"/>
      <c r="U135" s="102"/>
      <c r="V135" s="102"/>
    </row>
    <row r="136" spans="1:22" s="103" customFormat="1" ht="21" customHeight="1" x14ac:dyDescent="0.15">
      <c r="A136" s="99"/>
      <c r="B136" s="104"/>
      <c r="C136" s="99"/>
      <c r="D136" s="99"/>
      <c r="E136" s="99"/>
      <c r="F136" s="99"/>
      <c r="G136" s="99"/>
      <c r="H136" s="99"/>
      <c r="I136" s="99"/>
      <c r="J136" s="99"/>
      <c r="K136" s="99"/>
      <c r="L136" s="99"/>
      <c r="M136" s="99"/>
      <c r="N136" s="99"/>
      <c r="O136" s="57"/>
      <c r="P136" s="101"/>
      <c r="Q136" s="102"/>
      <c r="R136" s="102"/>
      <c r="S136" s="102"/>
      <c r="T136" s="102"/>
      <c r="U136" s="102"/>
      <c r="V136" s="102"/>
    </row>
    <row r="137" spans="1:22" s="103" customFormat="1" ht="21" customHeight="1" x14ac:dyDescent="0.15">
      <c r="A137" s="99"/>
      <c r="B137" s="104"/>
      <c r="C137" s="99"/>
      <c r="D137" s="99"/>
      <c r="E137" s="99"/>
      <c r="F137" s="99"/>
      <c r="G137" s="99"/>
      <c r="H137" s="99"/>
      <c r="I137" s="99"/>
      <c r="J137" s="99"/>
      <c r="K137" s="99"/>
      <c r="L137" s="99"/>
      <c r="M137" s="99"/>
      <c r="N137" s="99"/>
      <c r="O137" s="57"/>
      <c r="P137" s="101"/>
      <c r="Q137" s="102"/>
      <c r="R137" s="102"/>
      <c r="S137" s="102"/>
      <c r="T137" s="102"/>
      <c r="U137" s="102"/>
      <c r="V137" s="102"/>
    </row>
    <row r="138" spans="1:22" s="103" customFormat="1" ht="21" customHeight="1" x14ac:dyDescent="0.15">
      <c r="A138" s="99"/>
      <c r="B138" s="100"/>
      <c r="C138" s="99"/>
      <c r="D138" s="99"/>
      <c r="E138" s="99"/>
      <c r="F138" s="99"/>
      <c r="G138" s="99"/>
      <c r="H138" s="99"/>
      <c r="I138" s="99"/>
      <c r="J138" s="99"/>
      <c r="K138" s="99"/>
      <c r="L138" s="99"/>
      <c r="M138" s="99"/>
      <c r="N138" s="99"/>
      <c r="O138" s="57"/>
      <c r="P138" s="101"/>
      <c r="Q138" s="102"/>
      <c r="R138" s="102"/>
      <c r="S138" s="102"/>
      <c r="T138" s="102"/>
      <c r="U138" s="102"/>
      <c r="V138" s="102"/>
    </row>
    <row r="139" spans="1:22" s="103" customFormat="1" ht="21" customHeight="1" x14ac:dyDescent="0.15">
      <c r="A139" s="99"/>
      <c r="B139" s="100"/>
      <c r="C139" s="99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57"/>
      <c r="P139" s="101"/>
      <c r="Q139" s="102"/>
      <c r="R139" s="102"/>
      <c r="S139" s="102"/>
      <c r="T139" s="102"/>
      <c r="U139" s="102"/>
      <c r="V139" s="102"/>
    </row>
    <row r="140" spans="1:22" s="103" customFormat="1" ht="21" customHeight="1" x14ac:dyDescent="0.15">
      <c r="A140" s="99"/>
      <c r="B140" s="100"/>
      <c r="C140" s="99"/>
      <c r="D140" s="99"/>
      <c r="E140" s="99"/>
      <c r="F140" s="99"/>
      <c r="G140" s="99"/>
      <c r="H140" s="99"/>
      <c r="I140" s="99"/>
      <c r="J140" s="99"/>
      <c r="K140" s="99"/>
      <c r="L140" s="99"/>
      <c r="M140" s="99"/>
      <c r="N140" s="99"/>
      <c r="O140" s="57"/>
      <c r="P140" s="101"/>
      <c r="Q140" s="102"/>
      <c r="R140" s="102"/>
      <c r="S140" s="102"/>
      <c r="T140" s="102"/>
      <c r="U140" s="102"/>
      <c r="V140" s="102"/>
    </row>
    <row r="141" spans="1:22" s="103" customFormat="1" ht="21" customHeight="1" x14ac:dyDescent="0.15">
      <c r="A141" s="99"/>
      <c r="B141" s="100"/>
      <c r="C141" s="99"/>
      <c r="D141" s="99"/>
      <c r="E141" s="99"/>
      <c r="F141" s="99"/>
      <c r="G141" s="99"/>
      <c r="H141" s="99"/>
      <c r="I141" s="99"/>
      <c r="J141" s="99"/>
      <c r="K141" s="99"/>
      <c r="L141" s="99"/>
      <c r="M141" s="99"/>
      <c r="N141" s="99"/>
      <c r="O141" s="57"/>
      <c r="P141" s="101"/>
      <c r="Q141" s="102"/>
      <c r="R141" s="102"/>
      <c r="S141" s="102"/>
      <c r="T141" s="102"/>
      <c r="U141" s="102"/>
      <c r="V141" s="102"/>
    </row>
    <row r="142" spans="1:22" s="103" customFormat="1" ht="21" customHeight="1" x14ac:dyDescent="0.15">
      <c r="A142" s="99"/>
      <c r="B142" s="100"/>
      <c r="C142" s="99"/>
      <c r="D142" s="99"/>
      <c r="E142" s="99"/>
      <c r="F142" s="99"/>
      <c r="G142" s="99"/>
      <c r="H142" s="99"/>
      <c r="I142" s="99"/>
      <c r="J142" s="99"/>
      <c r="K142" s="99"/>
      <c r="L142" s="99"/>
      <c r="M142" s="99"/>
      <c r="N142" s="99"/>
      <c r="O142" s="57"/>
      <c r="P142" s="101"/>
      <c r="Q142" s="102"/>
      <c r="R142" s="102"/>
      <c r="S142" s="102"/>
      <c r="T142" s="102"/>
      <c r="U142" s="102"/>
      <c r="V142" s="102"/>
    </row>
    <row r="143" spans="1:22" s="108" customFormat="1" ht="21" customHeight="1" thickBot="1" x14ac:dyDescent="0.2">
      <c r="A143" s="99"/>
      <c r="B143" s="100"/>
      <c r="C143" s="99"/>
      <c r="D143" s="99"/>
      <c r="E143" s="99"/>
      <c r="F143" s="99"/>
      <c r="G143" s="99"/>
      <c r="H143" s="99"/>
      <c r="I143" s="99"/>
      <c r="J143" s="99"/>
      <c r="K143" s="99"/>
      <c r="L143" s="99"/>
      <c r="M143" s="99"/>
      <c r="N143" s="99"/>
      <c r="O143" s="57"/>
      <c r="P143" s="101"/>
      <c r="Q143" s="102"/>
      <c r="R143" s="102"/>
      <c r="S143" s="102"/>
      <c r="T143" s="102"/>
      <c r="U143" s="102"/>
      <c r="V143" s="102"/>
    </row>
    <row r="144" spans="1:22" s="103" customFormat="1" ht="21" customHeight="1" x14ac:dyDescent="0.15">
      <c r="A144" s="99"/>
      <c r="B144" s="100"/>
      <c r="C144" s="99"/>
      <c r="D144" s="99"/>
      <c r="E144" s="99"/>
      <c r="F144" s="99"/>
      <c r="G144" s="99"/>
      <c r="H144" s="99"/>
      <c r="I144" s="99"/>
      <c r="J144" s="99"/>
      <c r="K144" s="99"/>
      <c r="L144" s="99"/>
      <c r="M144" s="99"/>
      <c r="N144" s="99"/>
      <c r="O144" s="57"/>
      <c r="P144" s="101"/>
      <c r="Q144" s="102"/>
      <c r="R144" s="102"/>
      <c r="S144" s="102"/>
      <c r="T144" s="102"/>
      <c r="U144" s="102"/>
      <c r="V144" s="102"/>
    </row>
    <row r="145" spans="1:22" s="103" customFormat="1" ht="21" customHeight="1" x14ac:dyDescent="0.15">
      <c r="A145" s="99"/>
      <c r="B145" s="100"/>
      <c r="C145" s="99"/>
      <c r="D145" s="99"/>
      <c r="E145" s="99"/>
      <c r="F145" s="99"/>
      <c r="G145" s="99"/>
      <c r="H145" s="99"/>
      <c r="I145" s="99"/>
      <c r="J145" s="99"/>
      <c r="K145" s="99"/>
      <c r="L145" s="99"/>
      <c r="M145" s="99"/>
      <c r="N145" s="99"/>
      <c r="O145" s="57"/>
      <c r="P145" s="101"/>
      <c r="Q145" s="102"/>
      <c r="R145" s="102"/>
      <c r="S145" s="102"/>
      <c r="T145" s="102"/>
      <c r="U145" s="102"/>
      <c r="V145" s="102"/>
    </row>
    <row r="146" spans="1:22" s="103" customFormat="1" ht="21" customHeight="1" x14ac:dyDescent="0.15">
      <c r="A146" s="99"/>
      <c r="B146" s="100"/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57"/>
      <c r="P146" s="101"/>
      <c r="Q146" s="102"/>
      <c r="R146" s="102"/>
      <c r="S146" s="102"/>
      <c r="T146" s="102"/>
      <c r="U146" s="102"/>
      <c r="V146" s="102"/>
    </row>
    <row r="147" spans="1:22" s="103" customFormat="1" ht="21" customHeight="1" x14ac:dyDescent="0.15">
      <c r="A147" s="99"/>
      <c r="B147" s="100"/>
      <c r="C147" s="99"/>
      <c r="D147" s="99"/>
      <c r="E147" s="99"/>
      <c r="F147" s="99"/>
      <c r="G147" s="99"/>
      <c r="H147" s="99"/>
      <c r="I147" s="99"/>
      <c r="J147" s="99"/>
      <c r="K147" s="99"/>
      <c r="L147" s="99"/>
      <c r="M147" s="99"/>
      <c r="N147" s="99"/>
      <c r="O147" s="57"/>
      <c r="P147" s="101"/>
      <c r="Q147" s="102"/>
      <c r="R147" s="102"/>
      <c r="S147" s="102"/>
      <c r="T147" s="102"/>
      <c r="U147" s="102"/>
      <c r="V147" s="102"/>
    </row>
    <row r="148" spans="1:22" s="103" customFormat="1" ht="21" customHeight="1" x14ac:dyDescent="0.15">
      <c r="A148" s="99"/>
      <c r="B148" s="100"/>
      <c r="C148" s="99"/>
      <c r="D148" s="99"/>
      <c r="E148" s="99"/>
      <c r="F148" s="99"/>
      <c r="G148" s="99"/>
      <c r="H148" s="99"/>
      <c r="I148" s="99"/>
      <c r="J148" s="99"/>
      <c r="K148" s="99"/>
      <c r="L148" s="99"/>
      <c r="M148" s="99"/>
      <c r="N148" s="99"/>
      <c r="O148" s="57"/>
      <c r="P148" s="101"/>
      <c r="Q148" s="102"/>
      <c r="R148" s="102"/>
      <c r="S148" s="102"/>
      <c r="T148" s="102"/>
      <c r="U148" s="102"/>
      <c r="V148" s="102"/>
    </row>
    <row r="149" spans="1:22" s="103" customFormat="1" ht="21" customHeight="1" x14ac:dyDescent="0.15">
      <c r="A149" s="99"/>
      <c r="B149" s="100"/>
      <c r="C149" s="99"/>
      <c r="D149" s="99"/>
      <c r="E149" s="99"/>
      <c r="F149" s="99"/>
      <c r="G149" s="99"/>
      <c r="H149" s="99"/>
      <c r="I149" s="99"/>
      <c r="J149" s="99"/>
      <c r="K149" s="99"/>
      <c r="L149" s="99"/>
      <c r="M149" s="99"/>
      <c r="N149" s="99"/>
      <c r="O149" s="57"/>
      <c r="P149" s="101"/>
      <c r="Q149" s="102"/>
      <c r="R149" s="102"/>
      <c r="S149" s="102"/>
      <c r="T149" s="102"/>
      <c r="U149" s="102"/>
      <c r="V149" s="102"/>
    </row>
    <row r="150" spans="1:22" s="103" customFormat="1" ht="21" customHeight="1" x14ac:dyDescent="0.15">
      <c r="A150" s="99"/>
      <c r="B150" s="100"/>
      <c r="C150" s="99"/>
      <c r="D150" s="99"/>
      <c r="E150" s="99"/>
      <c r="F150" s="99"/>
      <c r="G150" s="99"/>
      <c r="H150" s="99"/>
      <c r="I150" s="99"/>
      <c r="J150" s="99"/>
      <c r="K150" s="99"/>
      <c r="L150" s="99"/>
      <c r="M150" s="99"/>
      <c r="N150" s="99"/>
      <c r="O150" s="57"/>
      <c r="P150" s="101"/>
      <c r="Q150" s="102"/>
      <c r="R150" s="102"/>
      <c r="S150" s="102"/>
      <c r="T150" s="102"/>
      <c r="U150" s="102"/>
      <c r="V150" s="102"/>
    </row>
    <row r="151" spans="1:22" s="103" customFormat="1" ht="21" customHeight="1" x14ac:dyDescent="0.15">
      <c r="A151" s="99"/>
      <c r="B151" s="100"/>
      <c r="C151" s="99"/>
      <c r="D151" s="99"/>
      <c r="E151" s="99"/>
      <c r="F151" s="99"/>
      <c r="G151" s="99"/>
      <c r="H151" s="99"/>
      <c r="I151" s="99"/>
      <c r="J151" s="99"/>
      <c r="K151" s="99"/>
      <c r="L151" s="99"/>
      <c r="M151" s="99"/>
      <c r="N151" s="99"/>
      <c r="O151" s="57"/>
      <c r="P151" s="101"/>
      <c r="Q151" s="102"/>
      <c r="R151" s="102"/>
      <c r="S151" s="102"/>
      <c r="T151" s="102"/>
      <c r="U151" s="102"/>
      <c r="V151" s="102"/>
    </row>
    <row r="152" spans="1:22" s="103" customFormat="1" ht="21" customHeight="1" x14ac:dyDescent="0.15">
      <c r="A152" s="99"/>
      <c r="B152" s="100"/>
      <c r="C152" s="99"/>
      <c r="D152" s="99"/>
      <c r="E152" s="99"/>
      <c r="F152" s="99"/>
      <c r="G152" s="99"/>
      <c r="H152" s="99"/>
      <c r="I152" s="99"/>
      <c r="J152" s="99"/>
      <c r="K152" s="99"/>
      <c r="L152" s="99"/>
      <c r="M152" s="99"/>
      <c r="N152" s="99"/>
      <c r="O152" s="57"/>
      <c r="P152" s="101"/>
      <c r="Q152" s="102"/>
      <c r="R152" s="102"/>
      <c r="S152" s="102"/>
      <c r="T152" s="102"/>
      <c r="U152" s="102"/>
      <c r="V152" s="102"/>
    </row>
    <row r="153" spans="1:22" s="103" customFormat="1" ht="21" customHeight="1" x14ac:dyDescent="0.15">
      <c r="A153" s="99"/>
      <c r="B153" s="100"/>
      <c r="C153" s="99"/>
      <c r="D153" s="99"/>
      <c r="E153" s="99"/>
      <c r="F153" s="99"/>
      <c r="G153" s="99"/>
      <c r="H153" s="99"/>
      <c r="I153" s="99"/>
      <c r="J153" s="99"/>
      <c r="K153" s="99"/>
      <c r="L153" s="99"/>
      <c r="M153" s="99"/>
      <c r="N153" s="99"/>
      <c r="O153" s="57"/>
      <c r="P153" s="101"/>
      <c r="Q153" s="102"/>
      <c r="R153" s="102"/>
      <c r="S153" s="102"/>
      <c r="T153" s="102"/>
      <c r="U153" s="102"/>
      <c r="V153" s="102"/>
    </row>
    <row r="154" spans="1:22" s="103" customFormat="1" ht="21" customHeight="1" x14ac:dyDescent="0.15">
      <c r="A154" s="99"/>
      <c r="B154" s="100"/>
      <c r="C154" s="99"/>
      <c r="D154" s="99"/>
      <c r="E154" s="99"/>
      <c r="F154" s="99"/>
      <c r="G154" s="99"/>
      <c r="H154" s="99"/>
      <c r="I154" s="99"/>
      <c r="J154" s="99"/>
      <c r="K154" s="99"/>
      <c r="L154" s="99"/>
      <c r="M154" s="99"/>
      <c r="N154" s="99"/>
      <c r="O154" s="57"/>
      <c r="P154" s="101"/>
      <c r="Q154" s="102"/>
      <c r="R154" s="102"/>
      <c r="S154" s="102"/>
      <c r="T154" s="102"/>
      <c r="U154" s="102"/>
      <c r="V154" s="102"/>
    </row>
    <row r="155" spans="1:22" s="103" customFormat="1" ht="21" customHeight="1" x14ac:dyDescent="0.15">
      <c r="A155" s="99"/>
      <c r="B155" s="100"/>
      <c r="C155" s="99"/>
      <c r="D155" s="99"/>
      <c r="E155" s="99"/>
      <c r="F155" s="99"/>
      <c r="G155" s="99"/>
      <c r="H155" s="99"/>
      <c r="I155" s="99"/>
      <c r="J155" s="99"/>
      <c r="K155" s="99"/>
      <c r="L155" s="99"/>
      <c r="M155" s="99"/>
      <c r="N155" s="99"/>
      <c r="O155" s="57"/>
      <c r="P155" s="101"/>
      <c r="Q155" s="102"/>
      <c r="R155" s="102"/>
      <c r="S155" s="102"/>
      <c r="T155" s="102"/>
      <c r="U155" s="102"/>
      <c r="V155" s="102"/>
    </row>
    <row r="156" spans="1:22" s="103" customFormat="1" ht="21" customHeight="1" x14ac:dyDescent="0.15">
      <c r="A156" s="99"/>
      <c r="B156" s="100"/>
      <c r="C156" s="99"/>
      <c r="D156" s="99"/>
      <c r="E156" s="99"/>
      <c r="F156" s="99"/>
      <c r="G156" s="99"/>
      <c r="H156" s="99"/>
      <c r="I156" s="99"/>
      <c r="J156" s="99"/>
      <c r="K156" s="99"/>
      <c r="L156" s="99"/>
      <c r="M156" s="99"/>
      <c r="N156" s="99"/>
      <c r="O156" s="57"/>
      <c r="P156" s="101"/>
      <c r="Q156" s="102"/>
      <c r="R156" s="102"/>
      <c r="S156" s="102"/>
      <c r="T156" s="102"/>
      <c r="U156" s="102"/>
      <c r="V156" s="102"/>
    </row>
    <row r="157" spans="1:22" s="103" customFormat="1" ht="21" customHeight="1" x14ac:dyDescent="0.15">
      <c r="A157" s="99"/>
      <c r="B157" s="100"/>
      <c r="C157" s="99"/>
      <c r="D157" s="99"/>
      <c r="E157" s="99"/>
      <c r="F157" s="99"/>
      <c r="G157" s="99"/>
      <c r="H157" s="99"/>
      <c r="I157" s="99"/>
      <c r="J157" s="99"/>
      <c r="K157" s="99"/>
      <c r="L157" s="99"/>
      <c r="M157" s="99"/>
      <c r="N157" s="99"/>
      <c r="O157" s="57"/>
      <c r="P157" s="101"/>
      <c r="Q157" s="102"/>
      <c r="R157" s="102"/>
      <c r="S157" s="102"/>
      <c r="T157" s="102"/>
      <c r="U157" s="102"/>
      <c r="V157" s="102"/>
    </row>
    <row r="158" spans="1:22" s="103" customFormat="1" ht="21" customHeight="1" x14ac:dyDescent="0.15">
      <c r="A158" s="99"/>
      <c r="B158" s="100"/>
      <c r="C158" s="99"/>
      <c r="D158" s="99"/>
      <c r="E158" s="99"/>
      <c r="F158" s="99"/>
      <c r="G158" s="99"/>
      <c r="H158" s="99"/>
      <c r="I158" s="99"/>
      <c r="J158" s="99"/>
      <c r="K158" s="99"/>
      <c r="L158" s="99"/>
      <c r="M158" s="99"/>
      <c r="N158" s="99"/>
      <c r="O158" s="57"/>
      <c r="P158" s="101"/>
      <c r="Q158" s="102"/>
      <c r="R158" s="102"/>
      <c r="S158" s="102"/>
      <c r="T158" s="102"/>
      <c r="U158" s="102"/>
      <c r="V158" s="102"/>
    </row>
    <row r="159" spans="1:22" s="103" customFormat="1" ht="21" customHeight="1" x14ac:dyDescent="0.15">
      <c r="A159" s="99"/>
      <c r="B159" s="100"/>
      <c r="C159" s="99"/>
      <c r="D159" s="99"/>
      <c r="E159" s="99"/>
      <c r="F159" s="99"/>
      <c r="G159" s="99"/>
      <c r="H159" s="99"/>
      <c r="I159" s="99"/>
      <c r="J159" s="99"/>
      <c r="K159" s="99"/>
      <c r="L159" s="99"/>
      <c r="M159" s="99"/>
      <c r="N159" s="99"/>
      <c r="O159" s="57"/>
      <c r="P159" s="101"/>
      <c r="Q159" s="102"/>
      <c r="R159" s="102"/>
      <c r="S159" s="102"/>
      <c r="T159" s="102"/>
      <c r="U159" s="102"/>
      <c r="V159" s="102"/>
    </row>
    <row r="160" spans="1:22" s="103" customFormat="1" ht="21" customHeight="1" x14ac:dyDescent="0.15">
      <c r="A160" s="99"/>
      <c r="B160" s="100"/>
      <c r="C160" s="99"/>
      <c r="D160" s="99"/>
      <c r="E160" s="99"/>
      <c r="F160" s="99"/>
      <c r="G160" s="99"/>
      <c r="H160" s="99"/>
      <c r="I160" s="99"/>
      <c r="J160" s="99"/>
      <c r="K160" s="99"/>
      <c r="L160" s="99"/>
      <c r="M160" s="99"/>
      <c r="N160" s="99"/>
      <c r="O160" s="57"/>
      <c r="P160" s="101"/>
      <c r="Q160" s="102"/>
      <c r="R160" s="102"/>
      <c r="S160" s="102"/>
      <c r="T160" s="102"/>
      <c r="U160" s="102"/>
      <c r="V160" s="102"/>
    </row>
    <row r="161" spans="1:22" s="103" customFormat="1" ht="21" customHeight="1" x14ac:dyDescent="0.15">
      <c r="A161" s="99"/>
      <c r="B161" s="100"/>
      <c r="C161" s="99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57"/>
      <c r="P161" s="101"/>
      <c r="Q161" s="102"/>
      <c r="R161" s="102"/>
      <c r="S161" s="102"/>
      <c r="T161" s="102"/>
      <c r="U161" s="102"/>
      <c r="V161" s="102"/>
    </row>
    <row r="162" spans="1:22" s="103" customFormat="1" ht="21" customHeight="1" x14ac:dyDescent="0.15">
      <c r="A162" s="99"/>
      <c r="B162" s="100"/>
      <c r="C162" s="99"/>
      <c r="D162" s="99"/>
      <c r="E162" s="99"/>
      <c r="F162" s="99"/>
      <c r="G162" s="99"/>
      <c r="H162" s="99"/>
      <c r="I162" s="99"/>
      <c r="J162" s="99"/>
      <c r="K162" s="99"/>
      <c r="L162" s="99"/>
      <c r="M162" s="99"/>
      <c r="N162" s="99"/>
      <c r="O162" s="57"/>
      <c r="P162" s="101"/>
      <c r="Q162" s="102"/>
      <c r="R162" s="102"/>
      <c r="S162" s="102"/>
      <c r="T162" s="102"/>
      <c r="U162" s="102"/>
      <c r="V162" s="102"/>
    </row>
    <row r="163" spans="1:22" s="103" customFormat="1" ht="21" customHeight="1" x14ac:dyDescent="0.15">
      <c r="A163" s="99"/>
      <c r="B163" s="100"/>
      <c r="C163" s="99"/>
      <c r="D163" s="99"/>
      <c r="E163" s="99"/>
      <c r="F163" s="99"/>
      <c r="G163" s="99"/>
      <c r="H163" s="99"/>
      <c r="I163" s="99"/>
      <c r="J163" s="99"/>
      <c r="K163" s="99"/>
      <c r="L163" s="99"/>
      <c r="M163" s="99"/>
      <c r="N163" s="99"/>
      <c r="O163" s="57"/>
      <c r="P163" s="101"/>
      <c r="Q163" s="102"/>
      <c r="R163" s="102"/>
      <c r="S163" s="102"/>
      <c r="T163" s="102"/>
      <c r="U163" s="102"/>
      <c r="V163" s="102"/>
    </row>
    <row r="164" spans="1:22" s="103" customFormat="1" ht="21" customHeight="1" x14ac:dyDescent="0.15">
      <c r="A164" s="99"/>
      <c r="B164" s="100"/>
      <c r="C164" s="99"/>
      <c r="D164" s="99"/>
      <c r="E164" s="99"/>
      <c r="F164" s="99"/>
      <c r="G164" s="99"/>
      <c r="H164" s="99"/>
      <c r="I164" s="99"/>
      <c r="J164" s="99"/>
      <c r="K164" s="99"/>
      <c r="L164" s="99"/>
      <c r="M164" s="99"/>
      <c r="N164" s="99"/>
      <c r="O164" s="57"/>
      <c r="P164" s="101"/>
      <c r="Q164" s="102"/>
      <c r="R164" s="102"/>
      <c r="S164" s="102"/>
      <c r="T164" s="102"/>
      <c r="U164" s="102"/>
      <c r="V164" s="102"/>
    </row>
    <row r="165" spans="1:22" s="103" customFormat="1" ht="21" customHeight="1" x14ac:dyDescent="0.15">
      <c r="A165" s="99"/>
      <c r="B165" s="100"/>
      <c r="C165" s="99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57"/>
      <c r="P165" s="101"/>
      <c r="Q165" s="102"/>
      <c r="R165" s="102"/>
      <c r="S165" s="102"/>
      <c r="T165" s="102"/>
      <c r="U165" s="102"/>
      <c r="V165" s="102"/>
    </row>
    <row r="166" spans="1:22" s="103" customFormat="1" ht="21" customHeight="1" x14ac:dyDescent="0.15">
      <c r="A166" s="99"/>
      <c r="B166" s="100"/>
      <c r="C166" s="99"/>
      <c r="D166" s="99"/>
      <c r="E166" s="99"/>
      <c r="F166" s="99"/>
      <c r="G166" s="99"/>
      <c r="H166" s="99"/>
      <c r="I166" s="99"/>
      <c r="J166" s="99"/>
      <c r="K166" s="99"/>
      <c r="L166" s="99"/>
      <c r="M166" s="99"/>
      <c r="N166" s="99"/>
      <c r="O166" s="57"/>
      <c r="P166" s="101"/>
      <c r="Q166" s="102"/>
      <c r="R166" s="102"/>
      <c r="S166" s="102"/>
      <c r="T166" s="102"/>
      <c r="U166" s="102"/>
      <c r="V166" s="102"/>
    </row>
    <row r="167" spans="1:22" s="103" customFormat="1" ht="21" customHeight="1" x14ac:dyDescent="0.15">
      <c r="A167" s="99"/>
      <c r="B167" s="100"/>
      <c r="C167" s="99"/>
      <c r="D167" s="99"/>
      <c r="E167" s="99"/>
      <c r="F167" s="99"/>
      <c r="G167" s="99"/>
      <c r="H167" s="99"/>
      <c r="I167" s="99"/>
      <c r="J167" s="99"/>
      <c r="K167" s="99"/>
      <c r="L167" s="99"/>
      <c r="M167" s="99"/>
      <c r="N167" s="99"/>
      <c r="O167" s="57"/>
      <c r="P167" s="101"/>
      <c r="Q167" s="102"/>
      <c r="R167" s="102"/>
      <c r="S167" s="102"/>
      <c r="T167" s="102"/>
      <c r="U167" s="102"/>
      <c r="V167" s="102"/>
    </row>
    <row r="168" spans="1:22" s="103" customFormat="1" ht="21" customHeight="1" x14ac:dyDescent="0.15">
      <c r="A168" s="99"/>
      <c r="B168" s="100"/>
      <c r="C168" s="99"/>
      <c r="D168" s="99"/>
      <c r="E168" s="99"/>
      <c r="F168" s="99"/>
      <c r="G168" s="99"/>
      <c r="H168" s="99"/>
      <c r="I168" s="99"/>
      <c r="J168" s="99"/>
      <c r="K168" s="99"/>
      <c r="L168" s="99"/>
      <c r="M168" s="99"/>
      <c r="N168" s="99"/>
      <c r="O168" s="57"/>
      <c r="P168" s="101"/>
      <c r="Q168" s="102"/>
      <c r="R168" s="102"/>
      <c r="S168" s="102"/>
      <c r="T168" s="102"/>
      <c r="U168" s="102"/>
      <c r="V168" s="102"/>
    </row>
    <row r="169" spans="1:22" s="103" customFormat="1" ht="21" customHeight="1" x14ac:dyDescent="0.15">
      <c r="A169" s="99"/>
      <c r="B169" s="100"/>
      <c r="C169" s="99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57"/>
      <c r="P169" s="101"/>
      <c r="Q169" s="102"/>
      <c r="R169" s="102"/>
      <c r="S169" s="102"/>
      <c r="T169" s="102"/>
      <c r="U169" s="102"/>
      <c r="V169" s="102"/>
    </row>
    <row r="170" spans="1:22" s="103" customFormat="1" ht="21" customHeight="1" x14ac:dyDescent="0.15">
      <c r="A170" s="99"/>
      <c r="B170" s="100"/>
      <c r="C170" s="99"/>
      <c r="D170" s="99"/>
      <c r="E170" s="99"/>
      <c r="F170" s="99"/>
      <c r="G170" s="99"/>
      <c r="H170" s="99"/>
      <c r="I170" s="99"/>
      <c r="J170" s="99"/>
      <c r="K170" s="99"/>
      <c r="L170" s="99"/>
      <c r="M170" s="99"/>
      <c r="N170" s="99"/>
      <c r="O170" s="57"/>
      <c r="P170" s="101"/>
      <c r="Q170" s="102"/>
      <c r="R170" s="102"/>
      <c r="S170" s="102"/>
      <c r="T170" s="102"/>
      <c r="U170" s="102"/>
      <c r="V170" s="102"/>
    </row>
    <row r="171" spans="1:22" s="103" customFormat="1" ht="21" customHeight="1" x14ac:dyDescent="0.15">
      <c r="A171" s="99"/>
      <c r="B171" s="100"/>
      <c r="C171" s="99"/>
      <c r="D171" s="99"/>
      <c r="E171" s="99"/>
      <c r="F171" s="99"/>
      <c r="G171" s="99"/>
      <c r="H171" s="99"/>
      <c r="I171" s="99"/>
      <c r="J171" s="99"/>
      <c r="K171" s="99"/>
      <c r="L171" s="99"/>
      <c r="M171" s="99"/>
      <c r="N171" s="99"/>
      <c r="O171" s="57"/>
      <c r="P171" s="101"/>
      <c r="Q171" s="102"/>
      <c r="R171" s="102"/>
      <c r="S171" s="102"/>
      <c r="T171" s="102"/>
      <c r="U171" s="102"/>
      <c r="V171" s="102"/>
    </row>
    <row r="172" spans="1:22" s="103" customFormat="1" ht="21" customHeight="1" x14ac:dyDescent="0.15">
      <c r="A172" s="99"/>
      <c r="B172" s="100"/>
      <c r="C172" s="99"/>
      <c r="D172" s="99"/>
      <c r="E172" s="99"/>
      <c r="F172" s="99"/>
      <c r="G172" s="99"/>
      <c r="H172" s="99"/>
      <c r="I172" s="99"/>
      <c r="J172" s="99"/>
      <c r="K172" s="99"/>
      <c r="L172" s="99"/>
      <c r="M172" s="99"/>
      <c r="N172" s="99"/>
      <c r="O172" s="57"/>
      <c r="P172" s="101"/>
      <c r="Q172" s="102"/>
      <c r="R172" s="102"/>
      <c r="S172" s="102"/>
      <c r="T172" s="102"/>
      <c r="U172" s="102"/>
      <c r="V172" s="102"/>
    </row>
    <row r="173" spans="1:22" s="103" customFormat="1" ht="21" customHeight="1" x14ac:dyDescent="0.15">
      <c r="A173" s="99"/>
      <c r="B173" s="100"/>
      <c r="C173" s="99"/>
      <c r="D173" s="99"/>
      <c r="E173" s="99"/>
      <c r="F173" s="99"/>
      <c r="G173" s="99"/>
      <c r="H173" s="99"/>
      <c r="I173" s="99"/>
      <c r="J173" s="99"/>
      <c r="K173" s="99"/>
      <c r="L173" s="99"/>
      <c r="M173" s="99"/>
      <c r="N173" s="99"/>
      <c r="O173" s="57"/>
      <c r="P173" s="101"/>
      <c r="Q173" s="102"/>
      <c r="R173" s="102"/>
      <c r="S173" s="102"/>
      <c r="T173" s="102"/>
      <c r="U173" s="102"/>
      <c r="V173" s="102"/>
    </row>
    <row r="174" spans="1:22" s="103" customFormat="1" ht="21" customHeight="1" x14ac:dyDescent="0.15">
      <c r="A174" s="99"/>
      <c r="B174" s="100"/>
      <c r="C174" s="99"/>
      <c r="D174" s="99"/>
      <c r="E174" s="99"/>
      <c r="F174" s="99"/>
      <c r="G174" s="99"/>
      <c r="H174" s="99"/>
      <c r="I174" s="99"/>
      <c r="J174" s="99"/>
      <c r="K174" s="99"/>
      <c r="L174" s="99"/>
      <c r="M174" s="99"/>
      <c r="N174" s="99"/>
      <c r="O174" s="57"/>
      <c r="P174" s="101"/>
      <c r="Q174" s="102"/>
      <c r="R174" s="102"/>
      <c r="S174" s="102"/>
      <c r="T174" s="102"/>
      <c r="U174" s="102"/>
      <c r="V174" s="102"/>
    </row>
    <row r="175" spans="1:22" s="103" customFormat="1" ht="21" customHeight="1" x14ac:dyDescent="0.15">
      <c r="A175" s="99"/>
      <c r="B175" s="100"/>
      <c r="C175" s="99"/>
      <c r="D175" s="99"/>
      <c r="E175" s="99"/>
      <c r="F175" s="99"/>
      <c r="G175" s="99"/>
      <c r="H175" s="99"/>
      <c r="I175" s="99"/>
      <c r="J175" s="99"/>
      <c r="K175" s="99"/>
      <c r="L175" s="99"/>
      <c r="M175" s="99"/>
      <c r="N175" s="99"/>
      <c r="O175" s="57"/>
      <c r="P175" s="101"/>
      <c r="Q175" s="102"/>
      <c r="R175" s="102"/>
      <c r="S175" s="102"/>
      <c r="T175" s="102"/>
      <c r="U175" s="102"/>
      <c r="V175" s="102"/>
    </row>
    <row r="176" spans="1:22" s="103" customFormat="1" ht="21" customHeight="1" x14ac:dyDescent="0.15">
      <c r="A176" s="99"/>
      <c r="B176" s="100"/>
      <c r="C176" s="99"/>
      <c r="D176" s="99"/>
      <c r="E176" s="99"/>
      <c r="F176" s="99"/>
      <c r="G176" s="99"/>
      <c r="H176" s="99"/>
      <c r="I176" s="99"/>
      <c r="J176" s="99"/>
      <c r="K176" s="99"/>
      <c r="L176" s="99"/>
      <c r="M176" s="99"/>
      <c r="N176" s="99"/>
      <c r="O176" s="57"/>
      <c r="P176" s="101"/>
      <c r="Q176" s="102"/>
      <c r="R176" s="102"/>
      <c r="S176" s="102"/>
      <c r="T176" s="102"/>
      <c r="U176" s="102"/>
      <c r="V176" s="102"/>
    </row>
    <row r="177" spans="1:22" s="103" customFormat="1" ht="21" customHeight="1" x14ac:dyDescent="0.15">
      <c r="A177" s="99"/>
      <c r="B177" s="100"/>
      <c r="C177" s="99"/>
      <c r="D177" s="99"/>
      <c r="E177" s="99"/>
      <c r="F177" s="99"/>
      <c r="G177" s="99"/>
      <c r="H177" s="99"/>
      <c r="I177" s="99"/>
      <c r="J177" s="99"/>
      <c r="K177" s="99"/>
      <c r="L177" s="99"/>
      <c r="M177" s="99"/>
      <c r="N177" s="99"/>
      <c r="O177" s="57"/>
      <c r="P177" s="101"/>
      <c r="Q177" s="102"/>
      <c r="R177" s="102"/>
      <c r="S177" s="102"/>
      <c r="T177" s="102"/>
      <c r="U177" s="102"/>
      <c r="V177" s="102"/>
    </row>
    <row r="178" spans="1:22" s="103" customFormat="1" ht="21" customHeight="1" x14ac:dyDescent="0.15">
      <c r="A178" s="99"/>
      <c r="B178" s="100"/>
      <c r="C178" s="99"/>
      <c r="D178" s="99"/>
      <c r="E178" s="99"/>
      <c r="F178" s="99"/>
      <c r="G178" s="99"/>
      <c r="H178" s="99"/>
      <c r="I178" s="99"/>
      <c r="J178" s="99"/>
      <c r="K178" s="99"/>
      <c r="L178" s="99"/>
      <c r="M178" s="99"/>
      <c r="N178" s="99"/>
      <c r="O178" s="57"/>
      <c r="P178" s="101"/>
      <c r="Q178" s="102"/>
      <c r="R178" s="102"/>
      <c r="S178" s="102"/>
      <c r="T178" s="102"/>
      <c r="U178" s="102"/>
      <c r="V178" s="102"/>
    </row>
    <row r="179" spans="1:22" s="103" customFormat="1" ht="21" customHeight="1" x14ac:dyDescent="0.15">
      <c r="A179" s="99"/>
      <c r="B179" s="100"/>
      <c r="C179" s="99"/>
      <c r="D179" s="99"/>
      <c r="E179" s="99"/>
      <c r="F179" s="99"/>
      <c r="G179" s="99"/>
      <c r="H179" s="99"/>
      <c r="I179" s="99"/>
      <c r="J179" s="99"/>
      <c r="K179" s="99"/>
      <c r="L179" s="99"/>
      <c r="M179" s="99"/>
      <c r="N179" s="99"/>
      <c r="O179" s="57"/>
      <c r="P179" s="101"/>
      <c r="Q179" s="102"/>
      <c r="R179" s="102"/>
      <c r="S179" s="102"/>
      <c r="T179" s="102"/>
      <c r="U179" s="102"/>
      <c r="V179" s="102"/>
    </row>
    <row r="180" spans="1:22" s="103" customFormat="1" ht="21" customHeight="1" x14ac:dyDescent="0.15">
      <c r="A180" s="99"/>
      <c r="B180" s="100"/>
      <c r="C180" s="99"/>
      <c r="D180" s="99"/>
      <c r="E180" s="99"/>
      <c r="F180" s="99"/>
      <c r="G180" s="99"/>
      <c r="H180" s="99"/>
      <c r="I180" s="99"/>
      <c r="J180" s="99"/>
      <c r="K180" s="99"/>
      <c r="L180" s="99"/>
      <c r="M180" s="99"/>
      <c r="N180" s="99"/>
      <c r="O180" s="57"/>
      <c r="P180" s="101"/>
      <c r="Q180" s="102"/>
      <c r="R180" s="102"/>
      <c r="S180" s="102"/>
      <c r="T180" s="102"/>
      <c r="U180" s="102"/>
      <c r="V180" s="102"/>
    </row>
    <row r="181" spans="1:22" s="103" customFormat="1" ht="21" customHeight="1" x14ac:dyDescent="0.15">
      <c r="A181" s="99"/>
      <c r="B181" s="100"/>
      <c r="C181" s="99"/>
      <c r="D181" s="99"/>
      <c r="E181" s="99"/>
      <c r="F181" s="99"/>
      <c r="G181" s="99"/>
      <c r="H181" s="99"/>
      <c r="I181" s="99"/>
      <c r="J181" s="99"/>
      <c r="K181" s="99"/>
      <c r="L181" s="99"/>
      <c r="M181" s="99"/>
      <c r="N181" s="99"/>
      <c r="O181" s="57"/>
      <c r="P181" s="101"/>
      <c r="Q181" s="102"/>
      <c r="R181" s="102"/>
      <c r="S181" s="102"/>
      <c r="T181" s="102"/>
      <c r="U181" s="102"/>
      <c r="V181" s="102"/>
    </row>
    <row r="182" spans="1:22" s="103" customFormat="1" ht="21" customHeight="1" x14ac:dyDescent="0.15">
      <c r="A182" s="99"/>
      <c r="B182" s="100"/>
      <c r="C182" s="99"/>
      <c r="D182" s="99"/>
      <c r="E182" s="99"/>
      <c r="F182" s="99"/>
      <c r="G182" s="99"/>
      <c r="H182" s="99"/>
      <c r="I182" s="99"/>
      <c r="J182" s="99"/>
      <c r="K182" s="99"/>
      <c r="L182" s="99"/>
      <c r="M182" s="99"/>
      <c r="N182" s="99"/>
      <c r="O182" s="57"/>
      <c r="P182" s="101"/>
      <c r="Q182" s="102"/>
      <c r="R182" s="102"/>
      <c r="S182" s="102"/>
      <c r="T182" s="102"/>
      <c r="U182" s="102"/>
      <c r="V182" s="102"/>
    </row>
    <row r="183" spans="1:22" s="103" customFormat="1" ht="21" customHeight="1" x14ac:dyDescent="0.15">
      <c r="A183" s="99"/>
      <c r="B183" s="100"/>
      <c r="C183" s="99"/>
      <c r="D183" s="99"/>
      <c r="E183" s="99"/>
      <c r="F183" s="99"/>
      <c r="G183" s="99"/>
      <c r="H183" s="99"/>
      <c r="I183" s="99"/>
      <c r="J183" s="99"/>
      <c r="K183" s="99"/>
      <c r="L183" s="99"/>
      <c r="M183" s="99"/>
      <c r="N183" s="99"/>
      <c r="O183" s="57"/>
      <c r="P183" s="101"/>
      <c r="Q183" s="102"/>
      <c r="R183" s="102"/>
      <c r="S183" s="102"/>
      <c r="T183" s="102"/>
      <c r="U183" s="102"/>
      <c r="V183" s="102"/>
    </row>
    <row r="184" spans="1:22" s="103" customFormat="1" ht="21" customHeight="1" x14ac:dyDescent="0.15">
      <c r="A184" s="99"/>
      <c r="B184" s="100"/>
      <c r="C184" s="99"/>
      <c r="D184" s="99"/>
      <c r="E184" s="99"/>
      <c r="F184" s="99"/>
      <c r="G184" s="99"/>
      <c r="H184" s="99"/>
      <c r="I184" s="99"/>
      <c r="J184" s="99"/>
      <c r="K184" s="99"/>
      <c r="L184" s="99"/>
      <c r="M184" s="99"/>
      <c r="N184" s="99"/>
      <c r="O184" s="57"/>
      <c r="P184" s="101"/>
      <c r="Q184" s="102"/>
      <c r="R184" s="102"/>
      <c r="S184" s="102"/>
      <c r="T184" s="102"/>
      <c r="U184" s="102"/>
      <c r="V184" s="102"/>
    </row>
    <row r="185" spans="1:22" s="103" customFormat="1" ht="21" customHeight="1" x14ac:dyDescent="0.15">
      <c r="A185" s="99"/>
      <c r="B185" s="100"/>
      <c r="C185" s="99"/>
      <c r="D185" s="99"/>
      <c r="E185" s="99"/>
      <c r="F185" s="99"/>
      <c r="G185" s="99"/>
      <c r="H185" s="99"/>
      <c r="I185" s="99"/>
      <c r="J185" s="99"/>
      <c r="K185" s="99"/>
      <c r="L185" s="99"/>
      <c r="M185" s="99"/>
      <c r="N185" s="99"/>
      <c r="O185" s="57"/>
      <c r="P185" s="101"/>
      <c r="Q185" s="102"/>
      <c r="R185" s="102"/>
      <c r="S185" s="102"/>
      <c r="T185" s="102"/>
      <c r="U185" s="102"/>
      <c r="V185" s="102"/>
    </row>
    <row r="186" spans="1:22" s="103" customFormat="1" ht="21" customHeight="1" x14ac:dyDescent="0.15">
      <c r="A186" s="99"/>
      <c r="B186" s="104"/>
      <c r="C186" s="99"/>
      <c r="D186" s="99"/>
      <c r="E186" s="99"/>
      <c r="F186" s="99"/>
      <c r="G186" s="99"/>
      <c r="H186" s="99"/>
      <c r="I186" s="99"/>
      <c r="J186" s="99"/>
      <c r="K186" s="99"/>
      <c r="L186" s="99"/>
      <c r="M186" s="99"/>
      <c r="N186" s="99"/>
      <c r="O186" s="57"/>
      <c r="P186" s="101"/>
      <c r="Q186" s="102"/>
      <c r="R186" s="102"/>
      <c r="S186" s="102"/>
      <c r="T186" s="102"/>
      <c r="U186" s="102"/>
      <c r="V186" s="102"/>
    </row>
    <row r="187" spans="1:22" s="103" customFormat="1" ht="21" customHeight="1" x14ac:dyDescent="0.15">
      <c r="A187" s="99"/>
      <c r="B187" s="104"/>
      <c r="C187" s="99"/>
      <c r="D187" s="99"/>
      <c r="E187" s="99"/>
      <c r="F187" s="99"/>
      <c r="G187" s="99"/>
      <c r="H187" s="99"/>
      <c r="I187" s="99"/>
      <c r="J187" s="99"/>
      <c r="K187" s="99"/>
      <c r="L187" s="99"/>
      <c r="M187" s="99"/>
      <c r="N187" s="99"/>
      <c r="O187" s="57"/>
      <c r="P187" s="101"/>
      <c r="Q187" s="102"/>
      <c r="R187" s="102"/>
      <c r="S187" s="102"/>
      <c r="T187" s="102"/>
      <c r="U187" s="102"/>
      <c r="V187" s="102"/>
    </row>
    <row r="188" spans="1:22" s="103" customFormat="1" ht="21" customHeight="1" x14ac:dyDescent="0.15">
      <c r="A188" s="99"/>
      <c r="B188" s="104"/>
      <c r="C188" s="99"/>
      <c r="D188" s="99"/>
      <c r="E188" s="99"/>
      <c r="F188" s="99"/>
      <c r="G188" s="99"/>
      <c r="H188" s="99"/>
      <c r="I188" s="99"/>
      <c r="J188" s="99"/>
      <c r="K188" s="99"/>
      <c r="L188" s="99"/>
      <c r="M188" s="99"/>
      <c r="N188" s="99"/>
      <c r="O188" s="57"/>
      <c r="P188" s="101"/>
      <c r="Q188" s="102"/>
      <c r="R188" s="102"/>
      <c r="S188" s="102"/>
      <c r="T188" s="102"/>
      <c r="U188" s="102"/>
      <c r="V188" s="102"/>
    </row>
    <row r="189" spans="1:22" s="103" customFormat="1" ht="21" customHeight="1" x14ac:dyDescent="0.15">
      <c r="A189" s="99"/>
      <c r="B189" s="104"/>
      <c r="C189" s="99"/>
      <c r="D189" s="99"/>
      <c r="E189" s="99"/>
      <c r="F189" s="99"/>
      <c r="G189" s="99"/>
      <c r="H189" s="99"/>
      <c r="I189" s="99"/>
      <c r="J189" s="99"/>
      <c r="K189" s="99"/>
      <c r="L189" s="99"/>
      <c r="M189" s="99"/>
      <c r="N189" s="99"/>
      <c r="O189" s="57"/>
      <c r="P189" s="101"/>
      <c r="Q189" s="102"/>
      <c r="R189" s="102"/>
      <c r="S189" s="102"/>
      <c r="T189" s="102"/>
      <c r="U189" s="102"/>
      <c r="V189" s="102"/>
    </row>
    <row r="190" spans="1:22" s="105" customFormat="1" ht="21" customHeight="1" thickBot="1" x14ac:dyDescent="0.2">
      <c r="A190" s="99"/>
      <c r="B190" s="100"/>
      <c r="C190" s="99"/>
      <c r="D190" s="99"/>
      <c r="E190" s="99"/>
      <c r="F190" s="99"/>
      <c r="G190" s="99"/>
      <c r="H190" s="99"/>
      <c r="I190" s="99"/>
      <c r="J190" s="99"/>
      <c r="K190" s="99"/>
      <c r="L190" s="99"/>
      <c r="M190" s="99"/>
      <c r="N190" s="99"/>
      <c r="O190" s="57"/>
      <c r="P190" s="101"/>
      <c r="Q190" s="102"/>
      <c r="R190" s="102"/>
      <c r="S190" s="102"/>
      <c r="T190" s="102"/>
      <c r="U190" s="102"/>
      <c r="V190" s="102"/>
    </row>
    <row r="191" spans="1:22" s="103" customFormat="1" ht="21" customHeight="1" x14ac:dyDescent="0.15">
      <c r="A191" s="99"/>
      <c r="B191" s="100"/>
      <c r="C191" s="99"/>
      <c r="D191" s="99"/>
      <c r="E191" s="99"/>
      <c r="F191" s="99"/>
      <c r="G191" s="99"/>
      <c r="H191" s="99"/>
      <c r="I191" s="99"/>
      <c r="J191" s="99"/>
      <c r="K191" s="99"/>
      <c r="L191" s="99"/>
      <c r="M191" s="99"/>
      <c r="N191" s="99"/>
      <c r="O191" s="57"/>
      <c r="P191" s="101"/>
      <c r="Q191" s="102"/>
      <c r="R191" s="102"/>
      <c r="S191" s="102"/>
      <c r="T191" s="102"/>
      <c r="U191" s="102"/>
      <c r="V191" s="102"/>
    </row>
    <row r="192" spans="1:22" s="103" customFormat="1" ht="21" customHeight="1" x14ac:dyDescent="0.15">
      <c r="A192" s="99"/>
      <c r="B192" s="100"/>
      <c r="C192" s="99"/>
      <c r="D192" s="99"/>
      <c r="E192" s="99"/>
      <c r="F192" s="99"/>
      <c r="G192" s="99"/>
      <c r="H192" s="99"/>
      <c r="I192" s="99"/>
      <c r="J192" s="99"/>
      <c r="K192" s="99"/>
      <c r="L192" s="99"/>
      <c r="M192" s="99"/>
      <c r="N192" s="99"/>
      <c r="O192" s="57"/>
      <c r="P192" s="101"/>
      <c r="Q192" s="102"/>
      <c r="R192" s="102"/>
      <c r="S192" s="102"/>
      <c r="T192" s="102"/>
      <c r="U192" s="102"/>
      <c r="V192" s="102"/>
    </row>
    <row r="193" spans="1:22" s="103" customFormat="1" ht="21" customHeight="1" x14ac:dyDescent="0.15">
      <c r="A193" s="99"/>
      <c r="B193" s="100"/>
      <c r="C193" s="99"/>
      <c r="D193" s="99"/>
      <c r="E193" s="99"/>
      <c r="F193" s="99"/>
      <c r="G193" s="99"/>
      <c r="H193" s="99"/>
      <c r="I193" s="99"/>
      <c r="J193" s="99"/>
      <c r="K193" s="99"/>
      <c r="L193" s="99"/>
      <c r="M193" s="99"/>
      <c r="N193" s="99"/>
      <c r="O193" s="57"/>
      <c r="P193" s="101"/>
      <c r="Q193" s="102"/>
      <c r="R193" s="102"/>
      <c r="S193" s="102"/>
      <c r="T193" s="102"/>
      <c r="U193" s="102"/>
      <c r="V193" s="102"/>
    </row>
    <row r="194" spans="1:22" s="103" customFormat="1" ht="21" customHeight="1" x14ac:dyDescent="0.15">
      <c r="A194" s="99"/>
      <c r="B194" s="100"/>
      <c r="C194" s="99"/>
      <c r="D194" s="99"/>
      <c r="E194" s="99"/>
      <c r="F194" s="99"/>
      <c r="G194" s="99"/>
      <c r="H194" s="99"/>
      <c r="I194" s="99"/>
      <c r="J194" s="99"/>
      <c r="K194" s="99"/>
      <c r="L194" s="99"/>
      <c r="M194" s="99"/>
      <c r="N194" s="99"/>
      <c r="O194" s="57"/>
      <c r="P194" s="101"/>
      <c r="Q194" s="102"/>
      <c r="R194" s="102"/>
      <c r="S194" s="102"/>
      <c r="T194" s="102"/>
      <c r="U194" s="102"/>
      <c r="V194" s="102"/>
    </row>
    <row r="195" spans="1:22" s="103" customFormat="1" ht="21" customHeight="1" x14ac:dyDescent="0.15">
      <c r="A195" s="99"/>
      <c r="B195" s="100"/>
      <c r="C195" s="99"/>
      <c r="D195" s="99"/>
      <c r="E195" s="99"/>
      <c r="F195" s="99"/>
      <c r="G195" s="99"/>
      <c r="H195" s="99"/>
      <c r="I195" s="99"/>
      <c r="J195" s="99"/>
      <c r="K195" s="99"/>
      <c r="L195" s="99"/>
      <c r="M195" s="99"/>
      <c r="N195" s="99"/>
      <c r="O195" s="57"/>
      <c r="P195" s="101"/>
      <c r="Q195" s="102"/>
      <c r="R195" s="102"/>
      <c r="S195" s="102"/>
      <c r="T195" s="102"/>
      <c r="U195" s="102"/>
      <c r="V195" s="102"/>
    </row>
    <row r="196" spans="1:22" s="103" customFormat="1" ht="21" customHeight="1" x14ac:dyDescent="0.15">
      <c r="A196" s="99"/>
      <c r="B196" s="100"/>
      <c r="C196" s="99"/>
      <c r="D196" s="99"/>
      <c r="E196" s="99"/>
      <c r="F196" s="99"/>
      <c r="G196" s="99"/>
      <c r="H196" s="99"/>
      <c r="I196" s="99"/>
      <c r="J196" s="99"/>
      <c r="K196" s="99"/>
      <c r="L196" s="99"/>
      <c r="M196" s="99"/>
      <c r="N196" s="99"/>
      <c r="O196" s="57"/>
      <c r="P196" s="101"/>
      <c r="Q196" s="102"/>
      <c r="R196" s="102"/>
      <c r="S196" s="102"/>
      <c r="T196" s="102"/>
      <c r="U196" s="102"/>
      <c r="V196" s="102"/>
    </row>
    <row r="197" spans="1:22" s="103" customFormat="1" ht="21" customHeight="1" x14ac:dyDescent="0.15">
      <c r="A197" s="99"/>
      <c r="B197" s="100"/>
      <c r="C197" s="99"/>
      <c r="D197" s="99"/>
      <c r="E197" s="99"/>
      <c r="F197" s="99"/>
      <c r="G197" s="99"/>
      <c r="H197" s="99"/>
      <c r="I197" s="99"/>
      <c r="J197" s="99"/>
      <c r="K197" s="99"/>
      <c r="L197" s="99"/>
      <c r="M197" s="99"/>
      <c r="N197" s="99"/>
      <c r="O197" s="57"/>
      <c r="P197" s="101"/>
      <c r="Q197" s="102"/>
      <c r="R197" s="102"/>
      <c r="S197" s="102"/>
      <c r="T197" s="102"/>
      <c r="U197" s="102"/>
      <c r="V197" s="102"/>
    </row>
    <row r="198" spans="1:22" s="103" customFormat="1" ht="21" customHeight="1" x14ac:dyDescent="0.15">
      <c r="A198" s="99"/>
      <c r="B198" s="100"/>
      <c r="C198" s="99"/>
      <c r="D198" s="99"/>
      <c r="E198" s="99"/>
      <c r="F198" s="99"/>
      <c r="G198" s="99"/>
      <c r="H198" s="99"/>
      <c r="I198" s="99"/>
      <c r="J198" s="99"/>
      <c r="K198" s="99"/>
      <c r="L198" s="99"/>
      <c r="M198" s="99"/>
      <c r="N198" s="99"/>
      <c r="O198" s="57"/>
      <c r="P198" s="101"/>
      <c r="Q198" s="102"/>
      <c r="R198" s="102"/>
      <c r="S198" s="102"/>
      <c r="T198" s="102"/>
      <c r="U198" s="102"/>
      <c r="V198" s="102"/>
    </row>
    <row r="199" spans="1:22" s="103" customFormat="1" ht="21" customHeight="1" x14ac:dyDescent="0.15">
      <c r="A199" s="99"/>
      <c r="B199" s="100"/>
      <c r="C199" s="99"/>
      <c r="D199" s="99"/>
      <c r="E199" s="99"/>
      <c r="F199" s="99"/>
      <c r="G199" s="99"/>
      <c r="H199" s="99"/>
      <c r="I199" s="99"/>
      <c r="J199" s="99"/>
      <c r="K199" s="99"/>
      <c r="L199" s="99"/>
      <c r="M199" s="99"/>
      <c r="N199" s="99"/>
      <c r="O199" s="57"/>
      <c r="P199" s="101"/>
      <c r="Q199" s="102"/>
      <c r="R199" s="102"/>
      <c r="S199" s="102"/>
      <c r="T199" s="102"/>
      <c r="U199" s="102"/>
      <c r="V199" s="102"/>
    </row>
    <row r="200" spans="1:22" s="103" customFormat="1" ht="21" customHeight="1" x14ac:dyDescent="0.15">
      <c r="A200" s="99"/>
      <c r="B200" s="100"/>
      <c r="C200" s="99"/>
      <c r="D200" s="99"/>
      <c r="E200" s="99"/>
      <c r="F200" s="99"/>
      <c r="G200" s="99"/>
      <c r="H200" s="99"/>
      <c r="I200" s="99"/>
      <c r="J200" s="99"/>
      <c r="K200" s="99"/>
      <c r="L200" s="99"/>
      <c r="M200" s="99"/>
      <c r="N200" s="99"/>
      <c r="O200" s="57"/>
      <c r="P200" s="101"/>
      <c r="Q200" s="102"/>
      <c r="R200" s="102"/>
      <c r="S200" s="102"/>
      <c r="T200" s="102"/>
      <c r="U200" s="102"/>
      <c r="V200" s="102"/>
    </row>
    <row r="201" spans="1:22" s="103" customFormat="1" ht="21" customHeight="1" x14ac:dyDescent="0.15">
      <c r="A201" s="99"/>
      <c r="B201" s="100"/>
      <c r="C201" s="99"/>
      <c r="D201" s="99"/>
      <c r="E201" s="99"/>
      <c r="F201" s="99"/>
      <c r="G201" s="99"/>
      <c r="H201" s="99"/>
      <c r="I201" s="99"/>
      <c r="J201" s="99"/>
      <c r="K201" s="99"/>
      <c r="L201" s="99"/>
      <c r="M201" s="99"/>
      <c r="N201" s="99"/>
      <c r="O201" s="57"/>
      <c r="P201" s="101"/>
      <c r="Q201" s="102"/>
      <c r="R201" s="102"/>
      <c r="S201" s="102"/>
      <c r="T201" s="102"/>
      <c r="U201" s="102"/>
      <c r="V201" s="102"/>
    </row>
    <row r="202" spans="1:22" s="103" customFormat="1" ht="21" customHeight="1" x14ac:dyDescent="0.15">
      <c r="A202" s="99"/>
      <c r="B202" s="100"/>
      <c r="C202" s="99"/>
      <c r="D202" s="99"/>
      <c r="E202" s="99"/>
      <c r="F202" s="99"/>
      <c r="G202" s="99"/>
      <c r="H202" s="99"/>
      <c r="I202" s="99"/>
      <c r="J202" s="99"/>
      <c r="K202" s="99"/>
      <c r="L202" s="99"/>
      <c r="M202" s="99"/>
      <c r="N202" s="99"/>
      <c r="O202" s="57"/>
      <c r="P202" s="101"/>
      <c r="Q202" s="102"/>
      <c r="R202" s="102"/>
      <c r="S202" s="102"/>
      <c r="T202" s="102"/>
      <c r="U202" s="102"/>
      <c r="V202" s="102"/>
    </row>
    <row r="203" spans="1:22" s="103" customFormat="1" ht="21" customHeight="1" x14ac:dyDescent="0.15">
      <c r="A203" s="99"/>
      <c r="B203" s="100"/>
      <c r="C203" s="99"/>
      <c r="D203" s="99"/>
      <c r="E203" s="99"/>
      <c r="F203" s="99"/>
      <c r="G203" s="99"/>
      <c r="H203" s="99"/>
      <c r="I203" s="99"/>
      <c r="J203" s="99"/>
      <c r="K203" s="99"/>
      <c r="L203" s="99"/>
      <c r="M203" s="99"/>
      <c r="N203" s="99"/>
      <c r="O203" s="57"/>
      <c r="P203" s="101"/>
      <c r="Q203" s="102"/>
      <c r="R203" s="102"/>
      <c r="S203" s="102"/>
      <c r="T203" s="102"/>
      <c r="U203" s="102"/>
      <c r="V203" s="102"/>
    </row>
    <row r="204" spans="1:22" s="103" customFormat="1" ht="21" customHeight="1" x14ac:dyDescent="0.15">
      <c r="A204" s="99"/>
      <c r="B204" s="100"/>
      <c r="C204" s="99"/>
      <c r="D204" s="99"/>
      <c r="E204" s="99"/>
      <c r="F204" s="99"/>
      <c r="G204" s="99"/>
      <c r="H204" s="99"/>
      <c r="I204" s="99"/>
      <c r="J204" s="99"/>
      <c r="K204" s="99"/>
      <c r="L204" s="99"/>
      <c r="M204" s="99"/>
      <c r="N204" s="99"/>
      <c r="O204" s="57"/>
      <c r="P204" s="101"/>
      <c r="Q204" s="102"/>
      <c r="R204" s="102"/>
      <c r="S204" s="102"/>
      <c r="T204" s="102"/>
      <c r="U204" s="102"/>
      <c r="V204" s="102"/>
    </row>
    <row r="205" spans="1:22" s="103" customFormat="1" ht="21" customHeight="1" x14ac:dyDescent="0.15">
      <c r="A205" s="99"/>
      <c r="B205" s="100"/>
      <c r="C205" s="99"/>
      <c r="D205" s="99"/>
      <c r="E205" s="99"/>
      <c r="F205" s="99"/>
      <c r="G205" s="99"/>
      <c r="H205" s="99"/>
      <c r="I205" s="99"/>
      <c r="J205" s="99"/>
      <c r="K205" s="99"/>
      <c r="L205" s="99"/>
      <c r="M205" s="99"/>
      <c r="N205" s="99"/>
      <c r="O205" s="57"/>
      <c r="P205" s="101"/>
      <c r="Q205" s="102"/>
      <c r="R205" s="102"/>
      <c r="S205" s="102"/>
      <c r="T205" s="102"/>
      <c r="U205" s="102"/>
      <c r="V205" s="102"/>
    </row>
    <row r="206" spans="1:22" s="103" customFormat="1" ht="21" customHeight="1" x14ac:dyDescent="0.15">
      <c r="A206" s="99"/>
      <c r="B206" s="100"/>
      <c r="C206" s="99"/>
      <c r="D206" s="99"/>
      <c r="E206" s="99"/>
      <c r="F206" s="99"/>
      <c r="G206" s="99"/>
      <c r="H206" s="99"/>
      <c r="I206" s="99"/>
      <c r="J206" s="99"/>
      <c r="K206" s="99"/>
      <c r="L206" s="99"/>
      <c r="M206" s="99"/>
      <c r="N206" s="99"/>
      <c r="O206" s="57"/>
      <c r="P206" s="101"/>
      <c r="Q206" s="102"/>
      <c r="R206" s="102"/>
      <c r="S206" s="102"/>
      <c r="T206" s="102"/>
      <c r="U206" s="102"/>
      <c r="V206" s="102"/>
    </row>
    <row r="207" spans="1:22" s="103" customFormat="1" ht="21" customHeight="1" x14ac:dyDescent="0.15">
      <c r="A207" s="99"/>
      <c r="B207" s="100"/>
      <c r="C207" s="99"/>
      <c r="D207" s="99"/>
      <c r="E207" s="99"/>
      <c r="F207" s="99"/>
      <c r="G207" s="99"/>
      <c r="H207" s="99"/>
      <c r="I207" s="99"/>
      <c r="J207" s="99"/>
      <c r="K207" s="99"/>
      <c r="L207" s="99"/>
      <c r="M207" s="99"/>
      <c r="N207" s="99"/>
      <c r="O207" s="57"/>
      <c r="P207" s="101"/>
      <c r="Q207" s="102"/>
      <c r="R207" s="102"/>
      <c r="S207" s="102"/>
      <c r="T207" s="102"/>
      <c r="U207" s="102"/>
      <c r="V207" s="102"/>
    </row>
    <row r="208" spans="1:22" s="103" customFormat="1" ht="21" customHeight="1" x14ac:dyDescent="0.15">
      <c r="A208" s="99"/>
      <c r="B208" s="100"/>
      <c r="C208" s="99"/>
      <c r="D208" s="99"/>
      <c r="E208" s="99"/>
      <c r="F208" s="99"/>
      <c r="G208" s="99"/>
      <c r="H208" s="99"/>
      <c r="I208" s="99"/>
      <c r="J208" s="99"/>
      <c r="K208" s="99"/>
      <c r="L208" s="99"/>
      <c r="M208" s="99"/>
      <c r="N208" s="99"/>
      <c r="O208" s="57"/>
      <c r="P208" s="101"/>
      <c r="Q208" s="102"/>
      <c r="R208" s="102"/>
      <c r="S208" s="102"/>
      <c r="T208" s="102"/>
      <c r="U208" s="102"/>
      <c r="V208" s="102"/>
    </row>
    <row r="209" spans="1:22" s="103" customFormat="1" ht="21" customHeight="1" x14ac:dyDescent="0.15">
      <c r="A209" s="99"/>
      <c r="B209" s="100"/>
      <c r="C209" s="99"/>
      <c r="D209" s="99"/>
      <c r="E209" s="99"/>
      <c r="F209" s="99"/>
      <c r="G209" s="99"/>
      <c r="H209" s="99"/>
      <c r="I209" s="99"/>
      <c r="J209" s="99"/>
      <c r="K209" s="99"/>
      <c r="L209" s="99"/>
      <c r="M209" s="99"/>
      <c r="N209" s="99"/>
      <c r="O209" s="57"/>
      <c r="P209" s="101"/>
      <c r="Q209" s="102"/>
      <c r="R209" s="102"/>
      <c r="S209" s="102"/>
      <c r="T209" s="102"/>
      <c r="U209" s="102"/>
      <c r="V209" s="102"/>
    </row>
    <row r="210" spans="1:22" s="103" customFormat="1" ht="21" customHeight="1" x14ac:dyDescent="0.15">
      <c r="A210" s="99"/>
      <c r="B210" s="100"/>
      <c r="C210" s="99"/>
      <c r="D210" s="99"/>
      <c r="E210" s="99"/>
      <c r="F210" s="99"/>
      <c r="G210" s="99"/>
      <c r="H210" s="99"/>
      <c r="I210" s="99"/>
      <c r="J210" s="99"/>
      <c r="K210" s="99"/>
      <c r="L210" s="99"/>
      <c r="M210" s="99"/>
      <c r="N210" s="99"/>
      <c r="O210" s="57"/>
      <c r="P210" s="101"/>
      <c r="Q210" s="102"/>
      <c r="R210" s="102"/>
      <c r="S210" s="102"/>
      <c r="T210" s="102"/>
      <c r="U210" s="102"/>
      <c r="V210" s="102"/>
    </row>
    <row r="211" spans="1:22" s="103" customFormat="1" ht="21" customHeight="1" x14ac:dyDescent="0.15">
      <c r="A211" s="99"/>
      <c r="B211" s="100"/>
      <c r="C211" s="99"/>
      <c r="D211" s="99"/>
      <c r="E211" s="99"/>
      <c r="F211" s="99"/>
      <c r="G211" s="99"/>
      <c r="H211" s="99"/>
      <c r="I211" s="99"/>
      <c r="J211" s="99"/>
      <c r="K211" s="99"/>
      <c r="L211" s="99"/>
      <c r="M211" s="99"/>
      <c r="N211" s="99"/>
      <c r="O211" s="57"/>
      <c r="P211" s="101"/>
      <c r="Q211" s="102"/>
      <c r="R211" s="102"/>
      <c r="S211" s="102"/>
      <c r="T211" s="102"/>
      <c r="U211" s="102"/>
      <c r="V211" s="102"/>
    </row>
    <row r="212" spans="1:22" s="103" customFormat="1" ht="21" customHeight="1" x14ac:dyDescent="0.15">
      <c r="A212" s="99"/>
      <c r="B212" s="100"/>
      <c r="C212" s="99"/>
      <c r="D212" s="99"/>
      <c r="E212" s="99"/>
      <c r="F212" s="99"/>
      <c r="G212" s="99"/>
      <c r="H212" s="99"/>
      <c r="I212" s="99"/>
      <c r="J212" s="99"/>
      <c r="K212" s="99"/>
      <c r="L212" s="99"/>
      <c r="M212" s="99"/>
      <c r="N212" s="99"/>
      <c r="O212" s="57"/>
      <c r="P212" s="101"/>
      <c r="Q212" s="102"/>
      <c r="R212" s="102"/>
      <c r="S212" s="102"/>
      <c r="T212" s="102"/>
      <c r="U212" s="102"/>
      <c r="V212" s="102"/>
    </row>
    <row r="213" spans="1:22" s="103" customFormat="1" ht="21" customHeight="1" x14ac:dyDescent="0.15">
      <c r="A213" s="99"/>
      <c r="B213" s="100"/>
      <c r="C213" s="99"/>
      <c r="D213" s="99"/>
      <c r="E213" s="99"/>
      <c r="F213" s="99"/>
      <c r="G213" s="99"/>
      <c r="H213" s="99"/>
      <c r="I213" s="99"/>
      <c r="J213" s="99"/>
      <c r="K213" s="99"/>
      <c r="L213" s="99"/>
      <c r="M213" s="99"/>
      <c r="N213" s="99"/>
      <c r="O213" s="57"/>
      <c r="P213" s="101"/>
      <c r="Q213" s="102"/>
      <c r="R213" s="102"/>
      <c r="S213" s="102"/>
      <c r="T213" s="102"/>
      <c r="U213" s="102"/>
      <c r="V213" s="102"/>
    </row>
    <row r="214" spans="1:22" s="103" customFormat="1" ht="21" customHeight="1" x14ac:dyDescent="0.15">
      <c r="A214" s="99"/>
      <c r="B214" s="100"/>
      <c r="C214" s="99"/>
      <c r="D214" s="99"/>
      <c r="E214" s="99"/>
      <c r="F214" s="99"/>
      <c r="G214" s="99"/>
      <c r="H214" s="99"/>
      <c r="I214" s="99"/>
      <c r="J214" s="99"/>
      <c r="K214" s="99"/>
      <c r="L214" s="99"/>
      <c r="M214" s="99"/>
      <c r="N214" s="99"/>
      <c r="O214" s="57"/>
      <c r="P214" s="101"/>
      <c r="Q214" s="102"/>
      <c r="R214" s="102"/>
      <c r="S214" s="102"/>
      <c r="T214" s="102"/>
      <c r="U214" s="102"/>
      <c r="V214" s="102"/>
    </row>
    <row r="215" spans="1:22" s="103" customFormat="1" ht="21" customHeight="1" x14ac:dyDescent="0.15">
      <c r="A215" s="99"/>
      <c r="B215" s="100"/>
      <c r="C215" s="99"/>
      <c r="D215" s="99"/>
      <c r="E215" s="99"/>
      <c r="F215" s="99"/>
      <c r="G215" s="99"/>
      <c r="H215" s="99"/>
      <c r="I215" s="99"/>
      <c r="J215" s="99"/>
      <c r="K215" s="99"/>
      <c r="L215" s="99"/>
      <c r="M215" s="99"/>
      <c r="N215" s="99"/>
      <c r="O215" s="57"/>
      <c r="P215" s="101"/>
      <c r="Q215" s="102"/>
      <c r="R215" s="102"/>
      <c r="S215" s="102"/>
      <c r="T215" s="102"/>
      <c r="U215" s="102"/>
      <c r="V215" s="102"/>
    </row>
    <row r="216" spans="1:22" s="103" customFormat="1" ht="21" customHeight="1" x14ac:dyDescent="0.15">
      <c r="A216" s="99"/>
      <c r="B216" s="100"/>
      <c r="C216" s="99"/>
      <c r="D216" s="99"/>
      <c r="E216" s="99"/>
      <c r="F216" s="99"/>
      <c r="G216" s="99"/>
      <c r="H216" s="99"/>
      <c r="I216" s="99"/>
      <c r="J216" s="99"/>
      <c r="K216" s="99"/>
      <c r="L216" s="99"/>
      <c r="M216" s="99"/>
      <c r="N216" s="99"/>
      <c r="O216" s="57"/>
      <c r="P216" s="101"/>
      <c r="Q216" s="102"/>
      <c r="R216" s="102"/>
      <c r="S216" s="102"/>
      <c r="T216" s="102"/>
      <c r="U216" s="102"/>
      <c r="V216" s="102"/>
    </row>
    <row r="217" spans="1:22" s="103" customFormat="1" ht="21" customHeight="1" x14ac:dyDescent="0.15">
      <c r="A217" s="99"/>
      <c r="B217" s="100"/>
      <c r="C217" s="99"/>
      <c r="D217" s="99"/>
      <c r="E217" s="99"/>
      <c r="F217" s="99"/>
      <c r="G217" s="99"/>
      <c r="H217" s="99"/>
      <c r="I217" s="99"/>
      <c r="J217" s="99"/>
      <c r="K217" s="99"/>
      <c r="L217" s="99"/>
      <c r="M217" s="99"/>
      <c r="N217" s="99"/>
      <c r="O217" s="57"/>
      <c r="P217" s="101"/>
      <c r="Q217" s="102"/>
      <c r="R217" s="102"/>
      <c r="S217" s="102"/>
      <c r="T217" s="102"/>
      <c r="U217" s="102"/>
      <c r="V217" s="102"/>
    </row>
    <row r="218" spans="1:22" s="103" customFormat="1" ht="21" customHeight="1" x14ac:dyDescent="0.15">
      <c r="A218" s="99"/>
      <c r="B218" s="100"/>
      <c r="C218" s="99"/>
      <c r="D218" s="99"/>
      <c r="E218" s="99"/>
      <c r="F218" s="99"/>
      <c r="G218" s="99"/>
      <c r="H218" s="99"/>
      <c r="I218" s="99"/>
      <c r="J218" s="99"/>
      <c r="K218" s="99"/>
      <c r="L218" s="99"/>
      <c r="M218" s="99"/>
      <c r="N218" s="99"/>
      <c r="O218" s="57"/>
      <c r="P218" s="101"/>
      <c r="Q218" s="102"/>
      <c r="R218" s="102"/>
      <c r="S218" s="102"/>
      <c r="T218" s="102"/>
      <c r="U218" s="102"/>
      <c r="V218" s="102"/>
    </row>
    <row r="219" spans="1:22" s="103" customFormat="1" ht="21" customHeight="1" x14ac:dyDescent="0.15">
      <c r="A219" s="99"/>
      <c r="B219" s="100"/>
      <c r="C219" s="99"/>
      <c r="D219" s="99"/>
      <c r="E219" s="99"/>
      <c r="F219" s="99"/>
      <c r="G219" s="99"/>
      <c r="H219" s="99"/>
      <c r="I219" s="99"/>
      <c r="J219" s="99"/>
      <c r="K219" s="99"/>
      <c r="L219" s="99"/>
      <c r="M219" s="99"/>
      <c r="N219" s="99"/>
      <c r="O219" s="57"/>
      <c r="P219" s="101"/>
      <c r="Q219" s="102"/>
      <c r="R219" s="102"/>
      <c r="S219" s="102"/>
      <c r="T219" s="102"/>
      <c r="U219" s="102"/>
      <c r="V219" s="102"/>
    </row>
    <row r="220" spans="1:22" s="103" customFormat="1" ht="21" customHeight="1" x14ac:dyDescent="0.15">
      <c r="A220" s="99"/>
      <c r="B220" s="100"/>
      <c r="C220" s="99"/>
      <c r="D220" s="99"/>
      <c r="E220" s="99"/>
      <c r="F220" s="99"/>
      <c r="G220" s="99"/>
      <c r="H220" s="99"/>
      <c r="I220" s="99"/>
      <c r="J220" s="99"/>
      <c r="K220" s="99"/>
      <c r="L220" s="99"/>
      <c r="M220" s="99"/>
      <c r="N220" s="99"/>
      <c r="O220" s="57"/>
      <c r="P220" s="101"/>
      <c r="Q220" s="102"/>
      <c r="R220" s="102"/>
      <c r="S220" s="102"/>
      <c r="T220" s="102"/>
      <c r="U220" s="102"/>
      <c r="V220" s="102"/>
    </row>
    <row r="221" spans="1:22" s="103" customFormat="1" ht="21" customHeight="1" x14ac:dyDescent="0.15">
      <c r="A221" s="99"/>
      <c r="B221" s="100"/>
      <c r="C221" s="99"/>
      <c r="D221" s="99"/>
      <c r="E221" s="99"/>
      <c r="F221" s="99"/>
      <c r="G221" s="99"/>
      <c r="H221" s="99"/>
      <c r="I221" s="99"/>
      <c r="J221" s="99"/>
      <c r="K221" s="99"/>
      <c r="L221" s="99"/>
      <c r="M221" s="99"/>
      <c r="N221" s="99"/>
      <c r="O221" s="57"/>
      <c r="P221" s="101"/>
      <c r="Q221" s="102"/>
      <c r="R221" s="102"/>
      <c r="S221" s="102"/>
      <c r="T221" s="102"/>
      <c r="U221" s="102"/>
      <c r="V221" s="102"/>
    </row>
    <row r="222" spans="1:22" s="103" customFormat="1" ht="21" customHeight="1" x14ac:dyDescent="0.15">
      <c r="A222" s="99"/>
      <c r="B222" s="100"/>
      <c r="C222" s="99"/>
      <c r="D222" s="99"/>
      <c r="E222" s="99"/>
      <c r="F222" s="99"/>
      <c r="G222" s="99"/>
      <c r="H222" s="99"/>
      <c r="I222" s="99"/>
      <c r="J222" s="99"/>
      <c r="K222" s="99"/>
      <c r="L222" s="99"/>
      <c r="M222" s="99"/>
      <c r="N222" s="99"/>
      <c r="O222" s="57"/>
      <c r="P222" s="101"/>
      <c r="Q222" s="102"/>
      <c r="R222" s="102"/>
      <c r="S222" s="102"/>
      <c r="T222" s="102"/>
      <c r="U222" s="102"/>
      <c r="V222" s="102"/>
    </row>
    <row r="223" spans="1:22" s="103" customFormat="1" ht="21" customHeight="1" x14ac:dyDescent="0.15">
      <c r="A223" s="99"/>
      <c r="B223" s="100"/>
      <c r="C223" s="99"/>
      <c r="D223" s="99"/>
      <c r="E223" s="99"/>
      <c r="F223" s="99"/>
      <c r="G223" s="99"/>
      <c r="H223" s="99"/>
      <c r="I223" s="99"/>
      <c r="J223" s="99"/>
      <c r="K223" s="99"/>
      <c r="L223" s="99"/>
      <c r="M223" s="99"/>
      <c r="N223" s="99"/>
      <c r="O223" s="57"/>
      <c r="P223" s="101"/>
      <c r="Q223" s="102"/>
      <c r="R223" s="102"/>
      <c r="S223" s="102"/>
      <c r="T223" s="102"/>
      <c r="U223" s="102"/>
      <c r="V223" s="102"/>
    </row>
    <row r="224" spans="1:22" s="103" customFormat="1" ht="21" customHeight="1" x14ac:dyDescent="0.15">
      <c r="A224" s="99"/>
      <c r="B224" s="100"/>
      <c r="C224" s="99"/>
      <c r="D224" s="99"/>
      <c r="E224" s="99"/>
      <c r="F224" s="99"/>
      <c r="G224" s="99"/>
      <c r="H224" s="99"/>
      <c r="I224" s="99"/>
      <c r="J224" s="99"/>
      <c r="K224" s="99"/>
      <c r="L224" s="99"/>
      <c r="M224" s="99"/>
      <c r="N224" s="99"/>
      <c r="O224" s="57"/>
      <c r="P224" s="101"/>
      <c r="Q224" s="102"/>
      <c r="R224" s="102"/>
      <c r="S224" s="102"/>
      <c r="T224" s="102"/>
      <c r="U224" s="102"/>
      <c r="V224" s="102"/>
    </row>
    <row r="225" spans="1:22" s="103" customFormat="1" ht="21" customHeight="1" x14ac:dyDescent="0.15">
      <c r="A225" s="99"/>
      <c r="B225" s="100"/>
      <c r="C225" s="99"/>
      <c r="D225" s="99"/>
      <c r="E225" s="99"/>
      <c r="F225" s="99"/>
      <c r="G225" s="99"/>
      <c r="H225" s="99"/>
      <c r="I225" s="99"/>
      <c r="J225" s="99"/>
      <c r="K225" s="99"/>
      <c r="L225" s="99"/>
      <c r="M225" s="99"/>
      <c r="N225" s="99"/>
      <c r="O225" s="57"/>
      <c r="P225" s="101"/>
      <c r="Q225" s="102"/>
      <c r="R225" s="102"/>
      <c r="S225" s="102"/>
      <c r="T225" s="102"/>
      <c r="U225" s="102"/>
      <c r="V225" s="102"/>
    </row>
    <row r="226" spans="1:22" s="103" customFormat="1" ht="21" customHeight="1" x14ac:dyDescent="0.15">
      <c r="A226" s="99"/>
      <c r="B226" s="100"/>
      <c r="C226" s="99"/>
      <c r="D226" s="99"/>
      <c r="E226" s="99"/>
      <c r="F226" s="99"/>
      <c r="G226" s="99"/>
      <c r="H226" s="99"/>
      <c r="I226" s="99"/>
      <c r="J226" s="99"/>
      <c r="K226" s="99"/>
      <c r="L226" s="99"/>
      <c r="M226" s="99"/>
      <c r="N226" s="99"/>
      <c r="O226" s="57"/>
      <c r="P226" s="101"/>
      <c r="Q226" s="102"/>
      <c r="R226" s="102"/>
      <c r="S226" s="102"/>
      <c r="T226" s="102"/>
      <c r="U226" s="102"/>
      <c r="V226" s="102"/>
    </row>
    <row r="227" spans="1:22" s="103" customFormat="1" ht="21" customHeight="1" x14ac:dyDescent="0.15">
      <c r="A227" s="99"/>
      <c r="B227" s="100"/>
      <c r="C227" s="99"/>
      <c r="D227" s="99"/>
      <c r="E227" s="99"/>
      <c r="F227" s="99"/>
      <c r="G227" s="99"/>
      <c r="H227" s="99"/>
      <c r="I227" s="99"/>
      <c r="J227" s="99"/>
      <c r="K227" s="99"/>
      <c r="L227" s="99"/>
      <c r="M227" s="99"/>
      <c r="N227" s="99"/>
      <c r="O227" s="57"/>
      <c r="P227" s="101"/>
      <c r="Q227" s="102"/>
      <c r="R227" s="102"/>
      <c r="S227" s="102"/>
      <c r="T227" s="102"/>
      <c r="U227" s="102"/>
      <c r="V227" s="102"/>
    </row>
    <row r="228" spans="1:22" s="103" customFormat="1" ht="21" customHeight="1" x14ac:dyDescent="0.15">
      <c r="A228" s="99"/>
      <c r="B228" s="100"/>
      <c r="C228" s="99"/>
      <c r="D228" s="99"/>
      <c r="E228" s="99"/>
      <c r="F228" s="99"/>
      <c r="G228" s="99"/>
      <c r="H228" s="99"/>
      <c r="I228" s="99"/>
      <c r="J228" s="99"/>
      <c r="K228" s="99"/>
      <c r="L228" s="99"/>
      <c r="M228" s="99"/>
      <c r="N228" s="99"/>
      <c r="O228" s="57"/>
      <c r="P228" s="101"/>
      <c r="Q228" s="102"/>
      <c r="R228" s="102"/>
      <c r="S228" s="102"/>
      <c r="T228" s="102"/>
      <c r="U228" s="102"/>
      <c r="V228" s="102"/>
    </row>
    <row r="229" spans="1:22" s="103" customFormat="1" ht="21" customHeight="1" x14ac:dyDescent="0.15">
      <c r="A229" s="99"/>
      <c r="B229" s="100"/>
      <c r="C229" s="99"/>
      <c r="D229" s="99"/>
      <c r="E229" s="99"/>
      <c r="F229" s="99"/>
      <c r="G229" s="99"/>
      <c r="H229" s="99"/>
      <c r="I229" s="99"/>
      <c r="J229" s="99"/>
      <c r="K229" s="99"/>
      <c r="L229" s="99"/>
      <c r="M229" s="99"/>
      <c r="N229" s="99"/>
      <c r="O229" s="57"/>
      <c r="P229" s="101"/>
      <c r="Q229" s="102"/>
      <c r="R229" s="102"/>
      <c r="S229" s="102"/>
      <c r="T229" s="102"/>
      <c r="U229" s="102"/>
      <c r="V229" s="102"/>
    </row>
    <row r="230" spans="1:22" s="103" customFormat="1" ht="21" customHeight="1" x14ac:dyDescent="0.15">
      <c r="A230" s="99"/>
      <c r="B230" s="100"/>
      <c r="C230" s="99"/>
      <c r="D230" s="99"/>
      <c r="E230" s="99"/>
      <c r="F230" s="99"/>
      <c r="G230" s="99"/>
      <c r="H230" s="99"/>
      <c r="I230" s="99"/>
      <c r="J230" s="99"/>
      <c r="K230" s="99"/>
      <c r="L230" s="99"/>
      <c r="M230" s="99"/>
      <c r="N230" s="99"/>
      <c r="O230" s="57"/>
      <c r="P230" s="101"/>
      <c r="Q230" s="102"/>
      <c r="R230" s="102"/>
      <c r="S230" s="102"/>
      <c r="T230" s="102"/>
      <c r="U230" s="102"/>
      <c r="V230" s="102"/>
    </row>
    <row r="231" spans="1:22" s="103" customFormat="1" ht="21" customHeight="1" x14ac:dyDescent="0.15">
      <c r="A231" s="99"/>
      <c r="B231" s="100"/>
      <c r="C231" s="99"/>
      <c r="D231" s="99"/>
      <c r="E231" s="99"/>
      <c r="F231" s="99"/>
      <c r="G231" s="99"/>
      <c r="H231" s="99"/>
      <c r="I231" s="99"/>
      <c r="J231" s="99"/>
      <c r="K231" s="99"/>
      <c r="L231" s="99"/>
      <c r="M231" s="99"/>
      <c r="N231" s="99"/>
      <c r="O231" s="57"/>
      <c r="P231" s="101"/>
      <c r="Q231" s="102"/>
      <c r="R231" s="102"/>
      <c r="S231" s="102"/>
      <c r="T231" s="102"/>
      <c r="U231" s="102"/>
      <c r="V231" s="102"/>
    </row>
    <row r="232" spans="1:22" s="103" customFormat="1" ht="21" customHeight="1" x14ac:dyDescent="0.15">
      <c r="A232" s="99"/>
      <c r="B232" s="100"/>
      <c r="C232" s="99"/>
      <c r="D232" s="99"/>
      <c r="E232" s="99"/>
      <c r="F232" s="99"/>
      <c r="G232" s="99"/>
      <c r="H232" s="99"/>
      <c r="I232" s="99"/>
      <c r="J232" s="99"/>
      <c r="K232" s="99"/>
      <c r="L232" s="99"/>
      <c r="M232" s="99"/>
      <c r="N232" s="99"/>
      <c r="O232" s="57"/>
      <c r="P232" s="101"/>
      <c r="Q232" s="102"/>
      <c r="R232" s="102"/>
      <c r="S232" s="102"/>
      <c r="T232" s="102"/>
      <c r="U232" s="102"/>
      <c r="V232" s="102"/>
    </row>
    <row r="233" spans="1:22" s="103" customFormat="1" ht="21" customHeight="1" x14ac:dyDescent="0.15">
      <c r="A233" s="99"/>
      <c r="B233" s="100"/>
      <c r="C233" s="99"/>
      <c r="D233" s="99"/>
      <c r="E233" s="99"/>
      <c r="F233" s="99"/>
      <c r="G233" s="99"/>
      <c r="H233" s="99"/>
      <c r="I233" s="99"/>
      <c r="J233" s="99"/>
      <c r="K233" s="99"/>
      <c r="L233" s="99"/>
      <c r="M233" s="99"/>
      <c r="N233" s="99"/>
      <c r="O233" s="57"/>
      <c r="P233" s="101"/>
      <c r="Q233" s="102"/>
      <c r="R233" s="102"/>
      <c r="S233" s="102"/>
      <c r="T233" s="102"/>
      <c r="U233" s="102"/>
      <c r="V233" s="102"/>
    </row>
    <row r="234" spans="1:22" s="103" customFormat="1" ht="21" customHeight="1" x14ac:dyDescent="0.15">
      <c r="A234" s="99"/>
      <c r="B234" s="100"/>
      <c r="C234" s="99"/>
      <c r="D234" s="99"/>
      <c r="E234" s="99"/>
      <c r="F234" s="99"/>
      <c r="G234" s="99"/>
      <c r="H234" s="99"/>
      <c r="I234" s="99"/>
      <c r="J234" s="99"/>
      <c r="K234" s="99"/>
      <c r="L234" s="99"/>
      <c r="M234" s="99"/>
      <c r="N234" s="99"/>
      <c r="O234" s="57"/>
      <c r="P234" s="101"/>
      <c r="Q234" s="102"/>
      <c r="R234" s="102"/>
      <c r="S234" s="102"/>
      <c r="T234" s="102"/>
      <c r="U234" s="102"/>
      <c r="V234" s="102"/>
    </row>
    <row r="235" spans="1:22" s="103" customFormat="1" ht="21" customHeight="1" x14ac:dyDescent="0.15">
      <c r="A235" s="99"/>
      <c r="B235" s="100"/>
      <c r="C235" s="99"/>
      <c r="D235" s="99"/>
      <c r="E235" s="99"/>
      <c r="F235" s="99"/>
      <c r="G235" s="99"/>
      <c r="H235" s="99"/>
      <c r="I235" s="99"/>
      <c r="J235" s="99"/>
      <c r="K235" s="99"/>
      <c r="L235" s="99"/>
      <c r="M235" s="99"/>
      <c r="N235" s="99"/>
      <c r="O235" s="57"/>
      <c r="P235" s="101"/>
      <c r="Q235" s="102"/>
      <c r="R235" s="102"/>
      <c r="S235" s="102"/>
      <c r="T235" s="102"/>
      <c r="U235" s="102"/>
      <c r="V235" s="102"/>
    </row>
    <row r="236" spans="1:22" s="103" customFormat="1" ht="21" customHeight="1" x14ac:dyDescent="0.15">
      <c r="A236" s="99"/>
      <c r="B236" s="100"/>
      <c r="C236" s="99"/>
      <c r="D236" s="99"/>
      <c r="E236" s="99"/>
      <c r="F236" s="99"/>
      <c r="G236" s="99"/>
      <c r="H236" s="99"/>
      <c r="I236" s="99"/>
      <c r="J236" s="99"/>
      <c r="K236" s="99"/>
      <c r="L236" s="99"/>
      <c r="M236" s="99"/>
      <c r="N236" s="99"/>
      <c r="O236" s="57"/>
      <c r="P236" s="101"/>
      <c r="Q236" s="102"/>
      <c r="R236" s="102"/>
      <c r="S236" s="102"/>
      <c r="T236" s="102"/>
      <c r="U236" s="102"/>
      <c r="V236" s="102"/>
    </row>
    <row r="237" spans="1:22" s="103" customFormat="1" ht="21" customHeight="1" x14ac:dyDescent="0.15">
      <c r="A237" s="99"/>
      <c r="B237" s="100"/>
      <c r="C237" s="99"/>
      <c r="D237" s="99"/>
      <c r="E237" s="99"/>
      <c r="F237" s="99"/>
      <c r="G237" s="99"/>
      <c r="H237" s="99"/>
      <c r="I237" s="99"/>
      <c r="J237" s="99"/>
      <c r="K237" s="99"/>
      <c r="L237" s="99"/>
      <c r="M237" s="99"/>
      <c r="N237" s="99"/>
      <c r="O237" s="57"/>
      <c r="P237" s="101"/>
      <c r="Q237" s="102"/>
      <c r="R237" s="102"/>
      <c r="S237" s="102"/>
      <c r="T237" s="102"/>
      <c r="U237" s="102"/>
      <c r="V237" s="102"/>
    </row>
    <row r="238" spans="1:22" s="103" customFormat="1" ht="21" customHeight="1" x14ac:dyDescent="0.15">
      <c r="A238" s="99"/>
      <c r="B238" s="100"/>
      <c r="C238" s="99"/>
      <c r="D238" s="99"/>
      <c r="E238" s="99"/>
      <c r="F238" s="99"/>
      <c r="G238" s="99"/>
      <c r="H238" s="99"/>
      <c r="I238" s="99"/>
      <c r="J238" s="99"/>
      <c r="K238" s="99"/>
      <c r="L238" s="99"/>
      <c r="M238" s="99"/>
      <c r="N238" s="99"/>
      <c r="O238" s="57"/>
      <c r="P238" s="101"/>
      <c r="Q238" s="102"/>
      <c r="R238" s="102"/>
      <c r="S238" s="102"/>
      <c r="T238" s="102"/>
      <c r="U238" s="102"/>
      <c r="V238" s="102"/>
    </row>
    <row r="239" spans="1:22" s="103" customFormat="1" ht="21" customHeight="1" x14ac:dyDescent="0.15">
      <c r="A239" s="99"/>
      <c r="B239" s="100"/>
      <c r="C239" s="99"/>
      <c r="D239" s="99"/>
      <c r="E239" s="99"/>
      <c r="F239" s="99"/>
      <c r="G239" s="99"/>
      <c r="H239" s="99"/>
      <c r="I239" s="99"/>
      <c r="J239" s="99"/>
      <c r="K239" s="99"/>
      <c r="L239" s="99"/>
      <c r="M239" s="99"/>
      <c r="N239" s="99"/>
      <c r="O239" s="57"/>
      <c r="P239" s="101"/>
      <c r="Q239" s="102"/>
      <c r="R239" s="102"/>
      <c r="S239" s="102"/>
      <c r="T239" s="102"/>
      <c r="U239" s="102"/>
      <c r="V239" s="102"/>
    </row>
    <row r="240" spans="1:22" s="103" customFormat="1" ht="21" customHeight="1" x14ac:dyDescent="0.15">
      <c r="A240" s="99"/>
      <c r="B240" s="100"/>
      <c r="C240" s="99"/>
      <c r="D240" s="99"/>
      <c r="E240" s="99"/>
      <c r="F240" s="99"/>
      <c r="G240" s="99"/>
      <c r="H240" s="99"/>
      <c r="I240" s="99"/>
      <c r="J240" s="99"/>
      <c r="K240" s="99"/>
      <c r="L240" s="99"/>
      <c r="M240" s="99"/>
      <c r="N240" s="99"/>
      <c r="O240" s="57"/>
      <c r="P240" s="101"/>
      <c r="Q240" s="102"/>
      <c r="R240" s="102"/>
      <c r="S240" s="102"/>
      <c r="T240" s="102"/>
      <c r="U240" s="102"/>
      <c r="V240" s="102"/>
    </row>
    <row r="241" spans="1:22" s="103" customFormat="1" ht="21" customHeight="1" x14ac:dyDescent="0.15">
      <c r="A241" s="99"/>
      <c r="B241" s="100"/>
      <c r="C241" s="99"/>
      <c r="D241" s="99"/>
      <c r="E241" s="99"/>
      <c r="F241" s="99"/>
      <c r="G241" s="99"/>
      <c r="H241" s="99"/>
      <c r="I241" s="99"/>
      <c r="J241" s="99"/>
      <c r="K241" s="99"/>
      <c r="L241" s="99"/>
      <c r="M241" s="99"/>
      <c r="N241" s="99"/>
      <c r="O241" s="57"/>
      <c r="P241" s="101"/>
      <c r="Q241" s="102"/>
      <c r="R241" s="102"/>
      <c r="S241" s="102"/>
      <c r="T241" s="102"/>
      <c r="U241" s="102"/>
      <c r="V241" s="102"/>
    </row>
    <row r="242" spans="1:22" s="103" customFormat="1" ht="21" customHeight="1" x14ac:dyDescent="0.15">
      <c r="A242" s="99"/>
      <c r="B242" s="100"/>
      <c r="C242" s="99"/>
      <c r="D242" s="99"/>
      <c r="E242" s="99"/>
      <c r="F242" s="99"/>
      <c r="G242" s="99"/>
      <c r="H242" s="99"/>
      <c r="I242" s="99"/>
      <c r="J242" s="99"/>
      <c r="K242" s="99"/>
      <c r="L242" s="99"/>
      <c r="M242" s="99"/>
      <c r="N242" s="99"/>
      <c r="O242" s="57"/>
      <c r="P242" s="101"/>
      <c r="Q242" s="102"/>
      <c r="R242" s="102"/>
      <c r="S242" s="102"/>
      <c r="T242" s="102"/>
      <c r="U242" s="102"/>
      <c r="V242" s="102"/>
    </row>
    <row r="243" spans="1:22" s="103" customFormat="1" ht="21" customHeight="1" x14ac:dyDescent="0.15">
      <c r="A243" s="99"/>
      <c r="B243" s="100"/>
      <c r="C243" s="99"/>
      <c r="D243" s="99"/>
      <c r="E243" s="99"/>
      <c r="F243" s="99"/>
      <c r="G243" s="99"/>
      <c r="H243" s="99"/>
      <c r="I243" s="99"/>
      <c r="J243" s="99"/>
      <c r="K243" s="99"/>
      <c r="L243" s="99"/>
      <c r="M243" s="99"/>
      <c r="N243" s="99"/>
      <c r="O243" s="57"/>
      <c r="P243" s="101"/>
      <c r="Q243" s="102"/>
      <c r="R243" s="102"/>
      <c r="S243" s="102"/>
      <c r="T243" s="102"/>
      <c r="U243" s="102"/>
      <c r="V243" s="102"/>
    </row>
    <row r="244" spans="1:22" s="103" customFormat="1" ht="21" customHeight="1" x14ac:dyDescent="0.15">
      <c r="A244" s="99"/>
      <c r="B244" s="100"/>
      <c r="C244" s="99"/>
      <c r="D244" s="99"/>
      <c r="E244" s="99"/>
      <c r="F244" s="99"/>
      <c r="G244" s="99"/>
      <c r="H244" s="99"/>
      <c r="I244" s="99"/>
      <c r="J244" s="99"/>
      <c r="K244" s="99"/>
      <c r="L244" s="99"/>
      <c r="M244" s="99"/>
      <c r="N244" s="99"/>
      <c r="O244" s="57"/>
      <c r="P244" s="101"/>
      <c r="Q244" s="102"/>
      <c r="R244" s="102"/>
      <c r="S244" s="102"/>
      <c r="T244" s="102"/>
      <c r="U244" s="102"/>
      <c r="V244" s="102"/>
    </row>
    <row r="245" spans="1:22" s="103" customFormat="1" ht="21" customHeight="1" x14ac:dyDescent="0.15">
      <c r="A245" s="99"/>
      <c r="B245" s="100"/>
      <c r="C245" s="99"/>
      <c r="D245" s="99"/>
      <c r="E245" s="99"/>
      <c r="F245" s="99"/>
      <c r="G245" s="99"/>
      <c r="H245" s="99"/>
      <c r="I245" s="99"/>
      <c r="J245" s="99"/>
      <c r="K245" s="99"/>
      <c r="L245" s="99"/>
      <c r="M245" s="99"/>
      <c r="N245" s="99"/>
      <c r="O245" s="57"/>
      <c r="P245" s="101"/>
      <c r="Q245" s="102"/>
      <c r="R245" s="102"/>
      <c r="S245" s="102"/>
      <c r="T245" s="102"/>
      <c r="U245" s="102"/>
      <c r="V245" s="102"/>
    </row>
    <row r="246" spans="1:22" s="103" customFormat="1" ht="21" customHeight="1" x14ac:dyDescent="0.15">
      <c r="A246" s="99"/>
      <c r="B246" s="100"/>
      <c r="C246" s="99"/>
      <c r="D246" s="99"/>
      <c r="E246" s="99"/>
      <c r="F246" s="99"/>
      <c r="G246" s="99"/>
      <c r="H246" s="99"/>
      <c r="I246" s="99"/>
      <c r="J246" s="99"/>
      <c r="K246" s="99"/>
      <c r="L246" s="99"/>
      <c r="M246" s="99"/>
      <c r="N246" s="99"/>
      <c r="O246" s="57"/>
      <c r="P246" s="101"/>
      <c r="Q246" s="102"/>
      <c r="R246" s="102"/>
      <c r="S246" s="102"/>
      <c r="T246" s="102"/>
      <c r="U246" s="102"/>
      <c r="V246" s="102"/>
    </row>
    <row r="247" spans="1:22" s="103" customFormat="1" ht="21" customHeight="1" x14ac:dyDescent="0.15">
      <c r="A247" s="99"/>
      <c r="B247" s="100"/>
      <c r="C247" s="99"/>
      <c r="D247" s="99"/>
      <c r="E247" s="99"/>
      <c r="F247" s="99"/>
      <c r="G247" s="99"/>
      <c r="H247" s="99"/>
      <c r="I247" s="99"/>
      <c r="J247" s="99"/>
      <c r="K247" s="99"/>
      <c r="L247" s="99"/>
      <c r="M247" s="99"/>
      <c r="N247" s="99"/>
      <c r="O247" s="57"/>
      <c r="P247" s="101"/>
      <c r="Q247" s="102"/>
      <c r="R247" s="102"/>
      <c r="S247" s="102"/>
      <c r="T247" s="102"/>
      <c r="U247" s="102"/>
      <c r="V247" s="102"/>
    </row>
    <row r="248" spans="1:22" s="103" customFormat="1" ht="21" customHeight="1" x14ac:dyDescent="0.15">
      <c r="A248" s="99"/>
      <c r="B248" s="100"/>
      <c r="C248" s="99"/>
      <c r="D248" s="99"/>
      <c r="E248" s="99"/>
      <c r="F248" s="99"/>
      <c r="G248" s="99"/>
      <c r="H248" s="99"/>
      <c r="I248" s="99"/>
      <c r="J248" s="99"/>
      <c r="K248" s="99"/>
      <c r="L248" s="99"/>
      <c r="M248" s="99"/>
      <c r="N248" s="99"/>
      <c r="O248" s="57"/>
      <c r="P248" s="101"/>
      <c r="Q248" s="102"/>
      <c r="R248" s="102"/>
      <c r="S248" s="102"/>
      <c r="T248" s="102"/>
      <c r="U248" s="102"/>
      <c r="V248" s="102"/>
    </row>
    <row r="249" spans="1:22" s="103" customFormat="1" ht="21" customHeight="1" x14ac:dyDescent="0.15">
      <c r="A249" s="99"/>
      <c r="B249" s="100"/>
      <c r="C249" s="99"/>
      <c r="D249" s="99"/>
      <c r="E249" s="99"/>
      <c r="F249" s="99"/>
      <c r="G249" s="99"/>
      <c r="H249" s="99"/>
      <c r="I249" s="99"/>
      <c r="J249" s="99"/>
      <c r="K249" s="99"/>
      <c r="L249" s="99"/>
      <c r="M249" s="99"/>
      <c r="N249" s="99"/>
      <c r="O249" s="57"/>
      <c r="P249" s="101"/>
      <c r="Q249" s="102"/>
      <c r="R249" s="102"/>
      <c r="S249" s="102"/>
      <c r="T249" s="102"/>
      <c r="U249" s="102"/>
      <c r="V249" s="102"/>
    </row>
    <row r="250" spans="1:22" s="103" customFormat="1" ht="21" customHeight="1" x14ac:dyDescent="0.15">
      <c r="A250" s="99"/>
      <c r="B250" s="100"/>
      <c r="C250" s="99"/>
      <c r="D250" s="99"/>
      <c r="E250" s="99"/>
      <c r="F250" s="99"/>
      <c r="G250" s="99"/>
      <c r="H250" s="99"/>
      <c r="I250" s="99"/>
      <c r="J250" s="99"/>
      <c r="K250" s="99"/>
      <c r="L250" s="99"/>
      <c r="M250" s="99"/>
      <c r="N250" s="99"/>
      <c r="O250" s="57"/>
      <c r="P250" s="101"/>
      <c r="Q250" s="102"/>
      <c r="R250" s="102"/>
      <c r="S250" s="102"/>
      <c r="T250" s="102"/>
      <c r="U250" s="102"/>
      <c r="V250" s="102"/>
    </row>
    <row r="251" spans="1:22" s="103" customFormat="1" ht="21" customHeight="1" x14ac:dyDescent="0.15">
      <c r="A251" s="99"/>
      <c r="B251" s="100"/>
      <c r="C251" s="99"/>
      <c r="D251" s="99"/>
      <c r="E251" s="99"/>
      <c r="F251" s="99"/>
      <c r="G251" s="99"/>
      <c r="H251" s="99"/>
      <c r="I251" s="99"/>
      <c r="J251" s="99"/>
      <c r="K251" s="99"/>
      <c r="L251" s="99"/>
      <c r="M251" s="99"/>
      <c r="N251" s="99"/>
      <c r="O251" s="57"/>
      <c r="P251" s="101"/>
      <c r="Q251" s="102"/>
      <c r="R251" s="102"/>
      <c r="S251" s="102"/>
      <c r="T251" s="102"/>
      <c r="U251" s="102"/>
      <c r="V251" s="102"/>
    </row>
    <row r="252" spans="1:22" s="103" customFormat="1" ht="21" customHeight="1" x14ac:dyDescent="0.15">
      <c r="A252" s="99"/>
      <c r="B252" s="100"/>
      <c r="C252" s="99"/>
      <c r="D252" s="99"/>
      <c r="E252" s="99"/>
      <c r="F252" s="99"/>
      <c r="G252" s="99"/>
      <c r="H252" s="99"/>
      <c r="I252" s="99"/>
      <c r="J252" s="99"/>
      <c r="K252" s="99"/>
      <c r="L252" s="99"/>
      <c r="M252" s="99"/>
      <c r="N252" s="99"/>
      <c r="O252" s="57"/>
      <c r="P252" s="101"/>
      <c r="Q252" s="102"/>
      <c r="R252" s="102"/>
      <c r="S252" s="102"/>
      <c r="T252" s="102"/>
      <c r="U252" s="102"/>
      <c r="V252" s="102"/>
    </row>
    <row r="253" spans="1:22" s="103" customFormat="1" ht="21" customHeight="1" x14ac:dyDescent="0.15">
      <c r="A253" s="99"/>
      <c r="B253" s="100"/>
      <c r="C253" s="99"/>
      <c r="D253" s="99"/>
      <c r="E253" s="99"/>
      <c r="F253" s="99"/>
      <c r="G253" s="99"/>
      <c r="H253" s="99"/>
      <c r="I253" s="99"/>
      <c r="J253" s="99"/>
      <c r="K253" s="99"/>
      <c r="L253" s="99"/>
      <c r="M253" s="99"/>
      <c r="N253" s="99"/>
      <c r="O253" s="57"/>
      <c r="P253" s="101"/>
      <c r="Q253" s="102"/>
      <c r="R253" s="102"/>
      <c r="S253" s="102"/>
      <c r="T253" s="102"/>
      <c r="U253" s="102"/>
      <c r="V253" s="102"/>
    </row>
    <row r="254" spans="1:22" s="103" customFormat="1" ht="21" customHeight="1" x14ac:dyDescent="0.15">
      <c r="A254" s="99"/>
      <c r="B254" s="100"/>
      <c r="C254" s="99"/>
      <c r="D254" s="99"/>
      <c r="E254" s="99"/>
      <c r="F254" s="99"/>
      <c r="G254" s="99"/>
      <c r="H254" s="99"/>
      <c r="I254" s="99"/>
      <c r="J254" s="99"/>
      <c r="K254" s="99"/>
      <c r="L254" s="99"/>
      <c r="M254" s="99"/>
      <c r="N254" s="99"/>
      <c r="O254" s="57"/>
      <c r="P254" s="101"/>
      <c r="Q254" s="102"/>
      <c r="R254" s="102"/>
      <c r="S254" s="102"/>
      <c r="T254" s="102"/>
      <c r="U254" s="102"/>
      <c r="V254" s="102"/>
    </row>
    <row r="255" spans="1:22" s="103" customFormat="1" ht="21" customHeight="1" x14ac:dyDescent="0.15">
      <c r="A255" s="99"/>
      <c r="B255" s="100"/>
      <c r="C255" s="99"/>
      <c r="D255" s="99"/>
      <c r="E255" s="99"/>
      <c r="F255" s="99"/>
      <c r="G255" s="99"/>
      <c r="H255" s="99"/>
      <c r="I255" s="99"/>
      <c r="J255" s="99"/>
      <c r="K255" s="99"/>
      <c r="L255" s="99"/>
      <c r="M255" s="99"/>
      <c r="N255" s="99"/>
      <c r="O255" s="57"/>
      <c r="P255" s="101"/>
      <c r="Q255" s="102"/>
      <c r="R255" s="102"/>
      <c r="S255" s="102"/>
      <c r="T255" s="102"/>
      <c r="U255" s="102"/>
      <c r="V255" s="102"/>
    </row>
    <row r="256" spans="1:22" s="103" customFormat="1" ht="21" customHeight="1" x14ac:dyDescent="0.15">
      <c r="A256" s="99"/>
      <c r="B256" s="100"/>
      <c r="C256" s="99"/>
      <c r="D256" s="99"/>
      <c r="E256" s="99"/>
      <c r="F256" s="99"/>
      <c r="G256" s="99"/>
      <c r="H256" s="99"/>
      <c r="I256" s="99"/>
      <c r="J256" s="99"/>
      <c r="K256" s="99"/>
      <c r="L256" s="99"/>
      <c r="M256" s="99"/>
      <c r="N256" s="99"/>
      <c r="O256" s="57"/>
      <c r="P256" s="101"/>
      <c r="Q256" s="102"/>
      <c r="R256" s="102"/>
      <c r="S256" s="102"/>
      <c r="T256" s="102"/>
      <c r="U256" s="102"/>
      <c r="V256" s="102"/>
    </row>
    <row r="257" spans="1:22" s="103" customFormat="1" ht="21" customHeight="1" x14ac:dyDescent="0.15">
      <c r="A257" s="99"/>
      <c r="B257" s="100"/>
      <c r="C257" s="99"/>
      <c r="D257" s="99"/>
      <c r="E257" s="99"/>
      <c r="F257" s="99"/>
      <c r="G257" s="99"/>
      <c r="H257" s="99"/>
      <c r="I257" s="99"/>
      <c r="J257" s="99"/>
      <c r="K257" s="99"/>
      <c r="L257" s="99"/>
      <c r="M257" s="99"/>
      <c r="N257" s="99"/>
      <c r="O257" s="57"/>
      <c r="P257" s="101"/>
      <c r="Q257" s="102"/>
      <c r="R257" s="102"/>
      <c r="S257" s="102"/>
      <c r="T257" s="102"/>
      <c r="U257" s="102"/>
      <c r="V257" s="102"/>
    </row>
    <row r="258" spans="1:22" s="103" customFormat="1" ht="21" customHeight="1" x14ac:dyDescent="0.15">
      <c r="A258" s="99"/>
      <c r="B258" s="100"/>
      <c r="C258" s="99"/>
      <c r="D258" s="99"/>
      <c r="E258" s="99"/>
      <c r="F258" s="99"/>
      <c r="G258" s="99"/>
      <c r="H258" s="99"/>
      <c r="I258" s="99"/>
      <c r="J258" s="99"/>
      <c r="K258" s="99"/>
      <c r="L258" s="99"/>
      <c r="M258" s="99"/>
      <c r="N258" s="99"/>
      <c r="O258" s="57"/>
      <c r="P258" s="101"/>
      <c r="Q258" s="102"/>
      <c r="R258" s="102"/>
      <c r="S258" s="102"/>
      <c r="T258" s="102"/>
      <c r="U258" s="102"/>
      <c r="V258" s="102"/>
    </row>
    <row r="259" spans="1:22" s="103" customFormat="1" ht="21" customHeight="1" x14ac:dyDescent="0.15">
      <c r="A259" s="99"/>
      <c r="B259" s="100"/>
      <c r="C259" s="99"/>
      <c r="D259" s="99"/>
      <c r="E259" s="99"/>
      <c r="F259" s="99"/>
      <c r="G259" s="99"/>
      <c r="H259" s="99"/>
      <c r="I259" s="99"/>
      <c r="J259" s="99"/>
      <c r="K259" s="99"/>
      <c r="L259" s="99"/>
      <c r="M259" s="99"/>
      <c r="N259" s="99"/>
      <c r="O259" s="57"/>
      <c r="P259" s="101"/>
      <c r="Q259" s="102"/>
      <c r="R259" s="102"/>
      <c r="S259" s="102"/>
      <c r="T259" s="102"/>
      <c r="U259" s="102"/>
      <c r="V259" s="102"/>
    </row>
    <row r="260" spans="1:22" s="103" customFormat="1" ht="21" customHeight="1" x14ac:dyDescent="0.15">
      <c r="A260" s="99"/>
      <c r="B260" s="100"/>
      <c r="C260" s="99"/>
      <c r="D260" s="99"/>
      <c r="E260" s="99"/>
      <c r="F260" s="99"/>
      <c r="G260" s="99"/>
      <c r="H260" s="99"/>
      <c r="I260" s="99"/>
      <c r="J260" s="99"/>
      <c r="K260" s="99"/>
      <c r="L260" s="99"/>
      <c r="M260" s="99"/>
      <c r="N260" s="99"/>
      <c r="O260" s="57"/>
      <c r="P260" s="101"/>
      <c r="Q260" s="102"/>
      <c r="R260" s="102"/>
      <c r="S260" s="102"/>
      <c r="T260" s="102"/>
      <c r="U260" s="102"/>
      <c r="V260" s="102"/>
    </row>
    <row r="261" spans="1:22" s="103" customFormat="1" ht="21" customHeight="1" x14ac:dyDescent="0.15">
      <c r="A261" s="99"/>
      <c r="B261" s="100"/>
      <c r="C261" s="99"/>
      <c r="D261" s="99"/>
      <c r="E261" s="99"/>
      <c r="F261" s="99"/>
      <c r="G261" s="99"/>
      <c r="H261" s="99"/>
      <c r="I261" s="99"/>
      <c r="J261" s="99"/>
      <c r="K261" s="99"/>
      <c r="L261" s="99"/>
      <c r="M261" s="99"/>
      <c r="N261" s="99"/>
      <c r="O261" s="57"/>
      <c r="P261" s="101"/>
      <c r="Q261" s="102"/>
      <c r="R261" s="102"/>
      <c r="S261" s="102"/>
      <c r="T261" s="102"/>
      <c r="U261" s="102"/>
      <c r="V261" s="102"/>
    </row>
    <row r="262" spans="1:22" s="103" customFormat="1" ht="21" customHeight="1" x14ac:dyDescent="0.15">
      <c r="A262" s="99"/>
      <c r="B262" s="100"/>
      <c r="C262" s="99"/>
      <c r="D262" s="99"/>
      <c r="E262" s="99"/>
      <c r="F262" s="99"/>
      <c r="G262" s="99"/>
      <c r="H262" s="99"/>
      <c r="I262" s="99"/>
      <c r="J262" s="99"/>
      <c r="K262" s="99"/>
      <c r="L262" s="99"/>
      <c r="M262" s="99"/>
      <c r="N262" s="99"/>
      <c r="O262" s="57"/>
      <c r="P262" s="101"/>
      <c r="Q262" s="102"/>
      <c r="R262" s="102"/>
      <c r="S262" s="102"/>
      <c r="T262" s="102"/>
      <c r="U262" s="102"/>
      <c r="V262" s="102"/>
    </row>
    <row r="263" spans="1:22" s="103" customFormat="1" ht="21" customHeight="1" x14ac:dyDescent="0.15">
      <c r="A263" s="99"/>
      <c r="B263" s="100"/>
      <c r="C263" s="99"/>
      <c r="D263" s="99"/>
      <c r="E263" s="99"/>
      <c r="F263" s="99"/>
      <c r="G263" s="99"/>
      <c r="H263" s="99"/>
      <c r="I263" s="99"/>
      <c r="J263" s="99"/>
      <c r="K263" s="99"/>
      <c r="L263" s="99"/>
      <c r="M263" s="99"/>
      <c r="N263" s="99"/>
      <c r="O263" s="57"/>
      <c r="P263" s="101"/>
      <c r="Q263" s="102"/>
      <c r="R263" s="102"/>
      <c r="S263" s="102"/>
      <c r="T263" s="102"/>
      <c r="U263" s="102"/>
      <c r="V263" s="102"/>
    </row>
    <row r="264" spans="1:22" s="103" customFormat="1" ht="21" customHeight="1" x14ac:dyDescent="0.15">
      <c r="A264" s="99"/>
      <c r="B264" s="100"/>
      <c r="C264" s="99"/>
      <c r="D264" s="99"/>
      <c r="E264" s="99"/>
      <c r="F264" s="99"/>
      <c r="G264" s="99"/>
      <c r="H264" s="99"/>
      <c r="I264" s="99"/>
      <c r="J264" s="99"/>
      <c r="K264" s="99"/>
      <c r="L264" s="99"/>
      <c r="M264" s="99"/>
      <c r="N264" s="99"/>
      <c r="O264" s="57"/>
      <c r="P264" s="101"/>
      <c r="Q264" s="102"/>
      <c r="R264" s="102"/>
      <c r="S264" s="102"/>
      <c r="T264" s="102"/>
      <c r="U264" s="102"/>
      <c r="V264" s="102"/>
    </row>
    <row r="265" spans="1:22" s="103" customFormat="1" ht="21" customHeight="1" x14ac:dyDescent="0.15">
      <c r="A265" s="99"/>
      <c r="B265" s="100"/>
      <c r="C265" s="99"/>
      <c r="D265" s="99"/>
      <c r="E265" s="99"/>
      <c r="F265" s="99"/>
      <c r="G265" s="99"/>
      <c r="H265" s="99"/>
      <c r="I265" s="99"/>
      <c r="J265" s="99"/>
      <c r="K265" s="99"/>
      <c r="L265" s="99"/>
      <c r="M265" s="99"/>
      <c r="N265" s="99"/>
      <c r="O265" s="57"/>
      <c r="P265" s="101"/>
      <c r="Q265" s="102"/>
      <c r="R265" s="102"/>
      <c r="S265" s="102"/>
      <c r="T265" s="102"/>
      <c r="U265" s="102"/>
      <c r="V265" s="102"/>
    </row>
    <row r="266" spans="1:22" s="103" customFormat="1" ht="21" customHeight="1" x14ac:dyDescent="0.15">
      <c r="A266" s="99"/>
      <c r="B266" s="100"/>
      <c r="C266" s="99"/>
      <c r="D266" s="99"/>
      <c r="E266" s="99"/>
      <c r="F266" s="99"/>
      <c r="G266" s="99"/>
      <c r="H266" s="99"/>
      <c r="I266" s="99"/>
      <c r="J266" s="99"/>
      <c r="K266" s="99"/>
      <c r="L266" s="99"/>
      <c r="M266" s="99"/>
      <c r="N266" s="99"/>
      <c r="O266" s="57"/>
      <c r="P266" s="101"/>
      <c r="Q266" s="102"/>
      <c r="R266" s="102"/>
      <c r="S266" s="102"/>
      <c r="T266" s="102"/>
      <c r="U266" s="102"/>
      <c r="V266" s="102"/>
    </row>
    <row r="267" spans="1:22" s="103" customFormat="1" ht="21" customHeight="1" x14ac:dyDescent="0.15">
      <c r="A267" s="99"/>
      <c r="B267" s="100"/>
      <c r="C267" s="99"/>
      <c r="D267" s="99"/>
      <c r="E267" s="99"/>
      <c r="F267" s="99"/>
      <c r="G267" s="99"/>
      <c r="H267" s="99"/>
      <c r="I267" s="99"/>
      <c r="J267" s="99"/>
      <c r="K267" s="99"/>
      <c r="L267" s="99"/>
      <c r="M267" s="99"/>
      <c r="N267" s="99"/>
      <c r="O267" s="57"/>
      <c r="P267" s="101"/>
      <c r="Q267" s="102"/>
      <c r="R267" s="102"/>
      <c r="S267" s="102"/>
      <c r="T267" s="102"/>
      <c r="U267" s="102"/>
      <c r="V267" s="102"/>
    </row>
    <row r="268" spans="1:22" s="103" customFormat="1" ht="21" customHeight="1" x14ac:dyDescent="0.15">
      <c r="A268" s="99"/>
      <c r="B268" s="100"/>
      <c r="C268" s="99"/>
      <c r="D268" s="99"/>
      <c r="E268" s="99"/>
      <c r="F268" s="99"/>
      <c r="G268" s="99"/>
      <c r="H268" s="99"/>
      <c r="I268" s="99"/>
      <c r="J268" s="99"/>
      <c r="K268" s="99"/>
      <c r="L268" s="99"/>
      <c r="M268" s="99"/>
      <c r="N268" s="99"/>
      <c r="O268" s="57"/>
      <c r="P268" s="101"/>
      <c r="Q268" s="102"/>
      <c r="R268" s="102"/>
      <c r="S268" s="102"/>
      <c r="T268" s="102"/>
      <c r="U268" s="102"/>
      <c r="V268" s="102"/>
    </row>
    <row r="269" spans="1:22" s="103" customFormat="1" ht="21" customHeight="1" x14ac:dyDescent="0.15">
      <c r="A269" s="99"/>
      <c r="B269" s="100"/>
      <c r="C269" s="99"/>
      <c r="D269" s="99"/>
      <c r="E269" s="99"/>
      <c r="F269" s="99"/>
      <c r="G269" s="99"/>
      <c r="H269" s="99"/>
      <c r="I269" s="99"/>
      <c r="J269" s="99"/>
      <c r="K269" s="99"/>
      <c r="L269" s="99"/>
      <c r="M269" s="99"/>
      <c r="N269" s="99"/>
      <c r="O269" s="57"/>
      <c r="P269" s="101"/>
      <c r="Q269" s="102"/>
      <c r="R269" s="102"/>
      <c r="S269" s="102"/>
      <c r="T269" s="102"/>
      <c r="U269" s="102"/>
      <c r="V269" s="102"/>
    </row>
    <row r="270" spans="1:22" s="103" customFormat="1" ht="21" customHeight="1" x14ac:dyDescent="0.15">
      <c r="A270" s="99"/>
      <c r="B270" s="100"/>
      <c r="C270" s="99"/>
      <c r="D270" s="99"/>
      <c r="E270" s="99"/>
      <c r="F270" s="99"/>
      <c r="G270" s="99"/>
      <c r="H270" s="99"/>
      <c r="I270" s="99"/>
      <c r="J270" s="99"/>
      <c r="K270" s="99"/>
      <c r="L270" s="99"/>
      <c r="M270" s="99"/>
      <c r="N270" s="99"/>
      <c r="O270" s="57"/>
      <c r="P270" s="101"/>
      <c r="Q270" s="102"/>
      <c r="R270" s="102"/>
      <c r="S270" s="102"/>
      <c r="T270" s="102"/>
      <c r="U270" s="102"/>
      <c r="V270" s="102"/>
    </row>
    <row r="271" spans="1:22" s="103" customFormat="1" ht="21" customHeight="1" x14ac:dyDescent="0.15">
      <c r="A271" s="99"/>
      <c r="B271" s="100"/>
      <c r="C271" s="99"/>
      <c r="D271" s="99"/>
      <c r="E271" s="99"/>
      <c r="F271" s="99"/>
      <c r="G271" s="99"/>
      <c r="H271" s="99"/>
      <c r="I271" s="99"/>
      <c r="J271" s="99"/>
      <c r="K271" s="99"/>
      <c r="L271" s="99"/>
      <c r="M271" s="99"/>
      <c r="N271" s="99"/>
      <c r="O271" s="57"/>
      <c r="P271" s="101"/>
      <c r="Q271" s="102"/>
      <c r="R271" s="102"/>
      <c r="S271" s="102"/>
      <c r="T271" s="102"/>
      <c r="U271" s="102"/>
      <c r="V271" s="102"/>
    </row>
    <row r="272" spans="1:22" s="103" customFormat="1" ht="21" customHeight="1" x14ac:dyDescent="0.15">
      <c r="A272" s="99"/>
      <c r="B272" s="99"/>
      <c r="C272" s="99"/>
      <c r="D272" s="99"/>
      <c r="E272" s="99"/>
      <c r="F272" s="99"/>
      <c r="G272" s="99"/>
      <c r="H272" s="99"/>
      <c r="I272" s="99"/>
      <c r="J272" s="99"/>
      <c r="K272" s="99"/>
      <c r="L272" s="99"/>
      <c r="M272" s="99"/>
      <c r="N272" s="99"/>
      <c r="O272" s="57"/>
      <c r="P272" s="101"/>
      <c r="Q272" s="102"/>
      <c r="R272" s="102"/>
      <c r="S272" s="102"/>
      <c r="T272" s="102"/>
      <c r="U272" s="102"/>
      <c r="V272" s="102"/>
    </row>
    <row r="273" spans="1:22" s="103" customFormat="1" ht="21" customHeight="1" x14ac:dyDescent="0.15">
      <c r="A273" s="99"/>
      <c r="B273" s="99"/>
      <c r="C273" s="99"/>
      <c r="D273" s="99"/>
      <c r="E273" s="99"/>
      <c r="F273" s="99"/>
      <c r="G273" s="99"/>
      <c r="H273" s="99"/>
      <c r="I273" s="99"/>
      <c r="J273" s="99"/>
      <c r="K273" s="99"/>
      <c r="L273" s="99"/>
      <c r="M273" s="99"/>
      <c r="N273" s="99"/>
      <c r="O273" s="57"/>
      <c r="P273" s="101"/>
      <c r="Q273" s="102"/>
      <c r="R273" s="102"/>
      <c r="S273" s="102"/>
      <c r="T273" s="102"/>
      <c r="U273" s="102"/>
      <c r="V273" s="102"/>
    </row>
    <row r="274" spans="1:22" s="103" customFormat="1" ht="21" customHeight="1" x14ac:dyDescent="0.15">
      <c r="A274" s="99"/>
      <c r="B274" s="99"/>
      <c r="C274" s="99"/>
      <c r="D274" s="99"/>
      <c r="E274" s="99"/>
      <c r="F274" s="99"/>
      <c r="G274" s="99"/>
      <c r="H274" s="99"/>
      <c r="I274" s="99"/>
      <c r="J274" s="99"/>
      <c r="K274" s="99"/>
      <c r="L274" s="99"/>
      <c r="M274" s="99"/>
      <c r="N274" s="99"/>
      <c r="O274" s="57"/>
      <c r="P274" s="101"/>
      <c r="Q274" s="102"/>
      <c r="R274" s="102"/>
      <c r="S274" s="102"/>
      <c r="T274" s="102"/>
      <c r="U274" s="102"/>
      <c r="V274" s="102"/>
    </row>
    <row r="275" spans="1:22" s="103" customFormat="1" ht="21" customHeight="1" x14ac:dyDescent="0.15">
      <c r="A275" s="99"/>
      <c r="B275" s="99"/>
      <c r="C275" s="99"/>
      <c r="D275" s="99"/>
      <c r="E275" s="99"/>
      <c r="F275" s="99"/>
      <c r="G275" s="99"/>
      <c r="H275" s="99"/>
      <c r="I275" s="99"/>
      <c r="J275" s="99"/>
      <c r="K275" s="99"/>
      <c r="L275" s="99"/>
      <c r="M275" s="99"/>
      <c r="N275" s="99"/>
      <c r="O275" s="57"/>
      <c r="P275" s="101"/>
      <c r="Q275" s="102"/>
      <c r="R275" s="102"/>
      <c r="S275" s="102"/>
      <c r="T275" s="102"/>
      <c r="U275" s="102"/>
      <c r="V275" s="102"/>
    </row>
    <row r="276" spans="1:22" s="103" customFormat="1" ht="21" customHeight="1" x14ac:dyDescent="0.15">
      <c r="A276" s="99"/>
      <c r="B276" s="99"/>
      <c r="C276" s="99"/>
      <c r="D276" s="99"/>
      <c r="E276" s="99"/>
      <c r="F276" s="99"/>
      <c r="G276" s="99"/>
      <c r="H276" s="99"/>
      <c r="I276" s="99"/>
      <c r="J276" s="99"/>
      <c r="K276" s="99"/>
      <c r="L276" s="99"/>
      <c r="M276" s="99"/>
      <c r="N276" s="99"/>
      <c r="O276" s="57"/>
      <c r="P276" s="101"/>
      <c r="Q276" s="102"/>
      <c r="R276" s="102"/>
      <c r="S276" s="102"/>
      <c r="T276" s="102"/>
      <c r="U276" s="102"/>
      <c r="V276" s="102"/>
    </row>
    <row r="277" spans="1:22" s="103" customFormat="1" ht="21" customHeight="1" x14ac:dyDescent="0.15">
      <c r="A277" s="99"/>
      <c r="B277" s="99"/>
      <c r="C277" s="99"/>
      <c r="D277" s="99"/>
      <c r="E277" s="99"/>
      <c r="F277" s="99"/>
      <c r="G277" s="99"/>
      <c r="H277" s="99"/>
      <c r="I277" s="99"/>
      <c r="J277" s="99"/>
      <c r="K277" s="99"/>
      <c r="L277" s="99"/>
      <c r="M277" s="99"/>
      <c r="N277" s="99"/>
      <c r="O277" s="57"/>
      <c r="P277" s="101"/>
      <c r="Q277" s="102"/>
      <c r="R277" s="102"/>
      <c r="S277" s="102"/>
      <c r="T277" s="102"/>
      <c r="U277" s="102"/>
      <c r="V277" s="102"/>
    </row>
    <row r="278" spans="1:22" s="103" customFormat="1" ht="21" customHeight="1" x14ac:dyDescent="0.15">
      <c r="A278" s="99"/>
      <c r="B278" s="99"/>
      <c r="C278" s="99"/>
      <c r="D278" s="99"/>
      <c r="E278" s="99"/>
      <c r="F278" s="99"/>
      <c r="G278" s="99"/>
      <c r="H278" s="99"/>
      <c r="I278" s="99"/>
      <c r="J278" s="99"/>
      <c r="K278" s="99"/>
      <c r="L278" s="99"/>
      <c r="M278" s="99"/>
      <c r="N278" s="99"/>
      <c r="O278" s="57"/>
      <c r="P278" s="101"/>
      <c r="Q278" s="102"/>
      <c r="R278" s="102"/>
      <c r="S278" s="102"/>
      <c r="T278" s="102"/>
      <c r="U278" s="102"/>
      <c r="V278" s="102"/>
    </row>
    <row r="279" spans="1:22" s="103" customFormat="1" ht="21" customHeight="1" x14ac:dyDescent="0.15">
      <c r="A279" s="99"/>
      <c r="B279" s="99"/>
      <c r="C279" s="99"/>
      <c r="D279" s="99"/>
      <c r="E279" s="99"/>
      <c r="F279" s="99"/>
      <c r="G279" s="99"/>
      <c r="H279" s="99"/>
      <c r="I279" s="99"/>
      <c r="J279" s="99"/>
      <c r="K279" s="99"/>
      <c r="L279" s="99"/>
      <c r="M279" s="99"/>
      <c r="N279" s="99"/>
      <c r="O279" s="57"/>
      <c r="P279" s="101"/>
      <c r="Q279" s="102"/>
      <c r="R279" s="102"/>
      <c r="S279" s="102"/>
      <c r="T279" s="102"/>
      <c r="U279" s="102"/>
      <c r="V279" s="102"/>
    </row>
    <row r="280" spans="1:22" s="103" customFormat="1" ht="21" customHeight="1" x14ac:dyDescent="0.15">
      <c r="A280" s="99"/>
      <c r="B280" s="99"/>
      <c r="C280" s="99"/>
      <c r="D280" s="99"/>
      <c r="E280" s="99"/>
      <c r="F280" s="99"/>
      <c r="G280" s="99"/>
      <c r="H280" s="99"/>
      <c r="I280" s="99"/>
      <c r="J280" s="99"/>
      <c r="K280" s="99"/>
      <c r="L280" s="99"/>
      <c r="M280" s="99"/>
      <c r="N280" s="99"/>
      <c r="O280" s="57"/>
      <c r="P280" s="101"/>
      <c r="Q280" s="102"/>
      <c r="R280" s="102"/>
      <c r="S280" s="102"/>
      <c r="T280" s="102"/>
      <c r="U280" s="102"/>
      <c r="V280" s="102"/>
    </row>
    <row r="281" spans="1:22" s="103" customFormat="1" ht="21" customHeight="1" x14ac:dyDescent="0.15">
      <c r="A281" s="99"/>
      <c r="B281" s="99"/>
      <c r="C281" s="99"/>
      <c r="D281" s="99"/>
      <c r="E281" s="99"/>
      <c r="F281" s="99"/>
      <c r="G281" s="99"/>
      <c r="H281" s="99"/>
      <c r="I281" s="99"/>
      <c r="J281" s="99"/>
      <c r="K281" s="99"/>
      <c r="L281" s="99"/>
      <c r="M281" s="99"/>
      <c r="N281" s="99"/>
      <c r="O281" s="57"/>
      <c r="P281" s="101"/>
      <c r="Q281" s="102"/>
      <c r="R281" s="102"/>
      <c r="S281" s="102"/>
      <c r="T281" s="102"/>
      <c r="U281" s="102"/>
      <c r="V281" s="102"/>
    </row>
    <row r="282" spans="1:22" s="103" customFormat="1" ht="21" customHeight="1" x14ac:dyDescent="0.15">
      <c r="A282" s="99"/>
      <c r="B282" s="99"/>
      <c r="C282" s="99"/>
      <c r="D282" s="99"/>
      <c r="E282" s="99"/>
      <c r="F282" s="99"/>
      <c r="G282" s="99"/>
      <c r="H282" s="99"/>
      <c r="I282" s="99"/>
      <c r="J282" s="99"/>
      <c r="K282" s="99"/>
      <c r="L282" s="99"/>
      <c r="M282" s="99"/>
      <c r="N282" s="99"/>
      <c r="O282" s="57"/>
      <c r="P282" s="101"/>
      <c r="Q282" s="102"/>
      <c r="R282" s="102"/>
      <c r="S282" s="102"/>
      <c r="T282" s="102"/>
      <c r="U282" s="102"/>
      <c r="V282" s="102"/>
    </row>
    <row r="283" spans="1:22" s="103" customFormat="1" ht="21" customHeight="1" x14ac:dyDescent="0.15">
      <c r="A283" s="99"/>
      <c r="B283" s="99"/>
      <c r="C283" s="99"/>
      <c r="D283" s="99"/>
      <c r="E283" s="99"/>
      <c r="F283" s="99"/>
      <c r="G283" s="99"/>
      <c r="H283" s="99"/>
      <c r="I283" s="99"/>
      <c r="J283" s="99"/>
      <c r="K283" s="99"/>
      <c r="L283" s="99"/>
      <c r="M283" s="99"/>
      <c r="N283" s="99"/>
      <c r="O283" s="57"/>
      <c r="P283" s="101"/>
      <c r="Q283" s="102"/>
      <c r="R283" s="102"/>
      <c r="S283" s="102"/>
      <c r="T283" s="102"/>
      <c r="U283" s="102"/>
      <c r="V283" s="102"/>
    </row>
    <row r="284" spans="1:22" s="103" customFormat="1" ht="21" customHeight="1" x14ac:dyDescent="0.15">
      <c r="A284" s="99"/>
      <c r="B284" s="99"/>
      <c r="C284" s="99"/>
      <c r="D284" s="99"/>
      <c r="E284" s="99"/>
      <c r="F284" s="99"/>
      <c r="G284" s="99"/>
      <c r="H284" s="99"/>
      <c r="I284" s="99"/>
      <c r="J284" s="99"/>
      <c r="K284" s="99"/>
      <c r="L284" s="99"/>
      <c r="M284" s="99"/>
      <c r="N284" s="99"/>
      <c r="O284" s="57"/>
      <c r="P284" s="101"/>
      <c r="Q284" s="102"/>
      <c r="R284" s="102"/>
      <c r="S284" s="102"/>
      <c r="T284" s="102"/>
      <c r="U284" s="102"/>
      <c r="V284" s="102"/>
    </row>
    <row r="285" spans="1:22" s="103" customFormat="1" ht="21" customHeight="1" x14ac:dyDescent="0.15">
      <c r="A285" s="99"/>
      <c r="B285" s="99"/>
      <c r="C285" s="99"/>
      <c r="D285" s="99"/>
      <c r="E285" s="99"/>
      <c r="F285" s="99"/>
      <c r="G285" s="99"/>
      <c r="H285" s="99"/>
      <c r="I285" s="99"/>
      <c r="J285" s="99"/>
      <c r="K285" s="99"/>
      <c r="L285" s="99"/>
      <c r="M285" s="99"/>
      <c r="N285" s="99"/>
      <c r="O285" s="57"/>
      <c r="P285" s="101"/>
      <c r="Q285" s="102"/>
      <c r="R285" s="102"/>
      <c r="S285" s="102"/>
      <c r="T285" s="102"/>
      <c r="U285" s="102"/>
      <c r="V285" s="102"/>
    </row>
    <row r="286" spans="1:22" s="103" customFormat="1" ht="21" customHeight="1" x14ac:dyDescent="0.15">
      <c r="A286" s="99"/>
      <c r="B286" s="99"/>
      <c r="C286" s="99"/>
      <c r="D286" s="99"/>
      <c r="E286" s="99"/>
      <c r="F286" s="99"/>
      <c r="G286" s="99"/>
      <c r="H286" s="99"/>
      <c r="I286" s="99"/>
      <c r="J286" s="99"/>
      <c r="K286" s="99"/>
      <c r="L286" s="99"/>
      <c r="M286" s="99"/>
      <c r="N286" s="99"/>
      <c r="O286" s="57"/>
      <c r="P286" s="101"/>
      <c r="Q286" s="102"/>
      <c r="R286" s="102"/>
      <c r="S286" s="102"/>
      <c r="T286" s="102"/>
      <c r="U286" s="102"/>
      <c r="V286" s="102"/>
    </row>
    <row r="287" spans="1:22" s="103" customFormat="1" ht="21" customHeight="1" x14ac:dyDescent="0.15">
      <c r="A287" s="99"/>
      <c r="B287" s="99"/>
      <c r="C287" s="99"/>
      <c r="D287" s="99"/>
      <c r="E287" s="99"/>
      <c r="F287" s="99"/>
      <c r="G287" s="99"/>
      <c r="H287" s="99"/>
      <c r="I287" s="99"/>
      <c r="J287" s="99"/>
      <c r="K287" s="99"/>
      <c r="L287" s="99"/>
      <c r="M287" s="99"/>
      <c r="N287" s="99"/>
      <c r="O287" s="57"/>
      <c r="P287" s="101"/>
      <c r="Q287" s="102"/>
      <c r="R287" s="102"/>
      <c r="S287" s="102"/>
      <c r="T287" s="102"/>
      <c r="U287" s="102"/>
      <c r="V287" s="102"/>
    </row>
    <row r="288" spans="1:22" s="103" customFormat="1" ht="21" customHeight="1" x14ac:dyDescent="0.15">
      <c r="A288" s="99"/>
      <c r="B288" s="99"/>
      <c r="C288" s="99"/>
      <c r="D288" s="99"/>
      <c r="E288" s="99"/>
      <c r="F288" s="99"/>
      <c r="G288" s="99"/>
      <c r="H288" s="99"/>
      <c r="I288" s="99"/>
      <c r="J288" s="99"/>
      <c r="K288" s="99"/>
      <c r="L288" s="99"/>
      <c r="M288" s="99"/>
      <c r="N288" s="99"/>
      <c r="O288" s="57"/>
      <c r="P288" s="101"/>
      <c r="Q288" s="102"/>
      <c r="R288" s="102"/>
      <c r="S288" s="102"/>
      <c r="T288" s="102"/>
      <c r="U288" s="102"/>
      <c r="V288" s="102"/>
    </row>
    <row r="289" spans="1:22" s="103" customFormat="1" ht="21" customHeight="1" x14ac:dyDescent="0.15">
      <c r="A289" s="99"/>
      <c r="B289" s="99"/>
      <c r="C289" s="99"/>
      <c r="D289" s="99"/>
      <c r="E289" s="99"/>
      <c r="F289" s="99"/>
      <c r="G289" s="99"/>
      <c r="H289" s="99"/>
      <c r="I289" s="99"/>
      <c r="J289" s="99"/>
      <c r="K289" s="99"/>
      <c r="L289" s="99"/>
      <c r="M289" s="99"/>
      <c r="N289" s="99"/>
      <c r="O289" s="57"/>
      <c r="P289" s="101"/>
      <c r="Q289" s="102"/>
      <c r="R289" s="102"/>
      <c r="S289" s="102"/>
      <c r="T289" s="102"/>
      <c r="U289" s="102"/>
      <c r="V289" s="102"/>
    </row>
    <row r="290" spans="1:22" s="103" customFormat="1" ht="21" customHeight="1" x14ac:dyDescent="0.15">
      <c r="A290" s="99"/>
      <c r="B290" s="99"/>
      <c r="C290" s="99"/>
      <c r="D290" s="99"/>
      <c r="E290" s="99"/>
      <c r="F290" s="99"/>
      <c r="G290" s="99"/>
      <c r="H290" s="99"/>
      <c r="I290" s="99"/>
      <c r="J290" s="99"/>
      <c r="K290" s="99"/>
      <c r="L290" s="99"/>
      <c r="M290" s="99"/>
      <c r="N290" s="99"/>
      <c r="O290" s="57"/>
      <c r="P290" s="101"/>
      <c r="Q290" s="102"/>
      <c r="R290" s="102"/>
      <c r="S290" s="102"/>
      <c r="T290" s="102"/>
      <c r="U290" s="102"/>
      <c r="V290" s="102"/>
    </row>
    <row r="291" spans="1:22" s="103" customFormat="1" ht="21" customHeight="1" x14ac:dyDescent="0.15">
      <c r="A291" s="99"/>
      <c r="B291" s="99"/>
      <c r="C291" s="99"/>
      <c r="D291" s="99"/>
      <c r="E291" s="99"/>
      <c r="F291" s="99"/>
      <c r="G291" s="99"/>
      <c r="H291" s="99"/>
      <c r="I291" s="99"/>
      <c r="J291" s="99"/>
      <c r="K291" s="99"/>
      <c r="L291" s="99"/>
      <c r="M291" s="99"/>
      <c r="N291" s="99"/>
      <c r="O291" s="57"/>
      <c r="P291" s="101"/>
      <c r="Q291" s="102"/>
      <c r="R291" s="102"/>
      <c r="S291" s="102"/>
      <c r="T291" s="102"/>
      <c r="U291" s="102"/>
      <c r="V291" s="102"/>
    </row>
    <row r="292" spans="1:22" s="103" customFormat="1" ht="21" customHeight="1" x14ac:dyDescent="0.15">
      <c r="A292" s="99"/>
      <c r="B292" s="99"/>
      <c r="C292" s="99"/>
      <c r="D292" s="99"/>
      <c r="E292" s="99"/>
      <c r="F292" s="99"/>
      <c r="G292" s="99"/>
      <c r="H292" s="99"/>
      <c r="I292" s="99"/>
      <c r="J292" s="99"/>
      <c r="K292" s="99"/>
      <c r="L292" s="99"/>
      <c r="M292" s="99"/>
      <c r="N292" s="99"/>
      <c r="O292" s="57"/>
      <c r="P292" s="101"/>
      <c r="Q292" s="102"/>
      <c r="R292" s="102"/>
      <c r="S292" s="102"/>
      <c r="T292" s="102"/>
      <c r="U292" s="102"/>
      <c r="V292" s="102"/>
    </row>
    <row r="293" spans="1:22" s="103" customFormat="1" ht="21" customHeight="1" x14ac:dyDescent="0.15">
      <c r="A293" s="99"/>
      <c r="B293" s="99"/>
      <c r="C293" s="99"/>
      <c r="D293" s="99"/>
      <c r="E293" s="99"/>
      <c r="F293" s="99"/>
      <c r="G293" s="99"/>
      <c r="H293" s="99"/>
      <c r="I293" s="99"/>
      <c r="J293" s="99"/>
      <c r="K293" s="99"/>
      <c r="L293" s="99"/>
      <c r="M293" s="99"/>
      <c r="N293" s="99"/>
      <c r="O293" s="57"/>
      <c r="P293" s="101"/>
      <c r="Q293" s="102"/>
      <c r="R293" s="102"/>
      <c r="S293" s="102"/>
      <c r="T293" s="102"/>
      <c r="U293" s="102"/>
      <c r="V293" s="102"/>
    </row>
    <row r="294" spans="1:22" s="103" customFormat="1" ht="21" customHeight="1" x14ac:dyDescent="0.15">
      <c r="A294" s="99"/>
      <c r="B294" s="99"/>
      <c r="C294" s="99"/>
      <c r="D294" s="99"/>
      <c r="E294" s="99"/>
      <c r="F294" s="99"/>
      <c r="G294" s="99"/>
      <c r="H294" s="99"/>
      <c r="I294" s="99"/>
      <c r="J294" s="99"/>
      <c r="K294" s="99"/>
      <c r="L294" s="99"/>
      <c r="M294" s="99"/>
      <c r="N294" s="99"/>
      <c r="O294" s="57"/>
      <c r="P294" s="101"/>
      <c r="Q294" s="102"/>
      <c r="R294" s="102"/>
      <c r="S294" s="102"/>
      <c r="T294" s="102"/>
      <c r="U294" s="102"/>
      <c r="V294" s="102"/>
    </row>
    <row r="295" spans="1:22" s="103" customFormat="1" ht="21" customHeight="1" x14ac:dyDescent="0.15">
      <c r="A295" s="99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L295" s="99"/>
      <c r="M295" s="99"/>
      <c r="N295" s="99"/>
      <c r="O295" s="57"/>
      <c r="P295" s="101"/>
      <c r="Q295" s="102"/>
      <c r="R295" s="102"/>
      <c r="S295" s="102"/>
      <c r="T295" s="102"/>
      <c r="U295" s="102"/>
      <c r="V295" s="102"/>
    </row>
    <row r="296" spans="1:22" s="103" customFormat="1" ht="21" customHeight="1" x14ac:dyDescent="0.15">
      <c r="A296" s="99"/>
      <c r="B296" s="99"/>
      <c r="C296" s="99"/>
      <c r="D296" s="99"/>
      <c r="E296" s="99"/>
      <c r="F296" s="99"/>
      <c r="G296" s="99"/>
      <c r="H296" s="99"/>
      <c r="I296" s="99"/>
      <c r="J296" s="99"/>
      <c r="K296" s="99"/>
      <c r="L296" s="99"/>
      <c r="M296" s="99"/>
      <c r="N296" s="99"/>
      <c r="O296" s="57"/>
      <c r="P296" s="101"/>
      <c r="Q296" s="102"/>
      <c r="R296" s="102"/>
      <c r="S296" s="102"/>
      <c r="T296" s="102"/>
      <c r="U296" s="102"/>
      <c r="V296" s="102"/>
    </row>
    <row r="297" spans="1:22" s="103" customFormat="1" ht="21" customHeight="1" x14ac:dyDescent="0.15">
      <c r="A297" s="99"/>
      <c r="B297" s="99"/>
      <c r="C297" s="99"/>
      <c r="D297" s="99"/>
      <c r="E297" s="99"/>
      <c r="F297" s="99"/>
      <c r="G297" s="99"/>
      <c r="H297" s="99"/>
      <c r="I297" s="99"/>
      <c r="J297" s="99"/>
      <c r="K297" s="99"/>
      <c r="L297" s="99"/>
      <c r="M297" s="99"/>
      <c r="N297" s="99"/>
      <c r="O297" s="57"/>
      <c r="P297" s="101"/>
      <c r="Q297" s="102"/>
      <c r="R297" s="102"/>
      <c r="S297" s="102"/>
      <c r="T297" s="102"/>
      <c r="U297" s="102"/>
      <c r="V297" s="102"/>
    </row>
    <row r="298" spans="1:22" s="103" customFormat="1" ht="21" customHeight="1" x14ac:dyDescent="0.15">
      <c r="A298" s="99"/>
      <c r="B298" s="99"/>
      <c r="C298" s="99"/>
      <c r="D298" s="99"/>
      <c r="E298" s="99"/>
      <c r="F298" s="99"/>
      <c r="G298" s="99"/>
      <c r="H298" s="99"/>
      <c r="I298" s="99"/>
      <c r="J298" s="99"/>
      <c r="K298" s="99"/>
      <c r="L298" s="99"/>
      <c r="M298" s="99"/>
      <c r="N298" s="99"/>
      <c r="O298" s="57"/>
      <c r="P298" s="101"/>
      <c r="Q298" s="102"/>
      <c r="R298" s="102"/>
      <c r="S298" s="102"/>
      <c r="T298" s="102"/>
      <c r="U298" s="102"/>
      <c r="V298" s="102"/>
    </row>
    <row r="299" spans="1:22" s="103" customFormat="1" ht="21" customHeight="1" x14ac:dyDescent="0.15">
      <c r="A299" s="99"/>
      <c r="B299" s="99"/>
      <c r="C299" s="99"/>
      <c r="D299" s="99"/>
      <c r="E299" s="99"/>
      <c r="F299" s="99"/>
      <c r="G299" s="99"/>
      <c r="H299" s="99"/>
      <c r="I299" s="99"/>
      <c r="J299" s="99"/>
      <c r="K299" s="99"/>
      <c r="L299" s="99"/>
      <c r="M299" s="99"/>
      <c r="N299" s="99"/>
      <c r="O299" s="57"/>
      <c r="P299" s="101"/>
      <c r="Q299" s="102"/>
      <c r="R299" s="102"/>
      <c r="S299" s="102"/>
      <c r="T299" s="102"/>
      <c r="U299" s="102"/>
      <c r="V299" s="102"/>
    </row>
    <row r="300" spans="1:22" s="103" customFormat="1" ht="21" customHeight="1" x14ac:dyDescent="0.15">
      <c r="A300" s="99"/>
      <c r="B300" s="99"/>
      <c r="C300" s="99"/>
      <c r="D300" s="99"/>
      <c r="E300" s="99"/>
      <c r="F300" s="99"/>
      <c r="G300" s="99"/>
      <c r="H300" s="99"/>
      <c r="I300" s="99"/>
      <c r="J300" s="99"/>
      <c r="K300" s="99"/>
      <c r="L300" s="99"/>
      <c r="M300" s="99"/>
      <c r="N300" s="99"/>
      <c r="O300" s="57"/>
      <c r="P300" s="101"/>
      <c r="Q300" s="102"/>
      <c r="R300" s="102"/>
      <c r="S300" s="102"/>
      <c r="T300" s="102"/>
      <c r="U300" s="102"/>
      <c r="V300" s="102"/>
    </row>
    <row r="301" spans="1:22" s="103" customFormat="1" ht="21" customHeight="1" x14ac:dyDescent="0.15">
      <c r="A301" s="99"/>
      <c r="B301" s="99"/>
      <c r="C301" s="99"/>
      <c r="D301" s="99"/>
      <c r="E301" s="99"/>
      <c r="F301" s="99"/>
      <c r="G301" s="99"/>
      <c r="H301" s="99"/>
      <c r="I301" s="99"/>
      <c r="J301" s="99"/>
      <c r="K301" s="99"/>
      <c r="L301" s="99"/>
      <c r="M301" s="99"/>
      <c r="N301" s="99"/>
      <c r="O301" s="57"/>
      <c r="P301" s="101"/>
      <c r="Q301" s="102"/>
      <c r="R301" s="102"/>
      <c r="S301" s="102"/>
      <c r="T301" s="102"/>
      <c r="U301" s="102"/>
      <c r="V301" s="102"/>
    </row>
    <row r="302" spans="1:22" s="103" customFormat="1" ht="21" customHeight="1" x14ac:dyDescent="0.15">
      <c r="A302" s="99"/>
      <c r="B302" s="99"/>
      <c r="C302" s="99"/>
      <c r="D302" s="99"/>
      <c r="E302" s="99"/>
      <c r="F302" s="99"/>
      <c r="G302" s="99"/>
      <c r="H302" s="99"/>
      <c r="I302" s="99"/>
      <c r="J302" s="99"/>
      <c r="K302" s="99"/>
      <c r="L302" s="99"/>
      <c r="M302" s="99"/>
      <c r="N302" s="99"/>
      <c r="O302" s="57"/>
      <c r="P302" s="101"/>
      <c r="Q302" s="102"/>
      <c r="R302" s="102"/>
      <c r="S302" s="102"/>
      <c r="T302" s="102"/>
      <c r="U302" s="102"/>
      <c r="V302" s="102"/>
    </row>
    <row r="303" spans="1:22" s="103" customFormat="1" ht="21" customHeight="1" x14ac:dyDescent="0.15">
      <c r="A303" s="99"/>
      <c r="B303" s="99"/>
      <c r="C303" s="99"/>
      <c r="D303" s="99"/>
      <c r="E303" s="99"/>
      <c r="F303" s="99"/>
      <c r="G303" s="99"/>
      <c r="H303" s="99"/>
      <c r="I303" s="99"/>
      <c r="J303" s="99"/>
      <c r="K303" s="99"/>
      <c r="L303" s="99"/>
      <c r="M303" s="99"/>
      <c r="N303" s="99"/>
      <c r="O303" s="57"/>
      <c r="P303" s="101"/>
      <c r="Q303" s="102"/>
      <c r="R303" s="102"/>
      <c r="S303" s="102"/>
      <c r="T303" s="102"/>
      <c r="U303" s="102"/>
      <c r="V303" s="102"/>
    </row>
    <row r="304" spans="1:22" s="103" customFormat="1" ht="21" customHeight="1" x14ac:dyDescent="0.15">
      <c r="A304" s="99"/>
      <c r="B304" s="99"/>
      <c r="C304" s="99"/>
      <c r="D304" s="99"/>
      <c r="E304" s="99"/>
      <c r="F304" s="99"/>
      <c r="G304" s="99"/>
      <c r="H304" s="99"/>
      <c r="I304" s="99"/>
      <c r="J304" s="99"/>
      <c r="K304" s="99"/>
      <c r="L304" s="99"/>
      <c r="M304" s="99"/>
      <c r="N304" s="99"/>
      <c r="O304" s="57"/>
      <c r="P304" s="101"/>
      <c r="Q304" s="102"/>
      <c r="R304" s="102"/>
      <c r="S304" s="102"/>
      <c r="T304" s="102"/>
      <c r="U304" s="102"/>
      <c r="V304" s="102"/>
    </row>
  </sheetData>
  <autoFilter ref="A1:V294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input_396100</vt:lpstr>
      <vt:lpstr>tables_396100</vt:lpstr>
      <vt:lpstr>tables_settle_396100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2016-08-24T13:35:15Z</dcterms:modified>
</cp:coreProperties>
</file>