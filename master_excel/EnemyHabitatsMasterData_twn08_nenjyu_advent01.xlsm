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showObjects="none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12300" yWindow="2260" windowWidth="23200" windowHeight="139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8" l="1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A46" i="9"/>
  <c r="D46" i="9"/>
  <c r="E46" i="9"/>
  <c r="G46" i="9"/>
  <c r="H46" i="9"/>
  <c r="I46" i="9"/>
  <c r="J46" i="9"/>
  <c r="K46" i="9"/>
  <c r="L46" i="9"/>
  <c r="M46" i="9"/>
  <c r="N46" i="9"/>
  <c r="J46" i="11"/>
  <c r="O46" i="9"/>
  <c r="J29" i="11"/>
  <c r="M29" i="10"/>
  <c r="T29" i="10"/>
  <c r="W29" i="10"/>
  <c r="V29" i="10"/>
  <c r="X29" i="10"/>
  <c r="U29" i="10"/>
  <c r="Y29" i="10"/>
  <c r="M39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3" i="21"/>
  <c r="C3" i="21"/>
  <c r="D3" i="21"/>
  <c r="B4" i="21"/>
  <c r="C4" i="21"/>
  <c r="D4" i="21"/>
  <c r="B5" i="21"/>
  <c r="C5" i="21"/>
  <c r="D5" i="21"/>
  <c r="B6" i="21"/>
  <c r="C6" i="21"/>
  <c r="D6" i="21"/>
  <c r="B7" i="21"/>
  <c r="C7" i="21"/>
  <c r="D7" i="21"/>
  <c r="B8" i="21"/>
  <c r="C8" i="21"/>
  <c r="D8" i="21"/>
  <c r="B9" i="21"/>
  <c r="C9" i="21"/>
  <c r="D9" i="21"/>
  <c r="F9" i="21"/>
  <c r="G9" i="21"/>
  <c r="I9" i="21"/>
  <c r="J9" i="21"/>
  <c r="F3" i="21"/>
  <c r="G3" i="21"/>
  <c r="I3" i="21"/>
  <c r="J3" i="21"/>
  <c r="F4" i="21"/>
  <c r="G4" i="21"/>
  <c r="I4" i="21"/>
  <c r="J4" i="21"/>
  <c r="F5" i="21"/>
  <c r="G5" i="21"/>
  <c r="I5" i="21"/>
  <c r="J5" i="21"/>
  <c r="F6" i="21"/>
  <c r="G6" i="21"/>
  <c r="I6" i="21"/>
  <c r="J6" i="21"/>
  <c r="F7" i="21"/>
  <c r="G7" i="21"/>
  <c r="I7" i="21"/>
  <c r="J7" i="21"/>
  <c r="F8" i="21"/>
  <c r="G8" i="21"/>
  <c r="I8" i="21"/>
  <c r="J8" i="21"/>
  <c r="A43" i="9"/>
  <c r="D43" i="9"/>
  <c r="E43" i="9"/>
  <c r="G43" i="9"/>
  <c r="H43" i="9"/>
  <c r="I43" i="9"/>
  <c r="J43" i="9"/>
  <c r="K43" i="9"/>
  <c r="L43" i="9"/>
  <c r="M43" i="9"/>
  <c r="N43" i="9"/>
  <c r="J44" i="11"/>
  <c r="J43" i="11"/>
  <c r="O43" i="9"/>
  <c r="A44" i="9"/>
  <c r="D44" i="9"/>
  <c r="E44" i="9"/>
  <c r="G44" i="9"/>
  <c r="H44" i="9"/>
  <c r="I44" i="9"/>
  <c r="J44" i="9"/>
  <c r="K44" i="9"/>
  <c r="L44" i="9"/>
  <c r="M44" i="9"/>
  <c r="N44" i="9"/>
  <c r="J45" i="11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A42" i="9"/>
  <c r="D42" i="9"/>
  <c r="E42" i="9"/>
  <c r="G42" i="9"/>
  <c r="H42" i="9"/>
  <c r="I42" i="9"/>
  <c r="J42" i="9"/>
  <c r="K42" i="9"/>
  <c r="L42" i="9"/>
  <c r="M42" i="9"/>
  <c r="N42" i="9"/>
  <c r="J42" i="11"/>
  <c r="O42" i="9"/>
  <c r="M34" i="10"/>
  <c r="N34" i="10"/>
  <c r="Q34" i="10"/>
  <c r="P34" i="10"/>
  <c r="R34" i="10"/>
  <c r="O34" i="10"/>
  <c r="S34" i="10"/>
  <c r="M18" i="10"/>
  <c r="T18" i="10"/>
  <c r="W18" i="10"/>
  <c r="V18" i="10"/>
  <c r="X18" i="10"/>
  <c r="U18" i="10"/>
  <c r="Y18" i="10"/>
  <c r="M33" i="10"/>
  <c r="M42" i="10"/>
  <c r="N42" i="10"/>
  <c r="Q42" i="10"/>
  <c r="P42" i="10"/>
  <c r="R42" i="10"/>
  <c r="O42" i="10"/>
  <c r="S42" i="10"/>
  <c r="N33" i="10"/>
  <c r="Q33" i="10"/>
  <c r="P33" i="10"/>
  <c r="R33" i="10"/>
  <c r="O33" i="10"/>
  <c r="S33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N8" i="9"/>
  <c r="J8" i="11"/>
  <c r="O8" i="9"/>
  <c r="A9" i="9"/>
  <c r="D9" i="9"/>
  <c r="E9" i="9"/>
  <c r="G9" i="9"/>
  <c r="H9" i="9"/>
  <c r="I9" i="9"/>
  <c r="J9" i="9"/>
  <c r="K9" i="9"/>
  <c r="L9" i="9"/>
  <c r="M9" i="9"/>
  <c r="N9" i="9"/>
  <c r="J9" i="11"/>
  <c r="O9" i="9"/>
  <c r="A10" i="9"/>
  <c r="D10" i="9"/>
  <c r="E10" i="9"/>
  <c r="G10" i="9"/>
  <c r="H10" i="9"/>
  <c r="I10" i="9"/>
  <c r="J10" i="9"/>
  <c r="K10" i="9"/>
  <c r="L10" i="9"/>
  <c r="M10" i="9"/>
  <c r="N10" i="9"/>
  <c r="J10" i="11"/>
  <c r="O10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G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H14" i="9"/>
  <c r="I14" i="9"/>
  <c r="J14" i="9"/>
  <c r="K14" i="9"/>
  <c r="L14" i="9"/>
  <c r="M14" i="9"/>
  <c r="N14" i="9"/>
  <c r="J14" i="11"/>
  <c r="O14" i="9"/>
  <c r="A15" i="9"/>
  <c r="D15" i="9"/>
  <c r="E15" i="9"/>
  <c r="G15" i="9"/>
  <c r="H15" i="9"/>
  <c r="I15" i="9"/>
  <c r="J15" i="9"/>
  <c r="K15" i="9"/>
  <c r="L15" i="9"/>
  <c r="M15" i="9"/>
  <c r="N15" i="9"/>
  <c r="J15" i="11"/>
  <c r="O15" i="9"/>
  <c r="A16" i="9"/>
  <c r="D16" i="9"/>
  <c r="E16" i="9"/>
  <c r="G16" i="9"/>
  <c r="H16" i="9"/>
  <c r="I16" i="9"/>
  <c r="J16" i="9"/>
  <c r="K16" i="9"/>
  <c r="L16" i="9"/>
  <c r="M16" i="9"/>
  <c r="N16" i="9"/>
  <c r="J16" i="11"/>
  <c r="O16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18" i="9"/>
  <c r="D18" i="9"/>
  <c r="E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25" i="9"/>
  <c r="D25" i="9"/>
  <c r="E25" i="9"/>
  <c r="G25" i="9"/>
  <c r="H25" i="9"/>
  <c r="I25" i="9"/>
  <c r="J25" i="9"/>
  <c r="K25" i="9"/>
  <c r="L25" i="9"/>
  <c r="M25" i="9"/>
  <c r="N25" i="9"/>
  <c r="J25" i="11"/>
  <c r="O25" i="9"/>
  <c r="A26" i="9"/>
  <c r="D26" i="9"/>
  <c r="E26" i="9"/>
  <c r="G26" i="9"/>
  <c r="H26" i="9"/>
  <c r="I26" i="9"/>
  <c r="J26" i="9"/>
  <c r="K26" i="9"/>
  <c r="L26" i="9"/>
  <c r="M26" i="9"/>
  <c r="N26" i="9"/>
  <c r="J26" i="11"/>
  <c r="O26" i="9"/>
  <c r="A27" i="9"/>
  <c r="D27" i="9"/>
  <c r="E27" i="9"/>
  <c r="G27" i="9"/>
  <c r="H27" i="9"/>
  <c r="I27" i="9"/>
  <c r="J27" i="9"/>
  <c r="K27" i="9"/>
  <c r="L27" i="9"/>
  <c r="M27" i="9"/>
  <c r="N27" i="9"/>
  <c r="J27" i="11"/>
  <c r="O27" i="9"/>
  <c r="A28" i="9"/>
  <c r="D28" i="9"/>
  <c r="E28" i="9"/>
  <c r="G28" i="9"/>
  <c r="H28" i="9"/>
  <c r="I28" i="9"/>
  <c r="J28" i="9"/>
  <c r="K28" i="9"/>
  <c r="L28" i="9"/>
  <c r="M28" i="9"/>
  <c r="N28" i="9"/>
  <c r="J28" i="11"/>
  <c r="O28" i="9"/>
  <c r="A29" i="9"/>
  <c r="D29" i="9"/>
  <c r="E29" i="9"/>
  <c r="G29" i="9"/>
  <c r="H29" i="9"/>
  <c r="I29" i="9"/>
  <c r="J29" i="9"/>
  <c r="K29" i="9"/>
  <c r="L29" i="9"/>
  <c r="M29" i="9"/>
  <c r="N29" i="9"/>
  <c r="J30" i="11"/>
  <c r="O29" i="9"/>
  <c r="A30" i="9"/>
  <c r="D30" i="9"/>
  <c r="E30" i="9"/>
  <c r="G30" i="9"/>
  <c r="H30" i="9"/>
  <c r="I30" i="9"/>
  <c r="J30" i="9"/>
  <c r="K30" i="9"/>
  <c r="L30" i="9"/>
  <c r="M30" i="9"/>
  <c r="N30" i="9"/>
  <c r="J31" i="11"/>
  <c r="O30" i="9"/>
  <c r="A31" i="9"/>
  <c r="D31" i="9"/>
  <c r="E31" i="9"/>
  <c r="G31" i="9"/>
  <c r="H31" i="9"/>
  <c r="I31" i="9"/>
  <c r="J31" i="9"/>
  <c r="K31" i="9"/>
  <c r="L31" i="9"/>
  <c r="M31" i="9"/>
  <c r="N31" i="9"/>
  <c r="J32" i="11"/>
  <c r="O31" i="9"/>
  <c r="A32" i="9"/>
  <c r="D32" i="9"/>
  <c r="E32" i="9"/>
  <c r="G32" i="9"/>
  <c r="H32" i="9"/>
  <c r="I32" i="9"/>
  <c r="J32" i="9"/>
  <c r="K32" i="9"/>
  <c r="L32" i="9"/>
  <c r="M32" i="9"/>
  <c r="N32" i="9"/>
  <c r="J33" i="11"/>
  <c r="O32" i="9"/>
  <c r="A33" i="9"/>
  <c r="D33" i="9"/>
  <c r="E33" i="9"/>
  <c r="G33" i="9"/>
  <c r="H33" i="9"/>
  <c r="I33" i="9"/>
  <c r="J33" i="9"/>
  <c r="K33" i="9"/>
  <c r="L33" i="9"/>
  <c r="M33" i="9"/>
  <c r="N33" i="9"/>
  <c r="J34" i="11"/>
  <c r="O33" i="9"/>
  <c r="A34" i="9"/>
  <c r="D34" i="9"/>
  <c r="E34" i="9"/>
  <c r="G34" i="9"/>
  <c r="H34" i="9"/>
  <c r="I34" i="9"/>
  <c r="J34" i="9"/>
  <c r="K34" i="9"/>
  <c r="L34" i="9"/>
  <c r="M34" i="9"/>
  <c r="N34" i="9"/>
  <c r="J35" i="11"/>
  <c r="O34" i="9"/>
  <c r="A35" i="9"/>
  <c r="D35" i="9"/>
  <c r="E35" i="9"/>
  <c r="G35" i="9"/>
  <c r="H35" i="9"/>
  <c r="I35" i="9"/>
  <c r="J35" i="9"/>
  <c r="K35" i="9"/>
  <c r="L35" i="9"/>
  <c r="M35" i="9"/>
  <c r="N35" i="9"/>
  <c r="J36" i="11"/>
  <c r="O35" i="9"/>
  <c r="A36" i="9"/>
  <c r="D36" i="9"/>
  <c r="E36" i="9"/>
  <c r="G36" i="9"/>
  <c r="H36" i="9"/>
  <c r="I36" i="9"/>
  <c r="J36" i="9"/>
  <c r="K36" i="9"/>
  <c r="L36" i="9"/>
  <c r="M36" i="9"/>
  <c r="N36" i="9"/>
  <c r="J37" i="11"/>
  <c r="O36" i="9"/>
  <c r="A37" i="9"/>
  <c r="D37" i="9"/>
  <c r="E37" i="9"/>
  <c r="G37" i="9"/>
  <c r="H37" i="9"/>
  <c r="I37" i="9"/>
  <c r="J37" i="9"/>
  <c r="K37" i="9"/>
  <c r="L37" i="9"/>
  <c r="M37" i="9"/>
  <c r="N37" i="9"/>
  <c r="J38" i="11"/>
  <c r="O37" i="9"/>
  <c r="A38" i="9"/>
  <c r="D38" i="9"/>
  <c r="E38" i="9"/>
  <c r="G38" i="9"/>
  <c r="H38" i="9"/>
  <c r="I38" i="9"/>
  <c r="J38" i="9"/>
  <c r="K38" i="9"/>
  <c r="L38" i="9"/>
  <c r="M38" i="9"/>
  <c r="N38" i="9"/>
  <c r="J39" i="11"/>
  <c r="O38" i="9"/>
  <c r="A39" i="9"/>
  <c r="D39" i="9"/>
  <c r="E39" i="9"/>
  <c r="G39" i="9"/>
  <c r="H39" i="9"/>
  <c r="I39" i="9"/>
  <c r="J39" i="9"/>
  <c r="K39" i="9"/>
  <c r="L39" i="9"/>
  <c r="M39" i="9"/>
  <c r="N39" i="9"/>
  <c r="J40" i="11"/>
  <c r="O39" i="9"/>
  <c r="A40" i="9"/>
  <c r="D40" i="9"/>
  <c r="E40" i="9"/>
  <c r="G40" i="9"/>
  <c r="H40" i="9"/>
  <c r="I40" i="9"/>
  <c r="J40" i="9"/>
  <c r="K40" i="9"/>
  <c r="L40" i="9"/>
  <c r="M40" i="9"/>
  <c r="N40" i="9"/>
  <c r="J41" i="11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M43" i="10"/>
  <c r="N43" i="10"/>
  <c r="Q43" i="10"/>
  <c r="P43" i="10"/>
  <c r="R43" i="10"/>
  <c r="O43" i="10"/>
  <c r="S43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11" i="1"/>
  <c r="I11" i="1"/>
  <c r="D11" i="1"/>
  <c r="F11" i="1"/>
  <c r="E11" i="1"/>
  <c r="A11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G3" i="10"/>
  <c r="H3" i="10"/>
  <c r="I3" i="10"/>
  <c r="J3" i="10"/>
  <c r="K3" i="10"/>
  <c r="L3" i="10"/>
  <c r="M3" i="10"/>
  <c r="M16" i="10"/>
  <c r="M24" i="10"/>
  <c r="N24" i="10"/>
  <c r="Q24" i="10"/>
  <c r="P24" i="10"/>
  <c r="R24" i="10"/>
  <c r="O24" i="10"/>
  <c r="S24" i="10"/>
  <c r="N16" i="10"/>
  <c r="Q16" i="10"/>
  <c r="P16" i="10"/>
  <c r="R16" i="10"/>
  <c r="O16" i="10"/>
  <c r="S16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9" i="10"/>
  <c r="M14" i="10"/>
  <c r="M25" i="10"/>
  <c r="N25" i="10"/>
  <c r="Q25" i="10"/>
  <c r="P25" i="10"/>
  <c r="R25" i="10"/>
  <c r="O25" i="10"/>
  <c r="S25" i="10"/>
  <c r="N14" i="10"/>
  <c r="Q14" i="10"/>
  <c r="P14" i="10"/>
  <c r="R14" i="10"/>
  <c r="O14" i="10"/>
  <c r="S14" i="10"/>
  <c r="N9" i="10"/>
  <c r="Q9" i="10"/>
  <c r="P9" i="10"/>
  <c r="R9" i="10"/>
  <c r="O9" i="10"/>
  <c r="S9" i="10"/>
  <c r="N4" i="10"/>
  <c r="O4" i="10"/>
  <c r="P4" i="10"/>
  <c r="Q4" i="10"/>
  <c r="R4" i="10"/>
  <c r="S4" i="10"/>
  <c r="T4" i="10"/>
  <c r="U4" i="10"/>
  <c r="V4" i="10"/>
  <c r="W4" i="10"/>
  <c r="X4" i="10"/>
  <c r="Y4" i="10"/>
  <c r="M10" i="10"/>
  <c r="M26" i="10"/>
  <c r="N26" i="10"/>
  <c r="Q26" i="10"/>
  <c r="P26" i="10"/>
  <c r="R26" i="10"/>
  <c r="O26" i="10"/>
  <c r="S26" i="10"/>
  <c r="N10" i="10"/>
  <c r="Q10" i="10"/>
  <c r="P10" i="10"/>
  <c r="R10" i="10"/>
  <c r="O10" i="10"/>
  <c r="S10" i="10"/>
  <c r="M11" i="10"/>
  <c r="M27" i="10"/>
  <c r="N27" i="10"/>
  <c r="Q27" i="10"/>
  <c r="P27" i="10"/>
  <c r="R27" i="10"/>
  <c r="O27" i="10"/>
  <c r="S27" i="10"/>
  <c r="N11" i="10"/>
  <c r="Q11" i="10"/>
  <c r="P11" i="10"/>
  <c r="R11" i="10"/>
  <c r="O11" i="10"/>
  <c r="S11" i="10"/>
  <c r="G5" i="10"/>
  <c r="H5" i="10"/>
  <c r="I5" i="10"/>
  <c r="J5" i="10"/>
  <c r="K5" i="10"/>
  <c r="L5" i="10"/>
  <c r="M5" i="10"/>
  <c r="M12" i="10"/>
  <c r="M17" i="10"/>
  <c r="M28" i="10"/>
  <c r="N28" i="10"/>
  <c r="Q28" i="10"/>
  <c r="P28" i="10"/>
  <c r="R28" i="10"/>
  <c r="O28" i="10"/>
  <c r="S28" i="10"/>
  <c r="N17" i="10"/>
  <c r="Q17" i="10"/>
  <c r="P17" i="10"/>
  <c r="R17" i="10"/>
  <c r="O17" i="10"/>
  <c r="S17" i="10"/>
  <c r="N12" i="10"/>
  <c r="Q12" i="10"/>
  <c r="P12" i="10"/>
  <c r="R12" i="10"/>
  <c r="O12" i="10"/>
  <c r="S12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9" i="10"/>
  <c r="N19" i="10"/>
  <c r="Q19" i="10"/>
  <c r="P19" i="10"/>
  <c r="R19" i="10"/>
  <c r="O19" i="10"/>
  <c r="S19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20" i="10"/>
  <c r="N20" i="10"/>
  <c r="Q20" i="10"/>
  <c r="P20" i="10"/>
  <c r="R20" i="10"/>
  <c r="O20" i="10"/>
  <c r="S20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1" i="10"/>
  <c r="M32" i="10"/>
  <c r="N32" i="10"/>
  <c r="Q32" i="10"/>
  <c r="P32" i="10"/>
  <c r="R32" i="10"/>
  <c r="O32" i="10"/>
  <c r="S32" i="10"/>
  <c r="N21" i="10"/>
  <c r="Q21" i="10"/>
  <c r="P21" i="10"/>
  <c r="R21" i="10"/>
  <c r="O21" i="10"/>
  <c r="S21" i="10"/>
  <c r="N8" i="10"/>
  <c r="O8" i="10"/>
  <c r="P8" i="10"/>
  <c r="Q8" i="10"/>
  <c r="R8" i="10"/>
  <c r="S8" i="10"/>
  <c r="T8" i="10"/>
  <c r="U8" i="10"/>
  <c r="V8" i="10"/>
  <c r="W8" i="10"/>
  <c r="X8" i="10"/>
  <c r="Y8" i="10"/>
  <c r="M13" i="10"/>
  <c r="M22" i="10"/>
  <c r="M30" i="10"/>
  <c r="N30" i="10"/>
  <c r="Q30" i="10"/>
  <c r="P30" i="10"/>
  <c r="R30" i="10"/>
  <c r="O30" i="10"/>
  <c r="S30" i="10"/>
  <c r="N22" i="10"/>
  <c r="Q22" i="10"/>
  <c r="P22" i="10"/>
  <c r="R22" i="10"/>
  <c r="O22" i="10"/>
  <c r="S22" i="10"/>
  <c r="N13" i="10"/>
  <c r="Q13" i="10"/>
  <c r="P13" i="10"/>
  <c r="R13" i="10"/>
  <c r="O13" i="10"/>
  <c r="S13" i="10"/>
  <c r="M15" i="10"/>
  <c r="M23" i="10"/>
  <c r="N23" i="10"/>
  <c r="Q23" i="10"/>
  <c r="P23" i="10"/>
  <c r="R23" i="10"/>
  <c r="O23" i="10"/>
  <c r="S23" i="10"/>
  <c r="N15" i="10"/>
  <c r="Q15" i="10"/>
  <c r="P15" i="10"/>
  <c r="R15" i="10"/>
  <c r="O15" i="10"/>
  <c r="S15" i="10"/>
  <c r="G9" i="10"/>
  <c r="H9" i="10"/>
  <c r="I9" i="10"/>
  <c r="J9" i="10"/>
  <c r="K9" i="10"/>
  <c r="L9" i="10"/>
  <c r="T9" i="10"/>
  <c r="U9" i="10"/>
  <c r="V9" i="10"/>
  <c r="W9" i="10"/>
  <c r="X9" i="10"/>
  <c r="Y9" i="10"/>
  <c r="G10" i="10"/>
  <c r="H10" i="10"/>
  <c r="I10" i="10"/>
  <c r="J10" i="10"/>
  <c r="K10" i="10"/>
  <c r="L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E2" i="9"/>
  <c r="Y3" i="7"/>
  <c r="Y4" i="7"/>
  <c r="Y5" i="7"/>
  <c r="Y2" i="7"/>
  <c r="X3" i="1"/>
  <c r="X5" i="1"/>
  <c r="X6" i="1"/>
  <c r="X7" i="1"/>
  <c r="X8" i="1"/>
  <c r="X9" i="1"/>
  <c r="X10" i="1"/>
  <c r="X12" i="1"/>
  <c r="X13" i="1"/>
  <c r="X14" i="1"/>
  <c r="X15" i="1"/>
  <c r="X2" i="1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AD3" i="1"/>
  <c r="AE3" i="1"/>
  <c r="AF3" i="1"/>
  <c r="AG3" i="1"/>
  <c r="AI3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AD7" i="1"/>
  <c r="AE7" i="1"/>
  <c r="AF7" i="1"/>
  <c r="AG7" i="1"/>
  <c r="AI7" i="1"/>
  <c r="A8" i="1"/>
  <c r="D8" i="1"/>
  <c r="E8" i="1"/>
  <c r="F8" i="1"/>
  <c r="H8" i="1"/>
  <c r="I8" i="1"/>
  <c r="J8" i="1"/>
  <c r="M8" i="1"/>
  <c r="N8" i="1"/>
  <c r="O8" i="1"/>
  <c r="P8" i="1"/>
  <c r="Q8" i="1"/>
  <c r="T8" i="1"/>
  <c r="V8" i="1"/>
  <c r="AD8" i="1"/>
  <c r="AE8" i="1"/>
  <c r="AF8" i="1"/>
  <c r="AG8" i="1"/>
  <c r="AI8" i="1"/>
  <c r="A9" i="1"/>
  <c r="D9" i="1"/>
  <c r="E9" i="1"/>
  <c r="F9" i="1"/>
  <c r="H9" i="1"/>
  <c r="I9" i="1"/>
  <c r="J9" i="1"/>
  <c r="M9" i="1"/>
  <c r="N9" i="1"/>
  <c r="O9" i="1"/>
  <c r="P9" i="1"/>
  <c r="Q9" i="1"/>
  <c r="T9" i="1"/>
  <c r="V9" i="1"/>
  <c r="AD9" i="1"/>
  <c r="AE9" i="1"/>
  <c r="AF9" i="1"/>
  <c r="AG9" i="1"/>
  <c r="AI9" i="1"/>
  <c r="A10" i="1"/>
  <c r="D10" i="1"/>
  <c r="E10" i="1"/>
  <c r="F10" i="1"/>
  <c r="H10" i="1"/>
  <c r="I10" i="1"/>
  <c r="J10" i="1"/>
  <c r="M10" i="1"/>
  <c r="N10" i="1"/>
  <c r="O10" i="1"/>
  <c r="P10" i="1"/>
  <c r="Q10" i="1"/>
  <c r="T10" i="1"/>
  <c r="V10" i="1"/>
  <c r="AD10" i="1"/>
  <c r="AE10" i="1"/>
  <c r="AF10" i="1"/>
  <c r="AG10" i="1"/>
  <c r="AI10" i="1"/>
  <c r="A12" i="1"/>
  <c r="D12" i="1"/>
  <c r="E12" i="1"/>
  <c r="F12" i="1"/>
  <c r="H12" i="1"/>
  <c r="I12" i="1"/>
  <c r="J12" i="1"/>
  <c r="M12" i="1"/>
  <c r="N12" i="1"/>
  <c r="O12" i="1"/>
  <c r="P12" i="1"/>
  <c r="Q12" i="1"/>
  <c r="T12" i="1"/>
  <c r="V12" i="1"/>
  <c r="AD12" i="1"/>
  <c r="AE12" i="1"/>
  <c r="AF12" i="1"/>
  <c r="AG12" i="1"/>
  <c r="AI12" i="1"/>
  <c r="A13" i="1"/>
  <c r="D13" i="1"/>
  <c r="E13" i="1"/>
  <c r="F13" i="1"/>
  <c r="H13" i="1"/>
  <c r="I13" i="1"/>
  <c r="J13" i="1"/>
  <c r="M13" i="1"/>
  <c r="N13" i="1"/>
  <c r="O13" i="1"/>
  <c r="P13" i="1"/>
  <c r="Q13" i="1"/>
  <c r="T13" i="1"/>
  <c r="V13" i="1"/>
  <c r="AD13" i="1"/>
  <c r="AE13" i="1"/>
  <c r="AF13" i="1"/>
  <c r="AG13" i="1"/>
  <c r="AI13" i="1"/>
  <c r="A14" i="1"/>
  <c r="D14" i="1"/>
  <c r="E14" i="1"/>
  <c r="F14" i="1"/>
  <c r="H14" i="1"/>
  <c r="I14" i="1"/>
  <c r="J14" i="1"/>
  <c r="M14" i="1"/>
  <c r="N14" i="1"/>
  <c r="O14" i="1"/>
  <c r="P14" i="1"/>
  <c r="Q14" i="1"/>
  <c r="T14" i="1"/>
  <c r="V14" i="1"/>
  <c r="AD14" i="1"/>
  <c r="AE14" i="1"/>
  <c r="AF14" i="1"/>
  <c r="AG14" i="1"/>
  <c r="AI14" i="1"/>
  <c r="A15" i="1"/>
  <c r="D15" i="1"/>
  <c r="E15" i="1"/>
  <c r="F15" i="1"/>
  <c r="H15" i="1"/>
  <c r="I15" i="1"/>
  <c r="J15" i="1"/>
  <c r="M15" i="1"/>
  <c r="N15" i="1"/>
  <c r="O15" i="1"/>
  <c r="P15" i="1"/>
  <c r="Q15" i="1"/>
  <c r="T15" i="1"/>
  <c r="V15" i="1"/>
  <c r="AD15" i="1"/>
  <c r="AE15" i="1"/>
  <c r="AF15" i="1"/>
  <c r="AG15" i="1"/>
  <c r="AI15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<sst xmlns="http://schemas.openxmlformats.org/spreadsheetml/2006/main" count="927" uniqueCount="432">
  <si>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</si>
  <si>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</si>
  <si>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</si>
  <si>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</si>
  <si>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</si>
  <si>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</si>
  <si>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</si>
  <si>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</si>
  <si>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</si>
  <si>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</si>
  <si>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</si>
  <si>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</si>
  <si>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</si>
  <si>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</si>
  <si>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</si>
  <si>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</si>
  <si>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</si>
  <si>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</si>
  <si>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</si>
  <si>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</si>
  <si>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</si>
  <si>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</si>
  <si>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</si>
  <si>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</si>
  <si>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</si>
  <si>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</si>
  <si>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</si>
  <si>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</si>
  <si>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</si>
  <si>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</si>
  <si>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</si>
  <si>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</si>
  <si>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</si>
  <si>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</si>
  <si>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</si>
  <si>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</si>
  <si>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</si>
  <si>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</si>
  <si>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</si>
  <si>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</si>
  <si>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</si>
  <si>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</si>
  <si>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</si>
  <si>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</si>
  <si>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</si>
  <si>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</si>
  <si>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</si>
  <si>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</si>
  <si>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</si>
  <si>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</si>
  <si>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</si>
  <si>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</si>
  <si>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</si>
  <si>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</si>
  <si>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</si>
  <si>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</si>
  <si>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</si>
  <si>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</si>
  <si>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</si>
  <si>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</si>
  <si>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</si>
  <si>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</si>
  <si>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</si>
  <si>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</si>
  <si>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</si>
  <si>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</si>
  <si>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</si>
  <si>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</si>
  <si>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</si>
  <si>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</si>
  <si>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</si>
  <si>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</si>
  <si>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</si>
  <si>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</si>
  <si>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</si>
  <si>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</si>
  <si>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</si>
  <si>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</si>
  <si>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</si>
  <si>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</si>
  <si>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</si>
  <si>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</si>
  <si>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</si>
  <si>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</si>
  <si>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</si>
  <si>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</si>
  <si>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</si>
  <si>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</si>
  <si>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</si>
  <si>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</si>
  <si>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</si>
  <si>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</si>
  <si>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</si>
  <si>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</si>
  <si>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</si>
  <si>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</si>
  <si>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</si>
  <si>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</si>
  <si>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</si>
  <si>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</si>
  <si>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</si>
  <si>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</si>
  <si>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</si>
  <si>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</si>
  <si>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</si>
  <si>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</si>
  <si>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</si>
  <si>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</si>
  <si>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</si>
  <si>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</si>
  <si>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</si>
  <si>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</si>
  <si>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</si>
  <si>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</si>
  <si>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</si>
  <si>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</si>
  <si>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</si>
  <si>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</si>
  <si>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</si>
  <si>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</si>
  <si>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</si>
  <si>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</si>
  <si>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</si>
  <si>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</si>
  <si>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</si>
  <si>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</si>
  <si>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</si>
  <si>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</si>
  <si>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</si>
  <si>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</si>
  <si>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</si>
  <si>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</si>
  <si>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</si>
  <si>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</si>
  <si>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</si>
  <si>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</si>
  <si>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</si>
  <si>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</si>
  <si>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</si>
  <si>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</si>
  <si>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</si>
  <si>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</si>
  <si>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</si>
  <si>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</si>
  <si>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</si>
  <si>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</si>
  <si>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</si>
  <si>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</si>
  <si>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</si>
  <si>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</si>
  <si>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</si>
  <si>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</si>
  <si>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</si>
  <si>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</si>
  <si>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</si>
  <si>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</si>
  <si>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</si>
  <si>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</si>
  <si>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</si>
  <si>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</si>
  <si>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</si>
  <si>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</si>
  <si>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</si>
  <si>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</si>
  <si>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</si>
  <si>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</si>
  <si>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</si>
  <si>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</si>
  <si>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</si>
  <si>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</si>
  <si>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</si>
  <si>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</si>
  <si>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</si>
  <si>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</si>
  <si>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</si>
  <si>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</si>
  <si>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</si>
  <si>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</si>
  <si>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</si>
  <si>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</si>
  <si>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</si>
  <si>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</si>
  <si>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</si>
  <si>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</si>
  <si>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</si>
  <si>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</si>
  <si>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</si>
  <si>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</si>
  <si>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</si>
  <si>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</si>
  <si>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</si>
  <si>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</si>
  <si>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</si>
  <si>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</si>
  <si>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</si>
  <si>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</si>
  <si>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</si>
  <si>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</si>
  <si>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</si>
  <si>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</si>
  <si>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</si>
  <si>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</si>
  <si>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</si>
  <si>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</si>
  <si>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</si>
  <si>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</si>
  <si>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</si>
  <si>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</si>
  <si>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</si>
  <si>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</si>
  <si>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</si>
  <si>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</si>
  <si>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</si>
  <si>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</si>
  <si>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</si>
  <si>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</si>
  <si>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</si>
  <si>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</si>
  <si>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</si>
  <si>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</si>
  <si>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</si>
  <si>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</si>
  <si>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</si>
  <si>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</si>
  <si>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</si>
  <si>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</si>
  <si>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</si>
  <si>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</si>
  <si>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</si>
  <si>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</si>
  <si>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</si>
  <si>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</si>
  <si>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</si>
  <si>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</si>
  <si>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</si>
  <si>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</si>
  <si>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</si>
  <si>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</si>
  <si>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</si>
  <si>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</si>
  <si>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</si>
  <si>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</si>
  <si>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</si>
  <si>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</si>
  <si>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</si>
  <si>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</si>
  <si>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</si>
  <si>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</si>
  <si>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</si>
  <si>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</si>
  <si>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</si>
  <si>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</si>
  <si>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</si>
  <si>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null</t>
    <phoneticPr fontId="5"/>
  </si>
  <si>
    <t>no_continue</t>
  </si>
  <si>
    <t>full_member</t>
  </si>
  <si>
    <t>old</t>
  </si>
  <si>
    <t>全体攻撃</t>
    <phoneticPr fontId="5"/>
  </si>
  <si>
    <t>4回連続攻撃</t>
    <phoneticPr fontId="5"/>
  </si>
  <si>
    <t>5回連続攻撃</t>
    <phoneticPr fontId="5"/>
  </si>
  <si>
    <t>セリフ</t>
  </si>
  <si>
    <t>ユニット全体の攻撃力UP</t>
  </si>
  <si>
    <t>3回連続攻撃</t>
  </si>
  <si>
    <t>ユニット全体にウィルス耐性</t>
  </si>
  <si>
    <t>青パネルドロップ率UP+3ターンスキルバインド+撤退</t>
  </si>
  <si>
    <t>緑パネル吸収攻撃（最大4個）</t>
  </si>
  <si>
    <t>5ターンハートパネルはプロテクトされてドロップ</t>
  </si>
  <si>
    <t>ハートパネル吸収攻撃（最大10個）</t>
  </si>
  <si>
    <t>強力な青パネル・ハートパネル吸収攻撃</t>
  </si>
  <si>
    <t>敵HPが多いほど強力な攻撃</t>
  </si>
  <si>
    <t>フィーバーゲージ上昇</t>
  </si>
  <si>
    <t>年獣へと変身</t>
  </si>
  <si>
    <t>全体攻撃</t>
  </si>
  <si>
    <t>4回連続攻撃</t>
  </si>
  <si>
    <t>単体に2ターンスキルバインド+2回連続攻撃</t>
  </si>
  <si>
    <t>1ターン強力なカウンター</t>
  </si>
  <si>
    <t>2ターンウィルス+単体攻撃</t>
  </si>
  <si>
    <t>3ターン強力なウィルス</t>
  </si>
  <si>
    <t>自身に1ターンスリープ＆自身の防御力DOWN</t>
  </si>
  <si>
    <t>5回連続攻撃</t>
  </si>
  <si>
    <t>2ターンウィルス+2回連続攻撃</t>
  </si>
  <si>
    <t>自身に2ターンスリープ＆自身の防御力DOWN</t>
  </si>
  <si>
    <t>強力な青パネル吸収攻撃</t>
  </si>
  <si>
    <t>連続全体攻撃</t>
  </si>
  <si>
    <t>クリティカル</t>
  </si>
  <si>
    <t>青パネル吸収攻撃</t>
  </si>
  <si>
    <t>1ターン行動頻度UP+2回連続攻撃</t>
  </si>
  <si>
    <t>2ターン強力なウィルス+単体攻撃</t>
  </si>
  <si>
    <t>年獣は眠っている…
【1ターン自身の防御力DOWN】</t>
    <phoneticPr fontId="5"/>
  </si>
  <si>
    <t>ふあぁ……
また眠くなってきちゃった…むにゃ…</t>
    <phoneticPr fontId="5"/>
  </si>
  <si>
    <t>HPが少なくなるほど強くなる攻撃</t>
  </si>
  <si>
    <t>HPが少なくなるほど強くなる攻撃</t>
    <phoneticPr fontId="5"/>
  </si>
  <si>
    <t>強力な黄パネル吸収攻撃</t>
  </si>
  <si>
    <t>状態異常耐性＆攻撃力UP</t>
  </si>
  <si>
    <t>（表示しない）</t>
    <phoneticPr fontId="5"/>
  </si>
  <si>
    <t>ja</t>
    <phoneticPr fontId="5"/>
  </si>
  <si>
    <t>妖精のささやき</t>
    <phoneticPr fontId="5"/>
  </si>
  <si>
    <t>妖精のきらめき</t>
    <phoneticPr fontId="5"/>
  </si>
  <si>
    <t>オーバー・ビースト</t>
    <phoneticPr fontId="5"/>
  </si>
  <si>
    <t>♪</t>
    <phoneticPr fontId="5"/>
  </si>
  <si>
    <t>（表示しない）</t>
    <phoneticPr fontId="5"/>
  </si>
  <si>
    <t>（表示しない）</t>
    <phoneticPr fontId="5"/>
  </si>
  <si>
    <t>うぅ…爆竹は…爆竹はいやだ…
むにゃむにゃ…</t>
    <phoneticPr fontId="5"/>
  </si>
  <si>
    <t>赤パネルをプロテクト+単体攻撃</t>
  </si>
  <si>
    <t>あっ　金ピカみっけ♪</t>
    <phoneticPr fontId="5"/>
  </si>
  <si>
    <t>えへへっ　金ピカだぁ！
きれいだなぁ〜♪</t>
    <phoneticPr fontId="5"/>
  </si>
  <si>
    <t>えへへ…金ピカいっぱい…
むにゃむにゃ…</t>
    <phoneticPr fontId="5"/>
  </si>
  <si>
    <t>反撃態勢</t>
    <phoneticPr fontId="5"/>
  </si>
  <si>
    <t>name</t>
    <phoneticPr fontId="7"/>
  </si>
  <si>
    <t>うずまく災禍</t>
    <phoneticPr fontId="5"/>
  </si>
  <si>
    <t>破滅の芳香</t>
    <phoneticPr fontId="5"/>
  </si>
  <si>
    <t>貪られし安息</t>
    <phoneticPr fontId="5"/>
  </si>
  <si>
    <t>熔け堕ちる闇</t>
    <phoneticPr fontId="5"/>
  </si>
  <si>
    <t>年を超えし魔獣</t>
    <phoneticPr fontId="5"/>
  </si>
  <si>
    <t>秘められし毒牙</t>
    <phoneticPr fontId="5"/>
  </si>
  <si>
    <t>この世の金ピカは
ぜーんぶあたいのものだ！</t>
    <phoneticPr fontId="5"/>
  </si>
  <si>
    <t>加速する欲望</t>
    <phoneticPr fontId="5"/>
  </si>
  <si>
    <t>獣の矜持</t>
    <phoneticPr fontId="5"/>
  </si>
  <si>
    <t>獲物包囲網</t>
    <phoneticPr fontId="5"/>
  </si>
  <si>
    <t>蝕む本能</t>
    <phoneticPr fontId="5"/>
  </si>
  <si>
    <t>2ターンウィルス+単体攻撃</t>
    <phoneticPr fontId="5"/>
  </si>
  <si>
    <t>お願い！アイツから
お年玉を取り返してっ！</t>
    <phoneticPr fontId="5"/>
  </si>
  <si>
    <t>星くずの力</t>
    <phoneticPr fontId="5"/>
  </si>
  <si>
    <t>赤色は…きらいっ！</t>
    <phoneticPr fontId="5"/>
  </si>
  <si>
    <t>えへへ　金ピカがこんなにいっぱい！</t>
    <phoneticPr fontId="5"/>
  </si>
  <si>
    <t>オーバー・ビースト</t>
    <phoneticPr fontId="5"/>
  </si>
  <si>
    <t>イタタ…
ま、参ったよぉ…うぅ…</t>
    <phoneticPr fontId="5"/>
  </si>
  <si>
    <t>お願い！アイツから
お年玉を取り返してっ！</t>
    <phoneticPr fontId="5"/>
  </si>
  <si>
    <t>みんなの大切な
お年玉が…！</t>
    <phoneticPr fontId="5"/>
  </si>
  <si>
    <t>財神さま！みんなの
大切なお年玉が…！</t>
    <phoneticPr fontId="5"/>
  </si>
  <si>
    <t>財神さま！みんなの
大切なお年玉が…！</t>
    <phoneticPr fontId="5"/>
  </si>
  <si>
    <t>逃げ場はないよ！</t>
    <phoneticPr fontId="5"/>
  </si>
  <si>
    <t>complete</t>
  </si>
  <si>
    <t>2フロア目のエネミーは
特定のユニットに対し
エンハンスを付与してくれます</t>
    <phoneticPr fontId="5"/>
  </si>
  <si>
    <t>ミリーはHPが少なくなると
強力なカウンターを発動します
カウンターを解除できるユニットがいると
有利に進められるでしょう</t>
    <phoneticPr fontId="5"/>
  </si>
  <si>
    <t>ハイディン・オーガはHPが低くなるほど
強力な攻撃を繰り出します
スキルやフィーバーなどを使って
素早く倒し切りましょう</t>
    <phoneticPr fontId="5"/>
  </si>
  <si>
    <t>1ゲージ目の年獣は防御力が高く
ダメージが通りにくいですが
眠っている間は大幅に防御力が下がります</t>
    <phoneticPr fontId="5"/>
  </si>
  <si>
    <t>2ゲージ目の年獣の
黄パネル吸収攻撃が大変強力です
盤面の黄パネルの数には注意しましょう</t>
    <phoneticPr fontId="5"/>
  </si>
  <si>
    <t>数多く存在する「財神」の中でもとりわけ
若い彼女ですが実はかなりのがんばり屋
あらゆる困難にも負けない強さと優しさを
持っています</t>
    <phoneticPr fontId="5"/>
  </si>
  <si>
    <t>年若き財神</t>
    <phoneticPr fontId="5"/>
  </si>
  <si>
    <t>ピカピカのとりこ</t>
    <phoneticPr fontId="5"/>
  </si>
  <si>
    <t>年獣は金ピカな夢を見る</t>
    <phoneticPr fontId="5"/>
  </si>
  <si>
    <t>！</t>
    <phoneticPr fontId="5"/>
  </si>
  <si>
    <t>再び眠り始めた…
【1ターン自身の防御力DOWN】</t>
    <phoneticPr fontId="5"/>
  </si>
  <si>
    <t>さぁ…狩りの時間だ！</t>
    <phoneticPr fontId="5"/>
  </si>
  <si>
    <t>お、お年玉ぜんぶ返すから
爆竹鳴らすのはやめてぇ〜！</t>
    <phoneticPr fontId="5"/>
  </si>
  <si>
    <t>お、お年玉ぜんぶ返すから
爆竹鳴らすのはやめてぇ〜！</t>
    <phoneticPr fontId="5"/>
  </si>
  <si>
    <t>命尽キルマデ…躍レ！！</t>
    <phoneticPr fontId="5"/>
  </si>
  <si>
    <t>全ユニットに10ターンウィルス耐性</t>
    <phoneticPr fontId="5"/>
  </si>
  <si>
    <t>全ユニットに10ターンウィルス耐性</t>
    <phoneticPr fontId="5"/>
  </si>
  <si>
    <t>ランダムで緑パネルに5個変換</t>
    <phoneticPr fontId="5"/>
  </si>
  <si>
    <t>2ターンウィルス</t>
    <phoneticPr fontId="5"/>
  </si>
  <si>
    <t>あたいを本気にさせたな！
この金ピカは誰にも渡さないっ！</t>
    <phoneticPr fontId="5"/>
  </si>
  <si>
    <t>残りHPの50％ダメージ！</t>
    <phoneticPr fontId="5"/>
  </si>
  <si>
    <t>2ターンウィルス+単体攻撃</t>
    <phoneticPr fontId="5"/>
  </si>
  <si>
    <t>ピカピカ光って…きれいだなぁ…♪</t>
    <phoneticPr fontId="5"/>
  </si>
  <si>
    <t>コレはあたいがいただいていくよっ♪
【青パネルドロップ率UP+2ターンスキルバインド+逃走】</t>
    <phoneticPr fontId="5"/>
  </si>
  <si>
    <t xml:space="preserve">黄パネルを吸収して攻撃(最大5個) </t>
    <phoneticPr fontId="5"/>
  </si>
  <si>
    <t xml:space="preserve">ハートパネルを吸収して攻撃(最大10個) </t>
    <phoneticPr fontId="5"/>
  </si>
  <si>
    <t>1ターン自身の行動頻度UP+2回連続攻撃</t>
    <phoneticPr fontId="5"/>
  </si>
  <si>
    <t>2回連続全体攻撃</t>
    <phoneticPr fontId="5"/>
  </si>
  <si>
    <t>クリティカル！</t>
    <phoneticPr fontId="5"/>
  </si>
  <si>
    <t>うん…みんなのお年玉
全部返すよ…　うぅ…金ピカ…</t>
    <phoneticPr fontId="5"/>
  </si>
  <si>
    <r>
      <t>[effect:enemy_message, val1:</t>
    </r>
    <r>
      <rPr>
        <b/>
        <sz val="13"/>
        <color theme="5" tint="0.39997558519241921"/>
        <rFont val="Arial"/>
      </rPr>
      <t>1.4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2.4</t>
    </r>
    <r>
      <rPr>
        <b/>
        <sz val="13"/>
        <color theme="0" tint="-0.34998626667073579"/>
        <rFont val="Arial"/>
      </rPr>
      <t>],[effect:enhance_fever, val:1000, animation:fevergauge_up03],[effect:fix_speed, target:myself, turn:1]</t>
    </r>
    <phoneticPr fontId="5"/>
  </si>
  <si>
    <r>
      <t>[effect:enemy_message, val1:2.1, val2:</t>
    </r>
    <r>
      <rPr>
        <b/>
        <sz val="13"/>
        <color theme="5" tint="0.39997558519241921"/>
        <rFont val="Arial"/>
      </rPr>
      <t>4.2</t>
    </r>
    <r>
      <rPr>
        <b/>
        <sz val="13"/>
        <color theme="0" tint="-0.34998626667073579"/>
        <rFont val="Arial"/>
      </rPr>
      <t>],[effect:change_panel_ratio, turn:-1, block_type:blue, val:0.4, animation:block_incidence04],[effect:hungup, target:unit_all, turn:2, rate:1, animation:hungup01],[effect:suicide, target:myself, val:1, dead_type:escape]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</si>
  <si>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val2:0],[effect:suicide, target:myself, val:1, dead_type:suicide, animation:enemy_suicide],[effect:fix_speed, target:myself, turn:1]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</si>
  <si>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1.7</t>
    </r>
    <r>
      <rPr>
        <b/>
        <sz val="13"/>
        <color theme="0" tint="-0.34998626667073579"/>
        <rFont val="Arial"/>
      </rPr>
      <t>, val2:0],[effect:nothing],[effect:fix_speed, target:myself, turn:2]</t>
    </r>
    <phoneticPr fontId="5"/>
  </si>
  <si>
    <r>
      <t>[effect:enemy_message, val1:1.2, val2:</t>
    </r>
    <r>
      <rPr>
        <b/>
        <sz val="13"/>
        <color theme="5" tint="0.39997558519241921"/>
        <rFont val="Arial"/>
      </rPr>
      <t>1.7</t>
    </r>
    <r>
      <rPr>
        <b/>
        <sz val="13"/>
        <color rgb="FFA6A6A6"/>
        <rFont val="Arial"/>
      </rPr>
      <t>],[effect:break_heal_fix, target:enemy_all, val:800, lowest_val:2000, count:-1, block01:block_green, animation:enemy_heal]</t>
    </r>
    <phoneticPr fontId="5"/>
  </si>
  <si>
    <r>
      <t>[effect:enemy_message, val1:1.2, val2:</t>
    </r>
    <r>
      <rPr>
        <b/>
        <sz val="13"/>
        <color theme="5" tint="0.39997558519241921"/>
        <rFont val="Arial"/>
      </rPr>
      <t>1.8</t>
    </r>
    <r>
      <rPr>
        <b/>
        <sz val="13"/>
        <color rgb="FFA6A6A6"/>
        <rFont val="Arial"/>
      </rPr>
      <t>],[effect:break_attack_fix, target:unit_one, val:200, lowest_val:3500, count:5, color:green, block01:block_yellow],[effect:fix_speed,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</si>
  <si>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rgb="FFA6A6A6"/>
        <rFont val="Arial"/>
      </rPr>
      <t>, val2:</t>
    </r>
    <r>
      <rPr>
        <b/>
        <sz val="13"/>
        <color theme="5" tint="0.39997558519241921"/>
        <rFont val="Arial"/>
      </rPr>
      <t>1.5</t>
    </r>
    <r>
      <rPr>
        <b/>
        <sz val="13"/>
        <color rgb="FFA6A6A6"/>
        <rFont val="Arial"/>
      </rPr>
      <t>],[effect:rush, count:4, val:0.31]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</si>
  <si>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rgb="FFA6A6A6"/>
        <rFont val="Arial"/>
      </rPr>
      <t>, val2:</t>
    </r>
    <r>
      <rPr>
        <b/>
        <sz val="13"/>
        <color theme="5" tint="0.39997558519241921"/>
        <rFont val="Arial"/>
      </rPr>
      <t>1.5</t>
    </r>
    <r>
      <rPr>
        <b/>
        <sz val="13"/>
        <color rgb="FFA6A6A6"/>
        <rFont val="Arial"/>
      </rPr>
      <t>],[effect:spread, val:0.32]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</si>
  <si>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val2:2.0],[effect:break_attack_fix, target:unit_one, val:500, lowest_val:6500, count:10, color:green, block01:block_heart]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</si>
  <si>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1.7</t>
    </r>
    <r>
      <rPr>
        <b/>
        <sz val="13"/>
        <color theme="0" tint="-0.34998626667073579"/>
        <rFont val="Arial"/>
      </rPr>
      <t>],[effect:critical, val:1.2, animation:enemy_critical]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</si>
  <si>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1.7</t>
    </r>
    <r>
      <rPr>
        <b/>
        <sz val="13"/>
        <color theme="0" tint="-0.34998626667073579"/>
        <rFont val="Arial"/>
      </rPr>
      <t>],[effect:critical, val:1.55, animation:enemy_critical]</t>
    </r>
    <phoneticPr fontId="5"/>
  </si>
  <si>
    <t>2回連続攻撃
(命中したユニットに1ターンスキルバインド)</t>
    <phoneticPr fontId="5"/>
  </si>
  <si>
    <t>2回連続攻撃
(命中したユニットに1ターンウィルス)</t>
    <phoneticPr fontId="5"/>
  </si>
  <si>
    <r>
      <t>[effect:enemy_message, val1:1.2, val2:</t>
    </r>
    <r>
      <rPr>
        <b/>
        <sz val="13"/>
        <color theme="5" tint="0.39997558519241921"/>
        <rFont val="Arial"/>
      </rPr>
      <t>2.8</t>
    </r>
    <r>
      <rPr>
        <b/>
        <sz val="13"/>
        <color rgb="FFA6A6A6"/>
        <rFont val="Arial"/>
      </rPr>
      <t>],[effect:damage_abnormal, target:unit_one, val:0.51, status:hungup, turn:1, rate:1, animation:hungup01],[effect:damage_abnormal, target:unit_one, val:0.51, status:hungup, turn:1, rate:1, animation:hungup01]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</si>
  <si>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1.4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1.8</t>
    </r>
    <r>
      <rPr>
        <b/>
        <sz val="13"/>
        <color theme="0" tint="-0.34998626667073579"/>
        <rFont val="Arial"/>
      </rPr>
      <t>],[effect:panel_freeze, target:normal, color:block_red, count:-1],[effect:critical, val:1.1]</t>
    </r>
    <phoneticPr fontId="5"/>
  </si>
  <si>
    <r>
      <t>[effect:enemy_message, val1:1.6, val2:</t>
    </r>
    <r>
      <rPr>
        <b/>
        <sz val="13"/>
        <color theme="5" tint="0.39997558519241921"/>
        <rFont val="Arial"/>
      </rPr>
      <t>1.4</t>
    </r>
    <r>
      <rPr>
        <b/>
        <sz val="13"/>
        <color theme="0" tint="-0.34998626667073579"/>
        <rFont val="Arial"/>
      </rPr>
      <t>],[effect:rush, count:5, val:0.22]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</si>
  <si>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1.6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1.7</t>
    </r>
    <r>
      <rPr>
        <b/>
        <sz val="13"/>
        <color theme="0" tint="-0.34998626667073579"/>
        <rFont val="Arial"/>
      </rPr>
      <t>],[effect:break_attack_fix, target:unit_all, val:200, lowest_val:1500, count:-1, color:green, block01:block_blue]</t>
    </r>
    <phoneticPr fontId="5"/>
  </si>
  <si>
    <t>状態異常耐性+自身の攻撃力UP
【防御力UPが解除された！】</t>
    <phoneticPr fontId="5"/>
  </si>
  <si>
    <r>
      <t>[effect:enemy_message, val1:</t>
    </r>
    <r>
      <rPr>
        <b/>
        <sz val="13"/>
        <color theme="5" tint="0.39997558519241921"/>
        <rFont val="Arial"/>
      </rPr>
      <t>2.6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3.0</t>
    </r>
    <r>
      <rPr>
        <b/>
        <sz val="13"/>
        <color theme="0" tint="-0.34998626667073579"/>
        <rFont val="Arial"/>
      </rPr>
      <t>],[effect:tolerance, target:myself, turn:-1, count:-1, tolerance_effect:all, animation:enemy_tolerance],[effect:enhance_enemy, target:myself, turn:-1, status:attack, val:0.3, animation:enemy_enhance_attack],[effect:fix_speed,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</si>
  <si>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1.9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1.4</t>
    </r>
    <r>
      <rPr>
        <b/>
        <sz val="13"/>
        <color theme="0" tint="-0.34998626667073579"/>
        <rFont val="Arial"/>
      </rPr>
      <t>],[effect:spread, val:0.13],[effect:spread, val:0.14]</t>
    </r>
    <phoneticPr fontId="5"/>
  </si>
  <si>
    <r>
      <t>[effect:enemy_message, val1:1.2, val2:</t>
    </r>
    <r>
      <rPr>
        <b/>
        <sz val="13"/>
        <color theme="5" tint="0.39997558519241921"/>
        <rFont val="Arial"/>
      </rPr>
      <t>1.6</t>
    </r>
    <r>
      <rPr>
        <b/>
        <sz val="13"/>
        <color theme="0" tint="-0.34998626667073579"/>
        <rFont val="Arial"/>
      </rPr>
      <t>],[effect:virus, turn:2, rate:1, val:0.14, animation:enemy_virus],[effect:rush, count:1, val:0.95]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</si>
  <si>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1.5</t>
    </r>
    <r>
      <rPr>
        <b/>
        <sz val="13"/>
        <color theme="0" tint="-0.34998626667073579"/>
        <rFont val="Arial"/>
      </rPr>
      <t>],[effect:critical, val:1.37, animation:enemy_critical]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</si>
  <si>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1.6</t>
    </r>
    <r>
      <rPr>
        <b/>
        <sz val="13"/>
        <color theme="0" tint="-0.34998626667073579"/>
        <rFont val="Arial"/>
      </rPr>
      <t>],[effect:break_attack_fix, target:unit_all, val:210, lowest_val:2500, count:-1, color:green, block01:block_yellow]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</si>
  <si>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2.1</t>
    </r>
    <r>
      <rPr>
        <b/>
        <sz val="13"/>
        <color theme="0" tint="-0.34998626667073579"/>
        <rFont val="Arial"/>
      </rPr>
      <t>],[effect:freq_turn, target:myself, turn:1, val:1, animation:enemy_freq_turn],[effect:rush, count:2, val:0.4]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</si>
  <si>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1.6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2.1</t>
    </r>
    <r>
      <rPr>
        <b/>
        <sz val="13"/>
        <color theme="0" tint="-0.34998626667073579"/>
        <rFont val="Arial"/>
      </rPr>
      <t>],[effect:break_attack_fix, target:unit_all, val:120, lowest_val:2100, count:-1, color:green, block01:block_blue, block02:block_heart]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</si>
  <si>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1.8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2.7</t>
    </r>
    <r>
      <rPr>
        <b/>
        <sz val="13"/>
        <color theme="0" tint="-0.34998626667073579"/>
        <rFont val="Arial"/>
      </rPr>
      <t>]</t>
    </r>
    <phoneticPr fontId="5"/>
  </si>
  <si>
    <r>
      <t>[effect:enemy_message, val1:</t>
    </r>
    <r>
      <rPr>
        <b/>
        <sz val="13"/>
        <color theme="5" tint="0.39997558519241921"/>
        <rFont val="Arial"/>
      </rPr>
      <t>2.4</t>
    </r>
    <r>
      <rPr>
        <b/>
        <sz val="13"/>
        <color theme="0" tint="-0.34998626667073579"/>
        <rFont val="Arial"/>
      </rPr>
      <t>, val2:0],[effect:nothing],[effect:fix_speed,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</si>
  <si>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2.4</t>
    </r>
    <r>
      <rPr>
        <b/>
        <sz val="13"/>
        <color rgb="FFA6A6A6"/>
        <rFont val="Arial"/>
      </rPr>
      <t>, val2:</t>
    </r>
    <r>
      <rPr>
        <b/>
        <sz val="13"/>
        <color theme="5" tint="0.39997558519241921"/>
        <rFont val="Arial"/>
      </rPr>
      <t>1.9</t>
    </r>
    <r>
      <rPr>
        <b/>
        <sz val="13"/>
        <color rgb="FFA6A6A6"/>
        <rFont val="Arial"/>
      </rPr>
      <t>],[effect:tolerance, target:unit_all, turn:10, count:-1, tolerance_effect:virus, animation:prevent_abnormal_Unit04],[effect:fix_speed,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</si>
  <si>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2.4</t>
    </r>
    <r>
      <rPr>
        <b/>
        <sz val="13"/>
        <color rgb="FFA6A6A6"/>
        <rFont val="Arial"/>
      </rPr>
      <t>, val2:</t>
    </r>
    <r>
      <rPr>
        <b/>
        <sz val="13"/>
        <color theme="5" tint="0.39997558519241921"/>
        <rFont val="Arial"/>
      </rPr>
      <t>1.9</t>
    </r>
    <r>
      <rPr>
        <b/>
        <sz val="13"/>
        <color rgb="FFA6A6A6"/>
        <rFont val="Arial"/>
      </rPr>
      <t>],[effect:tolerance, target:unit_all, turn:10, count:-1, tolerance_effect:virus, animation:prevent_abnormal_Unit04],[effect:fix_speed,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</si>
  <si>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2.1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1.6</t>
    </r>
    <r>
      <rPr>
        <b/>
        <sz val="13"/>
        <color theme="0" tint="-0.34998626667073579"/>
        <rFont val="Arial"/>
      </rPr>
      <t>],[effect:enhance_unit, target:unit_all, turn:-1, status:attack, val:0.15, calc:mul],[effect:fix_speed,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</si>
  <si>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2.1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1.6</t>
    </r>
    <r>
      <rPr>
        <b/>
        <sz val="13"/>
        <color theme="0" tint="-0.34998626667073579"/>
        <rFont val="Arial"/>
      </rPr>
      <t>],[effect:enhance_unit, target:unit_all, turn:-1, status:attack, val:0.15, calc:mul],[effect:fix_speed,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</si>
  <si>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1.8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2.8</t>
    </r>
    <r>
      <rPr>
        <b/>
        <sz val="13"/>
        <color theme="0" tint="-0.34998626667073579"/>
        <rFont val="Arial"/>
      </rPr>
      <t>],[effect:drop_freeze, turn:5, block_type:normal, block_color:block_heart, rate:1, animation:drop_protect],[effect:fix_speed,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</si>
  <si>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1.8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2.9</t>
    </r>
    <r>
      <rPr>
        <b/>
        <sz val="13"/>
        <color theme="0" tint="-0.34998626667073579"/>
        <rFont val="Arial"/>
      </rPr>
      <t>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</si>
  <si>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1.8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2.9</t>
    </r>
    <r>
      <rPr>
        <b/>
        <sz val="13"/>
        <color theme="0" tint="-0.34998626667073579"/>
        <rFont val="Arial"/>
      </rPr>
      <t>]</t>
    </r>
    <phoneticPr fontId="5"/>
  </si>
  <si>
    <r>
      <t>[effect:enemy_message, val1:</t>
    </r>
    <r>
      <rPr>
        <b/>
        <sz val="13"/>
        <color theme="5" tint="0.39997558519241921"/>
        <rFont val="Arial"/>
      </rPr>
      <t>2.3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3.0</t>
    </r>
    <r>
      <rPr>
        <b/>
        <sz val="13"/>
        <color theme="0" tint="-0.34998626667073579"/>
        <rFont val="Arial"/>
      </rPr>
      <t>],[effect:guard_break, target:enemy_all, turn:1, val:1.0, calc:mul],[effect:fix_speed, target:myself, turn:1]</t>
    </r>
    <phoneticPr fontId="5"/>
  </si>
  <si>
    <r>
      <t>[effect:enemy_message, val1:</t>
    </r>
    <r>
      <rPr>
        <b/>
        <sz val="13"/>
        <color theme="5" tint="0.39997558519241921"/>
        <rFont val="Arial"/>
      </rPr>
      <t>2.5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3.0</t>
    </r>
    <r>
      <rPr>
        <b/>
        <sz val="13"/>
        <color theme="0" tint="-0.34998626667073579"/>
        <rFont val="Arial"/>
      </rPr>
      <t>],[effect:guard_break, target:enemy_all, turn:1, val:1.0, calc:mul],[effect:fix_speed, target:myself, turn:1]</t>
    </r>
    <phoneticPr fontId="5"/>
  </si>
  <si>
    <r>
      <t>[effect:enemy_message, val1:</t>
    </r>
    <r>
      <rPr>
        <b/>
        <sz val="13"/>
        <color theme="5" tint="0.39997558519241921"/>
        <rFont val="Arial"/>
      </rPr>
      <t>2.5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3.0</t>
    </r>
    <r>
      <rPr>
        <b/>
        <sz val="13"/>
        <color theme="0" tint="-0.34998626667073579"/>
        <rFont val="Arial"/>
      </rPr>
      <t>],[effect:guard_break, target:enemy_all, turn:1, val:1.0, calc:mul],[effect:fix_speed, target:myself, turn:1]</t>
    </r>
    <phoneticPr fontId="5"/>
  </si>
  <si>
    <r>
      <t>[effect:enemy_message, val1:1.6, val2:</t>
    </r>
    <r>
      <rPr>
        <b/>
        <sz val="13"/>
        <color theme="5" tint="0.39997558519241921"/>
        <rFont val="Arial"/>
      </rPr>
      <t>3.0</t>
    </r>
    <r>
      <rPr>
        <b/>
        <sz val="13"/>
        <color theme="0" tint="-0.34998626667073579"/>
        <rFont val="Arial"/>
      </rPr>
      <t>],[effect:rush, count:5, val:0.22]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</si>
  <si>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1.4</t>
    </r>
    <r>
      <rPr>
        <b/>
        <sz val="13"/>
        <color theme="0" tint="-0.34998626667073579"/>
        <rFont val="Arial"/>
      </rPr>
      <t>],[effect:break_attack_fix, target:unit_all, val:140, lowest_val:2000, count:-1, color:green, block01:block_blue]</t>
    </r>
    <phoneticPr fontId="5"/>
  </si>
  <si>
    <t>null</t>
  </si>
  <si>
    <t>link</t>
  </si>
  <si>
    <t>unit</t>
  </si>
  <si>
    <r>
      <t>[effect:enemy_message, val1:</t>
    </r>
    <r>
      <rPr>
        <b/>
        <sz val="13"/>
        <color theme="5" tint="0.39997558519241921"/>
        <rFont val="Arial"/>
      </rPr>
      <t>1.8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2.1</t>
    </r>
    <r>
      <rPr>
        <b/>
        <sz val="13"/>
        <color theme="0" tint="-0.34998626667073579"/>
        <rFont val="Arial"/>
      </rPr>
      <t>],[effect:guard_break, target:enemy_all, turn:1, val:1.0, calc:mul]</t>
    </r>
    <phoneticPr fontId="5"/>
  </si>
  <si>
    <t>赤パネルプロテクト+クリティカル！</t>
    <phoneticPr fontId="5"/>
  </si>
  <si>
    <t>青パネルを吸収して強力な全体攻撃</t>
    <phoneticPr fontId="5"/>
  </si>
  <si>
    <t>黄パネルを吸収して強力な全体攻撃</t>
    <phoneticPr fontId="5"/>
  </si>
  <si>
    <t>青パネルを吸収して全体攻撃</t>
    <phoneticPr fontId="5"/>
  </si>
  <si>
    <r>
      <t>[effect:enemy_message, val1:</t>
    </r>
    <r>
      <rPr>
        <b/>
        <sz val="13"/>
        <color theme="5" tint="0.39997558519241921"/>
        <rFont val="Arial"/>
      </rPr>
      <t>1.4</t>
    </r>
    <r>
      <rPr>
        <b/>
        <sz val="13"/>
        <color rgb="FFA6A6A6"/>
        <rFont val="Arial"/>
      </rPr>
      <t>, val2:</t>
    </r>
    <r>
      <rPr>
        <b/>
        <sz val="13"/>
        <color theme="5" tint="0.39997558519241921"/>
        <rFont val="Arial"/>
      </rPr>
      <t>3.0</t>
    </r>
    <r>
      <rPr>
        <b/>
        <sz val="13"/>
        <color rgb="FFA6A6A6"/>
        <rFont val="Arial"/>
      </rPr>
      <t>],[effect:freq_turn, target:myself, turn:-1, val:1, animation:enemy_freq_turn],[effect:enemy_counter, target:myself, invoke_condition:unit_all, counter_target:attacker, turn:-1, val:0.5, animation:enemy_counter]</t>
    </r>
    <phoneticPr fontId="5"/>
  </si>
  <si>
    <t>強烈デザイア</t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</si>
  <si>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1.7</t>
    </r>
    <r>
      <rPr>
        <b/>
        <sz val="13"/>
        <color theme="0" tint="-0.34998626667073579"/>
        <rFont val="Arial"/>
      </rPr>
      <t>],[effect:rush, count:1, val:0.95]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</si>
  <si>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1.6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1.7</t>
    </r>
    <r>
      <rPr>
        <b/>
        <sz val="13"/>
        <color theme="0" tint="-0.34998626667073579"/>
        <rFont val="Arial"/>
      </rPr>
      <t>],[effect:virus, turn:2, rate:1, val:0.09, animation:enemy_virus],[effect:fix_speed, target:myself, turn:2]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</si>
  <si>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1.5</t>
    </r>
    <r>
      <rPr>
        <b/>
        <sz val="13"/>
        <color theme="0" tint="-0.34998626667073579"/>
        <rFont val="Arial"/>
      </rPr>
      <t>],[effect:virus, turn:2, rate:1, val:0.1, animation:enemy_virus],[effect:rush, count:1, val:0.9]</t>
    </r>
    <phoneticPr fontId="5"/>
  </si>
  <si>
    <t>青&amp;ハートパネルを吸収して強力な全体攻撃</t>
    <phoneticPr fontId="5"/>
  </si>
  <si>
    <t>あけましておめでとう！
【お年玉が現れた！】</t>
    <phoneticPr fontId="5"/>
  </si>
  <si>
    <t>全ユニットの攻撃力UP</t>
    <phoneticPr fontId="5"/>
  </si>
  <si>
    <t>全ユニットの攻撃力UP</t>
    <phoneticPr fontId="5"/>
  </si>
  <si>
    <t>自身の攻撃頻度UP+
解除するまで全属性の攻撃をカウンター</t>
    <phoneticPr fontId="5"/>
  </si>
  <si>
    <r>
      <t>[effect:enemy_message, val1:1.7, val2:</t>
    </r>
    <r>
      <rPr>
        <b/>
        <sz val="13"/>
        <color theme="5" tint="0.39997558519241921"/>
        <rFont val="Arial"/>
      </rPr>
      <t>1.6</t>
    </r>
    <r>
      <rPr>
        <b/>
        <sz val="13"/>
        <color theme="0" tint="-0.34998626667073579"/>
        <rFont val="Arial"/>
      </rPr>
      <t>],[effect:damage_gravity, val:0.5, animation:fevergauge_down]</t>
    </r>
    <phoneticPr fontId="5"/>
  </si>
  <si>
    <t>緑パネルを吸収して全体回復</t>
    <phoneticPr fontId="5"/>
  </si>
  <si>
    <r>
      <t>[effect:enemy_message, val1:1.2, val2:</t>
    </r>
    <r>
      <rPr>
        <b/>
        <sz val="13"/>
        <color theme="5" tint="0.39997558519241921"/>
        <rFont val="Arial"/>
      </rPr>
      <t>1.8</t>
    </r>
    <r>
      <rPr>
        <b/>
        <sz val="13"/>
        <color theme="0" tint="-0.34998626667073579"/>
        <rFont val="Arial"/>
      </rPr>
      <t>],[effect:force_change_block, new_block:block_green, target:block_all, ignore01:crash, ignore02:crack_bomb, ignore03:color_break, ignore04:magnet, ignore05:block_green, count:5, val:0, animation:change_block]</t>
    </r>
    <phoneticPr fontId="5"/>
  </si>
  <si>
    <r>
      <t>[effect:enemy_message, val1:</t>
    </r>
    <r>
      <rPr>
        <b/>
        <sz val="13"/>
        <color theme="5" tint="0.39997558519241921"/>
        <rFont val="Arial"/>
      </rPr>
      <t>1.3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1.4</t>
    </r>
    <r>
      <rPr>
        <b/>
        <sz val="13"/>
        <color theme="0" tint="-0.34998626667073579"/>
        <rFont val="Arial"/>
      </rPr>
      <t>],[effect:spread, val:0.26],[effect:virus, turn:3, rate:1, val:0.13, animation:enemy_virus]</t>
    </r>
    <phoneticPr fontId="5"/>
  </si>
  <si>
    <t>全体攻撃+3ターンウィルス</t>
    <phoneticPr fontId="5"/>
  </si>
  <si>
    <t>5回連続攻撃
【起きている間は自身の防御力超大UP！】</t>
    <phoneticPr fontId="5"/>
  </si>
  <si>
    <t>5ターンハートパネルはプロテクトされてドロップ</t>
    <phoneticPr fontId="5"/>
  </si>
  <si>
    <r>
      <t>[effect:enemy_message, val1:</t>
    </r>
    <r>
      <rPr>
        <b/>
        <sz val="13"/>
        <color theme="5" tint="0.39997558519241921"/>
        <rFont val="Arial"/>
      </rPr>
      <t>1.4</t>
    </r>
    <r>
      <rPr>
        <b/>
        <sz val="13"/>
        <color theme="0" tint="-0.34998626667073579"/>
        <rFont val="Arial"/>
      </rPr>
      <t>, val2:</t>
    </r>
    <r>
      <rPr>
        <b/>
        <sz val="13"/>
        <color theme="5" tint="0.39997558519241921"/>
        <rFont val="Arial"/>
      </rPr>
      <t>2.8</t>
    </r>
    <r>
      <rPr>
        <b/>
        <sz val="13"/>
        <color theme="0" tint="-0.34998626667073579"/>
        <rFont val="Arial"/>
      </rPr>
      <t>],[effect:damage_abnormal, target:unit_one, val:0.51, status:virus, turn:1, rate:1, val_abnormal:0.15, animation:enemy_virus],[effect:damage_abnormal, target:unit_one, val:0.5, status:virus, turn:1, rate:1, val_abnormal:0.14, animation:enemy_virus]</t>
    </r>
    <phoneticPr fontId="5"/>
  </si>
  <si>
    <t>1年のうちほとんどを眠って過ごす年獣は
目覚めた後も眠気が覚めきらず
はしゃいでいる途中に突然眠り出してしまう
こともしばしばあるようです</t>
    <phoneticPr fontId="5"/>
  </si>
  <si>
    <t>1年のうちほとんどを眠って過ごす年獣は
目覚めた後も眠気が覚めきらず
はしゃいでいる途中に突然眠り出してしまう
こともしばしばあるようです</t>
    <phoneticPr fontId="5"/>
  </si>
  <si>
    <t>各地でお金や財宝を
強奪してまわっていた年獣ですが
金目のものが目的だったわけではなく
単に金ピカなものが好きなだけのようです</t>
    <phoneticPr fontId="5"/>
  </si>
  <si>
    <t>各地でお金や財宝を
強奪してまわっていた年獣ですが
金目のものが目的だったわけではなく
単に金ピカなものが好きなだけのようです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</si>
</sst>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b/>
      <sz val="13"/>
      <color theme="0" tint="-0.34998626667073579"/>
      <name val="Arial"/>
    </font>
    <font>
      <b/>
      <sz val="13"/>
      <color rgb="FFA6A6A6"/>
      <name val="Arial"/>
    </font>
    <font>
      <sz val="10"/>
      <color theme="1" tint="4.9989318521683403E-2"/>
      <name val="ＭＳ Ｐゴシック"/>
      <family val="3"/>
      <charset val="128"/>
      <scheme val="minor"/>
    </font>
    <font>
      <b/>
      <sz val="13"/>
      <color theme="5" tint="0.39997558519241921"/>
      <name val="Arial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FF"/>
        <bgColor rgb="FF63AAFE"/>
      </patternFill>
    </fill>
    <fill>
      <patternFill patternType="solid">
        <fgColor theme="0"/>
        <bgColor rgb="FF63AAFE"/>
      </patternFill>
    </fill>
    <fill>
      <patternFill patternType="solid">
        <fgColor theme="4" tint="0.79998168889431442"/>
        <bgColor rgb="FF63AAF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59999389629810485"/>
        <bgColor rgb="FF000000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8"/>
      </left>
      <right style="thin">
        <color indexed="8"/>
      </right>
      <top style="thin">
        <color rgb="FF000000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rgb="FF000000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double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auto="1"/>
      </bottom>
      <diagonal/>
    </border>
  </borders>
  <cellStyleXfs count="84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4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0" fontId="11" fillId="0" borderId="7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8" fillId="0" borderId="25" xfId="0" applyFont="1" applyBorder="1" applyAlignment="1">
      <alignment vertical="center"/>
    </xf>
    <xf numFmtId="177" fontId="8" fillId="0" borderId="25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1" fillId="0" borderId="24" xfId="0" applyFont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4" fillId="13" borderId="24" xfId="0" applyFont="1" applyFill="1" applyBorder="1" applyAlignment="1">
      <alignment horizontal="center" vertical="center"/>
    </xf>
    <xf numFmtId="0" fontId="4" fillId="13" borderId="7" xfId="0" applyFont="1" applyFill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32" borderId="28" xfId="0" applyFont="1" applyFill="1" applyBorder="1" applyAlignment="1">
      <alignment vertical="center"/>
    </xf>
    <xf numFmtId="0" fontId="6" fillId="32" borderId="36" xfId="0" applyFont="1" applyFill="1" applyBorder="1" applyAlignment="1">
      <alignment vertical="center"/>
    </xf>
    <xf numFmtId="0" fontId="6" fillId="32" borderId="7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37" xfId="0" applyFont="1" applyFill="1" applyBorder="1" applyAlignment="1">
      <alignment vertical="center"/>
    </xf>
    <xf numFmtId="176" fontId="4" fillId="0" borderId="27" xfId="0" applyNumberFormat="1" applyFont="1" applyFill="1" applyBorder="1" applyAlignment="1">
      <alignment horizontal="center" vertical="center"/>
    </xf>
    <xf numFmtId="0" fontId="6" fillId="32" borderId="32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52" fillId="33" borderId="38" xfId="0" applyFont="1" applyFill="1" applyBorder="1" applyAlignment="1">
      <alignment vertical="center"/>
    </xf>
    <xf numFmtId="0" fontId="53" fillId="3" borderId="7" xfId="434" applyFont="1" applyFill="1" applyBorder="1" applyAlignment="1"/>
    <xf numFmtId="0" fontId="30" fillId="13" borderId="7" xfId="0" applyFont="1" applyFill="1" applyBorder="1"/>
    <xf numFmtId="0" fontId="30" fillId="0" borderId="7" xfId="0" applyFont="1" applyBorder="1"/>
    <xf numFmtId="0" fontId="30" fillId="0" borderId="12" xfId="0" applyFont="1" applyBorder="1"/>
    <xf numFmtId="0" fontId="24" fillId="6" borderId="7" xfId="434" applyFill="1" applyBorder="1" applyAlignment="1"/>
    <xf numFmtId="0" fontId="54" fillId="0" borderId="7" xfId="0" applyFont="1" applyBorder="1"/>
    <xf numFmtId="0" fontId="54" fillId="0" borderId="12" xfId="0" applyFont="1" applyBorder="1"/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54" fillId="0" borderId="24" xfId="0" applyFont="1" applyBorder="1"/>
    <xf numFmtId="0" fontId="16" fillId="0" borderId="2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 wrapText="1"/>
    </xf>
    <xf numFmtId="177" fontId="8" fillId="0" borderId="7" xfId="0" applyNumberFormat="1" applyFont="1" applyBorder="1" applyAlignment="1">
      <alignment vertical="center"/>
    </xf>
    <xf numFmtId="177" fontId="8" fillId="0" borderId="12" xfId="0" applyNumberFormat="1" applyFont="1" applyBorder="1" applyAlignment="1">
      <alignment vertical="center"/>
    </xf>
    <xf numFmtId="177" fontId="8" fillId="0" borderId="24" xfId="0" applyNumberFormat="1" applyFont="1" applyBorder="1" applyAlignment="1">
      <alignment vertical="center"/>
    </xf>
    <xf numFmtId="0" fontId="52" fillId="33" borderId="42" xfId="0" applyFont="1" applyFill="1" applyBorder="1" applyAlignment="1">
      <alignment vertical="center"/>
    </xf>
    <xf numFmtId="0" fontId="11" fillId="0" borderId="12" xfId="0" applyFont="1" applyBorder="1" applyAlignment="1">
      <alignment horizontal="left" vertical="center" wrapText="1"/>
    </xf>
    <xf numFmtId="0" fontId="11" fillId="0" borderId="43" xfId="0" applyFont="1" applyBorder="1" applyAlignment="1">
      <alignment horizontal="left" vertical="center" wrapText="1"/>
    </xf>
    <xf numFmtId="0" fontId="55" fillId="0" borderId="7" xfId="0" applyFont="1" applyBorder="1"/>
    <xf numFmtId="0" fontId="55" fillId="0" borderId="12" xfId="0" applyFont="1" applyBorder="1"/>
    <xf numFmtId="0" fontId="55" fillId="0" borderId="24" xfId="0" applyFont="1" applyBorder="1"/>
    <xf numFmtId="0" fontId="11" fillId="0" borderId="7" xfId="0" applyFont="1" applyBorder="1" applyAlignment="1">
      <alignment horizontal="left" vertical="center" wrapText="1"/>
    </xf>
    <xf numFmtId="0" fontId="11" fillId="0" borderId="44" xfId="0" applyFont="1" applyBorder="1" applyAlignment="1">
      <alignment horizontal="left" vertical="center" wrapText="1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12" xfId="0" applyFont="1" applyFill="1" applyBorder="1" applyAlignment="1">
      <alignment horizontal="center" vertical="center"/>
    </xf>
    <xf numFmtId="0" fontId="16" fillId="34" borderId="38" xfId="0" applyFont="1" applyFill="1" applyBorder="1" applyAlignment="1">
      <alignment vertical="center"/>
    </xf>
    <xf numFmtId="0" fontId="16" fillId="34" borderId="39" xfId="0" applyFont="1" applyFill="1" applyBorder="1" applyAlignment="1">
      <alignment vertical="center"/>
    </xf>
    <xf numFmtId="0" fontId="16" fillId="35" borderId="38" xfId="0" applyFont="1" applyFill="1" applyBorder="1" applyAlignment="1">
      <alignment vertical="center"/>
    </xf>
    <xf numFmtId="0" fontId="16" fillId="35" borderId="39" xfId="0" applyFont="1" applyFill="1" applyBorder="1" applyAlignment="1">
      <alignment vertical="center"/>
    </xf>
    <xf numFmtId="0" fontId="16" fillId="35" borderId="40" xfId="0" applyFont="1" applyFill="1" applyBorder="1" applyAlignment="1">
      <alignment vertical="center"/>
    </xf>
    <xf numFmtId="0" fontId="16" fillId="34" borderId="41" xfId="0" applyFont="1" applyFill="1" applyBorder="1" applyAlignment="1">
      <alignment vertical="center"/>
    </xf>
    <xf numFmtId="0" fontId="56" fillId="35" borderId="38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1" fillId="36" borderId="12" xfId="0" applyFont="1" applyFill="1" applyBorder="1" applyAlignment="1">
      <alignment horizontal="left" vertical="center" wrapText="1"/>
    </xf>
    <xf numFmtId="0" fontId="11" fillId="36" borderId="43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horizontal="left" vertical="center" wrapText="1"/>
    </xf>
    <xf numFmtId="0" fontId="16" fillId="36" borderId="12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 wrapText="1"/>
    </xf>
    <xf numFmtId="0" fontId="16" fillId="37" borderId="12" xfId="0" applyFont="1" applyFill="1" applyBorder="1" applyAlignment="1">
      <alignment horizontal="left" vertical="center" wrapText="1"/>
    </xf>
    <xf numFmtId="0" fontId="11" fillId="37" borderId="12" xfId="0" applyFont="1" applyFill="1" applyBorder="1" applyAlignment="1">
      <alignment horizontal="left" vertical="center" wrapText="1"/>
    </xf>
    <xf numFmtId="0" fontId="54" fillId="0" borderId="45" xfId="0" applyFont="1" applyBorder="1"/>
    <xf numFmtId="0" fontId="16" fillId="0" borderId="46" xfId="0" applyFont="1" applyFill="1" applyBorder="1" applyAlignment="1">
      <alignment horizontal="left" vertical="center"/>
    </xf>
    <xf numFmtId="0" fontId="16" fillId="0" borderId="46" xfId="0" applyFont="1" applyFill="1" applyBorder="1" applyAlignment="1">
      <alignment horizontal="left" vertical="center" wrapText="1"/>
    </xf>
    <xf numFmtId="0" fontId="16" fillId="0" borderId="45" xfId="0" applyFont="1" applyFill="1" applyBorder="1" applyAlignment="1">
      <alignment vertical="center"/>
    </xf>
    <xf numFmtId="0" fontId="16" fillId="0" borderId="46" xfId="0" applyFont="1" applyFill="1" applyBorder="1" applyAlignment="1">
      <alignment vertical="center"/>
    </xf>
    <xf numFmtId="0" fontId="16" fillId="3" borderId="46" xfId="0" applyFont="1" applyFill="1" applyBorder="1" applyAlignment="1">
      <alignment vertical="center"/>
    </xf>
    <xf numFmtId="0" fontId="54" fillId="0" borderId="47" xfId="0" applyFont="1" applyBorder="1"/>
    <xf numFmtId="0" fontId="11" fillId="0" borderId="24" xfId="0" applyFont="1" applyBorder="1" applyAlignment="1">
      <alignment horizontal="left" vertical="center" wrapText="1"/>
    </xf>
    <xf numFmtId="0" fontId="11" fillId="0" borderId="48" xfId="0" applyFont="1" applyBorder="1" applyAlignment="1">
      <alignment horizontal="left" vertical="center" wrapText="1"/>
    </xf>
    <xf numFmtId="0" fontId="16" fillId="0" borderId="47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55" fillId="0" borderId="47" xfId="0" applyFont="1" applyBorder="1"/>
    <xf numFmtId="0" fontId="55" fillId="0" borderId="45" xfId="0" applyFont="1" applyBorder="1"/>
    <xf numFmtId="0" fontId="16" fillId="37" borderId="46" xfId="0" applyFont="1" applyFill="1" applyBorder="1" applyAlignment="1">
      <alignment horizontal="left" vertical="center" wrapText="1"/>
    </xf>
    <xf numFmtId="0" fontId="11" fillId="0" borderId="46" xfId="0" applyFont="1" applyBorder="1" applyAlignment="1">
      <alignment horizontal="left" vertical="center" wrapText="1"/>
    </xf>
    <xf numFmtId="0" fontId="16" fillId="34" borderId="49" xfId="0" applyFont="1" applyFill="1" applyBorder="1" applyAlignment="1">
      <alignment vertical="center"/>
    </xf>
    <xf numFmtId="38" fontId="16" fillId="0" borderId="7" xfId="628" applyFont="1" applyFill="1" applyBorder="1" applyAlignment="1">
      <alignment vertical="center" wrapText="1"/>
    </xf>
    <xf numFmtId="0" fontId="16" fillId="37" borderId="7" xfId="0" applyFont="1" applyFill="1" applyBorder="1" applyAlignment="1">
      <alignment vertical="center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vertical="center" wrapText="1"/>
    </xf>
    <xf numFmtId="0" fontId="0" fillId="0" borderId="12" xfId="0" applyBorder="1"/>
    <xf numFmtId="0" fontId="27" fillId="0" borderId="24" xfId="0" applyFont="1" applyFill="1" applyBorder="1"/>
    <xf numFmtId="0" fontId="28" fillId="0" borderId="24" xfId="0" applyFont="1" applyFill="1" applyBorder="1"/>
    <xf numFmtId="0" fontId="29" fillId="3" borderId="24" xfId="0" applyFont="1" applyFill="1" applyBorder="1" applyAlignment="1">
      <alignment vertical="center"/>
    </xf>
    <xf numFmtId="0" fontId="30" fillId="0" borderId="24" xfId="0" applyFont="1" applyFill="1" applyBorder="1"/>
    <xf numFmtId="0" fontId="29" fillId="0" borderId="24" xfId="0" applyFont="1" applyFill="1" applyBorder="1" applyAlignment="1">
      <alignment vertical="center"/>
    </xf>
    <xf numFmtId="0" fontId="30" fillId="30" borderId="24" xfId="0" applyFont="1" applyFill="1" applyBorder="1"/>
    <xf numFmtId="0" fontId="30" fillId="14" borderId="24" xfId="0" applyFont="1" applyFill="1" applyBorder="1"/>
    <xf numFmtId="0" fontId="31" fillId="0" borderId="24" xfId="0" applyFont="1" applyFill="1" applyBorder="1"/>
    <xf numFmtId="38" fontId="16" fillId="0" borderId="24" xfId="628" applyFont="1" applyFill="1" applyBorder="1" applyAlignment="1">
      <alignment vertical="center" wrapText="1"/>
    </xf>
    <xf numFmtId="0" fontId="0" fillId="0" borderId="24" xfId="0" applyBorder="1"/>
    <xf numFmtId="0" fontId="52" fillId="33" borderId="50" xfId="0" applyFont="1" applyFill="1" applyBorder="1" applyAlignment="1">
      <alignment vertical="center"/>
    </xf>
    <xf numFmtId="0" fontId="16" fillId="34" borderId="51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177" fontId="8" fillId="0" borderId="32" xfId="0" applyNumberFormat="1" applyFont="1" applyBorder="1" applyAlignment="1">
      <alignment vertical="center"/>
    </xf>
    <xf numFmtId="0" fontId="26" fillId="0" borderId="7" xfId="0" applyFont="1" applyBorder="1"/>
    <xf numFmtId="0" fontId="26" fillId="0" borderId="10" xfId="0" applyFont="1" applyBorder="1"/>
    <xf numFmtId="0" fontId="26" fillId="0" borderId="12" xfId="0" applyFont="1" applyBorder="1"/>
    <xf numFmtId="0" fontId="26" fillId="0" borderId="43" xfId="0" applyFont="1" applyBorder="1"/>
    <xf numFmtId="0" fontId="26" fillId="38" borderId="43" xfId="0" applyFont="1" applyFill="1" applyBorder="1"/>
    <xf numFmtId="0" fontId="26" fillId="39" borderId="12" xfId="0" applyFont="1" applyFill="1" applyBorder="1"/>
    <xf numFmtId="0" fontId="26" fillId="39" borderId="43" xfId="0" applyFont="1" applyFill="1" applyBorder="1"/>
    <xf numFmtId="0" fontId="26" fillId="40" borderId="43" xfId="0" applyFont="1" applyFill="1" applyBorder="1"/>
  </cellXfs>
  <cellStyles count="84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2" sqref="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155" t="s">
        <v>256</v>
      </c>
      <c r="B2" s="57" t="s">
        <v>105</v>
      </c>
      <c r="C2" s="61">
        <v>48011</v>
      </c>
      <c r="D2" s="57" t="s">
        <v>106</v>
      </c>
      <c r="E2" s="56" t="str">
        <f>B2&amp;C2&amp;D2</f>
        <v>floors_48011.tmp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155" t="s">
        <v>256</v>
      </c>
      <c r="B3" s="57" t="s">
        <v>108</v>
      </c>
      <c r="C3" s="61">
        <v>48011</v>
      </c>
      <c r="D3" s="57" t="s">
        <v>106</v>
      </c>
      <c r="E3" s="56" t="str">
        <f>B3&amp;C3&amp;D3</f>
        <v>enemy_habitats_48011.tmp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155" t="s">
        <v>256</v>
      </c>
      <c r="B4" s="57" t="s">
        <v>110</v>
      </c>
      <c r="C4" s="61">
        <v>48011</v>
      </c>
      <c r="D4" s="57" t="s">
        <v>106</v>
      </c>
      <c r="E4" s="56" t="str">
        <f>B4&amp;C4&amp;D4</f>
        <v>enemy_habitat_S_48011.tmp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155" t="s">
        <v>256</v>
      </c>
      <c r="B5" s="57" t="s">
        <v>112</v>
      </c>
      <c r="C5" s="61">
        <v>48011</v>
      </c>
      <c r="D5" s="57" t="s">
        <v>106</v>
      </c>
      <c r="E5" s="56" t="str">
        <f>B5&amp;C5&amp;D5</f>
        <v>enemy_skill_sets_48011.tmp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155" t="s">
        <v>256</v>
      </c>
      <c r="B6" s="57" t="s">
        <v>114</v>
      </c>
      <c r="C6" s="61">
        <v>48011</v>
      </c>
      <c r="D6" s="57" t="s">
        <v>115</v>
      </c>
      <c r="E6" s="56" t="str">
        <f t="shared" ref="E6:E10" si="0">B6&amp;C6&amp;D6</f>
        <v>enemy_skills_tmp_48011.tmp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155" t="s">
        <v>256</v>
      </c>
      <c r="B7" s="57" t="s">
        <v>116</v>
      </c>
      <c r="C7" s="61">
        <v>48011</v>
      </c>
      <c r="D7" s="57" t="s">
        <v>106</v>
      </c>
      <c r="E7" s="56" t="str">
        <f>B7&amp;C7&amp;D7</f>
        <v>enemy_skills_i18n_48011.tmp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155" t="s">
        <v>256</v>
      </c>
      <c r="B8" s="57" t="s">
        <v>118</v>
      </c>
      <c r="C8" s="61">
        <v>48011</v>
      </c>
      <c r="D8" s="57" t="s">
        <v>119</v>
      </c>
      <c r="E8" s="56" t="str">
        <f t="shared" si="0"/>
        <v>enemy_skill_triggers_48011.tmp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155" t="s">
        <v>256</v>
      </c>
      <c r="B9" s="66" t="s">
        <v>176</v>
      </c>
      <c r="C9" s="61">
        <v>48011</v>
      </c>
      <c r="D9" s="66" t="s">
        <v>170</v>
      </c>
      <c r="E9" s="67" t="str">
        <f t="shared" si="0"/>
        <v>stage_bug_bonuses_48011.tmp</v>
      </c>
      <c r="F9" s="66" t="s">
        <v>171</v>
      </c>
      <c r="G9" s="63" t="s">
        <v>149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7"/>
      <c r="Y9" s="57"/>
      <c r="Z9" s="57"/>
      <c r="AA9" s="57"/>
      <c r="AB9" s="57"/>
      <c r="AC9" s="57"/>
      <c r="AD9" s="57"/>
    </row>
    <row r="10" spans="1:30" s="73" customFormat="1" x14ac:dyDescent="0.15">
      <c r="A10" s="151" t="s">
        <v>186</v>
      </c>
      <c r="B10" s="66" t="s">
        <v>199</v>
      </c>
      <c r="C10" s="61">
        <v>48011</v>
      </c>
      <c r="D10" s="66" t="s">
        <v>179</v>
      </c>
      <c r="E10" s="67" t="str">
        <f t="shared" si="0"/>
        <v>stage_hints_data_c_48011.tmp</v>
      </c>
      <c r="F10" s="66" t="s">
        <v>207</v>
      </c>
      <c r="G10" s="71" t="s">
        <v>180</v>
      </c>
      <c r="H10" s="71" t="s">
        <v>172</v>
      </c>
      <c r="I10" s="72" t="s">
        <v>181</v>
      </c>
      <c r="J10" s="65" t="s">
        <v>182</v>
      </c>
      <c r="K10" s="65" t="s">
        <v>183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155" t="s">
        <v>256</v>
      </c>
      <c r="B11" s="66" t="s">
        <v>200</v>
      </c>
      <c r="C11" s="61">
        <v>48011</v>
      </c>
      <c r="D11" s="66" t="s">
        <v>170</v>
      </c>
      <c r="E11" s="67" t="str">
        <f t="shared" ref="E11:E13" si="1">B11&amp;C11&amp;D11</f>
        <v>stage_hints_data_f_48011.tmp</v>
      </c>
      <c r="F11" s="66" t="s">
        <v>208</v>
      </c>
      <c r="G11" s="71" t="s">
        <v>180</v>
      </c>
      <c r="H11" s="71" t="s">
        <v>172</v>
      </c>
      <c r="I11" s="72" t="s">
        <v>181</v>
      </c>
      <c r="J11" s="65" t="s">
        <v>182</v>
      </c>
      <c r="K11" s="65" t="s">
        <v>183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155" t="s">
        <v>256</v>
      </c>
      <c r="B12" s="66" t="s">
        <v>201</v>
      </c>
      <c r="C12" s="61">
        <v>48011</v>
      </c>
      <c r="D12" s="66" t="s">
        <v>170</v>
      </c>
      <c r="E12" s="67" t="str">
        <f t="shared" si="1"/>
        <v>stage_hints_i18n_48011.tmp</v>
      </c>
      <c r="F12" s="66" t="s">
        <v>209</v>
      </c>
      <c r="G12" s="72" t="s">
        <v>202</v>
      </c>
      <c r="H12" s="91" t="s">
        <v>203</v>
      </c>
      <c r="I12" s="71" t="s">
        <v>204</v>
      </c>
      <c r="J12" s="99" t="s">
        <v>205</v>
      </c>
      <c r="K12" s="65" t="s">
        <v>206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155" t="s">
        <v>256</v>
      </c>
      <c r="B13" s="66" t="s">
        <v>248</v>
      </c>
      <c r="C13" s="61">
        <v>48011</v>
      </c>
      <c r="D13" s="66" t="s">
        <v>229</v>
      </c>
      <c r="E13" s="67" t="str">
        <f t="shared" si="1"/>
        <v>stage_bonuses_48011.tmp</v>
      </c>
      <c r="F13" s="66" t="s">
        <v>228</v>
      </c>
      <c r="G13" s="71" t="s">
        <v>230</v>
      </c>
      <c r="H13" s="71" t="s">
        <v>231</v>
      </c>
      <c r="I13" s="71" t="s">
        <v>232</v>
      </c>
      <c r="J13" s="71" t="s">
        <v>233</v>
      </c>
      <c r="K13" s="71" t="s">
        <v>234</v>
      </c>
      <c r="L13" s="71" t="s">
        <v>235</v>
      </c>
      <c r="M13" s="71" t="s">
        <v>236</v>
      </c>
      <c r="N13" s="71" t="s">
        <v>237</v>
      </c>
      <c r="O13" s="71" t="s">
        <v>238</v>
      </c>
      <c r="P13" s="71" t="s">
        <v>239</v>
      </c>
      <c r="Q13" s="71" t="s">
        <v>240</v>
      </c>
      <c r="R13" s="71" t="s">
        <v>241</v>
      </c>
      <c r="S13" s="71" t="s">
        <v>242</v>
      </c>
      <c r="T13" s="71" t="s">
        <v>243</v>
      </c>
      <c r="U13" s="71" t="s">
        <v>244</v>
      </c>
      <c r="V13" s="71" t="s">
        <v>245</v>
      </c>
      <c r="W13" s="71" t="s">
        <v>246</v>
      </c>
      <c r="X13" s="71" t="s">
        <v>247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K8" sqref="K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0" style="3" customWidth="1" outlineLevel="1"/>
    <col min="5" max="5" width="13.83203125" style="3" customWidth="1" outlineLevel="1"/>
    <col min="6" max="6" width="7" style="3" bestFit="1" customWidth="1"/>
    <col min="7" max="7" width="9.33203125" style="19" customWidth="1" outlineLevel="1"/>
    <col min="8" max="8" width="23.332031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48011_1-1</v>
      </c>
      <c r="B2" s="16" t="str">
        <f>IF(COUNTIF(enemy_habitats!$H:$H,A2),"OK","NG")</f>
        <v>OK</v>
      </c>
      <c r="C2" s="7">
        <v>48011</v>
      </c>
      <c r="D2" s="11" t="str">
        <f ca="1">VLOOKUP($C2,OFFSET([2]quests!$A$1,0,0,COUNTA([2]quests!$A:$A),MATCH(D$1,[2]quests!$1:$1,0)-MATCH($C$1,[2]quests!$1:$1,0)+1),MATCH(D$1,[2]quests!$1:$1,0)-MATCH($C$1,[2]quests!$1:$1,0)+1,FALSE)</f>
        <v>年獣襲来！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台湾版降臨11</v>
      </c>
      <c r="F2" s="21">
        <v>1</v>
      </c>
      <c r="G2" s="23" t="str">
        <f>C2&amp;"_"&amp;F2</f>
        <v>48011_1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【超絶級】年獣襲来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11" si="0">G3&amp;"-"&amp;I3</f>
        <v>48011_1-2</v>
      </c>
      <c r="B3" s="16" t="str">
        <f>IF(COUNTIF(enemy_habitats!$H:$H,A3),"OK","NG")</f>
        <v>OK</v>
      </c>
      <c r="C3" s="7">
        <v>48011</v>
      </c>
      <c r="D3" s="11" t="str">
        <f ca="1">VLOOKUP($C3,OFFSET([2]quests!$A$1,0,0,COUNTA([2]quests!$A:$A),MATCH(D$1,[2]quests!$1:$1,0)-MATCH($C$1,[2]quests!$1:$1,0)+1),MATCH(D$1,[2]quests!$1:$1,0)-MATCH($C$1,[2]quests!$1:$1,0)+1,FALSE)</f>
        <v>年獣襲来！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台湾版降臨11</v>
      </c>
      <c r="F3" s="21">
        <v>1</v>
      </c>
      <c r="G3" s="23" t="str">
        <f t="shared" ref="G3:G11" si="1">C3&amp;"_"&amp;F3</f>
        <v>48011_1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【超絶級】年獣襲来</v>
      </c>
      <c r="I3" s="21">
        <v>2</v>
      </c>
      <c r="J3" s="12">
        <v>40</v>
      </c>
      <c r="K3" s="12">
        <v>40</v>
      </c>
    </row>
    <row r="4" spans="1:11" ht="21" customHeight="1" x14ac:dyDescent="0.15">
      <c r="A4" s="16" t="str">
        <f t="shared" si="0"/>
        <v>48011_1-3</v>
      </c>
      <c r="B4" s="16" t="str">
        <f>IF(COUNTIF(enemy_habitats!$H:$H,A4),"OK","NG")</f>
        <v>OK</v>
      </c>
      <c r="C4" s="7">
        <v>48011</v>
      </c>
      <c r="D4" s="11" t="str">
        <f ca="1">VLOOKUP($C4,OFFSET([2]quests!$A$1,0,0,COUNTA([2]quests!$A:$A),MATCH(D$1,[2]quests!$1:$1,0)-MATCH($C$1,[2]quests!$1:$1,0)+1),MATCH(D$1,[2]quests!$1:$1,0)-MATCH($C$1,[2]quests!$1:$1,0)+1,FALSE)</f>
        <v>年獣襲来！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台湾版降臨11</v>
      </c>
      <c r="F4" s="21">
        <v>1</v>
      </c>
      <c r="G4" s="23" t="str">
        <f t="shared" si="1"/>
        <v>48011_1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【超絶級】年獣襲来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48011_1-4</v>
      </c>
      <c r="B5" s="16" t="str">
        <f>IF(COUNTIF(enemy_habitats!$H:$H,A5),"OK","NG")</f>
        <v>OK</v>
      </c>
      <c r="C5" s="7">
        <v>48011</v>
      </c>
      <c r="D5" s="11" t="str">
        <f ca="1">VLOOKUP($C5,OFFSET([2]quests!$A$1,0,0,COUNTA([2]quests!$A:$A),MATCH(D$1,[2]quests!$1:$1,0)-MATCH($C$1,[2]quests!$1:$1,0)+1),MATCH(D$1,[2]quests!$1:$1,0)-MATCH($C$1,[2]quests!$1:$1,0)+1,FALSE)</f>
        <v>年獣襲来！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台湾版降臨11</v>
      </c>
      <c r="F5" s="21">
        <v>1</v>
      </c>
      <c r="G5" s="23" t="str">
        <f t="shared" si="1"/>
        <v>48011_1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【超絶級】年獣襲来</v>
      </c>
      <c r="I5" s="21">
        <v>4</v>
      </c>
      <c r="J5" s="12">
        <v>60</v>
      </c>
      <c r="K5" s="12">
        <v>60</v>
      </c>
    </row>
    <row r="6" spans="1:11" ht="21" customHeight="1" thickBot="1" x14ac:dyDescent="0.2">
      <c r="A6" s="110" t="str">
        <f t="shared" si="0"/>
        <v>48011_1-5</v>
      </c>
      <c r="B6" s="110" t="str">
        <f>IF(COUNTIF(enemy_habitats!$H:$H,A6),"OK","NG")</f>
        <v>OK</v>
      </c>
      <c r="C6" s="111">
        <v>48011</v>
      </c>
      <c r="D6" s="112" t="str">
        <f ca="1">VLOOKUP($C6,OFFSET([2]quests!$A$1,0,0,COUNTA([2]quests!$A:$A),MATCH(D$1,[2]quests!$1:$1,0)-MATCH($C$1,[2]quests!$1:$1,0)+1),MATCH(D$1,[2]quests!$1:$1,0)-MATCH($C$1,[2]quests!$1:$1,0)+1,FALSE)</f>
        <v>年獣襲来！</v>
      </c>
      <c r="E6" s="112" t="str">
        <f ca="1">VLOOKUP($C6,OFFSET([2]quests!$A$1,0,0,COUNTA([2]quests!$A:$A),MATCH(E$1,[2]quests!$1:$1,0)-MATCH($C$1,[2]quests!$1:$1,0)+1),MATCH(E$1,[2]quests!$1:$1,0)-MATCH($C$1,[2]quests!$1:$1,0)+1,FALSE)</f>
        <v>台湾版降臨11</v>
      </c>
      <c r="F6" s="113">
        <v>1</v>
      </c>
      <c r="G6" s="114" t="str">
        <f t="shared" si="1"/>
        <v>48011_1</v>
      </c>
      <c r="H6" s="115" t="str">
        <f ca="1">VLOOKUP($G6,OFFSET([2]stages!$A$1,0,0,COUNTA([2]stages!$A:$A),MATCH(H$1,[2]stages!$2:$2,0)-MATCH($G$1,[2]stages!$2:$2,0)+1),MATCH(H$1,[2]stages!$2:$2,0)-MATCH($G$1,[2]stages!$2:$2,0)+1,FALSE)</f>
        <v>【超絶級】年獣襲来</v>
      </c>
      <c r="I6" s="113">
        <v>5</v>
      </c>
      <c r="J6" s="116">
        <v>60</v>
      </c>
      <c r="K6" s="116">
        <v>60</v>
      </c>
    </row>
    <row r="7" spans="1:11" ht="21" customHeight="1" thickTop="1" x14ac:dyDescent="0.15">
      <c r="A7" s="16" t="str">
        <f t="shared" si="0"/>
        <v>48011_2-1</v>
      </c>
      <c r="B7" s="16" t="str">
        <f>IF(COUNTIF(enemy_habitats!$H:$H,A7),"OK","NG")</f>
        <v>OK</v>
      </c>
      <c r="C7" s="103">
        <v>48011</v>
      </c>
      <c r="D7" s="104" t="str">
        <f ca="1">VLOOKUP($C7,OFFSET([2]quests!$A$1,0,0,COUNTA([2]quests!$A:$A),MATCH(D$1,[2]quests!$1:$1,0)-MATCH($C$1,[2]quests!$1:$1,0)+1),MATCH(D$1,[2]quests!$1:$1,0)-MATCH($C$1,[2]quests!$1:$1,0)+1,FALSE)</f>
        <v>年獣襲来！</v>
      </c>
      <c r="E7" s="104" t="str">
        <f ca="1">VLOOKUP($C7,OFFSET([2]quests!$A$1,0,0,COUNTA([2]quests!$A:$A),MATCH(E$1,[2]quests!$1:$1,0)-MATCH($C$1,[2]quests!$1:$1,0)+1),MATCH(E$1,[2]quests!$1:$1,0)-MATCH($C$1,[2]quests!$1:$1,0)+1,FALSE)</f>
        <v>台湾版降臨11</v>
      </c>
      <c r="F7" s="105">
        <v>2</v>
      </c>
      <c r="G7" s="106" t="str">
        <f t="shared" si="1"/>
        <v>48011_2</v>
      </c>
      <c r="H7" s="107" t="str">
        <f ca="1">VLOOKUP($G7,OFFSET([2]stages!$A$1,0,0,COUNTA([2]stages!$A:$A),MATCH(H$1,[2]stages!$2:$2,0)-MATCH($G$1,[2]stages!$2:$2,0)+1),MATCH(H$1,[2]stages!$2:$2,0)-MATCH($G$1,[2]stages!$2:$2,0)+1,FALSE)</f>
        <v>【ウィザード級】年獣襲来</v>
      </c>
      <c r="I7" s="21">
        <v>1</v>
      </c>
      <c r="J7" s="108">
        <v>60</v>
      </c>
      <c r="K7" s="108">
        <v>60</v>
      </c>
    </row>
    <row r="8" spans="1:11" ht="21" customHeight="1" x14ac:dyDescent="0.15">
      <c r="A8" s="16" t="str">
        <f t="shared" si="0"/>
        <v>48011_2-2</v>
      </c>
      <c r="B8" s="16" t="str">
        <f>IF(COUNTIF(enemy_habitats!$H:$H,A8),"OK","NG")</f>
        <v>OK</v>
      </c>
      <c r="C8" s="7">
        <v>48011</v>
      </c>
      <c r="D8" s="11" t="str">
        <f ca="1">VLOOKUP($C8,OFFSET([2]quests!$A$1,0,0,COUNTA([2]quests!$A:$A),MATCH(D$1,[2]quests!$1:$1,0)-MATCH($C$1,[2]quests!$1:$1,0)+1),MATCH(D$1,[2]quests!$1:$1,0)-MATCH($C$1,[2]quests!$1:$1,0)+1,FALSE)</f>
        <v>年獣襲来！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台湾版降臨11</v>
      </c>
      <c r="F8" s="21">
        <v>2</v>
      </c>
      <c r="G8" s="23" t="str">
        <f t="shared" si="1"/>
        <v>48011_2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【ウィザード級】年獣襲来</v>
      </c>
      <c r="I8" s="21">
        <v>2</v>
      </c>
      <c r="J8" s="12">
        <v>40</v>
      </c>
      <c r="K8" s="12">
        <v>40</v>
      </c>
    </row>
    <row r="9" spans="1:11" ht="21" customHeight="1" x14ac:dyDescent="0.15">
      <c r="A9" s="16" t="str">
        <f t="shared" si="0"/>
        <v>48011_2-3</v>
      </c>
      <c r="B9" s="16" t="str">
        <f>IF(COUNTIF(enemy_habitats!$H:$H,A9),"OK","NG")</f>
        <v>OK</v>
      </c>
      <c r="C9" s="7">
        <v>48011</v>
      </c>
      <c r="D9" s="11" t="str">
        <f ca="1">VLOOKUP($C9,OFFSET([2]quests!$A$1,0,0,COUNTA([2]quests!$A:$A),MATCH(D$1,[2]quests!$1:$1,0)-MATCH($C$1,[2]quests!$1:$1,0)+1),MATCH(D$1,[2]quests!$1:$1,0)-MATCH($C$1,[2]quests!$1:$1,0)+1,FALSE)</f>
        <v>年獣襲来！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台湾版降臨11</v>
      </c>
      <c r="F9" s="21">
        <v>2</v>
      </c>
      <c r="G9" s="23" t="str">
        <f t="shared" si="1"/>
        <v>48011_2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【ウィザード級】年獣襲来</v>
      </c>
      <c r="I9" s="21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48011_2-4</v>
      </c>
      <c r="B10" s="16" t="str">
        <f>IF(COUNTIF(enemy_habitats!$H:$H,A10),"OK","NG")</f>
        <v>OK</v>
      </c>
      <c r="C10" s="7">
        <v>48011</v>
      </c>
      <c r="D10" s="11" t="str">
        <f ca="1">VLOOKUP($C10,OFFSET([2]quests!$A$1,0,0,COUNTA([2]quests!$A:$A),MATCH(D$1,[2]quests!$1:$1,0)-MATCH($C$1,[2]quests!$1:$1,0)+1),MATCH(D$1,[2]quests!$1:$1,0)-MATCH($C$1,[2]quests!$1:$1,0)+1,FALSE)</f>
        <v>年獣襲来！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台湾版降臨11</v>
      </c>
      <c r="F10" s="21">
        <v>2</v>
      </c>
      <c r="G10" s="23" t="str">
        <f t="shared" si="1"/>
        <v>48011_2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【ウィザード級】年獣襲来</v>
      </c>
      <c r="I10" s="21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48011_2-5</v>
      </c>
      <c r="B11" s="16" t="str">
        <f>IF(COUNTIF(enemy_habitats!$H:$H,A11),"OK","NG")</f>
        <v>OK</v>
      </c>
      <c r="C11" s="7">
        <v>48011</v>
      </c>
      <c r="D11" s="11" t="str">
        <f ca="1">VLOOKUP($C11,OFFSET([2]quests!$A$1,0,0,COUNTA([2]quests!$A:$A),MATCH(D$1,[2]quests!$1:$1,0)-MATCH($C$1,[2]quests!$1:$1,0)+1),MATCH(D$1,[2]quests!$1:$1,0)-MATCH($C$1,[2]quests!$1:$1,0)+1,FALSE)</f>
        <v>年獣襲来！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台湾版降臨11</v>
      </c>
      <c r="F11" s="21">
        <v>2</v>
      </c>
      <c r="G11" s="23" t="str">
        <f t="shared" si="1"/>
        <v>48011_2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【ウィザード級】年獣襲来</v>
      </c>
      <c r="I11" s="109">
        <v>5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tabSelected="1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2" sqref="L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2.832031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2.16406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5" style="3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249</v>
      </c>
      <c r="U1" s="26" t="s">
        <v>50</v>
      </c>
      <c r="V1" s="100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48011_1-1/837&lt;lv68&gt;s1</v>
      </c>
      <c r="B2" s="117">
        <v>48011</v>
      </c>
      <c r="C2" s="21">
        <v>1</v>
      </c>
      <c r="D2" s="2" t="str">
        <f>B2&amp;"_"&amp;C2</f>
        <v>48011_1</v>
      </c>
      <c r="E2" s="4" t="str">
        <f ca="1">VLOOKUP($B2,OFFSET([2]quests!$A$1,0,0,COUNTA([2]quests!$A:$A),MATCH(E$1,[2]quests!$1:$1,0)-MATCH($B$1,[2]quests!$1:$1,0)+1),MATCH(E$1,[2]quests!$1:$1,0)-MATCH($B$1,[2]quests!$1:$1,0)+1,FALSE)</f>
        <v>年獣襲来！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【超絶級】年獣襲来</v>
      </c>
      <c r="G2" s="21">
        <v>1</v>
      </c>
      <c r="H2" s="15" t="str">
        <f>B2&amp;"_"&amp;C2&amp;"-"&amp;G2</f>
        <v>48011_1-1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837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リトルハンプティ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68</v>
      </c>
      <c r="S2" s="120">
        <v>25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289475</v>
      </c>
      <c r="U2" s="120">
        <v>1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383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あけましておめでとう！_x000D_【お年玉が現れた！】</v>
      </c>
      <c r="Y2" s="150">
        <v>48011001</v>
      </c>
      <c r="Z2" s="6">
        <v>1</v>
      </c>
      <c r="AA2" s="6">
        <v>100</v>
      </c>
      <c r="AB2" s="6">
        <v>1</v>
      </c>
      <c r="AC2" s="141">
        <v>1</v>
      </c>
      <c r="AD2" s="24">
        <f>L2</f>
        <v>837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リトルハンプティ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" s="7">
        <v>1</v>
      </c>
      <c r="AI2" s="24">
        <f ca="1">AF2</f>
        <v>6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ref="A3:A15" si="0">B3&amp;"_"&amp;C3&amp;"-"&amp;G3&amp;"/"&amp;L3&amp;"&lt;lv"&amp;R3&amp;"&gt;s"&amp;AC3</f>
        <v>48011_1-2/83&lt;lv67&gt;s2</v>
      </c>
      <c r="B3" s="117">
        <v>48011</v>
      </c>
      <c r="C3" s="21">
        <v>1</v>
      </c>
      <c r="D3" s="2" t="str">
        <f t="shared" ref="D3:D15" si="1">B3&amp;"_"&amp;C3</f>
        <v>48011_1</v>
      </c>
      <c r="E3" s="4" t="str">
        <f ca="1">VLOOKUP($B3,OFFSET([2]quests!$A$1,0,0,COUNTA([2]quests!$A:$A),MATCH(E$1,[2]quests!$1:$1,0)-MATCH($B$1,[2]quests!$1:$1,0)+1),MATCH(E$1,[2]quests!$1:$1,0)-MATCH($B$1,[2]quests!$1:$1,0)+1,FALSE)</f>
        <v>年獣襲来！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【超絶級】年獣襲来</v>
      </c>
      <c r="G3" s="21">
        <v>2</v>
      </c>
      <c r="H3" s="15" t="str">
        <f t="shared" ref="H3:H15" si="2">B3&amp;"_"&amp;C3&amp;"-"&amp;G3</f>
        <v>48011_1-2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 t="s">
        <v>253</v>
      </c>
      <c r="L3" s="20">
        <v>83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拡散性ニムダ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67</v>
      </c>
      <c r="S3" s="25">
        <v>0.6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35444.400000000001</v>
      </c>
      <c r="U3" s="25">
        <v>0.7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3535.7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3" s="150">
        <v>48011004</v>
      </c>
      <c r="Z3" s="6">
        <v>1</v>
      </c>
      <c r="AA3" s="6">
        <v>100</v>
      </c>
      <c r="AB3" s="6">
        <v>0</v>
      </c>
      <c r="AC3" s="141">
        <v>2</v>
      </c>
      <c r="AD3" s="24">
        <f t="shared" ref="AD3:AD15" si="3">L3</f>
        <v>83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3" s="7">
        <v>1</v>
      </c>
      <c r="AI3" s="24">
        <f t="shared" ref="AI3:AI15" ca="1" si="4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ref="A4" si="5">B4&amp;"_"&amp;C4&amp;"-"&amp;G4&amp;"/"&amp;L4&amp;"&lt;lv"&amp;R4&amp;"&gt;s"&amp;AC4</f>
        <v>48011_1-2/83&lt;lv68&gt;s2</v>
      </c>
      <c r="B4" s="117">
        <v>48011</v>
      </c>
      <c r="C4" s="21">
        <v>1</v>
      </c>
      <c r="D4" s="2" t="str">
        <f t="shared" ref="D4" si="6">B4&amp;"_"&amp;C4</f>
        <v>48011_1</v>
      </c>
      <c r="E4" s="4" t="str">
        <f ca="1">VLOOKUP($B4,OFFSET([2]quests!$A$1,0,0,COUNTA([2]quests!$A:$A),MATCH(E$1,[2]quests!$1:$1,0)-MATCH($B$1,[2]quests!$1:$1,0)+1),MATCH(E$1,[2]quests!$1:$1,0)-MATCH($B$1,[2]quests!$1:$1,0)+1,FALSE)</f>
        <v>年獣襲来！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【超絶級】年獣襲来</v>
      </c>
      <c r="G4" s="21">
        <v>2</v>
      </c>
      <c r="H4" s="15" t="str">
        <f t="shared" ref="H4" si="7">B4&amp;"_"&amp;C4&amp;"-"&amp;G4</f>
        <v>48011_1-2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 t="s">
        <v>253</v>
      </c>
      <c r="L4" s="20">
        <v>83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拡散性ニムダ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68</v>
      </c>
      <c r="S4" s="25">
        <v>0.6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35962.199999999997</v>
      </c>
      <c r="U4" s="25">
        <v>0.7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3587.4999999999995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4" s="150">
        <v>48011003</v>
      </c>
      <c r="Z4" s="6">
        <v>1</v>
      </c>
      <c r="AA4" s="6">
        <v>100</v>
      </c>
      <c r="AB4" s="6">
        <v>0</v>
      </c>
      <c r="AC4" s="141">
        <v>2</v>
      </c>
      <c r="AD4" s="24">
        <f t="shared" ref="AD4" si="8">L4</f>
        <v>83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4" s="7">
        <v>1</v>
      </c>
      <c r="AI4" s="24">
        <f t="shared" ref="AI4" ca="1" si="9">AF4</f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48011_1-3/270&lt;lv68&gt;s2</v>
      </c>
      <c r="B5" s="117">
        <v>48011</v>
      </c>
      <c r="C5" s="21">
        <v>1</v>
      </c>
      <c r="D5" s="2" t="str">
        <f t="shared" si="1"/>
        <v>48011_1</v>
      </c>
      <c r="E5" s="4" t="str">
        <f ca="1">VLOOKUP($B5,OFFSET([2]quests!$A$1,0,0,COUNTA([2]quests!$A:$A),MATCH(E$1,[2]quests!$1:$1,0)-MATCH($B$1,[2]quests!$1:$1,0)+1),MATCH(E$1,[2]quests!$1:$1,0)-MATCH($B$1,[2]quests!$1:$1,0)+1,FALSE)</f>
        <v>年獣襲来！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【超絶級】年獣襲来</v>
      </c>
      <c r="G5" s="21">
        <v>3</v>
      </c>
      <c r="H5" s="15" t="str">
        <f t="shared" si="2"/>
        <v>48011_1-3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253</v>
      </c>
      <c r="L5" s="20">
        <v>270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風爪のミリー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68</v>
      </c>
      <c r="S5" s="25">
        <v>2.8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242558.4</v>
      </c>
      <c r="U5" s="25">
        <v>1.2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10912.8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2ターンウィルス</v>
      </c>
      <c r="Y5" s="150">
        <v>48011005</v>
      </c>
      <c r="Z5" s="6">
        <v>1</v>
      </c>
      <c r="AA5" s="6">
        <v>100</v>
      </c>
      <c r="AB5" s="6">
        <v>1</v>
      </c>
      <c r="AC5" s="141">
        <v>2</v>
      </c>
      <c r="AD5" s="24">
        <f t="shared" si="3"/>
        <v>270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風爪のミリー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48011_1-3/43&lt;lv68&gt;s2</v>
      </c>
      <c r="B6" s="117">
        <v>48011</v>
      </c>
      <c r="C6" s="21">
        <v>1</v>
      </c>
      <c r="D6" s="2" t="str">
        <f t="shared" si="1"/>
        <v>48011_1</v>
      </c>
      <c r="E6" s="4" t="str">
        <f ca="1">VLOOKUP($B6,OFFSET([2]quests!$A$1,0,0,COUNTA([2]quests!$A:$A),MATCH(E$1,[2]quests!$1:$1,0)-MATCH($B$1,[2]quests!$1:$1,0)+1),MATCH(E$1,[2]quests!$1:$1,0)-MATCH($B$1,[2]quests!$1:$1,0)+1,FALSE)</f>
        <v>年獣襲来！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【超絶級】年獣襲来</v>
      </c>
      <c r="G6" s="21">
        <v>3</v>
      </c>
      <c r="H6" s="15" t="str">
        <f t="shared" si="2"/>
        <v>48011_1-3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253</v>
      </c>
      <c r="L6" s="20">
        <v>43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ムゥ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68</v>
      </c>
      <c r="S6" s="25">
        <v>3.7</v>
      </c>
      <c r="T6" s="10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54293.8</v>
      </c>
      <c r="U6" s="25">
        <v>1.1000000000000001</v>
      </c>
      <c r="V6" s="10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4450.6000000000004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 xml:space="preserve">黄パネルを吸収して攻撃(最大5個) </v>
      </c>
      <c r="Y6" s="150">
        <v>48011006</v>
      </c>
      <c r="Z6" s="6">
        <v>2</v>
      </c>
      <c r="AA6" s="6">
        <v>100</v>
      </c>
      <c r="AB6" s="6">
        <v>0</v>
      </c>
      <c r="AC6" s="141">
        <v>2</v>
      </c>
      <c r="AD6" s="24">
        <f t="shared" si="3"/>
        <v>43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ムゥ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4">
        <f t="shared" ca="1" si="4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48011_1-4/505&lt;lv68&gt;s2</v>
      </c>
      <c r="B7" s="117">
        <v>48011</v>
      </c>
      <c r="C7" s="21">
        <v>1</v>
      </c>
      <c r="D7" s="2" t="str">
        <f t="shared" si="1"/>
        <v>48011_1</v>
      </c>
      <c r="E7" s="4" t="str">
        <f ca="1">VLOOKUP($B7,OFFSET([2]quests!$A$1,0,0,COUNTA([2]quests!$A:$A),MATCH(E$1,[2]quests!$1:$1,0)-MATCH($B$1,[2]quests!$1:$1,0)+1),MATCH(E$1,[2]quests!$1:$1,0)-MATCH($B$1,[2]quests!$1:$1,0)+1,FALSE)</f>
        <v>年獣襲来！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【超絶級】年獣襲来</v>
      </c>
      <c r="G7" s="21">
        <v>4</v>
      </c>
      <c r="H7" s="15" t="str">
        <f t="shared" si="2"/>
        <v>48011_1-4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253</v>
      </c>
      <c r="L7" s="20">
        <v>505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暴虐の漏洩 ハイディン・オーガ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68</v>
      </c>
      <c r="S7" s="25">
        <v>3.3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397692.89999999997</v>
      </c>
      <c r="U7" s="25">
        <v>0.9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9792.9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5ターンハートパネルはプロテクトされてドロップ</v>
      </c>
      <c r="Y7" s="150">
        <v>48011007</v>
      </c>
      <c r="Z7" s="6">
        <v>1</v>
      </c>
      <c r="AA7" s="6">
        <v>100</v>
      </c>
      <c r="AB7" s="6">
        <v>1</v>
      </c>
      <c r="AC7" s="141">
        <v>2</v>
      </c>
      <c r="AD7" s="24">
        <f t="shared" si="3"/>
        <v>505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暴虐の漏洩 ハイディン・オーガ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thickBot="1" x14ac:dyDescent="0.2">
      <c r="A8" s="110" t="str">
        <f t="shared" si="0"/>
        <v>48011_1-5/8089&lt;lv70&gt;s1</v>
      </c>
      <c r="B8" s="126">
        <v>48011</v>
      </c>
      <c r="C8" s="113">
        <v>1</v>
      </c>
      <c r="D8" s="115" t="str">
        <f t="shared" si="1"/>
        <v>48011_1</v>
      </c>
      <c r="E8" s="127" t="str">
        <f ca="1">VLOOKUP($B8,OFFSET([2]quests!$A$1,0,0,COUNTA([2]quests!$A:$A),MATCH(E$1,[2]quests!$1:$1,0)-MATCH($B$1,[2]quests!$1:$1,0)+1),MATCH(E$1,[2]quests!$1:$1,0)-MATCH($B$1,[2]quests!$1:$1,0)+1,FALSE)</f>
        <v>年獣襲来！</v>
      </c>
      <c r="F8" s="127" t="str">
        <f ca="1">VLOOKUP($D8,OFFSET([2]stages!$A$1,0,0,COUNTA([2]stages!$A:$A),MATCH(F$1,[2]stages!$2:$2,0)-MATCH($D$1,[2]stages!$2:$2,0)+1),MATCH(F$1,[2]stages!$2:$2,0)-MATCH($D$1,[2]stages!$2:$2,0)+1,FALSE)</f>
        <v>【超絶級】年獣襲来</v>
      </c>
      <c r="G8" s="113">
        <v>5</v>
      </c>
      <c r="H8" s="115" t="str">
        <f t="shared" si="2"/>
        <v>48011_1-5</v>
      </c>
      <c r="I8" s="127">
        <f ca="1">VLOOKUP($H8,OFFSET(floors!$A$1,0,0,COUNTA(floors!$A:$A),MATCH(I$1,floors!$1:$1,0)-MATCH($H$1,floors!$1:$1,0)+1),MATCH(I$1,floors!$1:$1,0)-MATCH($H$1,floors!$1:$1,0)+1,FALSE)</f>
        <v>60</v>
      </c>
      <c r="J8" s="127">
        <f ca="1">VLOOKUP($H8,OFFSET(floors!$A$1,0,0,COUNTA(floors!$A:$A),MATCH(J$1,floors!$1:$1,0)-MATCH($H$1,floors!$1:$1,0)+1),MATCH(J$1,floors!$1:$1,0)-MATCH($H$1,floors!$1:$1,0)+1,FALSE)</f>
        <v>60</v>
      </c>
      <c r="K8" s="135">
        <v>2</v>
      </c>
      <c r="L8" s="137">
        <v>8089</v>
      </c>
      <c r="M8" s="128" t="str">
        <f ca="1">VLOOKUP($L8,OFFSET([3]enemies!$A$1,0,0,COUNTA([3]enemies!$A:$A),MATCH(M$1,[3]enemies!$1:$1,0)-MATCH($L$1,[3]enemies!$1:$1,0)+1),MATCH(M$1,[3]enemies!$1:$1,0)-MATCH($L$1,[3]enemies!$1:$1,0)+1,FALSE)</f>
        <v>年獣</v>
      </c>
      <c r="N8" s="128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28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28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28">
        <f ca="1">VLOOKUP($L8,OFFSET([3]enemies!$A$1,0,0,COUNTA([3]enemies!$A:$A),MATCH(Q$1,[3]enemies!$1:$1,0)-MATCH($L$1,[3]enemies!$1:$1,0)+1),MATCH(Q$1,[3]enemies!$1:$1,0)-MATCH($L$1,[3]enemies!$1:$1,0)+1,FALSE)</f>
        <v>60</v>
      </c>
      <c r="R8" s="129">
        <v>70</v>
      </c>
      <c r="S8" s="235">
        <v>4.7</v>
      </c>
      <c r="T8" s="130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165">
        <v>1.1000000000000001</v>
      </c>
      <c r="V8" s="13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129">
        <v>999999</v>
      </c>
      <c r="X8" s="149" t="str">
        <f ca="1">VLOOKUP($Y8,OFFSET(enemy_skill_sets!$B$1,0,0,COUNTA(enemy_skill_sets!$B:$B),MATCH(M$1,enemy_skill_sets!$1:$1,0)-MATCH($Y$1,enemy_skill_sets!$1:$1,0)+2),MATCH(M$1,enemy_skill_sets!$1:$1,0)-MATCH($Y$1,enemy_skill_sets!$1:$1,0)+2,FALSE)</f>
        <v>年獣は眠っている…_x000D_【1ターン自身の防御力DOWN】</v>
      </c>
      <c r="Y8" s="166">
        <v>48011008</v>
      </c>
      <c r="Z8" s="131">
        <v>1</v>
      </c>
      <c r="AA8" s="131">
        <v>100</v>
      </c>
      <c r="AB8" s="131">
        <v>1</v>
      </c>
      <c r="AC8" s="142">
        <v>1</v>
      </c>
      <c r="AD8" s="132">
        <f t="shared" si="3"/>
        <v>8089</v>
      </c>
      <c r="AE8" s="127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年獣</v>
      </c>
      <c r="AF8" s="127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127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111">
        <v>1</v>
      </c>
      <c r="AI8" s="132">
        <f t="shared" ca="1" si="4"/>
        <v>5</v>
      </c>
      <c r="AJ8" s="133">
        <v>15</v>
      </c>
      <c r="AK8" s="111">
        <v>0</v>
      </c>
      <c r="AL8" s="111">
        <v>0</v>
      </c>
      <c r="AM8" s="111">
        <v>0</v>
      </c>
      <c r="AN8" s="111">
        <v>0</v>
      </c>
      <c r="AO8" s="111">
        <v>1</v>
      </c>
      <c r="AP8" s="134">
        <v>1</v>
      </c>
    </row>
    <row r="9" spans="1:42" ht="21" customHeight="1" thickTop="1" x14ac:dyDescent="0.15">
      <c r="A9" s="16" t="str">
        <f t="shared" si="0"/>
        <v>48011_2-1/837&lt;lv80&gt;s1</v>
      </c>
      <c r="B9" s="118">
        <v>48011</v>
      </c>
      <c r="C9" s="105">
        <v>2</v>
      </c>
      <c r="D9" s="107" t="str">
        <f t="shared" si="1"/>
        <v>48011_2</v>
      </c>
      <c r="E9" s="4" t="str">
        <f ca="1">VLOOKUP($B9,OFFSET([2]quests!$A$1,0,0,COUNTA([2]quests!$A:$A),MATCH(E$1,[2]quests!$1:$1,0)-MATCH($B$1,[2]quests!$1:$1,0)+1),MATCH(E$1,[2]quests!$1:$1,0)-MATCH($B$1,[2]quests!$1:$1,0)+1,FALSE)</f>
        <v>年獣襲来！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【ウィザード級】年獣襲来</v>
      </c>
      <c r="G9" s="105">
        <v>1</v>
      </c>
      <c r="H9" s="107" t="str">
        <f t="shared" si="2"/>
        <v>48011_2-1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108">
        <v>3</v>
      </c>
      <c r="L9" s="20">
        <v>837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リトルハンプティ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119">
        <v>80</v>
      </c>
      <c r="S9" s="120">
        <v>25</v>
      </c>
      <c r="T9" s="12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339450</v>
      </c>
      <c r="U9" s="120">
        <v>1</v>
      </c>
      <c r="V9" s="12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449</v>
      </c>
      <c r="W9" s="119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あけましておめでとう！_x000D_【お年玉が現れた！】</v>
      </c>
      <c r="Y9" s="150">
        <v>48011001</v>
      </c>
      <c r="Z9" s="122">
        <v>1</v>
      </c>
      <c r="AA9" s="122">
        <v>100</v>
      </c>
      <c r="AB9" s="6">
        <v>1</v>
      </c>
      <c r="AC9" s="141">
        <v>1</v>
      </c>
      <c r="AD9" s="123">
        <f t="shared" si="3"/>
        <v>837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リトルハンプティ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6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9" s="103">
        <v>1</v>
      </c>
      <c r="AI9" s="123">
        <f t="shared" ca="1" si="4"/>
        <v>6</v>
      </c>
      <c r="AJ9" s="124">
        <v>0</v>
      </c>
      <c r="AK9" s="103">
        <v>0</v>
      </c>
      <c r="AL9" s="103">
        <v>0</v>
      </c>
      <c r="AM9" s="103">
        <v>0</v>
      </c>
      <c r="AN9" s="103">
        <v>0</v>
      </c>
      <c r="AO9" s="103">
        <v>1</v>
      </c>
      <c r="AP9" s="125">
        <v>1</v>
      </c>
    </row>
    <row r="10" spans="1:42" ht="21" customHeight="1" x14ac:dyDescent="0.15">
      <c r="A10" s="16" t="str">
        <f t="shared" si="0"/>
        <v>48011_2-2/83&lt;lv79&gt;s2</v>
      </c>
      <c r="B10" s="117">
        <v>48011</v>
      </c>
      <c r="C10" s="21">
        <v>2</v>
      </c>
      <c r="D10" s="2" t="str">
        <f t="shared" si="1"/>
        <v>48011_2</v>
      </c>
      <c r="E10" s="4" t="str">
        <f ca="1">VLOOKUP($B10,OFFSET([2]quests!$A$1,0,0,COUNTA([2]quests!$A:$A),MATCH(E$1,[2]quests!$1:$1,0)-MATCH($B$1,[2]quests!$1:$1,0)+1),MATCH(E$1,[2]quests!$1:$1,0)-MATCH($B$1,[2]quests!$1:$1,0)+1,FALSE)</f>
        <v>年獣襲来！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【ウィザード級】年獣襲来</v>
      </c>
      <c r="G10" s="21">
        <v>2</v>
      </c>
      <c r="H10" s="15" t="str">
        <f t="shared" si="2"/>
        <v>48011_2-2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 t="s">
        <v>253</v>
      </c>
      <c r="L10" s="20">
        <v>83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拡散性ニムダ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79</v>
      </c>
      <c r="S10" s="25">
        <v>0.6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41653.799999999996</v>
      </c>
      <c r="U10" s="25">
        <v>0.7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4155.2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10" s="150">
        <v>48011004</v>
      </c>
      <c r="Z10" s="6">
        <v>1</v>
      </c>
      <c r="AA10" s="6">
        <v>100</v>
      </c>
      <c r="AB10" s="6">
        <v>0</v>
      </c>
      <c r="AC10" s="141">
        <v>2</v>
      </c>
      <c r="AD10" s="24">
        <f t="shared" si="3"/>
        <v>83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0" s="7">
        <v>1</v>
      </c>
      <c r="AI10" s="24">
        <f t="shared" ca="1" si="4"/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 t="shared" ref="A11" si="10">B11&amp;"_"&amp;C11&amp;"-"&amp;G11&amp;"/"&amp;L11&amp;"&lt;lv"&amp;R11&amp;"&gt;s"&amp;AC11</f>
        <v>48011_2-2/83&lt;lv80&gt;s2</v>
      </c>
      <c r="B11" s="117">
        <v>48011</v>
      </c>
      <c r="C11" s="21">
        <v>2</v>
      </c>
      <c r="D11" s="2" t="str">
        <f t="shared" ref="D11" si="11">B11&amp;"_"&amp;C11</f>
        <v>48011_2</v>
      </c>
      <c r="E11" s="4" t="str">
        <f ca="1">VLOOKUP($B11,OFFSET([2]quests!$A$1,0,0,COUNTA([2]quests!$A:$A),MATCH(E$1,[2]quests!$1:$1,0)-MATCH($B$1,[2]quests!$1:$1,0)+1),MATCH(E$1,[2]quests!$1:$1,0)-MATCH($B$1,[2]quests!$1:$1,0)+1,FALSE)</f>
        <v>年獣襲来！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【ウィザード級】年獣襲来</v>
      </c>
      <c r="G11" s="21">
        <v>2</v>
      </c>
      <c r="H11" s="15" t="str">
        <f t="shared" ref="H11" si="12">B11&amp;"_"&amp;C11&amp;"-"&amp;G11</f>
        <v>48011_2-2</v>
      </c>
      <c r="I11" s="4">
        <f ca="1">VLOOKUP($H11,OFFSET(floors!$A$1,0,0,COUNTA(floors!$A:$A),MATCH(I$1,floors!$1:$1,0)-MATCH($H$1,floors!$1:$1,0)+1),MATCH(I$1,floors!$1:$1,0)-MATCH($H$1,floors!$1:$1,0)+1,FALSE)</f>
        <v>40</v>
      </c>
      <c r="J11" s="4">
        <f ca="1">VLOOKUP($H11,OFFSET(floors!$A$1,0,0,COUNTA(floors!$A:$A),MATCH(J$1,floors!$1:$1,0)-MATCH($H$1,floors!$1:$1,0)+1),MATCH(J$1,floors!$1:$1,0)-MATCH($H$1,floors!$1:$1,0)+1,FALSE)</f>
        <v>40</v>
      </c>
      <c r="K11" s="38" t="s">
        <v>253</v>
      </c>
      <c r="L11" s="20">
        <v>83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拡散性ニムダ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80</v>
      </c>
      <c r="S11" s="25">
        <v>0.6</v>
      </c>
      <c r="T11" s="10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42171.6</v>
      </c>
      <c r="U11" s="25">
        <v>0.7</v>
      </c>
      <c r="V11" s="10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4207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11" s="150">
        <v>48011003</v>
      </c>
      <c r="Z11" s="6">
        <v>1</v>
      </c>
      <c r="AA11" s="6">
        <v>100</v>
      </c>
      <c r="AB11" s="6">
        <v>0</v>
      </c>
      <c r="AC11" s="141">
        <v>2</v>
      </c>
      <c r="AD11" s="24">
        <f t="shared" ref="AD11" si="13">L11</f>
        <v>83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1" s="7">
        <v>1</v>
      </c>
      <c r="AI11" s="24">
        <f t="shared" ref="AI11" ca="1" si="14">AF11</f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  <row r="12" spans="1:42" ht="21" customHeight="1" x14ac:dyDescent="0.15">
      <c r="A12" s="16" t="str">
        <f t="shared" si="0"/>
        <v>48011_2-3/270&lt;lv80&gt;s2</v>
      </c>
      <c r="B12" s="117">
        <v>48011</v>
      </c>
      <c r="C12" s="21">
        <v>2</v>
      </c>
      <c r="D12" s="2" t="str">
        <f t="shared" si="1"/>
        <v>48011_2</v>
      </c>
      <c r="E12" s="4" t="str">
        <f ca="1">VLOOKUP($B12,OFFSET([2]quests!$A$1,0,0,COUNTA([2]quests!$A:$A),MATCH(E$1,[2]quests!$1:$1,0)-MATCH($B$1,[2]quests!$1:$1,0)+1),MATCH(E$1,[2]quests!$1:$1,0)-MATCH($B$1,[2]quests!$1:$1,0)+1,FALSE)</f>
        <v>年獣襲来！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【ウィザード級】年獣襲来</v>
      </c>
      <c r="G12" s="21">
        <v>3</v>
      </c>
      <c r="H12" s="15" t="str">
        <f t="shared" si="2"/>
        <v>48011_2-3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253</v>
      </c>
      <c r="L12" s="20">
        <v>270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風爪のミリー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80</v>
      </c>
      <c r="S12" s="25">
        <v>2.8</v>
      </c>
      <c r="T12" s="101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284438</v>
      </c>
      <c r="U12" s="25">
        <v>1.2</v>
      </c>
      <c r="V12" s="101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12796.8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2ターンウィルス</v>
      </c>
      <c r="Y12" s="150">
        <v>48011005</v>
      </c>
      <c r="Z12" s="6">
        <v>1</v>
      </c>
      <c r="AA12" s="6">
        <v>100</v>
      </c>
      <c r="AB12" s="6">
        <v>1</v>
      </c>
      <c r="AC12" s="141">
        <v>2</v>
      </c>
      <c r="AD12" s="24">
        <f t="shared" si="3"/>
        <v>270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風爪のミリー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7">
        <v>1</v>
      </c>
      <c r="AI12" s="24">
        <f t="shared" ca="1" si="4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x14ac:dyDescent="0.15">
      <c r="A13" s="16" t="str">
        <f t="shared" si="0"/>
        <v>48011_2-3/43&lt;lv80&gt;s2</v>
      </c>
      <c r="B13" s="117">
        <v>48011</v>
      </c>
      <c r="C13" s="21">
        <v>2</v>
      </c>
      <c r="D13" s="2" t="str">
        <f t="shared" si="1"/>
        <v>48011_2</v>
      </c>
      <c r="E13" s="4" t="str">
        <f ca="1">VLOOKUP($B13,OFFSET([2]quests!$A$1,0,0,COUNTA([2]quests!$A:$A),MATCH(E$1,[2]quests!$1:$1,0)-MATCH($B$1,[2]quests!$1:$1,0)+1),MATCH(E$1,[2]quests!$1:$1,0)-MATCH($B$1,[2]quests!$1:$1,0)+1,FALSE)</f>
        <v>年獣襲来！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【ウィザード級】年獣襲来</v>
      </c>
      <c r="G13" s="21">
        <v>3</v>
      </c>
      <c r="H13" s="15" t="str">
        <f t="shared" si="2"/>
        <v>48011_2-3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253</v>
      </c>
      <c r="L13" s="20">
        <v>43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ムゥ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80</v>
      </c>
      <c r="S13" s="25">
        <v>3.7</v>
      </c>
      <c r="T13" s="10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63669.600000000006</v>
      </c>
      <c r="U13" s="25">
        <v>1.1000000000000001</v>
      </c>
      <c r="V13" s="10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5218.4000000000005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 xml:space="preserve">黄パネルを吸収して攻撃(最大5個) </v>
      </c>
      <c r="Y13" s="150">
        <v>48011006</v>
      </c>
      <c r="Z13" s="6">
        <v>2</v>
      </c>
      <c r="AA13" s="6">
        <v>100</v>
      </c>
      <c r="AB13" s="6">
        <v>0</v>
      </c>
      <c r="AC13" s="141">
        <v>2</v>
      </c>
      <c r="AD13" s="24">
        <f t="shared" si="3"/>
        <v>43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ムゥ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4">
        <f t="shared" ca="1" si="4"/>
        <v>2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  <row r="14" spans="1:42" ht="21" customHeight="1" x14ac:dyDescent="0.15">
      <c r="A14" s="16" t="str">
        <f t="shared" si="0"/>
        <v>48011_2-4/505&lt;lv80&gt;s2</v>
      </c>
      <c r="B14" s="117">
        <v>48011</v>
      </c>
      <c r="C14" s="21">
        <v>2</v>
      </c>
      <c r="D14" s="2" t="str">
        <f t="shared" si="1"/>
        <v>48011_2</v>
      </c>
      <c r="E14" s="4" t="str">
        <f ca="1">VLOOKUP($B14,OFFSET([2]quests!$A$1,0,0,COUNTA([2]quests!$A:$A),MATCH(E$1,[2]quests!$1:$1,0)-MATCH($B$1,[2]quests!$1:$1,0)+1),MATCH(E$1,[2]quests!$1:$1,0)-MATCH($B$1,[2]quests!$1:$1,0)+1,FALSE)</f>
        <v>年獣襲来！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【ウィザード級】年獣襲来</v>
      </c>
      <c r="G14" s="21">
        <v>4</v>
      </c>
      <c r="H14" s="15" t="str">
        <f t="shared" si="2"/>
        <v>48011_2-4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253</v>
      </c>
      <c r="L14" s="20">
        <v>505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暴虐の漏洩 ハイディン・オーガ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60</v>
      </c>
      <c r="R14" s="5">
        <v>80</v>
      </c>
      <c r="S14" s="25">
        <v>3.3</v>
      </c>
      <c r="T14" s="101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466359.3</v>
      </c>
      <c r="U14" s="25">
        <v>0.9</v>
      </c>
      <c r="V14" s="101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11484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5ターンハートパネルはプロテクトされてドロップ</v>
      </c>
      <c r="Y14" s="150">
        <v>48011007</v>
      </c>
      <c r="Z14" s="6">
        <v>1</v>
      </c>
      <c r="AA14" s="6">
        <v>100</v>
      </c>
      <c r="AB14" s="140">
        <v>1</v>
      </c>
      <c r="AC14" s="143">
        <v>2</v>
      </c>
      <c r="AD14" s="24">
        <f t="shared" si="3"/>
        <v>505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暴虐の漏洩 ハイディン・オーガ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5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Drop2N</v>
      </c>
      <c r="AH14" s="7">
        <v>1</v>
      </c>
      <c r="AI14" s="24">
        <f t="shared" ca="1" si="4"/>
        <v>5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8">
        <v>1</v>
      </c>
    </row>
    <row r="15" spans="1:42" ht="21" customHeight="1" x14ac:dyDescent="0.15">
      <c r="A15" s="16" t="str">
        <f t="shared" si="0"/>
        <v>48011_2-5/8089&lt;lv80&gt;s1</v>
      </c>
      <c r="B15" s="117">
        <v>48011</v>
      </c>
      <c r="C15" s="21">
        <v>2</v>
      </c>
      <c r="D15" s="2" t="str">
        <f t="shared" si="1"/>
        <v>48011_2</v>
      </c>
      <c r="E15" s="4" t="str">
        <f ca="1">VLOOKUP($B15,OFFSET([2]quests!$A$1,0,0,COUNTA([2]quests!$A:$A),MATCH(E$1,[2]quests!$1:$1,0)-MATCH($B$1,[2]quests!$1:$1,0)+1),MATCH(E$1,[2]quests!$1:$1,0)-MATCH($B$1,[2]quests!$1:$1,0)+1,FALSE)</f>
        <v>年獣襲来！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【ウィザード級】年獣襲来</v>
      </c>
      <c r="G15" s="21">
        <v>5</v>
      </c>
      <c r="H15" s="15" t="str">
        <f t="shared" si="2"/>
        <v>48011_2-5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4</v>
      </c>
      <c r="L15" s="138">
        <v>8089</v>
      </c>
      <c r="M15" s="136" t="str">
        <f ca="1">VLOOKUP($L15,OFFSET([3]enemies!$A$1,0,0,COUNTA([3]enemies!$A:$A),MATCH(M$1,[3]enemies!$1:$1,0)-MATCH($L$1,[3]enemies!$1:$1,0)+1),MATCH(M$1,[3]enemies!$1:$1,0)-MATCH($L$1,[3]enemies!$1:$1,0)+1,FALSE)</f>
        <v>年獣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80</v>
      </c>
      <c r="S15" s="25">
        <v>4.9000000000000004</v>
      </c>
      <c r="T15" s="101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0</v>
      </c>
      <c r="U15" s="25">
        <v>1.1000000000000001</v>
      </c>
      <c r="V15" s="101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0</v>
      </c>
      <c r="W15" s="5">
        <v>999999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年獣は眠っている…_x000D_【1ターン自身の防御力DOWN】</v>
      </c>
      <c r="Y15" s="150">
        <v>48011008</v>
      </c>
      <c r="Z15" s="6">
        <v>1</v>
      </c>
      <c r="AA15" s="139">
        <v>100</v>
      </c>
      <c r="AB15" s="68">
        <v>1</v>
      </c>
      <c r="AC15" s="144">
        <v>1</v>
      </c>
      <c r="AD15" s="24">
        <f t="shared" si="3"/>
        <v>8089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年獣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7">
        <v>1</v>
      </c>
      <c r="AI15" s="24">
        <f t="shared" ca="1" si="4"/>
        <v>5</v>
      </c>
      <c r="AJ15" s="8">
        <v>30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2" sqref="M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249</v>
      </c>
      <c r="V1" s="26" t="s">
        <v>50</v>
      </c>
      <c r="W1" s="100" t="s">
        <v>250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48011_1-1/8089&lt;lv68&gt;sq1st2</v>
      </c>
      <c r="B2" s="22">
        <v>48011</v>
      </c>
      <c r="C2" s="21">
        <v>1</v>
      </c>
      <c r="D2" s="2" t="str">
        <f>B2&amp;"_"&amp;C2</f>
        <v>48011_1</v>
      </c>
      <c r="E2" s="4" t="str">
        <f ca="1">VLOOKUP($B2,OFFSET([2]quests!$A$1,0,0,COUNTA([2]quests!$A:$A),MATCH(E$1,[2]quests!$1:$1,0)-MATCH($B$1,[2]quests!$1:$1,0)+1),MATCH(E$1,[2]quests!$1:$1,0)-MATCH($B$1,[2]quests!$1:$1,0)+1,FALSE)</f>
        <v>年獣襲来！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【超絶級】年獣襲来</v>
      </c>
      <c r="G2" s="21">
        <v>1</v>
      </c>
      <c r="H2" s="15" t="str">
        <f>B2&amp;"_"&amp;C2&amp;"-"&amp;G2</f>
        <v>48011_1-1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178">
        <v>8089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年獣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68</v>
      </c>
      <c r="T2" s="120">
        <v>1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164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コレはあたいがいただいていくよっ♪_x000D_【青パネルドロップ率UP+2ターンスキルバインド+逃走】</v>
      </c>
      <c r="Z2" s="150">
        <v>48011002</v>
      </c>
      <c r="AA2" s="145">
        <v>1</v>
      </c>
    </row>
    <row r="3" spans="1:27" ht="21" customHeight="1" thickBot="1" x14ac:dyDescent="0.2">
      <c r="A3" s="110" t="str">
        <f t="shared" ref="A3:A5" si="0">B3&amp;"_"&amp;C3&amp;"-"&amp;G3&amp;"/"&amp;M3&amp;"&lt;lv"&amp;S3&amp;"&gt;sq"&amp;K3&amp;"st"&amp;L3</f>
        <v>48011_1-5/8090&lt;lv70&gt;sq2st2</v>
      </c>
      <c r="B3" s="147">
        <v>48011</v>
      </c>
      <c r="C3" s="113">
        <v>1</v>
      </c>
      <c r="D3" s="115" t="str">
        <f t="shared" ref="D3:D5" si="1">B3&amp;"_"&amp;C3</f>
        <v>48011_1</v>
      </c>
      <c r="E3" s="127" t="str">
        <f ca="1">VLOOKUP($B3,OFFSET([2]quests!$A$1,0,0,COUNTA([2]quests!$A:$A),MATCH(E$1,[2]quests!$1:$1,0)-MATCH($B$1,[2]quests!$1:$1,0)+1),MATCH(E$1,[2]quests!$1:$1,0)-MATCH($B$1,[2]quests!$1:$1,0)+1,FALSE)</f>
        <v>年獣襲来！</v>
      </c>
      <c r="F3" s="127" t="str">
        <f ca="1">VLOOKUP($D3,OFFSET([2]stages!$A$1,0,0,COUNTA([2]stages!$A:$A),MATCH(F$1,[2]stages!$2:$2,0)-MATCH($D$1,[2]stages!$2:$2,0)+1),MATCH(F$1,[2]stages!$2:$2,0)-MATCH($D$1,[2]stages!$2:$2,0)+1,FALSE)</f>
        <v>【超絶級】年獣襲来</v>
      </c>
      <c r="G3" s="113">
        <v>5</v>
      </c>
      <c r="H3" s="115" t="str">
        <f t="shared" ref="H3:H5" si="2">B3&amp;"_"&amp;C3&amp;"-"&amp;G3</f>
        <v>48011_1-5</v>
      </c>
      <c r="I3" s="127">
        <f ca="1">VLOOKUP($H3,OFFSET(floors!$A$1,0,0,COUNTA(floors!$A:$A),MATCH(I$1,floors!$1:$1,0)-MATCH($H$1,floors!$1:$1,0)+1),MATCH(I$1,floors!$1:$1,0)-MATCH($H$1,floors!$1:$1,0)+1,FALSE)</f>
        <v>60</v>
      </c>
      <c r="J3" s="127">
        <f ca="1">VLOOKUP($H3,OFFSET(floors!$A$1,0,0,COUNTA(floors!$A:$A),MATCH(J$1,floors!$1:$1,0)-MATCH($H$1,floors!$1:$1,0)+1),MATCH(J$1,floors!$1:$1,0)-MATCH($H$1,floors!$1:$1,0)+1,FALSE)</f>
        <v>60</v>
      </c>
      <c r="K3" s="116">
        <v>2</v>
      </c>
      <c r="L3" s="116">
        <v>2</v>
      </c>
      <c r="M3" s="137">
        <v>8090</v>
      </c>
      <c r="N3" s="128" t="str">
        <f ca="1">VLOOKUP($M3,OFFSET([3]enemies!$A$1,0,0,COUNTA([3]enemies!$A:$A),MATCH(N$1,[3]enemies!$1:$1,0)-MATCH($M$1,[3]enemies!$1:$1,0)+1),MATCH(N$1,[3]enemies!$1:$1,0)-MATCH($M$1,[3]enemies!$1:$1,0)+1,FALSE)</f>
        <v>★６年獣</v>
      </c>
      <c r="O3" s="128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28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28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28">
        <f ca="1">VLOOKUP($M3,OFFSET([3]enemies!$A$1,0,0,COUNTA([3]enemies!$A:$A),MATCH(R$1,[3]enemies!$1:$1,0)-MATCH($M$1,[3]enemies!$1:$1,0)+1),MATCH(R$1,[3]enemies!$1:$1,0)-MATCH($M$1,[3]enemies!$1:$1,0)+1,FALSE)</f>
        <v>60</v>
      </c>
      <c r="S3" s="129">
        <v>70</v>
      </c>
      <c r="T3" s="235">
        <v>7</v>
      </c>
      <c r="U3" s="13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165">
        <v>1.1000000000000001</v>
      </c>
      <c r="W3" s="13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129">
        <v>0</v>
      </c>
      <c r="Y3" s="149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状態異常耐性+自身の攻撃力UP_x000D_【防御力UPが解除された！】</v>
      </c>
      <c r="Z3" s="166">
        <v>48011009</v>
      </c>
      <c r="AA3" s="148">
        <v>2</v>
      </c>
    </row>
    <row r="4" spans="1:27" ht="21" customHeight="1" thickTop="1" x14ac:dyDescent="0.15">
      <c r="A4" s="16" t="str">
        <f t="shared" si="0"/>
        <v>48011_2-1/8089&lt;lv80&gt;sq3st2</v>
      </c>
      <c r="B4" s="22">
        <v>48011</v>
      </c>
      <c r="C4" s="105">
        <v>2</v>
      </c>
      <c r="D4" s="107" t="str">
        <f t="shared" si="1"/>
        <v>48011_2</v>
      </c>
      <c r="E4" s="4" t="str">
        <f ca="1">VLOOKUP($B4,OFFSET([2]quests!$A$1,0,0,COUNTA([2]quests!$A:$A),MATCH(E$1,[2]quests!$1:$1,0)-MATCH($B$1,[2]quests!$1:$1,0)+1),MATCH(E$1,[2]quests!$1:$1,0)-MATCH($B$1,[2]quests!$1:$1,0)+1,FALSE)</f>
        <v>年獣襲来！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【ウィザード級】年獣襲来</v>
      </c>
      <c r="G4" s="105">
        <v>1</v>
      </c>
      <c r="H4" s="107" t="str">
        <f t="shared" si="2"/>
        <v>48011_2-1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08">
        <v>3</v>
      </c>
      <c r="L4" s="108">
        <v>2</v>
      </c>
      <c r="M4" s="179">
        <v>8089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年獣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19">
        <v>80</v>
      </c>
      <c r="T4" s="120">
        <v>1</v>
      </c>
      <c r="U4" s="12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164">
        <v>1</v>
      </c>
      <c r="W4" s="12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119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コレはあたいがいただいていくよっ♪_x000D_【青パネルドロップ率UP+2ターンスキルバインド+逃走】</v>
      </c>
      <c r="Z4" s="150">
        <v>48011002</v>
      </c>
      <c r="AA4" s="146">
        <v>1</v>
      </c>
    </row>
    <row r="5" spans="1:27" ht="21" customHeight="1" x14ac:dyDescent="0.15">
      <c r="A5" s="16" t="str">
        <f t="shared" si="0"/>
        <v>48011_2-5/8090&lt;lv80&gt;sq4st2</v>
      </c>
      <c r="B5" s="22">
        <v>48011</v>
      </c>
      <c r="C5" s="21">
        <v>2</v>
      </c>
      <c r="D5" s="2" t="str">
        <f t="shared" si="1"/>
        <v>48011_2</v>
      </c>
      <c r="E5" s="4" t="str">
        <f ca="1">VLOOKUP($B5,OFFSET([2]quests!$A$1,0,0,COUNTA([2]quests!$A:$A),MATCH(E$1,[2]quests!$1:$1,0)-MATCH($B$1,[2]quests!$1:$1,0)+1),MATCH(E$1,[2]quests!$1:$1,0)-MATCH($B$1,[2]quests!$1:$1,0)+1,FALSE)</f>
        <v>年獣襲来！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【ウィザード級】年獣襲来</v>
      </c>
      <c r="G5" s="21">
        <v>5</v>
      </c>
      <c r="H5" s="15" t="str">
        <f t="shared" si="2"/>
        <v>48011_2-5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178">
        <v>8090</v>
      </c>
      <c r="N5" s="17" t="str">
        <f ca="1">VLOOKUP($M5,OFFSET([3]enemies!$A$1,0,0,COUNTA([3]enemies!$A:$A),MATCH(N$1,[3]enemies!$1:$1,0)-MATCH($M$1,[3]enemies!$1:$1,0)+1),MATCH(N$1,[3]enemies!$1:$1,0)-MATCH($M$1,[3]enemies!$1:$1,0)+1,FALSE)</f>
        <v>★６年獣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7.2</v>
      </c>
      <c r="U5" s="10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163">
        <v>1.1000000000000001</v>
      </c>
      <c r="W5" s="10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状態異常耐性+自身の攻撃力UP_x000D_【防御力UPが解除された！】</v>
      </c>
      <c r="Z5" s="150">
        <v>48011009</v>
      </c>
      <c r="AA5" s="145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6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P52" sqref="P5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48011001_48011001</v>
      </c>
      <c r="B2" s="182">
        <v>48011001</v>
      </c>
      <c r="C2" s="150">
        <v>48011001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あけましておめでとう！_x000D_【お年玉が現れた！】</v>
      </c>
      <c r="F2" s="150">
        <v>48011001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thickBot="1" x14ac:dyDescent="0.2">
      <c r="A3" s="39" t="str">
        <f t="shared" ref="A3:A41" si="1">B3&amp;"_"&amp;C3</f>
        <v>48011001_48011002</v>
      </c>
      <c r="B3" s="183">
        <v>48011001</v>
      </c>
      <c r="C3" s="150">
        <v>48011002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" s="150">
        <v>48011002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thickTop="1" thickBot="1" x14ac:dyDescent="0.2">
      <c r="A4" s="39" t="str">
        <f t="shared" si="1"/>
        <v>48011002_48011003</v>
      </c>
      <c r="B4" s="180">
        <v>48011002</v>
      </c>
      <c r="C4" s="150">
        <v>48011003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えへへっ　金ピカだぁ！_x000D_きれいだなぁ〜♪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コレはあたいがいただいていくよっ♪_x000D_【青パネルドロップ率UP+2ターンスキルバインド+逃走】</v>
      </c>
      <c r="F4" s="150">
        <v>48011003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thickTop="1" x14ac:dyDescent="0.15">
      <c r="A5" s="39" t="str">
        <f t="shared" si="1"/>
        <v>48011003_48011004</v>
      </c>
      <c r="B5" s="184">
        <v>48011003</v>
      </c>
      <c r="C5" s="150">
        <v>48011004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みんなの大切な_x000D_お年玉が…！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5" s="150">
        <v>48011004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48011003_48011005</v>
      </c>
      <c r="B6" s="182">
        <v>48011003</v>
      </c>
      <c r="C6" s="150">
        <v>48011005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財神さま！みんなの_x000D_大切なお年玉が…！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全ユニットの攻撃力UP</v>
      </c>
      <c r="F6" s="150">
        <v>48011005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8087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48011003_48011006</v>
      </c>
      <c r="B7" s="182">
        <v>48011003</v>
      </c>
      <c r="C7" s="150">
        <v>48011006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財神さま！みんなの_x000D_大切なお年玉が…！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全ユニットの攻撃力UP</v>
      </c>
      <c r="F7" s="150">
        <v>48011006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8088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thickBot="1" x14ac:dyDescent="0.2">
      <c r="A8" s="39" t="str">
        <f t="shared" si="1"/>
        <v>48011003_48011007</v>
      </c>
      <c r="B8" s="183">
        <v>48011003</v>
      </c>
      <c r="C8" s="150">
        <v>48011007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妖精のささやき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ランダムで緑パネルに5個変換</v>
      </c>
      <c r="F8" s="150">
        <v>48011007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8" s="47"/>
      <c r="Q8" s="47"/>
      <c r="R8" s="47"/>
    </row>
    <row r="9" spans="1:18" ht="21" customHeight="1" thickTop="1" x14ac:dyDescent="0.15">
      <c r="A9" s="39" t="str">
        <f t="shared" si="1"/>
        <v>48011004_48011008</v>
      </c>
      <c r="B9" s="180">
        <v>48011004</v>
      </c>
      <c r="C9" s="150">
        <v>48011008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お願い！アイツから_x000D_お年玉を取り返してっ！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9" s="150">
        <v>48011008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48011004_48011009</v>
      </c>
      <c r="B10" s="180">
        <v>48011004</v>
      </c>
      <c r="C10" s="150">
        <v>48011009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お願い！アイツから_x000D_お年玉を取り返してっ！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全ユニットに10ターンウィルス耐性</v>
      </c>
      <c r="F10" s="150">
        <v>48011009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8087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48011004_48011010</v>
      </c>
      <c r="B11" s="180">
        <v>48011004</v>
      </c>
      <c r="C11" s="150">
        <v>48011010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お願い！アイツから_x000D_お年玉を取り返してっ！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全ユニットに10ターンウィルス耐性</v>
      </c>
      <c r="F11" s="150">
        <v>48011010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8088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thickBot="1" x14ac:dyDescent="0.2">
      <c r="A12" s="39" t="str">
        <f t="shared" si="1"/>
        <v>48011004_48011011</v>
      </c>
      <c r="B12" s="181">
        <v>48011004</v>
      </c>
      <c r="C12" s="150">
        <v>48011011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妖精のきらめき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緑パネルを吸収して全体回復</v>
      </c>
      <c r="F12" s="150">
        <v>48011011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12" s="47"/>
      <c r="Q12" s="47"/>
      <c r="R12" s="47"/>
    </row>
    <row r="13" spans="1:18" ht="21" customHeight="1" thickTop="1" x14ac:dyDescent="0.15">
      <c r="A13" s="39" t="str">
        <f t="shared" si="1"/>
        <v>48011005_48011012</v>
      </c>
      <c r="B13" s="182">
        <v>48011005</v>
      </c>
      <c r="C13" s="150">
        <v>48011012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さぁ…狩りの時間だ！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13" s="150">
        <v>48011012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48011005_48011013</v>
      </c>
      <c r="B14" s="182">
        <v>48011005</v>
      </c>
      <c r="C14" s="150">
        <v>48011013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獣の矜持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2回連続攻撃_x000D_(命中したユニットに1ターンスキルバインド)</v>
      </c>
      <c r="F14" s="150">
        <v>48011013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4" s="47"/>
      <c r="Q14" s="47"/>
      <c r="R14" s="47"/>
    </row>
    <row r="15" spans="1:18" ht="21" customHeight="1" x14ac:dyDescent="0.15">
      <c r="A15" s="39" t="str">
        <f t="shared" si="1"/>
        <v>48011005_48011014</v>
      </c>
      <c r="B15" s="182">
        <v>48011005</v>
      </c>
      <c r="C15" s="150">
        <v>48011014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逃げ場はないよ！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5" s="150">
        <v>48011014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15" s="47"/>
      <c r="Q15" s="47"/>
      <c r="R15" s="47"/>
    </row>
    <row r="16" spans="1:18" ht="21" customHeight="1" x14ac:dyDescent="0.15">
      <c r="A16" s="39" t="str">
        <f t="shared" si="1"/>
        <v>48011005_48011015</v>
      </c>
      <c r="B16" s="182">
        <v>48011005</v>
      </c>
      <c r="C16" s="150">
        <v>48011015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獲物包囲網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6" s="150">
        <v>48011015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16" s="47"/>
      <c r="Q16" s="47"/>
      <c r="R16" s="47"/>
    </row>
    <row r="17" spans="1:18" ht="21" customHeight="1" thickBot="1" x14ac:dyDescent="0.2">
      <c r="A17" s="39" t="str">
        <f t="shared" si="1"/>
        <v>48011005_48011016</v>
      </c>
      <c r="B17" s="183">
        <v>48011005</v>
      </c>
      <c r="C17" s="150">
        <v>48011016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反撃態勢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自身の攻撃頻度UP+_x000D_解除するまで全属性の攻撃をカウンター</v>
      </c>
      <c r="F17" s="150">
        <v>48011016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thickTop="1" thickBot="1" x14ac:dyDescent="0.2">
      <c r="A18" s="39" t="str">
        <f t="shared" si="1"/>
        <v>48011006_48011017</v>
      </c>
      <c r="B18" s="211">
        <v>48011006</v>
      </c>
      <c r="C18" s="150">
        <v>48011017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星くずの力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 xml:space="preserve">黄パネルを吸収して攻撃(最大5個) </v>
      </c>
      <c r="F18" s="150">
        <v>48011017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" s="47"/>
      <c r="Q18" s="47"/>
      <c r="R18" s="47"/>
    </row>
    <row r="19" spans="1:18" ht="21" customHeight="1" thickTop="1" x14ac:dyDescent="0.15">
      <c r="A19" s="39" t="str">
        <f t="shared" si="1"/>
        <v>48011007_48011018</v>
      </c>
      <c r="B19" s="182">
        <v>48011007</v>
      </c>
      <c r="C19" s="150">
        <v>48011018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命尽キルマデ…躍レ！！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5ターンハートパネルはプロテクトされてドロップ</v>
      </c>
      <c r="F19" s="150">
        <v>48011018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48011007_48011019</v>
      </c>
      <c r="B20" s="182">
        <v>48011007</v>
      </c>
      <c r="C20" s="150">
        <v>48011019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貪られし安息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 xml:space="preserve">ハートパネルを吸収して攻撃(最大10個) </v>
      </c>
      <c r="F20" s="150">
        <v>48011019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0" s="47"/>
      <c r="Q20" s="47"/>
      <c r="R20" s="47"/>
    </row>
    <row r="21" spans="1:18" ht="21" customHeight="1" x14ac:dyDescent="0.15">
      <c r="A21" s="39" t="str">
        <f t="shared" si="1"/>
        <v>48011007_48011020</v>
      </c>
      <c r="B21" s="182">
        <v>48011007</v>
      </c>
      <c r="C21" s="150">
        <v>48011020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うずまく災禍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21" s="150">
        <v>48011020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1" s="47"/>
      <c r="Q21" s="47"/>
      <c r="R21" s="47"/>
    </row>
    <row r="22" spans="1:18" ht="21" customHeight="1" x14ac:dyDescent="0.15">
      <c r="A22" s="39" t="str">
        <f t="shared" si="1"/>
        <v>48011007_48011021</v>
      </c>
      <c r="B22" s="182">
        <v>48011007</v>
      </c>
      <c r="C22" s="150">
        <v>48011021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熔け堕ちる闇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HPが少なくなるほど強くなる攻撃</v>
      </c>
      <c r="F22" s="150">
        <v>48011021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8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67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2" s="47"/>
      <c r="Q22" s="47"/>
      <c r="R22" s="47"/>
    </row>
    <row r="23" spans="1:18" ht="21" customHeight="1" x14ac:dyDescent="0.15">
      <c r="A23" s="39" t="str">
        <f t="shared" si="1"/>
        <v>48011007_48011022</v>
      </c>
      <c r="B23" s="182">
        <v>48011007</v>
      </c>
      <c r="C23" s="150">
        <v>48011022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熔け堕ちる闇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HPが少なくなるほど強くなる攻撃</v>
      </c>
      <c r="F23" s="150">
        <v>48011022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34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3" s="47"/>
      <c r="Q23" s="47"/>
      <c r="R23" s="47"/>
    </row>
    <row r="24" spans="1:18" ht="21" customHeight="1" x14ac:dyDescent="0.15">
      <c r="A24" s="39" t="str">
        <f t="shared" si="1"/>
        <v>48011007_48011023</v>
      </c>
      <c r="B24" s="182">
        <v>48011007</v>
      </c>
      <c r="C24" s="150">
        <v>48011023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熔け堕ちる闇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HPが少なくなるほど強くなる攻撃</v>
      </c>
      <c r="F24" s="150">
        <v>48011023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330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4" s="47"/>
      <c r="Q24" s="47"/>
      <c r="R24" s="47"/>
    </row>
    <row r="25" spans="1:18" ht="21" customHeight="1" thickBot="1" x14ac:dyDescent="0.2">
      <c r="A25" s="39" t="str">
        <f t="shared" si="1"/>
        <v>48011007_48011024</v>
      </c>
      <c r="B25" s="183">
        <v>48011007</v>
      </c>
      <c r="C25" s="150">
        <v>48011024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破滅の芳香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全体攻撃+3ターンウィルス</v>
      </c>
      <c r="F25" s="150">
        <v>48011024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thickTop="1" x14ac:dyDescent="0.15">
      <c r="A26" s="39" t="str">
        <f t="shared" si="1"/>
        <v>48011008_48011025</v>
      </c>
      <c r="B26" s="180">
        <v>48011008</v>
      </c>
      <c r="C26" s="150">
        <v>48011025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えへへ…金ピカいっぱい…_x000D_むにゃむにゃ…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年獣は眠っている…_x000D_【1ターン自身の防御力DOWN】</v>
      </c>
      <c r="F26" s="150">
        <v>48011025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48011008_48011026</v>
      </c>
      <c r="B27" s="180">
        <v>48011008</v>
      </c>
      <c r="C27" s="150">
        <v>48011026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うぅ…爆竹は…爆竹はいやだ…_x000D_むにゃむにゃ…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年獣は眠っている…_x000D_【1ターン自身の防御力DOWN】</v>
      </c>
      <c r="F27" s="150">
        <v>48011026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8087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48011008_48011027</v>
      </c>
      <c r="B28" s="180">
        <v>48011008</v>
      </c>
      <c r="C28" s="150">
        <v>48011027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うぅ…爆竹は…爆竹はいやだ…_x000D_むにゃむにゃ…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年獣は眠っている…_x000D_【1ターン自身の防御力DOWN】</v>
      </c>
      <c r="F28" s="150">
        <v>48011027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8088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48011008_48011028</v>
      </c>
      <c r="B29" s="180">
        <v>48011008</v>
      </c>
      <c r="C29" s="150">
        <v>48011028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ピカピカ光って…きれいだなぁ…♪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5回連続攻撃_x000D_【起きている間は自身の防御力超大UP！】</v>
      </c>
      <c r="F29" s="150">
        <v>48011028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48011008_48011029</v>
      </c>
      <c r="B30" s="180">
        <v>48011008</v>
      </c>
      <c r="C30" s="150">
        <v>48011029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ふあぁ……_x000D_また眠くなってきちゃった…むにゃ…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再び眠り始めた…_x000D_【1ターン自身の防御力DOWN】</v>
      </c>
      <c r="F30" s="150">
        <v>48011029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48011008_48011030</v>
      </c>
      <c r="B31" s="180">
        <v>48011008</v>
      </c>
      <c r="C31" s="150">
        <v>48011030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赤色は…きらいっ！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赤パネルプロテクト+クリティカル！</v>
      </c>
      <c r="F31" s="150">
        <v>48011030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19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19</v>
      </c>
      <c r="P31" s="47"/>
      <c r="Q31" s="47"/>
      <c r="R31" s="47"/>
    </row>
    <row r="32" spans="1:18" ht="21" customHeight="1" x14ac:dyDescent="0.15">
      <c r="A32" s="39" t="str">
        <f t="shared" si="1"/>
        <v>48011008_48011031</v>
      </c>
      <c r="B32" s="180">
        <v>48011008</v>
      </c>
      <c r="C32" s="150">
        <v>48011031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秘められし毒牙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2回連続攻撃_x000D_(命中したユニットに1ターンウィルス)</v>
      </c>
      <c r="F32" s="150">
        <v>48011031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" s="47"/>
      <c r="Q32" s="47"/>
      <c r="R32" s="47"/>
    </row>
    <row r="33" spans="1:18" ht="21" customHeight="1" x14ac:dyDescent="0.15">
      <c r="A33" s="39" t="str">
        <f t="shared" si="1"/>
        <v>48011008_48011032</v>
      </c>
      <c r="B33" s="185">
        <v>48011008</v>
      </c>
      <c r="C33" s="150">
        <v>48011032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ピカピカ光って…きれいだなぁ…♪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3" s="150">
        <v>48011032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53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53</v>
      </c>
      <c r="P33" s="47"/>
      <c r="Q33" s="47"/>
      <c r="R33" s="47"/>
    </row>
    <row r="34" spans="1:18" ht="21" customHeight="1" x14ac:dyDescent="0.15">
      <c r="A34" s="39" t="str">
        <f t="shared" si="1"/>
        <v>48011008_48011033</v>
      </c>
      <c r="B34" s="234">
        <v>48011008</v>
      </c>
      <c r="C34" s="232">
        <v>48011033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えへへ　金ピカがこんなにいっぱい！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残りHPの50％ダメージ！</v>
      </c>
      <c r="F34" s="150">
        <v>48011033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thickBot="1" x14ac:dyDescent="0.2">
      <c r="A35" s="39" t="str">
        <f t="shared" si="1"/>
        <v>48011008_48011034</v>
      </c>
      <c r="B35" s="233">
        <v>48011008</v>
      </c>
      <c r="C35" s="150">
        <v>48011034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オーバー・ビースト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青パネルを吸収して強力な全体攻撃</v>
      </c>
      <c r="F35" s="150">
        <v>48011034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thickTop="1" x14ac:dyDescent="0.15">
      <c r="A36" s="39" t="str">
        <f t="shared" si="1"/>
        <v>48011009_48011035</v>
      </c>
      <c r="B36" s="182">
        <v>48011009</v>
      </c>
      <c r="C36" s="150">
        <v>48011035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あたいを本気にさせたな！_x000D_この金ピカは誰にも渡さないっ！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状態異常耐性+自身の攻撃力UP_x000D_【防御力UPが解除された！】</v>
      </c>
      <c r="F36" s="150">
        <v>48011035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"/>
        <v>48011009_48011036</v>
      </c>
      <c r="B37" s="182">
        <v>48011009</v>
      </c>
      <c r="C37" s="150">
        <v>48011036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加速する欲望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1ターン自身の行動頻度UP+2回連続攻撃</v>
      </c>
      <c r="F37" s="150">
        <v>48011036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27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27</v>
      </c>
      <c r="P37" s="47"/>
      <c r="Q37" s="47"/>
      <c r="R37" s="47"/>
    </row>
    <row r="38" spans="1:18" ht="21" customHeight="1" x14ac:dyDescent="0.15">
      <c r="A38" s="39" t="str">
        <f t="shared" si="1"/>
        <v>48011009_48011037</v>
      </c>
      <c r="B38" s="182">
        <v>48011009</v>
      </c>
      <c r="C38" s="150">
        <v>48011037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あっ　金ピカみっけ♪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黄パネルを吸収して強力な全体攻撃</v>
      </c>
      <c r="F38" s="150">
        <v>48011037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34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34</v>
      </c>
      <c r="P38" s="47"/>
      <c r="Q38" s="47"/>
      <c r="R38" s="47"/>
    </row>
    <row r="39" spans="1:18" ht="21" customHeight="1" x14ac:dyDescent="0.15">
      <c r="A39" s="39" t="str">
        <f t="shared" si="1"/>
        <v>48011009_48011038</v>
      </c>
      <c r="B39" s="182">
        <v>48011009</v>
      </c>
      <c r="C39" s="150">
        <v>48011038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年を超えし魔獣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39" s="150">
        <v>48011038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9" s="47"/>
      <c r="Q39" s="47"/>
      <c r="R39" s="47"/>
    </row>
    <row r="40" spans="1:18" ht="21" customHeight="1" x14ac:dyDescent="0.15">
      <c r="A40" s="39" t="str">
        <f t="shared" si="1"/>
        <v>48011009_48011039</v>
      </c>
      <c r="B40" s="186">
        <v>48011009</v>
      </c>
      <c r="C40" s="150">
        <v>48011039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蝕む本能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40" s="150">
        <v>48011039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0" s="47"/>
      <c r="Q40" s="47"/>
      <c r="R40" s="47"/>
    </row>
    <row r="41" spans="1:18" ht="23" customHeight="1" x14ac:dyDescent="0.15">
      <c r="A41" s="39" t="str">
        <f t="shared" si="1"/>
        <v>48011009_48011040</v>
      </c>
      <c r="B41" s="182">
        <v>48011009</v>
      </c>
      <c r="C41" s="150">
        <v>48011040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この世の金ピカは_x000D_ぜーんぶあたいのものだ！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41" s="150">
        <v>48011040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" si="2">B42&amp;"_"&amp;C42</f>
        <v>48011009_48011041</v>
      </c>
      <c r="B42" s="182">
        <v>48011009</v>
      </c>
      <c r="C42" s="150">
        <v>48011041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強烈デザイア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2" s="150">
        <v>48011041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:A45" si="3">B43&amp;"_"&amp;C43</f>
        <v>48011009_48011042</v>
      </c>
      <c r="B43" s="182">
        <v>48011009</v>
      </c>
      <c r="C43" s="150">
        <v>48011042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オーバー・ビースト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青&amp;ハートパネルを吸収して強力な全体攻撃</v>
      </c>
      <c r="F43" s="150">
        <v>48011042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3"/>
        <v>48011009_48011043</v>
      </c>
      <c r="B44" s="182">
        <v>48011009</v>
      </c>
      <c r="C44" s="150">
        <v>48011043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イタタ…_x000D_ま、参ったよぉ…うぅ…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うん…みんなのお年玉_x000D_全部返すよ…　うぅ…金ピカ…</v>
      </c>
      <c r="F44" s="150">
        <v>48011043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3"/>
        <v>48011009_48011044</v>
      </c>
      <c r="B45" s="182">
        <v>48011009</v>
      </c>
      <c r="C45" s="150">
        <v>48011044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イタタ…_x000D_ま、参ったよぉ…うぅ…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お、お年玉ぜんぶ返すから_x000D_爆竹鳴らすのはやめてぇ〜！</v>
      </c>
      <c r="F45" s="150">
        <v>48011044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8087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" si="4">B46&amp;"_"&amp;C46</f>
        <v>48011009_48011045</v>
      </c>
      <c r="B46" s="182">
        <v>48011009</v>
      </c>
      <c r="C46" s="150">
        <v>48011045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イタタ…_x000D_ま、参ったよぉ…うぅ…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お、お年玉ぜんぶ返すから_x000D_爆竹鳴らすのはやめてぇ〜！</v>
      </c>
      <c r="F46" s="150">
        <v>48011045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8088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6"/>
  <sheetViews>
    <sheetView showGridLines="0" topLeftCell="B1" workbookViewId="0">
      <pane ySplit="1" topLeftCell="A2" activePane="bottomLeft" state="frozenSplit"/>
      <selection pane="bottomLeft" activeCell="F34" sqref="F3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174.83203125" style="49" customWidth="1"/>
    <col min="3" max="4" width="12.83203125" style="49"/>
    <col min="5" max="5" width="29.332031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308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36" customHeight="1" x14ac:dyDescent="0.2">
      <c r="A2" s="150">
        <v>48011001</v>
      </c>
      <c r="B2" s="156" t="s">
        <v>363</v>
      </c>
      <c r="C2" s="50">
        <v>1</v>
      </c>
      <c r="D2" s="50" t="s">
        <v>126</v>
      </c>
      <c r="E2" s="51" t="s">
        <v>299</v>
      </c>
      <c r="F2" s="51" t="s">
        <v>416</v>
      </c>
      <c r="G2" s="62" t="str">
        <f>IFERROR(LEFT(B2,FIND("],",B2)),B2)</f>
        <v>[effect:enemy_message, val1:1.4, val2:2.4]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[effect:enhance_fever, val:1000, animation:fevergauge_up03],[effect:fix_speed, target:myself, turn:1]</v>
      </c>
      <c r="N2" s="48" t="str">
        <f>IFERROR(LEFT(M2,FIND("],",M2)+#REF!),M2)</f>
        <v>[effect:enhance_fever, val:1000, animation:fevergauge_up03],[effect:fix_speed, target:myself, turn:1]</v>
      </c>
      <c r="O2" s="62">
        <f>FIND("effect:",N2)+7</f>
        <v>9</v>
      </c>
      <c r="P2" s="62">
        <f>IFERROR(FIND(",",N2),LEN(N2))</f>
        <v>22</v>
      </c>
      <c r="Q2" s="62">
        <f>FIND("target:",N2)+7</f>
        <v>87</v>
      </c>
      <c r="R2" s="62">
        <f>FIND(",",N2,P2+1)</f>
        <v>32</v>
      </c>
      <c r="S2" s="62" t="str">
        <f>IFERROR(VLOOKUP(MID(N2,Q2,R2-Q2),[5]skilldef!$C:$D,2,FALSE),"-") &amp; " / " &amp; IFERROR(VLOOKUP(MID(N2,O2,P2-O2),[5]skilldef!$A:$B,2,FALSE),"-")</f>
        <v>- / -</v>
      </c>
      <c r="T2" s="48" t="str">
        <f>IFERROR(RIGHT(M2,LEN(M2)-FIND("],",M2)-1),"none")</f>
        <v>[effect:fix_speed, target:myself, turn:1]</v>
      </c>
      <c r="U2" s="62">
        <f>FIND("effect:",T2)+7</f>
        <v>9</v>
      </c>
      <c r="V2" s="62">
        <f>IFERROR(FIND(",",T2),LEN(T2))</f>
        <v>18</v>
      </c>
      <c r="W2" s="62">
        <f>FIND("target:",T2)+7</f>
        <v>27</v>
      </c>
      <c r="X2" s="62">
        <f>FIND(",",T2,V2+1)</f>
        <v>33</v>
      </c>
      <c r="Y2" s="62" t="str">
        <f>IFERROR(VLOOKUP(MID(T2,W2,X2-W2),[5]skilldef!$C:$D,2,FALSE),"-") &amp; " / " &amp; IFERROR(VLOOKUP(MID(T2,U2,V2-U2),[5]skilldef!$A:$B,2,FALSE),"-")</f>
        <v>自分自身に / 行動値設定</v>
      </c>
      <c r="Z2" s="50"/>
      <c r="AA2" s="52"/>
      <c r="AB2" s="50"/>
    </row>
    <row r="3" spans="1:28" ht="21" customHeight="1" thickBot="1" x14ac:dyDescent="0.25">
      <c r="A3" s="150">
        <v>48011002</v>
      </c>
      <c r="B3" s="160" t="s">
        <v>365</v>
      </c>
      <c r="C3" s="161">
        <v>1</v>
      </c>
      <c r="D3" s="161" t="s">
        <v>126</v>
      </c>
      <c r="E3" s="162" t="s">
        <v>342</v>
      </c>
      <c r="F3" s="162" t="s">
        <v>294</v>
      </c>
      <c r="G3" s="62" t="str">
        <f t="shared" ref="G3:G34" si="0">IFERROR(LEFT(B3,FIND("],",B3)),B3)</f>
        <v>[effect:enemy_message, val1:1.3, val2:0]</v>
      </c>
      <c r="H3" s="62">
        <f t="shared" ref="H3:H43" si="1">FIND("effect:",G3)+7</f>
        <v>9</v>
      </c>
      <c r="I3" s="62">
        <f t="shared" ref="I3:I34" si="2">IFERROR(FIND(",",G3),LEN(G3))</f>
        <v>22</v>
      </c>
      <c r="J3" s="62" t="e">
        <f t="shared" ref="J3:J34" si="3">FIND("target:",G3)+7</f>
        <v>#VALUE!</v>
      </c>
      <c r="K3" s="62">
        <f t="shared" ref="K3:K34" si="4">FIND(",",G3,I3+1)</f>
        <v>32</v>
      </c>
      <c r="L3" s="62" t="str">
        <f>IFERROR(VLOOKUP(MID(G3,J3,K3-J3),[5]skilldef!$C:$D,2,FALSE),"-") &amp; " / " &amp; IFERROR(VLOOKUP(MID(G3,H3,I3-H3),[5]skilldef!$A:$B,2,FALSE),"-")</f>
        <v>- / -</v>
      </c>
      <c r="M3" s="62" t="str">
        <f t="shared" ref="M3:M34" si="5">IFERROR(RIGHT(B3,LEN(B3)-FIND("],",B3)-1),"none")</f>
        <v>[effect:suicide, target:myself, val:1, dead_type:suicide, animation:enemy_suicide],[effect:fix_speed, target:myself, turn:1]</v>
      </c>
      <c r="N3" s="48" t="str">
        <f>IFERROR(LEFT(M3,FIND("],",M3)+#REF!),M3)</f>
        <v>[effect:suicide, target:myself, val:1, dead_type:suicide, animation:enemy_suicide],[effect:fix_speed, target:myself, turn:1]</v>
      </c>
      <c r="O3" s="62">
        <f t="shared" ref="O3:O43" si="6">FIND("effect:",N3)+7</f>
        <v>9</v>
      </c>
      <c r="P3" s="62">
        <f t="shared" ref="P3:P34" si="7">IFERROR(FIND(",",N3),LEN(N3))</f>
        <v>16</v>
      </c>
      <c r="Q3" s="62">
        <f t="shared" ref="Q3:Q34" si="8">FIND("target:",N3)+7</f>
        <v>25</v>
      </c>
      <c r="R3" s="62">
        <f t="shared" ref="R3:R34" si="9">FIND(",",N3,P3+1)</f>
        <v>31</v>
      </c>
      <c r="S3" s="62" t="str">
        <f>IFERROR(VLOOKUP(MID(N3,Q3,R3-Q3),[5]skilldef!$C:$D,2,FALSE),"-") &amp; " / " &amp; IFERROR(VLOOKUP(MID(N3,O3,P3-O3),[5]skilldef!$A:$B,2,FALSE),"-")</f>
        <v>自分自身に / -</v>
      </c>
      <c r="T3" s="48" t="str">
        <f t="shared" ref="T3:T34" si="10">IFERROR(RIGHT(M3,LEN(M3)-FIND("],",M3)-1),"none")</f>
        <v>[effect:fix_speed, target:myself, turn:1]</v>
      </c>
      <c r="U3" s="62">
        <f t="shared" ref="U3:U43" si="11">FIND("effect:",T3)+7</f>
        <v>9</v>
      </c>
      <c r="V3" s="62">
        <f t="shared" ref="V3:V34" si="12">IFERROR(FIND(",",T3),LEN(T3))</f>
        <v>18</v>
      </c>
      <c r="W3" s="62">
        <f t="shared" ref="W3:W34" si="13">FIND("target:",T3)+7</f>
        <v>27</v>
      </c>
      <c r="X3" s="62">
        <f t="shared" ref="X3:X34" si="14">FIND(",",T3,V3+1)</f>
        <v>33</v>
      </c>
      <c r="Y3" s="62" t="str">
        <f>IFERROR(VLOOKUP(MID(T3,W3,X3-W3),[5]skilldef!$C:$D,2,FALSE),"-") &amp; " / " &amp; IFERROR(VLOOKUP(MID(T3,U3,V3-U3),[5]skilldef!$A:$B,2,FALSE),"-")</f>
        <v>自分自身に / 行動値設定</v>
      </c>
      <c r="Z3" s="50"/>
      <c r="AA3" s="52"/>
      <c r="AB3" s="50"/>
    </row>
    <row r="4" spans="1:28" ht="39" customHeight="1" thickTop="1" thickBot="1" x14ac:dyDescent="0.25">
      <c r="A4" s="150">
        <v>48011003</v>
      </c>
      <c r="B4" s="196" t="s">
        <v>364</v>
      </c>
      <c r="C4" s="197">
        <v>1</v>
      </c>
      <c r="D4" s="197" t="s">
        <v>126</v>
      </c>
      <c r="E4" s="198" t="s">
        <v>305</v>
      </c>
      <c r="F4" s="198" t="s">
        <v>356</v>
      </c>
      <c r="G4" s="62" t="str">
        <f t="shared" si="0"/>
        <v>[effect:enemy_message, val1:2.1, val2:4.2]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 t="shared" si="5"/>
        <v>[effect:change_panel_ratio, turn:-1, block_type:blue, val:0.4, animation:block_incidence04],[effect:hungup, target:unit_all, turn:2, rate:1, animation:hungup01],[effect:suicide, target:myself, val:1, dead_type:escape]</v>
      </c>
      <c r="N4" s="48" t="str">
        <f>IFERROR(LEFT(M4,FIND("],",M4)+S9),M4)</f>
        <v>[effect:change_panel_ratio, turn:-1, block_type:blue, val:0.4, animation:block_incidence04],[effect:hungup, target:unit_all, turn:2, rate:1, animation:hungup01],[effect:suicide, target:myself, val:1, dead_type:escape]</v>
      </c>
      <c r="O4" s="62">
        <f t="shared" si="6"/>
        <v>9</v>
      </c>
      <c r="P4" s="62">
        <f t="shared" si="7"/>
        <v>27</v>
      </c>
      <c r="Q4" s="62">
        <f t="shared" si="8"/>
        <v>116</v>
      </c>
      <c r="R4" s="62">
        <f t="shared" si="9"/>
        <v>36</v>
      </c>
      <c r="S4" s="62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[effect:hungup, target:unit_all, turn:2, rate:1, animation:hungup01],[effect:suicide, target:myself, val:1, dead_type:escape]</v>
      </c>
      <c r="U4" s="62">
        <f t="shared" si="11"/>
        <v>9</v>
      </c>
      <c r="V4" s="62">
        <f t="shared" si="12"/>
        <v>15</v>
      </c>
      <c r="W4" s="62">
        <f t="shared" si="13"/>
        <v>24</v>
      </c>
      <c r="X4" s="62">
        <f t="shared" si="14"/>
        <v>32</v>
      </c>
      <c r="Y4" s="62" t="str">
        <f>IFERROR(VLOOKUP(MID(T4,W4,X4-W4),[5]skilldef!$C:$D,2,FALSE),"-") &amp; " / " &amp; IFERROR(VLOOKUP(MID(T4,U4,V4-U4),[5]skilldef!$A:$B,2,FALSE),"-")</f>
        <v>味方全体に / ハングアップ</v>
      </c>
      <c r="Z4" s="50"/>
      <c r="AA4" s="52"/>
      <c r="AB4" s="50"/>
    </row>
    <row r="5" spans="1:28" ht="38" customHeight="1" thickTop="1" x14ac:dyDescent="0.2">
      <c r="A5" s="150">
        <v>48011004</v>
      </c>
      <c r="B5" s="157" t="s">
        <v>366</v>
      </c>
      <c r="C5" s="158">
        <v>1</v>
      </c>
      <c r="D5" s="158" t="s">
        <v>295</v>
      </c>
      <c r="E5" s="195" t="s">
        <v>328</v>
      </c>
      <c r="F5" s="168" t="s">
        <v>300</v>
      </c>
      <c r="G5" s="62" t="str">
        <f t="shared" si="0"/>
        <v>[effect:enemy_message, val1:1.7, val2:0]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5"/>
        <v>[effect:nothing],[effect:fix_speed, target:myself, turn:2]</v>
      </c>
      <c r="N5" s="48" t="str">
        <f>IFERROR(LEFT(M5,FIND("],",M5)+S12),M5)</f>
        <v>[effect:nothing],[effect:fix_speed, target:myself, turn:2]</v>
      </c>
      <c r="O5" s="62">
        <f t="shared" si="6"/>
        <v>9</v>
      </c>
      <c r="P5" s="62">
        <f t="shared" si="7"/>
        <v>17</v>
      </c>
      <c r="Q5" s="62">
        <f t="shared" si="8"/>
        <v>44</v>
      </c>
      <c r="R5" s="62">
        <f t="shared" si="9"/>
        <v>35</v>
      </c>
      <c r="S5" s="62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[effect:fix_speed, target:myself, turn:2]</v>
      </c>
      <c r="U5" s="62">
        <f t="shared" si="11"/>
        <v>9</v>
      </c>
      <c r="V5" s="62">
        <f t="shared" si="12"/>
        <v>18</v>
      </c>
      <c r="W5" s="62">
        <f t="shared" si="13"/>
        <v>27</v>
      </c>
      <c r="X5" s="62">
        <f t="shared" si="14"/>
        <v>33</v>
      </c>
      <c r="Y5" s="62" t="str">
        <f>IFERROR(VLOOKUP(MID(T5,W5,X5-W5),[5]skilldef!$C:$D,2,FALSE),"-") &amp; " / " &amp; IFERROR(VLOOKUP(MID(T5,U5,V5-U5),[5]skilldef!$A:$B,2,FALSE),"-")</f>
        <v>自分自身に / 行動値設定</v>
      </c>
      <c r="Z5" s="50"/>
      <c r="AA5" s="52"/>
      <c r="AB5" s="50"/>
    </row>
    <row r="6" spans="1:28" ht="40" customHeight="1" x14ac:dyDescent="0.2">
      <c r="A6" s="150">
        <v>48011005</v>
      </c>
      <c r="B6" s="156" t="s">
        <v>392</v>
      </c>
      <c r="C6" s="50">
        <v>1</v>
      </c>
      <c r="D6" s="50" t="s">
        <v>126</v>
      </c>
      <c r="E6" s="189" t="s">
        <v>329</v>
      </c>
      <c r="F6" s="190" t="s">
        <v>417</v>
      </c>
      <c r="G6" s="62" t="str">
        <f t="shared" si="0"/>
        <v>[effect:enemy_message, val1:2.1, val2:1.6]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 t="shared" si="5"/>
        <v>[effect:enhance_unit, target:unit_all, turn:-1, status:attack, val:0.15, calc:mul],[effect:fix_speed, target:myself, turn:2]</v>
      </c>
      <c r="N6" s="48" t="str">
        <f>IFERROR(LEFT(M6,FIND("],",M6)+#REF!),M6)</f>
        <v>[effect:enhance_unit, target:unit_all, turn:-1, status:attack, val:0.15, calc:mul],[effect:fix_speed, target:myself, turn:2]</v>
      </c>
      <c r="O6" s="62">
        <f t="shared" si="6"/>
        <v>9</v>
      </c>
      <c r="P6" s="62">
        <f t="shared" si="7"/>
        <v>21</v>
      </c>
      <c r="Q6" s="62">
        <f t="shared" si="8"/>
        <v>30</v>
      </c>
      <c r="R6" s="62">
        <f t="shared" si="9"/>
        <v>38</v>
      </c>
      <c r="S6" s="62" t="str">
        <f>IFERROR(VLOOKUP(MID(N6,Q6,R6-Q6),[5]skilldef!$C:$D,2,FALSE),"-") &amp; " / " &amp; IFERROR(VLOOKUP(MID(N6,O6,P6-O6),[5]skilldef!$A:$B,2,FALSE),"-")</f>
        <v>味方全体に / -</v>
      </c>
      <c r="T6" s="48" t="str">
        <f t="shared" si="10"/>
        <v>[effect:fix_speed, target:myself, turn:2]</v>
      </c>
      <c r="U6" s="62">
        <f t="shared" si="11"/>
        <v>9</v>
      </c>
      <c r="V6" s="62">
        <f t="shared" si="12"/>
        <v>18</v>
      </c>
      <c r="W6" s="62">
        <f t="shared" si="13"/>
        <v>27</v>
      </c>
      <c r="X6" s="62">
        <f t="shared" si="14"/>
        <v>33</v>
      </c>
      <c r="Y6" s="62" t="str">
        <f>IFERROR(VLOOKUP(MID(T6,W6,X6-W6),[5]skilldef!$C:$D,2,FALSE),"-") &amp; " / " &amp; IFERROR(VLOOKUP(MID(T6,U6,V6-U6),[5]skilldef!$A:$B,2,FALSE),"-")</f>
        <v>自分自身に / 行動値設定</v>
      </c>
      <c r="Z6" s="50"/>
      <c r="AA6" s="52"/>
      <c r="AB6" s="50"/>
    </row>
    <row r="7" spans="1:28" ht="40" customHeight="1" x14ac:dyDescent="0.2">
      <c r="A7" s="150">
        <v>48011006</v>
      </c>
      <c r="B7" s="156" t="s">
        <v>393</v>
      </c>
      <c r="C7" s="50">
        <v>1</v>
      </c>
      <c r="D7" s="50" t="s">
        <v>126</v>
      </c>
      <c r="E7" s="189" t="s">
        <v>330</v>
      </c>
      <c r="F7" s="190" t="s">
        <v>418</v>
      </c>
      <c r="G7" s="62" t="str">
        <f t="shared" si="0"/>
        <v>[effect:enemy_message, val1:2.1, val2:1.6]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 t="shared" si="5"/>
        <v>[effect:enhance_unit, target:unit_all, turn:-1, status:attack, val:0.15, calc:mul],[effect:fix_speed, target:myself, turn:2]</v>
      </c>
      <c r="N7" s="48" t="str">
        <f>IFERROR(LEFT(M7,FIND("],",M7)+#REF!),M7)</f>
        <v>[effect:enhance_unit, target:unit_all, turn:-1, status:attack, val:0.15, calc:mul],[effect:fix_speed, target:myself, turn:2]</v>
      </c>
      <c r="O7" s="62">
        <f t="shared" si="6"/>
        <v>9</v>
      </c>
      <c r="P7" s="62">
        <f t="shared" si="7"/>
        <v>21</v>
      </c>
      <c r="Q7" s="62">
        <f t="shared" si="8"/>
        <v>30</v>
      </c>
      <c r="R7" s="62">
        <f t="shared" si="9"/>
        <v>38</v>
      </c>
      <c r="S7" s="62" t="str">
        <f>IFERROR(VLOOKUP(MID(N7,Q7,R7-Q7),[5]skilldef!$C:$D,2,FALSE),"-") &amp; " / " &amp; IFERROR(VLOOKUP(MID(N7,O7,P7-O7),[5]skilldef!$A:$B,2,FALSE),"-")</f>
        <v>味方全体に / -</v>
      </c>
      <c r="T7" s="48" t="str">
        <f t="shared" si="10"/>
        <v>[effect:fix_speed, target:myself, turn:2]</v>
      </c>
      <c r="U7" s="62">
        <f t="shared" si="11"/>
        <v>9</v>
      </c>
      <c r="V7" s="62">
        <f t="shared" si="12"/>
        <v>18</v>
      </c>
      <c r="W7" s="62">
        <f t="shared" si="13"/>
        <v>27</v>
      </c>
      <c r="X7" s="62">
        <f t="shared" si="14"/>
        <v>33</v>
      </c>
      <c r="Y7" s="62" t="str">
        <f>IFERROR(VLOOKUP(MID(T7,W7,X7-W7),[5]skilldef!$C:$D,2,FALSE),"-") &amp; " / " &amp; IFERROR(VLOOKUP(MID(T7,U7,V7-U7),[5]skilldef!$A:$B,2,FALSE),"-")</f>
        <v>自分自身に / 行動値設定</v>
      </c>
      <c r="Z7" s="50"/>
      <c r="AA7" s="52"/>
      <c r="AB7" s="50"/>
    </row>
    <row r="8" spans="1:28" ht="21" customHeight="1" thickBot="1" x14ac:dyDescent="0.25">
      <c r="A8" s="150">
        <v>48011007</v>
      </c>
      <c r="B8" s="202" t="s">
        <v>422</v>
      </c>
      <c r="C8" s="161">
        <v>1</v>
      </c>
      <c r="D8" s="161" t="s">
        <v>126</v>
      </c>
      <c r="E8" s="203" t="s">
        <v>296</v>
      </c>
      <c r="F8" s="204" t="s">
        <v>350</v>
      </c>
      <c r="G8" s="62" t="str">
        <f t="shared" si="0"/>
        <v>[effect:enemy_message, val1:1.2, val2:1.8]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5"/>
        <v>[effect:force_change_block, new_block:block_green, target:block_all, ignore01:crash, ignore02:crack_bomb, ignore03:color_break, ignore04:magnet, ignore05:block_green, count:5, val:0, animation:change_block]</v>
      </c>
      <c r="N8" s="48" t="str">
        <f>IFERROR(LEFT(M8,FIND("],",M8)+#REF!),M8)</f>
        <v>[effect:force_change_block, new_block:block_green, target:block_all, ignore01:crash, ignore02:crack_bomb, ignore03:color_break, ignore04:magnet, ignore05:block_green, count:5, val:0, animation:change_block]</v>
      </c>
      <c r="O8" s="62">
        <f t="shared" si="6"/>
        <v>9</v>
      </c>
      <c r="P8" s="62">
        <f t="shared" si="7"/>
        <v>27</v>
      </c>
      <c r="Q8" s="62">
        <f t="shared" si="8"/>
        <v>59</v>
      </c>
      <c r="R8" s="62">
        <f t="shared" si="9"/>
        <v>50</v>
      </c>
      <c r="S8" s="62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38" customHeight="1" thickTop="1" x14ac:dyDescent="0.2">
      <c r="A9" s="150">
        <v>48011008</v>
      </c>
      <c r="B9" s="157" t="s">
        <v>389</v>
      </c>
      <c r="C9" s="158">
        <v>1</v>
      </c>
      <c r="D9" s="158" t="s">
        <v>126</v>
      </c>
      <c r="E9" s="167" t="s">
        <v>327</v>
      </c>
      <c r="F9" s="168" t="s">
        <v>301</v>
      </c>
      <c r="G9" s="62" t="str">
        <f t="shared" si="0"/>
        <v>[effect:enemy_message, val1:2.4, val2:0]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5"/>
        <v>[effect:nothing],[effect:fix_speed, target:myself, turn:2]</v>
      </c>
      <c r="N9" s="48" t="str">
        <f>IFERROR(LEFT(M9,FIND("],",M9)+S14),M9)</f>
        <v>[effect:nothing],[effect:fix_speed, target:myself, turn:2]</v>
      </c>
      <c r="O9" s="62">
        <f t="shared" si="6"/>
        <v>9</v>
      </c>
      <c r="P9" s="62">
        <f t="shared" si="7"/>
        <v>17</v>
      </c>
      <c r="Q9" s="62">
        <f t="shared" si="8"/>
        <v>44</v>
      </c>
      <c r="R9" s="62">
        <f t="shared" si="9"/>
        <v>35</v>
      </c>
      <c r="S9" s="62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[effect:fix_speed, target:myself, turn:2]</v>
      </c>
      <c r="U9" s="62">
        <f t="shared" si="11"/>
        <v>9</v>
      </c>
      <c r="V9" s="62">
        <f t="shared" si="12"/>
        <v>18</v>
      </c>
      <c r="W9" s="62">
        <f t="shared" si="13"/>
        <v>27</v>
      </c>
      <c r="X9" s="62">
        <f t="shared" si="14"/>
        <v>33</v>
      </c>
      <c r="Y9" s="62" t="str">
        <f>IFERROR(VLOOKUP(MID(T9,W9,X9-W9),[5]skilldef!$C:$D,2,FALSE),"-") &amp; " / " &amp; IFERROR(VLOOKUP(MID(T9,U9,V9-U9),[5]skilldef!$A:$B,2,FALSE),"-")</f>
        <v>自分自身に / 行動値設定</v>
      </c>
      <c r="Z9" s="50"/>
      <c r="AA9" s="52"/>
      <c r="AB9" s="50"/>
    </row>
    <row r="10" spans="1:28" ht="39" customHeight="1" x14ac:dyDescent="0.2">
      <c r="A10" s="150">
        <v>48011009</v>
      </c>
      <c r="B10" s="169" t="s">
        <v>390</v>
      </c>
      <c r="C10" s="50">
        <v>1</v>
      </c>
      <c r="D10" s="50" t="s">
        <v>126</v>
      </c>
      <c r="E10" s="189" t="s">
        <v>321</v>
      </c>
      <c r="F10" s="190" t="s">
        <v>348</v>
      </c>
      <c r="G10" s="62" t="str">
        <f t="shared" si="0"/>
        <v>[effect:enemy_message, val1:2.4, val2:1.9]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5"/>
        <v>[effect:tolerance, target:unit_all, turn:10, count:-1, tolerance_effect:virus, animation:prevent_abnormal_Unit04],[effect:fix_speed, target:myself, turn:2]</v>
      </c>
      <c r="N10" s="48" t="str">
        <f>IFERROR(LEFT(M10,FIND("],",M10)+#REF!),M10)</f>
        <v>[effect:tolerance, target:unit_all, turn:10, count:-1, tolerance_effect:virus, animation:prevent_abnormal_Unit04],[effect:fix_speed, target:myself, turn:2]</v>
      </c>
      <c r="O10" s="62">
        <f t="shared" si="6"/>
        <v>9</v>
      </c>
      <c r="P10" s="62">
        <f t="shared" si="7"/>
        <v>18</v>
      </c>
      <c r="Q10" s="62">
        <f t="shared" si="8"/>
        <v>27</v>
      </c>
      <c r="R10" s="62">
        <f t="shared" si="9"/>
        <v>35</v>
      </c>
      <c r="S10" s="62" t="str">
        <f>IFERROR(VLOOKUP(MID(N10,Q10,R10-Q10),[5]skilldef!$C:$D,2,FALSE),"-") &amp; " / " &amp; IFERROR(VLOOKUP(MID(N10,O10,P10-O10),[5]skilldef!$A:$B,2,FALSE),"-")</f>
        <v>味方全体に / 状態異常耐性</v>
      </c>
      <c r="T10" s="48" t="str">
        <f t="shared" si="10"/>
        <v>[effect:fix_speed, target:myself, turn:2]</v>
      </c>
      <c r="U10" s="62">
        <f t="shared" si="11"/>
        <v>9</v>
      </c>
      <c r="V10" s="62">
        <f t="shared" si="12"/>
        <v>18</v>
      </c>
      <c r="W10" s="62">
        <f t="shared" si="13"/>
        <v>27</v>
      </c>
      <c r="X10" s="62">
        <f t="shared" si="14"/>
        <v>33</v>
      </c>
      <c r="Y10" s="62" t="str">
        <f>IFERROR(VLOOKUP(MID(T10,W10,X10-W10),[5]skilldef!$C:$D,2,FALSE),"-") &amp; " / " &amp; IFERROR(VLOOKUP(MID(T10,U10,V10-U10),[5]skilldef!$A:$B,2,FALSE),"-")</f>
        <v>自分自身に / 行動値設定</v>
      </c>
      <c r="Z10" s="50"/>
      <c r="AA10" s="52"/>
      <c r="AB10" s="50"/>
    </row>
    <row r="11" spans="1:28" ht="39" customHeight="1" x14ac:dyDescent="0.2">
      <c r="A11" s="150">
        <v>48011010</v>
      </c>
      <c r="B11" s="169" t="s">
        <v>391</v>
      </c>
      <c r="C11" s="50">
        <v>1</v>
      </c>
      <c r="D11" s="50" t="s">
        <v>126</v>
      </c>
      <c r="E11" s="189" t="s">
        <v>321</v>
      </c>
      <c r="F11" s="190" t="s">
        <v>349</v>
      </c>
      <c r="G11" s="62" t="str">
        <f t="shared" si="0"/>
        <v>[effect:enemy_message, val1:2.4, val2:1.9]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si="5"/>
        <v>[effect:tolerance, target:unit_all, turn:10, count:-1, tolerance_effect:virus, animation:prevent_abnormal_Unit04],[effect:fix_speed, target:myself, turn:2]</v>
      </c>
      <c r="N11" s="48" t="str">
        <f>IFERROR(LEFT(M11,FIND("],",M11)+#REF!),M11)</f>
        <v>[effect:tolerance, target:unit_all, turn:10, count:-1, tolerance_effect:virus, animation:prevent_abnormal_Unit04],[effect:fix_speed, target:myself, turn:2]</v>
      </c>
      <c r="O11" s="62">
        <f t="shared" si="6"/>
        <v>9</v>
      </c>
      <c r="P11" s="62">
        <f t="shared" si="7"/>
        <v>18</v>
      </c>
      <c r="Q11" s="62">
        <f t="shared" si="8"/>
        <v>27</v>
      </c>
      <c r="R11" s="62">
        <f t="shared" si="9"/>
        <v>35</v>
      </c>
      <c r="S11" s="62" t="str">
        <f>IFERROR(VLOOKUP(MID(N11,Q11,R11-Q11),[5]skilldef!$C:$D,2,FALSE),"-") &amp; " / " &amp; IFERROR(VLOOKUP(MID(N11,O11,P11-O11),[5]skilldef!$A:$B,2,FALSE),"-")</f>
        <v>味方全体に / 状態異常耐性</v>
      </c>
      <c r="T11" s="48" t="str">
        <f t="shared" si="10"/>
        <v>[effect:fix_speed, target:myself, turn:2]</v>
      </c>
      <c r="U11" s="62">
        <f t="shared" si="11"/>
        <v>9</v>
      </c>
      <c r="V11" s="62">
        <f t="shared" si="12"/>
        <v>18</v>
      </c>
      <c r="W11" s="62">
        <f t="shared" si="13"/>
        <v>27</v>
      </c>
      <c r="X11" s="62">
        <f t="shared" si="14"/>
        <v>33</v>
      </c>
      <c r="Y11" s="62" t="str">
        <f>IFERROR(VLOOKUP(MID(T11,W11,X11-W11),[5]skilldef!$C:$D,2,FALSE),"-") &amp; " / " &amp; IFERROR(VLOOKUP(MID(T11,U11,V11-U11),[5]skilldef!$A:$B,2,FALSE),"-")</f>
        <v>自分自身に / 行動値設定</v>
      </c>
      <c r="Z11" s="50"/>
      <c r="AA11" s="52"/>
      <c r="AB11" s="50"/>
    </row>
    <row r="12" spans="1:28" ht="21" customHeight="1" thickBot="1" x14ac:dyDescent="0.25">
      <c r="A12" s="150">
        <v>48011011</v>
      </c>
      <c r="B12" s="207" t="s">
        <v>367</v>
      </c>
      <c r="C12" s="161">
        <v>1</v>
      </c>
      <c r="D12" s="161" t="s">
        <v>126</v>
      </c>
      <c r="E12" s="203" t="s">
        <v>297</v>
      </c>
      <c r="F12" s="204" t="s">
        <v>421</v>
      </c>
      <c r="G12" s="62" t="str">
        <f t="shared" si="0"/>
        <v>[effect:enemy_message, val1:1.2, val2:1.7]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5"/>
        <v>[effect:break_heal_fix, target:enemy_all, val:800, lowest_val:2000, count:-1, block01:block_green, animation:enemy_heal]</v>
      </c>
      <c r="N12" s="48" t="str">
        <f>IFERROR(LEFT(M12,FIND("],",M12)+S17),M12)</f>
        <v>[effect:break_heal_fix, target:enemy_all, val:800, lowest_val:2000, count:-1, block01:block_green, animation:enemy_heal]</v>
      </c>
      <c r="O12" s="62">
        <f t="shared" si="6"/>
        <v>9</v>
      </c>
      <c r="P12" s="62">
        <f t="shared" si="7"/>
        <v>23</v>
      </c>
      <c r="Q12" s="62">
        <f t="shared" si="8"/>
        <v>32</v>
      </c>
      <c r="R12" s="62">
        <f t="shared" si="9"/>
        <v>41</v>
      </c>
      <c r="S12" s="62" t="str">
        <f>IFERROR(VLOOKUP(MID(N12,Q12,R12-Q12),[5]skilldef!$C:$D,2,FALSE),"-") &amp; " / " &amp; IFERROR(VLOOKUP(MID(N12,O12,P12-O12),[5]skilldef!$A:$B,2,FALSE),"-")</f>
        <v>敵全体に / -</v>
      </c>
      <c r="T12" s="48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40" customHeight="1" thickTop="1" x14ac:dyDescent="0.2">
      <c r="A13" s="150">
        <v>48011012</v>
      </c>
      <c r="B13" s="157" t="s">
        <v>413</v>
      </c>
      <c r="C13" s="158">
        <v>1</v>
      </c>
      <c r="D13" s="158" t="s">
        <v>126</v>
      </c>
      <c r="E13" s="194" t="s">
        <v>344</v>
      </c>
      <c r="F13" s="159" t="s">
        <v>351</v>
      </c>
      <c r="G13" s="62" t="str">
        <f t="shared" si="0"/>
        <v>[effect:enemy_message, val1:1.6, val2:1.7]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si="5"/>
        <v>[effect:virus, turn:2, rate:1, val:0.09, animation:enemy_virus],[effect:fix_speed, target:myself, turn:2]</v>
      </c>
      <c r="N13" s="48" t="str">
        <f>IFERROR(LEFT(M13,FIND("],",M13)+S22),M13)</f>
        <v>[effect:virus, turn:2, rate:1, val:0.09, animation:enemy_virus],[effect:fix_speed, target:myself, turn:2]</v>
      </c>
      <c r="O13" s="62">
        <f t="shared" si="6"/>
        <v>9</v>
      </c>
      <c r="P13" s="62">
        <f t="shared" si="7"/>
        <v>14</v>
      </c>
      <c r="Q13" s="62">
        <f t="shared" si="8"/>
        <v>91</v>
      </c>
      <c r="R13" s="62">
        <f t="shared" si="9"/>
        <v>22</v>
      </c>
      <c r="S13" s="62" t="str">
        <f>IFERROR(VLOOKUP(MID(N13,Q13,R13-Q13),[5]skilldef!$C:$D,2,FALSE),"-") &amp; " / " &amp; IFERROR(VLOOKUP(MID(N13,O13,P13-O13),[5]skilldef!$A:$B,2,FALSE),"-")</f>
        <v>- / ウィルス</v>
      </c>
      <c r="T13" s="48" t="str">
        <f t="shared" si="10"/>
        <v>[effect:fix_speed, target:myself, turn:2]</v>
      </c>
      <c r="U13" s="62">
        <f t="shared" si="11"/>
        <v>9</v>
      </c>
      <c r="V13" s="62">
        <f t="shared" si="12"/>
        <v>18</v>
      </c>
      <c r="W13" s="62">
        <f t="shared" si="13"/>
        <v>27</v>
      </c>
      <c r="X13" s="62">
        <f t="shared" si="14"/>
        <v>33</v>
      </c>
      <c r="Y13" s="62" t="str">
        <f>IFERROR(VLOOKUP(MID(T13,W13,X13-W13),[5]skilldef!$C:$D,2,FALSE),"-") &amp; " / " &amp; IFERROR(VLOOKUP(MID(T13,U13,V13-U13),[5]skilldef!$A:$B,2,FALSE),"-")</f>
        <v>自分自身に / 行動値設定</v>
      </c>
      <c r="Z13" s="50"/>
      <c r="AA13" s="52"/>
      <c r="AB13" s="50"/>
    </row>
    <row r="14" spans="1:28" ht="36" customHeight="1" x14ac:dyDescent="0.2">
      <c r="A14" s="150">
        <v>48011013</v>
      </c>
      <c r="B14" s="170" t="s">
        <v>376</v>
      </c>
      <c r="C14" s="50">
        <v>1</v>
      </c>
      <c r="D14" s="50" t="s">
        <v>126</v>
      </c>
      <c r="E14" s="193" t="s">
        <v>317</v>
      </c>
      <c r="F14" s="51" t="s">
        <v>374</v>
      </c>
      <c r="G14" s="62" t="str">
        <f>IFERROR(LEFT(B14,FIND("],",B14)),B14)</f>
        <v>[effect:enemy_message, val1:1.2, val2:2.8]</v>
      </c>
      <c r="H14" s="62">
        <f>FIND("effect:",G14)+7</f>
        <v>9</v>
      </c>
      <c r="I14" s="62">
        <f>IFERROR(FIND(",",G14),LEN(G14))</f>
        <v>22</v>
      </c>
      <c r="J14" s="62" t="e">
        <f>FIND("target:",G14)+7</f>
        <v>#VALUE!</v>
      </c>
      <c r="K14" s="62">
        <f>FIND(",",G14,I14+1)</f>
        <v>32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>IFERROR(RIGHT(B14,LEN(B14)-FIND("],",B14)-1),"none")</f>
        <v>[effect:damage_abnormal, target:unit_one, val:0.51, status:hungup, turn:1, rate:1, animation:hungup01],[effect:damage_abnormal, target:unit_one, val:0.51, status:hungup, turn:1, rate:1, animation:hungup01]</v>
      </c>
      <c r="N14" s="48" t="str">
        <f>IFERROR(LEFT(M14,FIND("],",M14)+S25),M14)</f>
        <v>[effect:damage_abnormal, target:unit_one, val:0.51, status:hungup, turn:1, rate:1, animation:hungup01],[effect:damage_abnormal, target:unit_one, val:0.51, status:hungup, turn:1, rate:1, animation:hungup01]</v>
      </c>
      <c r="O14" s="62">
        <f>FIND("effect:",N14)+7</f>
        <v>9</v>
      </c>
      <c r="P14" s="62">
        <f>IFERROR(FIND(",",N14),LEN(N14))</f>
        <v>24</v>
      </c>
      <c r="Q14" s="62">
        <f>FIND("target:",N14)+7</f>
        <v>33</v>
      </c>
      <c r="R14" s="62">
        <f>FIND(",",N14,P14+1)</f>
        <v>41</v>
      </c>
      <c r="S14" s="62" t="str">
        <f>IFERROR(VLOOKUP(MID(N14,Q14,R14-Q14),[5]skilldef!$C:$D,2,FALSE),"-") &amp; " / " &amp; IFERROR(VLOOKUP(MID(N14,O14,P14-O14),[5]skilldef!$A:$B,2,FALSE),"-")</f>
        <v>味方単体に / -</v>
      </c>
      <c r="T14" s="48" t="str">
        <f>IFERROR(RIGHT(M14,LEN(M14)-FIND("],",M14)-1),"none")</f>
        <v>[effect:damage_abnormal, target:unit_one, val:0.51, status:hungup, turn:1, rate:1, animation:hungup01]</v>
      </c>
      <c r="U14" s="62">
        <f>FIND("effect:",T14)+7</f>
        <v>9</v>
      </c>
      <c r="V14" s="62">
        <f>IFERROR(FIND(",",T14),LEN(T14))</f>
        <v>24</v>
      </c>
      <c r="W14" s="62">
        <f>FIND("target:",T14)+7</f>
        <v>33</v>
      </c>
      <c r="X14" s="62">
        <f>FIND(",",T14,V14+1)</f>
        <v>41</v>
      </c>
      <c r="Y14" s="62" t="str">
        <f>IFERROR(VLOOKUP(MID(T14,W14,X14-W14),[5]skilldef!$C:$D,2,FALSE),"-") &amp; " / " &amp; IFERROR(VLOOKUP(MID(T14,U14,V14-U14),[5]skilldef!$A:$B,2,FALSE),"-")</f>
        <v>味方単体に / -</v>
      </c>
      <c r="Z14" s="50"/>
      <c r="AA14" s="52"/>
      <c r="AB14" s="50"/>
    </row>
    <row r="15" spans="1:28" ht="21" customHeight="1" x14ac:dyDescent="0.2">
      <c r="A15" s="150">
        <v>48011014</v>
      </c>
      <c r="B15" s="169" t="s">
        <v>370</v>
      </c>
      <c r="C15" s="50">
        <v>1</v>
      </c>
      <c r="D15" s="50" t="s">
        <v>126</v>
      </c>
      <c r="E15" s="193" t="s">
        <v>331</v>
      </c>
      <c r="F15" s="51" t="s">
        <v>257</v>
      </c>
      <c r="G15" s="62" t="str">
        <f t="shared" si="0"/>
        <v>[effect:enemy_message, val1:1.3, val2:1.5]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5"/>
        <v>[effect:spread, val:0.32]</v>
      </c>
      <c r="N15" s="48" t="str">
        <f>IFERROR(LEFT(M15,FIND("],",M15)+S23),M15)</f>
        <v>[effect:spread, val:0.32]</v>
      </c>
      <c r="O15" s="62">
        <f t="shared" si="6"/>
        <v>9</v>
      </c>
      <c r="P15" s="62">
        <f t="shared" si="7"/>
        <v>15</v>
      </c>
      <c r="Q15" s="62" t="e">
        <f t="shared" si="8"/>
        <v>#VALUE!</v>
      </c>
      <c r="R15" s="62" t="e">
        <f t="shared" si="9"/>
        <v>#VALUE!</v>
      </c>
      <c r="S15" s="62" t="str">
        <f>IFERROR(VLOOKUP(MID(N15,Q15,R15-Q15),[5]skilldef!$C:$D,2,FALSE),"-") &amp; " / " &amp; IFERROR(VLOOKUP(MID(N15,O15,P15-O15),[5]skilldef!$A:$B,2,FALSE),"-")</f>
        <v>- / 全体攻撃</v>
      </c>
      <c r="T15" s="48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2">
      <c r="A16" s="150">
        <v>48011015</v>
      </c>
      <c r="B16" s="170" t="s">
        <v>369</v>
      </c>
      <c r="C16" s="50">
        <v>1</v>
      </c>
      <c r="D16" s="50" t="s">
        <v>126</v>
      </c>
      <c r="E16" s="193" t="s">
        <v>318</v>
      </c>
      <c r="F16" s="51" t="s">
        <v>258</v>
      </c>
      <c r="G16" s="62" t="str">
        <f t="shared" si="0"/>
        <v>[effect:enemy_message, val1:1.3, val2:1.5]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5"/>
        <v>[effect:rush, count:4, val:0.31]</v>
      </c>
      <c r="N16" s="48" t="str">
        <f>IFERROR(LEFT(M16,FIND("],",M16)+S24),M16)</f>
        <v>[effect:rush, count:4, val:0.31]</v>
      </c>
      <c r="O16" s="62">
        <f t="shared" si="6"/>
        <v>9</v>
      </c>
      <c r="P16" s="62">
        <f t="shared" si="7"/>
        <v>13</v>
      </c>
      <c r="Q16" s="62" t="e">
        <f t="shared" si="8"/>
        <v>#VALUE!</v>
      </c>
      <c r="R16" s="62">
        <f t="shared" si="9"/>
        <v>22</v>
      </c>
      <c r="S16" s="62" t="str">
        <f>IFERROR(VLOOKUP(MID(N16,Q16,R16-Q16),[5]skilldef!$C:$D,2,FALSE),"-") &amp; " / " &amp; IFERROR(VLOOKUP(MID(N16,O16,P16-O16),[5]skilldef!$A:$B,2,FALSE),"-")</f>
        <v>- / 連続攻撃</v>
      </c>
      <c r="T16" s="48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39" customHeight="1" thickBot="1" x14ac:dyDescent="0.25">
      <c r="A17" s="150">
        <v>48011016</v>
      </c>
      <c r="B17" s="171" t="s">
        <v>410</v>
      </c>
      <c r="C17" s="161">
        <v>1</v>
      </c>
      <c r="D17" s="161" t="s">
        <v>126</v>
      </c>
      <c r="E17" s="162" t="s">
        <v>307</v>
      </c>
      <c r="F17" s="162" t="s">
        <v>419</v>
      </c>
      <c r="G17" s="62" t="str">
        <f t="shared" si="0"/>
        <v>[effect:enemy_message, val1:1.4, val2:3.0]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si="5"/>
        <v>[effect:freq_turn, target:myself, turn:-1, val:1, animation:enemy_freq_turn],[effect:enemy_counter, target:myself, invoke_condition:unit_all, counter_target:attacker, turn:-1, val:0.5, animation:enemy_counter]</v>
      </c>
      <c r="N17" s="48" t="str">
        <f>IFERROR(LEFT(M17,FIND("],",M17)+S28),M17)</f>
        <v>[effect:freq_turn, target:myself, turn:-1, val:1, animation:enemy_freq_turn],[effect:enemy_counter, target:myself, invoke_condition:unit_all, counter_target:attacker, turn:-1, val:0.5, animation:enemy_counter]</v>
      </c>
      <c r="O17" s="62">
        <f t="shared" si="6"/>
        <v>9</v>
      </c>
      <c r="P17" s="62">
        <f t="shared" si="7"/>
        <v>18</v>
      </c>
      <c r="Q17" s="62">
        <f t="shared" si="8"/>
        <v>27</v>
      </c>
      <c r="R17" s="62">
        <f t="shared" si="9"/>
        <v>33</v>
      </c>
      <c r="S17" s="62" t="str">
        <f>IFERROR(VLOOKUP(MID(N17,Q17,R17-Q17),[5]skilldef!$C:$D,2,FALSE),"-") &amp; " / " &amp; IFERROR(VLOOKUP(MID(N17,O17,P17-O17),[5]skilldef!$A:$B,2,FALSE),"-")</f>
        <v>自分自身に / 攻撃頻度がUP</v>
      </c>
      <c r="T17" s="48" t="str">
        <f t="shared" si="10"/>
        <v>[effect:enemy_counter, target:myself, invoke_condition:unit_all, counter_target:attacker, turn:-1, val:0.5, animation:enemy_counter]</v>
      </c>
      <c r="U17" s="62">
        <f t="shared" si="11"/>
        <v>9</v>
      </c>
      <c r="V17" s="62">
        <f t="shared" si="12"/>
        <v>22</v>
      </c>
      <c r="W17" s="62">
        <f t="shared" si="13"/>
        <v>31</v>
      </c>
      <c r="X17" s="62">
        <f t="shared" si="14"/>
        <v>37</v>
      </c>
      <c r="Y17" s="62" t="str">
        <f>IFERROR(VLOOKUP(MID(T17,W17,X17-W17),[5]skilldef!$C:$D,2,FALSE),"-") &amp; " / " &amp; IFERROR(VLOOKUP(MID(T17,U17,V17-U17),[5]skilldef!$A:$B,2,FALSE),"-")</f>
        <v>自分自身に / カウンター</v>
      </c>
      <c r="Z17" s="50"/>
      <c r="AA17" s="52"/>
      <c r="AB17" s="50"/>
    </row>
    <row r="18" spans="1:28" ht="21" customHeight="1" thickTop="1" thickBot="1" x14ac:dyDescent="0.25">
      <c r="A18" s="150">
        <v>48011017</v>
      </c>
      <c r="B18" s="208" t="s">
        <v>368</v>
      </c>
      <c r="C18" s="197">
        <v>1</v>
      </c>
      <c r="D18" s="197" t="s">
        <v>126</v>
      </c>
      <c r="E18" s="209" t="s">
        <v>322</v>
      </c>
      <c r="F18" s="198" t="s">
        <v>357</v>
      </c>
      <c r="G18" s="62" t="str">
        <f t="shared" ref="G18" si="15">IFERROR(LEFT(B18,FIND("],",B18)),B18)</f>
        <v>[effect:enemy_message, val1:1.2, val2:1.8]</v>
      </c>
      <c r="H18" s="62">
        <f t="shared" si="1"/>
        <v>9</v>
      </c>
      <c r="I18" s="62">
        <f t="shared" ref="I18" si="16">IFERROR(FIND(",",G18),LEN(G18))</f>
        <v>22</v>
      </c>
      <c r="J18" s="62" t="e">
        <f t="shared" ref="J18" si="17">FIND("target:",G18)+7</f>
        <v>#VALUE!</v>
      </c>
      <c r="K18" s="62">
        <f t="shared" ref="K18" si="18">FIND(",",G18,I18+1)</f>
        <v>32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ref="M18" si="19">IFERROR(RIGHT(B18,LEN(B18)-FIND("],",B18)-1),"none")</f>
        <v>[effect:break_attack_fix, target:unit_one, val:200, lowest_val:3500, count:5, color:green, block01:block_yellow],[effect:fix_speed, target:myself, turn:2]</v>
      </c>
      <c r="N18" s="48" t="str">
        <f>IFERROR(LEFT(M18,FIND("],",M18)+S33),M18)</f>
        <v>[effect:break_attack_fix, target:unit_one, val:200, lowest_val:3500, count:5, color:green, block01:block_yellow],[effect:fix_speed, target:myself, turn:2]</v>
      </c>
      <c r="O18" s="62">
        <f t="shared" si="6"/>
        <v>9</v>
      </c>
      <c r="P18" s="62">
        <f t="shared" ref="P18" si="20">IFERROR(FIND(",",N18),LEN(N18))</f>
        <v>25</v>
      </c>
      <c r="Q18" s="62">
        <f t="shared" ref="Q18" si="21">FIND("target:",N18)+7</f>
        <v>34</v>
      </c>
      <c r="R18" s="62">
        <f t="shared" ref="R18" si="22">FIND(",",N18,P18+1)</f>
        <v>42</v>
      </c>
      <c r="S18" s="62" t="str">
        <f>IFERROR(VLOOKUP(MID(N18,Q18,R18-Q18),[5]skilldef!$C:$D,2,FALSE),"-") &amp; " / " &amp; IFERROR(VLOOKUP(MID(N18,O18,P18-O18),[5]skilldef!$A:$B,2,FALSE),"-")</f>
        <v>味方単体に / -</v>
      </c>
      <c r="T18" s="48" t="str">
        <f t="shared" ref="T18" si="23">IFERROR(RIGHT(M18,LEN(M18)-FIND("],",M18)-1),"none")</f>
        <v>[effect:fix_speed, target:myself, turn:2]</v>
      </c>
      <c r="U18" s="62">
        <f t="shared" si="11"/>
        <v>9</v>
      </c>
      <c r="V18" s="62">
        <f t="shared" ref="V18" si="24">IFERROR(FIND(",",T18),LEN(T18))</f>
        <v>18</v>
      </c>
      <c r="W18" s="62">
        <f t="shared" ref="W18" si="25">FIND("target:",T18)+7</f>
        <v>27</v>
      </c>
      <c r="X18" s="62">
        <f t="shared" ref="X18" si="26">FIND(",",T18,V18+1)</f>
        <v>33</v>
      </c>
      <c r="Y18" s="62" t="str">
        <f>IFERROR(VLOOKUP(MID(T18,W18,X18-W18),[5]skilldef!$C:$D,2,FALSE),"-") &amp; " / " &amp; IFERROR(VLOOKUP(MID(T18,U18,V18-U18),[5]skilldef!$A:$B,2,FALSE),"-")</f>
        <v>自分自身に / 行動値設定</v>
      </c>
      <c r="Z18" s="50"/>
      <c r="AA18" s="52"/>
      <c r="AB18" s="50"/>
    </row>
    <row r="19" spans="1:28" ht="39" customHeight="1" thickTop="1" x14ac:dyDescent="0.2">
      <c r="A19" s="150">
        <v>48011018</v>
      </c>
      <c r="B19" s="157" t="s">
        <v>394</v>
      </c>
      <c r="C19" s="158">
        <v>1</v>
      </c>
      <c r="D19" s="158" t="s">
        <v>126</v>
      </c>
      <c r="E19" s="194" t="s">
        <v>347</v>
      </c>
      <c r="F19" s="159" t="s">
        <v>426</v>
      </c>
      <c r="G19" s="62" t="str">
        <f t="shared" si="0"/>
        <v>[effect:enemy_message, val1:1.8, val2:2.8]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5"/>
        <v>[effect:drop_freeze, turn:5, block_type:normal, block_color:block_heart, rate:1, animation:drop_protect],[effect:fix_speed, target:myself, turn:2]</v>
      </c>
      <c r="N19" s="48" t="str">
        <f>IFERROR(LEFT(M19,FIND("],",M19)+S33),M19)</f>
        <v>[effect:drop_freeze, turn:5, block_type:normal, block_color:block_heart, rate:1, animation:drop_protect],[effect:fix_speed, target:myself, turn:2]</v>
      </c>
      <c r="O19" s="62">
        <f t="shared" si="6"/>
        <v>9</v>
      </c>
      <c r="P19" s="62">
        <f t="shared" si="7"/>
        <v>20</v>
      </c>
      <c r="Q19" s="62">
        <f t="shared" si="8"/>
        <v>132</v>
      </c>
      <c r="R19" s="62">
        <f t="shared" si="9"/>
        <v>28</v>
      </c>
      <c r="S19" s="62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[effect:fix_speed, target:myself, turn:2]</v>
      </c>
      <c r="U19" s="62">
        <f t="shared" si="11"/>
        <v>9</v>
      </c>
      <c r="V19" s="62">
        <f t="shared" si="12"/>
        <v>18</v>
      </c>
      <c r="W19" s="62">
        <f t="shared" si="13"/>
        <v>27</v>
      </c>
      <c r="X19" s="62">
        <f t="shared" si="14"/>
        <v>33</v>
      </c>
      <c r="Y19" s="62" t="str">
        <f>IFERROR(VLOOKUP(MID(T19,W19,X19-W19),[5]skilldef!$C:$D,2,FALSE),"-") &amp; " / " &amp; IFERROR(VLOOKUP(MID(T19,U19,V19-U19),[5]skilldef!$A:$B,2,FALSE),"-")</f>
        <v>自分自身に / 行動値設定</v>
      </c>
      <c r="Z19" s="50"/>
      <c r="AA19" s="52"/>
      <c r="AB19" s="50"/>
    </row>
    <row r="20" spans="1:28" ht="21" customHeight="1" x14ac:dyDescent="0.2">
      <c r="A20" s="150">
        <v>48011019</v>
      </c>
      <c r="B20" s="156" t="s">
        <v>371</v>
      </c>
      <c r="C20" s="50">
        <v>1</v>
      </c>
      <c r="D20" s="50" t="s">
        <v>126</v>
      </c>
      <c r="E20" s="194" t="s">
        <v>311</v>
      </c>
      <c r="F20" s="51" t="s">
        <v>358</v>
      </c>
      <c r="G20" s="62" t="str">
        <f t="shared" si="0"/>
        <v>[effect:enemy_message, val1:1.3, val2:2.0]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si="5"/>
        <v>[effect:break_attack_fix, target:unit_one, val:500, lowest_val:6500, count:10, color:green, block01:block_heart]</v>
      </c>
      <c r="N20" s="48" t="str">
        <f>IFERROR(LEFT(M20,FIND("],",M20)+S34),M20)</f>
        <v>[effect:break_attack_fix, target:unit_one, val:500, lowest_val:6500, count:10, color:green, block01:block_heart]</v>
      </c>
      <c r="O20" s="62">
        <f t="shared" si="6"/>
        <v>9</v>
      </c>
      <c r="P20" s="62">
        <f t="shared" si="7"/>
        <v>25</v>
      </c>
      <c r="Q20" s="62">
        <f t="shared" si="8"/>
        <v>34</v>
      </c>
      <c r="R20" s="62">
        <f t="shared" si="9"/>
        <v>42</v>
      </c>
      <c r="S20" s="62" t="str">
        <f>IFERROR(VLOOKUP(MID(N20,Q20,R20-Q20),[5]skilldef!$C:$D,2,FALSE),"-") &amp; " / " &amp; IFERROR(VLOOKUP(MID(N20,O20,P20-O20),[5]skilldef!$A:$B,2,FALSE),"-")</f>
        <v>味方単体に / -</v>
      </c>
      <c r="T20" s="48" t="str">
        <f t="shared" si="10"/>
        <v>none</v>
      </c>
      <c r="U20" s="62" t="e">
        <f t="shared" si="11"/>
        <v>#VALUE!</v>
      </c>
      <c r="V20" s="62">
        <f t="shared" si="12"/>
        <v>4</v>
      </c>
      <c r="W20" s="62" t="e">
        <f t="shared" si="13"/>
        <v>#VALUE!</v>
      </c>
      <c r="X20" s="62" t="e">
        <f t="shared" si="14"/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2">
      <c r="A21" s="150">
        <v>48011020</v>
      </c>
      <c r="B21" s="156" t="s">
        <v>414</v>
      </c>
      <c r="C21" s="50">
        <v>1</v>
      </c>
      <c r="D21" s="50" t="s">
        <v>126</v>
      </c>
      <c r="E21" s="194" t="s">
        <v>309</v>
      </c>
      <c r="F21" s="51" t="s">
        <v>320</v>
      </c>
      <c r="G21" s="62" t="str">
        <f t="shared" si="0"/>
        <v>[effect:enemy_message, val1:1.3, val2:1.5]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5"/>
        <v>[effect:virus, turn:2, rate:1, val:0.1, animation:enemy_virus],[effect:rush, count:1, val:0.9]</v>
      </c>
      <c r="N21" s="48" t="str">
        <f>IFERROR(LEFT(M21,FIND("],",M21)+S32),M21)</f>
        <v>[effect:virus, turn:2, rate:1, val:0.1, animation:enemy_virus],[effect:rush, count:1, val:0.9]</v>
      </c>
      <c r="O21" s="62">
        <f t="shared" si="6"/>
        <v>9</v>
      </c>
      <c r="P21" s="62">
        <f t="shared" si="7"/>
        <v>14</v>
      </c>
      <c r="Q21" s="62" t="e">
        <f t="shared" si="8"/>
        <v>#VALUE!</v>
      </c>
      <c r="R21" s="62">
        <f t="shared" si="9"/>
        <v>22</v>
      </c>
      <c r="S21" s="62" t="str">
        <f>IFERROR(VLOOKUP(MID(N21,Q21,R21-Q21),[5]skilldef!$C:$D,2,FALSE),"-") &amp; " / " &amp; IFERROR(VLOOKUP(MID(N21,O21,P21-O21),[5]skilldef!$A:$B,2,FALSE),"-")</f>
        <v>- / ウィルス</v>
      </c>
      <c r="T21" s="48" t="str">
        <f t="shared" si="10"/>
        <v>[effect:rush, count:1, val:0.9]</v>
      </c>
      <c r="U21" s="62">
        <f t="shared" si="11"/>
        <v>9</v>
      </c>
      <c r="V21" s="62">
        <f t="shared" si="12"/>
        <v>13</v>
      </c>
      <c r="W21" s="62" t="e">
        <f t="shared" si="13"/>
        <v>#VALUE!</v>
      </c>
      <c r="X21" s="62">
        <f t="shared" si="14"/>
        <v>22</v>
      </c>
      <c r="Y21" s="62" t="str">
        <f>IFERROR(VLOOKUP(MID(T21,W21,X21-W21),[5]skilldef!$C:$D,2,FALSE),"-") &amp; " / " &amp; IFERROR(VLOOKUP(MID(T21,U21,V21-U21),[5]skilldef!$A:$B,2,FALSE),"-")</f>
        <v>- / 連続攻撃</v>
      </c>
      <c r="Z21" s="50"/>
      <c r="AA21" s="52"/>
      <c r="AB21" s="50"/>
    </row>
    <row r="22" spans="1:28" ht="21" customHeight="1" x14ac:dyDescent="0.2">
      <c r="A22" s="150">
        <v>48011021</v>
      </c>
      <c r="B22" s="156" t="s">
        <v>412</v>
      </c>
      <c r="C22" s="50">
        <v>1</v>
      </c>
      <c r="D22" s="50" t="s">
        <v>126</v>
      </c>
      <c r="E22" s="194" t="s">
        <v>312</v>
      </c>
      <c r="F22" s="51" t="s">
        <v>291</v>
      </c>
      <c r="G22" s="62" t="str">
        <f t="shared" si="0"/>
        <v>[effect:enemy_message, val1:1.3, val2:1.7]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si="5"/>
        <v>[effect:rush, count:1, val:0.95]</v>
      </c>
      <c r="N22" s="48" t="str">
        <f>IFERROR(LEFT(M22,FIND("],",M22)+S30),M22)</f>
        <v>[effect:rush, count:1, val:0.95]</v>
      </c>
      <c r="O22" s="62">
        <f t="shared" si="6"/>
        <v>9</v>
      </c>
      <c r="P22" s="62">
        <f t="shared" si="7"/>
        <v>13</v>
      </c>
      <c r="Q22" s="62" t="e">
        <f t="shared" si="8"/>
        <v>#VALUE!</v>
      </c>
      <c r="R22" s="62">
        <f t="shared" si="9"/>
        <v>22</v>
      </c>
      <c r="S22" s="62" t="str">
        <f>IFERROR(VLOOKUP(MID(N22,Q22,R22-Q22),[5]skilldef!$C:$D,2,FALSE),"-") &amp; " / " &amp; IFERROR(VLOOKUP(MID(N22,O22,P22-O22),[5]skilldef!$A:$B,2,FALSE),"-")</f>
        <v>- / 連続攻撃</v>
      </c>
      <c r="T22" s="48" t="str">
        <f t="shared" si="10"/>
        <v>none</v>
      </c>
      <c r="U22" s="62" t="e">
        <f t="shared" si="11"/>
        <v>#VALUE!</v>
      </c>
      <c r="V22" s="62">
        <f t="shared" si="12"/>
        <v>4</v>
      </c>
      <c r="W22" s="62" t="e">
        <f t="shared" si="13"/>
        <v>#VALUE!</v>
      </c>
      <c r="X22" s="62" t="e">
        <f t="shared" si="14"/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2">
      <c r="A23" s="150">
        <v>48011022</v>
      </c>
      <c r="B23" s="156" t="s">
        <v>372</v>
      </c>
      <c r="C23" s="50">
        <v>1</v>
      </c>
      <c r="D23" s="50" t="s">
        <v>126</v>
      </c>
      <c r="E23" s="194" t="s">
        <v>312</v>
      </c>
      <c r="F23" s="51" t="s">
        <v>290</v>
      </c>
      <c r="G23" s="62" t="str">
        <f t="shared" si="0"/>
        <v>[effect:enemy_message, val1:1.3, val2:1.7]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5"/>
        <v>[effect:critical, val:1.2, animation:enemy_critical]</v>
      </c>
      <c r="N23" s="48" t="str">
        <f>IFERROR(LEFT(M23,FIND("],",M23)+S31),M23)</f>
        <v>[effect:critical, val:1.2, animation:enemy_critical]</v>
      </c>
      <c r="O23" s="62">
        <f t="shared" si="6"/>
        <v>9</v>
      </c>
      <c r="P23" s="62">
        <f t="shared" si="7"/>
        <v>17</v>
      </c>
      <c r="Q23" s="62" t="e">
        <f t="shared" si="8"/>
        <v>#VALUE!</v>
      </c>
      <c r="R23" s="62">
        <f t="shared" si="9"/>
        <v>26</v>
      </c>
      <c r="S23" s="62" t="str">
        <f>IFERROR(VLOOKUP(MID(N23,Q23,R23-Q23),[5]skilldef!$C:$D,2,FALSE),"-") &amp; " / " &amp; IFERROR(VLOOKUP(MID(N23,O23,P23-O23),[5]skilldef!$A:$B,2,FALSE),"-")</f>
        <v>- / 大攻撃</v>
      </c>
      <c r="T23" s="48" t="str">
        <f t="shared" si="10"/>
        <v>none</v>
      </c>
      <c r="U23" s="62" t="e">
        <f t="shared" si="11"/>
        <v>#VALUE!</v>
      </c>
      <c r="V23" s="62">
        <f t="shared" si="12"/>
        <v>4</v>
      </c>
      <c r="W23" s="62" t="e">
        <f t="shared" si="13"/>
        <v>#VALUE!</v>
      </c>
      <c r="X23" s="62" t="e">
        <f t="shared" si="14"/>
        <v>#VALUE!</v>
      </c>
      <c r="Y23" s="62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2">
      <c r="A24" s="150">
        <v>48011023</v>
      </c>
      <c r="B24" s="156" t="s">
        <v>373</v>
      </c>
      <c r="C24" s="50">
        <v>1</v>
      </c>
      <c r="D24" s="50" t="s">
        <v>126</v>
      </c>
      <c r="E24" s="194" t="s">
        <v>312</v>
      </c>
      <c r="F24" s="51" t="s">
        <v>290</v>
      </c>
      <c r="G24" s="62" t="str">
        <f t="shared" si="0"/>
        <v>[effect:enemy_message, val1:1.3, val2:1.7]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si="5"/>
        <v>[effect:critical, val:1.55, animation:enemy_critical]</v>
      </c>
      <c r="N24" s="48" t="str">
        <f>IFERROR(LEFT(M24,FIND("],",M24)+#REF!),M24)</f>
        <v>[effect:critical, val:1.55, animation:enemy_critical]</v>
      </c>
      <c r="O24" s="62">
        <f t="shared" si="6"/>
        <v>9</v>
      </c>
      <c r="P24" s="62">
        <f t="shared" si="7"/>
        <v>17</v>
      </c>
      <c r="Q24" s="62" t="e">
        <f t="shared" si="8"/>
        <v>#VALUE!</v>
      </c>
      <c r="R24" s="62">
        <f t="shared" si="9"/>
        <v>27</v>
      </c>
      <c r="S24" s="62" t="str">
        <f>IFERROR(VLOOKUP(MID(N24,Q24,R24-Q24),[5]skilldef!$C:$D,2,FALSE),"-") &amp; " / " &amp; IFERROR(VLOOKUP(MID(N24,O24,P24-O24),[5]skilldef!$A:$B,2,FALSE),"-")</f>
        <v>- / 大攻撃</v>
      </c>
      <c r="T24" s="48" t="str">
        <f t="shared" si="10"/>
        <v>none</v>
      </c>
      <c r="U24" s="62" t="e">
        <f t="shared" si="11"/>
        <v>#VALUE!</v>
      </c>
      <c r="V24" s="62">
        <f t="shared" si="12"/>
        <v>4</v>
      </c>
      <c r="W24" s="62" t="e">
        <f t="shared" si="13"/>
        <v>#VALUE!</v>
      </c>
      <c r="X24" s="62" t="e">
        <f t="shared" si="14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thickBot="1" x14ac:dyDescent="0.25">
      <c r="A25" s="150">
        <v>48011024</v>
      </c>
      <c r="B25" s="160" t="s">
        <v>423</v>
      </c>
      <c r="C25" s="161">
        <v>1</v>
      </c>
      <c r="D25" s="161" t="s">
        <v>126</v>
      </c>
      <c r="E25" s="162" t="s">
        <v>310</v>
      </c>
      <c r="F25" s="162" t="s">
        <v>424</v>
      </c>
      <c r="G25" s="62" t="str">
        <f t="shared" si="0"/>
        <v>[effect:enemy_message, val1:1.3, val2:1.4]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5"/>
        <v>[effect:spread, val:0.26],[effect:virus, turn:3, rate:1, val:0.13, animation:enemy_virus]</v>
      </c>
      <c r="N25" s="48" t="str">
        <f>IFERROR(LEFT(M25,FIND("],",M25)+#REF!),M25)</f>
        <v>[effect:spread, val:0.26],[effect:virus, turn:3, rate:1, val:0.13, animation:enemy_virus]</v>
      </c>
      <c r="O25" s="62">
        <f t="shared" si="6"/>
        <v>9</v>
      </c>
      <c r="P25" s="62">
        <f t="shared" si="7"/>
        <v>15</v>
      </c>
      <c r="Q25" s="62" t="e">
        <f t="shared" si="8"/>
        <v>#VALUE!</v>
      </c>
      <c r="R25" s="62">
        <f t="shared" si="9"/>
        <v>26</v>
      </c>
      <c r="S25" s="62" t="str">
        <f>IFERROR(VLOOKUP(MID(N25,Q25,R25-Q25),[5]skilldef!$C:$D,2,FALSE),"-") &amp; " / " &amp; IFERROR(VLOOKUP(MID(N25,O25,P25-O25),[5]skilldef!$A:$B,2,FALSE),"-")</f>
        <v>- / 全体攻撃</v>
      </c>
      <c r="T25" s="48" t="str">
        <f t="shared" si="10"/>
        <v>[effect:virus, turn:3, rate:1, val:0.13, animation:enemy_virus]</v>
      </c>
      <c r="U25" s="62">
        <f t="shared" si="11"/>
        <v>9</v>
      </c>
      <c r="V25" s="62">
        <f t="shared" si="12"/>
        <v>14</v>
      </c>
      <c r="W25" s="62" t="e">
        <f t="shared" si="13"/>
        <v>#VALUE!</v>
      </c>
      <c r="X25" s="62">
        <f t="shared" si="14"/>
        <v>22</v>
      </c>
      <c r="Y25" s="62" t="str">
        <f>IFERROR(VLOOKUP(MID(T25,W25,X25-W25),[5]skilldef!$C:$D,2,FALSE),"-") &amp; " / " &amp; IFERROR(VLOOKUP(MID(T25,U25,V25-U25),[5]skilldef!$A:$B,2,FALSE),"-")</f>
        <v>- / ウィルス</v>
      </c>
      <c r="Z25" s="50"/>
      <c r="AA25" s="52"/>
      <c r="AB25" s="50"/>
    </row>
    <row r="26" spans="1:28" ht="43" customHeight="1" thickTop="1" x14ac:dyDescent="0.2">
      <c r="A26" s="150">
        <v>48011025</v>
      </c>
      <c r="B26" s="157" t="s">
        <v>397</v>
      </c>
      <c r="C26" s="158">
        <v>1</v>
      </c>
      <c r="D26" s="158" t="s">
        <v>126</v>
      </c>
      <c r="E26" s="159" t="s">
        <v>306</v>
      </c>
      <c r="F26" s="159" t="s">
        <v>288</v>
      </c>
      <c r="G26" s="62" t="str">
        <f t="shared" si="0"/>
        <v>[effect:enemy_message, val1:2.3, val2:3.0]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5"/>
        <v>[effect:guard_break, target:enemy_all, turn:1, val:1.0, calc:mul],[effect:fix_speed, target:myself, turn:1]</v>
      </c>
      <c r="N26" s="48" t="str">
        <f>IFERROR(LEFT(M26,FIND("],",M26)+S35),M26)</f>
        <v>[effect:guard_break, target:enemy_all, turn:1, val:1.0, calc:mul],[effect:fix_speed, target:myself, turn:1]</v>
      </c>
      <c r="O26" s="62">
        <f t="shared" si="6"/>
        <v>9</v>
      </c>
      <c r="P26" s="62">
        <f t="shared" si="7"/>
        <v>20</v>
      </c>
      <c r="Q26" s="62">
        <f t="shared" si="8"/>
        <v>29</v>
      </c>
      <c r="R26" s="62">
        <f t="shared" si="9"/>
        <v>38</v>
      </c>
      <c r="S26" s="62" t="str">
        <f>IFERROR(VLOOKUP(MID(N26,Q26,R26-Q26),[5]skilldef!$C:$D,2,FALSE),"-") &amp; " / " &amp; IFERROR(VLOOKUP(MID(N26,O26,P26-O26),[5]skilldef!$A:$B,2,FALSE),"-")</f>
        <v>敵全体に / -</v>
      </c>
      <c r="T26" s="48" t="str">
        <f t="shared" si="10"/>
        <v>[effect:fix_speed, target:myself, turn:1]</v>
      </c>
      <c r="U26" s="62">
        <f t="shared" si="11"/>
        <v>9</v>
      </c>
      <c r="V26" s="62">
        <f t="shared" si="12"/>
        <v>18</v>
      </c>
      <c r="W26" s="62">
        <f t="shared" si="13"/>
        <v>27</v>
      </c>
      <c r="X26" s="62">
        <f t="shared" si="14"/>
        <v>33</v>
      </c>
      <c r="Y26" s="62" t="str">
        <f>IFERROR(VLOOKUP(MID(T26,W26,X26-W26),[5]skilldef!$C:$D,2,FALSE),"-") &amp; " / " &amp; IFERROR(VLOOKUP(MID(T26,U26,V26-U26),[5]skilldef!$A:$B,2,FALSE),"-")</f>
        <v>自分自身に / 行動値設定</v>
      </c>
      <c r="Z26" s="50"/>
      <c r="AA26" s="52"/>
      <c r="AB26" s="50"/>
    </row>
    <row r="27" spans="1:28" ht="43" customHeight="1" x14ac:dyDescent="0.2">
      <c r="A27" s="150">
        <v>48011026</v>
      </c>
      <c r="B27" s="157" t="s">
        <v>398</v>
      </c>
      <c r="C27" s="50">
        <v>1</v>
      </c>
      <c r="D27" s="50" t="s">
        <v>126</v>
      </c>
      <c r="E27" s="191" t="s">
        <v>302</v>
      </c>
      <c r="F27" s="192" t="s">
        <v>288</v>
      </c>
      <c r="G27" s="62" t="str">
        <f t="shared" si="0"/>
        <v>[effect:enemy_message, val1:2.5, val2:3.0]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5"/>
        <v>[effect:guard_break, target:enemy_all, turn:1, val:1.0, calc:mul],[effect:fix_speed, target:myself, turn:1]</v>
      </c>
      <c r="N27" s="48" t="str">
        <f>IFERROR(LEFT(M27,FIND("],",M27)+S36),M27)</f>
        <v>[effect:guard_break, target:enemy_all, turn:1, val:1.0, calc:mul],[effect:fix_speed, target:myself, turn:1]</v>
      </c>
      <c r="O27" s="62">
        <f t="shared" si="6"/>
        <v>9</v>
      </c>
      <c r="P27" s="62">
        <f t="shared" si="7"/>
        <v>20</v>
      </c>
      <c r="Q27" s="62">
        <f t="shared" si="8"/>
        <v>29</v>
      </c>
      <c r="R27" s="62">
        <f t="shared" si="9"/>
        <v>38</v>
      </c>
      <c r="S27" s="62" t="str">
        <f>IFERROR(VLOOKUP(MID(N27,Q27,R27-Q27),[5]skilldef!$C:$D,2,FALSE),"-") &amp; " / " &amp; IFERROR(VLOOKUP(MID(N27,O27,P27-O27),[5]skilldef!$A:$B,2,FALSE),"-")</f>
        <v>敵全体に / -</v>
      </c>
      <c r="T27" s="48" t="str">
        <f t="shared" si="10"/>
        <v>[effect:fix_speed, target:myself, turn:1]</v>
      </c>
      <c r="U27" s="62">
        <f t="shared" si="11"/>
        <v>9</v>
      </c>
      <c r="V27" s="62">
        <f t="shared" si="12"/>
        <v>18</v>
      </c>
      <c r="W27" s="62">
        <f t="shared" si="13"/>
        <v>27</v>
      </c>
      <c r="X27" s="62">
        <f t="shared" si="14"/>
        <v>33</v>
      </c>
      <c r="Y27" s="62" t="str">
        <f>IFERROR(VLOOKUP(MID(T27,W27,X27-W27),[5]skilldef!$C:$D,2,FALSE),"-") &amp; " / " &amp; IFERROR(VLOOKUP(MID(T27,U27,V27-U27),[5]skilldef!$A:$B,2,FALSE),"-")</f>
        <v>自分自身に / 行動値設定</v>
      </c>
      <c r="Z27" s="50"/>
      <c r="AA27" s="52"/>
      <c r="AB27" s="50"/>
    </row>
    <row r="28" spans="1:28" ht="43" customHeight="1" x14ac:dyDescent="0.2">
      <c r="A28" s="150">
        <v>48011027</v>
      </c>
      <c r="B28" s="157" t="s">
        <v>399</v>
      </c>
      <c r="C28" s="50">
        <v>1</v>
      </c>
      <c r="D28" s="50" t="s">
        <v>126</v>
      </c>
      <c r="E28" s="191" t="s">
        <v>302</v>
      </c>
      <c r="F28" s="192" t="s">
        <v>288</v>
      </c>
      <c r="G28" s="62" t="str">
        <f t="shared" si="0"/>
        <v>[effect:enemy_message, val1:2.5, val2:3.0]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si="5"/>
        <v>[effect:guard_break, target:enemy_all, turn:1, val:1.0, calc:mul],[effect:fix_speed, target:myself, turn:1]</v>
      </c>
      <c r="N28" s="48" t="str">
        <f>IFERROR(LEFT(M28,FIND("],",M28)+S41),M28)</f>
        <v>[effect:guard_break, target:enemy_all, turn:1, val:1.0, calc:mul],[effect:fix_speed, target:myself, turn:1]</v>
      </c>
      <c r="O28" s="62">
        <f t="shared" si="6"/>
        <v>9</v>
      </c>
      <c r="P28" s="62">
        <f t="shared" si="7"/>
        <v>20</v>
      </c>
      <c r="Q28" s="62">
        <f t="shared" si="8"/>
        <v>29</v>
      </c>
      <c r="R28" s="62">
        <f t="shared" si="9"/>
        <v>38</v>
      </c>
      <c r="S28" s="62" t="str">
        <f>IFERROR(VLOOKUP(MID(N28,Q28,R28-Q28),[5]skilldef!$C:$D,2,FALSE),"-") &amp; " / " &amp; IFERROR(VLOOKUP(MID(N28,O28,P28-O28),[5]skilldef!$A:$B,2,FALSE),"-")</f>
        <v>敵全体に / -</v>
      </c>
      <c r="T28" s="48" t="str">
        <f t="shared" si="10"/>
        <v>[effect:fix_speed, target:myself, turn:1]</v>
      </c>
      <c r="U28" s="62">
        <f t="shared" si="11"/>
        <v>9</v>
      </c>
      <c r="V28" s="62">
        <f t="shared" si="12"/>
        <v>18</v>
      </c>
      <c r="W28" s="62">
        <f t="shared" si="13"/>
        <v>27</v>
      </c>
      <c r="X28" s="62">
        <f t="shared" si="14"/>
        <v>33</v>
      </c>
      <c r="Y28" s="62" t="str">
        <f>IFERROR(VLOOKUP(MID(T28,W28,X28-W28),[5]skilldef!$C:$D,2,FALSE),"-") &amp; " / " &amp; IFERROR(VLOOKUP(MID(T28,U28,V28-U28),[5]skilldef!$A:$B,2,FALSE),"-")</f>
        <v>自分自身に / 行動値設定</v>
      </c>
      <c r="Z28" s="50"/>
      <c r="AA28" s="52"/>
      <c r="AB28" s="50"/>
    </row>
    <row r="29" spans="1:28" ht="42" customHeight="1" x14ac:dyDescent="0.2">
      <c r="A29" s="150">
        <v>48011028</v>
      </c>
      <c r="B29" s="156" t="s">
        <v>400</v>
      </c>
      <c r="C29" s="50">
        <v>1</v>
      </c>
      <c r="D29" s="50" t="s">
        <v>126</v>
      </c>
      <c r="E29" s="193" t="s">
        <v>355</v>
      </c>
      <c r="F29" s="51" t="s">
        <v>425</v>
      </c>
      <c r="G29" s="62" t="str">
        <f t="shared" ref="G29" si="27">IFERROR(LEFT(B29,FIND("],",B29)),B29)</f>
        <v>[effect:enemy_message, val1:1.6, val2:3.0]</v>
      </c>
      <c r="H29" s="62">
        <f t="shared" ref="H29" si="28">FIND("effect:",G29)+7</f>
        <v>9</v>
      </c>
      <c r="I29" s="62">
        <f t="shared" ref="I29" si="29">IFERROR(FIND(",",G29),LEN(G29))</f>
        <v>22</v>
      </c>
      <c r="J29" s="62" t="e">
        <f t="shared" ref="J29" si="30">FIND("target:",G29)+7</f>
        <v>#VALUE!</v>
      </c>
      <c r="K29" s="62">
        <f t="shared" ref="K29" si="31">FIND(",",G29,I29+1)</f>
        <v>32</v>
      </c>
      <c r="L29" s="62" t="str">
        <f>IFERROR(VLOOKUP(MID(G29,J29,K29-J29),[5]skilldef!$C:$D,2,FALSE),"-") &amp; " / " &amp; IFERROR(VLOOKUP(MID(G29,H29,I29-H29),[5]skilldef!$A:$B,2,FALSE),"-")</f>
        <v>- / -</v>
      </c>
      <c r="M29" s="62" t="str">
        <f t="shared" ref="M29" si="32">IFERROR(RIGHT(B29,LEN(B29)-FIND("],",B29)-1),"none")</f>
        <v>[effect:rush, count:5, val:0.22]</v>
      </c>
      <c r="N29" s="48" t="str">
        <f>IFERROR(LEFT(M29,FIND("],",M29)+S39),M29)</f>
        <v>[effect:rush, count:5, val:0.22]</v>
      </c>
      <c r="O29" s="62">
        <f t="shared" ref="O29" si="33">FIND("effect:",N29)+7</f>
        <v>9</v>
      </c>
      <c r="P29" s="62">
        <f t="shared" ref="P29" si="34">IFERROR(FIND(",",N29),LEN(N29))</f>
        <v>13</v>
      </c>
      <c r="Q29" s="62" t="e">
        <f t="shared" ref="Q29" si="35">FIND("target:",N29)+7</f>
        <v>#VALUE!</v>
      </c>
      <c r="R29" s="62">
        <f t="shared" ref="R29" si="36">FIND(",",N29,P29+1)</f>
        <v>22</v>
      </c>
      <c r="S29" s="62" t="str">
        <f>IFERROR(VLOOKUP(MID(N29,Q29,R29-Q29),[5]skilldef!$C:$D,2,FALSE),"-") &amp; " / " &amp; IFERROR(VLOOKUP(MID(N29,O29,P29-O29),[5]skilldef!$A:$B,2,FALSE),"-")</f>
        <v>- / 連続攻撃</v>
      </c>
      <c r="T29" s="48" t="str">
        <f t="shared" ref="T29" si="37">IFERROR(RIGHT(M29,LEN(M29)-FIND("],",M29)-1),"none")</f>
        <v>none</v>
      </c>
      <c r="U29" s="62" t="e">
        <f t="shared" ref="U29" si="38">FIND("effect:",T29)+7</f>
        <v>#VALUE!</v>
      </c>
      <c r="V29" s="62">
        <f t="shared" ref="V29" si="39">IFERROR(FIND(",",T29),LEN(T29))</f>
        <v>4</v>
      </c>
      <c r="W29" s="62" t="e">
        <f t="shared" ref="W29" si="40">FIND("target:",T29)+7</f>
        <v>#VALUE!</v>
      </c>
      <c r="X29" s="62" t="e">
        <f t="shared" ref="X29" si="41">FIND(",",T29,V29+1)</f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41" customHeight="1" x14ac:dyDescent="0.2">
      <c r="A30" s="150">
        <v>48011029</v>
      </c>
      <c r="B30" s="157" t="s">
        <v>405</v>
      </c>
      <c r="C30" s="50">
        <v>1</v>
      </c>
      <c r="D30" s="50" t="s">
        <v>126</v>
      </c>
      <c r="E30" s="51" t="s">
        <v>289</v>
      </c>
      <c r="F30" s="159" t="s">
        <v>343</v>
      </c>
      <c r="G30" s="62" t="str">
        <f>IFERROR(LEFT(B30,FIND("],",B30)),B30)</f>
        <v>[effect:enemy_message, val1:1.8, val2:2.1]</v>
      </c>
      <c r="H30" s="62">
        <f>FIND("effect:",G30)+7</f>
        <v>9</v>
      </c>
      <c r="I30" s="62">
        <f>IFERROR(FIND(",",G30),LEN(G30))</f>
        <v>22</v>
      </c>
      <c r="J30" s="62" t="e">
        <f>FIND("target:",G30)+7</f>
        <v>#VALUE!</v>
      </c>
      <c r="K30" s="62">
        <f>FIND(",",G30,I30+1)</f>
        <v>32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>IFERROR(RIGHT(B30,LEN(B30)-FIND("],",B30)-1),"none")</f>
        <v>[effect:guard_break, target:enemy_all, turn:1, val:1.0, calc:mul]</v>
      </c>
      <c r="N30" s="48" t="str">
        <f>IFERROR(LEFT(M30,FIND("],",M30)+S37),M30)</f>
        <v>[effect:guard_break, target:enemy_all, turn:1, val:1.0, calc:mul]</v>
      </c>
      <c r="O30" s="62">
        <f>FIND("effect:",N30)+7</f>
        <v>9</v>
      </c>
      <c r="P30" s="62">
        <f>IFERROR(FIND(",",N30),LEN(N30))</f>
        <v>20</v>
      </c>
      <c r="Q30" s="62">
        <f>FIND("target:",N30)+7</f>
        <v>29</v>
      </c>
      <c r="R30" s="62">
        <f>FIND(",",N30,P30+1)</f>
        <v>38</v>
      </c>
      <c r="S30" s="62" t="str">
        <f>IFERROR(VLOOKUP(MID(N30,Q30,R30-Q30),[5]skilldef!$C:$D,2,FALSE),"-") &amp; " / " &amp; IFERROR(VLOOKUP(MID(N30,O30,P30-O30),[5]skilldef!$A:$B,2,FALSE),"-")</f>
        <v>敵全体に / -</v>
      </c>
      <c r="T30" s="48" t="str">
        <f>IFERROR(RIGHT(M30,LEN(M30)-FIND("],",M30)-1),"none")</f>
        <v>none</v>
      </c>
      <c r="U30" s="62" t="e">
        <f>FIND("effect:",T30)+7</f>
        <v>#VALUE!</v>
      </c>
      <c r="V30" s="62">
        <f>IFERROR(FIND(",",T30),LEN(T30))</f>
        <v>4</v>
      </c>
      <c r="W30" s="62" t="e">
        <f>FIND("target:",T30)+7</f>
        <v>#VALUE!</v>
      </c>
      <c r="X30" s="62" t="e">
        <f>FIND(",",T30,V30+1)</f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2">
      <c r="A31" s="150">
        <v>48011030</v>
      </c>
      <c r="B31" s="156" t="s">
        <v>377</v>
      </c>
      <c r="C31" s="50">
        <v>1</v>
      </c>
      <c r="D31" s="50" t="s">
        <v>126</v>
      </c>
      <c r="E31" s="51" t="s">
        <v>323</v>
      </c>
      <c r="F31" s="51" t="s">
        <v>406</v>
      </c>
      <c r="G31" s="62" t="str">
        <f>IFERROR(LEFT(B31,FIND("],",B31)),B31)</f>
        <v>[effect:enemy_message, val1:1.4, val2:1.8]</v>
      </c>
      <c r="H31" s="62">
        <f>FIND("effect:",G31)+7</f>
        <v>9</v>
      </c>
      <c r="I31" s="62">
        <f>IFERROR(FIND(",",G31),LEN(G31))</f>
        <v>22</v>
      </c>
      <c r="J31" s="62" t="e">
        <f>FIND("target:",G31)+7</f>
        <v>#VALUE!</v>
      </c>
      <c r="K31" s="62">
        <f>FIND(",",G31,I31+1)</f>
        <v>32</v>
      </c>
      <c r="L31" s="62" t="str">
        <f>IFERROR(VLOOKUP(MID(G31,J31,K31-J31),[5]skilldef!$C:$D,2,FALSE),"-") &amp; " / " &amp; IFERROR(VLOOKUP(MID(G31,H31,I31-H31),[5]skilldef!$A:$B,2,FALSE),"-")</f>
        <v>- / -</v>
      </c>
      <c r="M31" s="62" t="str">
        <f>IFERROR(RIGHT(B31,LEN(B31)-FIND("],",B31)-1),"none")</f>
        <v>[effect:panel_freeze, target:normal, color:block_red, count:-1],[effect:critical, val:1.1]</v>
      </c>
      <c r="N31" s="48" t="str">
        <f>IFERROR(LEFT(M31,FIND("],",M31)+#REF!),M31)</f>
        <v>[effect:panel_freeze, target:normal, color:block_red, count:-1],[effect:critical, val:1.1]</v>
      </c>
      <c r="O31" s="62">
        <f>FIND("effect:",N31)+7</f>
        <v>9</v>
      </c>
      <c r="P31" s="62">
        <f>IFERROR(FIND(",",N31),LEN(N31))</f>
        <v>21</v>
      </c>
      <c r="Q31" s="62">
        <f>FIND("target:",N31)+7</f>
        <v>30</v>
      </c>
      <c r="R31" s="62">
        <f>FIND(",",N31,P31+1)</f>
        <v>36</v>
      </c>
      <c r="S31" s="62" t="str">
        <f>IFERROR(VLOOKUP(MID(N31,Q31,R31-Q31),[5]skilldef!$C:$D,2,FALSE),"-") &amp; " / " &amp; IFERROR(VLOOKUP(MID(N31,O31,P31-O31),[5]skilldef!$A:$B,2,FALSE),"-")</f>
        <v>- / -</v>
      </c>
      <c r="T31" s="48" t="str">
        <f>IFERROR(RIGHT(M31,LEN(M31)-FIND("],",M31)-1),"none")</f>
        <v>[effect:critical, val:1.1]</v>
      </c>
      <c r="U31" s="62">
        <f>FIND("effect:",T31)+7</f>
        <v>9</v>
      </c>
      <c r="V31" s="62">
        <f>IFERROR(FIND(",",T31),LEN(T31))</f>
        <v>17</v>
      </c>
      <c r="W31" s="62" t="e">
        <f>FIND("target:",T31)+7</f>
        <v>#VALUE!</v>
      </c>
      <c r="X31" s="62" t="e">
        <f>FIND(",",T31,V31+1)</f>
        <v>#VALUE!</v>
      </c>
      <c r="Y31" s="62" t="str">
        <f>IFERROR(VLOOKUP(MID(T31,W31,X31-W31),[5]skilldef!$C:$D,2,FALSE),"-") &amp; " / " &amp; IFERROR(VLOOKUP(MID(T31,U31,V31-U31),[5]skilldef!$A:$B,2,FALSE),"-")</f>
        <v>- / 大攻撃</v>
      </c>
      <c r="Z31" s="50"/>
      <c r="AA31" s="52"/>
      <c r="AB31" s="50"/>
    </row>
    <row r="32" spans="1:28" ht="39" customHeight="1" x14ac:dyDescent="0.2">
      <c r="A32" s="150">
        <v>48011031</v>
      </c>
      <c r="B32" s="156" t="s">
        <v>427</v>
      </c>
      <c r="C32" s="50">
        <v>1</v>
      </c>
      <c r="D32" s="50" t="s">
        <v>126</v>
      </c>
      <c r="E32" s="51" t="s">
        <v>314</v>
      </c>
      <c r="F32" s="51" t="s">
        <v>375</v>
      </c>
      <c r="G32" s="62" t="str">
        <f>IFERROR(LEFT(B32,FIND("],",B32)),B32)</f>
        <v>[effect:enemy_message, val1:1.4, val2:2.8]</v>
      </c>
      <c r="H32" s="62">
        <f>FIND("effect:",G32)+7</f>
        <v>9</v>
      </c>
      <c r="I32" s="62">
        <f>IFERROR(FIND(",",G32),LEN(G32))</f>
        <v>22</v>
      </c>
      <c r="J32" s="62" t="e">
        <f>FIND("target:",G32)+7</f>
        <v>#VALUE!</v>
      </c>
      <c r="K32" s="62">
        <f>FIND(",",G32,I32+1)</f>
        <v>32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>IFERROR(RIGHT(B32,LEN(B32)-FIND("],",B32)-1),"none")</f>
        <v>[effect:damage_abnormal, target:unit_one, val:0.51, status:virus, turn:1, rate:1, val_abnormal:0.15, animation:enemy_virus],[effect:damage_abnormal, target:unit_one, val:0.5, status:virus, turn:1, rate:1, val_abnormal:0.14, animation:enemy_virus]</v>
      </c>
      <c r="N32" s="48" t="str">
        <f>IFERROR(LEFT(M32,FIND("],",M32)+S40),M32)</f>
        <v>[effect:damage_abnormal, target:unit_one, val:0.51, status:virus, turn:1, rate:1, val_abnormal:0.15, animation:enemy_virus],[effect:damage_abnormal, target:unit_one, val:0.5, status:virus, turn:1, rate:1, val_abnormal:0.14, animation:enemy_virus]</v>
      </c>
      <c r="O32" s="62">
        <f>FIND("effect:",N32)+7</f>
        <v>9</v>
      </c>
      <c r="P32" s="62">
        <f>IFERROR(FIND(",",N32),LEN(N32))</f>
        <v>24</v>
      </c>
      <c r="Q32" s="62">
        <f>FIND("target:",N32)+7</f>
        <v>33</v>
      </c>
      <c r="R32" s="62">
        <f>FIND(",",N32,P32+1)</f>
        <v>41</v>
      </c>
      <c r="S32" s="62" t="str">
        <f>IFERROR(VLOOKUP(MID(N32,Q32,R32-Q32),[5]skilldef!$C:$D,2,FALSE),"-") &amp; " / " &amp; IFERROR(VLOOKUP(MID(N32,O32,P32-O32),[5]skilldef!$A:$B,2,FALSE),"-")</f>
        <v>味方単体に / -</v>
      </c>
      <c r="T32" s="48" t="str">
        <f>IFERROR(RIGHT(M32,LEN(M32)-FIND("],",M32)-1),"none")</f>
        <v>[effect:damage_abnormal, target:unit_one, val:0.5, status:virus, turn:1, rate:1, val_abnormal:0.14, animation:enemy_virus]</v>
      </c>
      <c r="U32" s="62">
        <f>FIND("effect:",T32)+7</f>
        <v>9</v>
      </c>
      <c r="V32" s="62">
        <f>IFERROR(FIND(",",T32),LEN(T32))</f>
        <v>24</v>
      </c>
      <c r="W32" s="62">
        <f>FIND("target:",T32)+7</f>
        <v>33</v>
      </c>
      <c r="X32" s="62">
        <f>FIND(",",T32,V32+1)</f>
        <v>41</v>
      </c>
      <c r="Y32" s="62" t="str">
        <f>IFERROR(VLOOKUP(MID(T32,W32,X32-W32),[5]skilldef!$C:$D,2,FALSE),"-") &amp; " / " &amp; IFERROR(VLOOKUP(MID(T32,U32,V32-U32),[5]skilldef!$A:$B,2,FALSE),"-")</f>
        <v>味方単体に / -</v>
      </c>
      <c r="Z32" s="50"/>
      <c r="AA32" s="52"/>
      <c r="AB32" s="50"/>
    </row>
    <row r="33" spans="1:28" ht="21" customHeight="1" x14ac:dyDescent="0.2">
      <c r="A33" s="150">
        <v>48011032</v>
      </c>
      <c r="B33" s="156" t="s">
        <v>378</v>
      </c>
      <c r="C33" s="50">
        <v>1</v>
      </c>
      <c r="D33" s="50" t="s">
        <v>126</v>
      </c>
      <c r="E33" s="193" t="s">
        <v>355</v>
      </c>
      <c r="F33" s="51" t="s">
        <v>259</v>
      </c>
      <c r="G33" s="62" t="str">
        <f t="shared" si="0"/>
        <v>[effect:enemy_message, val1:1.6, val2:1.4]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si="5"/>
        <v>[effect:rush, count:5, val:0.22]</v>
      </c>
      <c r="N33" s="48" t="str">
        <f>IFERROR(LEFT(M33,FIND("],",M33)+S42),M33)</f>
        <v>[effect:rush, count:5, val:0.22]</v>
      </c>
      <c r="O33" s="62">
        <f t="shared" si="6"/>
        <v>9</v>
      </c>
      <c r="P33" s="62">
        <f t="shared" si="7"/>
        <v>13</v>
      </c>
      <c r="Q33" s="62" t="e">
        <f t="shared" si="8"/>
        <v>#VALUE!</v>
      </c>
      <c r="R33" s="62">
        <f t="shared" si="9"/>
        <v>22</v>
      </c>
      <c r="S33" s="62" t="str">
        <f>IFERROR(VLOOKUP(MID(N33,Q33,R33-Q33),[5]skilldef!$C:$D,2,FALSE),"-") &amp; " / " &amp; IFERROR(VLOOKUP(MID(N33,O33,P33-O33),[5]skilldef!$A:$B,2,FALSE),"-")</f>
        <v>- / 連続攻撃</v>
      </c>
      <c r="T33" s="48" t="str">
        <f t="shared" si="10"/>
        <v>none</v>
      </c>
      <c r="U33" s="62" t="e">
        <f t="shared" si="11"/>
        <v>#VALUE!</v>
      </c>
      <c r="V33" s="62">
        <f t="shared" si="12"/>
        <v>4</v>
      </c>
      <c r="W33" s="62" t="e">
        <f t="shared" si="13"/>
        <v>#VALUE!</v>
      </c>
      <c r="X33" s="62" t="e">
        <f t="shared" si="14"/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2">
      <c r="A34" s="150">
        <v>48011033</v>
      </c>
      <c r="B34" s="156" t="s">
        <v>420</v>
      </c>
      <c r="C34" s="50">
        <v>1</v>
      </c>
      <c r="D34" s="50" t="s">
        <v>126</v>
      </c>
      <c r="E34" s="193" t="s">
        <v>324</v>
      </c>
      <c r="F34" s="51" t="s">
        <v>353</v>
      </c>
      <c r="G34" s="62" t="str">
        <f t="shared" si="0"/>
        <v>[effect:enemy_message, val1:1.7, val2:1.6]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IFERROR(VLOOKUP(MID(G34,J34,K34-J34),[5]skilldef!$C:$D,2,FALSE),"-") &amp; " / " &amp; IFERROR(VLOOKUP(MID(G34,H34,I34-H34),[5]skilldef!$A:$B,2,FALSE),"-")</f>
        <v>- / -</v>
      </c>
      <c r="M34" s="62" t="str">
        <f t="shared" si="5"/>
        <v>[effect:damage_gravity, val:0.5, animation:fevergauge_down]</v>
      </c>
      <c r="N34" s="48" t="str">
        <f>IFERROR(LEFT(M34,FIND("],",M34)+S39),M34)</f>
        <v>[effect:damage_gravity, val:0.5, animation:fevergauge_down]</v>
      </c>
      <c r="O34" s="62">
        <f t="shared" si="6"/>
        <v>9</v>
      </c>
      <c r="P34" s="62">
        <f t="shared" si="7"/>
        <v>23</v>
      </c>
      <c r="Q34" s="62" t="e">
        <f t="shared" si="8"/>
        <v>#VALUE!</v>
      </c>
      <c r="R34" s="62">
        <f t="shared" si="9"/>
        <v>32</v>
      </c>
      <c r="S34" s="62" t="str">
        <f>IFERROR(VLOOKUP(MID(N34,Q34,R34-Q34),[5]skilldef!$C:$D,2,FALSE),"-") &amp; " / " &amp; IFERROR(VLOOKUP(MID(N34,O34,P34-O34),[5]skilldef!$A:$B,2,FALSE),"-")</f>
        <v>- / 割合ダメージ</v>
      </c>
      <c r="T34" s="48" t="str">
        <f t="shared" si="10"/>
        <v>none</v>
      </c>
      <c r="U34" s="62" t="e">
        <f t="shared" si="11"/>
        <v>#VALUE!</v>
      </c>
      <c r="V34" s="62">
        <f t="shared" si="12"/>
        <v>4</v>
      </c>
      <c r="W34" s="62" t="e">
        <f t="shared" si="13"/>
        <v>#VALUE!</v>
      </c>
      <c r="X34" s="62" t="e">
        <f t="shared" si="14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thickBot="1" x14ac:dyDescent="0.25">
      <c r="A35" s="150">
        <v>48011034</v>
      </c>
      <c r="B35" s="160" t="s">
        <v>379</v>
      </c>
      <c r="C35" s="161">
        <v>1</v>
      </c>
      <c r="D35" s="161" t="s">
        <v>126</v>
      </c>
      <c r="E35" s="162" t="s">
        <v>298</v>
      </c>
      <c r="F35" s="162" t="s">
        <v>407</v>
      </c>
      <c r="G35" s="62" t="str">
        <f t="shared" ref="G35:G43" si="42">IFERROR(LEFT(B35,FIND("],",B35)),B35)</f>
        <v>[effect:enemy_message, val1:1.6, val2:1.7]</v>
      </c>
      <c r="H35" s="62">
        <f t="shared" si="1"/>
        <v>9</v>
      </c>
      <c r="I35" s="62">
        <f t="shared" ref="I35:I43" si="43">IFERROR(FIND(",",G35),LEN(G35))</f>
        <v>22</v>
      </c>
      <c r="J35" s="62" t="e">
        <f t="shared" ref="J35:J43" si="44">FIND("target:",G35)+7</f>
        <v>#VALUE!</v>
      </c>
      <c r="K35" s="62">
        <f t="shared" ref="K35:K43" si="45">FIND(",",G35,I35+1)</f>
        <v>32</v>
      </c>
      <c r="L35" s="62" t="str">
        <f>IFERROR(VLOOKUP(MID(G35,J35,K35-J35),[5]skilldef!$C:$D,2,FALSE),"-") &amp; " / " &amp; IFERROR(VLOOKUP(MID(G35,H35,I35-H35),[5]skilldef!$A:$B,2,FALSE),"-")</f>
        <v>- / -</v>
      </c>
      <c r="M35" s="62" t="str">
        <f t="shared" ref="M35:M43" si="46">IFERROR(RIGHT(B35,LEN(B35)-FIND("],",B35)-1),"none")</f>
        <v>[effect:break_attack_fix, target:unit_all, val:200, lowest_val:1500, count:-1, color:green, block01:block_blue]</v>
      </c>
      <c r="N35" s="48" t="str">
        <f>IFERROR(LEFT(M35,FIND("],",M35)+#REF!),M35)</f>
        <v>[effect:break_attack_fix, target:unit_all, val:200, lowest_val:1500, count:-1, color:green, block01:block_blue]</v>
      </c>
      <c r="O35" s="62">
        <f t="shared" si="6"/>
        <v>9</v>
      </c>
      <c r="P35" s="62">
        <f t="shared" ref="P35:P43" si="47">IFERROR(FIND(",",N35),LEN(N35))</f>
        <v>25</v>
      </c>
      <c r="Q35" s="62">
        <f t="shared" ref="Q35:Q43" si="48">FIND("target:",N35)+7</f>
        <v>34</v>
      </c>
      <c r="R35" s="62">
        <f t="shared" ref="R35:R43" si="49">FIND(",",N35,P35+1)</f>
        <v>42</v>
      </c>
      <c r="S35" s="62" t="str">
        <f>IFERROR(VLOOKUP(MID(N35,Q35,R35-Q35),[5]skilldef!$C:$D,2,FALSE),"-") &amp; " / " &amp; IFERROR(VLOOKUP(MID(N35,O35,P35-O35),[5]skilldef!$A:$B,2,FALSE),"-")</f>
        <v>味方全体に / -</v>
      </c>
      <c r="T35" s="48" t="str">
        <f t="shared" ref="T35:T43" si="50">IFERROR(RIGHT(M35,LEN(M35)-FIND("],",M35)-1),"none")</f>
        <v>none</v>
      </c>
      <c r="U35" s="62" t="e">
        <f t="shared" si="11"/>
        <v>#VALUE!</v>
      </c>
      <c r="V35" s="62">
        <f t="shared" ref="V35:V43" si="51">IFERROR(FIND(",",T35),LEN(T35))</f>
        <v>4</v>
      </c>
      <c r="W35" s="62" t="e">
        <f t="shared" ref="W35:W43" si="52">FIND("target:",T35)+7</f>
        <v>#VALUE!</v>
      </c>
      <c r="X35" s="62" t="e">
        <f t="shared" ref="X35:X43" si="53">FIND(",",T35,V35+1)</f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41" customHeight="1" thickTop="1" x14ac:dyDescent="0.2">
      <c r="A36" s="150">
        <v>48011035</v>
      </c>
      <c r="B36" s="157" t="s">
        <v>381</v>
      </c>
      <c r="C36" s="158">
        <v>1</v>
      </c>
      <c r="D36" s="158" t="s">
        <v>126</v>
      </c>
      <c r="E36" s="159" t="s">
        <v>352</v>
      </c>
      <c r="F36" s="159" t="s">
        <v>380</v>
      </c>
      <c r="G36" s="62" t="str">
        <f t="shared" si="42"/>
        <v>[effect:enemy_message, val1:2.6, val2:3.0]</v>
      </c>
      <c r="H36" s="62">
        <f t="shared" si="1"/>
        <v>9</v>
      </c>
      <c r="I36" s="62">
        <f t="shared" si="43"/>
        <v>22</v>
      </c>
      <c r="J36" s="62" t="e">
        <f t="shared" si="44"/>
        <v>#VALUE!</v>
      </c>
      <c r="K36" s="62">
        <f t="shared" si="45"/>
        <v>32</v>
      </c>
      <c r="L36" s="62" t="str">
        <f>IFERROR(VLOOKUP(MID(G36,J36,K36-J36),[5]skilldef!$C:$D,2,FALSE),"-") &amp; " / " &amp; IFERROR(VLOOKUP(MID(G36,H36,I36-H36),[5]skilldef!$A:$B,2,FALSE),"-")</f>
        <v>- / -</v>
      </c>
      <c r="M36" s="62" t="str">
        <f t="shared" si="46"/>
        <v>[effect:tolerance, target:myself, turn:-1, count:-1, tolerance_effect:all, animation:enemy_tolerance],[effect:enhance_enemy, target:myself, turn:-1, status:attack, val:0.3, animation:enemy_enhance_attack],[effect:fix_speed, target:myself, turn:2]</v>
      </c>
      <c r="N36" s="48" t="str">
        <f>IFERROR(LEFT(M36,FIND("],",M36)+#REF!),M36)</f>
        <v>[effect:tolerance, target:myself, turn:-1, count:-1, tolerance_effect:all, animation:enemy_tolerance],[effect:enhance_enemy, target:myself, turn:-1, status:attack, val:0.3, animation:enemy_enhance_attack],[effect:fix_speed, target:myself, turn:2]</v>
      </c>
      <c r="O36" s="62">
        <f t="shared" si="6"/>
        <v>9</v>
      </c>
      <c r="P36" s="62">
        <f t="shared" si="47"/>
        <v>18</v>
      </c>
      <c r="Q36" s="62">
        <f t="shared" si="48"/>
        <v>27</v>
      </c>
      <c r="R36" s="62">
        <f t="shared" si="49"/>
        <v>33</v>
      </c>
      <c r="S36" s="62" t="str">
        <f>IFERROR(VLOOKUP(MID(N36,Q36,R36-Q36),[5]skilldef!$C:$D,2,FALSE),"-") &amp; " / " &amp; IFERROR(VLOOKUP(MID(N36,O36,P36-O36),[5]skilldef!$A:$B,2,FALSE),"-")</f>
        <v>自分自身に / 状態異常耐性</v>
      </c>
      <c r="T36" s="48" t="str">
        <f t="shared" si="50"/>
        <v>[effect:enhance_enemy, target:myself, turn:-1, status:attack, val:0.3, animation:enemy_enhance_attack],[effect:fix_speed, target:myself, turn:2]</v>
      </c>
      <c r="U36" s="62">
        <f t="shared" si="11"/>
        <v>9</v>
      </c>
      <c r="V36" s="62">
        <f t="shared" si="51"/>
        <v>22</v>
      </c>
      <c r="W36" s="62">
        <f t="shared" si="52"/>
        <v>31</v>
      </c>
      <c r="X36" s="62">
        <f t="shared" si="53"/>
        <v>37</v>
      </c>
      <c r="Y36" s="62" t="str">
        <f>IFERROR(VLOOKUP(MID(T36,W36,X36-W36),[5]skilldef!$C:$D,2,FALSE),"-") &amp; " / " &amp; IFERROR(VLOOKUP(MID(T36,U36,V36-U36),[5]skilldef!$A:$B,2,FALSE),"-")</f>
        <v>自分自身に / ステータス強化</v>
      </c>
      <c r="Z36" s="50"/>
      <c r="AA36" s="52"/>
      <c r="AB36" s="50"/>
    </row>
    <row r="37" spans="1:28" ht="23" customHeight="1" x14ac:dyDescent="0.2">
      <c r="A37" s="150">
        <v>48011036</v>
      </c>
      <c r="B37" s="156" t="s">
        <v>386</v>
      </c>
      <c r="C37" s="50">
        <v>1</v>
      </c>
      <c r="D37" s="50" t="s">
        <v>126</v>
      </c>
      <c r="E37" s="51" t="s">
        <v>316</v>
      </c>
      <c r="F37" s="51" t="s">
        <v>359</v>
      </c>
      <c r="G37" s="62" t="str">
        <f>IFERROR(LEFT(B37,FIND("],",B37)),B37)</f>
        <v>[effect:enemy_message, val1:1.3, val2:2.1]</v>
      </c>
      <c r="H37" s="62">
        <f>FIND("effect:",G37)+7</f>
        <v>9</v>
      </c>
      <c r="I37" s="62">
        <f>IFERROR(FIND(",",G37),LEN(G37))</f>
        <v>22</v>
      </c>
      <c r="J37" s="62" t="e">
        <f>FIND("target:",G37)+7</f>
        <v>#VALUE!</v>
      </c>
      <c r="K37" s="62">
        <f>FIND(",",G37,I37+1)</f>
        <v>32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>IFERROR(RIGHT(B37,LEN(B37)-FIND("],",B37)-1),"none")</f>
        <v>[effect:freq_turn, target:myself, turn:1, val:1, animation:enemy_freq_turn],[effect:rush, count:2, val:0.4]</v>
      </c>
      <c r="N37" s="48" t="str">
        <f>IFERROR(LEFT(M37,FIND("],",M37)+#REF!),M37)</f>
        <v>[effect:freq_turn, target:myself, turn:1, val:1, animation:enemy_freq_turn],[effect:rush, count:2, val:0.4]</v>
      </c>
      <c r="O37" s="62">
        <f>FIND("effect:",N37)+7</f>
        <v>9</v>
      </c>
      <c r="P37" s="62">
        <f>IFERROR(FIND(",",N37),LEN(N37))</f>
        <v>18</v>
      </c>
      <c r="Q37" s="62">
        <f>FIND("target:",N37)+7</f>
        <v>27</v>
      </c>
      <c r="R37" s="62">
        <f>FIND(",",N37,P37+1)</f>
        <v>33</v>
      </c>
      <c r="S37" s="62" t="str">
        <f>IFERROR(VLOOKUP(MID(N37,Q37,R37-Q37),[5]skilldef!$C:$D,2,FALSE),"-") &amp; " / " &amp; IFERROR(VLOOKUP(MID(N37,O37,P37-O37),[5]skilldef!$A:$B,2,FALSE),"-")</f>
        <v>自分自身に / 攻撃頻度がUP</v>
      </c>
      <c r="T37" s="48" t="str">
        <f>IFERROR(RIGHT(M37,LEN(M37)-FIND("],",M37)-1),"none")</f>
        <v>[effect:rush, count:2, val:0.4]</v>
      </c>
      <c r="U37" s="62">
        <f>FIND("effect:",T37)+7</f>
        <v>9</v>
      </c>
      <c r="V37" s="62">
        <f>IFERROR(FIND(",",T37),LEN(T37))</f>
        <v>13</v>
      </c>
      <c r="W37" s="62" t="e">
        <f>FIND("target:",T37)+7</f>
        <v>#VALUE!</v>
      </c>
      <c r="X37" s="62">
        <f>FIND(",",T37,V37+1)</f>
        <v>22</v>
      </c>
      <c r="Y37" s="62" t="str">
        <f>IFERROR(VLOOKUP(MID(T37,W37,X37-W37),[5]skilldef!$C:$D,2,FALSE),"-") &amp; " / " &amp; IFERROR(VLOOKUP(MID(T37,U37,V37-U37),[5]skilldef!$A:$B,2,FALSE),"-")</f>
        <v>- / 連続攻撃</v>
      </c>
      <c r="Z37" s="50"/>
      <c r="AA37" s="52"/>
      <c r="AB37" s="50"/>
    </row>
    <row r="38" spans="1:28" ht="40" customHeight="1" x14ac:dyDescent="0.2">
      <c r="A38" s="150">
        <v>48011037</v>
      </c>
      <c r="B38" s="156" t="s">
        <v>385</v>
      </c>
      <c r="C38" s="50">
        <v>1</v>
      </c>
      <c r="D38" s="50" t="s">
        <v>126</v>
      </c>
      <c r="E38" s="51" t="s">
        <v>304</v>
      </c>
      <c r="F38" s="51" t="s">
        <v>408</v>
      </c>
      <c r="G38" s="62" t="str">
        <f>IFERROR(LEFT(B38,FIND("],",B38)),B38)</f>
        <v>[effect:enemy_message, val1:1.3, val2:1.6]</v>
      </c>
      <c r="H38" s="62">
        <f>FIND("effect:",G38)+7</f>
        <v>9</v>
      </c>
      <c r="I38" s="62">
        <f>IFERROR(FIND(",",G38),LEN(G38))</f>
        <v>22</v>
      </c>
      <c r="J38" s="62" t="e">
        <f>FIND("target:",G38)+7</f>
        <v>#VALUE!</v>
      </c>
      <c r="K38" s="62">
        <f>FIND(",",G38,I38+1)</f>
        <v>32</v>
      </c>
      <c r="L38" s="62" t="str">
        <f>IFERROR(VLOOKUP(MID(G38,J38,K38-J38),[5]skilldef!$C:$D,2,FALSE),"-") &amp; " / " &amp; IFERROR(VLOOKUP(MID(G38,H38,I38-H38),[5]skilldef!$A:$B,2,FALSE),"-")</f>
        <v>- / -</v>
      </c>
      <c r="M38" s="62" t="str">
        <f>IFERROR(RIGHT(B38,LEN(B38)-FIND("],",B38)-1),"none")</f>
        <v>[effect:break_attack_fix, target:unit_all, val:210, lowest_val:2500, count:-1, color:green, block01:block_yellow]</v>
      </c>
      <c r="N38" s="48" t="str">
        <f>IFERROR(LEFT(M38,FIND("],",M38)+#REF!),M38)</f>
        <v>[effect:break_attack_fix, target:unit_all, val:210, lowest_val:2500, count:-1, color:green, block01:block_yellow]</v>
      </c>
      <c r="O38" s="62">
        <f>FIND("effect:",N38)+7</f>
        <v>9</v>
      </c>
      <c r="P38" s="62">
        <f>IFERROR(FIND(",",N38),LEN(N38))</f>
        <v>25</v>
      </c>
      <c r="Q38" s="62">
        <f>FIND("target:",N38)+7</f>
        <v>34</v>
      </c>
      <c r="R38" s="62">
        <f>FIND(",",N38,P38+1)</f>
        <v>42</v>
      </c>
      <c r="S38" s="62" t="str">
        <f>IFERROR(VLOOKUP(MID(N38,Q38,R38-Q38),[5]skilldef!$C:$D,2,FALSE),"-") &amp; " / " &amp; IFERROR(VLOOKUP(MID(N38,O38,P38-O38),[5]skilldef!$A:$B,2,FALSE),"-")</f>
        <v>味方全体に / -</v>
      </c>
      <c r="T38" s="48" t="str">
        <f>IFERROR(RIGHT(M38,LEN(M38)-FIND("],",M38)-1),"none")</f>
        <v>none</v>
      </c>
      <c r="U38" s="62" t="e">
        <f>FIND("effect:",T38)+7</f>
        <v>#VALUE!</v>
      </c>
      <c r="V38" s="62">
        <f>IFERROR(FIND(",",T38),LEN(T38))</f>
        <v>4</v>
      </c>
      <c r="W38" s="62" t="e">
        <f>FIND("target:",T38)+7</f>
        <v>#VALUE!</v>
      </c>
      <c r="X38" s="62" t="e">
        <f>FIND(",",T38,V38+1)</f>
        <v>#VALUE!</v>
      </c>
      <c r="Y38" s="62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2">
      <c r="A39" s="150">
        <v>48011038</v>
      </c>
      <c r="B39" s="156" t="s">
        <v>401</v>
      </c>
      <c r="C39" s="50">
        <v>1</v>
      </c>
      <c r="D39" s="50" t="s">
        <v>126</v>
      </c>
      <c r="E39" s="193" t="s">
        <v>313</v>
      </c>
      <c r="F39" s="51" t="s">
        <v>409</v>
      </c>
      <c r="G39" s="62" t="str">
        <f>IFERROR(LEFT(B39,FIND("],",B39)),B39)</f>
        <v>[effect:enemy_message, val1:1.3, val2:1.4]</v>
      </c>
      <c r="H39" s="62">
        <f>FIND("effect:",G39)+7</f>
        <v>9</v>
      </c>
      <c r="I39" s="62">
        <f>IFERROR(FIND(",",G39),LEN(G39))</f>
        <v>22</v>
      </c>
      <c r="J39" s="62" t="e">
        <f>FIND("target:",G39)+7</f>
        <v>#VALUE!</v>
      </c>
      <c r="K39" s="62">
        <f>FIND(",",G39,I39+1)</f>
        <v>32</v>
      </c>
      <c r="L39" s="62" t="str">
        <f>IFERROR(VLOOKUP(MID(G39,J39,K39-J39),[5]skilldef!$C:$D,2,FALSE),"-") &amp; " / " &amp; IFERROR(VLOOKUP(MID(G39,H39,I39-H39),[5]skilldef!$A:$B,2,FALSE),"-")</f>
        <v>- / -</v>
      </c>
      <c r="M39" s="62" t="str">
        <f>IFERROR(RIGHT(B39,LEN(B39)-FIND("],",B39)-1),"none")</f>
        <v>[effect:break_attack_fix, target:unit_all, val:140, lowest_val:2000, count:-1, color:green, block01:block_blue]</v>
      </c>
      <c r="N39" s="48" t="str">
        <f>IFERROR(LEFT(M39,FIND("],",M39)+#REF!),M39)</f>
        <v>[effect:break_attack_fix, target:unit_all, val:140, lowest_val:2000, count:-1, color:green, block01:block_blue]</v>
      </c>
      <c r="O39" s="62">
        <f>FIND("effect:",N39)+7</f>
        <v>9</v>
      </c>
      <c r="P39" s="62">
        <f>IFERROR(FIND(",",N39),LEN(N39))</f>
        <v>25</v>
      </c>
      <c r="Q39" s="62">
        <f>FIND("target:",N39)+7</f>
        <v>34</v>
      </c>
      <c r="R39" s="62">
        <f>FIND(",",N39,P39+1)</f>
        <v>42</v>
      </c>
      <c r="S39" s="62" t="str">
        <f>IFERROR(VLOOKUP(MID(N39,Q39,R39-Q39),[5]skilldef!$C:$D,2,FALSE),"-") &amp; " / " &amp; IFERROR(VLOOKUP(MID(N39,O39,P39-O39),[5]skilldef!$A:$B,2,FALSE),"-")</f>
        <v>味方全体に / -</v>
      </c>
      <c r="T39" s="48" t="str">
        <f>IFERROR(RIGHT(M39,LEN(M39)-FIND("],",M39)-1),"none")</f>
        <v>none</v>
      </c>
      <c r="U39" s="62" t="e">
        <f>FIND("effect:",T39)+7</f>
        <v>#VALUE!</v>
      </c>
      <c r="V39" s="62">
        <f>IFERROR(FIND(",",T39),LEN(T39))</f>
        <v>4</v>
      </c>
      <c r="W39" s="62" t="e">
        <f>FIND("target:",T39)+7</f>
        <v>#VALUE!</v>
      </c>
      <c r="X39" s="62" t="e">
        <f>FIND(",",T39,V39+1)</f>
        <v>#VALUE!</v>
      </c>
      <c r="Y39" s="62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2">
      <c r="A40" s="150">
        <v>48011039</v>
      </c>
      <c r="B40" s="156" t="s">
        <v>383</v>
      </c>
      <c r="C40" s="50">
        <v>1</v>
      </c>
      <c r="D40" s="50" t="s">
        <v>126</v>
      </c>
      <c r="E40" s="193" t="s">
        <v>319</v>
      </c>
      <c r="F40" s="51" t="s">
        <v>354</v>
      </c>
      <c r="G40" s="62" t="str">
        <f>IFERROR(LEFT(B40,FIND("],",B40)),B40)</f>
        <v>[effect:enemy_message, val1:1.2, val2:1.6]</v>
      </c>
      <c r="H40" s="62">
        <f>FIND("effect:",G40)+7</f>
        <v>9</v>
      </c>
      <c r="I40" s="62">
        <f>IFERROR(FIND(",",G40),LEN(G40))</f>
        <v>22</v>
      </c>
      <c r="J40" s="62" t="e">
        <f>FIND("target:",G40)+7</f>
        <v>#VALUE!</v>
      </c>
      <c r="K40" s="62">
        <f>FIND(",",G40,I40+1)</f>
        <v>32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>IFERROR(RIGHT(B40,LEN(B40)-FIND("],",B40)-1),"none")</f>
        <v>[effect:virus, turn:2, rate:1, val:0.14, animation:enemy_virus],[effect:rush, count:1, val:0.95]</v>
      </c>
      <c r="N40" s="48" t="str">
        <f>IFERROR(LEFT(M40,FIND("],",M40)+#REF!),M40)</f>
        <v>[effect:virus, turn:2, rate:1, val:0.14, animation:enemy_virus],[effect:rush, count:1, val:0.95]</v>
      </c>
      <c r="O40" s="62">
        <f>FIND("effect:",N40)+7</f>
        <v>9</v>
      </c>
      <c r="P40" s="62">
        <f>IFERROR(FIND(",",N40),LEN(N40))</f>
        <v>14</v>
      </c>
      <c r="Q40" s="62" t="e">
        <f>FIND("target:",N40)+7</f>
        <v>#VALUE!</v>
      </c>
      <c r="R40" s="62">
        <f>FIND(",",N40,P40+1)</f>
        <v>22</v>
      </c>
      <c r="S40" s="62" t="str">
        <f>IFERROR(VLOOKUP(MID(N40,Q40,R40-Q40),[5]skilldef!$C:$D,2,FALSE),"-") &amp; " / " &amp; IFERROR(VLOOKUP(MID(N40,O40,P40-O40),[5]skilldef!$A:$B,2,FALSE),"-")</f>
        <v>- / ウィルス</v>
      </c>
      <c r="T40" s="48" t="str">
        <f>IFERROR(RIGHT(M40,LEN(M40)-FIND("],",M40)-1),"none")</f>
        <v>[effect:rush, count:1, val:0.95]</v>
      </c>
      <c r="U40" s="62">
        <f>FIND("effect:",T40)+7</f>
        <v>9</v>
      </c>
      <c r="V40" s="62">
        <f>IFERROR(FIND(",",T40),LEN(T40))</f>
        <v>13</v>
      </c>
      <c r="W40" s="62" t="e">
        <f>FIND("target:",T40)+7</f>
        <v>#VALUE!</v>
      </c>
      <c r="X40" s="62">
        <f>FIND(",",T40,V40+1)</f>
        <v>22</v>
      </c>
      <c r="Y40" s="62" t="str">
        <f>IFERROR(VLOOKUP(MID(T40,W40,X40-W40),[5]skilldef!$C:$D,2,FALSE),"-") &amp; " / " &amp; IFERROR(VLOOKUP(MID(T40,U40,V40-U40),[5]skilldef!$A:$B,2,FALSE),"-")</f>
        <v>- / 連続攻撃</v>
      </c>
      <c r="Z40" s="50"/>
      <c r="AA40" s="52"/>
      <c r="AB40" s="50"/>
    </row>
    <row r="41" spans="1:28" ht="36" customHeight="1" x14ac:dyDescent="0.2">
      <c r="A41" s="150">
        <v>48011040</v>
      </c>
      <c r="B41" s="156" t="s">
        <v>382</v>
      </c>
      <c r="C41" s="50">
        <v>1</v>
      </c>
      <c r="D41" s="50" t="s">
        <v>126</v>
      </c>
      <c r="E41" s="193" t="s">
        <v>315</v>
      </c>
      <c r="F41" s="51" t="s">
        <v>360</v>
      </c>
      <c r="G41" s="62" t="str">
        <f t="shared" si="42"/>
        <v>[effect:enemy_message, val1:1.9, val2:1.4]</v>
      </c>
      <c r="H41" s="62">
        <f t="shared" si="1"/>
        <v>9</v>
      </c>
      <c r="I41" s="62">
        <f t="shared" si="43"/>
        <v>22</v>
      </c>
      <c r="J41" s="62" t="e">
        <f t="shared" si="44"/>
        <v>#VALUE!</v>
      </c>
      <c r="K41" s="62">
        <f t="shared" si="45"/>
        <v>32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si="46"/>
        <v>[effect:spread, val:0.13],[effect:spread, val:0.14]</v>
      </c>
      <c r="N41" s="48" t="str">
        <f>IFERROR(LEFT(M41,FIND("],",M41)+#REF!),M41)</f>
        <v>[effect:spread, val:0.13],[effect:spread, val:0.14]</v>
      </c>
      <c r="O41" s="62">
        <f t="shared" si="6"/>
        <v>9</v>
      </c>
      <c r="P41" s="62">
        <f t="shared" si="47"/>
        <v>15</v>
      </c>
      <c r="Q41" s="62" t="e">
        <f t="shared" si="48"/>
        <v>#VALUE!</v>
      </c>
      <c r="R41" s="62">
        <f t="shared" si="49"/>
        <v>26</v>
      </c>
      <c r="S41" s="62" t="str">
        <f>IFERROR(VLOOKUP(MID(N41,Q41,R41-Q41),[5]skilldef!$C:$D,2,FALSE),"-") &amp; " / " &amp; IFERROR(VLOOKUP(MID(N41,O41,P41-O41),[5]skilldef!$A:$B,2,FALSE),"-")</f>
        <v>- / 全体攻撃</v>
      </c>
      <c r="T41" s="48" t="str">
        <f t="shared" si="50"/>
        <v>[effect:spread, val:0.14]</v>
      </c>
      <c r="U41" s="62">
        <f t="shared" si="11"/>
        <v>9</v>
      </c>
      <c r="V41" s="62">
        <f t="shared" si="51"/>
        <v>15</v>
      </c>
      <c r="W41" s="62" t="e">
        <f t="shared" si="52"/>
        <v>#VALUE!</v>
      </c>
      <c r="X41" s="62" t="e">
        <f t="shared" si="53"/>
        <v>#VALUE!</v>
      </c>
      <c r="Y41" s="62" t="str">
        <f>IFERROR(VLOOKUP(MID(T41,W41,X41-W41),[5]skilldef!$C:$D,2,FALSE),"-") &amp; " / " &amp; IFERROR(VLOOKUP(MID(T41,U41,V41-U41),[5]skilldef!$A:$B,2,FALSE),"-")</f>
        <v>- / 全体攻撃</v>
      </c>
      <c r="Z41" s="50"/>
      <c r="AA41" s="52"/>
      <c r="AB41" s="50"/>
    </row>
    <row r="42" spans="1:28" ht="41" customHeight="1" x14ac:dyDescent="0.2">
      <c r="A42" s="150">
        <v>48011041</v>
      </c>
      <c r="B42" s="156" t="s">
        <v>384</v>
      </c>
      <c r="C42" s="50">
        <v>1</v>
      </c>
      <c r="D42" s="50" t="s">
        <v>126</v>
      </c>
      <c r="E42" s="193" t="s">
        <v>411</v>
      </c>
      <c r="F42" s="51" t="s">
        <v>361</v>
      </c>
      <c r="G42" s="62" t="str">
        <f t="shared" si="42"/>
        <v>[effect:enemy_message, val1:1.3, val2:1.5]</v>
      </c>
      <c r="H42" s="62">
        <f t="shared" si="1"/>
        <v>9</v>
      </c>
      <c r="I42" s="62">
        <f t="shared" si="43"/>
        <v>22</v>
      </c>
      <c r="J42" s="62" t="e">
        <f t="shared" si="44"/>
        <v>#VALUE!</v>
      </c>
      <c r="K42" s="62">
        <f t="shared" si="45"/>
        <v>32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si="46"/>
        <v>[effect:critical, val:1.37, animation:enemy_critical]</v>
      </c>
      <c r="N42" s="48" t="str">
        <f>IFERROR(LEFT(M42,FIND("],",M42)+#REF!),M42)</f>
        <v>[effect:critical, val:1.37, animation:enemy_critical]</v>
      </c>
      <c r="O42" s="62">
        <f t="shared" si="6"/>
        <v>9</v>
      </c>
      <c r="P42" s="62">
        <f t="shared" si="47"/>
        <v>17</v>
      </c>
      <c r="Q42" s="62" t="e">
        <f t="shared" si="48"/>
        <v>#VALUE!</v>
      </c>
      <c r="R42" s="62">
        <f t="shared" si="49"/>
        <v>27</v>
      </c>
      <c r="S42" s="62" t="str">
        <f>IFERROR(VLOOKUP(MID(N42,Q42,R42-Q42),[5]skilldef!$C:$D,2,FALSE),"-") &amp; " / " &amp; IFERROR(VLOOKUP(MID(N42,O42,P42-O42),[5]skilldef!$A:$B,2,FALSE),"-")</f>
        <v>- / 大攻撃</v>
      </c>
      <c r="T42" s="48" t="str">
        <f t="shared" si="50"/>
        <v>none</v>
      </c>
      <c r="U42" s="62" t="e">
        <f t="shared" si="11"/>
        <v>#VALUE!</v>
      </c>
      <c r="V42" s="62">
        <f t="shared" si="51"/>
        <v>4</v>
      </c>
      <c r="W42" s="62" t="e">
        <f t="shared" si="52"/>
        <v>#VALUE!</v>
      </c>
      <c r="X42" s="62" t="e">
        <f t="shared" si="53"/>
        <v>#VALUE!</v>
      </c>
      <c r="Y42" s="62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2">
      <c r="A43" s="150">
        <v>48011042</v>
      </c>
      <c r="B43" s="156" t="s">
        <v>387</v>
      </c>
      <c r="C43" s="50">
        <v>1</v>
      </c>
      <c r="D43" s="50" t="s">
        <v>126</v>
      </c>
      <c r="E43" s="51" t="s">
        <v>325</v>
      </c>
      <c r="F43" s="51" t="s">
        <v>415</v>
      </c>
      <c r="G43" s="62" t="str">
        <f t="shared" si="42"/>
        <v>[effect:enemy_message, val1:1.6, val2:2.1]</v>
      </c>
      <c r="H43" s="62">
        <f t="shared" si="1"/>
        <v>9</v>
      </c>
      <c r="I43" s="62">
        <f t="shared" si="43"/>
        <v>22</v>
      </c>
      <c r="J43" s="62" t="e">
        <f t="shared" si="44"/>
        <v>#VALUE!</v>
      </c>
      <c r="K43" s="62">
        <f t="shared" si="45"/>
        <v>32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si="46"/>
        <v>[effect:break_attack_fix, target:unit_all, val:120, lowest_val:2100, count:-1, color:green, block01:block_blue, block02:block_heart]</v>
      </c>
      <c r="N43" s="48" t="str">
        <f>IFERROR(LEFT(M43,FIND("],",M43)+S49),M43)</f>
        <v>[effect:break_attack_fix, target:unit_all, val:120, lowest_val:2100, count:-1, color:green, block01:block_blue, block02:block_heart]</v>
      </c>
      <c r="O43" s="62">
        <f t="shared" si="6"/>
        <v>9</v>
      </c>
      <c r="P43" s="62">
        <f t="shared" si="47"/>
        <v>25</v>
      </c>
      <c r="Q43" s="62">
        <f t="shared" si="48"/>
        <v>34</v>
      </c>
      <c r="R43" s="62">
        <f t="shared" si="49"/>
        <v>42</v>
      </c>
      <c r="S43" s="62" t="str">
        <f>IFERROR(VLOOKUP(MID(N43,Q43,R43-Q43),[5]skilldef!$C:$D,2,FALSE),"-") &amp; " / " &amp; IFERROR(VLOOKUP(MID(N43,O43,P43-O43),[5]skilldef!$A:$B,2,FALSE),"-")</f>
        <v>味方全体に / -</v>
      </c>
      <c r="T43" s="48" t="str">
        <f t="shared" si="50"/>
        <v>none</v>
      </c>
      <c r="U43" s="62" t="e">
        <f t="shared" si="11"/>
        <v>#VALUE!</v>
      </c>
      <c r="V43" s="62">
        <f t="shared" si="51"/>
        <v>4</v>
      </c>
      <c r="W43" s="62" t="e">
        <f t="shared" si="52"/>
        <v>#VALUE!</v>
      </c>
      <c r="X43" s="62" t="e">
        <f t="shared" si="53"/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39" customHeight="1" x14ac:dyDescent="0.2">
      <c r="A44" s="150">
        <v>48011043</v>
      </c>
      <c r="B44" s="156" t="s">
        <v>388</v>
      </c>
      <c r="C44" s="50">
        <v>1</v>
      </c>
      <c r="D44" s="50" t="s">
        <v>126</v>
      </c>
      <c r="E44" s="51" t="s">
        <v>326</v>
      </c>
      <c r="F44" s="193" t="s">
        <v>362</v>
      </c>
      <c r="G44" s="62" t="str">
        <f t="shared" ref="G44" si="54">IFERROR(LEFT(B44,FIND("],",B44)),B44)</f>
        <v>[effect:enemy_message, val1:1.8, val2:2.7]</v>
      </c>
      <c r="H44" s="62">
        <f t="shared" ref="H44" si="55">FIND("effect:",G44)+7</f>
        <v>9</v>
      </c>
      <c r="I44" s="62">
        <f t="shared" ref="I44" si="56">IFERROR(FIND(",",G44),LEN(G44))</f>
        <v>22</v>
      </c>
      <c r="J44" s="62" t="e">
        <f t="shared" ref="J44" si="57">FIND("target:",G44)+7</f>
        <v>#VALUE!</v>
      </c>
      <c r="K44" s="62">
        <f t="shared" ref="K44" si="58">FIND(",",G44,I44+1)</f>
        <v>32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ref="M44" si="59">IFERROR(RIGHT(B44,LEN(B44)-FIND("],",B44)-1),"none")</f>
        <v>none</v>
      </c>
      <c r="N44" s="48" t="str">
        <f>IFERROR(LEFT(M44,FIND("],",M44)+S50),M44)</f>
        <v>none</v>
      </c>
      <c r="O44" s="62" t="e">
        <f t="shared" ref="O44" si="60">FIND("effect:",N44)+7</f>
        <v>#VALUE!</v>
      </c>
      <c r="P44" s="62">
        <f t="shared" ref="P44" si="61">IFERROR(FIND(",",N44),LEN(N44))</f>
        <v>4</v>
      </c>
      <c r="Q44" s="62" t="e">
        <f t="shared" ref="Q44" si="62">FIND("target:",N44)+7</f>
        <v>#VALUE!</v>
      </c>
      <c r="R44" s="62" t="e">
        <f t="shared" ref="R44" si="63">FIND(",",N44,P44+1)</f>
        <v>#VALUE!</v>
      </c>
      <c r="S44" s="62" t="str">
        <f>IFERROR(VLOOKUP(MID(N44,Q44,R44-Q44),[5]skilldef!$C:$D,2,FALSE),"-") &amp; " / " &amp; IFERROR(VLOOKUP(MID(N44,O44,P44-O44),[5]skilldef!$A:$B,2,FALSE),"-")</f>
        <v>- / -</v>
      </c>
      <c r="T44" s="48" t="str">
        <f t="shared" ref="T44" si="64">IFERROR(RIGHT(M44,LEN(M44)-FIND("],",M44)-1),"none")</f>
        <v>none</v>
      </c>
      <c r="U44" s="62" t="e">
        <f t="shared" ref="U44" si="65">FIND("effect:",T44)+7</f>
        <v>#VALUE!</v>
      </c>
      <c r="V44" s="62">
        <f t="shared" ref="V44" si="66">IFERROR(FIND(",",T44),LEN(T44))</f>
        <v>4</v>
      </c>
      <c r="W44" s="62" t="e">
        <f t="shared" ref="W44" si="67">FIND("target:",T44)+7</f>
        <v>#VALUE!</v>
      </c>
      <c r="X44" s="62" t="e">
        <f t="shared" ref="X44" si="68">FIND(",",T44,V44+1)</f>
        <v>#VALUE!</v>
      </c>
      <c r="Y44" s="62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39" customHeight="1" x14ac:dyDescent="0.2">
      <c r="A45" s="150">
        <v>48011044</v>
      </c>
      <c r="B45" s="156" t="s">
        <v>395</v>
      </c>
      <c r="C45" s="50">
        <v>1</v>
      </c>
      <c r="D45" s="50" t="s">
        <v>126</v>
      </c>
      <c r="E45" s="191" t="s">
        <v>326</v>
      </c>
      <c r="F45" s="191" t="s">
        <v>345</v>
      </c>
      <c r="G45" s="62" t="str">
        <f t="shared" ref="G45:G46" si="69">IFERROR(LEFT(B45,FIND("],",B45)),B45)</f>
        <v>[effect:enemy_message, val1:1.8, val2:2.9]</v>
      </c>
      <c r="H45" s="62">
        <f t="shared" ref="H45:H46" si="70">FIND("effect:",G45)+7</f>
        <v>9</v>
      </c>
      <c r="I45" s="62">
        <f t="shared" ref="I45:I46" si="71">IFERROR(FIND(",",G45),LEN(G45))</f>
        <v>22</v>
      </c>
      <c r="J45" s="62" t="e">
        <f t="shared" ref="J45:J46" si="72">FIND("target:",G45)+7</f>
        <v>#VALUE!</v>
      </c>
      <c r="K45" s="62">
        <f t="shared" ref="K45:K46" si="73">FIND(",",G45,I45+1)</f>
        <v>32</v>
      </c>
      <c r="L45" s="62" t="str">
        <f>IFERROR(VLOOKUP(MID(G45,J45,K45-J45),[5]skilldef!$C:$D,2,FALSE),"-") &amp; " / " &amp; IFERROR(VLOOKUP(MID(G45,H45,I45-H45),[5]skilldef!$A:$B,2,FALSE),"-")</f>
        <v>- / -</v>
      </c>
      <c r="M45" s="62" t="str">
        <f t="shared" ref="M45:M46" si="74">IFERROR(RIGHT(B45,LEN(B45)-FIND("],",B45)-1),"none")</f>
        <v>none</v>
      </c>
      <c r="N45" s="48" t="str">
        <f>IFERROR(LEFT(M45,FIND("],",M45)+S51),M45)</f>
        <v>none</v>
      </c>
      <c r="O45" s="62" t="e">
        <f t="shared" ref="O45:O46" si="75">FIND("effect:",N45)+7</f>
        <v>#VALUE!</v>
      </c>
      <c r="P45" s="62">
        <f t="shared" ref="P45:P46" si="76">IFERROR(FIND(",",N45),LEN(N45))</f>
        <v>4</v>
      </c>
      <c r="Q45" s="62" t="e">
        <f t="shared" ref="Q45:Q46" si="77">FIND("target:",N45)+7</f>
        <v>#VALUE!</v>
      </c>
      <c r="R45" s="62" t="e">
        <f t="shared" ref="R45:R46" si="78">FIND(",",N45,P45+1)</f>
        <v>#VALUE!</v>
      </c>
      <c r="S45" s="62" t="str">
        <f>IFERROR(VLOOKUP(MID(N45,Q45,R45-Q45),[5]skilldef!$C:$D,2,FALSE),"-") &amp; " / " &amp; IFERROR(VLOOKUP(MID(N45,O45,P45-O45),[5]skilldef!$A:$B,2,FALSE),"-")</f>
        <v>- / -</v>
      </c>
      <c r="T45" s="48" t="str">
        <f t="shared" ref="T45:T46" si="79">IFERROR(RIGHT(M45,LEN(M45)-FIND("],",M45)-1),"none")</f>
        <v>none</v>
      </c>
      <c r="U45" s="62" t="e">
        <f t="shared" ref="U45:U46" si="80">FIND("effect:",T45)+7</f>
        <v>#VALUE!</v>
      </c>
      <c r="V45" s="62">
        <f t="shared" ref="V45:V46" si="81">IFERROR(FIND(",",T45),LEN(T45))</f>
        <v>4</v>
      </c>
      <c r="W45" s="62" t="e">
        <f t="shared" ref="W45:W46" si="82">FIND("target:",T45)+7</f>
        <v>#VALUE!</v>
      </c>
      <c r="X45" s="62" t="e">
        <f t="shared" ref="X45:X46" si="83">FIND(",",T45,V45+1)</f>
        <v>#VALUE!</v>
      </c>
      <c r="Y45" s="62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39" customHeight="1" x14ac:dyDescent="0.2">
      <c r="A46" s="150">
        <v>48011045</v>
      </c>
      <c r="B46" s="156" t="s">
        <v>396</v>
      </c>
      <c r="C46" s="50">
        <v>1</v>
      </c>
      <c r="D46" s="50" t="s">
        <v>126</v>
      </c>
      <c r="E46" s="191" t="s">
        <v>326</v>
      </c>
      <c r="F46" s="191" t="s">
        <v>346</v>
      </c>
      <c r="G46" s="62" t="str">
        <f t="shared" si="69"/>
        <v>[effect:enemy_message, val1:1.8, val2:2.9]</v>
      </c>
      <c r="H46" s="62">
        <f t="shared" si="70"/>
        <v>9</v>
      </c>
      <c r="I46" s="62">
        <f t="shared" si="71"/>
        <v>22</v>
      </c>
      <c r="J46" s="62" t="e">
        <f t="shared" si="72"/>
        <v>#VALUE!</v>
      </c>
      <c r="K46" s="62">
        <f t="shared" si="73"/>
        <v>32</v>
      </c>
      <c r="L46" s="62" t="str">
        <f>IFERROR(VLOOKUP(MID(G46,J46,K46-J46),[5]skilldef!$C:$D,2,FALSE),"-") &amp; " / " &amp; IFERROR(VLOOKUP(MID(G46,H46,I46-H46),[5]skilldef!$A:$B,2,FALSE),"-")</f>
        <v>- / -</v>
      </c>
      <c r="M46" s="62" t="str">
        <f t="shared" si="74"/>
        <v>none</v>
      </c>
      <c r="N46" s="48" t="str">
        <f>IFERROR(LEFT(M46,FIND("],",M46)+S52),M46)</f>
        <v>none</v>
      </c>
      <c r="O46" s="62" t="e">
        <f t="shared" si="75"/>
        <v>#VALUE!</v>
      </c>
      <c r="P46" s="62">
        <f t="shared" si="76"/>
        <v>4</v>
      </c>
      <c r="Q46" s="62" t="e">
        <f t="shared" si="77"/>
        <v>#VALUE!</v>
      </c>
      <c r="R46" s="62" t="e">
        <f t="shared" si="78"/>
        <v>#VALUE!</v>
      </c>
      <c r="S46" s="62" t="str">
        <f>IFERROR(VLOOKUP(MID(N46,Q46,R46-Q46),[5]skilldef!$C:$D,2,FALSE),"-") &amp; " / " &amp; IFERROR(VLOOKUP(MID(N46,O46,P46-O46),[5]skilldef!$A:$B,2,FALSE),"-")</f>
        <v>- / -</v>
      </c>
      <c r="T46" s="48" t="str">
        <f t="shared" si="79"/>
        <v>none</v>
      </c>
      <c r="U46" s="62" t="e">
        <f t="shared" si="80"/>
        <v>#VALUE!</v>
      </c>
      <c r="V46" s="62">
        <f t="shared" si="81"/>
        <v>4</v>
      </c>
      <c r="W46" s="62" t="e">
        <f t="shared" si="82"/>
        <v>#VALUE!</v>
      </c>
      <c r="X46" s="62" t="e">
        <f t="shared" si="83"/>
        <v>#VALUE!</v>
      </c>
      <c r="Y46" s="62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46"/>
  <sheetViews>
    <sheetView showGridLines="0" workbookViewId="0">
      <pane ySplit="1" topLeftCell="A2" activePane="bottomLeft" state="frozenSplit"/>
      <selection pane="bottomLeft" activeCell="E18" sqref="E1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37.83203125" style="45" customWidth="1"/>
    <col min="13" max="16384" width="12.83203125" style="45"/>
  </cols>
  <sheetData>
    <row r="1" spans="1:12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87</v>
      </c>
    </row>
    <row r="2" spans="1:12" ht="21" customHeight="1" x14ac:dyDescent="0.15">
      <c r="A2" s="150">
        <v>48011001</v>
      </c>
      <c r="B2" s="47">
        <v>1</v>
      </c>
      <c r="C2" s="47">
        <v>500</v>
      </c>
      <c r="D2" s="47">
        <v>100</v>
      </c>
      <c r="E2" s="47" t="s">
        <v>252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" si="0">D2</f>
        <v>100</v>
      </c>
      <c r="L2" s="172" t="s">
        <v>270</v>
      </c>
    </row>
    <row r="3" spans="1:12" ht="21" customHeight="1" thickBot="1" x14ac:dyDescent="0.2">
      <c r="A3" s="150">
        <v>48011002</v>
      </c>
      <c r="B3" s="176">
        <v>0</v>
      </c>
      <c r="C3" s="176">
        <v>500</v>
      </c>
      <c r="D3" s="176">
        <v>100</v>
      </c>
      <c r="E3" s="176" t="s">
        <v>53</v>
      </c>
      <c r="F3" s="176" t="s">
        <v>88</v>
      </c>
      <c r="G3" s="176">
        <v>1</v>
      </c>
      <c r="H3" s="176">
        <v>1</v>
      </c>
      <c r="I3" s="176" t="s">
        <v>88</v>
      </c>
      <c r="J3" s="177">
        <f t="shared" ref="J3:J42" si="1">D3</f>
        <v>100</v>
      </c>
      <c r="L3" s="173" t="s">
        <v>271</v>
      </c>
    </row>
    <row r="4" spans="1:12" ht="21" customHeight="1" thickTop="1" thickBot="1" x14ac:dyDescent="0.2">
      <c r="A4" s="150">
        <v>48011003</v>
      </c>
      <c r="B4" s="199">
        <v>1</v>
      </c>
      <c r="C4" s="200">
        <v>500</v>
      </c>
      <c r="D4" s="200">
        <v>100</v>
      </c>
      <c r="E4" s="200" t="s">
        <v>53</v>
      </c>
      <c r="F4" s="200" t="s">
        <v>88</v>
      </c>
      <c r="G4" s="200">
        <v>1</v>
      </c>
      <c r="H4" s="200" t="s">
        <v>88</v>
      </c>
      <c r="I4" s="200" t="s">
        <v>88</v>
      </c>
      <c r="J4" s="201">
        <f t="shared" si="1"/>
        <v>100</v>
      </c>
      <c r="L4" s="210" t="s">
        <v>264</v>
      </c>
    </row>
    <row r="5" spans="1:12" ht="21" customHeight="1" thickTop="1" x14ac:dyDescent="0.15">
      <c r="A5" s="150">
        <v>48011004</v>
      </c>
      <c r="B5" s="174">
        <v>1</v>
      </c>
      <c r="C5" s="174">
        <v>500</v>
      </c>
      <c r="D5" s="174">
        <v>100</v>
      </c>
      <c r="E5" s="174" t="s">
        <v>53</v>
      </c>
      <c r="F5" s="174" t="s">
        <v>88</v>
      </c>
      <c r="G5" s="174">
        <v>1</v>
      </c>
      <c r="H5" s="174" t="s">
        <v>88</v>
      </c>
      <c r="I5" s="174" t="s">
        <v>88</v>
      </c>
      <c r="J5" s="175">
        <f t="shared" si="1"/>
        <v>100</v>
      </c>
      <c r="L5" s="168" t="s">
        <v>260</v>
      </c>
    </row>
    <row r="6" spans="1:12" ht="21" customHeight="1" x14ac:dyDescent="0.15">
      <c r="A6" s="150">
        <v>48011005</v>
      </c>
      <c r="B6" s="47">
        <v>1</v>
      </c>
      <c r="C6" s="47">
        <v>600</v>
      </c>
      <c r="D6" s="47">
        <v>100</v>
      </c>
      <c r="E6" s="47" t="s">
        <v>53</v>
      </c>
      <c r="F6" s="47" t="s">
        <v>88</v>
      </c>
      <c r="G6" s="47">
        <v>1</v>
      </c>
      <c r="H6" s="47" t="s">
        <v>88</v>
      </c>
      <c r="I6" s="187">
        <v>8087</v>
      </c>
      <c r="J6" s="48">
        <f t="shared" si="1"/>
        <v>100</v>
      </c>
      <c r="L6" s="168" t="s">
        <v>261</v>
      </c>
    </row>
    <row r="7" spans="1:12" ht="21" customHeight="1" x14ac:dyDescent="0.15">
      <c r="A7" s="150">
        <v>48011006</v>
      </c>
      <c r="B7" s="47">
        <v>1</v>
      </c>
      <c r="C7" s="47">
        <v>700</v>
      </c>
      <c r="D7" s="47">
        <v>100</v>
      </c>
      <c r="E7" s="47" t="s">
        <v>53</v>
      </c>
      <c r="F7" s="47" t="s">
        <v>88</v>
      </c>
      <c r="G7" s="47">
        <v>1</v>
      </c>
      <c r="H7" s="47" t="s">
        <v>88</v>
      </c>
      <c r="I7" s="187">
        <v>8088</v>
      </c>
      <c r="J7" s="48">
        <f t="shared" si="1"/>
        <v>100</v>
      </c>
      <c r="L7" s="168" t="s">
        <v>261</v>
      </c>
    </row>
    <row r="8" spans="1:12" ht="21" customHeight="1" thickBot="1" x14ac:dyDescent="0.2">
      <c r="A8" s="150">
        <v>48011007</v>
      </c>
      <c r="B8" s="205">
        <v>0</v>
      </c>
      <c r="C8" s="176" t="s">
        <v>53</v>
      </c>
      <c r="D8" s="176">
        <v>28</v>
      </c>
      <c r="E8" s="176" t="s">
        <v>53</v>
      </c>
      <c r="F8" s="176" t="s">
        <v>88</v>
      </c>
      <c r="G8" s="176" t="s">
        <v>53</v>
      </c>
      <c r="H8" s="176" t="s">
        <v>88</v>
      </c>
      <c r="I8" s="176" t="s">
        <v>88</v>
      </c>
      <c r="J8" s="177">
        <f t="shared" si="1"/>
        <v>28</v>
      </c>
      <c r="L8" s="204" t="s">
        <v>262</v>
      </c>
    </row>
    <row r="9" spans="1:12" ht="21" customHeight="1" thickTop="1" x14ac:dyDescent="0.15">
      <c r="A9" s="150">
        <v>48011008</v>
      </c>
      <c r="B9" s="174">
        <v>1</v>
      </c>
      <c r="C9" s="174">
        <v>500</v>
      </c>
      <c r="D9" s="174">
        <v>100</v>
      </c>
      <c r="E9" s="174" t="s">
        <v>53</v>
      </c>
      <c r="F9" s="174" t="s">
        <v>53</v>
      </c>
      <c r="G9" s="174">
        <v>1</v>
      </c>
      <c r="H9" s="174" t="s">
        <v>53</v>
      </c>
      <c r="I9" s="174" t="s">
        <v>53</v>
      </c>
      <c r="J9" s="175">
        <f t="shared" si="1"/>
        <v>100</v>
      </c>
      <c r="L9" s="168" t="s">
        <v>260</v>
      </c>
    </row>
    <row r="10" spans="1:12" ht="21" customHeight="1" x14ac:dyDescent="0.15">
      <c r="A10" s="150">
        <v>48011009</v>
      </c>
      <c r="B10" s="47">
        <v>1</v>
      </c>
      <c r="C10" s="47">
        <v>600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187">
        <v>8087</v>
      </c>
      <c r="J10" s="48">
        <f t="shared" si="1"/>
        <v>100</v>
      </c>
      <c r="L10" s="168" t="s">
        <v>263</v>
      </c>
    </row>
    <row r="11" spans="1:12" ht="21" customHeight="1" x14ac:dyDescent="0.15">
      <c r="A11" s="150">
        <v>48011010</v>
      </c>
      <c r="B11" s="47">
        <v>1</v>
      </c>
      <c r="C11" s="47">
        <v>700</v>
      </c>
      <c r="D11" s="47">
        <v>100</v>
      </c>
      <c r="E11" s="47" t="s">
        <v>53</v>
      </c>
      <c r="F11" s="47" t="s">
        <v>53</v>
      </c>
      <c r="G11" s="47">
        <v>1</v>
      </c>
      <c r="H11" s="47" t="s">
        <v>53</v>
      </c>
      <c r="I11" s="187">
        <v>8088</v>
      </c>
      <c r="J11" s="48">
        <f t="shared" si="1"/>
        <v>100</v>
      </c>
      <c r="L11" s="168" t="s">
        <v>263</v>
      </c>
    </row>
    <row r="12" spans="1:12" ht="21" customHeight="1" thickBot="1" x14ac:dyDescent="0.2">
      <c r="A12" s="150">
        <v>48011011</v>
      </c>
      <c r="B12" s="205">
        <v>0</v>
      </c>
      <c r="C12" s="176" t="s">
        <v>53</v>
      </c>
      <c r="D12" s="176">
        <v>28</v>
      </c>
      <c r="E12" s="176" t="s">
        <v>53</v>
      </c>
      <c r="F12" s="176" t="s">
        <v>88</v>
      </c>
      <c r="G12" s="176" t="s">
        <v>53</v>
      </c>
      <c r="H12" s="176" t="s">
        <v>88</v>
      </c>
      <c r="I12" s="176" t="s">
        <v>88</v>
      </c>
      <c r="J12" s="177">
        <f t="shared" si="1"/>
        <v>28</v>
      </c>
      <c r="K12" s="206"/>
      <c r="L12" s="204" t="s">
        <v>262</v>
      </c>
    </row>
    <row r="13" spans="1:12" ht="21" customHeight="1" thickTop="1" x14ac:dyDescent="0.15">
      <c r="A13" s="150">
        <v>48011012</v>
      </c>
      <c r="B13" s="174">
        <v>1</v>
      </c>
      <c r="C13" s="174">
        <v>500</v>
      </c>
      <c r="D13" s="174">
        <v>100</v>
      </c>
      <c r="E13" s="174" t="s">
        <v>53</v>
      </c>
      <c r="F13" s="174" t="s">
        <v>88</v>
      </c>
      <c r="G13" s="174">
        <v>1</v>
      </c>
      <c r="H13" s="174" t="s">
        <v>88</v>
      </c>
      <c r="I13" s="174" t="s">
        <v>88</v>
      </c>
      <c r="J13" s="175">
        <f t="shared" si="1"/>
        <v>100</v>
      </c>
      <c r="L13" s="167" t="s">
        <v>260</v>
      </c>
    </row>
    <row r="14" spans="1:12" ht="21" customHeight="1" x14ac:dyDescent="0.15">
      <c r="A14" s="150">
        <v>48011013</v>
      </c>
      <c r="B14" s="47">
        <v>0</v>
      </c>
      <c r="C14" s="47">
        <v>130</v>
      </c>
      <c r="D14" s="188">
        <v>25</v>
      </c>
      <c r="E14" s="47" t="s">
        <v>53</v>
      </c>
      <c r="F14" s="47" t="s">
        <v>88</v>
      </c>
      <c r="G14" s="47" t="s">
        <v>53</v>
      </c>
      <c r="H14" s="47" t="s">
        <v>88</v>
      </c>
      <c r="I14" s="47" t="s">
        <v>88</v>
      </c>
      <c r="J14" s="48">
        <f t="shared" si="1"/>
        <v>25</v>
      </c>
      <c r="L14" s="167" t="s">
        <v>274</v>
      </c>
    </row>
    <row r="15" spans="1:12" ht="21" customHeight="1" x14ac:dyDescent="0.15">
      <c r="A15" s="150">
        <v>48011014</v>
      </c>
      <c r="B15" s="47">
        <v>0</v>
      </c>
      <c r="C15" s="47">
        <v>120</v>
      </c>
      <c r="D15" s="188">
        <v>45</v>
      </c>
      <c r="E15" s="47" t="s">
        <v>53</v>
      </c>
      <c r="F15" s="47" t="s">
        <v>88</v>
      </c>
      <c r="G15" s="47" t="s">
        <v>53</v>
      </c>
      <c r="H15" s="47" t="s">
        <v>88</v>
      </c>
      <c r="I15" s="47" t="s">
        <v>88</v>
      </c>
      <c r="J15" s="48">
        <f t="shared" si="1"/>
        <v>45</v>
      </c>
      <c r="L15" s="167" t="s">
        <v>272</v>
      </c>
    </row>
    <row r="16" spans="1:12" ht="21" customHeight="1" x14ac:dyDescent="0.15">
      <c r="A16" s="150">
        <v>48011015</v>
      </c>
      <c r="B16" s="47">
        <v>0</v>
      </c>
      <c r="C16" s="47">
        <v>110</v>
      </c>
      <c r="D16" s="188">
        <v>90</v>
      </c>
      <c r="E16" s="47" t="s">
        <v>53</v>
      </c>
      <c r="F16" s="47" t="s">
        <v>88</v>
      </c>
      <c r="G16" s="47" t="s">
        <v>53</v>
      </c>
      <c r="H16" s="47" t="s">
        <v>88</v>
      </c>
      <c r="I16" s="47" t="s">
        <v>88</v>
      </c>
      <c r="J16" s="48">
        <f t="shared" si="1"/>
        <v>90</v>
      </c>
      <c r="L16" s="167" t="s">
        <v>273</v>
      </c>
    </row>
    <row r="17" spans="1:12" ht="21" customHeight="1" thickBot="1" x14ac:dyDescent="0.2">
      <c r="A17" s="150">
        <v>48011016</v>
      </c>
      <c r="B17" s="176">
        <v>0</v>
      </c>
      <c r="C17" s="176">
        <v>500</v>
      </c>
      <c r="D17" s="176">
        <v>100</v>
      </c>
      <c r="E17" s="176">
        <v>40</v>
      </c>
      <c r="F17" s="176" t="s">
        <v>88</v>
      </c>
      <c r="G17" s="176">
        <v>1</v>
      </c>
      <c r="H17" s="176" t="s">
        <v>88</v>
      </c>
      <c r="I17" s="176" t="s">
        <v>88</v>
      </c>
      <c r="J17" s="177">
        <f t="shared" si="1"/>
        <v>100</v>
      </c>
      <c r="L17" s="173" t="s">
        <v>275</v>
      </c>
    </row>
    <row r="18" spans="1:12" ht="21" customHeight="1" thickTop="1" thickBot="1" x14ac:dyDescent="0.2">
      <c r="A18" s="150">
        <v>48011017</v>
      </c>
      <c r="B18" s="199">
        <v>0</v>
      </c>
      <c r="C18" s="200" t="s">
        <v>53</v>
      </c>
      <c r="D18" s="200">
        <v>40</v>
      </c>
      <c r="E18" s="200" t="s">
        <v>53</v>
      </c>
      <c r="F18" s="200" t="s">
        <v>88</v>
      </c>
      <c r="G18" s="200" t="s">
        <v>53</v>
      </c>
      <c r="H18" s="200" t="s">
        <v>88</v>
      </c>
      <c r="I18" s="200" t="s">
        <v>88</v>
      </c>
      <c r="J18" s="201">
        <f t="shared" si="1"/>
        <v>40</v>
      </c>
      <c r="L18" s="210" t="s">
        <v>265</v>
      </c>
    </row>
    <row r="19" spans="1:12" ht="21" customHeight="1" thickTop="1" x14ac:dyDescent="0.15">
      <c r="A19" s="150">
        <v>48011018</v>
      </c>
      <c r="B19" s="174">
        <v>1</v>
      </c>
      <c r="C19" s="174">
        <v>500</v>
      </c>
      <c r="D19" s="174">
        <v>100</v>
      </c>
      <c r="E19" s="174" t="s">
        <v>53</v>
      </c>
      <c r="F19" s="174" t="s">
        <v>88</v>
      </c>
      <c r="G19" s="174">
        <v>1</v>
      </c>
      <c r="H19" s="174" t="s">
        <v>88</v>
      </c>
      <c r="I19" s="174" t="s">
        <v>88</v>
      </c>
      <c r="J19" s="175">
        <f t="shared" si="1"/>
        <v>100</v>
      </c>
      <c r="L19" s="167" t="s">
        <v>266</v>
      </c>
    </row>
    <row r="20" spans="1:12" ht="21" customHeight="1" x14ac:dyDescent="0.15">
      <c r="A20" s="150">
        <v>48011019</v>
      </c>
      <c r="B20" s="47">
        <v>0</v>
      </c>
      <c r="C20" s="47">
        <v>120</v>
      </c>
      <c r="D20" s="188">
        <v>33</v>
      </c>
      <c r="E20" s="47" t="s">
        <v>53</v>
      </c>
      <c r="F20" s="47" t="s">
        <v>88</v>
      </c>
      <c r="G20" s="47" t="s">
        <v>53</v>
      </c>
      <c r="H20" s="47" t="s">
        <v>88</v>
      </c>
      <c r="I20" s="47" t="s">
        <v>88</v>
      </c>
      <c r="J20" s="48">
        <f t="shared" si="1"/>
        <v>33</v>
      </c>
      <c r="L20" s="167" t="s">
        <v>267</v>
      </c>
    </row>
    <row r="21" spans="1:12" ht="21" customHeight="1" x14ac:dyDescent="0.15">
      <c r="A21" s="150">
        <v>48011020</v>
      </c>
      <c r="B21" s="47">
        <v>0</v>
      </c>
      <c r="C21" s="47">
        <v>110</v>
      </c>
      <c r="D21" s="188">
        <v>70</v>
      </c>
      <c r="E21" s="47" t="s">
        <v>53</v>
      </c>
      <c r="F21" s="47" t="s">
        <v>88</v>
      </c>
      <c r="G21" s="47" t="s">
        <v>53</v>
      </c>
      <c r="H21" s="47" t="s">
        <v>88</v>
      </c>
      <c r="I21" s="47" t="s">
        <v>88</v>
      </c>
      <c r="J21" s="48">
        <f t="shared" si="1"/>
        <v>70</v>
      </c>
      <c r="L21" s="167" t="s">
        <v>276</v>
      </c>
    </row>
    <row r="22" spans="1:12" ht="21" customHeight="1" x14ac:dyDescent="0.15">
      <c r="A22" s="150">
        <v>48011021</v>
      </c>
      <c r="B22" s="47">
        <v>0</v>
      </c>
      <c r="C22" s="47">
        <v>310</v>
      </c>
      <c r="D22" s="47">
        <v>80</v>
      </c>
      <c r="E22" s="47">
        <v>100</v>
      </c>
      <c r="F22" s="47">
        <v>67</v>
      </c>
      <c r="G22" s="47">
        <v>1</v>
      </c>
      <c r="H22" s="47" t="s">
        <v>88</v>
      </c>
      <c r="I22" s="47" t="s">
        <v>88</v>
      </c>
      <c r="J22" s="48">
        <f t="shared" si="1"/>
        <v>80</v>
      </c>
      <c r="L22" s="167" t="s">
        <v>269</v>
      </c>
    </row>
    <row r="23" spans="1:12" ht="21" customHeight="1" x14ac:dyDescent="0.15">
      <c r="A23" s="150">
        <v>48011022</v>
      </c>
      <c r="B23" s="47">
        <v>0</v>
      </c>
      <c r="C23" s="47">
        <v>320</v>
      </c>
      <c r="D23" s="47">
        <v>80</v>
      </c>
      <c r="E23" s="47">
        <v>66</v>
      </c>
      <c r="F23" s="47">
        <v>34</v>
      </c>
      <c r="G23" s="47">
        <v>1</v>
      </c>
      <c r="H23" s="47" t="s">
        <v>88</v>
      </c>
      <c r="I23" s="47" t="s">
        <v>88</v>
      </c>
      <c r="J23" s="48">
        <f t="shared" si="1"/>
        <v>80</v>
      </c>
      <c r="L23" s="167" t="s">
        <v>269</v>
      </c>
    </row>
    <row r="24" spans="1:12" ht="21" customHeight="1" x14ac:dyDescent="0.15">
      <c r="A24" s="150">
        <v>48011023</v>
      </c>
      <c r="B24" s="47">
        <v>0</v>
      </c>
      <c r="C24" s="47">
        <v>330</v>
      </c>
      <c r="D24" s="47">
        <v>80</v>
      </c>
      <c r="E24" s="47">
        <v>33</v>
      </c>
      <c r="F24" s="47" t="s">
        <v>53</v>
      </c>
      <c r="G24" s="47">
        <v>1</v>
      </c>
      <c r="H24" s="47" t="s">
        <v>88</v>
      </c>
      <c r="I24" s="47" t="s">
        <v>88</v>
      </c>
      <c r="J24" s="48">
        <f t="shared" si="1"/>
        <v>80</v>
      </c>
      <c r="L24" s="167" t="s">
        <v>269</v>
      </c>
    </row>
    <row r="25" spans="1:12" ht="21" customHeight="1" thickBot="1" x14ac:dyDescent="0.2">
      <c r="A25" s="150">
        <v>48011024</v>
      </c>
      <c r="B25" s="176">
        <v>0</v>
      </c>
      <c r="C25" s="176">
        <v>500</v>
      </c>
      <c r="D25" s="176">
        <v>100</v>
      </c>
      <c r="E25" s="176">
        <v>33</v>
      </c>
      <c r="F25" s="176" t="s">
        <v>88</v>
      </c>
      <c r="G25" s="176">
        <v>1</v>
      </c>
      <c r="H25" s="176" t="s">
        <v>88</v>
      </c>
      <c r="I25" s="176" t="s">
        <v>88</v>
      </c>
      <c r="J25" s="177">
        <f t="shared" si="1"/>
        <v>100</v>
      </c>
      <c r="L25" s="173" t="s">
        <v>277</v>
      </c>
    </row>
    <row r="26" spans="1:12" ht="21" customHeight="1" thickTop="1" x14ac:dyDescent="0.15">
      <c r="A26" s="150">
        <v>48011025</v>
      </c>
      <c r="B26" s="174">
        <v>1</v>
      </c>
      <c r="C26" s="174">
        <v>500</v>
      </c>
      <c r="D26" s="174">
        <v>100</v>
      </c>
      <c r="E26" s="174" t="s">
        <v>53</v>
      </c>
      <c r="F26" s="174" t="s">
        <v>88</v>
      </c>
      <c r="G26" s="174">
        <v>1</v>
      </c>
      <c r="H26" s="174" t="s">
        <v>88</v>
      </c>
      <c r="I26" s="174" t="s">
        <v>88</v>
      </c>
      <c r="J26" s="175">
        <f t="shared" si="1"/>
        <v>100</v>
      </c>
      <c r="L26" s="167" t="s">
        <v>278</v>
      </c>
    </row>
    <row r="27" spans="1:12" ht="21" customHeight="1" x14ac:dyDescent="0.15">
      <c r="A27" s="150">
        <v>48011026</v>
      </c>
      <c r="B27" s="47">
        <v>1</v>
      </c>
      <c r="C27" s="47">
        <v>600</v>
      </c>
      <c r="D27" s="47">
        <v>100</v>
      </c>
      <c r="E27" s="47" t="s">
        <v>53</v>
      </c>
      <c r="F27" s="47" t="s">
        <v>88</v>
      </c>
      <c r="G27" s="47">
        <v>1</v>
      </c>
      <c r="H27" s="47" t="s">
        <v>88</v>
      </c>
      <c r="I27" s="187">
        <v>8087</v>
      </c>
      <c r="J27" s="48">
        <f t="shared" si="1"/>
        <v>100</v>
      </c>
      <c r="L27" s="167" t="s">
        <v>278</v>
      </c>
    </row>
    <row r="28" spans="1:12" ht="21" customHeight="1" x14ac:dyDescent="0.15">
      <c r="A28" s="150">
        <v>48011027</v>
      </c>
      <c r="B28" s="47">
        <v>1</v>
      </c>
      <c r="C28" s="47">
        <v>700</v>
      </c>
      <c r="D28" s="47">
        <v>100</v>
      </c>
      <c r="E28" s="47" t="s">
        <v>53</v>
      </c>
      <c r="F28" s="47" t="s">
        <v>88</v>
      </c>
      <c r="G28" s="47">
        <v>1</v>
      </c>
      <c r="H28" s="47" t="s">
        <v>88</v>
      </c>
      <c r="I28" s="187">
        <v>8088</v>
      </c>
      <c r="J28" s="48">
        <f t="shared" si="1"/>
        <v>100</v>
      </c>
      <c r="L28" s="167" t="s">
        <v>278</v>
      </c>
    </row>
    <row r="29" spans="1:12" ht="21" customHeight="1" x14ac:dyDescent="0.15">
      <c r="A29" s="150">
        <v>48011028</v>
      </c>
      <c r="B29" s="47">
        <v>0</v>
      </c>
      <c r="C29" s="47">
        <v>160</v>
      </c>
      <c r="D29" s="213">
        <v>100</v>
      </c>
      <c r="E29" s="47" t="s">
        <v>53</v>
      </c>
      <c r="F29" s="47" t="s">
        <v>88</v>
      </c>
      <c r="G29" s="47">
        <v>1</v>
      </c>
      <c r="H29" s="47">
        <v>1</v>
      </c>
      <c r="I29" s="47" t="s">
        <v>88</v>
      </c>
      <c r="J29" s="48">
        <f t="shared" ref="J29" si="2">D29</f>
        <v>100</v>
      </c>
      <c r="L29" s="167" t="s">
        <v>279</v>
      </c>
    </row>
    <row r="30" spans="1:12" ht="21" customHeight="1" x14ac:dyDescent="0.15">
      <c r="A30" s="150">
        <v>48011029</v>
      </c>
      <c r="B30" s="47">
        <v>0</v>
      </c>
      <c r="C30" s="47">
        <v>150</v>
      </c>
      <c r="D30" s="47">
        <v>100</v>
      </c>
      <c r="E30" s="47" t="s">
        <v>53</v>
      </c>
      <c r="F30" s="47" t="s">
        <v>88</v>
      </c>
      <c r="G30" s="47" t="s">
        <v>53</v>
      </c>
      <c r="H30" s="47">
        <v>3</v>
      </c>
      <c r="I30" s="47" t="s">
        <v>88</v>
      </c>
      <c r="J30" s="48">
        <f t="shared" si="1"/>
        <v>100</v>
      </c>
      <c r="L30" s="167" t="s">
        <v>281</v>
      </c>
    </row>
    <row r="31" spans="1:12" ht="21" customHeight="1" x14ac:dyDescent="0.15">
      <c r="A31" s="150">
        <v>48011030</v>
      </c>
      <c r="B31" s="47">
        <v>0</v>
      </c>
      <c r="C31" s="47">
        <v>140</v>
      </c>
      <c r="D31" s="188">
        <v>19</v>
      </c>
      <c r="E31" s="47" t="s">
        <v>53</v>
      </c>
      <c r="F31" s="47" t="s">
        <v>88</v>
      </c>
      <c r="G31" s="47" t="s">
        <v>53</v>
      </c>
      <c r="H31" s="47" t="s">
        <v>88</v>
      </c>
      <c r="I31" s="47" t="s">
        <v>88</v>
      </c>
      <c r="J31" s="48">
        <f t="shared" si="1"/>
        <v>19</v>
      </c>
      <c r="L31" s="172" t="s">
        <v>303</v>
      </c>
    </row>
    <row r="32" spans="1:12" ht="21" customHeight="1" x14ac:dyDescent="0.15">
      <c r="A32" s="150">
        <v>48011031</v>
      </c>
      <c r="B32" s="47">
        <v>0</v>
      </c>
      <c r="C32" s="47">
        <v>130</v>
      </c>
      <c r="D32" s="188">
        <v>30</v>
      </c>
      <c r="E32" s="47" t="s">
        <v>53</v>
      </c>
      <c r="F32" s="47" t="s">
        <v>88</v>
      </c>
      <c r="G32" s="47" t="s">
        <v>53</v>
      </c>
      <c r="H32" s="47" t="s">
        <v>88</v>
      </c>
      <c r="I32" s="47" t="s">
        <v>88</v>
      </c>
      <c r="J32" s="48">
        <f t="shared" si="1"/>
        <v>30</v>
      </c>
      <c r="L32" s="167" t="s">
        <v>280</v>
      </c>
    </row>
    <row r="33" spans="1:12" ht="21" customHeight="1" x14ac:dyDescent="0.15">
      <c r="A33" s="150">
        <v>48011032</v>
      </c>
      <c r="B33" s="47">
        <v>0</v>
      </c>
      <c r="C33" s="47">
        <v>120</v>
      </c>
      <c r="D33" s="188">
        <v>53</v>
      </c>
      <c r="E33" s="47" t="s">
        <v>53</v>
      </c>
      <c r="F33" s="47" t="s">
        <v>88</v>
      </c>
      <c r="G33" s="47" t="s">
        <v>53</v>
      </c>
      <c r="H33" s="47" t="s">
        <v>88</v>
      </c>
      <c r="I33" s="47" t="s">
        <v>88</v>
      </c>
      <c r="J33" s="48">
        <f t="shared" si="1"/>
        <v>53</v>
      </c>
      <c r="L33" s="167" t="s">
        <v>279</v>
      </c>
    </row>
    <row r="34" spans="1:12" ht="21" customHeight="1" x14ac:dyDescent="0.15">
      <c r="A34" s="150">
        <v>48011033</v>
      </c>
      <c r="B34" s="47">
        <v>0</v>
      </c>
      <c r="C34" s="47">
        <v>110</v>
      </c>
      <c r="D34" s="188">
        <v>100</v>
      </c>
      <c r="E34" s="47" t="s">
        <v>53</v>
      </c>
      <c r="F34" s="47" t="s">
        <v>88</v>
      </c>
      <c r="G34" s="47" t="s">
        <v>53</v>
      </c>
      <c r="H34" s="47" t="s">
        <v>88</v>
      </c>
      <c r="I34" s="47" t="s">
        <v>88</v>
      </c>
      <c r="J34" s="48">
        <f t="shared" si="1"/>
        <v>100</v>
      </c>
      <c r="L34" s="167" t="s">
        <v>272</v>
      </c>
    </row>
    <row r="35" spans="1:12" ht="21" customHeight="1" thickBot="1" x14ac:dyDescent="0.2">
      <c r="A35" s="150">
        <v>48011034</v>
      </c>
      <c r="B35" s="176">
        <v>0</v>
      </c>
      <c r="C35" s="176">
        <v>500</v>
      </c>
      <c r="D35" s="176">
        <v>100</v>
      </c>
      <c r="E35" s="176">
        <v>33</v>
      </c>
      <c r="F35" s="176" t="s">
        <v>88</v>
      </c>
      <c r="G35" s="176">
        <v>1</v>
      </c>
      <c r="H35" s="176" t="s">
        <v>88</v>
      </c>
      <c r="I35" s="176" t="s">
        <v>88</v>
      </c>
      <c r="J35" s="177">
        <f t="shared" si="1"/>
        <v>100</v>
      </c>
      <c r="L35" s="173" t="s">
        <v>282</v>
      </c>
    </row>
    <row r="36" spans="1:12" ht="21" customHeight="1" thickTop="1" x14ac:dyDescent="0.15">
      <c r="A36" s="150">
        <v>48011035</v>
      </c>
      <c r="B36" s="174">
        <v>1</v>
      </c>
      <c r="C36" s="174">
        <v>500</v>
      </c>
      <c r="D36" s="174">
        <v>100</v>
      </c>
      <c r="E36" s="174" t="s">
        <v>53</v>
      </c>
      <c r="F36" s="174" t="s">
        <v>88</v>
      </c>
      <c r="G36" s="174">
        <v>1</v>
      </c>
      <c r="H36" s="174" t="s">
        <v>88</v>
      </c>
      <c r="I36" s="174" t="s">
        <v>88</v>
      </c>
      <c r="J36" s="175">
        <f t="shared" si="1"/>
        <v>100</v>
      </c>
      <c r="L36" s="167" t="s">
        <v>293</v>
      </c>
    </row>
    <row r="37" spans="1:12" ht="21" customHeight="1" x14ac:dyDescent="0.15">
      <c r="A37" s="150">
        <v>48011036</v>
      </c>
      <c r="B37" s="47">
        <v>0</v>
      </c>
      <c r="C37" s="47">
        <v>160</v>
      </c>
      <c r="D37" s="188">
        <v>27</v>
      </c>
      <c r="E37" s="47" t="s">
        <v>53</v>
      </c>
      <c r="F37" s="47" t="s">
        <v>88</v>
      </c>
      <c r="G37" s="47" t="s">
        <v>53</v>
      </c>
      <c r="H37" s="47" t="s">
        <v>88</v>
      </c>
      <c r="I37" s="47" t="s">
        <v>88</v>
      </c>
      <c r="J37" s="48">
        <f t="shared" si="1"/>
        <v>27</v>
      </c>
      <c r="L37" s="167" t="s">
        <v>286</v>
      </c>
    </row>
    <row r="38" spans="1:12" ht="21" customHeight="1" x14ac:dyDescent="0.15">
      <c r="A38" s="150">
        <v>48011037</v>
      </c>
      <c r="B38" s="47">
        <v>0</v>
      </c>
      <c r="C38" s="47">
        <v>150</v>
      </c>
      <c r="D38" s="188">
        <v>34</v>
      </c>
      <c r="E38" s="47" t="s">
        <v>53</v>
      </c>
      <c r="F38" s="47" t="s">
        <v>88</v>
      </c>
      <c r="G38" s="47" t="s">
        <v>53</v>
      </c>
      <c r="H38" s="47" t="s">
        <v>88</v>
      </c>
      <c r="I38" s="47" t="s">
        <v>88</v>
      </c>
      <c r="J38" s="48">
        <f t="shared" si="1"/>
        <v>34</v>
      </c>
      <c r="L38" s="167" t="s">
        <v>292</v>
      </c>
    </row>
    <row r="39" spans="1:12" ht="21" customHeight="1" x14ac:dyDescent="0.15">
      <c r="A39" s="150">
        <v>48011038</v>
      </c>
      <c r="B39" s="47">
        <v>0</v>
      </c>
      <c r="C39" s="47">
        <v>140</v>
      </c>
      <c r="D39" s="188">
        <v>40</v>
      </c>
      <c r="E39" s="47" t="s">
        <v>53</v>
      </c>
      <c r="F39" s="47" t="s">
        <v>88</v>
      </c>
      <c r="G39" s="47" t="s">
        <v>53</v>
      </c>
      <c r="H39" s="47" t="s">
        <v>88</v>
      </c>
      <c r="I39" s="47" t="s">
        <v>88</v>
      </c>
      <c r="J39" s="48">
        <f t="shared" si="1"/>
        <v>40</v>
      </c>
      <c r="L39" s="167" t="s">
        <v>285</v>
      </c>
    </row>
    <row r="40" spans="1:12" ht="21" customHeight="1" x14ac:dyDescent="0.15">
      <c r="A40" s="150">
        <v>48011039</v>
      </c>
      <c r="B40" s="47">
        <v>0</v>
      </c>
      <c r="C40" s="47">
        <v>130</v>
      </c>
      <c r="D40" s="188">
        <v>60</v>
      </c>
      <c r="E40" s="47" t="s">
        <v>53</v>
      </c>
      <c r="F40" s="47" t="s">
        <v>88</v>
      </c>
      <c r="G40" s="47" t="s">
        <v>53</v>
      </c>
      <c r="H40" s="47" t="s">
        <v>88</v>
      </c>
      <c r="I40" s="47" t="s">
        <v>88</v>
      </c>
      <c r="J40" s="48">
        <f t="shared" si="1"/>
        <v>60</v>
      </c>
      <c r="L40" s="167" t="s">
        <v>287</v>
      </c>
    </row>
    <row r="41" spans="1:12" ht="21" customHeight="1" x14ac:dyDescent="0.15">
      <c r="A41" s="150">
        <v>48011040</v>
      </c>
      <c r="B41" s="47">
        <v>0</v>
      </c>
      <c r="C41" s="47">
        <v>120</v>
      </c>
      <c r="D41" s="188">
        <v>100</v>
      </c>
      <c r="E41" s="47" t="s">
        <v>53</v>
      </c>
      <c r="F41" s="47" t="s">
        <v>88</v>
      </c>
      <c r="G41" s="47" t="s">
        <v>53</v>
      </c>
      <c r="H41" s="47" t="s">
        <v>88</v>
      </c>
      <c r="I41" s="47" t="s">
        <v>88</v>
      </c>
      <c r="J41" s="48">
        <f t="shared" si="1"/>
        <v>100</v>
      </c>
      <c r="L41" s="167" t="s">
        <v>283</v>
      </c>
    </row>
    <row r="42" spans="1:12" ht="21" customHeight="1" x14ac:dyDescent="0.15">
      <c r="A42" s="150">
        <v>48011041</v>
      </c>
      <c r="B42" s="47">
        <v>0</v>
      </c>
      <c r="C42" s="47">
        <v>300</v>
      </c>
      <c r="D42" s="213">
        <v>100</v>
      </c>
      <c r="E42" s="47" t="s">
        <v>53</v>
      </c>
      <c r="F42" s="47" t="s">
        <v>88</v>
      </c>
      <c r="G42" s="47" t="s">
        <v>53</v>
      </c>
      <c r="H42" s="47">
        <v>4</v>
      </c>
      <c r="I42" s="47" t="s">
        <v>88</v>
      </c>
      <c r="J42" s="48">
        <f t="shared" si="1"/>
        <v>100</v>
      </c>
      <c r="L42" s="167" t="s">
        <v>284</v>
      </c>
    </row>
    <row r="43" spans="1:12" ht="21" customHeight="1" x14ac:dyDescent="0.15">
      <c r="A43" s="150">
        <v>48011042</v>
      </c>
      <c r="B43" s="47">
        <v>0</v>
      </c>
      <c r="C43" s="47">
        <v>500</v>
      </c>
      <c r="D43" s="47">
        <v>100</v>
      </c>
      <c r="E43" s="47">
        <v>33</v>
      </c>
      <c r="F43" s="47" t="s">
        <v>88</v>
      </c>
      <c r="G43" s="47">
        <v>1</v>
      </c>
      <c r="H43" s="47" t="s">
        <v>88</v>
      </c>
      <c r="I43" s="47" t="s">
        <v>88</v>
      </c>
      <c r="J43" s="48">
        <f t="shared" ref="J43:J46" si="3">D43</f>
        <v>100</v>
      </c>
      <c r="L43" s="172" t="s">
        <v>268</v>
      </c>
    </row>
    <row r="44" spans="1:12" ht="21" customHeight="1" x14ac:dyDescent="0.15">
      <c r="A44" s="150">
        <v>48011043</v>
      </c>
      <c r="B44" s="47">
        <v>0</v>
      </c>
      <c r="C44" s="47">
        <v>600</v>
      </c>
      <c r="D44" s="47">
        <v>100</v>
      </c>
      <c r="E44" s="47" t="s">
        <v>53</v>
      </c>
      <c r="F44" s="47" t="s">
        <v>88</v>
      </c>
      <c r="G44" s="47">
        <v>0</v>
      </c>
      <c r="H44" s="47">
        <v>1</v>
      </c>
      <c r="I44" s="47">
        <v>0</v>
      </c>
      <c r="J44" s="48">
        <f t="shared" si="3"/>
        <v>100</v>
      </c>
      <c r="L44" s="172" t="s">
        <v>260</v>
      </c>
    </row>
    <row r="45" spans="1:12" ht="21" customHeight="1" x14ac:dyDescent="0.15">
      <c r="A45" s="150">
        <v>48011044</v>
      </c>
      <c r="B45" s="47">
        <v>0</v>
      </c>
      <c r="C45" s="47">
        <v>700</v>
      </c>
      <c r="D45" s="47">
        <v>100</v>
      </c>
      <c r="E45" s="47" t="s">
        <v>53</v>
      </c>
      <c r="F45" s="47" t="s">
        <v>88</v>
      </c>
      <c r="G45" s="47">
        <v>0</v>
      </c>
      <c r="H45" s="47">
        <v>1</v>
      </c>
      <c r="I45" s="187">
        <v>8087</v>
      </c>
      <c r="J45" s="48">
        <f t="shared" si="3"/>
        <v>100</v>
      </c>
      <c r="L45" s="167" t="s">
        <v>260</v>
      </c>
    </row>
    <row r="46" spans="1:12" ht="21" customHeight="1" x14ac:dyDescent="0.15">
      <c r="A46" s="150">
        <v>48011045</v>
      </c>
      <c r="B46" s="47">
        <v>0</v>
      </c>
      <c r="C46" s="47">
        <v>800</v>
      </c>
      <c r="D46" s="47">
        <v>100</v>
      </c>
      <c r="E46" s="47" t="s">
        <v>53</v>
      </c>
      <c r="F46" s="47" t="s">
        <v>88</v>
      </c>
      <c r="G46" s="47">
        <v>0</v>
      </c>
      <c r="H46" s="47">
        <v>1</v>
      </c>
      <c r="I46" s="187">
        <v>8088</v>
      </c>
      <c r="J46" s="48">
        <f t="shared" si="3"/>
        <v>100</v>
      </c>
      <c r="L46" s="167" t="s">
        <v>260</v>
      </c>
    </row>
  </sheetData>
  <autoFilter ref="A1:G1"/>
  <phoneticPr fontId="5"/>
  <conditionalFormatting sqref="K47:K1048576 K1:K28 K30:K43">
    <cfRule type="duplicateValues" dxfId="2" priority="3"/>
  </conditionalFormatting>
  <conditionalFormatting sqref="K44:K46">
    <cfRule type="duplicateValues" dxfId="1" priority="2"/>
  </conditionalFormatting>
  <conditionalFormatting sqref="K2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opLeftCell="B1" workbookViewId="0">
      <selection activeCell="G13" sqref="G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0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57">
        <v>48011</v>
      </c>
      <c r="B2" s="57">
        <v>1</v>
      </c>
      <c r="C2" s="69" t="str">
        <f>A2&amp; "_"&amp;B2</f>
        <v>48011_1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36">
        <v>1</v>
      </c>
      <c r="F2" s="237" t="s">
        <v>167</v>
      </c>
      <c r="G2" s="237">
        <v>40000</v>
      </c>
      <c r="H2" s="237" t="s">
        <v>402</v>
      </c>
      <c r="I2" s="237">
        <v>1</v>
      </c>
      <c r="J2" s="237">
        <v>1</v>
      </c>
      <c r="K2" s="237">
        <v>0</v>
      </c>
      <c r="L2" s="237">
        <v>0</v>
      </c>
      <c r="M2" s="237">
        <v>0</v>
      </c>
      <c r="N2" s="237">
        <v>0</v>
      </c>
      <c r="O2" s="237">
        <v>1</v>
      </c>
      <c r="P2" s="237">
        <v>150</v>
      </c>
      <c r="Q2" s="57" t="s">
        <v>168</v>
      </c>
      <c r="R2" s="57" t="s">
        <v>169</v>
      </c>
    </row>
    <row r="3" spans="1:18" x14ac:dyDescent="0.15">
      <c r="A3" s="57">
        <v>48011</v>
      </c>
      <c r="B3" s="57">
        <v>1</v>
      </c>
      <c r="C3" s="69" t="str">
        <f t="shared" ref="C3:C18" si="0">A3&amp; "_"&amp;B3</f>
        <v>48011_1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238">
        <v>2</v>
      </c>
      <c r="F3" s="239" t="s">
        <v>403</v>
      </c>
      <c r="G3" s="239">
        <v>30</v>
      </c>
      <c r="H3" s="239" t="s">
        <v>402</v>
      </c>
      <c r="I3" s="239">
        <v>1</v>
      </c>
      <c r="J3" s="239">
        <v>1</v>
      </c>
      <c r="K3" s="239">
        <v>0</v>
      </c>
      <c r="L3" s="239">
        <v>0</v>
      </c>
      <c r="M3" s="239">
        <v>0</v>
      </c>
      <c r="N3" s="239">
        <v>0</v>
      </c>
      <c r="O3" s="239">
        <v>1</v>
      </c>
      <c r="P3" s="239">
        <v>150</v>
      </c>
      <c r="Q3" s="57" t="s">
        <v>168</v>
      </c>
      <c r="R3" s="57" t="s">
        <v>169</v>
      </c>
    </row>
    <row r="4" spans="1:18" x14ac:dyDescent="0.15">
      <c r="A4" s="57">
        <v>48011</v>
      </c>
      <c r="B4" s="57">
        <v>1</v>
      </c>
      <c r="C4" s="69" t="str">
        <f t="shared" si="0"/>
        <v>48011_1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238">
        <v>3</v>
      </c>
      <c r="F4" s="239" t="s">
        <v>404</v>
      </c>
      <c r="G4" s="240">
        <v>8089</v>
      </c>
      <c r="H4" s="239">
        <v>1</v>
      </c>
      <c r="I4" s="239">
        <v>1</v>
      </c>
      <c r="J4" s="239">
        <v>1</v>
      </c>
      <c r="K4" s="239">
        <v>0</v>
      </c>
      <c r="L4" s="239">
        <v>0</v>
      </c>
      <c r="M4" s="239">
        <v>0</v>
      </c>
      <c r="N4" s="239">
        <v>0</v>
      </c>
      <c r="O4" s="239">
        <v>1</v>
      </c>
      <c r="P4" s="239">
        <v>100</v>
      </c>
      <c r="Q4" s="57" t="s">
        <v>168</v>
      </c>
      <c r="R4" s="57" t="s">
        <v>169</v>
      </c>
    </row>
    <row r="5" spans="1:18" x14ac:dyDescent="0.15">
      <c r="A5" s="57">
        <v>48011</v>
      </c>
      <c r="B5" s="57">
        <v>1</v>
      </c>
      <c r="C5" s="69" t="str">
        <f t="shared" si="0"/>
        <v>48011_1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38">
        <v>4</v>
      </c>
      <c r="F5" s="239" t="s">
        <v>404</v>
      </c>
      <c r="G5" s="239">
        <v>337</v>
      </c>
      <c r="H5" s="239">
        <v>1</v>
      </c>
      <c r="I5" s="239">
        <v>1</v>
      </c>
      <c r="J5" s="239">
        <v>1</v>
      </c>
      <c r="K5" s="239">
        <v>0</v>
      </c>
      <c r="L5" s="239">
        <v>0</v>
      </c>
      <c r="M5" s="239">
        <v>0</v>
      </c>
      <c r="N5" s="239">
        <v>0</v>
      </c>
      <c r="O5" s="239">
        <v>1</v>
      </c>
      <c r="P5" s="239">
        <v>28</v>
      </c>
      <c r="Q5" s="57" t="s">
        <v>168</v>
      </c>
      <c r="R5" s="57" t="s">
        <v>169</v>
      </c>
    </row>
    <row r="6" spans="1:18" x14ac:dyDescent="0.15">
      <c r="A6" s="57">
        <v>48011</v>
      </c>
      <c r="B6" s="57">
        <v>1</v>
      </c>
      <c r="C6" s="69" t="str">
        <f t="shared" si="0"/>
        <v>48011_1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38">
        <v>5</v>
      </c>
      <c r="F6" s="239" t="s">
        <v>404</v>
      </c>
      <c r="G6" s="239">
        <v>338</v>
      </c>
      <c r="H6" s="239">
        <v>1</v>
      </c>
      <c r="I6" s="239">
        <v>1</v>
      </c>
      <c r="J6" s="239">
        <v>1</v>
      </c>
      <c r="K6" s="239">
        <v>0</v>
      </c>
      <c r="L6" s="239">
        <v>0</v>
      </c>
      <c r="M6" s="239">
        <v>0</v>
      </c>
      <c r="N6" s="239">
        <v>0</v>
      </c>
      <c r="O6" s="239">
        <v>1</v>
      </c>
      <c r="P6" s="239">
        <v>112</v>
      </c>
      <c r="Q6" s="57" t="s">
        <v>168</v>
      </c>
      <c r="R6" s="57" t="s">
        <v>169</v>
      </c>
    </row>
    <row r="7" spans="1:18" x14ac:dyDescent="0.15">
      <c r="A7" s="57">
        <v>48011</v>
      </c>
      <c r="B7" s="57">
        <v>1</v>
      </c>
      <c r="C7" s="69" t="str">
        <f t="shared" si="0"/>
        <v>48011_1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238">
        <v>6</v>
      </c>
      <c r="F7" s="239" t="s">
        <v>404</v>
      </c>
      <c r="G7" s="239">
        <v>350</v>
      </c>
      <c r="H7" s="239">
        <v>1</v>
      </c>
      <c r="I7" s="239">
        <v>1</v>
      </c>
      <c r="J7" s="239">
        <v>1</v>
      </c>
      <c r="K7" s="239">
        <v>0</v>
      </c>
      <c r="L7" s="239">
        <v>0</v>
      </c>
      <c r="M7" s="239">
        <v>0</v>
      </c>
      <c r="N7" s="239">
        <v>0</v>
      </c>
      <c r="O7" s="239">
        <v>1</v>
      </c>
      <c r="P7" s="239">
        <v>150</v>
      </c>
      <c r="Q7" s="57" t="s">
        <v>168</v>
      </c>
      <c r="R7" s="57" t="s">
        <v>169</v>
      </c>
    </row>
    <row r="8" spans="1:18" x14ac:dyDescent="0.15">
      <c r="A8" s="57">
        <v>48011</v>
      </c>
      <c r="B8" s="57">
        <v>1</v>
      </c>
      <c r="C8" s="69" t="str">
        <f t="shared" si="0"/>
        <v>48011_1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38">
        <v>7</v>
      </c>
      <c r="F8" s="239" t="s">
        <v>404</v>
      </c>
      <c r="G8" s="239">
        <v>121</v>
      </c>
      <c r="H8" s="239">
        <v>1</v>
      </c>
      <c r="I8" s="239">
        <v>1</v>
      </c>
      <c r="J8" s="239">
        <v>1</v>
      </c>
      <c r="K8" s="239">
        <v>0</v>
      </c>
      <c r="L8" s="239">
        <v>0</v>
      </c>
      <c r="M8" s="239">
        <v>0</v>
      </c>
      <c r="N8" s="239">
        <v>0</v>
      </c>
      <c r="O8" s="239">
        <v>1</v>
      </c>
      <c r="P8" s="239">
        <v>100</v>
      </c>
      <c r="Q8" s="57" t="s">
        <v>168</v>
      </c>
      <c r="R8" s="57" t="s">
        <v>169</v>
      </c>
    </row>
    <row r="9" spans="1:18" x14ac:dyDescent="0.15">
      <c r="A9" s="57">
        <v>48011</v>
      </c>
      <c r="B9" s="57">
        <v>1</v>
      </c>
      <c r="C9" s="69" t="str">
        <f t="shared" si="0"/>
        <v>48011_1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38">
        <v>8</v>
      </c>
      <c r="F9" s="239" t="s">
        <v>404</v>
      </c>
      <c r="G9" s="239">
        <v>122</v>
      </c>
      <c r="H9" s="239">
        <v>1</v>
      </c>
      <c r="I9" s="239">
        <v>1</v>
      </c>
      <c r="J9" s="239">
        <v>1</v>
      </c>
      <c r="K9" s="239">
        <v>0</v>
      </c>
      <c r="L9" s="239">
        <v>0</v>
      </c>
      <c r="M9" s="239">
        <v>0</v>
      </c>
      <c r="N9" s="239">
        <v>0</v>
      </c>
      <c r="O9" s="239">
        <v>1</v>
      </c>
      <c r="P9" s="239">
        <v>100</v>
      </c>
      <c r="Q9" s="57" t="s">
        <v>168</v>
      </c>
      <c r="R9" s="57" t="s">
        <v>169</v>
      </c>
    </row>
    <row r="10" spans="1:18" x14ac:dyDescent="0.15">
      <c r="A10" s="57">
        <v>48011</v>
      </c>
      <c r="B10" s="57">
        <v>1</v>
      </c>
      <c r="C10" s="69" t="str">
        <f t="shared" si="0"/>
        <v>48011_1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238">
        <v>9</v>
      </c>
      <c r="F10" s="239" t="s">
        <v>404</v>
      </c>
      <c r="G10" s="239">
        <v>123</v>
      </c>
      <c r="H10" s="239">
        <v>1</v>
      </c>
      <c r="I10" s="239">
        <v>1</v>
      </c>
      <c r="J10" s="239">
        <v>1</v>
      </c>
      <c r="K10" s="239">
        <v>0</v>
      </c>
      <c r="L10" s="239">
        <v>0</v>
      </c>
      <c r="M10" s="239">
        <v>0</v>
      </c>
      <c r="N10" s="239">
        <v>0</v>
      </c>
      <c r="O10" s="239">
        <v>1</v>
      </c>
      <c r="P10" s="239">
        <v>100</v>
      </c>
      <c r="Q10" s="57" t="s">
        <v>168</v>
      </c>
      <c r="R10" s="57" t="s">
        <v>169</v>
      </c>
    </row>
    <row r="11" spans="1:18" x14ac:dyDescent="0.15">
      <c r="A11" s="57">
        <v>48011</v>
      </c>
      <c r="B11" s="57">
        <v>1</v>
      </c>
      <c r="C11" s="69" t="str">
        <f t="shared" si="0"/>
        <v>48011_1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38">
        <v>10</v>
      </c>
      <c r="F11" s="239" t="s">
        <v>404</v>
      </c>
      <c r="G11" s="239">
        <v>125</v>
      </c>
      <c r="H11" s="239">
        <v>1</v>
      </c>
      <c r="I11" s="239">
        <v>1</v>
      </c>
      <c r="J11" s="239">
        <v>1</v>
      </c>
      <c r="K11" s="239">
        <v>0</v>
      </c>
      <c r="L11" s="239">
        <v>0</v>
      </c>
      <c r="M11" s="239">
        <v>0</v>
      </c>
      <c r="N11" s="239">
        <v>0</v>
      </c>
      <c r="O11" s="239">
        <v>1</v>
      </c>
      <c r="P11" s="239">
        <v>10</v>
      </c>
      <c r="Q11" s="57" t="s">
        <v>168</v>
      </c>
      <c r="R11" s="57" t="s">
        <v>169</v>
      </c>
    </row>
    <row r="12" spans="1:18" x14ac:dyDescent="0.15">
      <c r="A12" s="58">
        <v>48011</v>
      </c>
      <c r="B12" s="58">
        <v>2</v>
      </c>
      <c r="C12" s="69" t="str">
        <f t="shared" si="0"/>
        <v>48011_2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41">
        <v>11</v>
      </c>
      <c r="F12" s="242" t="s">
        <v>404</v>
      </c>
      <c r="G12" s="243">
        <v>8089</v>
      </c>
      <c r="H12" s="242">
        <v>1</v>
      </c>
      <c r="I12" s="242">
        <v>1</v>
      </c>
      <c r="J12" s="242">
        <v>1</v>
      </c>
      <c r="K12" s="242">
        <v>0</v>
      </c>
      <c r="L12" s="242">
        <v>0</v>
      </c>
      <c r="M12" s="242">
        <v>0</v>
      </c>
      <c r="N12" s="242">
        <v>0</v>
      </c>
      <c r="O12" s="242">
        <v>1</v>
      </c>
      <c r="P12" s="242">
        <v>500</v>
      </c>
      <c r="Q12" s="58" t="s">
        <v>168</v>
      </c>
      <c r="R12" s="58" t="s">
        <v>169</v>
      </c>
    </row>
    <row r="13" spans="1:18" x14ac:dyDescent="0.15">
      <c r="A13" s="58">
        <v>48011</v>
      </c>
      <c r="B13" s="58">
        <v>2</v>
      </c>
      <c r="C13" s="69" t="str">
        <f t="shared" si="0"/>
        <v>48011_2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41">
        <v>12</v>
      </c>
      <c r="F13" s="242" t="s">
        <v>404</v>
      </c>
      <c r="G13" s="242">
        <v>338</v>
      </c>
      <c r="H13" s="242">
        <v>1</v>
      </c>
      <c r="I13" s="242">
        <v>1</v>
      </c>
      <c r="J13" s="242">
        <v>1</v>
      </c>
      <c r="K13" s="242">
        <v>0</v>
      </c>
      <c r="L13" s="242">
        <v>0</v>
      </c>
      <c r="M13" s="242">
        <v>0</v>
      </c>
      <c r="N13" s="242">
        <v>0</v>
      </c>
      <c r="O13" s="242">
        <v>1</v>
      </c>
      <c r="P13" s="242">
        <v>50</v>
      </c>
      <c r="Q13" s="58" t="s">
        <v>168</v>
      </c>
      <c r="R13" s="58" t="s">
        <v>169</v>
      </c>
    </row>
    <row r="14" spans="1:18" x14ac:dyDescent="0.15">
      <c r="A14" s="58">
        <v>48011</v>
      </c>
      <c r="B14" s="58">
        <v>2</v>
      </c>
      <c r="C14" s="69" t="str">
        <f t="shared" si="0"/>
        <v>48011_2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41">
        <v>13</v>
      </c>
      <c r="F14" s="242" t="s">
        <v>404</v>
      </c>
      <c r="G14" s="242">
        <v>350</v>
      </c>
      <c r="H14" s="242">
        <v>1</v>
      </c>
      <c r="I14" s="242">
        <v>1</v>
      </c>
      <c r="J14" s="242">
        <v>1</v>
      </c>
      <c r="K14" s="242">
        <v>0</v>
      </c>
      <c r="L14" s="242">
        <v>0</v>
      </c>
      <c r="M14" s="242">
        <v>0</v>
      </c>
      <c r="N14" s="242">
        <v>0</v>
      </c>
      <c r="O14" s="242">
        <v>1</v>
      </c>
      <c r="P14" s="242">
        <v>120</v>
      </c>
      <c r="Q14" s="58" t="s">
        <v>168</v>
      </c>
      <c r="R14" s="58" t="s">
        <v>169</v>
      </c>
    </row>
    <row r="15" spans="1:18" x14ac:dyDescent="0.15">
      <c r="A15" s="58">
        <v>48011</v>
      </c>
      <c r="B15" s="58">
        <v>2</v>
      </c>
      <c r="C15" s="69" t="str">
        <f t="shared" si="0"/>
        <v>48011_2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41">
        <v>14</v>
      </c>
      <c r="F15" s="242" t="s">
        <v>404</v>
      </c>
      <c r="G15" s="242">
        <v>607</v>
      </c>
      <c r="H15" s="242">
        <v>1</v>
      </c>
      <c r="I15" s="242">
        <v>1</v>
      </c>
      <c r="J15" s="242">
        <v>1</v>
      </c>
      <c r="K15" s="242">
        <v>0</v>
      </c>
      <c r="L15" s="242">
        <v>0</v>
      </c>
      <c r="M15" s="242">
        <v>0</v>
      </c>
      <c r="N15" s="242">
        <v>0</v>
      </c>
      <c r="O15" s="242">
        <v>1</v>
      </c>
      <c r="P15" s="242">
        <v>100</v>
      </c>
      <c r="Q15" s="58" t="s">
        <v>168</v>
      </c>
      <c r="R15" s="58" t="s">
        <v>169</v>
      </c>
    </row>
    <row r="16" spans="1:18" x14ac:dyDescent="0.15">
      <c r="A16" s="58">
        <v>48011</v>
      </c>
      <c r="B16" s="58">
        <v>2</v>
      </c>
      <c r="C16" s="69" t="str">
        <f t="shared" si="0"/>
        <v>48011_2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41">
        <v>15</v>
      </c>
      <c r="F16" s="242" t="s">
        <v>404</v>
      </c>
      <c r="G16" s="242">
        <v>608</v>
      </c>
      <c r="H16" s="242">
        <v>1</v>
      </c>
      <c r="I16" s="242">
        <v>1</v>
      </c>
      <c r="J16" s="242">
        <v>1</v>
      </c>
      <c r="K16" s="242">
        <v>0</v>
      </c>
      <c r="L16" s="242">
        <v>0</v>
      </c>
      <c r="M16" s="242">
        <v>0</v>
      </c>
      <c r="N16" s="242">
        <v>0</v>
      </c>
      <c r="O16" s="242">
        <v>1</v>
      </c>
      <c r="P16" s="242">
        <v>100</v>
      </c>
      <c r="Q16" s="58" t="s">
        <v>168</v>
      </c>
      <c r="R16" s="58" t="s">
        <v>169</v>
      </c>
    </row>
    <row r="17" spans="1:18" x14ac:dyDescent="0.15">
      <c r="A17" s="58">
        <v>48011</v>
      </c>
      <c r="B17" s="58">
        <v>2</v>
      </c>
      <c r="C17" s="69" t="str">
        <f t="shared" si="0"/>
        <v>48011_2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41">
        <v>16</v>
      </c>
      <c r="F17" s="242" t="s">
        <v>404</v>
      </c>
      <c r="G17" s="242">
        <v>609</v>
      </c>
      <c r="H17" s="242">
        <v>1</v>
      </c>
      <c r="I17" s="242">
        <v>1</v>
      </c>
      <c r="J17" s="242">
        <v>1</v>
      </c>
      <c r="K17" s="242">
        <v>0</v>
      </c>
      <c r="L17" s="242">
        <v>0</v>
      </c>
      <c r="M17" s="242">
        <v>0</v>
      </c>
      <c r="N17" s="242">
        <v>0</v>
      </c>
      <c r="O17" s="242">
        <v>1</v>
      </c>
      <c r="P17" s="242">
        <v>100</v>
      </c>
      <c r="Q17" s="58" t="s">
        <v>168</v>
      </c>
      <c r="R17" s="58" t="s">
        <v>169</v>
      </c>
    </row>
    <row r="18" spans="1:18" x14ac:dyDescent="0.15">
      <c r="A18" s="58">
        <v>48011</v>
      </c>
      <c r="B18" s="58">
        <v>2</v>
      </c>
      <c r="C18" s="69" t="str">
        <f t="shared" si="0"/>
        <v>48011_2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41">
        <v>17</v>
      </c>
      <c r="F18" s="242" t="s">
        <v>404</v>
      </c>
      <c r="G18" s="242">
        <v>125</v>
      </c>
      <c r="H18" s="242">
        <v>1</v>
      </c>
      <c r="I18" s="242">
        <v>1</v>
      </c>
      <c r="J18" s="242">
        <v>1</v>
      </c>
      <c r="K18" s="242">
        <v>0</v>
      </c>
      <c r="L18" s="242">
        <v>0</v>
      </c>
      <c r="M18" s="242">
        <v>0</v>
      </c>
      <c r="N18" s="242">
        <v>0</v>
      </c>
      <c r="O18" s="242">
        <v>1</v>
      </c>
      <c r="P18" s="242">
        <v>30</v>
      </c>
      <c r="Q18" s="58" t="s">
        <v>168</v>
      </c>
      <c r="R18" s="58" t="s">
        <v>169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15" activePane="bottomLeft" state="frozen"/>
      <selection pane="bottomLeft" activeCell="H29" sqref="H29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187</v>
      </c>
      <c r="B1" s="71" t="s">
        <v>188</v>
      </c>
      <c r="C1" s="75" t="s">
        <v>189</v>
      </c>
      <c r="D1" s="75" t="s">
        <v>33</v>
      </c>
      <c r="E1" s="71" t="s">
        <v>190</v>
      </c>
      <c r="F1" s="75" t="s">
        <v>191</v>
      </c>
      <c r="G1" s="75" t="s">
        <v>33</v>
      </c>
      <c r="H1" s="71" t="s">
        <v>192</v>
      </c>
      <c r="I1" s="89" t="s">
        <v>194</v>
      </c>
      <c r="J1" s="77" t="s">
        <v>125</v>
      </c>
      <c r="K1" s="76" t="s">
        <v>185</v>
      </c>
      <c r="L1" s="90" t="s">
        <v>184</v>
      </c>
      <c r="M1" s="78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8" activePane="bottomLeft" state="frozen"/>
      <selection pane="bottomLeft" activeCell="M9" sqref="M9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15" customWidth="1"/>
    <col min="9" max="9" width="22" customWidth="1"/>
    <col min="10" max="11" width="11.1640625" customWidth="1"/>
    <col min="12" max="12" width="20.5" customWidth="1"/>
    <col min="13" max="13" width="42.6640625" customWidth="1"/>
  </cols>
  <sheetData>
    <row r="1" spans="1:14" x14ac:dyDescent="0.15">
      <c r="A1" s="74" t="s">
        <v>187</v>
      </c>
      <c r="B1" s="71" t="s">
        <v>149</v>
      </c>
      <c r="C1" s="75" t="s">
        <v>189</v>
      </c>
      <c r="D1" s="75" t="s">
        <v>33</v>
      </c>
      <c r="E1" s="71" t="s">
        <v>190</v>
      </c>
      <c r="F1" s="75" t="s">
        <v>18</v>
      </c>
      <c r="G1" s="75" t="s">
        <v>33</v>
      </c>
      <c r="H1" s="71" t="s">
        <v>192</v>
      </c>
      <c r="I1" s="87" t="s">
        <v>193</v>
      </c>
      <c r="J1" s="89" t="s">
        <v>194</v>
      </c>
      <c r="K1" s="77" t="s">
        <v>125</v>
      </c>
      <c r="L1" s="76" t="s">
        <v>185</v>
      </c>
      <c r="M1" s="90" t="s">
        <v>184</v>
      </c>
      <c r="N1" s="78" t="s">
        <v>195</v>
      </c>
    </row>
    <row r="2" spans="1:14" ht="68" customHeight="1" x14ac:dyDescent="0.15">
      <c r="A2" s="79" t="s">
        <v>196</v>
      </c>
      <c r="B2" s="80">
        <f>floors!$C$2</f>
        <v>48011</v>
      </c>
      <c r="C2" s="81" t="str">
        <f ca="1">VLOOKUP($B2,OFFSET([2]quests!$A$1,0,0,COUNTA([2]quests!$A:$A),MATCH(C$1,[2]quests!$1:$1,0)-MATCH($B$1,[2]quests!$1:$1,0)+1),MATCH(C$1,[2]quests!$1:$1,0)-MATCH($B$1,[2]quests!$1:$1,0)+1,FALSE)</f>
        <v>年獣襲来！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台湾版降臨11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【超絶級】年獣襲来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台湾版降臨11</v>
      </c>
      <c r="H2" s="83">
        <v>2</v>
      </c>
      <c r="I2" s="88">
        <f>ROW()-1</f>
        <v>1</v>
      </c>
      <c r="J2" s="84" t="str">
        <f>B2&amp;TEXT(I2,"00")</f>
        <v>4801101</v>
      </c>
      <c r="K2" s="82" t="s">
        <v>197</v>
      </c>
      <c r="L2" s="85" t="s">
        <v>251</v>
      </c>
      <c r="M2" s="212" t="s">
        <v>333</v>
      </c>
      <c r="N2" s="57" t="s">
        <v>198</v>
      </c>
    </row>
    <row r="3" spans="1:14" ht="68" customHeight="1" x14ac:dyDescent="0.15">
      <c r="A3" s="79" t="s">
        <v>196</v>
      </c>
      <c r="B3" s="80">
        <f>floors!$C$2</f>
        <v>48011</v>
      </c>
      <c r="C3" s="81" t="str">
        <f ca="1">VLOOKUP($B3,OFFSET([2]quests!$A$1,0,0,COUNTA([2]quests!$A:$A),MATCH(C$1,[2]quests!$1:$1,0)-MATCH($B$1,[2]quests!$1:$1,0)+1),MATCH(C$1,[2]quests!$1:$1,0)-MATCH($B$1,[2]quests!$1:$1,0)+1,FALSE)</f>
        <v>年獣襲来！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台湾版降臨11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【超絶級】年獣襲来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台湾版降臨11</v>
      </c>
      <c r="H3" s="83">
        <v>3</v>
      </c>
      <c r="I3" s="88">
        <f t="shared" ref="I3:I17" si="0">ROW()-1</f>
        <v>2</v>
      </c>
      <c r="J3" s="84" t="str">
        <f t="shared" ref="J3:J8" si="1">B3&amp;TEXT(I3,"00")</f>
        <v>4801102</v>
      </c>
      <c r="K3" s="82" t="s">
        <v>126</v>
      </c>
      <c r="L3" s="85" t="s">
        <v>251</v>
      </c>
      <c r="M3" s="212" t="s">
        <v>334</v>
      </c>
      <c r="N3" s="57" t="s">
        <v>198</v>
      </c>
    </row>
    <row r="4" spans="1:14" ht="68" customHeight="1" x14ac:dyDescent="0.15">
      <c r="A4" s="79" t="s">
        <v>196</v>
      </c>
      <c r="B4" s="80">
        <f>floors!$C$2</f>
        <v>48011</v>
      </c>
      <c r="C4" s="81" t="str">
        <f ca="1">VLOOKUP($B4,OFFSET([2]quests!$A$1,0,0,COUNTA([2]quests!$A:$A),MATCH(C$1,[2]quests!$1:$1,0)-MATCH($B$1,[2]quests!$1:$1,0)+1),MATCH(C$1,[2]quests!$1:$1,0)-MATCH($B$1,[2]quests!$1:$1,0)+1,FALSE)</f>
        <v>年獣襲来！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台湾版降臨11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【超絶級】年獣襲来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台湾版降臨11</v>
      </c>
      <c r="H4" s="83">
        <v>4</v>
      </c>
      <c r="I4" s="88">
        <f t="shared" si="0"/>
        <v>3</v>
      </c>
      <c r="J4" s="84" t="str">
        <f t="shared" si="1"/>
        <v>4801103</v>
      </c>
      <c r="K4" s="82" t="s">
        <v>126</v>
      </c>
      <c r="L4" s="85" t="s">
        <v>251</v>
      </c>
      <c r="M4" s="212" t="s">
        <v>335</v>
      </c>
      <c r="N4" s="57" t="s">
        <v>198</v>
      </c>
    </row>
    <row r="5" spans="1:14" ht="68" customHeight="1" x14ac:dyDescent="0.15">
      <c r="A5" s="79" t="s">
        <v>196</v>
      </c>
      <c r="B5" s="80">
        <f>floors!$C$2</f>
        <v>48011</v>
      </c>
      <c r="C5" s="81" t="str">
        <f ca="1">VLOOKUP($B5,OFFSET([2]quests!$A$1,0,0,COUNTA([2]quests!$A:$A),MATCH(C$1,[2]quests!$1:$1,0)-MATCH($B$1,[2]quests!$1:$1,0)+1),MATCH(C$1,[2]quests!$1:$1,0)-MATCH($B$1,[2]quests!$1:$1,0)+1,FALSE)</f>
        <v>年獣襲来！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台湾版降臨11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【超絶級】年獣襲来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台湾版降臨11</v>
      </c>
      <c r="H5" s="83">
        <v>5</v>
      </c>
      <c r="I5" s="88">
        <f t="shared" si="0"/>
        <v>4</v>
      </c>
      <c r="J5" s="84" t="str">
        <f t="shared" si="1"/>
        <v>4801104</v>
      </c>
      <c r="K5" s="82" t="s">
        <v>126</v>
      </c>
      <c r="L5" s="85" t="s">
        <v>251</v>
      </c>
      <c r="M5" s="212" t="s">
        <v>336</v>
      </c>
      <c r="N5" s="57" t="s">
        <v>198</v>
      </c>
    </row>
    <row r="6" spans="1:14" ht="68" customHeight="1" x14ac:dyDescent="0.15">
      <c r="A6" s="79" t="s">
        <v>196</v>
      </c>
      <c r="B6" s="80">
        <f>floors!$C$2</f>
        <v>48011</v>
      </c>
      <c r="C6" s="81" t="str">
        <f ca="1">VLOOKUP($B6,OFFSET([2]quests!$A$1,0,0,COUNTA([2]quests!$A:$A),MATCH(C$1,[2]quests!$1:$1,0)-MATCH($B$1,[2]quests!$1:$1,0)+1),MATCH(C$1,[2]quests!$1:$1,0)-MATCH($B$1,[2]quests!$1:$1,0)+1,FALSE)</f>
        <v>年獣襲来！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台湾版降臨11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【超絶級】年獣襲来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台湾版降臨11</v>
      </c>
      <c r="H6" s="83">
        <v>5</v>
      </c>
      <c r="I6" s="88">
        <f t="shared" si="0"/>
        <v>5</v>
      </c>
      <c r="J6" s="84" t="str">
        <f t="shared" si="1"/>
        <v>4801105</v>
      </c>
      <c r="K6" s="82" t="s">
        <v>126</v>
      </c>
      <c r="L6" s="85" t="s">
        <v>251</v>
      </c>
      <c r="M6" s="212" t="s">
        <v>337</v>
      </c>
      <c r="N6" s="57" t="s">
        <v>198</v>
      </c>
    </row>
    <row r="7" spans="1:14" ht="68" customHeight="1" x14ac:dyDescent="0.15">
      <c r="A7" s="79" t="s">
        <v>332</v>
      </c>
      <c r="B7" s="80">
        <f>floors!$C$2</f>
        <v>48011</v>
      </c>
      <c r="C7" s="81" t="str">
        <f ca="1">VLOOKUP($B7,OFFSET([2]quests!$A$1,0,0,COUNTA([2]quests!$A:$A),MATCH(C$1,[2]quests!$1:$1,0)-MATCH($B$1,[2]quests!$1:$1,0)+1),MATCH(C$1,[2]quests!$1:$1,0)-MATCH($B$1,[2]quests!$1:$1,0)+1,FALSE)</f>
        <v>年獣襲来！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台湾版降臨11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【超絶級】年獣襲来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台湾版降臨11</v>
      </c>
      <c r="H7" s="83">
        <v>0</v>
      </c>
      <c r="I7" s="88">
        <f t="shared" si="0"/>
        <v>6</v>
      </c>
      <c r="J7" s="84" t="str">
        <f t="shared" si="1"/>
        <v>4801106</v>
      </c>
      <c r="K7" s="82" t="s">
        <v>126</v>
      </c>
      <c r="L7" s="85" t="s">
        <v>339</v>
      </c>
      <c r="M7" s="212" t="s">
        <v>338</v>
      </c>
      <c r="N7" s="57" t="s">
        <v>198</v>
      </c>
    </row>
    <row r="8" spans="1:14" ht="68" customHeight="1" x14ac:dyDescent="0.15">
      <c r="A8" s="79" t="s">
        <v>332</v>
      </c>
      <c r="B8" s="80">
        <f>floors!$C$2</f>
        <v>48011</v>
      </c>
      <c r="C8" s="81" t="str">
        <f ca="1">VLOOKUP($B8,OFFSET([2]quests!$A$1,0,0,COUNTA([2]quests!$A:$A),MATCH(C$1,[2]quests!$1:$1,0)-MATCH($B$1,[2]quests!$1:$1,0)+1),MATCH(C$1,[2]quests!$1:$1,0)-MATCH($B$1,[2]quests!$1:$1,0)+1,FALSE)</f>
        <v>年獣襲来！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台湾版降臨11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【超絶級】年獣襲来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台湾版降臨11</v>
      </c>
      <c r="H8" s="83">
        <v>0</v>
      </c>
      <c r="I8" s="88">
        <f t="shared" si="0"/>
        <v>7</v>
      </c>
      <c r="J8" s="84" t="str">
        <f t="shared" si="1"/>
        <v>4801107</v>
      </c>
      <c r="K8" s="82" t="s">
        <v>126</v>
      </c>
      <c r="L8" s="85" t="s">
        <v>340</v>
      </c>
      <c r="M8" s="212" t="s">
        <v>431</v>
      </c>
      <c r="N8" s="57" t="s">
        <v>198</v>
      </c>
    </row>
    <row r="9" spans="1:14" ht="68" customHeight="1" thickBot="1" x14ac:dyDescent="0.2">
      <c r="A9" s="222" t="s">
        <v>332</v>
      </c>
      <c r="B9" s="223">
        <f>floors!$C$2</f>
        <v>48011</v>
      </c>
      <c r="C9" s="224" t="str">
        <f ca="1">VLOOKUP($B9,OFFSET([2]quests!$A$1,0,0,COUNTA([2]quests!$A:$A),MATCH(C$1,[2]quests!$1:$1,0)-MATCH($B$1,[2]quests!$1:$1,0)+1),MATCH(C$1,[2]quests!$1:$1,0)-MATCH($B$1,[2]quests!$1:$1,0)+1,FALSE)</f>
        <v>年獣襲来！</v>
      </c>
      <c r="D9" s="224" t="str">
        <f ca="1">VLOOKUP($B9,OFFSET([2]quests!$A$1,0,0,COUNTA([2]quests!$A:$A),MATCH(D$1,[2]quests!$1:$1,0)-MATCH($B$1,[2]quests!$1:$1,0)+1),MATCH(D$1,[2]quests!$1:$1,0)-MATCH($B$1,[2]quests!$1:$1,0)+1,FALSE)</f>
        <v>台湾版降臨11</v>
      </c>
      <c r="E9" s="225">
        <v>1</v>
      </c>
      <c r="F9" s="224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【超絶級】年獣襲来</v>
      </c>
      <c r="G9" s="224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台湾版降臨11</v>
      </c>
      <c r="H9" s="226">
        <v>0</v>
      </c>
      <c r="I9" s="227">
        <f t="shared" si="0"/>
        <v>8</v>
      </c>
      <c r="J9" s="228" t="str">
        <f t="shared" ref="J9" si="2">B9&amp;TEXT(I9,"00")</f>
        <v>4801108</v>
      </c>
      <c r="K9" s="225" t="s">
        <v>126</v>
      </c>
      <c r="L9" s="229" t="s">
        <v>341</v>
      </c>
      <c r="M9" s="230" t="s">
        <v>429</v>
      </c>
      <c r="N9" s="231" t="s">
        <v>198</v>
      </c>
    </row>
    <row r="10" spans="1:14" ht="68" customHeight="1" thickTop="1" x14ac:dyDescent="0.15">
      <c r="A10" s="214" t="s">
        <v>196</v>
      </c>
      <c r="B10" s="215">
        <f>floors!$C$2</f>
        <v>48011</v>
      </c>
      <c r="C10" s="81" t="str">
        <f ca="1">VLOOKUP($B10,OFFSET([2]quests!$A$1,0,0,COUNTA([2]quests!$A:$A),MATCH(C$1,[2]quests!$1:$1,0)-MATCH($B$1,[2]quests!$1:$1,0)+1),MATCH(C$1,[2]quests!$1:$1,0)-MATCH($B$1,[2]quests!$1:$1,0)+1,FALSE)</f>
        <v>年獣襲来！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台湾版降臨11</v>
      </c>
      <c r="E10" s="216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【ウィザード級】年獣襲来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台湾版降臨11</v>
      </c>
      <c r="H10" s="83">
        <v>2</v>
      </c>
      <c r="I10" s="217">
        <f>ROW()-1</f>
        <v>9</v>
      </c>
      <c r="J10" s="218" t="str">
        <f>B10&amp;TEXT(I10,"00")</f>
        <v>4801109</v>
      </c>
      <c r="K10" s="216" t="s">
        <v>126</v>
      </c>
      <c r="L10" s="219" t="s">
        <v>251</v>
      </c>
      <c r="M10" s="220" t="s">
        <v>333</v>
      </c>
      <c r="N10" s="221" t="s">
        <v>198</v>
      </c>
    </row>
    <row r="11" spans="1:14" ht="68" customHeight="1" x14ac:dyDescent="0.15">
      <c r="A11" s="79" t="s">
        <v>196</v>
      </c>
      <c r="B11" s="80">
        <f>floors!$C$2</f>
        <v>48011</v>
      </c>
      <c r="C11" s="81" t="str">
        <f ca="1">VLOOKUP($B11,OFFSET([2]quests!$A$1,0,0,COUNTA([2]quests!$A:$A),MATCH(C$1,[2]quests!$1:$1,0)-MATCH($B$1,[2]quests!$1:$1,0)+1),MATCH(C$1,[2]quests!$1:$1,0)-MATCH($B$1,[2]quests!$1:$1,0)+1,FALSE)</f>
        <v>年獣襲来！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台湾版降臨11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【ウィザード級】年獣襲来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台湾版降臨11</v>
      </c>
      <c r="H11" s="83">
        <v>3</v>
      </c>
      <c r="I11" s="88">
        <f t="shared" si="0"/>
        <v>10</v>
      </c>
      <c r="J11" s="84" t="str">
        <f t="shared" ref="J11:J17" si="3">B11&amp;TEXT(I11,"00")</f>
        <v>4801110</v>
      </c>
      <c r="K11" s="82" t="s">
        <v>126</v>
      </c>
      <c r="L11" s="85" t="s">
        <v>251</v>
      </c>
      <c r="M11" s="212" t="s">
        <v>334</v>
      </c>
      <c r="N11" s="57" t="s">
        <v>198</v>
      </c>
    </row>
    <row r="12" spans="1:14" ht="68" customHeight="1" x14ac:dyDescent="0.15">
      <c r="A12" s="79" t="s">
        <v>196</v>
      </c>
      <c r="B12" s="80">
        <f>floors!$C$2</f>
        <v>48011</v>
      </c>
      <c r="C12" s="81" t="str">
        <f ca="1">VLOOKUP($B12,OFFSET([2]quests!$A$1,0,0,COUNTA([2]quests!$A:$A),MATCH(C$1,[2]quests!$1:$1,0)-MATCH($B$1,[2]quests!$1:$1,0)+1),MATCH(C$1,[2]quests!$1:$1,0)-MATCH($B$1,[2]quests!$1:$1,0)+1,FALSE)</f>
        <v>年獣襲来！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台湾版降臨11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【ウィザード級】年獣襲来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台湾版降臨11</v>
      </c>
      <c r="H12" s="83">
        <v>4</v>
      </c>
      <c r="I12" s="88">
        <f t="shared" si="0"/>
        <v>11</v>
      </c>
      <c r="J12" s="84" t="str">
        <f t="shared" si="3"/>
        <v>4801111</v>
      </c>
      <c r="K12" s="82" t="s">
        <v>126</v>
      </c>
      <c r="L12" s="85" t="s">
        <v>251</v>
      </c>
      <c r="M12" s="212" t="s">
        <v>335</v>
      </c>
      <c r="N12" s="57" t="s">
        <v>198</v>
      </c>
    </row>
    <row r="13" spans="1:14" ht="68" customHeight="1" x14ac:dyDescent="0.15">
      <c r="A13" s="79" t="s">
        <v>196</v>
      </c>
      <c r="B13" s="80">
        <f>floors!$C$2</f>
        <v>48011</v>
      </c>
      <c r="C13" s="81" t="str">
        <f ca="1">VLOOKUP($B13,OFFSET([2]quests!$A$1,0,0,COUNTA([2]quests!$A:$A),MATCH(C$1,[2]quests!$1:$1,0)-MATCH($B$1,[2]quests!$1:$1,0)+1),MATCH(C$1,[2]quests!$1:$1,0)-MATCH($B$1,[2]quests!$1:$1,0)+1,FALSE)</f>
        <v>年獣襲来！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台湾版降臨11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【ウィザード級】年獣襲来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台湾版降臨11</v>
      </c>
      <c r="H13" s="83">
        <v>5</v>
      </c>
      <c r="I13" s="88">
        <f t="shared" si="0"/>
        <v>12</v>
      </c>
      <c r="J13" s="84" t="str">
        <f t="shared" si="3"/>
        <v>4801112</v>
      </c>
      <c r="K13" s="82" t="s">
        <v>126</v>
      </c>
      <c r="L13" s="85" t="s">
        <v>251</v>
      </c>
      <c r="M13" s="212" t="s">
        <v>336</v>
      </c>
      <c r="N13" s="57" t="s">
        <v>198</v>
      </c>
    </row>
    <row r="14" spans="1:14" ht="68" customHeight="1" x14ac:dyDescent="0.15">
      <c r="A14" s="79" t="s">
        <v>196</v>
      </c>
      <c r="B14" s="80">
        <f>floors!$C$2</f>
        <v>48011</v>
      </c>
      <c r="C14" s="81" t="str">
        <f ca="1">VLOOKUP($B14,OFFSET([2]quests!$A$1,0,0,COUNTA([2]quests!$A:$A),MATCH(C$1,[2]quests!$1:$1,0)-MATCH($B$1,[2]quests!$1:$1,0)+1),MATCH(C$1,[2]quests!$1:$1,0)-MATCH($B$1,[2]quests!$1:$1,0)+1,FALSE)</f>
        <v>年獣襲来！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台湾版降臨11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【ウィザード級】年獣襲来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台湾版降臨11</v>
      </c>
      <c r="H14" s="83">
        <v>5</v>
      </c>
      <c r="I14" s="88">
        <f t="shared" si="0"/>
        <v>13</v>
      </c>
      <c r="J14" s="84" t="str">
        <f t="shared" si="3"/>
        <v>4801113</v>
      </c>
      <c r="K14" s="82" t="s">
        <v>126</v>
      </c>
      <c r="L14" s="85" t="s">
        <v>251</v>
      </c>
      <c r="M14" s="212" t="s">
        <v>337</v>
      </c>
      <c r="N14" s="57" t="s">
        <v>198</v>
      </c>
    </row>
    <row r="15" spans="1:14" ht="68" customHeight="1" x14ac:dyDescent="0.15">
      <c r="A15" s="79" t="s">
        <v>332</v>
      </c>
      <c r="B15" s="80">
        <f>floors!$C$2</f>
        <v>48011</v>
      </c>
      <c r="C15" s="81" t="str">
        <f ca="1">VLOOKUP($B15,OFFSET([2]quests!$A$1,0,0,COUNTA([2]quests!$A:$A),MATCH(C$1,[2]quests!$1:$1,0)-MATCH($B$1,[2]quests!$1:$1,0)+1),MATCH(C$1,[2]quests!$1:$1,0)-MATCH($B$1,[2]quests!$1:$1,0)+1,FALSE)</f>
        <v>年獣襲来！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台湾版降臨11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【ウィザード級】年獣襲来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台湾版降臨11</v>
      </c>
      <c r="H15" s="83">
        <v>0</v>
      </c>
      <c r="I15" s="88">
        <f t="shared" si="0"/>
        <v>14</v>
      </c>
      <c r="J15" s="84" t="str">
        <f t="shared" si="3"/>
        <v>4801114</v>
      </c>
      <c r="K15" s="82" t="s">
        <v>126</v>
      </c>
      <c r="L15" s="85" t="s">
        <v>339</v>
      </c>
      <c r="M15" s="212" t="s">
        <v>338</v>
      </c>
      <c r="N15" s="57" t="s">
        <v>198</v>
      </c>
    </row>
    <row r="16" spans="1:14" ht="68" customHeight="1" x14ac:dyDescent="0.15">
      <c r="A16" s="79" t="s">
        <v>332</v>
      </c>
      <c r="B16" s="80">
        <f>floors!$C$2</f>
        <v>48011</v>
      </c>
      <c r="C16" s="81" t="str">
        <f ca="1">VLOOKUP($B16,OFFSET([2]quests!$A$1,0,0,COUNTA([2]quests!$A:$A),MATCH(C$1,[2]quests!$1:$1,0)-MATCH($B$1,[2]quests!$1:$1,0)+1),MATCH(C$1,[2]quests!$1:$1,0)-MATCH($B$1,[2]quests!$1:$1,0)+1,FALSE)</f>
        <v>年獣襲来！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台湾版降臨11</v>
      </c>
      <c r="E16" s="82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【ウィザード級】年獣襲来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台湾版降臨11</v>
      </c>
      <c r="H16" s="83">
        <v>0</v>
      </c>
      <c r="I16" s="88">
        <f t="shared" si="0"/>
        <v>15</v>
      </c>
      <c r="J16" s="84" t="str">
        <f t="shared" si="3"/>
        <v>4801115</v>
      </c>
      <c r="K16" s="82" t="s">
        <v>126</v>
      </c>
      <c r="L16" s="85" t="s">
        <v>340</v>
      </c>
      <c r="M16" s="212" t="s">
        <v>430</v>
      </c>
      <c r="N16" s="57" t="s">
        <v>198</v>
      </c>
    </row>
    <row r="17" spans="1:14" ht="68" customHeight="1" x14ac:dyDescent="0.15">
      <c r="A17" s="79" t="s">
        <v>332</v>
      </c>
      <c r="B17" s="80">
        <f>floors!$C$2</f>
        <v>48011</v>
      </c>
      <c r="C17" s="81" t="str">
        <f ca="1">VLOOKUP($B17,OFFSET([2]quests!$A$1,0,0,COUNTA([2]quests!$A:$A),MATCH(C$1,[2]quests!$1:$1,0)-MATCH($B$1,[2]quests!$1:$1,0)+1),MATCH(C$1,[2]quests!$1:$1,0)-MATCH($B$1,[2]quests!$1:$1,0)+1,FALSE)</f>
        <v>年獣襲来！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台湾版降臨11</v>
      </c>
      <c r="E17" s="82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【ウィザード級】年獣襲来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台湾版降臨11</v>
      </c>
      <c r="H17" s="83">
        <v>0</v>
      </c>
      <c r="I17" s="88">
        <f t="shared" si="0"/>
        <v>16</v>
      </c>
      <c r="J17" s="84" t="str">
        <f t="shared" si="3"/>
        <v>4801116</v>
      </c>
      <c r="K17" s="82" t="s">
        <v>126</v>
      </c>
      <c r="L17" s="85" t="s">
        <v>341</v>
      </c>
      <c r="M17" s="212" t="s">
        <v>428</v>
      </c>
      <c r="N17" s="57" t="s">
        <v>198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G17" sqref="G1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210</v>
      </c>
      <c r="B1" s="93" t="s">
        <v>211</v>
      </c>
      <c r="C1" s="75" t="s">
        <v>212</v>
      </c>
      <c r="D1" s="75" t="s">
        <v>33</v>
      </c>
      <c r="E1" s="93" t="s">
        <v>213</v>
      </c>
      <c r="F1" s="75" t="s">
        <v>214</v>
      </c>
      <c r="G1" s="75" t="s">
        <v>33</v>
      </c>
      <c r="H1" s="93" t="s">
        <v>215</v>
      </c>
      <c r="I1" s="93" t="s">
        <v>216</v>
      </c>
      <c r="J1" s="93" t="s">
        <v>217</v>
      </c>
      <c r="K1" s="71" t="s">
        <v>218</v>
      </c>
      <c r="L1" s="71" t="s">
        <v>219</v>
      </c>
      <c r="M1" s="71" t="s">
        <v>155</v>
      </c>
      <c r="N1" s="75" t="s">
        <v>16</v>
      </c>
      <c r="O1" s="71" t="s">
        <v>220</v>
      </c>
      <c r="P1" s="71" t="s">
        <v>57</v>
      </c>
      <c r="Q1" s="71" t="s">
        <v>221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222</v>
      </c>
      <c r="X1" s="71" t="s">
        <v>223</v>
      </c>
    </row>
    <row r="2" spans="1:24" x14ac:dyDescent="0.15">
      <c r="A2" s="94" t="str">
        <f>B2&amp;"_"&amp;E2&amp;"_"&amp;H2&amp;"_"&amp;I2&amp;"_"&amp;J2</f>
        <v>48011_2_everyone_no_continue_1</v>
      </c>
      <c r="B2" s="117">
        <v>48011</v>
      </c>
      <c r="C2" s="81" t="str">
        <f ca="1">VLOOKUP($B2,OFFSET([2]quests!$A$1,0,0,COUNTA([2]quests!$A:$A),MATCH(C$1,[2]quests!$1:$1,0)-MATCH($B$1,[2]quests!$1:$1,0)+1),MATCH(C$1,[2]quests!$1:$1,0)-MATCH($B$1,[2]quests!$1:$1,0)+1,FALSE)</f>
        <v>年獣襲来！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台湾版降臨11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【ウィザード級】年獣襲来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台湾版降臨11</v>
      </c>
      <c r="H2" s="83" t="s">
        <v>224</v>
      </c>
      <c r="I2" s="153" t="s">
        <v>254</v>
      </c>
      <c r="J2" s="82">
        <v>1</v>
      </c>
      <c r="K2" s="82">
        <v>1000</v>
      </c>
      <c r="L2" s="82" t="s">
        <v>225</v>
      </c>
      <c r="M2" s="152">
        <v>8089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年獣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226</v>
      </c>
      <c r="X2" s="97" t="s">
        <v>227</v>
      </c>
    </row>
    <row r="3" spans="1:24" x14ac:dyDescent="0.15">
      <c r="A3" s="94" t="str">
        <f>B3&amp;"_"&amp;E3&amp;"_"&amp;H3&amp;"_"&amp;I3&amp;"_"&amp;J3</f>
        <v>48011_2_everyone_full_member_2</v>
      </c>
      <c r="B3" s="117">
        <v>48011</v>
      </c>
      <c r="C3" s="81" t="str">
        <f ca="1">VLOOKUP($B3,OFFSET([2]quests!$A$1,0,0,COUNTA([2]quests!$A:$A),MATCH(C$1,[2]quests!$1:$1,0)-MATCH($B$1,[2]quests!$1:$1,0)+1),MATCH(C$1,[2]quests!$1:$1,0)-MATCH($B$1,[2]quests!$1:$1,0)+1,FALSE)</f>
        <v>年獣襲来！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台湾版降臨11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【ウィザード級】年獣襲来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台湾版降臨11</v>
      </c>
      <c r="H3" s="83" t="s">
        <v>224</v>
      </c>
      <c r="I3" s="154" t="s">
        <v>255</v>
      </c>
      <c r="J3" s="82">
        <v>2</v>
      </c>
      <c r="K3" s="82">
        <v>1000</v>
      </c>
      <c r="L3" s="82" t="s">
        <v>225</v>
      </c>
      <c r="M3" s="152">
        <v>8089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年獣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6" t="s">
        <v>226</v>
      </c>
      <c r="X3" s="97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2017-01-27T01:43:19Z</dcterms:modified>
</cp:coreProperties>
</file>