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915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500" yWindow="460" windowWidth="25100" windowHeight="14640" tabRatio="943" activeTab="4"/>
  </bookViews>
  <sheets>
    <sheet name="確率の考え方" sheetId="110" r:id="rId1"/>
    <sheet name="Sheet1" sheetId="107" r:id="rId2"/>
    <sheet name="output" sheetId="103" r:id="rId3"/>
    <sheet name="input_338100" sheetId="130" r:id="rId4"/>
    <sheet name="tables_338100" sheetId="131" r:id="rId5"/>
    <sheet name="tables_settle_338100" sheetId="132" r:id="rId6"/>
    <sheet name="gacha_bonus_tables" sheetId="98" r:id="rId7"/>
    <sheet name="R6追加前" sheetId="111" r:id="rId8"/>
    <sheet name="R6開放" sheetId="112" r:id="rId9"/>
  </sheets>
  <externalReferences>
    <externalReference r:id="rId10"/>
  </externalReferences>
  <definedNames>
    <definedName name="_xlnm._FilterDatabase" localSheetId="6" hidden="1">gacha_bonus_tables!$A$1:$F$1</definedName>
    <definedName name="_xlnm._FilterDatabase" localSheetId="4" hidden="1">tables_338100!$A$1:$V$271</definedName>
    <definedName name="_xlnm._FilterDatabase" localSheetId="5" hidden="1">tables_settle_338100!$A$1:$V$1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13" i="132" l="1"/>
  <c r="N13" i="132"/>
  <c r="M13" i="132"/>
  <c r="L13" i="132"/>
  <c r="K13" i="132"/>
  <c r="J13" i="132"/>
  <c r="I13" i="132"/>
  <c r="H13" i="132"/>
  <c r="F13" i="132"/>
  <c r="E13" i="132"/>
  <c r="D13" i="132"/>
  <c r="C13" i="132"/>
  <c r="P12" i="132"/>
  <c r="N12" i="132"/>
  <c r="M12" i="132"/>
  <c r="L12" i="132"/>
  <c r="K12" i="132"/>
  <c r="J12" i="132"/>
  <c r="I12" i="132"/>
  <c r="H12" i="132"/>
  <c r="F12" i="132"/>
  <c r="E12" i="132"/>
  <c r="D12" i="132"/>
  <c r="C12" i="132"/>
  <c r="P11" i="132"/>
  <c r="N11" i="132"/>
  <c r="M11" i="132"/>
  <c r="L11" i="132"/>
  <c r="K11" i="132"/>
  <c r="J11" i="132"/>
  <c r="I11" i="132"/>
  <c r="H11" i="132"/>
  <c r="F11" i="132"/>
  <c r="E11" i="132"/>
  <c r="D11" i="132"/>
  <c r="C11" i="132"/>
  <c r="P10" i="132"/>
  <c r="N10" i="132"/>
  <c r="M10" i="132"/>
  <c r="L10" i="132"/>
  <c r="K10" i="132"/>
  <c r="J10" i="132"/>
  <c r="I10" i="132"/>
  <c r="H10" i="132"/>
  <c r="F10" i="132"/>
  <c r="E10" i="132"/>
  <c r="D10" i="132"/>
  <c r="C10" i="132"/>
  <c r="P9" i="132"/>
  <c r="N9" i="132"/>
  <c r="M9" i="132"/>
  <c r="L9" i="132"/>
  <c r="K9" i="132"/>
  <c r="J9" i="132"/>
  <c r="I9" i="132"/>
  <c r="H9" i="132"/>
  <c r="F9" i="132"/>
  <c r="E9" i="132"/>
  <c r="D9" i="132"/>
  <c r="C9" i="132"/>
  <c r="P8" i="132"/>
  <c r="N8" i="132"/>
  <c r="M8" i="132"/>
  <c r="L8" i="132"/>
  <c r="K8" i="132"/>
  <c r="J8" i="132"/>
  <c r="I8" i="132"/>
  <c r="H8" i="132"/>
  <c r="F8" i="132"/>
  <c r="E8" i="132"/>
  <c r="D8" i="132"/>
  <c r="C8" i="132"/>
  <c r="F3" i="132"/>
  <c r="F4" i="132"/>
  <c r="F5" i="132"/>
  <c r="F6" i="132"/>
  <c r="F7" i="132"/>
  <c r="F2" i="132"/>
  <c r="I4" i="132"/>
  <c r="E4" i="132"/>
  <c r="I5" i="132"/>
  <c r="E5" i="132"/>
  <c r="I6" i="132"/>
  <c r="E6" i="132"/>
  <c r="I7" i="132"/>
  <c r="E7" i="132"/>
  <c r="I2" i="132"/>
  <c r="E2" i="132"/>
  <c r="I3" i="132"/>
  <c r="E3" i="132"/>
  <c r="P7" i="132"/>
  <c r="N7" i="132"/>
  <c r="M7" i="132"/>
  <c r="L7" i="132"/>
  <c r="K7" i="132"/>
  <c r="J7" i="132"/>
  <c r="H7" i="132"/>
  <c r="D7" i="132"/>
  <c r="C7" i="132"/>
  <c r="P6" i="132"/>
  <c r="N6" i="132"/>
  <c r="M6" i="132"/>
  <c r="L6" i="132"/>
  <c r="K6" i="132"/>
  <c r="J6" i="132"/>
  <c r="H6" i="132"/>
  <c r="D6" i="132"/>
  <c r="C6" i="132"/>
  <c r="P5" i="132"/>
  <c r="N5" i="132"/>
  <c r="M5" i="132"/>
  <c r="L5" i="132"/>
  <c r="K5" i="132"/>
  <c r="J5" i="132"/>
  <c r="H5" i="132"/>
  <c r="D5" i="132"/>
  <c r="C5" i="132"/>
  <c r="P4" i="132"/>
  <c r="N4" i="132"/>
  <c r="M4" i="132"/>
  <c r="L4" i="132"/>
  <c r="K4" i="132"/>
  <c r="J4" i="132"/>
  <c r="H4" i="132"/>
  <c r="D4" i="132"/>
  <c r="C4" i="132"/>
  <c r="P3" i="132"/>
  <c r="N3" i="132"/>
  <c r="M3" i="132"/>
  <c r="L3" i="132"/>
  <c r="K3" i="132"/>
  <c r="J3" i="132"/>
  <c r="H3" i="132"/>
  <c r="D3" i="132"/>
  <c r="C3" i="132"/>
  <c r="P2" i="132"/>
  <c r="N2" i="132"/>
  <c r="M2" i="132"/>
  <c r="L2" i="132"/>
  <c r="K2" i="132"/>
  <c r="J2" i="132"/>
  <c r="H2" i="132"/>
  <c r="D2" i="132"/>
  <c r="C2" i="132"/>
  <c r="I277" i="131"/>
  <c r="D277" i="131"/>
  <c r="J277" i="131"/>
  <c r="E277" i="131"/>
  <c r="F277" i="131"/>
  <c r="C277" i="131"/>
  <c r="A2" i="130"/>
  <c r="I2" i="131"/>
  <c r="D2" i="131"/>
  <c r="J2" i="131"/>
  <c r="E2" i="131"/>
  <c r="F2" i="131"/>
  <c r="C2" i="131"/>
  <c r="I3" i="131"/>
  <c r="D3" i="131"/>
  <c r="J3" i="131"/>
  <c r="E3" i="131"/>
  <c r="F3" i="131"/>
  <c r="C3" i="131"/>
  <c r="I4" i="131"/>
  <c r="D4" i="131"/>
  <c r="J4" i="131"/>
  <c r="E4" i="131"/>
  <c r="F4" i="131"/>
  <c r="C4" i="131"/>
  <c r="I5" i="131"/>
  <c r="D5" i="131"/>
  <c r="J5" i="131"/>
  <c r="E5" i="131"/>
  <c r="F5" i="131"/>
  <c r="C5" i="131"/>
  <c r="I6" i="131"/>
  <c r="D6" i="131"/>
  <c r="J6" i="131"/>
  <c r="E6" i="131"/>
  <c r="F6" i="131"/>
  <c r="C6" i="131"/>
  <c r="I7" i="131"/>
  <c r="D7" i="131"/>
  <c r="J7" i="131"/>
  <c r="E7" i="131"/>
  <c r="F7" i="131"/>
  <c r="C7" i="131"/>
  <c r="I8" i="131"/>
  <c r="D8" i="131"/>
  <c r="J8" i="131"/>
  <c r="E8" i="131"/>
  <c r="F8" i="131"/>
  <c r="C8" i="131"/>
  <c r="I9" i="131"/>
  <c r="D9" i="131"/>
  <c r="J9" i="131"/>
  <c r="E9" i="131"/>
  <c r="F9" i="131"/>
  <c r="C9" i="131"/>
  <c r="I10" i="131"/>
  <c r="D10" i="131"/>
  <c r="J10" i="131"/>
  <c r="E10" i="131"/>
  <c r="F10" i="131"/>
  <c r="C10" i="131"/>
  <c r="I11" i="131"/>
  <c r="D11" i="131"/>
  <c r="J11" i="131"/>
  <c r="E11" i="131"/>
  <c r="F11" i="131"/>
  <c r="C11" i="131"/>
  <c r="I12" i="131"/>
  <c r="D12" i="131"/>
  <c r="J12" i="131"/>
  <c r="E12" i="131"/>
  <c r="F12" i="131"/>
  <c r="C12" i="131"/>
  <c r="I13" i="131"/>
  <c r="D13" i="131"/>
  <c r="J13" i="131"/>
  <c r="E13" i="131"/>
  <c r="F13" i="131"/>
  <c r="C13" i="131"/>
  <c r="I14" i="131"/>
  <c r="D14" i="131"/>
  <c r="J14" i="131"/>
  <c r="E14" i="131"/>
  <c r="F14" i="131"/>
  <c r="C14" i="131"/>
  <c r="I15" i="131"/>
  <c r="D15" i="131"/>
  <c r="J15" i="131"/>
  <c r="E15" i="131"/>
  <c r="F15" i="131"/>
  <c r="C15" i="131"/>
  <c r="I16" i="131"/>
  <c r="D16" i="131"/>
  <c r="J16" i="131"/>
  <c r="E16" i="131"/>
  <c r="F16" i="131"/>
  <c r="C16" i="131"/>
  <c r="I17" i="131"/>
  <c r="D17" i="131"/>
  <c r="J17" i="131"/>
  <c r="E17" i="131"/>
  <c r="F17" i="131"/>
  <c r="C17" i="131"/>
  <c r="I18" i="131"/>
  <c r="D18" i="131"/>
  <c r="J18" i="131"/>
  <c r="E18" i="131"/>
  <c r="F18" i="131"/>
  <c r="C18" i="131"/>
  <c r="I19" i="131"/>
  <c r="D19" i="131"/>
  <c r="J19" i="131"/>
  <c r="E19" i="131"/>
  <c r="F19" i="131"/>
  <c r="C19" i="131"/>
  <c r="I20" i="131"/>
  <c r="D20" i="131"/>
  <c r="J20" i="131"/>
  <c r="E20" i="131"/>
  <c r="F20" i="131"/>
  <c r="C20" i="131"/>
  <c r="I21" i="131"/>
  <c r="D21" i="131"/>
  <c r="J21" i="131"/>
  <c r="E21" i="131"/>
  <c r="F21" i="131"/>
  <c r="C21" i="131"/>
  <c r="I22" i="131"/>
  <c r="D22" i="131"/>
  <c r="J22" i="131"/>
  <c r="E22" i="131"/>
  <c r="F22" i="131"/>
  <c r="C22" i="131"/>
  <c r="I23" i="131"/>
  <c r="D23" i="131"/>
  <c r="J23" i="131"/>
  <c r="E23" i="131"/>
  <c r="F23" i="131"/>
  <c r="C23" i="131"/>
  <c r="I24" i="131"/>
  <c r="D24" i="131"/>
  <c r="J24" i="131"/>
  <c r="E24" i="131"/>
  <c r="F24" i="131"/>
  <c r="C24" i="131"/>
  <c r="I25" i="131"/>
  <c r="D25" i="131"/>
  <c r="J25" i="131"/>
  <c r="E25" i="131"/>
  <c r="F25" i="131"/>
  <c r="C25" i="131"/>
  <c r="I26" i="131"/>
  <c r="D26" i="131"/>
  <c r="J26" i="131"/>
  <c r="E26" i="131"/>
  <c r="F26" i="131"/>
  <c r="C26" i="131"/>
  <c r="I27" i="131"/>
  <c r="D27" i="131"/>
  <c r="J27" i="131"/>
  <c r="E27" i="131"/>
  <c r="F27" i="131"/>
  <c r="C27" i="131"/>
  <c r="I28" i="131"/>
  <c r="D28" i="131"/>
  <c r="J28" i="131"/>
  <c r="E28" i="131"/>
  <c r="F28" i="131"/>
  <c r="C28" i="131"/>
  <c r="I29" i="131"/>
  <c r="D29" i="131"/>
  <c r="J29" i="131"/>
  <c r="E29" i="131"/>
  <c r="F29" i="131"/>
  <c r="C29" i="131"/>
  <c r="I30" i="131"/>
  <c r="D30" i="131"/>
  <c r="J30" i="131"/>
  <c r="E30" i="131"/>
  <c r="F30" i="131"/>
  <c r="C30" i="131"/>
  <c r="I31" i="131"/>
  <c r="D31" i="131"/>
  <c r="J31" i="131"/>
  <c r="E31" i="131"/>
  <c r="F31" i="131"/>
  <c r="C31" i="131"/>
  <c r="I32" i="131"/>
  <c r="D32" i="131"/>
  <c r="J32" i="131"/>
  <c r="E32" i="131"/>
  <c r="F32" i="131"/>
  <c r="C32" i="131"/>
  <c r="I33" i="131"/>
  <c r="D33" i="131"/>
  <c r="J33" i="131"/>
  <c r="E33" i="131"/>
  <c r="F33" i="131"/>
  <c r="C33" i="131"/>
  <c r="I34" i="131"/>
  <c r="D34" i="131"/>
  <c r="J34" i="131"/>
  <c r="E34" i="131"/>
  <c r="F34" i="131"/>
  <c r="C34" i="131"/>
  <c r="I35" i="131"/>
  <c r="D35" i="131"/>
  <c r="J35" i="131"/>
  <c r="E35" i="131"/>
  <c r="F35" i="131"/>
  <c r="C35" i="131"/>
  <c r="I36" i="131"/>
  <c r="D36" i="131"/>
  <c r="J36" i="131"/>
  <c r="E36" i="131"/>
  <c r="F36" i="131"/>
  <c r="C36" i="131"/>
  <c r="I37" i="131"/>
  <c r="D37" i="131"/>
  <c r="J37" i="131"/>
  <c r="E37" i="131"/>
  <c r="F37" i="131"/>
  <c r="C37" i="131"/>
  <c r="I38" i="131"/>
  <c r="D38" i="131"/>
  <c r="J38" i="131"/>
  <c r="E38" i="131"/>
  <c r="F38" i="131"/>
  <c r="C38" i="131"/>
  <c r="I39" i="131"/>
  <c r="D39" i="131"/>
  <c r="J39" i="131"/>
  <c r="E39" i="131"/>
  <c r="F39" i="131"/>
  <c r="C39" i="131"/>
  <c r="I40" i="131"/>
  <c r="D40" i="131"/>
  <c r="J40" i="131"/>
  <c r="E40" i="131"/>
  <c r="F40" i="131"/>
  <c r="C40" i="131"/>
  <c r="I41" i="131"/>
  <c r="D41" i="131"/>
  <c r="J41" i="131"/>
  <c r="E41" i="131"/>
  <c r="F41" i="131"/>
  <c r="C41" i="131"/>
  <c r="I42" i="131"/>
  <c r="D42" i="131"/>
  <c r="J42" i="131"/>
  <c r="E42" i="131"/>
  <c r="F42" i="131"/>
  <c r="C42" i="131"/>
  <c r="I43" i="131"/>
  <c r="D43" i="131"/>
  <c r="J43" i="131"/>
  <c r="E43" i="131"/>
  <c r="F43" i="131"/>
  <c r="C43" i="131"/>
  <c r="I44" i="131"/>
  <c r="D44" i="131"/>
  <c r="J44" i="131"/>
  <c r="E44" i="131"/>
  <c r="F44" i="131"/>
  <c r="C44" i="131"/>
  <c r="I45" i="131"/>
  <c r="D45" i="131"/>
  <c r="J45" i="131"/>
  <c r="E45" i="131"/>
  <c r="F45" i="131"/>
  <c r="C45" i="131"/>
  <c r="I46" i="131"/>
  <c r="D46" i="131"/>
  <c r="J46" i="131"/>
  <c r="E46" i="131"/>
  <c r="F46" i="131"/>
  <c r="C46" i="131"/>
  <c r="I47" i="131"/>
  <c r="D47" i="131"/>
  <c r="J47" i="131"/>
  <c r="E47" i="131"/>
  <c r="F47" i="131"/>
  <c r="C47" i="131"/>
  <c r="I48" i="131"/>
  <c r="D48" i="131"/>
  <c r="J48" i="131"/>
  <c r="E48" i="131"/>
  <c r="F48" i="131"/>
  <c r="C48" i="131"/>
  <c r="I49" i="131"/>
  <c r="D49" i="131"/>
  <c r="J49" i="131"/>
  <c r="E49" i="131"/>
  <c r="F49" i="131"/>
  <c r="C49" i="131"/>
  <c r="I50" i="131"/>
  <c r="D50" i="131"/>
  <c r="J50" i="131"/>
  <c r="E50" i="131"/>
  <c r="F50" i="131"/>
  <c r="C50" i="131"/>
  <c r="I51" i="131"/>
  <c r="D51" i="131"/>
  <c r="J51" i="131"/>
  <c r="E51" i="131"/>
  <c r="F51" i="131"/>
  <c r="C51" i="131"/>
  <c r="I52" i="131"/>
  <c r="D52" i="131"/>
  <c r="J52" i="131"/>
  <c r="E52" i="131"/>
  <c r="F52" i="131"/>
  <c r="C52" i="131"/>
  <c r="I53" i="131"/>
  <c r="D53" i="131"/>
  <c r="J53" i="131"/>
  <c r="E53" i="131"/>
  <c r="F53" i="131"/>
  <c r="C53" i="131"/>
  <c r="I54" i="131"/>
  <c r="D54" i="131"/>
  <c r="J54" i="131"/>
  <c r="E54" i="131"/>
  <c r="F54" i="131"/>
  <c r="C54" i="131"/>
  <c r="I55" i="131"/>
  <c r="D55" i="131"/>
  <c r="J55" i="131"/>
  <c r="E55" i="131"/>
  <c r="F55" i="131"/>
  <c r="C55" i="131"/>
  <c r="I56" i="131"/>
  <c r="D56" i="131"/>
  <c r="J56" i="131"/>
  <c r="E56" i="131"/>
  <c r="F56" i="131"/>
  <c r="C56" i="131"/>
  <c r="I57" i="131"/>
  <c r="D57" i="131"/>
  <c r="J57" i="131"/>
  <c r="E57" i="131"/>
  <c r="F57" i="131"/>
  <c r="C57" i="131"/>
  <c r="I58" i="131"/>
  <c r="D58" i="131"/>
  <c r="J58" i="131"/>
  <c r="E58" i="131"/>
  <c r="F58" i="131"/>
  <c r="C58" i="131"/>
  <c r="I59" i="131"/>
  <c r="D59" i="131"/>
  <c r="J59" i="131"/>
  <c r="E59" i="131"/>
  <c r="F59" i="131"/>
  <c r="C59" i="131"/>
  <c r="I60" i="131"/>
  <c r="D60" i="131"/>
  <c r="J60" i="131"/>
  <c r="E60" i="131"/>
  <c r="F60" i="131"/>
  <c r="C60" i="131"/>
  <c r="I61" i="131"/>
  <c r="D61" i="131"/>
  <c r="J61" i="131"/>
  <c r="E61" i="131"/>
  <c r="F61" i="131"/>
  <c r="C61" i="131"/>
  <c r="I62" i="131"/>
  <c r="D62" i="131"/>
  <c r="J62" i="131"/>
  <c r="E62" i="131"/>
  <c r="F62" i="131"/>
  <c r="C62" i="131"/>
  <c r="I63" i="131"/>
  <c r="D63" i="131"/>
  <c r="J63" i="131"/>
  <c r="E63" i="131"/>
  <c r="F63" i="131"/>
  <c r="C63" i="131"/>
  <c r="I64" i="131"/>
  <c r="D64" i="131"/>
  <c r="J64" i="131"/>
  <c r="E64" i="131"/>
  <c r="F64" i="131"/>
  <c r="C64" i="131"/>
  <c r="I65" i="131"/>
  <c r="D65" i="131"/>
  <c r="J65" i="131"/>
  <c r="E65" i="131"/>
  <c r="F65" i="131"/>
  <c r="C65" i="131"/>
  <c r="I66" i="131"/>
  <c r="D66" i="131"/>
  <c r="J66" i="131"/>
  <c r="E66" i="131"/>
  <c r="F66" i="131"/>
  <c r="C66" i="131"/>
  <c r="I67" i="131"/>
  <c r="D67" i="131"/>
  <c r="J67" i="131"/>
  <c r="E67" i="131"/>
  <c r="F67" i="131"/>
  <c r="C67" i="131"/>
  <c r="I68" i="131"/>
  <c r="D68" i="131"/>
  <c r="J68" i="131"/>
  <c r="E68" i="131"/>
  <c r="F68" i="131"/>
  <c r="C68" i="131"/>
  <c r="I69" i="131"/>
  <c r="D69" i="131"/>
  <c r="J69" i="131"/>
  <c r="E69" i="131"/>
  <c r="F69" i="131"/>
  <c r="C69" i="131"/>
  <c r="I70" i="131"/>
  <c r="D70" i="131"/>
  <c r="J70" i="131"/>
  <c r="E70" i="131"/>
  <c r="F70" i="131"/>
  <c r="C70" i="131"/>
  <c r="I71" i="131"/>
  <c r="D71" i="131"/>
  <c r="J71" i="131"/>
  <c r="E71" i="131"/>
  <c r="F71" i="131"/>
  <c r="C71" i="131"/>
  <c r="I72" i="131"/>
  <c r="D72" i="131"/>
  <c r="J72" i="131"/>
  <c r="E72" i="131"/>
  <c r="F72" i="131"/>
  <c r="C72" i="131"/>
  <c r="I73" i="131"/>
  <c r="D73" i="131"/>
  <c r="J73" i="131"/>
  <c r="E73" i="131"/>
  <c r="F73" i="131"/>
  <c r="C73" i="131"/>
  <c r="I74" i="131"/>
  <c r="D74" i="131"/>
  <c r="J74" i="131"/>
  <c r="E74" i="131"/>
  <c r="F74" i="131"/>
  <c r="C74" i="131"/>
  <c r="I75" i="131"/>
  <c r="D75" i="131"/>
  <c r="J75" i="131"/>
  <c r="E75" i="131"/>
  <c r="F75" i="131"/>
  <c r="C75" i="131"/>
  <c r="I76" i="131"/>
  <c r="D76" i="131"/>
  <c r="J76" i="131"/>
  <c r="E76" i="131"/>
  <c r="F76" i="131"/>
  <c r="C76" i="131"/>
  <c r="I77" i="131"/>
  <c r="D77" i="131"/>
  <c r="J77" i="131"/>
  <c r="E77" i="131"/>
  <c r="F77" i="131"/>
  <c r="C77" i="131"/>
  <c r="I78" i="131"/>
  <c r="D78" i="131"/>
  <c r="J78" i="131"/>
  <c r="E78" i="131"/>
  <c r="F78" i="131"/>
  <c r="C78" i="131"/>
  <c r="I79" i="131"/>
  <c r="D79" i="131"/>
  <c r="J79" i="131"/>
  <c r="E79" i="131"/>
  <c r="F79" i="131"/>
  <c r="C79" i="131"/>
  <c r="I80" i="131"/>
  <c r="D80" i="131"/>
  <c r="J80" i="131"/>
  <c r="E80" i="131"/>
  <c r="F80" i="131"/>
  <c r="C80" i="131"/>
  <c r="I81" i="131"/>
  <c r="D81" i="131"/>
  <c r="J81" i="131"/>
  <c r="E81" i="131"/>
  <c r="F81" i="131"/>
  <c r="C81" i="131"/>
  <c r="I82" i="131"/>
  <c r="D82" i="131"/>
  <c r="J82" i="131"/>
  <c r="E82" i="131"/>
  <c r="F82" i="131"/>
  <c r="C82" i="131"/>
  <c r="I83" i="131"/>
  <c r="D83" i="131"/>
  <c r="J83" i="131"/>
  <c r="E83" i="131"/>
  <c r="F83" i="131"/>
  <c r="C83" i="131"/>
  <c r="I84" i="131"/>
  <c r="D84" i="131"/>
  <c r="J84" i="131"/>
  <c r="E84" i="131"/>
  <c r="F84" i="131"/>
  <c r="C84" i="131"/>
  <c r="I85" i="131"/>
  <c r="D85" i="131"/>
  <c r="J85" i="131"/>
  <c r="E85" i="131"/>
  <c r="F85" i="131"/>
  <c r="C85" i="131"/>
  <c r="I86" i="131"/>
  <c r="D86" i="131"/>
  <c r="J86" i="131"/>
  <c r="E86" i="131"/>
  <c r="F86" i="131"/>
  <c r="C86" i="131"/>
  <c r="I87" i="131"/>
  <c r="D87" i="131"/>
  <c r="J87" i="131"/>
  <c r="E87" i="131"/>
  <c r="F87" i="131"/>
  <c r="C87" i="131"/>
  <c r="I88" i="131"/>
  <c r="D88" i="131"/>
  <c r="J88" i="131"/>
  <c r="E88" i="131"/>
  <c r="F88" i="131"/>
  <c r="C88" i="131"/>
  <c r="I89" i="131"/>
  <c r="D89" i="131"/>
  <c r="J89" i="131"/>
  <c r="E89" i="131"/>
  <c r="F89" i="131"/>
  <c r="C89" i="131"/>
  <c r="I90" i="131"/>
  <c r="D90" i="131"/>
  <c r="J90" i="131"/>
  <c r="E90" i="131"/>
  <c r="F90" i="131"/>
  <c r="C90" i="131"/>
  <c r="I91" i="131"/>
  <c r="D91" i="131"/>
  <c r="J91" i="131"/>
  <c r="E91" i="131"/>
  <c r="F91" i="131"/>
  <c r="C91" i="131"/>
  <c r="I92" i="131"/>
  <c r="D92" i="131"/>
  <c r="J92" i="131"/>
  <c r="E92" i="131"/>
  <c r="F92" i="131"/>
  <c r="C92" i="131"/>
  <c r="I93" i="131"/>
  <c r="D93" i="131"/>
  <c r="J93" i="131"/>
  <c r="E93" i="131"/>
  <c r="F93" i="131"/>
  <c r="C93" i="131"/>
  <c r="I94" i="131"/>
  <c r="D94" i="131"/>
  <c r="J94" i="131"/>
  <c r="E94" i="131"/>
  <c r="F94" i="131"/>
  <c r="C94" i="131"/>
  <c r="I95" i="131"/>
  <c r="D95" i="131"/>
  <c r="J95" i="131"/>
  <c r="E95" i="131"/>
  <c r="F95" i="131"/>
  <c r="C95" i="131"/>
  <c r="I96" i="131"/>
  <c r="D96" i="131"/>
  <c r="J96" i="131"/>
  <c r="E96" i="131"/>
  <c r="F96" i="131"/>
  <c r="C96" i="131"/>
  <c r="I97" i="131"/>
  <c r="D97" i="131"/>
  <c r="J97" i="131"/>
  <c r="E97" i="131"/>
  <c r="F97" i="131"/>
  <c r="C97" i="131"/>
  <c r="I98" i="131"/>
  <c r="D98" i="131"/>
  <c r="J98" i="131"/>
  <c r="E98" i="131"/>
  <c r="F98" i="131"/>
  <c r="C98" i="131"/>
  <c r="I99" i="131"/>
  <c r="D99" i="131"/>
  <c r="J99" i="131"/>
  <c r="E99" i="131"/>
  <c r="F99" i="131"/>
  <c r="C99" i="131"/>
  <c r="I100" i="131"/>
  <c r="D100" i="131"/>
  <c r="J100" i="131"/>
  <c r="E100" i="131"/>
  <c r="F100" i="131"/>
  <c r="C100" i="131"/>
  <c r="I101" i="131"/>
  <c r="D101" i="131"/>
  <c r="J101" i="131"/>
  <c r="E101" i="131"/>
  <c r="F101" i="131"/>
  <c r="C101" i="131"/>
  <c r="I102" i="131"/>
  <c r="D102" i="131"/>
  <c r="J102" i="131"/>
  <c r="E102" i="131"/>
  <c r="F102" i="131"/>
  <c r="C102" i="131"/>
  <c r="I103" i="131"/>
  <c r="D103" i="131"/>
  <c r="J103" i="131"/>
  <c r="E103" i="131"/>
  <c r="F103" i="131"/>
  <c r="C103" i="131"/>
  <c r="I104" i="131"/>
  <c r="D104" i="131"/>
  <c r="J104" i="131"/>
  <c r="E104" i="131"/>
  <c r="F104" i="131"/>
  <c r="C104" i="131"/>
  <c r="I105" i="131"/>
  <c r="D105" i="131"/>
  <c r="J105" i="131"/>
  <c r="E105" i="131"/>
  <c r="F105" i="131"/>
  <c r="C105" i="131"/>
  <c r="I106" i="131"/>
  <c r="D106" i="131"/>
  <c r="J106" i="131"/>
  <c r="E106" i="131"/>
  <c r="F106" i="131"/>
  <c r="C106" i="131"/>
  <c r="I107" i="131"/>
  <c r="D107" i="131"/>
  <c r="J107" i="131"/>
  <c r="E107" i="131"/>
  <c r="F107" i="131"/>
  <c r="C107" i="131"/>
  <c r="I108" i="131"/>
  <c r="D108" i="131"/>
  <c r="J108" i="131"/>
  <c r="E108" i="131"/>
  <c r="F108" i="131"/>
  <c r="C108" i="131"/>
  <c r="I109" i="131"/>
  <c r="D109" i="131"/>
  <c r="J109" i="131"/>
  <c r="E109" i="131"/>
  <c r="F109" i="131"/>
  <c r="C109" i="131"/>
  <c r="I110" i="131"/>
  <c r="D110" i="131"/>
  <c r="J110" i="131"/>
  <c r="E110" i="131"/>
  <c r="F110" i="131"/>
  <c r="C110" i="131"/>
  <c r="I111" i="131"/>
  <c r="D111" i="131"/>
  <c r="J111" i="131"/>
  <c r="E111" i="131"/>
  <c r="F111" i="131"/>
  <c r="C111" i="131"/>
  <c r="I112" i="131"/>
  <c r="D112" i="131"/>
  <c r="J112" i="131"/>
  <c r="E112" i="131"/>
  <c r="F112" i="131"/>
  <c r="C112" i="131"/>
  <c r="I113" i="131"/>
  <c r="D113" i="131"/>
  <c r="J113" i="131"/>
  <c r="E113" i="131"/>
  <c r="F113" i="131"/>
  <c r="C113" i="131"/>
  <c r="I114" i="131"/>
  <c r="D114" i="131"/>
  <c r="J114" i="131"/>
  <c r="E114" i="131"/>
  <c r="F114" i="131"/>
  <c r="C114" i="131"/>
  <c r="I115" i="131"/>
  <c r="D115" i="131"/>
  <c r="J115" i="131"/>
  <c r="E115" i="131"/>
  <c r="F115" i="131"/>
  <c r="C115" i="131"/>
  <c r="I116" i="131"/>
  <c r="D116" i="131"/>
  <c r="J116" i="131"/>
  <c r="E116" i="131"/>
  <c r="F116" i="131"/>
  <c r="C116" i="131"/>
  <c r="I117" i="131"/>
  <c r="D117" i="131"/>
  <c r="J117" i="131"/>
  <c r="E117" i="131"/>
  <c r="F117" i="131"/>
  <c r="C117" i="131"/>
  <c r="I118" i="131"/>
  <c r="D118" i="131"/>
  <c r="J118" i="131"/>
  <c r="E118" i="131"/>
  <c r="F118" i="131"/>
  <c r="C118" i="131"/>
  <c r="I119" i="131"/>
  <c r="D119" i="131"/>
  <c r="J119" i="131"/>
  <c r="E119" i="131"/>
  <c r="F119" i="131"/>
  <c r="C119" i="131"/>
  <c r="I120" i="131"/>
  <c r="D120" i="131"/>
  <c r="J120" i="131"/>
  <c r="E120" i="131"/>
  <c r="F120" i="131"/>
  <c r="C120" i="131"/>
  <c r="I121" i="131"/>
  <c r="D121" i="131"/>
  <c r="J121" i="131"/>
  <c r="E121" i="131"/>
  <c r="F121" i="131"/>
  <c r="C121" i="131"/>
  <c r="I122" i="131"/>
  <c r="D122" i="131"/>
  <c r="J122" i="131"/>
  <c r="E122" i="131"/>
  <c r="F122" i="131"/>
  <c r="C122" i="131"/>
  <c r="I123" i="131"/>
  <c r="D123" i="131"/>
  <c r="J123" i="131"/>
  <c r="E123" i="131"/>
  <c r="F123" i="131"/>
  <c r="C123" i="131"/>
  <c r="I124" i="131"/>
  <c r="D124" i="131"/>
  <c r="J124" i="131"/>
  <c r="E124" i="131"/>
  <c r="F124" i="131"/>
  <c r="C124" i="131"/>
  <c r="I125" i="131"/>
  <c r="D125" i="131"/>
  <c r="J125" i="131"/>
  <c r="E125" i="131"/>
  <c r="F125" i="131"/>
  <c r="C125" i="131"/>
  <c r="I126" i="131"/>
  <c r="D126" i="131"/>
  <c r="J126" i="131"/>
  <c r="E126" i="131"/>
  <c r="F126" i="131"/>
  <c r="C126" i="131"/>
  <c r="I127" i="131"/>
  <c r="D127" i="131"/>
  <c r="J127" i="131"/>
  <c r="E127" i="131"/>
  <c r="F127" i="131"/>
  <c r="C127" i="131"/>
  <c r="I128" i="131"/>
  <c r="D128" i="131"/>
  <c r="J128" i="131"/>
  <c r="E128" i="131"/>
  <c r="F128" i="131"/>
  <c r="C128" i="131"/>
  <c r="I129" i="131"/>
  <c r="D129" i="131"/>
  <c r="J129" i="131"/>
  <c r="E129" i="131"/>
  <c r="F129" i="131"/>
  <c r="C129" i="131"/>
  <c r="I130" i="131"/>
  <c r="D130" i="131"/>
  <c r="J130" i="131"/>
  <c r="E130" i="131"/>
  <c r="F130" i="131"/>
  <c r="C130" i="131"/>
  <c r="I131" i="131"/>
  <c r="D131" i="131"/>
  <c r="J131" i="131"/>
  <c r="E131" i="131"/>
  <c r="F131" i="131"/>
  <c r="C131" i="131"/>
  <c r="I132" i="131"/>
  <c r="D132" i="131"/>
  <c r="J132" i="131"/>
  <c r="E132" i="131"/>
  <c r="F132" i="131"/>
  <c r="C132" i="131"/>
  <c r="I133" i="131"/>
  <c r="D133" i="131"/>
  <c r="J133" i="131"/>
  <c r="E133" i="131"/>
  <c r="F133" i="131"/>
  <c r="C133" i="131"/>
  <c r="I134" i="131"/>
  <c r="D134" i="131"/>
  <c r="J134" i="131"/>
  <c r="E134" i="131"/>
  <c r="F134" i="131"/>
  <c r="C134" i="131"/>
  <c r="I135" i="131"/>
  <c r="D135" i="131"/>
  <c r="J135" i="131"/>
  <c r="E135" i="131"/>
  <c r="F135" i="131"/>
  <c r="C135" i="131"/>
  <c r="I136" i="131"/>
  <c r="D136" i="131"/>
  <c r="J136" i="131"/>
  <c r="E136" i="131"/>
  <c r="F136" i="131"/>
  <c r="C136" i="131"/>
  <c r="I137" i="131"/>
  <c r="D137" i="131"/>
  <c r="J137" i="131"/>
  <c r="E137" i="131"/>
  <c r="F137" i="131"/>
  <c r="C137" i="131"/>
  <c r="I138" i="131"/>
  <c r="D138" i="131"/>
  <c r="J138" i="131"/>
  <c r="E138" i="131"/>
  <c r="F138" i="131"/>
  <c r="C138" i="131"/>
  <c r="I139" i="131"/>
  <c r="D139" i="131"/>
  <c r="J139" i="131"/>
  <c r="E139" i="131"/>
  <c r="F139" i="131"/>
  <c r="C139" i="131"/>
  <c r="I140" i="131"/>
  <c r="D140" i="131"/>
  <c r="J140" i="131"/>
  <c r="E140" i="131"/>
  <c r="F140" i="131"/>
  <c r="C140" i="131"/>
  <c r="I141" i="131"/>
  <c r="D141" i="131"/>
  <c r="J141" i="131"/>
  <c r="E141" i="131"/>
  <c r="F141" i="131"/>
  <c r="C141" i="131"/>
  <c r="I142" i="131"/>
  <c r="D142" i="131"/>
  <c r="J142" i="131"/>
  <c r="E142" i="131"/>
  <c r="F142" i="131"/>
  <c r="C142" i="131"/>
  <c r="I143" i="131"/>
  <c r="D143" i="131"/>
  <c r="J143" i="131"/>
  <c r="E143" i="131"/>
  <c r="F143" i="131"/>
  <c r="C143" i="131"/>
  <c r="I144" i="131"/>
  <c r="D144" i="131"/>
  <c r="J144" i="131"/>
  <c r="E144" i="131"/>
  <c r="F144" i="131"/>
  <c r="C144" i="131"/>
  <c r="I145" i="131"/>
  <c r="D145" i="131"/>
  <c r="J145" i="131"/>
  <c r="E145" i="131"/>
  <c r="F145" i="131"/>
  <c r="C145" i="131"/>
  <c r="I146" i="131"/>
  <c r="D146" i="131"/>
  <c r="J146" i="131"/>
  <c r="E146" i="131"/>
  <c r="F146" i="131"/>
  <c r="C146" i="131"/>
  <c r="I147" i="131"/>
  <c r="D147" i="131"/>
  <c r="J147" i="131"/>
  <c r="E147" i="131"/>
  <c r="F147" i="131"/>
  <c r="C147" i="131"/>
  <c r="I148" i="131"/>
  <c r="D148" i="131"/>
  <c r="J148" i="131"/>
  <c r="E148" i="131"/>
  <c r="F148" i="131"/>
  <c r="C148" i="131"/>
  <c r="I149" i="131"/>
  <c r="D149" i="131"/>
  <c r="J149" i="131"/>
  <c r="E149" i="131"/>
  <c r="F149" i="131"/>
  <c r="C149" i="131"/>
  <c r="I150" i="131"/>
  <c r="D150" i="131"/>
  <c r="J150" i="131"/>
  <c r="E150" i="131"/>
  <c r="F150" i="131"/>
  <c r="C150" i="131"/>
  <c r="I151" i="131"/>
  <c r="D151" i="131"/>
  <c r="J151" i="131"/>
  <c r="E151" i="131"/>
  <c r="F151" i="131"/>
  <c r="C151" i="131"/>
  <c r="I152" i="131"/>
  <c r="D152" i="131"/>
  <c r="J152" i="131"/>
  <c r="E152" i="131"/>
  <c r="F152" i="131"/>
  <c r="C152" i="131"/>
  <c r="I153" i="131"/>
  <c r="D153" i="131"/>
  <c r="J153" i="131"/>
  <c r="E153" i="131"/>
  <c r="F153" i="131"/>
  <c r="C153" i="131"/>
  <c r="I154" i="131"/>
  <c r="D154" i="131"/>
  <c r="J154" i="131"/>
  <c r="E154" i="131"/>
  <c r="F154" i="131"/>
  <c r="C154" i="131"/>
  <c r="I155" i="131"/>
  <c r="D155" i="131"/>
  <c r="J155" i="131"/>
  <c r="E155" i="131"/>
  <c r="F155" i="131"/>
  <c r="C155" i="131"/>
  <c r="I156" i="131"/>
  <c r="D156" i="131"/>
  <c r="J156" i="131"/>
  <c r="E156" i="131"/>
  <c r="F156" i="131"/>
  <c r="C156" i="131"/>
  <c r="I157" i="131"/>
  <c r="D157" i="131"/>
  <c r="J157" i="131"/>
  <c r="E157" i="131"/>
  <c r="F157" i="131"/>
  <c r="C157" i="131"/>
  <c r="I158" i="131"/>
  <c r="D158" i="131"/>
  <c r="J158" i="131"/>
  <c r="E158" i="131"/>
  <c r="F158" i="131"/>
  <c r="C158" i="131"/>
  <c r="I159" i="131"/>
  <c r="D159" i="131"/>
  <c r="J159" i="131"/>
  <c r="E159" i="131"/>
  <c r="F159" i="131"/>
  <c r="C159" i="131"/>
  <c r="I160" i="131"/>
  <c r="D160" i="131"/>
  <c r="J160" i="131"/>
  <c r="E160" i="131"/>
  <c r="F160" i="131"/>
  <c r="C160" i="131"/>
  <c r="I161" i="131"/>
  <c r="D161" i="131"/>
  <c r="J161" i="131"/>
  <c r="E161" i="131"/>
  <c r="F161" i="131"/>
  <c r="C161" i="131"/>
  <c r="I162" i="131"/>
  <c r="D162" i="131"/>
  <c r="J162" i="131"/>
  <c r="E162" i="131"/>
  <c r="F162" i="131"/>
  <c r="C162" i="131"/>
  <c r="I163" i="131"/>
  <c r="D163" i="131"/>
  <c r="J163" i="131"/>
  <c r="E163" i="131"/>
  <c r="F163" i="131"/>
  <c r="C163" i="131"/>
  <c r="I164" i="131"/>
  <c r="D164" i="131"/>
  <c r="J164" i="131"/>
  <c r="E164" i="131"/>
  <c r="F164" i="131"/>
  <c r="C164" i="131"/>
  <c r="I165" i="131"/>
  <c r="D165" i="131"/>
  <c r="J165" i="131"/>
  <c r="E165" i="131"/>
  <c r="F165" i="131"/>
  <c r="C165" i="131"/>
  <c r="I166" i="131"/>
  <c r="D166" i="131"/>
  <c r="J166" i="131"/>
  <c r="E166" i="131"/>
  <c r="F166" i="131"/>
  <c r="C166" i="131"/>
  <c r="I167" i="131"/>
  <c r="D167" i="131"/>
  <c r="J167" i="131"/>
  <c r="E167" i="131"/>
  <c r="F167" i="131"/>
  <c r="C167" i="131"/>
  <c r="I168" i="131"/>
  <c r="D168" i="131"/>
  <c r="J168" i="131"/>
  <c r="E168" i="131"/>
  <c r="F168" i="131"/>
  <c r="C168" i="131"/>
  <c r="I169" i="131"/>
  <c r="D169" i="131"/>
  <c r="J169" i="131"/>
  <c r="E169" i="131"/>
  <c r="F169" i="131"/>
  <c r="C169" i="131"/>
  <c r="I170" i="131"/>
  <c r="D170" i="131"/>
  <c r="J170" i="131"/>
  <c r="E170" i="131"/>
  <c r="F170" i="131"/>
  <c r="C170" i="131"/>
  <c r="I171" i="131"/>
  <c r="D171" i="131"/>
  <c r="J171" i="131"/>
  <c r="E171" i="131"/>
  <c r="F171" i="131"/>
  <c r="C171" i="131"/>
  <c r="I172" i="131"/>
  <c r="D172" i="131"/>
  <c r="J172" i="131"/>
  <c r="E172" i="131"/>
  <c r="F172" i="131"/>
  <c r="C172" i="131"/>
  <c r="I173" i="131"/>
  <c r="D173" i="131"/>
  <c r="J173" i="131"/>
  <c r="E173" i="131"/>
  <c r="F173" i="131"/>
  <c r="C173" i="131"/>
  <c r="I174" i="131"/>
  <c r="D174" i="131"/>
  <c r="J174" i="131"/>
  <c r="E174" i="131"/>
  <c r="F174" i="131"/>
  <c r="C174" i="131"/>
  <c r="I175" i="131"/>
  <c r="D175" i="131"/>
  <c r="J175" i="131"/>
  <c r="E175" i="131"/>
  <c r="F175" i="131"/>
  <c r="C175" i="131"/>
  <c r="I176" i="131"/>
  <c r="D176" i="131"/>
  <c r="J176" i="131"/>
  <c r="E176" i="131"/>
  <c r="F176" i="131"/>
  <c r="C176" i="131"/>
  <c r="I177" i="131"/>
  <c r="D177" i="131"/>
  <c r="J177" i="131"/>
  <c r="E177" i="131"/>
  <c r="F177" i="131"/>
  <c r="C177" i="131"/>
  <c r="I178" i="131"/>
  <c r="D178" i="131"/>
  <c r="J178" i="131"/>
  <c r="E178" i="131"/>
  <c r="F178" i="131"/>
  <c r="C178" i="131"/>
  <c r="I179" i="131"/>
  <c r="D179" i="131"/>
  <c r="J179" i="131"/>
  <c r="E179" i="131"/>
  <c r="F179" i="131"/>
  <c r="C179" i="131"/>
  <c r="I180" i="131"/>
  <c r="D180" i="131"/>
  <c r="J180" i="131"/>
  <c r="E180" i="131"/>
  <c r="F180" i="131"/>
  <c r="C180" i="131"/>
  <c r="I181" i="131"/>
  <c r="D181" i="131"/>
  <c r="J181" i="131"/>
  <c r="E181" i="131"/>
  <c r="F181" i="131"/>
  <c r="C181" i="131"/>
  <c r="I182" i="131"/>
  <c r="D182" i="131"/>
  <c r="J182" i="131"/>
  <c r="E182" i="131"/>
  <c r="F182" i="131"/>
  <c r="C182" i="131"/>
  <c r="I183" i="131"/>
  <c r="D183" i="131"/>
  <c r="J183" i="131"/>
  <c r="E183" i="131"/>
  <c r="F183" i="131"/>
  <c r="C183" i="131"/>
  <c r="I184" i="131"/>
  <c r="D184" i="131"/>
  <c r="J184" i="131"/>
  <c r="E184" i="131"/>
  <c r="F184" i="131"/>
  <c r="C184" i="131"/>
  <c r="I185" i="131"/>
  <c r="D185" i="131"/>
  <c r="J185" i="131"/>
  <c r="E185" i="131"/>
  <c r="F185" i="131"/>
  <c r="C185" i="131"/>
  <c r="I186" i="131"/>
  <c r="D186" i="131"/>
  <c r="J186" i="131"/>
  <c r="E186" i="131"/>
  <c r="F186" i="131"/>
  <c r="C186" i="131"/>
  <c r="I187" i="131"/>
  <c r="D187" i="131"/>
  <c r="J187" i="131"/>
  <c r="E187" i="131"/>
  <c r="F187" i="131"/>
  <c r="C187" i="131"/>
  <c r="I188" i="131"/>
  <c r="D188" i="131"/>
  <c r="J188" i="131"/>
  <c r="E188" i="131"/>
  <c r="F188" i="131"/>
  <c r="C188" i="131"/>
  <c r="I189" i="131"/>
  <c r="D189" i="131"/>
  <c r="J189" i="131"/>
  <c r="E189" i="131"/>
  <c r="F189" i="131"/>
  <c r="C189" i="131"/>
  <c r="I190" i="131"/>
  <c r="D190" i="131"/>
  <c r="J190" i="131"/>
  <c r="E190" i="131"/>
  <c r="F190" i="131"/>
  <c r="C190" i="131"/>
  <c r="I191" i="131"/>
  <c r="D191" i="131"/>
  <c r="J191" i="131"/>
  <c r="E191" i="131"/>
  <c r="F191" i="131"/>
  <c r="C191" i="131"/>
  <c r="I192" i="131"/>
  <c r="D192" i="131"/>
  <c r="J192" i="131"/>
  <c r="E192" i="131"/>
  <c r="F192" i="131"/>
  <c r="C192" i="131"/>
  <c r="I193" i="131"/>
  <c r="D193" i="131"/>
  <c r="J193" i="131"/>
  <c r="E193" i="131"/>
  <c r="F193" i="131"/>
  <c r="C193" i="131"/>
  <c r="I194" i="131"/>
  <c r="D194" i="131"/>
  <c r="J194" i="131"/>
  <c r="E194" i="131"/>
  <c r="F194" i="131"/>
  <c r="C194" i="131"/>
  <c r="I195" i="131"/>
  <c r="D195" i="131"/>
  <c r="J195" i="131"/>
  <c r="E195" i="131"/>
  <c r="F195" i="131"/>
  <c r="C195" i="131"/>
  <c r="I196" i="131"/>
  <c r="D196" i="131"/>
  <c r="J196" i="131"/>
  <c r="E196" i="131"/>
  <c r="F196" i="131"/>
  <c r="C196" i="131"/>
  <c r="I197" i="131"/>
  <c r="D197" i="131"/>
  <c r="J197" i="131"/>
  <c r="E197" i="131"/>
  <c r="F197" i="131"/>
  <c r="C197" i="131"/>
  <c r="I198" i="131"/>
  <c r="D198" i="131"/>
  <c r="J198" i="131"/>
  <c r="E198" i="131"/>
  <c r="F198" i="131"/>
  <c r="C198" i="131"/>
  <c r="I199" i="131"/>
  <c r="D199" i="131"/>
  <c r="J199" i="131"/>
  <c r="E199" i="131"/>
  <c r="F199" i="131"/>
  <c r="C199" i="131"/>
  <c r="I200" i="131"/>
  <c r="D200" i="131"/>
  <c r="J200" i="131"/>
  <c r="E200" i="131"/>
  <c r="F200" i="131"/>
  <c r="C200" i="131"/>
  <c r="I201" i="131"/>
  <c r="D201" i="131"/>
  <c r="J201" i="131"/>
  <c r="E201" i="131"/>
  <c r="F201" i="131"/>
  <c r="C201" i="131"/>
  <c r="I202" i="131"/>
  <c r="D202" i="131"/>
  <c r="J202" i="131"/>
  <c r="E202" i="131"/>
  <c r="F202" i="131"/>
  <c r="C202" i="131"/>
  <c r="I203" i="131"/>
  <c r="D203" i="131"/>
  <c r="J203" i="131"/>
  <c r="E203" i="131"/>
  <c r="F203" i="131"/>
  <c r="C203" i="131"/>
  <c r="I204" i="131"/>
  <c r="D204" i="131"/>
  <c r="J204" i="131"/>
  <c r="E204" i="131"/>
  <c r="F204" i="131"/>
  <c r="C204" i="131"/>
  <c r="I205" i="131"/>
  <c r="D205" i="131"/>
  <c r="J205" i="131"/>
  <c r="E205" i="131"/>
  <c r="F205" i="131"/>
  <c r="C205" i="131"/>
  <c r="I206" i="131"/>
  <c r="D206" i="131"/>
  <c r="J206" i="131"/>
  <c r="E206" i="131"/>
  <c r="F206" i="131"/>
  <c r="C206" i="131"/>
  <c r="I207" i="131"/>
  <c r="D207" i="131"/>
  <c r="J207" i="131"/>
  <c r="E207" i="131"/>
  <c r="F207" i="131"/>
  <c r="C207" i="131"/>
  <c r="I208" i="131"/>
  <c r="D208" i="131"/>
  <c r="J208" i="131"/>
  <c r="E208" i="131"/>
  <c r="F208" i="131"/>
  <c r="C208" i="131"/>
  <c r="I209" i="131"/>
  <c r="D209" i="131"/>
  <c r="J209" i="131"/>
  <c r="E209" i="131"/>
  <c r="F209" i="131"/>
  <c r="C209" i="131"/>
  <c r="I210" i="131"/>
  <c r="D210" i="131"/>
  <c r="J210" i="131"/>
  <c r="E210" i="131"/>
  <c r="F210" i="131"/>
  <c r="C210" i="131"/>
  <c r="I211" i="131"/>
  <c r="D211" i="131"/>
  <c r="J211" i="131"/>
  <c r="E211" i="131"/>
  <c r="F211" i="131"/>
  <c r="C211" i="131"/>
  <c r="I212" i="131"/>
  <c r="D212" i="131"/>
  <c r="J212" i="131"/>
  <c r="E212" i="131"/>
  <c r="F212" i="131"/>
  <c r="C212" i="131"/>
  <c r="I213" i="131"/>
  <c r="D213" i="131"/>
  <c r="J213" i="131"/>
  <c r="E213" i="131"/>
  <c r="F213" i="131"/>
  <c r="C213" i="131"/>
  <c r="I214" i="131"/>
  <c r="D214" i="131"/>
  <c r="J214" i="131"/>
  <c r="E214" i="131"/>
  <c r="F214" i="131"/>
  <c r="C214" i="131"/>
  <c r="I215" i="131"/>
  <c r="D215" i="131"/>
  <c r="J215" i="131"/>
  <c r="E215" i="131"/>
  <c r="F215" i="131"/>
  <c r="C215" i="131"/>
  <c r="I216" i="131"/>
  <c r="D216" i="131"/>
  <c r="J216" i="131"/>
  <c r="E216" i="131"/>
  <c r="F216" i="131"/>
  <c r="C216" i="131"/>
  <c r="I217" i="131"/>
  <c r="D217" i="131"/>
  <c r="J217" i="131"/>
  <c r="E217" i="131"/>
  <c r="F217" i="131"/>
  <c r="C217" i="131"/>
  <c r="I218" i="131"/>
  <c r="D218" i="131"/>
  <c r="J218" i="131"/>
  <c r="E218" i="131"/>
  <c r="F218" i="131"/>
  <c r="C218" i="131"/>
  <c r="I219" i="131"/>
  <c r="D219" i="131"/>
  <c r="J219" i="131"/>
  <c r="E219" i="131"/>
  <c r="F219" i="131"/>
  <c r="C219" i="131"/>
  <c r="I220" i="131"/>
  <c r="D220" i="131"/>
  <c r="J220" i="131"/>
  <c r="E220" i="131"/>
  <c r="F220" i="131"/>
  <c r="C220" i="131"/>
  <c r="I221" i="131"/>
  <c r="D221" i="131"/>
  <c r="J221" i="131"/>
  <c r="E221" i="131"/>
  <c r="F221" i="131"/>
  <c r="C221" i="131"/>
  <c r="I222" i="131"/>
  <c r="D222" i="131"/>
  <c r="J222" i="131"/>
  <c r="E222" i="131"/>
  <c r="F222" i="131"/>
  <c r="C222" i="131"/>
  <c r="I223" i="131"/>
  <c r="D223" i="131"/>
  <c r="J223" i="131"/>
  <c r="E223" i="131"/>
  <c r="F223" i="131"/>
  <c r="C223" i="131"/>
  <c r="I224" i="131"/>
  <c r="D224" i="131"/>
  <c r="J224" i="131"/>
  <c r="E224" i="131"/>
  <c r="F224" i="131"/>
  <c r="C224" i="131"/>
  <c r="I225" i="131"/>
  <c r="D225" i="131"/>
  <c r="J225" i="131"/>
  <c r="E225" i="131"/>
  <c r="F225" i="131"/>
  <c r="C225" i="131"/>
  <c r="I226" i="131"/>
  <c r="D226" i="131"/>
  <c r="J226" i="131"/>
  <c r="E226" i="131"/>
  <c r="F226" i="131"/>
  <c r="C226" i="131"/>
  <c r="I227" i="131"/>
  <c r="D227" i="131"/>
  <c r="J227" i="131"/>
  <c r="E227" i="131"/>
  <c r="F227" i="131"/>
  <c r="C227" i="131"/>
  <c r="I228" i="131"/>
  <c r="D228" i="131"/>
  <c r="J228" i="131"/>
  <c r="E228" i="131"/>
  <c r="F228" i="131"/>
  <c r="C228" i="131"/>
  <c r="I229" i="131"/>
  <c r="D229" i="131"/>
  <c r="J229" i="131"/>
  <c r="E229" i="131"/>
  <c r="F229" i="131"/>
  <c r="C229" i="131"/>
  <c r="I230" i="131"/>
  <c r="D230" i="131"/>
  <c r="J230" i="131"/>
  <c r="E230" i="131"/>
  <c r="F230" i="131"/>
  <c r="C230" i="131"/>
  <c r="I231" i="131"/>
  <c r="D231" i="131"/>
  <c r="J231" i="131"/>
  <c r="E231" i="131"/>
  <c r="F231" i="131"/>
  <c r="C231" i="131"/>
  <c r="I232" i="131"/>
  <c r="D232" i="131"/>
  <c r="J232" i="131"/>
  <c r="E232" i="131"/>
  <c r="F232" i="131"/>
  <c r="C232" i="131"/>
  <c r="I233" i="131"/>
  <c r="D233" i="131"/>
  <c r="J233" i="131"/>
  <c r="E233" i="131"/>
  <c r="F233" i="131"/>
  <c r="C233" i="131"/>
  <c r="I234" i="131"/>
  <c r="D234" i="131"/>
  <c r="J234" i="131"/>
  <c r="E234" i="131"/>
  <c r="F234" i="131"/>
  <c r="C234" i="131"/>
  <c r="I235" i="131"/>
  <c r="D235" i="131"/>
  <c r="J235" i="131"/>
  <c r="E235" i="131"/>
  <c r="F235" i="131"/>
  <c r="C235" i="131"/>
  <c r="I236" i="131"/>
  <c r="D236" i="131"/>
  <c r="J236" i="131"/>
  <c r="E236" i="131"/>
  <c r="F236" i="131"/>
  <c r="C236" i="131"/>
  <c r="I237" i="131"/>
  <c r="D237" i="131"/>
  <c r="J237" i="131"/>
  <c r="E237" i="131"/>
  <c r="F237" i="131"/>
  <c r="C237" i="131"/>
  <c r="I238" i="131"/>
  <c r="D238" i="131"/>
  <c r="J238" i="131"/>
  <c r="E238" i="131"/>
  <c r="F238" i="131"/>
  <c r="C238" i="131"/>
  <c r="I239" i="131"/>
  <c r="D239" i="131"/>
  <c r="J239" i="131"/>
  <c r="E239" i="131"/>
  <c r="F239" i="131"/>
  <c r="C239" i="131"/>
  <c r="I240" i="131"/>
  <c r="D240" i="131"/>
  <c r="J240" i="131"/>
  <c r="E240" i="131"/>
  <c r="F240" i="131"/>
  <c r="C240" i="131"/>
  <c r="I241" i="131"/>
  <c r="D241" i="131"/>
  <c r="J241" i="131"/>
  <c r="E241" i="131"/>
  <c r="F241" i="131"/>
  <c r="C241" i="131"/>
  <c r="I242" i="131"/>
  <c r="D242" i="131"/>
  <c r="J242" i="131"/>
  <c r="E242" i="131"/>
  <c r="F242" i="131"/>
  <c r="C242" i="131"/>
  <c r="I243" i="131"/>
  <c r="D243" i="131"/>
  <c r="J243" i="131"/>
  <c r="E243" i="131"/>
  <c r="F243" i="131"/>
  <c r="C243" i="131"/>
  <c r="I244" i="131"/>
  <c r="D244" i="131"/>
  <c r="J244" i="131"/>
  <c r="E244" i="131"/>
  <c r="F244" i="131"/>
  <c r="C244" i="131"/>
  <c r="I245" i="131"/>
  <c r="D245" i="131"/>
  <c r="J245" i="131"/>
  <c r="E245" i="131"/>
  <c r="F245" i="131"/>
  <c r="C245" i="131"/>
  <c r="I246" i="131"/>
  <c r="D246" i="131"/>
  <c r="J246" i="131"/>
  <c r="E246" i="131"/>
  <c r="F246" i="131"/>
  <c r="C246" i="131"/>
  <c r="I247" i="131"/>
  <c r="D247" i="131"/>
  <c r="J247" i="131"/>
  <c r="E247" i="131"/>
  <c r="F247" i="131"/>
  <c r="C247" i="131"/>
  <c r="I248" i="131"/>
  <c r="D248" i="131"/>
  <c r="J248" i="131"/>
  <c r="E248" i="131"/>
  <c r="F248" i="131"/>
  <c r="C248" i="131"/>
  <c r="I249" i="131"/>
  <c r="D249" i="131"/>
  <c r="J249" i="131"/>
  <c r="E249" i="131"/>
  <c r="F249" i="131"/>
  <c r="C249" i="131"/>
  <c r="I250" i="131"/>
  <c r="D250" i="131"/>
  <c r="J250" i="131"/>
  <c r="E250" i="131"/>
  <c r="F250" i="131"/>
  <c r="C250" i="131"/>
  <c r="I251" i="131"/>
  <c r="D251" i="131"/>
  <c r="J251" i="131"/>
  <c r="E251" i="131"/>
  <c r="F251" i="131"/>
  <c r="C251" i="131"/>
  <c r="I252" i="131"/>
  <c r="D252" i="131"/>
  <c r="J252" i="131"/>
  <c r="E252" i="131"/>
  <c r="F252" i="131"/>
  <c r="C252" i="131"/>
  <c r="I253" i="131"/>
  <c r="D253" i="131"/>
  <c r="J253" i="131"/>
  <c r="E253" i="131"/>
  <c r="F253" i="131"/>
  <c r="C253" i="131"/>
  <c r="I254" i="131"/>
  <c r="D254" i="131"/>
  <c r="J254" i="131"/>
  <c r="E254" i="131"/>
  <c r="F254" i="131"/>
  <c r="C254" i="131"/>
  <c r="I255" i="131"/>
  <c r="D255" i="131"/>
  <c r="J255" i="131"/>
  <c r="E255" i="131"/>
  <c r="F255" i="131"/>
  <c r="C255" i="131"/>
  <c r="I256" i="131"/>
  <c r="D256" i="131"/>
  <c r="J256" i="131"/>
  <c r="E256" i="131"/>
  <c r="F256" i="131"/>
  <c r="C256" i="131"/>
  <c r="I257" i="131"/>
  <c r="D257" i="131"/>
  <c r="J257" i="131"/>
  <c r="E257" i="131"/>
  <c r="F257" i="131"/>
  <c r="C257" i="131"/>
  <c r="I258" i="131"/>
  <c r="D258" i="131"/>
  <c r="J258" i="131"/>
  <c r="E258" i="131"/>
  <c r="F258" i="131"/>
  <c r="C258" i="131"/>
  <c r="I259" i="131"/>
  <c r="D259" i="131"/>
  <c r="J259" i="131"/>
  <c r="E259" i="131"/>
  <c r="F259" i="131"/>
  <c r="C259" i="131"/>
  <c r="I260" i="131"/>
  <c r="D260" i="131"/>
  <c r="J260" i="131"/>
  <c r="E260" i="131"/>
  <c r="F260" i="131"/>
  <c r="C260" i="131"/>
  <c r="I261" i="131"/>
  <c r="D261" i="131"/>
  <c r="J261" i="131"/>
  <c r="E261" i="131"/>
  <c r="F261" i="131"/>
  <c r="C261" i="131"/>
  <c r="I262" i="131"/>
  <c r="D262" i="131"/>
  <c r="J262" i="131"/>
  <c r="E262" i="131"/>
  <c r="F262" i="131"/>
  <c r="C262" i="131"/>
  <c r="I263" i="131"/>
  <c r="D263" i="131"/>
  <c r="J263" i="131"/>
  <c r="E263" i="131"/>
  <c r="F263" i="131"/>
  <c r="C263" i="131"/>
  <c r="I264" i="131"/>
  <c r="D264" i="131"/>
  <c r="J264" i="131"/>
  <c r="E264" i="131"/>
  <c r="F264" i="131"/>
  <c r="C264" i="131"/>
  <c r="I265" i="131"/>
  <c r="D265" i="131"/>
  <c r="J265" i="131"/>
  <c r="E265" i="131"/>
  <c r="F265" i="131"/>
  <c r="C265" i="131"/>
  <c r="I266" i="131"/>
  <c r="D266" i="131"/>
  <c r="J266" i="131"/>
  <c r="E266" i="131"/>
  <c r="F266" i="131"/>
  <c r="C266" i="131"/>
  <c r="I267" i="131"/>
  <c r="D267" i="131"/>
  <c r="J267" i="131"/>
  <c r="E267" i="131"/>
  <c r="F267" i="131"/>
  <c r="C267" i="131"/>
  <c r="I268" i="131"/>
  <c r="D268" i="131"/>
  <c r="J268" i="131"/>
  <c r="E268" i="131"/>
  <c r="F268" i="131"/>
  <c r="C268" i="131"/>
  <c r="I269" i="131"/>
  <c r="D269" i="131"/>
  <c r="J269" i="131"/>
  <c r="E269" i="131"/>
  <c r="F269" i="131"/>
  <c r="C269" i="131"/>
  <c r="I270" i="131"/>
  <c r="D270" i="131"/>
  <c r="J270" i="131"/>
  <c r="E270" i="131"/>
  <c r="F270" i="131"/>
  <c r="C270" i="131"/>
  <c r="I271" i="131"/>
  <c r="D271" i="131"/>
  <c r="J271" i="131"/>
  <c r="E271" i="131"/>
  <c r="F271" i="131"/>
  <c r="C271" i="131"/>
  <c r="I272" i="131"/>
  <c r="D272" i="131"/>
  <c r="J272" i="131"/>
  <c r="E272" i="131"/>
  <c r="F272" i="131"/>
  <c r="C272" i="131"/>
  <c r="I273" i="131"/>
  <c r="D273" i="131"/>
  <c r="J273" i="131"/>
  <c r="E273" i="131"/>
  <c r="F273" i="131"/>
  <c r="C273" i="131"/>
  <c r="I274" i="131"/>
  <c r="D274" i="131"/>
  <c r="J274" i="131"/>
  <c r="E274" i="131"/>
  <c r="F274" i="131"/>
  <c r="C274" i="131"/>
  <c r="I275" i="131"/>
  <c r="D275" i="131"/>
  <c r="J275" i="131"/>
  <c r="E275" i="131"/>
  <c r="F275" i="131"/>
  <c r="C275" i="131"/>
  <c r="I276" i="131"/>
  <c r="D276" i="131"/>
  <c r="J276" i="131"/>
  <c r="E276" i="131"/>
  <c r="F276" i="131"/>
  <c r="C276" i="131"/>
  <c r="F5" i="130"/>
  <c r="F6" i="130"/>
  <c r="A36" i="130"/>
  <c r="E5" i="130"/>
  <c r="Q3" i="130"/>
  <c r="Q4" i="130"/>
  <c r="Q5" i="130"/>
  <c r="Q6" i="130"/>
  <c r="Q7" i="130"/>
  <c r="Q8" i="130"/>
  <c r="Q9" i="130"/>
  <c r="Q10" i="130"/>
  <c r="Q11" i="130"/>
  <c r="Q12" i="130"/>
  <c r="Q13" i="130"/>
  <c r="Q14" i="130"/>
  <c r="Q15" i="130"/>
  <c r="Q16" i="130"/>
  <c r="Q17" i="130"/>
  <c r="Q18" i="130"/>
  <c r="Q19" i="130"/>
  <c r="Q20" i="130"/>
  <c r="E26" i="130"/>
  <c r="B26" i="130"/>
  <c r="E28" i="130"/>
  <c r="B28" i="130"/>
  <c r="E29" i="130"/>
  <c r="B29" i="130"/>
  <c r="B10" i="130"/>
  <c r="E6" i="130"/>
  <c r="E21" i="130"/>
  <c r="B21" i="130"/>
  <c r="V6" i="130"/>
  <c r="B23" i="130"/>
  <c r="G23" i="130"/>
  <c r="E23" i="130"/>
  <c r="H23" i="130"/>
  <c r="O277" i="131"/>
  <c r="B5" i="130"/>
  <c r="E19" i="130"/>
  <c r="B19" i="130"/>
  <c r="B24" i="130"/>
  <c r="B17" i="130"/>
  <c r="G17" i="130"/>
  <c r="E17" i="130"/>
  <c r="H17" i="130"/>
  <c r="O2" i="131"/>
  <c r="E18" i="130"/>
  <c r="B18" i="130"/>
  <c r="G18" i="130"/>
  <c r="H18" i="130"/>
  <c r="O3" i="131"/>
  <c r="O4" i="131"/>
  <c r="O5" i="131"/>
  <c r="O6" i="131"/>
  <c r="O7" i="131"/>
  <c r="O8" i="131"/>
  <c r="O9" i="131"/>
  <c r="O10" i="131"/>
  <c r="O11" i="131"/>
  <c r="O12" i="131"/>
  <c r="O13" i="131"/>
  <c r="O14" i="131"/>
  <c r="O15" i="131"/>
  <c r="O16" i="131"/>
  <c r="O17" i="131"/>
  <c r="O18" i="131"/>
  <c r="O19" i="131"/>
  <c r="O20" i="131"/>
  <c r="O21" i="131"/>
  <c r="O22" i="131"/>
  <c r="O23" i="131"/>
  <c r="O24" i="131"/>
  <c r="O25" i="131"/>
  <c r="O26" i="131"/>
  <c r="O27" i="131"/>
  <c r="O28" i="131"/>
  <c r="O29" i="131"/>
  <c r="O30" i="131"/>
  <c r="O31" i="131"/>
  <c r="O32" i="131"/>
  <c r="O33" i="131"/>
  <c r="O34" i="131"/>
  <c r="O35" i="131"/>
  <c r="O36" i="131"/>
  <c r="O37" i="131"/>
  <c r="O38" i="131"/>
  <c r="O39" i="131"/>
  <c r="O40" i="131"/>
  <c r="O41" i="131"/>
  <c r="G24" i="130"/>
  <c r="E24" i="130"/>
  <c r="H24" i="130"/>
  <c r="O42" i="131"/>
  <c r="E25" i="130"/>
  <c r="B25" i="130"/>
  <c r="G25" i="130"/>
  <c r="H25" i="130"/>
  <c r="O43" i="131"/>
  <c r="G26" i="130"/>
  <c r="H26" i="130"/>
  <c r="O44" i="131"/>
  <c r="O45" i="131"/>
  <c r="O46" i="131"/>
  <c r="O47" i="131"/>
  <c r="O48" i="131"/>
  <c r="O49" i="131"/>
  <c r="O50" i="131"/>
  <c r="G19" i="130"/>
  <c r="H19" i="130"/>
  <c r="O51" i="131"/>
  <c r="E20" i="130"/>
  <c r="B20" i="130"/>
  <c r="G20" i="130"/>
  <c r="H20" i="130"/>
  <c r="O52" i="131"/>
  <c r="G21" i="130"/>
  <c r="H21" i="130"/>
  <c r="O53" i="131"/>
  <c r="O54" i="131"/>
  <c r="O55" i="131"/>
  <c r="O56" i="131"/>
  <c r="O57" i="131"/>
  <c r="O58" i="131"/>
  <c r="O59" i="131"/>
  <c r="O60" i="131"/>
  <c r="O61" i="131"/>
  <c r="O62" i="131"/>
  <c r="O63" i="131"/>
  <c r="O64" i="131"/>
  <c r="O65" i="131"/>
  <c r="O66" i="131"/>
  <c r="O67" i="131"/>
  <c r="O68" i="131"/>
  <c r="O69" i="131"/>
  <c r="O70" i="131"/>
  <c r="O71" i="131"/>
  <c r="O72" i="131"/>
  <c r="O73" i="131"/>
  <c r="O74" i="131"/>
  <c r="O75" i="131"/>
  <c r="O76" i="131"/>
  <c r="O77" i="131"/>
  <c r="O78" i="131"/>
  <c r="O79" i="131"/>
  <c r="O80" i="131"/>
  <c r="O81" i="131"/>
  <c r="O82" i="131"/>
  <c r="O83" i="131"/>
  <c r="O84" i="131"/>
  <c r="O85" i="131"/>
  <c r="O86" i="131"/>
  <c r="O87" i="131"/>
  <c r="O88" i="131"/>
  <c r="O89" i="131"/>
  <c r="O90" i="131"/>
  <c r="O91" i="131"/>
  <c r="O92" i="131"/>
  <c r="O93" i="131"/>
  <c r="O94" i="131"/>
  <c r="O95" i="131"/>
  <c r="O96" i="131"/>
  <c r="O97" i="131"/>
  <c r="O98" i="131"/>
  <c r="O99" i="131"/>
  <c r="O100" i="131"/>
  <c r="O101" i="131"/>
  <c r="O102" i="131"/>
  <c r="O103" i="131"/>
  <c r="O104" i="131"/>
  <c r="O105" i="131"/>
  <c r="O106" i="131"/>
  <c r="O107" i="131"/>
  <c r="O108" i="131"/>
  <c r="O109" i="131"/>
  <c r="O110" i="131"/>
  <c r="O111" i="131"/>
  <c r="O112" i="131"/>
  <c r="O113" i="131"/>
  <c r="O114" i="131"/>
  <c r="O115" i="131"/>
  <c r="O116" i="131"/>
  <c r="O117" i="131"/>
  <c r="O118" i="131"/>
  <c r="O119" i="131"/>
  <c r="O120" i="131"/>
  <c r="O121" i="131"/>
  <c r="O122" i="131"/>
  <c r="O123" i="131"/>
  <c r="O124" i="131"/>
  <c r="O125" i="131"/>
  <c r="O126" i="131"/>
  <c r="O127" i="131"/>
  <c r="O128" i="131"/>
  <c r="O129" i="131"/>
  <c r="O130" i="131"/>
  <c r="O131" i="131"/>
  <c r="O132" i="131"/>
  <c r="O133" i="131"/>
  <c r="O134" i="131"/>
  <c r="O135" i="131"/>
  <c r="O136" i="131"/>
  <c r="O137" i="131"/>
  <c r="E27" i="130"/>
  <c r="B27" i="130"/>
  <c r="G27" i="130"/>
  <c r="H27" i="130"/>
  <c r="O138" i="131"/>
  <c r="G28" i="130"/>
  <c r="H28" i="130"/>
  <c r="O139" i="131"/>
  <c r="O140" i="131"/>
  <c r="O141" i="131"/>
  <c r="O142" i="131"/>
  <c r="O143" i="131"/>
  <c r="O144" i="131"/>
  <c r="O145" i="131"/>
  <c r="O146" i="131"/>
  <c r="O147" i="131"/>
  <c r="O148" i="131"/>
  <c r="O149" i="131"/>
  <c r="O150" i="131"/>
  <c r="O151" i="131"/>
  <c r="O152" i="131"/>
  <c r="O153" i="131"/>
  <c r="O154" i="131"/>
  <c r="O155" i="131"/>
  <c r="O156" i="131"/>
  <c r="O157" i="131"/>
  <c r="O158" i="131"/>
  <c r="O159" i="131"/>
  <c r="O160" i="131"/>
  <c r="O161" i="131"/>
  <c r="O162" i="131"/>
  <c r="O163" i="131"/>
  <c r="O164" i="131"/>
  <c r="O165" i="131"/>
  <c r="O166" i="131"/>
  <c r="O167" i="131"/>
  <c r="O168" i="131"/>
  <c r="O169" i="131"/>
  <c r="O170" i="131"/>
  <c r="O171" i="131"/>
  <c r="O172" i="131"/>
  <c r="O173" i="131"/>
  <c r="O174" i="131"/>
  <c r="O175" i="131"/>
  <c r="O176" i="131"/>
  <c r="O177" i="131"/>
  <c r="O178" i="131"/>
  <c r="O179" i="131"/>
  <c r="O180" i="131"/>
  <c r="O181" i="131"/>
  <c r="O182" i="131"/>
  <c r="O183" i="131"/>
  <c r="O184" i="131"/>
  <c r="O185" i="131"/>
  <c r="O186" i="131"/>
  <c r="O187" i="131"/>
  <c r="O188" i="131"/>
  <c r="O189" i="131"/>
  <c r="O190" i="131"/>
  <c r="O191" i="131"/>
  <c r="O192" i="131"/>
  <c r="O193" i="131"/>
  <c r="O194" i="131"/>
  <c r="O195" i="131"/>
  <c r="O196" i="131"/>
  <c r="O197" i="131"/>
  <c r="O198" i="131"/>
  <c r="O199" i="131"/>
  <c r="O200" i="131"/>
  <c r="O201" i="131"/>
  <c r="O202" i="131"/>
  <c r="O203" i="131"/>
  <c r="O204" i="131"/>
  <c r="O205" i="131"/>
  <c r="O206" i="131"/>
  <c r="O207" i="131"/>
  <c r="O208" i="131"/>
  <c r="O209" i="131"/>
  <c r="O210" i="131"/>
  <c r="O211" i="131"/>
  <c r="O212" i="131"/>
  <c r="O213" i="131"/>
  <c r="O214" i="131"/>
  <c r="O215" i="131"/>
  <c r="O216" i="131"/>
  <c r="O217" i="131"/>
  <c r="O218" i="131"/>
  <c r="O219" i="131"/>
  <c r="O220" i="131"/>
  <c r="O221" i="131"/>
  <c r="O222" i="131"/>
  <c r="O223" i="131"/>
  <c r="O224" i="131"/>
  <c r="O225" i="131"/>
  <c r="O226" i="131"/>
  <c r="O227" i="131"/>
  <c r="O228" i="131"/>
  <c r="O229" i="131"/>
  <c r="O230" i="131"/>
  <c r="O231" i="131"/>
  <c r="O232" i="131"/>
  <c r="O233" i="131"/>
  <c r="O234" i="131"/>
  <c r="O235" i="131"/>
  <c r="O236" i="131"/>
  <c r="O237" i="131"/>
  <c r="O238" i="131"/>
  <c r="O239" i="131"/>
  <c r="O240" i="131"/>
  <c r="O241" i="131"/>
  <c r="O242" i="131"/>
  <c r="O243" i="131"/>
  <c r="O244" i="131"/>
  <c r="O245" i="131"/>
  <c r="O246" i="131"/>
  <c r="O247" i="131"/>
  <c r="O248" i="131"/>
  <c r="O249" i="131"/>
  <c r="O250" i="131"/>
  <c r="O251" i="131"/>
  <c r="O252" i="131"/>
  <c r="O253" i="131"/>
  <c r="O254" i="131"/>
  <c r="O255" i="131"/>
  <c r="E22" i="130"/>
  <c r="B22" i="130"/>
  <c r="G22" i="130"/>
  <c r="H22" i="130"/>
  <c r="O256" i="131"/>
  <c r="O257" i="131"/>
  <c r="O258" i="131"/>
  <c r="O259" i="131"/>
  <c r="G29" i="130"/>
  <c r="H29" i="130"/>
  <c r="O260" i="131"/>
  <c r="O261" i="131"/>
  <c r="O262" i="131"/>
  <c r="O263" i="131"/>
  <c r="O264" i="131"/>
  <c r="O265" i="131"/>
  <c r="O266" i="131"/>
  <c r="O267" i="131"/>
  <c r="O268" i="131"/>
  <c r="O269" i="131"/>
  <c r="O270" i="131"/>
  <c r="O271" i="131"/>
  <c r="O272" i="131"/>
  <c r="O273" i="131"/>
  <c r="O274" i="131"/>
  <c r="O275" i="131"/>
  <c r="O276" i="131"/>
  <c r="P277" i="131"/>
  <c r="N277" i="131"/>
  <c r="M277" i="131"/>
  <c r="L277" i="131"/>
  <c r="K277" i="131"/>
  <c r="H277" i="131"/>
  <c r="A277" i="131"/>
  <c r="P276" i="131"/>
  <c r="N276" i="131"/>
  <c r="M276" i="131"/>
  <c r="L276" i="131"/>
  <c r="K276" i="131"/>
  <c r="H276" i="131"/>
  <c r="A276" i="131"/>
  <c r="P275" i="131"/>
  <c r="N275" i="131"/>
  <c r="M275" i="131"/>
  <c r="L275" i="131"/>
  <c r="K275" i="131"/>
  <c r="H275" i="131"/>
  <c r="A275" i="131"/>
  <c r="P274" i="131"/>
  <c r="N274" i="131"/>
  <c r="M274" i="131"/>
  <c r="L274" i="131"/>
  <c r="K274" i="131"/>
  <c r="H274" i="131"/>
  <c r="A274" i="131"/>
  <c r="P273" i="131"/>
  <c r="N273" i="131"/>
  <c r="M273" i="131"/>
  <c r="L273" i="131"/>
  <c r="K273" i="131"/>
  <c r="H273" i="131"/>
  <c r="A273" i="131"/>
  <c r="P272" i="131"/>
  <c r="N272" i="131"/>
  <c r="M272" i="131"/>
  <c r="L272" i="131"/>
  <c r="K272" i="131"/>
  <c r="H272" i="131"/>
  <c r="A272" i="131"/>
  <c r="P271" i="131"/>
  <c r="N271" i="131"/>
  <c r="M271" i="131"/>
  <c r="L271" i="131"/>
  <c r="K271" i="131"/>
  <c r="H271" i="131"/>
  <c r="A271" i="131"/>
  <c r="P270" i="131"/>
  <c r="N270" i="131"/>
  <c r="M270" i="131"/>
  <c r="L270" i="131"/>
  <c r="K270" i="131"/>
  <c r="H270" i="131"/>
  <c r="A270" i="131"/>
  <c r="P269" i="131"/>
  <c r="N269" i="131"/>
  <c r="M269" i="131"/>
  <c r="L269" i="131"/>
  <c r="K269" i="131"/>
  <c r="H269" i="131"/>
  <c r="A269" i="131"/>
  <c r="P268" i="131"/>
  <c r="N268" i="131"/>
  <c r="M268" i="131"/>
  <c r="L268" i="131"/>
  <c r="K268" i="131"/>
  <c r="H268" i="131"/>
  <c r="A268" i="131"/>
  <c r="P267" i="131"/>
  <c r="N267" i="131"/>
  <c r="M267" i="131"/>
  <c r="L267" i="131"/>
  <c r="K267" i="131"/>
  <c r="H267" i="131"/>
  <c r="A267" i="131"/>
  <c r="P266" i="131"/>
  <c r="N266" i="131"/>
  <c r="M266" i="131"/>
  <c r="L266" i="131"/>
  <c r="K266" i="131"/>
  <c r="H266" i="131"/>
  <c r="A266" i="131"/>
  <c r="P265" i="131"/>
  <c r="N265" i="131"/>
  <c r="M265" i="131"/>
  <c r="L265" i="131"/>
  <c r="K265" i="131"/>
  <c r="H265" i="131"/>
  <c r="A265" i="131"/>
  <c r="P264" i="131"/>
  <c r="N264" i="131"/>
  <c r="M264" i="131"/>
  <c r="L264" i="131"/>
  <c r="K264" i="131"/>
  <c r="H264" i="131"/>
  <c r="A264" i="131"/>
  <c r="P263" i="131"/>
  <c r="N263" i="131"/>
  <c r="M263" i="131"/>
  <c r="L263" i="131"/>
  <c r="K263" i="131"/>
  <c r="H263" i="131"/>
  <c r="A263" i="131"/>
  <c r="P262" i="131"/>
  <c r="N262" i="131"/>
  <c r="M262" i="131"/>
  <c r="L262" i="131"/>
  <c r="K262" i="131"/>
  <c r="H262" i="131"/>
  <c r="A262" i="131"/>
  <c r="P261" i="131"/>
  <c r="N261" i="131"/>
  <c r="M261" i="131"/>
  <c r="L261" i="131"/>
  <c r="K261" i="131"/>
  <c r="H261" i="131"/>
  <c r="A261" i="131"/>
  <c r="P260" i="131"/>
  <c r="N260" i="131"/>
  <c r="M260" i="131"/>
  <c r="L260" i="131"/>
  <c r="K260" i="131"/>
  <c r="H260" i="131"/>
  <c r="A260" i="131"/>
  <c r="P259" i="131"/>
  <c r="N259" i="131"/>
  <c r="M259" i="131"/>
  <c r="L259" i="131"/>
  <c r="K259" i="131"/>
  <c r="H259" i="131"/>
  <c r="A259" i="131"/>
  <c r="P258" i="131"/>
  <c r="N258" i="131"/>
  <c r="M258" i="131"/>
  <c r="L258" i="131"/>
  <c r="K258" i="131"/>
  <c r="H258" i="131"/>
  <c r="A258" i="131"/>
  <c r="P257" i="131"/>
  <c r="N257" i="131"/>
  <c r="M257" i="131"/>
  <c r="L257" i="131"/>
  <c r="K257" i="131"/>
  <c r="H257" i="131"/>
  <c r="A257" i="131"/>
  <c r="P256" i="131"/>
  <c r="N256" i="131"/>
  <c r="M256" i="131"/>
  <c r="L256" i="131"/>
  <c r="K256" i="131"/>
  <c r="H256" i="131"/>
  <c r="A256" i="131"/>
  <c r="P255" i="131"/>
  <c r="N255" i="131"/>
  <c r="M255" i="131"/>
  <c r="L255" i="131"/>
  <c r="K255" i="131"/>
  <c r="H255" i="131"/>
  <c r="A255" i="131"/>
  <c r="P254" i="131"/>
  <c r="N254" i="131"/>
  <c r="M254" i="131"/>
  <c r="L254" i="131"/>
  <c r="K254" i="131"/>
  <c r="H254" i="131"/>
  <c r="A254" i="131"/>
  <c r="P253" i="131"/>
  <c r="N253" i="131"/>
  <c r="M253" i="131"/>
  <c r="L253" i="131"/>
  <c r="K253" i="131"/>
  <c r="H253" i="131"/>
  <c r="A253" i="131"/>
  <c r="P252" i="131"/>
  <c r="N252" i="131"/>
  <c r="M252" i="131"/>
  <c r="L252" i="131"/>
  <c r="K252" i="131"/>
  <c r="H252" i="131"/>
  <c r="A252" i="131"/>
  <c r="P251" i="131"/>
  <c r="N251" i="131"/>
  <c r="M251" i="131"/>
  <c r="L251" i="131"/>
  <c r="K251" i="131"/>
  <c r="H251" i="131"/>
  <c r="A251" i="131"/>
  <c r="P250" i="131"/>
  <c r="N250" i="131"/>
  <c r="M250" i="131"/>
  <c r="L250" i="131"/>
  <c r="K250" i="131"/>
  <c r="H250" i="131"/>
  <c r="A250" i="131"/>
  <c r="P249" i="131"/>
  <c r="N249" i="131"/>
  <c r="M249" i="131"/>
  <c r="L249" i="131"/>
  <c r="K249" i="131"/>
  <c r="H249" i="131"/>
  <c r="A249" i="131"/>
  <c r="P248" i="131"/>
  <c r="N248" i="131"/>
  <c r="M248" i="131"/>
  <c r="L248" i="131"/>
  <c r="K248" i="131"/>
  <c r="H248" i="131"/>
  <c r="A248" i="131"/>
  <c r="P247" i="131"/>
  <c r="N247" i="131"/>
  <c r="M247" i="131"/>
  <c r="L247" i="131"/>
  <c r="K247" i="131"/>
  <c r="H247" i="131"/>
  <c r="A247" i="131"/>
  <c r="P246" i="131"/>
  <c r="N246" i="131"/>
  <c r="M246" i="131"/>
  <c r="L246" i="131"/>
  <c r="K246" i="131"/>
  <c r="H246" i="131"/>
  <c r="A246" i="131"/>
  <c r="P245" i="131"/>
  <c r="N245" i="131"/>
  <c r="M245" i="131"/>
  <c r="L245" i="131"/>
  <c r="K245" i="131"/>
  <c r="H245" i="131"/>
  <c r="A245" i="131"/>
  <c r="P244" i="131"/>
  <c r="N244" i="131"/>
  <c r="M244" i="131"/>
  <c r="L244" i="131"/>
  <c r="K244" i="131"/>
  <c r="H244" i="131"/>
  <c r="A244" i="131"/>
  <c r="P243" i="131"/>
  <c r="N243" i="131"/>
  <c r="M243" i="131"/>
  <c r="L243" i="131"/>
  <c r="K243" i="131"/>
  <c r="H243" i="131"/>
  <c r="A243" i="131"/>
  <c r="P242" i="131"/>
  <c r="N242" i="131"/>
  <c r="M242" i="131"/>
  <c r="L242" i="131"/>
  <c r="K242" i="131"/>
  <c r="H242" i="131"/>
  <c r="A242" i="131"/>
  <c r="P241" i="131"/>
  <c r="N241" i="131"/>
  <c r="M241" i="131"/>
  <c r="L241" i="131"/>
  <c r="K241" i="131"/>
  <c r="H241" i="131"/>
  <c r="A241" i="131"/>
  <c r="P240" i="131"/>
  <c r="N240" i="131"/>
  <c r="M240" i="131"/>
  <c r="L240" i="131"/>
  <c r="K240" i="131"/>
  <c r="H240" i="131"/>
  <c r="A240" i="131"/>
  <c r="P239" i="131"/>
  <c r="N239" i="131"/>
  <c r="M239" i="131"/>
  <c r="L239" i="131"/>
  <c r="K239" i="131"/>
  <c r="H239" i="131"/>
  <c r="A239" i="131"/>
  <c r="P238" i="131"/>
  <c r="N238" i="131"/>
  <c r="M238" i="131"/>
  <c r="L238" i="131"/>
  <c r="K238" i="131"/>
  <c r="H238" i="131"/>
  <c r="A238" i="131"/>
  <c r="P237" i="131"/>
  <c r="N237" i="131"/>
  <c r="M237" i="131"/>
  <c r="L237" i="131"/>
  <c r="K237" i="131"/>
  <c r="H237" i="131"/>
  <c r="A237" i="131"/>
  <c r="P236" i="131"/>
  <c r="N236" i="131"/>
  <c r="M236" i="131"/>
  <c r="L236" i="131"/>
  <c r="K236" i="131"/>
  <c r="H236" i="131"/>
  <c r="A236" i="131"/>
  <c r="P235" i="131"/>
  <c r="N235" i="131"/>
  <c r="M235" i="131"/>
  <c r="L235" i="131"/>
  <c r="K235" i="131"/>
  <c r="H235" i="131"/>
  <c r="A235" i="131"/>
  <c r="P234" i="131"/>
  <c r="N234" i="131"/>
  <c r="M234" i="131"/>
  <c r="L234" i="131"/>
  <c r="K234" i="131"/>
  <c r="H234" i="131"/>
  <c r="A234" i="131"/>
  <c r="P233" i="131"/>
  <c r="N233" i="131"/>
  <c r="M233" i="131"/>
  <c r="L233" i="131"/>
  <c r="K233" i="131"/>
  <c r="H233" i="131"/>
  <c r="A233" i="131"/>
  <c r="P232" i="131"/>
  <c r="N232" i="131"/>
  <c r="M232" i="131"/>
  <c r="L232" i="131"/>
  <c r="K232" i="131"/>
  <c r="H232" i="131"/>
  <c r="A232" i="131"/>
  <c r="P231" i="131"/>
  <c r="N231" i="131"/>
  <c r="M231" i="131"/>
  <c r="L231" i="131"/>
  <c r="K231" i="131"/>
  <c r="H231" i="131"/>
  <c r="A231" i="131"/>
  <c r="P230" i="131"/>
  <c r="N230" i="131"/>
  <c r="M230" i="131"/>
  <c r="L230" i="131"/>
  <c r="K230" i="131"/>
  <c r="H230" i="131"/>
  <c r="A230" i="131"/>
  <c r="P229" i="131"/>
  <c r="N229" i="131"/>
  <c r="M229" i="131"/>
  <c r="L229" i="131"/>
  <c r="K229" i="131"/>
  <c r="H229" i="131"/>
  <c r="A229" i="131"/>
  <c r="P228" i="131"/>
  <c r="N228" i="131"/>
  <c r="M228" i="131"/>
  <c r="L228" i="131"/>
  <c r="K228" i="131"/>
  <c r="H228" i="131"/>
  <c r="A228" i="131"/>
  <c r="P227" i="131"/>
  <c r="N227" i="131"/>
  <c r="M227" i="131"/>
  <c r="L227" i="131"/>
  <c r="K227" i="131"/>
  <c r="H227" i="131"/>
  <c r="A227" i="131"/>
  <c r="P226" i="131"/>
  <c r="N226" i="131"/>
  <c r="M226" i="131"/>
  <c r="L226" i="131"/>
  <c r="K226" i="131"/>
  <c r="H226" i="131"/>
  <c r="A226" i="131"/>
  <c r="P225" i="131"/>
  <c r="N225" i="131"/>
  <c r="M225" i="131"/>
  <c r="L225" i="131"/>
  <c r="K225" i="131"/>
  <c r="H225" i="131"/>
  <c r="A225" i="131"/>
  <c r="P224" i="131"/>
  <c r="N224" i="131"/>
  <c r="M224" i="131"/>
  <c r="L224" i="131"/>
  <c r="K224" i="131"/>
  <c r="H224" i="131"/>
  <c r="A224" i="131"/>
  <c r="P223" i="131"/>
  <c r="N223" i="131"/>
  <c r="M223" i="131"/>
  <c r="L223" i="131"/>
  <c r="K223" i="131"/>
  <c r="H223" i="131"/>
  <c r="A223" i="131"/>
  <c r="P222" i="131"/>
  <c r="N222" i="131"/>
  <c r="M222" i="131"/>
  <c r="L222" i="131"/>
  <c r="K222" i="131"/>
  <c r="H222" i="131"/>
  <c r="A222" i="131"/>
  <c r="P221" i="131"/>
  <c r="N221" i="131"/>
  <c r="M221" i="131"/>
  <c r="L221" i="131"/>
  <c r="K221" i="131"/>
  <c r="H221" i="131"/>
  <c r="A221" i="131"/>
  <c r="P220" i="131"/>
  <c r="N220" i="131"/>
  <c r="M220" i="131"/>
  <c r="L220" i="131"/>
  <c r="K220" i="131"/>
  <c r="H220" i="131"/>
  <c r="A220" i="131"/>
  <c r="P219" i="131"/>
  <c r="N219" i="131"/>
  <c r="M219" i="131"/>
  <c r="L219" i="131"/>
  <c r="K219" i="131"/>
  <c r="H219" i="131"/>
  <c r="A219" i="131"/>
  <c r="P218" i="131"/>
  <c r="N218" i="131"/>
  <c r="M218" i="131"/>
  <c r="L218" i="131"/>
  <c r="K218" i="131"/>
  <c r="H218" i="131"/>
  <c r="A218" i="131"/>
  <c r="P217" i="131"/>
  <c r="N217" i="131"/>
  <c r="M217" i="131"/>
  <c r="L217" i="131"/>
  <c r="K217" i="131"/>
  <c r="H217" i="131"/>
  <c r="A217" i="131"/>
  <c r="P216" i="131"/>
  <c r="N216" i="131"/>
  <c r="M216" i="131"/>
  <c r="L216" i="131"/>
  <c r="K216" i="131"/>
  <c r="H216" i="131"/>
  <c r="A216" i="131"/>
  <c r="P215" i="131"/>
  <c r="N215" i="131"/>
  <c r="M215" i="131"/>
  <c r="L215" i="131"/>
  <c r="K215" i="131"/>
  <c r="H215" i="131"/>
  <c r="A215" i="131"/>
  <c r="P214" i="131"/>
  <c r="N214" i="131"/>
  <c r="M214" i="131"/>
  <c r="L214" i="131"/>
  <c r="K214" i="131"/>
  <c r="H214" i="131"/>
  <c r="A214" i="131"/>
  <c r="P213" i="131"/>
  <c r="N213" i="131"/>
  <c r="M213" i="131"/>
  <c r="L213" i="131"/>
  <c r="K213" i="131"/>
  <c r="H213" i="131"/>
  <c r="A213" i="131"/>
  <c r="P212" i="131"/>
  <c r="N212" i="131"/>
  <c r="M212" i="131"/>
  <c r="L212" i="131"/>
  <c r="K212" i="131"/>
  <c r="H212" i="131"/>
  <c r="A212" i="131"/>
  <c r="P211" i="131"/>
  <c r="N211" i="131"/>
  <c r="M211" i="131"/>
  <c r="L211" i="131"/>
  <c r="K211" i="131"/>
  <c r="H211" i="131"/>
  <c r="A211" i="131"/>
  <c r="P210" i="131"/>
  <c r="N210" i="131"/>
  <c r="M210" i="131"/>
  <c r="L210" i="131"/>
  <c r="K210" i="131"/>
  <c r="H210" i="131"/>
  <c r="A210" i="131"/>
  <c r="P209" i="131"/>
  <c r="N209" i="131"/>
  <c r="M209" i="131"/>
  <c r="L209" i="131"/>
  <c r="K209" i="131"/>
  <c r="H209" i="131"/>
  <c r="A209" i="131"/>
  <c r="P208" i="131"/>
  <c r="N208" i="131"/>
  <c r="M208" i="131"/>
  <c r="L208" i="131"/>
  <c r="K208" i="131"/>
  <c r="H208" i="131"/>
  <c r="A208" i="131"/>
  <c r="P207" i="131"/>
  <c r="N207" i="131"/>
  <c r="M207" i="131"/>
  <c r="L207" i="131"/>
  <c r="K207" i="131"/>
  <c r="H207" i="131"/>
  <c r="A207" i="131"/>
  <c r="P206" i="131"/>
  <c r="N206" i="131"/>
  <c r="M206" i="131"/>
  <c r="L206" i="131"/>
  <c r="K206" i="131"/>
  <c r="H206" i="131"/>
  <c r="A206" i="131"/>
  <c r="P205" i="131"/>
  <c r="N205" i="131"/>
  <c r="M205" i="131"/>
  <c r="L205" i="131"/>
  <c r="K205" i="131"/>
  <c r="H205" i="131"/>
  <c r="A205" i="131"/>
  <c r="P204" i="131"/>
  <c r="N204" i="131"/>
  <c r="M204" i="131"/>
  <c r="L204" i="131"/>
  <c r="K204" i="131"/>
  <c r="H204" i="131"/>
  <c r="A204" i="131"/>
  <c r="P203" i="131"/>
  <c r="N203" i="131"/>
  <c r="M203" i="131"/>
  <c r="L203" i="131"/>
  <c r="K203" i="131"/>
  <c r="H203" i="131"/>
  <c r="A203" i="131"/>
  <c r="P202" i="131"/>
  <c r="N202" i="131"/>
  <c r="M202" i="131"/>
  <c r="L202" i="131"/>
  <c r="K202" i="131"/>
  <c r="H202" i="131"/>
  <c r="A202" i="131"/>
  <c r="P201" i="131"/>
  <c r="N201" i="131"/>
  <c r="M201" i="131"/>
  <c r="L201" i="131"/>
  <c r="K201" i="131"/>
  <c r="H201" i="131"/>
  <c r="A201" i="131"/>
  <c r="P200" i="131"/>
  <c r="N200" i="131"/>
  <c r="M200" i="131"/>
  <c r="L200" i="131"/>
  <c r="K200" i="131"/>
  <c r="H200" i="131"/>
  <c r="A200" i="131"/>
  <c r="P199" i="131"/>
  <c r="N199" i="131"/>
  <c r="M199" i="131"/>
  <c r="L199" i="131"/>
  <c r="K199" i="131"/>
  <c r="H199" i="131"/>
  <c r="A199" i="131"/>
  <c r="P198" i="131"/>
  <c r="N198" i="131"/>
  <c r="M198" i="131"/>
  <c r="L198" i="131"/>
  <c r="K198" i="131"/>
  <c r="H198" i="131"/>
  <c r="A198" i="131"/>
  <c r="P197" i="131"/>
  <c r="N197" i="131"/>
  <c r="M197" i="131"/>
  <c r="L197" i="131"/>
  <c r="K197" i="131"/>
  <c r="H197" i="131"/>
  <c r="A197" i="131"/>
  <c r="P196" i="131"/>
  <c r="N196" i="131"/>
  <c r="M196" i="131"/>
  <c r="L196" i="131"/>
  <c r="K196" i="131"/>
  <c r="H196" i="131"/>
  <c r="A196" i="131"/>
  <c r="P195" i="131"/>
  <c r="N195" i="131"/>
  <c r="M195" i="131"/>
  <c r="L195" i="131"/>
  <c r="K195" i="131"/>
  <c r="H195" i="131"/>
  <c r="A195" i="131"/>
  <c r="P194" i="131"/>
  <c r="N194" i="131"/>
  <c r="M194" i="131"/>
  <c r="L194" i="131"/>
  <c r="K194" i="131"/>
  <c r="H194" i="131"/>
  <c r="A194" i="131"/>
  <c r="P193" i="131"/>
  <c r="N193" i="131"/>
  <c r="M193" i="131"/>
  <c r="L193" i="131"/>
  <c r="K193" i="131"/>
  <c r="H193" i="131"/>
  <c r="A193" i="131"/>
  <c r="P192" i="131"/>
  <c r="N192" i="131"/>
  <c r="M192" i="131"/>
  <c r="L192" i="131"/>
  <c r="K192" i="131"/>
  <c r="H192" i="131"/>
  <c r="A192" i="131"/>
  <c r="P191" i="131"/>
  <c r="N191" i="131"/>
  <c r="M191" i="131"/>
  <c r="L191" i="131"/>
  <c r="K191" i="131"/>
  <c r="H191" i="131"/>
  <c r="A191" i="131"/>
  <c r="P190" i="131"/>
  <c r="N190" i="131"/>
  <c r="M190" i="131"/>
  <c r="L190" i="131"/>
  <c r="K190" i="131"/>
  <c r="H190" i="131"/>
  <c r="A190" i="131"/>
  <c r="P189" i="131"/>
  <c r="N189" i="131"/>
  <c r="M189" i="131"/>
  <c r="L189" i="131"/>
  <c r="K189" i="131"/>
  <c r="H189" i="131"/>
  <c r="A189" i="131"/>
  <c r="P188" i="131"/>
  <c r="N188" i="131"/>
  <c r="M188" i="131"/>
  <c r="L188" i="131"/>
  <c r="K188" i="131"/>
  <c r="H188" i="131"/>
  <c r="A188" i="131"/>
  <c r="P187" i="131"/>
  <c r="N187" i="131"/>
  <c r="M187" i="131"/>
  <c r="L187" i="131"/>
  <c r="K187" i="131"/>
  <c r="H187" i="131"/>
  <c r="A187" i="131"/>
  <c r="P186" i="131"/>
  <c r="N186" i="131"/>
  <c r="M186" i="131"/>
  <c r="L186" i="131"/>
  <c r="K186" i="131"/>
  <c r="H186" i="131"/>
  <c r="A186" i="131"/>
  <c r="P185" i="131"/>
  <c r="N185" i="131"/>
  <c r="M185" i="131"/>
  <c r="L185" i="131"/>
  <c r="K185" i="131"/>
  <c r="H185" i="131"/>
  <c r="A185" i="131"/>
  <c r="P184" i="131"/>
  <c r="N184" i="131"/>
  <c r="M184" i="131"/>
  <c r="L184" i="131"/>
  <c r="K184" i="131"/>
  <c r="H184" i="131"/>
  <c r="A184" i="131"/>
  <c r="P183" i="131"/>
  <c r="N183" i="131"/>
  <c r="M183" i="131"/>
  <c r="L183" i="131"/>
  <c r="K183" i="131"/>
  <c r="H183" i="131"/>
  <c r="A183" i="131"/>
  <c r="P182" i="131"/>
  <c r="N182" i="131"/>
  <c r="M182" i="131"/>
  <c r="L182" i="131"/>
  <c r="K182" i="131"/>
  <c r="H182" i="131"/>
  <c r="A182" i="131"/>
  <c r="P181" i="131"/>
  <c r="N181" i="131"/>
  <c r="M181" i="131"/>
  <c r="L181" i="131"/>
  <c r="K181" i="131"/>
  <c r="H181" i="131"/>
  <c r="A181" i="131"/>
  <c r="P180" i="131"/>
  <c r="N180" i="131"/>
  <c r="M180" i="131"/>
  <c r="L180" i="131"/>
  <c r="K180" i="131"/>
  <c r="H180" i="131"/>
  <c r="A180" i="131"/>
  <c r="P179" i="131"/>
  <c r="N179" i="131"/>
  <c r="M179" i="131"/>
  <c r="L179" i="131"/>
  <c r="K179" i="131"/>
  <c r="H179" i="131"/>
  <c r="A179" i="131"/>
  <c r="P178" i="131"/>
  <c r="N178" i="131"/>
  <c r="M178" i="131"/>
  <c r="L178" i="131"/>
  <c r="K178" i="131"/>
  <c r="H178" i="131"/>
  <c r="A178" i="131"/>
  <c r="P177" i="131"/>
  <c r="N177" i="131"/>
  <c r="M177" i="131"/>
  <c r="L177" i="131"/>
  <c r="K177" i="131"/>
  <c r="H177" i="131"/>
  <c r="A177" i="131"/>
  <c r="P176" i="131"/>
  <c r="N176" i="131"/>
  <c r="M176" i="131"/>
  <c r="L176" i="131"/>
  <c r="K176" i="131"/>
  <c r="H176" i="131"/>
  <c r="A176" i="131"/>
  <c r="P175" i="131"/>
  <c r="N175" i="131"/>
  <c r="M175" i="131"/>
  <c r="L175" i="131"/>
  <c r="K175" i="131"/>
  <c r="H175" i="131"/>
  <c r="A175" i="131"/>
  <c r="P174" i="131"/>
  <c r="N174" i="131"/>
  <c r="M174" i="131"/>
  <c r="L174" i="131"/>
  <c r="K174" i="131"/>
  <c r="H174" i="131"/>
  <c r="A174" i="131"/>
  <c r="P173" i="131"/>
  <c r="N173" i="131"/>
  <c r="M173" i="131"/>
  <c r="L173" i="131"/>
  <c r="K173" i="131"/>
  <c r="H173" i="131"/>
  <c r="A173" i="131"/>
  <c r="P172" i="131"/>
  <c r="N172" i="131"/>
  <c r="M172" i="131"/>
  <c r="L172" i="131"/>
  <c r="K172" i="131"/>
  <c r="H172" i="131"/>
  <c r="A172" i="131"/>
  <c r="P171" i="131"/>
  <c r="N171" i="131"/>
  <c r="M171" i="131"/>
  <c r="L171" i="131"/>
  <c r="K171" i="131"/>
  <c r="H171" i="131"/>
  <c r="A171" i="131"/>
  <c r="P170" i="131"/>
  <c r="N170" i="131"/>
  <c r="M170" i="131"/>
  <c r="L170" i="131"/>
  <c r="K170" i="131"/>
  <c r="H170" i="131"/>
  <c r="A170" i="131"/>
  <c r="P169" i="131"/>
  <c r="N169" i="131"/>
  <c r="M169" i="131"/>
  <c r="L169" i="131"/>
  <c r="K169" i="131"/>
  <c r="H169" i="131"/>
  <c r="A169" i="131"/>
  <c r="P168" i="131"/>
  <c r="N168" i="131"/>
  <c r="M168" i="131"/>
  <c r="L168" i="131"/>
  <c r="K168" i="131"/>
  <c r="H168" i="131"/>
  <c r="A168" i="131"/>
  <c r="P167" i="131"/>
  <c r="N167" i="131"/>
  <c r="M167" i="131"/>
  <c r="L167" i="131"/>
  <c r="K167" i="131"/>
  <c r="H167" i="131"/>
  <c r="A167" i="131"/>
  <c r="P166" i="131"/>
  <c r="N166" i="131"/>
  <c r="M166" i="131"/>
  <c r="L166" i="131"/>
  <c r="K166" i="131"/>
  <c r="H166" i="131"/>
  <c r="A166" i="131"/>
  <c r="P165" i="131"/>
  <c r="N165" i="131"/>
  <c r="M165" i="131"/>
  <c r="L165" i="131"/>
  <c r="K165" i="131"/>
  <c r="H165" i="131"/>
  <c r="A165" i="131"/>
  <c r="P164" i="131"/>
  <c r="N164" i="131"/>
  <c r="M164" i="131"/>
  <c r="L164" i="131"/>
  <c r="K164" i="131"/>
  <c r="H164" i="131"/>
  <c r="A164" i="131"/>
  <c r="P163" i="131"/>
  <c r="N163" i="131"/>
  <c r="M163" i="131"/>
  <c r="L163" i="131"/>
  <c r="K163" i="131"/>
  <c r="H163" i="131"/>
  <c r="A163" i="131"/>
  <c r="P162" i="131"/>
  <c r="N162" i="131"/>
  <c r="M162" i="131"/>
  <c r="L162" i="131"/>
  <c r="K162" i="131"/>
  <c r="H162" i="131"/>
  <c r="A162" i="131"/>
  <c r="P161" i="131"/>
  <c r="N161" i="131"/>
  <c r="M161" i="131"/>
  <c r="L161" i="131"/>
  <c r="K161" i="131"/>
  <c r="H161" i="131"/>
  <c r="A161" i="131"/>
  <c r="P160" i="131"/>
  <c r="N160" i="131"/>
  <c r="M160" i="131"/>
  <c r="L160" i="131"/>
  <c r="K160" i="131"/>
  <c r="H160" i="131"/>
  <c r="A160" i="131"/>
  <c r="P159" i="131"/>
  <c r="N159" i="131"/>
  <c r="M159" i="131"/>
  <c r="L159" i="131"/>
  <c r="K159" i="131"/>
  <c r="H159" i="131"/>
  <c r="A159" i="131"/>
  <c r="P158" i="131"/>
  <c r="N158" i="131"/>
  <c r="M158" i="131"/>
  <c r="L158" i="131"/>
  <c r="K158" i="131"/>
  <c r="H158" i="131"/>
  <c r="A158" i="131"/>
  <c r="P157" i="131"/>
  <c r="N157" i="131"/>
  <c r="M157" i="131"/>
  <c r="L157" i="131"/>
  <c r="K157" i="131"/>
  <c r="H157" i="131"/>
  <c r="A157" i="131"/>
  <c r="P156" i="131"/>
  <c r="N156" i="131"/>
  <c r="M156" i="131"/>
  <c r="L156" i="131"/>
  <c r="K156" i="131"/>
  <c r="H156" i="131"/>
  <c r="A156" i="131"/>
  <c r="P155" i="131"/>
  <c r="N155" i="131"/>
  <c r="M155" i="131"/>
  <c r="L155" i="131"/>
  <c r="K155" i="131"/>
  <c r="H155" i="131"/>
  <c r="A155" i="131"/>
  <c r="P154" i="131"/>
  <c r="N154" i="131"/>
  <c r="M154" i="131"/>
  <c r="L154" i="131"/>
  <c r="K154" i="131"/>
  <c r="H154" i="131"/>
  <c r="A154" i="131"/>
  <c r="P153" i="131"/>
  <c r="N153" i="131"/>
  <c r="M153" i="131"/>
  <c r="L153" i="131"/>
  <c r="K153" i="131"/>
  <c r="H153" i="131"/>
  <c r="A153" i="131"/>
  <c r="P152" i="131"/>
  <c r="N152" i="131"/>
  <c r="M152" i="131"/>
  <c r="L152" i="131"/>
  <c r="K152" i="131"/>
  <c r="H152" i="131"/>
  <c r="A152" i="131"/>
  <c r="P151" i="131"/>
  <c r="N151" i="131"/>
  <c r="M151" i="131"/>
  <c r="L151" i="131"/>
  <c r="K151" i="131"/>
  <c r="H151" i="131"/>
  <c r="A151" i="131"/>
  <c r="P150" i="131"/>
  <c r="N150" i="131"/>
  <c r="M150" i="131"/>
  <c r="L150" i="131"/>
  <c r="K150" i="131"/>
  <c r="H150" i="131"/>
  <c r="A150" i="131"/>
  <c r="P149" i="131"/>
  <c r="N149" i="131"/>
  <c r="M149" i="131"/>
  <c r="L149" i="131"/>
  <c r="K149" i="131"/>
  <c r="H149" i="131"/>
  <c r="A149" i="131"/>
  <c r="P148" i="131"/>
  <c r="N148" i="131"/>
  <c r="M148" i="131"/>
  <c r="L148" i="131"/>
  <c r="K148" i="131"/>
  <c r="H148" i="131"/>
  <c r="A148" i="131"/>
  <c r="P147" i="131"/>
  <c r="N147" i="131"/>
  <c r="M147" i="131"/>
  <c r="L147" i="131"/>
  <c r="K147" i="131"/>
  <c r="H147" i="131"/>
  <c r="A147" i="131"/>
  <c r="P146" i="131"/>
  <c r="N146" i="131"/>
  <c r="M146" i="131"/>
  <c r="L146" i="131"/>
  <c r="K146" i="131"/>
  <c r="H146" i="131"/>
  <c r="A146" i="131"/>
  <c r="P145" i="131"/>
  <c r="N145" i="131"/>
  <c r="M145" i="131"/>
  <c r="L145" i="131"/>
  <c r="K145" i="131"/>
  <c r="H145" i="131"/>
  <c r="A145" i="131"/>
  <c r="P144" i="131"/>
  <c r="N144" i="131"/>
  <c r="M144" i="131"/>
  <c r="L144" i="131"/>
  <c r="K144" i="131"/>
  <c r="H144" i="131"/>
  <c r="A144" i="131"/>
  <c r="P143" i="131"/>
  <c r="N143" i="131"/>
  <c r="M143" i="131"/>
  <c r="L143" i="131"/>
  <c r="K143" i="131"/>
  <c r="H143" i="131"/>
  <c r="A143" i="131"/>
  <c r="P142" i="131"/>
  <c r="N142" i="131"/>
  <c r="M142" i="131"/>
  <c r="L142" i="131"/>
  <c r="K142" i="131"/>
  <c r="H142" i="131"/>
  <c r="A142" i="131"/>
  <c r="P141" i="131"/>
  <c r="N141" i="131"/>
  <c r="M141" i="131"/>
  <c r="L141" i="131"/>
  <c r="K141" i="131"/>
  <c r="H141" i="131"/>
  <c r="A141" i="131"/>
  <c r="P140" i="131"/>
  <c r="N140" i="131"/>
  <c r="M140" i="131"/>
  <c r="L140" i="131"/>
  <c r="K140" i="131"/>
  <c r="H140" i="131"/>
  <c r="A140" i="131"/>
  <c r="P139" i="131"/>
  <c r="N139" i="131"/>
  <c r="M139" i="131"/>
  <c r="L139" i="131"/>
  <c r="K139" i="131"/>
  <c r="H139" i="131"/>
  <c r="A139" i="131"/>
  <c r="P138" i="131"/>
  <c r="N138" i="131"/>
  <c r="M138" i="131"/>
  <c r="L138" i="131"/>
  <c r="K138" i="131"/>
  <c r="H138" i="131"/>
  <c r="A138" i="131"/>
  <c r="P137" i="131"/>
  <c r="N137" i="131"/>
  <c r="M137" i="131"/>
  <c r="L137" i="131"/>
  <c r="K137" i="131"/>
  <c r="H137" i="131"/>
  <c r="A137" i="131"/>
  <c r="P136" i="131"/>
  <c r="N136" i="131"/>
  <c r="M136" i="131"/>
  <c r="L136" i="131"/>
  <c r="K136" i="131"/>
  <c r="H136" i="131"/>
  <c r="A136" i="131"/>
  <c r="P135" i="131"/>
  <c r="N135" i="131"/>
  <c r="M135" i="131"/>
  <c r="L135" i="131"/>
  <c r="K135" i="131"/>
  <c r="H135" i="131"/>
  <c r="A135" i="131"/>
  <c r="P134" i="131"/>
  <c r="N134" i="131"/>
  <c r="M134" i="131"/>
  <c r="L134" i="131"/>
  <c r="K134" i="131"/>
  <c r="H134" i="131"/>
  <c r="A134" i="131"/>
  <c r="P133" i="131"/>
  <c r="N133" i="131"/>
  <c r="M133" i="131"/>
  <c r="L133" i="131"/>
  <c r="K133" i="131"/>
  <c r="H133" i="131"/>
  <c r="A133" i="131"/>
  <c r="P132" i="131"/>
  <c r="N132" i="131"/>
  <c r="M132" i="131"/>
  <c r="L132" i="131"/>
  <c r="K132" i="131"/>
  <c r="H132" i="131"/>
  <c r="A132" i="131"/>
  <c r="P131" i="131"/>
  <c r="N131" i="131"/>
  <c r="M131" i="131"/>
  <c r="L131" i="131"/>
  <c r="K131" i="131"/>
  <c r="H131" i="131"/>
  <c r="A131" i="131"/>
  <c r="P130" i="131"/>
  <c r="N130" i="131"/>
  <c r="M130" i="131"/>
  <c r="L130" i="131"/>
  <c r="K130" i="131"/>
  <c r="H130" i="131"/>
  <c r="A130" i="131"/>
  <c r="P129" i="131"/>
  <c r="N129" i="131"/>
  <c r="M129" i="131"/>
  <c r="L129" i="131"/>
  <c r="K129" i="131"/>
  <c r="H129" i="131"/>
  <c r="A129" i="131"/>
  <c r="P128" i="131"/>
  <c r="N128" i="131"/>
  <c r="M128" i="131"/>
  <c r="L128" i="131"/>
  <c r="K128" i="131"/>
  <c r="H128" i="131"/>
  <c r="A128" i="131"/>
  <c r="P127" i="131"/>
  <c r="N127" i="131"/>
  <c r="M127" i="131"/>
  <c r="L127" i="131"/>
  <c r="K127" i="131"/>
  <c r="H127" i="131"/>
  <c r="A127" i="131"/>
  <c r="P126" i="131"/>
  <c r="N126" i="131"/>
  <c r="M126" i="131"/>
  <c r="L126" i="131"/>
  <c r="K126" i="131"/>
  <c r="H126" i="131"/>
  <c r="A126" i="131"/>
  <c r="P125" i="131"/>
  <c r="N125" i="131"/>
  <c r="M125" i="131"/>
  <c r="L125" i="131"/>
  <c r="K125" i="131"/>
  <c r="H125" i="131"/>
  <c r="A125" i="131"/>
  <c r="P124" i="131"/>
  <c r="N124" i="131"/>
  <c r="M124" i="131"/>
  <c r="L124" i="131"/>
  <c r="K124" i="131"/>
  <c r="H124" i="131"/>
  <c r="A124" i="131"/>
  <c r="P123" i="131"/>
  <c r="N123" i="131"/>
  <c r="M123" i="131"/>
  <c r="L123" i="131"/>
  <c r="K123" i="131"/>
  <c r="H123" i="131"/>
  <c r="A123" i="131"/>
  <c r="P122" i="131"/>
  <c r="N122" i="131"/>
  <c r="M122" i="131"/>
  <c r="L122" i="131"/>
  <c r="K122" i="131"/>
  <c r="H122" i="131"/>
  <c r="A122" i="131"/>
  <c r="P121" i="131"/>
  <c r="N121" i="131"/>
  <c r="M121" i="131"/>
  <c r="L121" i="131"/>
  <c r="K121" i="131"/>
  <c r="H121" i="131"/>
  <c r="A121" i="131"/>
  <c r="P120" i="131"/>
  <c r="N120" i="131"/>
  <c r="M120" i="131"/>
  <c r="L120" i="131"/>
  <c r="K120" i="131"/>
  <c r="H120" i="131"/>
  <c r="A120" i="131"/>
  <c r="P119" i="131"/>
  <c r="N119" i="131"/>
  <c r="M119" i="131"/>
  <c r="L119" i="131"/>
  <c r="K119" i="131"/>
  <c r="H119" i="131"/>
  <c r="A119" i="131"/>
  <c r="P118" i="131"/>
  <c r="N118" i="131"/>
  <c r="M118" i="131"/>
  <c r="L118" i="131"/>
  <c r="K118" i="131"/>
  <c r="H118" i="131"/>
  <c r="A118" i="131"/>
  <c r="P117" i="131"/>
  <c r="N117" i="131"/>
  <c r="M117" i="131"/>
  <c r="L117" i="131"/>
  <c r="K117" i="131"/>
  <c r="H117" i="131"/>
  <c r="A117" i="131"/>
  <c r="P116" i="131"/>
  <c r="N116" i="131"/>
  <c r="M116" i="131"/>
  <c r="L116" i="131"/>
  <c r="K116" i="131"/>
  <c r="H116" i="131"/>
  <c r="A116" i="131"/>
  <c r="P115" i="131"/>
  <c r="N115" i="131"/>
  <c r="M115" i="131"/>
  <c r="L115" i="131"/>
  <c r="K115" i="131"/>
  <c r="H115" i="131"/>
  <c r="A115" i="131"/>
  <c r="P114" i="131"/>
  <c r="N114" i="131"/>
  <c r="M114" i="131"/>
  <c r="L114" i="131"/>
  <c r="K114" i="131"/>
  <c r="H114" i="131"/>
  <c r="A114" i="131"/>
  <c r="P113" i="131"/>
  <c r="N113" i="131"/>
  <c r="M113" i="131"/>
  <c r="L113" i="131"/>
  <c r="K113" i="131"/>
  <c r="H113" i="131"/>
  <c r="A113" i="131"/>
  <c r="P112" i="131"/>
  <c r="N112" i="131"/>
  <c r="M112" i="131"/>
  <c r="L112" i="131"/>
  <c r="K112" i="131"/>
  <c r="H112" i="131"/>
  <c r="A112" i="131"/>
  <c r="P111" i="131"/>
  <c r="N111" i="131"/>
  <c r="M111" i="131"/>
  <c r="L111" i="131"/>
  <c r="K111" i="131"/>
  <c r="H111" i="131"/>
  <c r="A111" i="131"/>
  <c r="P110" i="131"/>
  <c r="N110" i="131"/>
  <c r="M110" i="131"/>
  <c r="L110" i="131"/>
  <c r="K110" i="131"/>
  <c r="H110" i="131"/>
  <c r="A110" i="131"/>
  <c r="P109" i="131"/>
  <c r="N109" i="131"/>
  <c r="M109" i="131"/>
  <c r="L109" i="131"/>
  <c r="K109" i="131"/>
  <c r="H109" i="131"/>
  <c r="A109" i="131"/>
  <c r="P108" i="131"/>
  <c r="N108" i="131"/>
  <c r="M108" i="131"/>
  <c r="L108" i="131"/>
  <c r="K108" i="131"/>
  <c r="H108" i="131"/>
  <c r="A108" i="131"/>
  <c r="P107" i="131"/>
  <c r="N107" i="131"/>
  <c r="M107" i="131"/>
  <c r="L107" i="131"/>
  <c r="K107" i="131"/>
  <c r="H107" i="131"/>
  <c r="A107" i="131"/>
  <c r="P106" i="131"/>
  <c r="N106" i="131"/>
  <c r="M106" i="131"/>
  <c r="L106" i="131"/>
  <c r="K106" i="131"/>
  <c r="H106" i="131"/>
  <c r="A106" i="131"/>
  <c r="P105" i="131"/>
  <c r="N105" i="131"/>
  <c r="M105" i="131"/>
  <c r="L105" i="131"/>
  <c r="K105" i="131"/>
  <c r="H105" i="131"/>
  <c r="A105" i="131"/>
  <c r="P104" i="131"/>
  <c r="N104" i="131"/>
  <c r="M104" i="131"/>
  <c r="L104" i="131"/>
  <c r="K104" i="131"/>
  <c r="H104" i="131"/>
  <c r="A104" i="131"/>
  <c r="P103" i="131"/>
  <c r="N103" i="131"/>
  <c r="M103" i="131"/>
  <c r="L103" i="131"/>
  <c r="K103" i="131"/>
  <c r="H103" i="131"/>
  <c r="A103" i="131"/>
  <c r="P102" i="131"/>
  <c r="N102" i="131"/>
  <c r="M102" i="131"/>
  <c r="L102" i="131"/>
  <c r="K102" i="131"/>
  <c r="H102" i="131"/>
  <c r="A102" i="131"/>
  <c r="P101" i="131"/>
  <c r="N101" i="131"/>
  <c r="M101" i="131"/>
  <c r="L101" i="131"/>
  <c r="K101" i="131"/>
  <c r="H101" i="131"/>
  <c r="A101" i="131"/>
  <c r="P100" i="131"/>
  <c r="N100" i="131"/>
  <c r="M100" i="131"/>
  <c r="L100" i="131"/>
  <c r="K100" i="131"/>
  <c r="H100" i="131"/>
  <c r="A100" i="131"/>
  <c r="P99" i="131"/>
  <c r="N99" i="131"/>
  <c r="M99" i="131"/>
  <c r="L99" i="131"/>
  <c r="K99" i="131"/>
  <c r="H99" i="131"/>
  <c r="A99" i="131"/>
  <c r="P98" i="131"/>
  <c r="N98" i="131"/>
  <c r="M98" i="131"/>
  <c r="L98" i="131"/>
  <c r="K98" i="131"/>
  <c r="H98" i="131"/>
  <c r="A98" i="131"/>
  <c r="P97" i="131"/>
  <c r="N97" i="131"/>
  <c r="M97" i="131"/>
  <c r="L97" i="131"/>
  <c r="K97" i="131"/>
  <c r="H97" i="131"/>
  <c r="A97" i="131"/>
  <c r="P96" i="131"/>
  <c r="N96" i="131"/>
  <c r="M96" i="131"/>
  <c r="L96" i="131"/>
  <c r="K96" i="131"/>
  <c r="H96" i="131"/>
  <c r="A96" i="131"/>
  <c r="P95" i="131"/>
  <c r="N95" i="131"/>
  <c r="M95" i="131"/>
  <c r="L95" i="131"/>
  <c r="K95" i="131"/>
  <c r="H95" i="131"/>
  <c r="A95" i="131"/>
  <c r="P94" i="131"/>
  <c r="N94" i="131"/>
  <c r="M94" i="131"/>
  <c r="L94" i="131"/>
  <c r="K94" i="131"/>
  <c r="H94" i="131"/>
  <c r="A94" i="131"/>
  <c r="P93" i="131"/>
  <c r="N93" i="131"/>
  <c r="M93" i="131"/>
  <c r="L93" i="131"/>
  <c r="K93" i="131"/>
  <c r="H93" i="131"/>
  <c r="A93" i="131"/>
  <c r="P92" i="131"/>
  <c r="N92" i="131"/>
  <c r="M92" i="131"/>
  <c r="L92" i="131"/>
  <c r="K92" i="131"/>
  <c r="H92" i="131"/>
  <c r="A92" i="131"/>
  <c r="P91" i="131"/>
  <c r="N91" i="131"/>
  <c r="M91" i="131"/>
  <c r="L91" i="131"/>
  <c r="K91" i="131"/>
  <c r="H91" i="131"/>
  <c r="A91" i="131"/>
  <c r="P90" i="131"/>
  <c r="N90" i="131"/>
  <c r="M90" i="131"/>
  <c r="L90" i="131"/>
  <c r="K90" i="131"/>
  <c r="H90" i="131"/>
  <c r="A90" i="131"/>
  <c r="P89" i="131"/>
  <c r="N89" i="131"/>
  <c r="M89" i="131"/>
  <c r="L89" i="131"/>
  <c r="K89" i="131"/>
  <c r="H89" i="131"/>
  <c r="A89" i="131"/>
  <c r="P88" i="131"/>
  <c r="N88" i="131"/>
  <c r="M88" i="131"/>
  <c r="L88" i="131"/>
  <c r="K88" i="131"/>
  <c r="H88" i="131"/>
  <c r="A88" i="131"/>
  <c r="P87" i="131"/>
  <c r="N87" i="131"/>
  <c r="M87" i="131"/>
  <c r="L87" i="131"/>
  <c r="K87" i="131"/>
  <c r="H87" i="131"/>
  <c r="A87" i="131"/>
  <c r="P86" i="131"/>
  <c r="N86" i="131"/>
  <c r="M86" i="131"/>
  <c r="L86" i="131"/>
  <c r="K86" i="131"/>
  <c r="H86" i="131"/>
  <c r="A86" i="131"/>
  <c r="P85" i="131"/>
  <c r="N85" i="131"/>
  <c r="M85" i="131"/>
  <c r="L85" i="131"/>
  <c r="K85" i="131"/>
  <c r="H85" i="131"/>
  <c r="A85" i="131"/>
  <c r="P84" i="131"/>
  <c r="N84" i="131"/>
  <c r="M84" i="131"/>
  <c r="L84" i="131"/>
  <c r="K84" i="131"/>
  <c r="H84" i="131"/>
  <c r="A84" i="131"/>
  <c r="P83" i="131"/>
  <c r="N83" i="131"/>
  <c r="M83" i="131"/>
  <c r="L83" i="131"/>
  <c r="K83" i="131"/>
  <c r="H83" i="131"/>
  <c r="A83" i="131"/>
  <c r="P82" i="131"/>
  <c r="N82" i="131"/>
  <c r="M82" i="131"/>
  <c r="L82" i="131"/>
  <c r="K82" i="131"/>
  <c r="H82" i="131"/>
  <c r="A82" i="131"/>
  <c r="P81" i="131"/>
  <c r="N81" i="131"/>
  <c r="M81" i="131"/>
  <c r="L81" i="131"/>
  <c r="K81" i="131"/>
  <c r="H81" i="131"/>
  <c r="A81" i="131"/>
  <c r="P80" i="131"/>
  <c r="N80" i="131"/>
  <c r="M80" i="131"/>
  <c r="L80" i="131"/>
  <c r="K80" i="131"/>
  <c r="H80" i="131"/>
  <c r="A80" i="131"/>
  <c r="P79" i="131"/>
  <c r="N79" i="131"/>
  <c r="M79" i="131"/>
  <c r="L79" i="131"/>
  <c r="K79" i="131"/>
  <c r="H79" i="131"/>
  <c r="A79" i="131"/>
  <c r="P78" i="131"/>
  <c r="N78" i="131"/>
  <c r="M78" i="131"/>
  <c r="L78" i="131"/>
  <c r="K78" i="131"/>
  <c r="H78" i="131"/>
  <c r="A78" i="131"/>
  <c r="P77" i="131"/>
  <c r="N77" i="131"/>
  <c r="M77" i="131"/>
  <c r="L77" i="131"/>
  <c r="K77" i="131"/>
  <c r="H77" i="131"/>
  <c r="A77" i="131"/>
  <c r="P76" i="131"/>
  <c r="N76" i="131"/>
  <c r="M76" i="131"/>
  <c r="L76" i="131"/>
  <c r="K76" i="131"/>
  <c r="H76" i="131"/>
  <c r="A76" i="131"/>
  <c r="P75" i="131"/>
  <c r="N75" i="131"/>
  <c r="M75" i="131"/>
  <c r="L75" i="131"/>
  <c r="K75" i="131"/>
  <c r="H75" i="131"/>
  <c r="A75" i="131"/>
  <c r="P74" i="131"/>
  <c r="N74" i="131"/>
  <c r="M74" i="131"/>
  <c r="L74" i="131"/>
  <c r="K74" i="131"/>
  <c r="H74" i="131"/>
  <c r="A74" i="131"/>
  <c r="P73" i="131"/>
  <c r="N73" i="131"/>
  <c r="M73" i="131"/>
  <c r="L73" i="131"/>
  <c r="K73" i="131"/>
  <c r="H73" i="131"/>
  <c r="A73" i="131"/>
  <c r="P72" i="131"/>
  <c r="N72" i="131"/>
  <c r="M72" i="131"/>
  <c r="L72" i="131"/>
  <c r="K72" i="131"/>
  <c r="H72" i="131"/>
  <c r="A72" i="131"/>
  <c r="P71" i="131"/>
  <c r="N71" i="131"/>
  <c r="M71" i="131"/>
  <c r="L71" i="131"/>
  <c r="K71" i="131"/>
  <c r="H71" i="131"/>
  <c r="A71" i="131"/>
  <c r="P70" i="131"/>
  <c r="N70" i="131"/>
  <c r="M70" i="131"/>
  <c r="L70" i="131"/>
  <c r="K70" i="131"/>
  <c r="H70" i="131"/>
  <c r="A70" i="131"/>
  <c r="P69" i="131"/>
  <c r="N69" i="131"/>
  <c r="M69" i="131"/>
  <c r="L69" i="131"/>
  <c r="K69" i="131"/>
  <c r="H69" i="131"/>
  <c r="A69" i="131"/>
  <c r="P68" i="131"/>
  <c r="N68" i="131"/>
  <c r="M68" i="131"/>
  <c r="L68" i="131"/>
  <c r="K68" i="131"/>
  <c r="H68" i="131"/>
  <c r="A68" i="131"/>
  <c r="P67" i="131"/>
  <c r="N67" i="131"/>
  <c r="M67" i="131"/>
  <c r="L67" i="131"/>
  <c r="K67" i="131"/>
  <c r="H67" i="131"/>
  <c r="A67" i="131"/>
  <c r="P66" i="131"/>
  <c r="N66" i="131"/>
  <c r="M66" i="131"/>
  <c r="L66" i="131"/>
  <c r="K66" i="131"/>
  <c r="H66" i="131"/>
  <c r="A66" i="131"/>
  <c r="P65" i="131"/>
  <c r="N65" i="131"/>
  <c r="M65" i="131"/>
  <c r="L65" i="131"/>
  <c r="K65" i="131"/>
  <c r="H65" i="131"/>
  <c r="A65" i="131"/>
  <c r="P64" i="131"/>
  <c r="N64" i="131"/>
  <c r="M64" i="131"/>
  <c r="L64" i="131"/>
  <c r="K64" i="131"/>
  <c r="H64" i="131"/>
  <c r="A64" i="131"/>
  <c r="P63" i="131"/>
  <c r="N63" i="131"/>
  <c r="M63" i="131"/>
  <c r="L63" i="131"/>
  <c r="K63" i="131"/>
  <c r="H63" i="131"/>
  <c r="A63" i="131"/>
  <c r="P62" i="131"/>
  <c r="N62" i="131"/>
  <c r="M62" i="131"/>
  <c r="L62" i="131"/>
  <c r="K62" i="131"/>
  <c r="H62" i="131"/>
  <c r="A62" i="131"/>
  <c r="P61" i="131"/>
  <c r="N61" i="131"/>
  <c r="M61" i="131"/>
  <c r="L61" i="131"/>
  <c r="K61" i="131"/>
  <c r="H61" i="131"/>
  <c r="A61" i="131"/>
  <c r="P60" i="131"/>
  <c r="N60" i="131"/>
  <c r="M60" i="131"/>
  <c r="L60" i="131"/>
  <c r="K60" i="131"/>
  <c r="H60" i="131"/>
  <c r="A60" i="131"/>
  <c r="P59" i="131"/>
  <c r="N59" i="131"/>
  <c r="M59" i="131"/>
  <c r="L59" i="131"/>
  <c r="K59" i="131"/>
  <c r="H59" i="131"/>
  <c r="A59" i="131"/>
  <c r="P58" i="131"/>
  <c r="N58" i="131"/>
  <c r="M58" i="131"/>
  <c r="L58" i="131"/>
  <c r="K58" i="131"/>
  <c r="H58" i="131"/>
  <c r="A58" i="131"/>
  <c r="P57" i="131"/>
  <c r="N57" i="131"/>
  <c r="M57" i="131"/>
  <c r="L57" i="131"/>
  <c r="K57" i="131"/>
  <c r="H57" i="131"/>
  <c r="A57" i="131"/>
  <c r="P56" i="131"/>
  <c r="N56" i="131"/>
  <c r="M56" i="131"/>
  <c r="L56" i="131"/>
  <c r="K56" i="131"/>
  <c r="H56" i="131"/>
  <c r="A56" i="131"/>
  <c r="P55" i="131"/>
  <c r="N55" i="131"/>
  <c r="M55" i="131"/>
  <c r="L55" i="131"/>
  <c r="K55" i="131"/>
  <c r="H55" i="131"/>
  <c r="A55" i="131"/>
  <c r="P54" i="131"/>
  <c r="N54" i="131"/>
  <c r="M54" i="131"/>
  <c r="L54" i="131"/>
  <c r="K54" i="131"/>
  <c r="H54" i="131"/>
  <c r="A54" i="131"/>
  <c r="P53" i="131"/>
  <c r="N53" i="131"/>
  <c r="M53" i="131"/>
  <c r="L53" i="131"/>
  <c r="K53" i="131"/>
  <c r="H53" i="131"/>
  <c r="A53" i="131"/>
  <c r="P52" i="131"/>
  <c r="N52" i="131"/>
  <c r="M52" i="131"/>
  <c r="L52" i="131"/>
  <c r="K52" i="131"/>
  <c r="H52" i="131"/>
  <c r="A52" i="131"/>
  <c r="P51" i="131"/>
  <c r="N51" i="131"/>
  <c r="M51" i="131"/>
  <c r="L51" i="131"/>
  <c r="K51" i="131"/>
  <c r="H51" i="131"/>
  <c r="A51" i="131"/>
  <c r="P50" i="131"/>
  <c r="N50" i="131"/>
  <c r="M50" i="131"/>
  <c r="L50" i="131"/>
  <c r="K50" i="131"/>
  <c r="H50" i="131"/>
  <c r="A50" i="131"/>
  <c r="P49" i="131"/>
  <c r="N49" i="131"/>
  <c r="M49" i="131"/>
  <c r="L49" i="131"/>
  <c r="K49" i="131"/>
  <c r="H49" i="131"/>
  <c r="A49" i="131"/>
  <c r="P48" i="131"/>
  <c r="N48" i="131"/>
  <c r="M48" i="131"/>
  <c r="L48" i="131"/>
  <c r="K48" i="131"/>
  <c r="H48" i="131"/>
  <c r="A48" i="131"/>
  <c r="P47" i="131"/>
  <c r="N47" i="131"/>
  <c r="M47" i="131"/>
  <c r="L47" i="131"/>
  <c r="K47" i="131"/>
  <c r="H47" i="131"/>
  <c r="A47" i="131"/>
  <c r="P46" i="131"/>
  <c r="N46" i="131"/>
  <c r="M46" i="131"/>
  <c r="L46" i="131"/>
  <c r="K46" i="131"/>
  <c r="H46" i="131"/>
  <c r="A46" i="131"/>
  <c r="P45" i="131"/>
  <c r="N45" i="131"/>
  <c r="M45" i="131"/>
  <c r="L45" i="131"/>
  <c r="K45" i="131"/>
  <c r="H45" i="131"/>
  <c r="A45" i="131"/>
  <c r="P44" i="131"/>
  <c r="N44" i="131"/>
  <c r="M44" i="131"/>
  <c r="L44" i="131"/>
  <c r="K44" i="131"/>
  <c r="H44" i="131"/>
  <c r="A44" i="131"/>
  <c r="P43" i="131"/>
  <c r="N43" i="131"/>
  <c r="M43" i="131"/>
  <c r="L43" i="131"/>
  <c r="K43" i="131"/>
  <c r="H43" i="131"/>
  <c r="A43" i="131"/>
  <c r="P42" i="131"/>
  <c r="N42" i="131"/>
  <c r="M42" i="131"/>
  <c r="L42" i="131"/>
  <c r="K42" i="131"/>
  <c r="H42" i="131"/>
  <c r="A42" i="131"/>
  <c r="P41" i="131"/>
  <c r="N41" i="131"/>
  <c r="M41" i="131"/>
  <c r="L41" i="131"/>
  <c r="K41" i="131"/>
  <c r="H41" i="131"/>
  <c r="A41" i="131"/>
  <c r="P40" i="131"/>
  <c r="N40" i="131"/>
  <c r="M40" i="131"/>
  <c r="L40" i="131"/>
  <c r="K40" i="131"/>
  <c r="H40" i="131"/>
  <c r="A40" i="131"/>
  <c r="P39" i="131"/>
  <c r="N39" i="131"/>
  <c r="M39" i="131"/>
  <c r="L39" i="131"/>
  <c r="K39" i="131"/>
  <c r="H39" i="131"/>
  <c r="A39" i="131"/>
  <c r="P38" i="131"/>
  <c r="N38" i="131"/>
  <c r="M38" i="131"/>
  <c r="L38" i="131"/>
  <c r="K38" i="131"/>
  <c r="H38" i="131"/>
  <c r="A38" i="131"/>
  <c r="P37" i="131"/>
  <c r="N37" i="131"/>
  <c r="M37" i="131"/>
  <c r="L37" i="131"/>
  <c r="K37" i="131"/>
  <c r="H37" i="131"/>
  <c r="A37" i="131"/>
  <c r="P36" i="131"/>
  <c r="N36" i="131"/>
  <c r="M36" i="131"/>
  <c r="L36" i="131"/>
  <c r="K36" i="131"/>
  <c r="H36" i="131"/>
  <c r="A36" i="131"/>
  <c r="P35" i="131"/>
  <c r="N35" i="131"/>
  <c r="M35" i="131"/>
  <c r="L35" i="131"/>
  <c r="K35" i="131"/>
  <c r="H35" i="131"/>
  <c r="A35" i="131"/>
  <c r="P34" i="131"/>
  <c r="N34" i="131"/>
  <c r="M34" i="131"/>
  <c r="L34" i="131"/>
  <c r="K34" i="131"/>
  <c r="H34" i="131"/>
  <c r="A34" i="131"/>
  <c r="P33" i="131"/>
  <c r="N33" i="131"/>
  <c r="M33" i="131"/>
  <c r="L33" i="131"/>
  <c r="K33" i="131"/>
  <c r="H33" i="131"/>
  <c r="A33" i="131"/>
  <c r="P32" i="131"/>
  <c r="N32" i="131"/>
  <c r="M32" i="131"/>
  <c r="L32" i="131"/>
  <c r="K32" i="131"/>
  <c r="H32" i="131"/>
  <c r="A32" i="131"/>
  <c r="P31" i="131"/>
  <c r="N31" i="131"/>
  <c r="M31" i="131"/>
  <c r="L31" i="131"/>
  <c r="K31" i="131"/>
  <c r="H31" i="131"/>
  <c r="A31" i="131"/>
  <c r="P30" i="131"/>
  <c r="N30" i="131"/>
  <c r="M30" i="131"/>
  <c r="L30" i="131"/>
  <c r="K30" i="131"/>
  <c r="H30" i="131"/>
  <c r="A30" i="131"/>
  <c r="P29" i="131"/>
  <c r="N29" i="131"/>
  <c r="M29" i="131"/>
  <c r="L29" i="131"/>
  <c r="K29" i="131"/>
  <c r="H29" i="131"/>
  <c r="A29" i="131"/>
  <c r="P28" i="131"/>
  <c r="N28" i="131"/>
  <c r="M28" i="131"/>
  <c r="L28" i="131"/>
  <c r="K28" i="131"/>
  <c r="H28" i="131"/>
  <c r="A28" i="131"/>
  <c r="P27" i="131"/>
  <c r="N27" i="131"/>
  <c r="M27" i="131"/>
  <c r="L27" i="131"/>
  <c r="K27" i="131"/>
  <c r="H27" i="131"/>
  <c r="A27" i="131"/>
  <c r="P26" i="131"/>
  <c r="N26" i="131"/>
  <c r="M26" i="131"/>
  <c r="L26" i="131"/>
  <c r="K26" i="131"/>
  <c r="H26" i="131"/>
  <c r="A26" i="131"/>
  <c r="P25" i="131"/>
  <c r="N25" i="131"/>
  <c r="M25" i="131"/>
  <c r="L25" i="131"/>
  <c r="K25" i="131"/>
  <c r="H25" i="131"/>
  <c r="A25" i="131"/>
  <c r="P24" i="131"/>
  <c r="N24" i="131"/>
  <c r="M24" i="131"/>
  <c r="L24" i="131"/>
  <c r="K24" i="131"/>
  <c r="H24" i="131"/>
  <c r="A24" i="131"/>
  <c r="P23" i="131"/>
  <c r="N23" i="131"/>
  <c r="M23" i="131"/>
  <c r="L23" i="131"/>
  <c r="K23" i="131"/>
  <c r="H23" i="131"/>
  <c r="A23" i="131"/>
  <c r="P22" i="131"/>
  <c r="N22" i="131"/>
  <c r="M22" i="131"/>
  <c r="L22" i="131"/>
  <c r="K22" i="131"/>
  <c r="H22" i="131"/>
  <c r="A22" i="131"/>
  <c r="P21" i="131"/>
  <c r="N21" i="131"/>
  <c r="M21" i="131"/>
  <c r="L21" i="131"/>
  <c r="K21" i="131"/>
  <c r="H21" i="131"/>
  <c r="A21" i="131"/>
  <c r="P20" i="131"/>
  <c r="N20" i="131"/>
  <c r="M20" i="131"/>
  <c r="L20" i="131"/>
  <c r="K20" i="131"/>
  <c r="H20" i="131"/>
  <c r="A20" i="131"/>
  <c r="P19" i="131"/>
  <c r="N19" i="131"/>
  <c r="M19" i="131"/>
  <c r="L19" i="131"/>
  <c r="K19" i="131"/>
  <c r="H19" i="131"/>
  <c r="A19" i="131"/>
  <c r="P18" i="131"/>
  <c r="N18" i="131"/>
  <c r="M18" i="131"/>
  <c r="L18" i="131"/>
  <c r="K18" i="131"/>
  <c r="H18" i="131"/>
  <c r="A18" i="131"/>
  <c r="P17" i="131"/>
  <c r="N17" i="131"/>
  <c r="M17" i="131"/>
  <c r="L17" i="131"/>
  <c r="K17" i="131"/>
  <c r="H17" i="131"/>
  <c r="A17" i="131"/>
  <c r="P16" i="131"/>
  <c r="N16" i="131"/>
  <c r="M16" i="131"/>
  <c r="L16" i="131"/>
  <c r="K16" i="131"/>
  <c r="H16" i="131"/>
  <c r="A16" i="131"/>
  <c r="P15" i="131"/>
  <c r="N15" i="131"/>
  <c r="M15" i="131"/>
  <c r="L15" i="131"/>
  <c r="K15" i="131"/>
  <c r="H15" i="131"/>
  <c r="A15" i="131"/>
  <c r="N14" i="131"/>
  <c r="M14" i="131"/>
  <c r="L14" i="131"/>
  <c r="K14" i="131"/>
  <c r="H14" i="131"/>
  <c r="A14" i="131"/>
  <c r="N13" i="131"/>
  <c r="M13" i="131"/>
  <c r="L13" i="131"/>
  <c r="K13" i="131"/>
  <c r="H13" i="131"/>
  <c r="A13" i="131"/>
  <c r="N12" i="131"/>
  <c r="M12" i="131"/>
  <c r="L12" i="131"/>
  <c r="K12" i="131"/>
  <c r="H12" i="131"/>
  <c r="A12" i="131"/>
  <c r="N11" i="131"/>
  <c r="M11" i="131"/>
  <c r="L11" i="131"/>
  <c r="K11" i="131"/>
  <c r="H11" i="131"/>
  <c r="A11" i="131"/>
  <c r="N10" i="131"/>
  <c r="M10" i="131"/>
  <c r="L10" i="131"/>
  <c r="K10" i="131"/>
  <c r="H10" i="131"/>
  <c r="A10" i="131"/>
  <c r="N9" i="131"/>
  <c r="M9" i="131"/>
  <c r="L9" i="131"/>
  <c r="K9" i="131"/>
  <c r="H9" i="131"/>
  <c r="A9" i="131"/>
  <c r="N8" i="131"/>
  <c r="M8" i="131"/>
  <c r="L8" i="131"/>
  <c r="K8" i="131"/>
  <c r="H8" i="131"/>
  <c r="A8" i="131"/>
  <c r="N7" i="131"/>
  <c r="M7" i="131"/>
  <c r="L7" i="131"/>
  <c r="K7" i="131"/>
  <c r="H7" i="131"/>
  <c r="A7" i="131"/>
  <c r="N6" i="131"/>
  <c r="M6" i="131"/>
  <c r="L6" i="131"/>
  <c r="K6" i="131"/>
  <c r="H6" i="131"/>
  <c r="A6" i="131"/>
  <c r="N5" i="131"/>
  <c r="M5" i="131"/>
  <c r="L5" i="131"/>
  <c r="K5" i="131"/>
  <c r="H5" i="131"/>
  <c r="A5" i="131"/>
  <c r="N4" i="131"/>
  <c r="M4" i="131"/>
  <c r="L4" i="131"/>
  <c r="K4" i="131"/>
  <c r="H4" i="131"/>
  <c r="A4" i="131"/>
  <c r="N3" i="131"/>
  <c r="M3" i="131"/>
  <c r="L3" i="131"/>
  <c r="K3" i="131"/>
  <c r="H3" i="131"/>
  <c r="A3" i="131"/>
  <c r="N2" i="131"/>
  <c r="M2" i="131"/>
  <c r="L2" i="131"/>
  <c r="K2" i="131"/>
  <c r="H2" i="131"/>
  <c r="A2" i="131"/>
  <c r="F48" i="130"/>
  <c r="F47" i="130"/>
  <c r="B40" i="130"/>
  <c r="B41" i="130"/>
  <c r="B42" i="130"/>
  <c r="B43" i="130"/>
  <c r="B44" i="130"/>
  <c r="B45" i="130"/>
  <c r="B46" i="130"/>
  <c r="B47" i="130"/>
  <c r="C40" i="130"/>
  <c r="C41" i="130"/>
  <c r="C42" i="130"/>
  <c r="C43" i="130"/>
  <c r="C44" i="130"/>
  <c r="C45" i="130"/>
  <c r="C46" i="130"/>
  <c r="C47" i="130"/>
  <c r="F46" i="130"/>
  <c r="F45" i="130"/>
  <c r="F42" i="130"/>
  <c r="G42" i="130"/>
  <c r="F41" i="130"/>
  <c r="G41" i="130"/>
  <c r="F40" i="130"/>
  <c r="G40" i="130"/>
  <c r="B32" i="130"/>
  <c r="C19" i="130"/>
  <c r="C20" i="130"/>
  <c r="C21" i="130"/>
  <c r="C22" i="130"/>
  <c r="C23" i="130"/>
  <c r="C24" i="130"/>
  <c r="C25" i="130"/>
  <c r="C26" i="130"/>
  <c r="C27" i="130"/>
  <c r="C28" i="130"/>
  <c r="C29" i="130"/>
  <c r="C30" i="130"/>
  <c r="C31" i="130"/>
  <c r="C32" i="130"/>
  <c r="D32" i="130"/>
  <c r="G31" i="130"/>
  <c r="E31" i="130"/>
  <c r="H31" i="130"/>
  <c r="I31" i="130"/>
  <c r="J31" i="130"/>
  <c r="F31" i="130"/>
  <c r="D31" i="130"/>
  <c r="G30" i="130"/>
  <c r="E30" i="130"/>
  <c r="H30" i="130"/>
  <c r="I30" i="130"/>
  <c r="J30" i="130"/>
  <c r="F30" i="130"/>
  <c r="D30" i="130"/>
  <c r="I29" i="130"/>
  <c r="J29" i="130"/>
  <c r="F29" i="130"/>
  <c r="D29" i="130"/>
  <c r="I28" i="130"/>
  <c r="J28" i="130"/>
  <c r="F28" i="130"/>
  <c r="D28" i="130"/>
  <c r="I27" i="130"/>
  <c r="J27" i="130"/>
  <c r="F27" i="130"/>
  <c r="D27" i="130"/>
  <c r="I26" i="130"/>
  <c r="J26" i="130"/>
  <c r="F26" i="130"/>
  <c r="D26" i="130"/>
  <c r="I25" i="130"/>
  <c r="J25" i="130"/>
  <c r="F25" i="130"/>
  <c r="D25" i="130"/>
  <c r="I24" i="130"/>
  <c r="J24" i="130"/>
  <c r="F24" i="130"/>
  <c r="D24" i="130"/>
  <c r="I23" i="130"/>
  <c r="J23" i="130"/>
  <c r="F23" i="130"/>
  <c r="D23" i="130"/>
  <c r="I22" i="130"/>
  <c r="J22" i="130"/>
  <c r="F22" i="130"/>
  <c r="D22" i="130"/>
  <c r="I21" i="130"/>
  <c r="J21" i="130"/>
  <c r="F21" i="130"/>
  <c r="D21" i="130"/>
  <c r="R20" i="130"/>
  <c r="P20" i="130"/>
  <c r="O20" i="130"/>
  <c r="M20" i="130"/>
  <c r="I20" i="130"/>
  <c r="J20" i="130"/>
  <c r="F20" i="130"/>
  <c r="D20" i="130"/>
  <c r="R19" i="130"/>
  <c r="P19" i="130"/>
  <c r="O19" i="130"/>
  <c r="M19" i="130"/>
  <c r="I19" i="130"/>
  <c r="J19" i="130"/>
  <c r="F19" i="130"/>
  <c r="D19" i="130"/>
  <c r="R18" i="130"/>
  <c r="P18" i="130"/>
  <c r="O18" i="130"/>
  <c r="M18" i="130"/>
  <c r="I18" i="130"/>
  <c r="J18" i="130"/>
  <c r="F18" i="130"/>
  <c r="C18" i="130"/>
  <c r="D18" i="130"/>
  <c r="R17" i="130"/>
  <c r="P17" i="130"/>
  <c r="O17" i="130"/>
  <c r="M17" i="130"/>
  <c r="I17" i="130"/>
  <c r="J17" i="130"/>
  <c r="F17" i="130"/>
  <c r="C17" i="130"/>
  <c r="D17" i="130"/>
  <c r="V16" i="130"/>
  <c r="R16" i="130"/>
  <c r="P16" i="130"/>
  <c r="O16" i="130"/>
  <c r="M16" i="130"/>
  <c r="V15" i="130"/>
  <c r="R15" i="130"/>
  <c r="P15" i="130"/>
  <c r="O15" i="130"/>
  <c r="M15" i="130"/>
  <c r="V14" i="130"/>
  <c r="R14" i="130"/>
  <c r="P14" i="130"/>
  <c r="O14" i="130"/>
  <c r="M14" i="130"/>
  <c r="V13" i="130"/>
  <c r="R13" i="130"/>
  <c r="P13" i="130"/>
  <c r="O13" i="130"/>
  <c r="M13" i="130"/>
  <c r="V12" i="130"/>
  <c r="R12" i="130"/>
  <c r="P12" i="130"/>
  <c r="O12" i="130"/>
  <c r="M12" i="130"/>
  <c r="V11" i="130"/>
  <c r="R11" i="130"/>
  <c r="P11" i="130"/>
  <c r="O11" i="130"/>
  <c r="M11" i="130"/>
  <c r="V10" i="130"/>
  <c r="R10" i="130"/>
  <c r="P10" i="130"/>
  <c r="O10" i="130"/>
  <c r="M10" i="130"/>
  <c r="V9" i="130"/>
  <c r="R9" i="130"/>
  <c r="P9" i="130"/>
  <c r="O9" i="130"/>
  <c r="M9" i="130"/>
  <c r="V8" i="130"/>
  <c r="R8" i="130"/>
  <c r="P8" i="130"/>
  <c r="O8" i="130"/>
  <c r="M8" i="130"/>
  <c r="V7" i="130"/>
  <c r="R7" i="130"/>
  <c r="P7" i="130"/>
  <c r="O7" i="130"/>
  <c r="M7" i="130"/>
  <c r="R6" i="130"/>
  <c r="P6" i="130"/>
  <c r="O6" i="130"/>
  <c r="M6" i="130"/>
  <c r="V5" i="130"/>
  <c r="R5" i="130"/>
  <c r="P5" i="130"/>
  <c r="O5" i="130"/>
  <c r="M5" i="130"/>
  <c r="V4" i="130"/>
  <c r="R4" i="130"/>
  <c r="P4" i="130"/>
  <c r="O4" i="130"/>
  <c r="M4" i="130"/>
  <c r="V3" i="130"/>
  <c r="R3" i="130"/>
  <c r="P3" i="130"/>
  <c r="O3" i="130"/>
  <c r="M3" i="130"/>
  <c r="V2" i="130"/>
  <c r="C3" i="103"/>
  <c r="E3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2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<sst xmlns="http://schemas.openxmlformats.org/spreadsheetml/2006/main" count="349" uniqueCount="237">
  <si>
    <t>character_id</t>
  </si>
  <si>
    <t>character_id</t>
    <phoneticPr fontId="17"/>
  </si>
  <si>
    <t>weight</t>
    <phoneticPr fontId="17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</si>
  <si>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</si>
  <si>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</si>
  <si>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</si>
  <si>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</si>
  <si>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</si>
  <si>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</si>
  <si>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</si>
  <si>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7"/>
  </si>
  <si>
    <t>bonus_table_no</t>
    <phoneticPr fontId="17"/>
  </si>
  <si>
    <t>weight</t>
    <phoneticPr fontId="17"/>
  </si>
  <si>
    <t>gift_id</t>
    <phoneticPr fontId="17"/>
  </si>
  <si>
    <t>gift_id</t>
    <phoneticPr fontId="17"/>
  </si>
  <si>
    <t>gift_type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</si>
  <si>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</si>
  <si>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</si>
  <si>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</si>
  <si>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</si>
  <si>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</si>
  <si>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</si>
  <si>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gift_id</t>
    <phoneticPr fontId="17"/>
  </si>
  <si>
    <t>gift_value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</si>
  <si>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</si>
  <si>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</si>
  <si>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</si>
  <si>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</si>
  <si>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</si>
  <si>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</si>
  <si>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gift_type</t>
    <phoneticPr fontId="17"/>
  </si>
  <si>
    <t>備考</t>
    <rPh sb="0" eb="2">
      <t>ビコウ</t>
    </rPh>
    <phoneticPr fontId="17"/>
  </si>
  <si>
    <t>character_id</t>
    <phoneticPr fontId="17"/>
  </si>
  <si>
    <t>name</t>
    <phoneticPr fontId="17"/>
  </si>
  <si>
    <t>drop_label</t>
    <phoneticPr fontId="17"/>
  </si>
  <si>
    <t>rare</t>
    <phoneticPr fontId="17"/>
  </si>
  <si>
    <t>character_type_id</t>
    <phoneticPr fontId="17"/>
  </si>
  <si>
    <t>character_tribe_id</t>
    <phoneticPr fontId="17"/>
  </si>
  <si>
    <t>unit_level</t>
    <phoneticPr fontId="17"/>
  </si>
  <si>
    <t>接頭語</t>
    <rPh sb="0" eb="3">
      <t>セットウゴ</t>
    </rPh>
    <phoneticPr fontId="50"/>
  </si>
  <si>
    <t>識別子</t>
    <rPh sb="0" eb="3">
      <t>シキベツシ</t>
    </rPh>
    <phoneticPr fontId="50"/>
  </si>
  <si>
    <t>形式</t>
    <rPh sb="0" eb="2">
      <t>ケイシキ</t>
    </rPh>
    <phoneticPr fontId="50"/>
  </si>
  <si>
    <t>出力ファイル名</t>
    <rPh sb="0" eb="2">
      <t>シュツリョク</t>
    </rPh>
    <rPh sb="6" eb="7">
      <t>メイ</t>
    </rPh>
    <phoneticPr fontId="50"/>
  </si>
  <si>
    <t>入力シート名</t>
    <rPh sb="0" eb="2">
      <t>ニュウリョク</t>
    </rPh>
    <rPh sb="5" eb="6">
      <t>メイ</t>
    </rPh>
    <phoneticPr fontId="50"/>
  </si>
  <si>
    <t>出力データ</t>
    <rPh sb="0" eb="2">
      <t>シュツリョク</t>
    </rPh>
    <phoneticPr fontId="50"/>
  </si>
  <si>
    <t>.tmp</t>
    <phoneticPr fontId="50"/>
  </si>
  <si>
    <t>.tmp</t>
    <phoneticPr fontId="50"/>
  </si>
  <si>
    <t>gacha_bonus_tables</t>
    <phoneticPr fontId="50"/>
  </si>
  <si>
    <t>gifts_tmp_</t>
    <phoneticPr fontId="17"/>
  </si>
  <si>
    <t>gifts_i18n_</t>
    <phoneticPr fontId="17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</si>
  <si>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7"/>
  </si>
  <si>
    <t>出力flg</t>
    <rPh sb="0" eb="2">
      <t>シュツリョク</t>
    </rPh>
    <phoneticPr fontId="50"/>
  </si>
  <si>
    <t>color</t>
    <phoneticPr fontId="17"/>
  </si>
  <si>
    <t>レアリティ別確率</t>
    <rPh sb="5" eb="6">
      <t>ベツ</t>
    </rPh>
    <rPh sb="6" eb="8">
      <t>カクリツ</t>
    </rPh>
    <phoneticPr fontId="17"/>
  </si>
  <si>
    <t>ラベル別確率</t>
    <rPh sb="3" eb="4">
      <t>ベツ</t>
    </rPh>
    <rPh sb="4" eb="6">
      <t>カクリツ</t>
    </rPh>
    <phoneticPr fontId="17"/>
  </si>
  <si>
    <t>SSS</t>
    <phoneticPr fontId="17"/>
  </si>
  <si>
    <t>SS</t>
    <phoneticPr fontId="17"/>
  </si>
  <si>
    <t>ラベル*レアリティ標準確率</t>
    <rPh sb="9" eb="11">
      <t>ヒョウジュン</t>
    </rPh>
    <rPh sb="11" eb="13">
      <t>カクリツ</t>
    </rPh>
    <phoneticPr fontId="17"/>
  </si>
  <si>
    <t>性別</t>
    <rPh sb="0" eb="2">
      <t>セイベツ</t>
    </rPh>
    <phoneticPr fontId="17"/>
  </si>
  <si>
    <t>合計</t>
    <rPh sb="0" eb="2">
      <t>ゴウケイ</t>
    </rPh>
    <phoneticPr fontId="17"/>
  </si>
  <si>
    <t>グループ</t>
    <phoneticPr fontId="17"/>
  </si>
  <si>
    <t>ピックアップ確率</t>
    <rPh sb="6" eb="8">
      <t>カクリツ</t>
    </rPh>
    <phoneticPr fontId="17"/>
  </si>
  <si>
    <t>残り確率</t>
    <rPh sb="0" eb="1">
      <t>ノコ</t>
    </rPh>
    <rPh sb="2" eb="4">
      <t>カクリツ</t>
    </rPh>
    <phoneticPr fontId="17"/>
  </si>
  <si>
    <t>確率</t>
    <rPh sb="0" eb="2">
      <t>カクリツ</t>
    </rPh>
    <phoneticPr fontId="17"/>
  </si>
  <si>
    <t>所属グループ</t>
    <rPh sb="0" eb="2">
      <t>ショゾク</t>
    </rPh>
    <phoneticPr fontId="17"/>
  </si>
  <si>
    <t>名前</t>
    <rPh sb="0" eb="2">
      <t>ナマエ</t>
    </rPh>
    <phoneticPr fontId="17"/>
  </si>
  <si>
    <t>レアリティ</t>
    <phoneticPr fontId="17"/>
  </si>
  <si>
    <t>ラベル</t>
    <phoneticPr fontId="17"/>
  </si>
  <si>
    <t>R3</t>
    <phoneticPr fontId="17"/>
  </si>
  <si>
    <t>R4</t>
    <phoneticPr fontId="17"/>
  </si>
  <si>
    <t>R5</t>
    <phoneticPr fontId="17"/>
  </si>
  <si>
    <t>個別確率</t>
    <rPh sb="0" eb="4">
      <t>コベツカクリツ</t>
    </rPh>
    <phoneticPr fontId="17"/>
  </si>
  <si>
    <t>該当数(ピックアップ除く)</t>
    <rPh sb="0" eb="2">
      <t>ガイトウ</t>
    </rPh>
    <rPh sb="2" eb="3">
      <t>スウ</t>
    </rPh>
    <rPh sb="10" eb="11">
      <t>ノゾ</t>
    </rPh>
    <phoneticPr fontId="17"/>
  </si>
  <si>
    <t>個別weight</t>
    <rPh sb="0" eb="2">
      <t>コベツ</t>
    </rPh>
    <phoneticPr fontId="17"/>
  </si>
  <si>
    <t>グループweight</t>
    <phoneticPr fontId="17"/>
  </si>
  <si>
    <t>端数</t>
    <rPh sb="0" eb="2">
      <t>ハスウ</t>
    </rPh>
    <phoneticPr fontId="17"/>
  </si>
  <si>
    <t>--検算用--</t>
    <rPh sb="3" eb="6">
      <t>ケンザンヨウ</t>
    </rPh>
    <phoneticPr fontId="17"/>
  </si>
  <si>
    <t>端数逆数</t>
    <rPh sb="0" eb="2">
      <t>ハスウ</t>
    </rPh>
    <rPh sb="2" eb="4">
      <t>ギャクスウ</t>
    </rPh>
    <phoneticPr fontId="17"/>
  </si>
  <si>
    <t>テーブルを増やしたい場合</t>
    <rPh sb="5" eb="6">
      <t>フ</t>
    </rPh>
    <rPh sb="10" eb="12">
      <t>バアイ</t>
    </rPh>
    <phoneticPr fontId="17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</si>
  <si>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7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</si>
  <si>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7"/>
  </si>
  <si>
    <t>３．outputシートで２で作ったtablesを指定する</t>
    <rPh sb="14" eb="15">
      <t>ツク</t>
    </rPh>
    <rPh sb="24" eb="26">
      <t>シテイ</t>
    </rPh>
    <phoneticPr fontId="17"/>
  </si>
  <si>
    <t>テーブルid</t>
    <phoneticPr fontId="17"/>
  </si>
  <si>
    <t>→ピックアップの確率は右のほうにいます</t>
    <rPh sb="8" eb="10">
      <t>カクリツ</t>
    </rPh>
    <rPh sb="11" eb="12">
      <t>ミギ</t>
    </rPh>
    <phoneticPr fontId="17"/>
  </si>
  <si>
    <t>table_no</t>
    <phoneticPr fontId="17"/>
  </si>
  <si>
    <t>table_no</t>
    <phoneticPr fontId="17"/>
  </si>
  <si>
    <t>skill_level</t>
  </si>
  <si>
    <t>level</t>
  </si>
  <si>
    <t>hp_plus</t>
    <phoneticPr fontId="50"/>
  </si>
  <si>
    <t>attack_plus</t>
    <phoneticPr fontId="50"/>
  </si>
  <si>
    <t>heal_plus</t>
    <phoneticPr fontId="50"/>
  </si>
  <si>
    <t>defense_plus</t>
    <phoneticPr fontId="50"/>
  </si>
  <si>
    <t>level</t>
    <phoneticPr fontId="50"/>
  </si>
  <si>
    <t>skill_level</t>
    <phoneticPr fontId="50"/>
  </si>
  <si>
    <t>bug</t>
    <phoneticPr fontId="50"/>
  </si>
  <si>
    <t>drop_label2</t>
    <phoneticPr fontId="17"/>
  </si>
  <si>
    <t>Premium</t>
    <phoneticPr fontId="17"/>
  </si>
  <si>
    <t>Premium3</t>
    <phoneticPr fontId="17"/>
  </si>
  <si>
    <t>Premium4</t>
    <phoneticPr fontId="17"/>
  </si>
  <si>
    <t>Premium5</t>
    <phoneticPr fontId="17"/>
  </si>
  <si>
    <t>グループ確率</t>
    <rPh sb="4" eb="6">
      <t>カクリツ</t>
    </rPh>
    <phoneticPr fontId="17"/>
  </si>
  <si>
    <t>レア度別確率</t>
    <rPh sb="2" eb="4">
      <t>ドベツ</t>
    </rPh>
    <rPh sb="4" eb="6">
      <t>カクリツ</t>
    </rPh>
    <phoneticPr fontId="17"/>
  </si>
  <si>
    <t>color2</t>
    <phoneticPr fontId="17"/>
  </si>
  <si>
    <t>Premium3</t>
  </si>
  <si>
    <t>Premium4</t>
  </si>
  <si>
    <t>Premium5</t>
  </si>
  <si>
    <t>PremiumSS4</t>
    <phoneticPr fontId="17"/>
  </si>
  <si>
    <t>PremiumSS5</t>
    <phoneticPr fontId="17"/>
  </si>
  <si>
    <t>PremiumSSS5</t>
    <phoneticPr fontId="17"/>
  </si>
  <si>
    <t>PremiumSS4</t>
    <phoneticPr fontId="17"/>
  </si>
  <si>
    <t>PremiumSSS4</t>
    <phoneticPr fontId="17"/>
  </si>
  <si>
    <t>PremiumSS5</t>
    <phoneticPr fontId="17"/>
  </si>
  <si>
    <t>PremiumSSS5</t>
    <phoneticPr fontId="17"/>
  </si>
  <si>
    <t>gacha_select_tables_</t>
    <phoneticPr fontId="17"/>
  </si>
  <si>
    <t>ラベル確率で考えましょう</t>
    <rPh sb="6" eb="7">
      <t>カンガエマショウ</t>
    </rPh>
    <phoneticPr fontId="50"/>
  </si>
  <si>
    <t>ラベル</t>
    <phoneticPr fontId="50"/>
  </si>
  <si>
    <t>レアリティ</t>
    <phoneticPr fontId="50"/>
  </si>
  <si>
    <t>{W}</t>
    <phoneticPr fontId="50"/>
  </si>
  <si>
    <t>{N,S}</t>
    <phoneticPr fontId="50"/>
  </si>
  <si>
    <t>{N,S}R3less</t>
    <phoneticPr fontId="50"/>
  </si>
  <si>
    <t>{N,S}R6release</t>
    <phoneticPr fontId="50"/>
  </si>
  <si>
    <t>{SS}</t>
    <phoneticPr fontId="50"/>
  </si>
  <si>
    <t>{SS}R6only</t>
    <phoneticPr fontId="50"/>
  </si>
  <si>
    <t>小計</t>
    <rPh sb="0" eb="2">
      <t>ショウケイ</t>
    </rPh>
    <phoneticPr fontId="50"/>
  </si>
  <si>
    <t>A</t>
    <phoneticPr fontId="50"/>
  </si>
  <si>
    <t>C</t>
    <phoneticPr fontId="50"/>
  </si>
  <si>
    <t>H</t>
    <phoneticPr fontId="50"/>
  </si>
  <si>
    <t>B</t>
    <phoneticPr fontId="50"/>
  </si>
  <si>
    <t>D</t>
    <phoneticPr fontId="50"/>
  </si>
  <si>
    <t>F</t>
    <phoneticPr fontId="50"/>
  </si>
  <si>
    <t>I</t>
    <phoneticPr fontId="50"/>
  </si>
  <si>
    <t>K</t>
    <phoneticPr fontId="50"/>
  </si>
  <si>
    <t>E</t>
    <phoneticPr fontId="50"/>
  </si>
  <si>
    <t>G</t>
    <phoneticPr fontId="50"/>
  </si>
  <si>
    <t>J</t>
    <phoneticPr fontId="50"/>
  </si>
  <si>
    <t>L</t>
    <phoneticPr fontId="50"/>
  </si>
  <si>
    <t>M</t>
    <phoneticPr fontId="50"/>
  </si>
  <si>
    <t>→</t>
    <phoneticPr fontId="50"/>
  </si>
  <si>
    <t>1-SS率</t>
    <rPh sb="4" eb="5">
      <t>リツ</t>
    </rPh>
    <phoneticPr fontId="50"/>
  </si>
  <si>
    <t>SS率</t>
    <rPh sb="2" eb="3">
      <t>リツ</t>
    </rPh>
    <phoneticPr fontId="50"/>
  </si>
  <si>
    <t>考え方を変える</t>
    <rPh sb="0" eb="1">
      <t>カンガエカタ</t>
    </rPh>
    <rPh sb="4" eb="5">
      <t>カエル</t>
    </rPh>
    <phoneticPr fontId="50"/>
  </si>
  <si>
    <t>SS4%は確定事項</t>
    <rPh sb="5" eb="7">
      <t>カクテイ</t>
    </rPh>
    <rPh sb="7" eb="9">
      <t>ジコウ</t>
    </rPh>
    <phoneticPr fontId="50"/>
  </si>
  <si>
    <t>当たりは分配</t>
    <rPh sb="0" eb="1">
      <t>アタリ</t>
    </rPh>
    <rPh sb="4" eb="6">
      <t>ブンパイ</t>
    </rPh>
    <phoneticPr fontId="50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</si>
  <si>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0"/>
  </si>
  <si>
    <t>=</t>
    <phoneticPr fontId="50"/>
  </si>
  <si>
    <t>X*{SS R5only}</t>
    <phoneticPr fontId="50"/>
  </si>
  <si>
    <t>K</t>
    <phoneticPr fontId="50"/>
  </si>
  <si>
    <t>=</t>
    <phoneticPr fontId="50"/>
  </si>
  <si>
    <t>X*{SS}*(R3率+R4率)</t>
    <rPh sb="10" eb="11">
      <t>リツ</t>
    </rPh>
    <rPh sb="14" eb="15">
      <t>リツ</t>
    </rPh>
    <phoneticPr fontId="50"/>
  </si>
  <si>
    <t>L</t>
    <phoneticPr fontId="50"/>
  </si>
  <si>
    <t>X*{SS}*R5率</t>
    <rPh sb="9" eb="10">
      <t>リツ</t>
    </rPh>
    <phoneticPr fontId="50"/>
  </si>
  <si>
    <t>X*{R6release}*R3率</t>
    <rPh sb="16" eb="17">
      <t>リツ</t>
    </rPh>
    <phoneticPr fontId="50"/>
  </si>
  <si>
    <t>X*{R6release}*R4率</t>
    <rPh sb="16" eb="17">
      <t>リツ</t>
    </rPh>
    <phoneticPr fontId="50"/>
  </si>
  <si>
    <t>J</t>
    <phoneticPr fontId="50"/>
  </si>
  <si>
    <t>X*{R6release}*R5率</t>
    <rPh sb="16" eb="17">
      <t>リツ</t>
    </rPh>
    <phoneticPr fontId="50"/>
  </si>
  <si>
    <t>ハズレで確率を整える</t>
    <rPh sb="4" eb="6">
      <t>カクリツ</t>
    </rPh>
    <rPh sb="7" eb="8">
      <t>トトノエル</t>
    </rPh>
    <phoneticPr fontId="50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</si>
  <si>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0"/>
  </si>
  <si>
    <t>A + C</t>
    <phoneticPr fontId="50"/>
  </si>
  <si>
    <t>=</t>
    <phoneticPr fontId="50"/>
  </si>
  <si>
    <t>50%-H</t>
    <phoneticPr fontId="50"/>
  </si>
  <si>
    <t>①</t>
    <phoneticPr fontId="50"/>
  </si>
  <si>
    <t>B + D + F</t>
    <phoneticPr fontId="50"/>
  </si>
  <si>
    <t>45%-I-K</t>
    <phoneticPr fontId="50"/>
  </si>
  <si>
    <t>②</t>
    <phoneticPr fontId="50"/>
  </si>
  <si>
    <t>E+G</t>
    <phoneticPr fontId="50"/>
  </si>
  <si>
    <t>5%-J-L-M</t>
    <phoneticPr fontId="50"/>
  </si>
  <si>
    <t>③</t>
    <phoneticPr fontId="50"/>
  </si>
  <si>
    <t>A+B</t>
    <phoneticPr fontId="50"/>
  </si>
  <si>
    <t>Y*{W}</t>
    <phoneticPr fontId="50"/>
  </si>
  <si>
    <t>④</t>
    <phoneticPr fontId="50"/>
  </si>
  <si>
    <t>C+D+E</t>
    <phoneticPr fontId="50"/>
  </si>
  <si>
    <t>Y*{N,S}</t>
    <phoneticPr fontId="50"/>
  </si>
  <si>
    <t>⑤</t>
    <phoneticPr fontId="50"/>
  </si>
  <si>
    <t>F+G</t>
    <phoneticPr fontId="50"/>
  </si>
  <si>
    <t>Y*{N,S R3less}</t>
    <phoneticPr fontId="50"/>
  </si>
  <si>
    <t>⑥</t>
    <phoneticPr fontId="50"/>
  </si>
  <si>
    <t>A+B+C+D+E+F+G</t>
    <phoneticPr fontId="50"/>
  </si>
  <si>
    <t>⑦</t>
    <phoneticPr fontId="50"/>
  </si>
  <si>
    <t>←これは4,5,6で作れるのでダメだわ</t>
    <rPh sb="10" eb="11">
      <t>ツクレル</t>
    </rPh>
    <phoneticPr fontId="50"/>
  </si>
  <si>
    <t>E*R3率/R5率</t>
    <rPh sb="4" eb="5">
      <t>リツ</t>
    </rPh>
    <rPh sb="8" eb="9">
      <t>リツ</t>
    </rPh>
    <phoneticPr fontId="50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</si>
  <si>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0"/>
  </si>
  <si>
    <t>E*R4率/R5率</t>
    <rPh sb="4" eb="5">
      <t>リツ</t>
    </rPh>
    <rPh sb="8" eb="9">
      <t>リツ</t>
    </rPh>
    <phoneticPr fontId="50"/>
  </si>
  <si>
    <t>∴</t>
    <phoneticPr fontId="50"/>
  </si>
  <si>
    <t>E</t>
    <phoneticPr fontId="50"/>
  </si>
  <si>
    <t>Y*{N,S}*R5率</t>
    <rPh sb="10" eb="11">
      <t>リツ</t>
    </rPh>
    <phoneticPr fontId="50"/>
  </si>
  <si>
    <t>Y*{N,S}*R4率</t>
    <rPh sb="10" eb="11">
      <t>リツ</t>
    </rPh>
    <phoneticPr fontId="50"/>
  </si>
  <si>
    <t>Y*{N,S}*R3率</t>
    <rPh sb="10" eb="11">
      <t>リツ</t>
    </rPh>
    <phoneticPr fontId="50"/>
  </si>
  <si>
    <t>50%-H-C</t>
    <phoneticPr fontId="50"/>
  </si>
  <si>
    <t>Y*{W}-A</t>
    <phoneticPr fontId="50"/>
  </si>
  <si>
    <t>5%-J-L-M-E</t>
    <phoneticPr fontId="50"/>
  </si>
  <si>
    <t>Y*{N,S R3less} - G</t>
    <phoneticPr fontId="50"/>
  </si>
  <si>
    <t>R6境界前後</t>
    <rPh sb="2" eb="4">
      <t>キョウカイ</t>
    </rPh>
    <rPh sb="4" eb="6">
      <t>ゼンゴ</t>
    </rPh>
    <phoneticPr fontId="17"/>
  </si>
  <si>
    <t>R6事後開放N,S</t>
    <rPh sb="2" eb="6">
      <t>ジゴカイホウ</t>
    </rPh>
    <phoneticPr fontId="17"/>
  </si>
  <si>
    <t>PremiumW3</t>
    <phoneticPr fontId="17"/>
  </si>
  <si>
    <t>PremiumW4</t>
    <phoneticPr fontId="17"/>
  </si>
  <si>
    <t>ラベル確率</t>
    <rPh sb="3" eb="5">
      <t>カクリツ</t>
    </rPh>
    <phoneticPr fontId="17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</si>
  <si>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</si>
  <si>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</si>
  <si>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</si>
  <si>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</si>
  <si>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</si>
  <si>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7"/>
  </si>
  <si>
    <t>PremiumSS5R5only</t>
  </si>
  <si>
    <t>計算用中間データ</t>
    <rPh sb="0" eb="3">
      <t>ケイサンヨウ</t>
    </rPh>
    <rPh sb="3" eb="5">
      <t>チュウカン</t>
    </rPh>
    <phoneticPr fontId="17"/>
  </si>
  <si>
    <t>X</t>
    <phoneticPr fontId="17"/>
  </si>
  <si>
    <t>Y</t>
    <phoneticPr fontId="17"/>
  </si>
  <si>
    <t>対象数</t>
    <rPh sb="0" eb="3">
      <t>タイショウスウ</t>
    </rPh>
    <phoneticPr fontId="17"/>
  </si>
  <si>
    <t>PremiumW</t>
    <phoneticPr fontId="17"/>
  </si>
  <si>
    <t>PremiumN</t>
    <phoneticPr fontId="17"/>
  </si>
  <si>
    <t>PremiumS</t>
    <phoneticPr fontId="17"/>
  </si>
  <si>
    <t>PremiumSS</t>
    <phoneticPr fontId="17"/>
  </si>
  <si>
    <t>←R6分はここから差し引く</t>
    <rPh sb="3" eb="4">
      <t>ブン</t>
    </rPh>
    <rPh sb="9" eb="10">
      <t>サシヒク</t>
    </rPh>
    <phoneticPr fontId="17"/>
  </si>
  <si>
    <t>除外確率</t>
    <rPh sb="0" eb="2">
      <t>ジョガイ</t>
    </rPh>
    <rPh sb="2" eb="4">
      <t>カクリツ</t>
    </rPh>
    <phoneticPr fontId="17"/>
  </si>
  <si>
    <t>除外数</t>
    <rPh sb="0" eb="3">
      <t>ジョガイスウ</t>
    </rPh>
    <phoneticPr fontId="17"/>
  </si>
  <si>
    <t>もうここは手で入れよう…</t>
    <rPh sb="5" eb="6">
      <t>テ</t>
    </rPh>
    <rPh sb="7" eb="8">
      <t>イレヨウ</t>
    </rPh>
    <phoneticPr fontId="17"/>
  </si>
  <si>
    <t>通常weight</t>
    <rPh sb="0" eb="2">
      <t>ツウジョウ</t>
    </rPh>
    <phoneticPr fontId="17"/>
  </si>
  <si>
    <t>335103</t>
  </si>
  <si>
    <t>ja</t>
  </si>
  <si>
    <t>ガチャ特典</t>
    <rPh sb="3" eb="5">
      <t>トクテン</t>
    </rPh>
    <phoneticPr fontId="17"/>
  </si>
  <si>
    <t>item</t>
    <phoneticPr fontId="17"/>
  </si>
  <si>
    <t>ステップアップフィーバーのSTEP3特典として★6覚醒可能ユニット出現率50%チケットをプレゼント！
※チケットの有効期限は5/26 14:59までとなります</t>
    <rPh sb="25" eb="27">
      <t>カクセイ</t>
    </rPh>
    <rPh sb="27" eb="29">
      <t>カノウ</t>
    </rPh>
    <rPh sb="33" eb="36">
      <t>シュツゲンリツ</t>
    </rPh>
    <rPh sb="57" eb="61">
      <t>ユウコウキゲン</t>
    </rPh>
    <phoneticPr fontId="17"/>
  </si>
  <si>
    <t>★6覚醒ユニット50%券x1</t>
    <rPh sb="2" eb="4">
      <t>カクセイ</t>
    </rPh>
    <rPh sb="11" eb="12">
      <t>ケン</t>
    </rPh>
    <phoneticPr fontId="17"/>
  </si>
  <si>
    <t>skip</t>
    <phoneticPr fontId="17"/>
  </si>
  <si>
    <t>hogehoge</t>
    <phoneticPr fontId="17"/>
  </si>
  <si>
    <t>いつもの確率</t>
    <rPh sb="4" eb="6">
      <t>カクリツ</t>
    </rPh>
    <phoneticPr fontId="17"/>
  </si>
  <si>
    <t>table_no</t>
    <phoneticPr fontId="17"/>
  </si>
  <si>
    <t>character_id</t>
    <phoneticPr fontId="17"/>
  </si>
  <si>
    <t>drop_label2</t>
    <phoneticPr fontId="17"/>
  </si>
  <si>
    <t>color2</t>
    <phoneticPr fontId="17"/>
  </si>
  <si>
    <t>rare</t>
    <phoneticPr fontId="17"/>
  </si>
  <si>
    <t>color</t>
    <phoneticPr fontId="17"/>
  </si>
  <si>
    <t>character_type_id</t>
    <phoneticPr fontId="17"/>
  </si>
  <si>
    <t>character_tribe_id</t>
    <phoneticPr fontId="17"/>
  </si>
  <si>
    <t>old</t>
    <phoneticPr fontId="17"/>
  </si>
  <si>
    <t>gacha_settle_tables_</t>
    <phoneticPr fontId="17"/>
  </si>
  <si>
    <t>tables_settle_338100</t>
    <phoneticPr fontId="17"/>
  </si>
  <si>
    <t>tables_338100</t>
    <phoneticPr fontId="1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</si>
</sst>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</numFmts>
  <fonts count="55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5">
    <xf numFmtId="0" fontId="0" fillId="0" borderId="0"/>
    <xf numFmtId="0" fontId="16" fillId="0" borderId="0"/>
    <xf numFmtId="0" fontId="20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5" fillId="0" borderId="0"/>
    <xf numFmtId="0" fontId="27" fillId="5" borderId="2" applyNumberFormat="0" applyAlignment="0" applyProtection="0"/>
    <xf numFmtId="0" fontId="28" fillId="6" borderId="0" applyNumberFormat="0" applyBorder="0" applyAlignment="0" applyProtection="0"/>
    <xf numFmtId="0" fontId="29" fillId="7" borderId="3" applyNumberFormat="0" applyAlignment="0" applyProtection="0"/>
    <xf numFmtId="0" fontId="30" fillId="0" borderId="0" applyNumberFormat="0" applyFill="0" applyBorder="0" applyAlignment="0" applyProtection="0"/>
    <xf numFmtId="0" fontId="31" fillId="8" borderId="0" applyNumberFormat="0" applyBorder="0" applyAlignment="0" applyProtection="0"/>
    <xf numFmtId="0" fontId="32" fillId="9" borderId="4" applyNumberFormat="0" applyAlignment="0" applyProtection="0"/>
    <xf numFmtId="0" fontId="33" fillId="0" borderId="0" applyNumberFormat="0" applyFill="0" applyBorder="0" applyAlignment="0" applyProtection="0"/>
    <xf numFmtId="0" fontId="34" fillId="0" borderId="5" applyNumberFormat="0" applyFill="0" applyAlignment="0" applyProtection="0"/>
    <xf numFmtId="0" fontId="35" fillId="0" borderId="6" applyNumberFormat="0" applyFill="0" applyAlignment="0" applyProtection="0"/>
    <xf numFmtId="0" fontId="36" fillId="0" borderId="7" applyNumberFormat="0" applyFill="0" applyAlignment="0" applyProtection="0"/>
    <xf numFmtId="0" fontId="36" fillId="0" borderId="0" applyNumberFormat="0" applyFill="0" applyBorder="0" applyAlignment="0" applyProtection="0"/>
    <xf numFmtId="0" fontId="37" fillId="7" borderId="0" applyNumberFormat="0" applyBorder="0" applyAlignment="0" applyProtection="0"/>
    <xf numFmtId="0" fontId="37" fillId="6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1" borderId="0" applyNumberFormat="0" applyBorder="0" applyAlignment="0" applyProtection="0"/>
    <xf numFmtId="0" fontId="37" fillId="5" borderId="0" applyNumberFormat="0" applyBorder="0" applyAlignment="0" applyProtection="0"/>
    <xf numFmtId="0" fontId="37" fillId="7" borderId="0" applyNumberFormat="0" applyBorder="0" applyAlignment="0" applyProtection="0"/>
    <xf numFmtId="0" fontId="37" fillId="12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3" borderId="0" applyNumberFormat="0" applyBorder="0" applyAlignment="0" applyProtection="0"/>
    <xf numFmtId="0" fontId="37" fillId="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4" borderId="0" applyNumberFormat="0" applyBorder="0" applyAlignment="0" applyProtection="0"/>
    <xf numFmtId="0" fontId="38" fillId="6" borderId="0" applyNumberFormat="0" applyBorder="0" applyAlignment="0" applyProtection="0"/>
    <xf numFmtId="0" fontId="30" fillId="0" borderId="0" applyNumberFormat="0" applyFill="0" applyBorder="0" applyAlignment="0" applyProtection="0"/>
    <xf numFmtId="0" fontId="38" fillId="14" borderId="0" applyNumberFormat="0" applyBorder="0" applyAlignment="0" applyProtection="0"/>
    <xf numFmtId="0" fontId="38" fillId="15" borderId="0" applyNumberFormat="0" applyBorder="0" applyAlignment="0" applyProtection="0"/>
    <xf numFmtId="0" fontId="38" fillId="10" borderId="0" applyNumberFormat="0" applyBorder="0" applyAlignment="0" applyProtection="0"/>
    <xf numFmtId="0" fontId="38" fillId="1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9" fillId="17" borderId="0" applyNumberFormat="0" applyBorder="0" applyAlignment="0" applyProtection="0"/>
    <xf numFmtId="0" fontId="28" fillId="6" borderId="0" applyNumberFormat="0" applyBorder="0" applyAlignment="0" applyProtection="0"/>
    <xf numFmtId="0" fontId="40" fillId="0" borderId="8" applyNumberFormat="0" applyFill="0" applyAlignment="0" applyProtection="0"/>
    <xf numFmtId="0" fontId="41" fillId="7" borderId="9" applyNumberFormat="0" applyAlignment="0" applyProtection="0"/>
    <xf numFmtId="0" fontId="41" fillId="18" borderId="9" applyNumberFormat="0" applyAlignment="0" applyProtection="0"/>
    <xf numFmtId="0" fontId="29" fillId="6" borderId="3" applyNumberFormat="0" applyAlignment="0" applyProtection="0"/>
    <xf numFmtId="0" fontId="42" fillId="0" borderId="10" applyNumberFormat="0" applyFill="0" applyAlignment="0" applyProtection="0"/>
    <xf numFmtId="0" fontId="43" fillId="18" borderId="3" applyNumberFormat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11" applyNumberFormat="0" applyFill="0" applyAlignment="0" applyProtection="0"/>
    <xf numFmtId="38" fontId="15" fillId="0" borderId="0" applyFont="0" applyFill="0" applyBorder="0" applyAlignment="0" applyProtection="0">
      <alignment vertical="center"/>
    </xf>
    <xf numFmtId="0" fontId="46" fillId="19" borderId="0" applyNumberFormat="0" applyBorder="0" applyAlignment="0" applyProtection="0"/>
    <xf numFmtId="0" fontId="47" fillId="20" borderId="0" applyNumberFormat="0" applyBorder="0" applyAlignment="0" applyProtection="0"/>
    <xf numFmtId="0" fontId="15" fillId="0" borderId="0"/>
    <xf numFmtId="0" fontId="48" fillId="20" borderId="0" applyNumberFormat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0" fillId="0" borderId="0"/>
    <xf numFmtId="0" fontId="51" fillId="0" borderId="0">
      <alignment vertical="center"/>
    </xf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8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9" fontId="52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5" fillId="0" borderId="0"/>
    <xf numFmtId="38" fontId="52" fillId="0" borderId="0" applyFont="0" applyFill="0" applyBorder="0" applyAlignment="0" applyProtection="0"/>
    <xf numFmtId="0" fontId="3" fillId="0" borderId="0"/>
  </cellStyleXfs>
  <cellXfs count="95">
    <xf numFmtId="0" fontId="0" fillId="0" borderId="0" xfId="0"/>
    <xf numFmtId="0" fontId="22" fillId="0" borderId="0" xfId="2" applyFont="1" applyAlignment="1">
      <alignment vertical="center"/>
    </xf>
    <xf numFmtId="0" fontId="22" fillId="0" borderId="1" xfId="2" applyFont="1" applyBorder="1" applyAlignment="1">
      <alignment vertical="center"/>
    </xf>
    <xf numFmtId="0" fontId="22" fillId="3" borderId="1" xfId="2" applyFont="1" applyFill="1" applyBorder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2" fillId="4" borderId="1" xfId="2" applyFont="1" applyFill="1" applyBorder="1" applyAlignment="1">
      <alignment vertical="center"/>
    </xf>
    <xf numFmtId="0" fontId="21" fillId="4" borderId="1" xfId="0" applyFont="1" applyFill="1" applyBorder="1" applyAlignment="1">
      <alignment horizontal="right" vertical="center"/>
    </xf>
    <xf numFmtId="0" fontId="22" fillId="3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vertical="center"/>
    </xf>
    <xf numFmtId="0" fontId="22" fillId="0" borderId="13" xfId="2" applyFont="1" applyBorder="1" applyAlignment="1">
      <alignment vertical="center"/>
    </xf>
    <xf numFmtId="0" fontId="21" fillId="4" borderId="12" xfId="0" applyFont="1" applyFill="1" applyBorder="1" applyAlignment="1">
      <alignment horizontal="right" vertical="center"/>
    </xf>
    <xf numFmtId="0" fontId="21" fillId="4" borderId="14" xfId="0" applyFont="1" applyFill="1" applyBorder="1" applyAlignment="1">
      <alignment horizontal="right" vertical="center"/>
    </xf>
    <xf numFmtId="0" fontId="22" fillId="0" borderId="15" xfId="2" applyFont="1" applyBorder="1" applyAlignment="1">
      <alignment vertical="center"/>
    </xf>
    <xf numFmtId="0" fontId="22" fillId="2" borderId="1" xfId="2" applyFont="1" applyFill="1" applyBorder="1" applyAlignment="1">
      <alignment horizontal="left" vertical="center"/>
    </xf>
    <xf numFmtId="0" fontId="49" fillId="21" borderId="1" xfId="0" applyFont="1" applyFill="1" applyBorder="1" applyAlignment="1">
      <alignment horizontal="left" vertical="center"/>
    </xf>
    <xf numFmtId="0" fontId="22" fillId="2" borderId="1" xfId="2" applyFont="1" applyFill="1" applyBorder="1" applyAlignment="1">
      <alignment horizontal="center" vertical="center"/>
    </xf>
    <xf numFmtId="0" fontId="24" fillId="22" borderId="1" xfId="2978" applyFont="1" applyFill="1" applyBorder="1"/>
    <xf numFmtId="0" fontId="10" fillId="22" borderId="1" xfId="2978" applyFill="1" applyBorder="1"/>
    <xf numFmtId="0" fontId="10" fillId="0" borderId="0" xfId="2978"/>
    <xf numFmtId="0" fontId="10" fillId="0" borderId="1" xfId="2978" applyBorder="1"/>
    <xf numFmtId="0" fontId="10" fillId="2" borderId="1" xfId="2978" applyFill="1" applyBorder="1"/>
    <xf numFmtId="0" fontId="14" fillId="2" borderId="1" xfId="19" applyFont="1" applyFill="1" applyBorder="1"/>
    <xf numFmtId="0" fontId="15" fillId="2" borderId="1" xfId="19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2" fillId="2" borderId="1" xfId="19" applyFont="1" applyFill="1" applyBorder="1"/>
    <xf numFmtId="0" fontId="10" fillId="2" borderId="1" xfId="19" applyFont="1" applyFill="1" applyBorder="1"/>
    <xf numFmtId="0" fontId="9" fillId="0" borderId="1" xfId="2978" applyFont="1" applyBorder="1"/>
    <xf numFmtId="0" fontId="24" fillId="22" borderId="1" xfId="0" applyFont="1" applyFill="1" applyBorder="1"/>
    <xf numFmtId="0" fontId="49" fillId="23" borderId="1" xfId="0" applyFont="1" applyFill="1" applyBorder="1" applyAlignment="1">
      <alignment horizontal="center" vertical="center"/>
    </xf>
    <xf numFmtId="0" fontId="49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7" fillId="2" borderId="1" xfId="19" applyFont="1" applyFill="1" applyBorder="1"/>
    <xf numFmtId="0" fontId="7" fillId="4" borderId="1" xfId="2978" applyFont="1" applyFill="1" applyBorder="1"/>
    <xf numFmtId="0" fontId="0" fillId="2" borderId="0" xfId="0" applyFill="1"/>
    <xf numFmtId="0" fontId="49" fillId="30" borderId="1" xfId="0" applyFont="1" applyFill="1" applyBorder="1" applyAlignment="1">
      <alignment horizontal="left" vertical="center"/>
    </xf>
    <xf numFmtId="0" fontId="22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1" fillId="25" borderId="1" xfId="0" applyFont="1" applyFill="1" applyBorder="1" applyAlignment="1">
      <alignment horizontal="right" vertical="center"/>
    </xf>
    <xf numFmtId="0" fontId="6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5" fillId="0" borderId="0" xfId="3662"/>
    <xf numFmtId="0" fontId="5" fillId="4" borderId="0" xfId="3662" applyFill="1"/>
    <xf numFmtId="9" fontId="5" fillId="0" borderId="0" xfId="3662" applyNumberFormat="1"/>
    <xf numFmtId="0" fontId="5" fillId="0" borderId="0" xfId="3662" applyFill="1"/>
    <xf numFmtId="9" fontId="5" fillId="0" borderId="0" xfId="3662" applyNumberFormat="1" applyAlignment="1"/>
    <xf numFmtId="0" fontId="5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3" fillId="0" borderId="0" xfId="0" applyFont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4" fillId="32" borderId="1" xfId="0" applyNumberFormat="1" applyFont="1" applyFill="1" applyBorder="1"/>
    <xf numFmtId="38" fontId="22" fillId="4" borderId="1" xfId="3663" quotePrefix="1" applyFont="1" applyFill="1" applyBorder="1" applyAlignment="1">
      <alignment vertical="center"/>
    </xf>
    <xf numFmtId="0" fontId="49" fillId="0" borderId="1" xfId="0" applyFont="1" applyBorder="1" applyAlignment="1">
      <alignment vertical="center"/>
    </xf>
    <xf numFmtId="0" fontId="49" fillId="0" borderId="1" xfId="0" applyFont="1" applyBorder="1" applyAlignment="1">
      <alignment vertical="center" wrapText="1"/>
    </xf>
    <xf numFmtId="0" fontId="4" fillId="0" borderId="1" xfId="3036" applyFont="1" applyBorder="1"/>
    <xf numFmtId="0" fontId="4" fillId="0" borderId="1" xfId="2978" applyFont="1" applyBorder="1"/>
    <xf numFmtId="178" fontId="0" fillId="4" borderId="0" xfId="0" applyNumberFormat="1" applyFill="1"/>
    <xf numFmtId="0" fontId="22" fillId="2" borderId="1" xfId="3664" applyFont="1" applyFill="1" applyBorder="1" applyAlignment="1">
      <alignment horizontal="left" vertical="center"/>
    </xf>
    <xf numFmtId="0" fontId="22" fillId="2" borderId="1" xfId="3664" applyFont="1" applyFill="1" applyBorder="1" applyAlignment="1">
      <alignment horizontal="center" vertical="center"/>
    </xf>
    <xf numFmtId="0" fontId="22" fillId="3" borderId="1" xfId="3664" applyFont="1" applyFill="1" applyBorder="1" applyAlignment="1">
      <alignment horizontal="center" vertical="center"/>
    </xf>
    <xf numFmtId="0" fontId="22" fillId="0" borderId="0" xfId="3664" applyFont="1" applyAlignment="1">
      <alignment vertical="center"/>
    </xf>
    <xf numFmtId="0" fontId="22" fillId="0" borderId="1" xfId="3664" applyFont="1" applyBorder="1" applyAlignment="1">
      <alignment vertical="center"/>
    </xf>
    <xf numFmtId="0" fontId="22" fillId="3" borderId="1" xfId="3664" applyFont="1" applyFill="1" applyBorder="1" applyAlignment="1">
      <alignment vertical="center"/>
    </xf>
    <xf numFmtId="0" fontId="22" fillId="0" borderId="0" xfId="3664" applyFont="1" applyAlignment="1">
      <alignment horizontal="center" vertical="center"/>
    </xf>
    <xf numFmtId="0" fontId="2" fillId="0" borderId="1" xfId="3036" applyFont="1" applyBorder="1"/>
    <xf numFmtId="0" fontId="2" fillId="0" borderId="1" xfId="2978" applyFont="1" applyBorder="1"/>
    <xf numFmtId="0" fontId="2" fillId="4" borderId="1" xfId="2978" applyFont="1" applyFill="1" applyBorder="1"/>
  </cellXfs>
  <cellStyles count="3665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2 3" xfId="3664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妃&amp;鏡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妃&amp;鏡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クジラ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クジラ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ジン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technical</v>
          </cell>
          <cell r="L861" t="str">
            <v>テクニカルタイプ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ジン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technical</v>
          </cell>
          <cell r="L862" t="str">
            <v>テクニカルタイプ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technical</v>
          </cell>
          <cell r="L865" t="str">
            <v>テクニカルタイプ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technical</v>
          </cell>
          <cell r="L866" t="str">
            <v>テクニカルタイプ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attack</v>
          </cell>
          <cell r="L869" t="str">
            <v>攻撃タイプ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>アラジン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attack</v>
          </cell>
          <cell r="L870" t="str">
            <v>攻撃タイプ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ルーン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ルーン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パンドラ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blue</v>
          </cell>
          <cell r="I890">
            <v>5</v>
          </cell>
          <cell r="J890" t="str">
            <v>Drop2N</v>
          </cell>
          <cell r="K890" t="str">
            <v>attack</v>
          </cell>
          <cell r="L890" t="str">
            <v>攻撃タイプ</v>
          </cell>
          <cell r="M890" t="str">
            <v>human</v>
          </cell>
        </row>
        <row r="891">
          <cell r="A891">
            <v>890</v>
          </cell>
          <cell r="B891" t="str">
            <v>ja</v>
          </cell>
          <cell r="C891" t="str">
            <v>パンドラ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blue</v>
          </cell>
          <cell r="I891">
            <v>6</v>
          </cell>
          <cell r="J891" t="str">
            <v>Drop2N</v>
          </cell>
          <cell r="K891" t="str">
            <v>attack</v>
          </cell>
          <cell r="L891" t="str">
            <v>攻撃タイプ</v>
          </cell>
          <cell r="M891" t="str">
            <v>human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CO03_Wiz01_R5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blue</v>
          </cell>
          <cell r="I900">
            <v>5</v>
          </cell>
          <cell r="J900" t="str">
            <v>DropWizS</v>
          </cell>
          <cell r="K900" t="str">
            <v>ss</v>
          </cell>
          <cell r="L900" t="str">
            <v>S</v>
          </cell>
          <cell r="M900" t="str">
            <v>god</v>
          </cell>
        </row>
        <row r="901">
          <cell r="A901">
            <v>900</v>
          </cell>
          <cell r="B901" t="str">
            <v>ja</v>
          </cell>
          <cell r="C901" t="str">
            <v>CO03_Wiz01_R6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blue</v>
          </cell>
          <cell r="I901">
            <v>6</v>
          </cell>
          <cell r="J901" t="str">
            <v>DropWizS</v>
          </cell>
          <cell r="K901" t="str">
            <v>ss</v>
          </cell>
          <cell r="L901" t="str">
            <v>S</v>
          </cell>
          <cell r="M901" t="str">
            <v>god</v>
          </cell>
        </row>
        <row r="902">
          <cell r="A902">
            <v>901</v>
          </cell>
          <cell r="B902" t="str">
            <v>ja</v>
          </cell>
          <cell r="C902" t="str">
            <v>CO03_EVE01_R4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ss</v>
          </cell>
          <cell r="L902" t="str">
            <v>S</v>
          </cell>
          <cell r="M902" t="str">
            <v>unknown</v>
          </cell>
        </row>
        <row r="903">
          <cell r="A903">
            <v>902</v>
          </cell>
          <cell r="B903" t="str">
            <v>ja</v>
          </cell>
          <cell r="C903" t="str">
            <v>CO03_EVE01_R5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ss</v>
          </cell>
          <cell r="L903" t="str">
            <v>S</v>
          </cell>
          <cell r="M903" t="str">
            <v>unknown</v>
          </cell>
        </row>
        <row r="904">
          <cell r="A904">
            <v>903</v>
          </cell>
          <cell r="B904" t="str">
            <v>ja</v>
          </cell>
          <cell r="C904" t="str">
            <v>CO03_EVE02_R4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ss</v>
          </cell>
          <cell r="L904" t="str">
            <v>S</v>
          </cell>
          <cell r="M904" t="str">
            <v>unknown</v>
          </cell>
        </row>
        <row r="905">
          <cell r="A905">
            <v>904</v>
          </cell>
          <cell r="B905" t="str">
            <v>ja</v>
          </cell>
          <cell r="C905" t="str">
            <v>CO03_EVE02_R5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ss</v>
          </cell>
          <cell r="L905" t="str">
            <v>S</v>
          </cell>
          <cell r="M905" t="str">
            <v>unknown</v>
          </cell>
        </row>
        <row r="906">
          <cell r="A906">
            <v>905</v>
          </cell>
          <cell r="B906" t="str">
            <v>ja</v>
          </cell>
          <cell r="C906" t="str">
            <v>CO03_EVE03_R4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ss</v>
          </cell>
          <cell r="L906" t="str">
            <v>S</v>
          </cell>
          <cell r="M906" t="str">
            <v>unknown</v>
          </cell>
        </row>
        <row r="907">
          <cell r="A907">
            <v>906</v>
          </cell>
          <cell r="B907" t="str">
            <v>ja</v>
          </cell>
          <cell r="C907" t="str">
            <v>CO03_EVE03_R5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ss</v>
          </cell>
          <cell r="L907" t="str">
            <v>S</v>
          </cell>
          <cell r="M907" t="str">
            <v>unknown</v>
          </cell>
        </row>
        <row r="908">
          <cell r="A908">
            <v>907</v>
          </cell>
          <cell r="B908" t="str">
            <v>ja</v>
          </cell>
          <cell r="C908" t="str">
            <v>CO03_EVE04_R5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unknown</v>
          </cell>
        </row>
        <row r="909">
          <cell r="A909">
            <v>908</v>
          </cell>
          <cell r="B909" t="str">
            <v>ja</v>
          </cell>
          <cell r="C909" t="str">
            <v>CO03_EVE04_R5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unknown</v>
          </cell>
        </row>
        <row r="910">
          <cell r="A910">
            <v>909</v>
          </cell>
          <cell r="B910" t="str">
            <v>ja</v>
          </cell>
          <cell r="C910" t="str">
            <v>CO03_GA01_R5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ss</v>
          </cell>
          <cell r="L910" t="str">
            <v>S</v>
          </cell>
          <cell r="M910" t="str">
            <v>human</v>
          </cell>
        </row>
        <row r="911">
          <cell r="A911">
            <v>910</v>
          </cell>
          <cell r="B911" t="str">
            <v>ja</v>
          </cell>
          <cell r="C911" t="str">
            <v>CO03_GA01_R6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ss</v>
          </cell>
          <cell r="L911" t="str">
            <v>S</v>
          </cell>
          <cell r="M911" t="str">
            <v>human</v>
          </cell>
        </row>
        <row r="912">
          <cell r="A912">
            <v>911</v>
          </cell>
          <cell r="B912" t="str">
            <v>ja</v>
          </cell>
          <cell r="C912" t="str">
            <v>CO03_GA02_R4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ss</v>
          </cell>
          <cell r="L912" t="str">
            <v>S</v>
          </cell>
          <cell r="M912" t="str">
            <v>unknown</v>
          </cell>
        </row>
        <row r="913">
          <cell r="A913">
            <v>912</v>
          </cell>
          <cell r="B913" t="str">
            <v>ja</v>
          </cell>
          <cell r="C913" t="str">
            <v>CO03_GA02_R5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ss</v>
          </cell>
          <cell r="L913" t="str">
            <v>S</v>
          </cell>
          <cell r="M913" t="str">
            <v>unknown</v>
          </cell>
        </row>
        <row r="914">
          <cell r="A914">
            <v>913</v>
          </cell>
          <cell r="B914" t="str">
            <v>ja</v>
          </cell>
          <cell r="C914" t="str">
            <v>CO03_GA03_R4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ss</v>
          </cell>
          <cell r="L914" t="str">
            <v>S</v>
          </cell>
          <cell r="M914" t="str">
            <v>unknown</v>
          </cell>
        </row>
        <row r="915">
          <cell r="A915">
            <v>914</v>
          </cell>
          <cell r="B915" t="str">
            <v>ja</v>
          </cell>
          <cell r="C915" t="str">
            <v>CO03_GA03_R5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ss</v>
          </cell>
          <cell r="L915" t="str">
            <v>S</v>
          </cell>
          <cell r="M915" t="str">
            <v>unknown</v>
          </cell>
        </row>
        <row r="916">
          <cell r="A916">
            <v>915</v>
          </cell>
          <cell r="B916" t="str">
            <v>ja</v>
          </cell>
          <cell r="C916" t="str">
            <v>CO03_GA04_R4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ss</v>
          </cell>
          <cell r="L916" t="str">
            <v>S</v>
          </cell>
          <cell r="M916" t="str">
            <v>human</v>
          </cell>
        </row>
        <row r="917">
          <cell r="A917">
            <v>916</v>
          </cell>
          <cell r="B917" t="str">
            <v>ja</v>
          </cell>
          <cell r="C917" t="str">
            <v>CO03_GA04_R5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ss</v>
          </cell>
          <cell r="L917" t="str">
            <v>S</v>
          </cell>
          <cell r="M917" t="str">
            <v>human</v>
          </cell>
        </row>
        <row r="918">
          <cell r="A918">
            <v>917</v>
          </cell>
          <cell r="B918" t="str">
            <v>ja</v>
          </cell>
          <cell r="C918" t="str">
            <v>CO03_GA05_R3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PremiumN</v>
          </cell>
          <cell r="K918" t="str">
            <v>ss</v>
          </cell>
          <cell r="L918" t="str">
            <v>S</v>
          </cell>
          <cell r="M918" t="str">
            <v>unknown</v>
          </cell>
        </row>
        <row r="919">
          <cell r="A919">
            <v>918</v>
          </cell>
          <cell r="B919" t="str">
            <v>ja</v>
          </cell>
          <cell r="C919" t="str">
            <v>CO03_GA05_R4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PremiumN</v>
          </cell>
          <cell r="K919" t="str">
            <v>ss</v>
          </cell>
          <cell r="L919" t="str">
            <v>S</v>
          </cell>
          <cell r="M919" t="str">
            <v>unknown</v>
          </cell>
        </row>
        <row r="920">
          <cell r="A920">
            <v>919</v>
          </cell>
          <cell r="B920" t="str">
            <v>ja</v>
          </cell>
          <cell r="C920" t="str">
            <v>CO03_GA06_R5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ss</v>
          </cell>
          <cell r="L920" t="str">
            <v>S</v>
          </cell>
          <cell r="M920" t="str">
            <v>human</v>
          </cell>
        </row>
        <row r="921">
          <cell r="A921">
            <v>920</v>
          </cell>
          <cell r="B921" t="str">
            <v>ja</v>
          </cell>
          <cell r="C921" t="str">
            <v>CO03_GA06_R6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ss</v>
          </cell>
          <cell r="L921" t="str">
            <v>S</v>
          </cell>
          <cell r="M921" t="str">
            <v>human</v>
          </cell>
        </row>
        <row r="922">
          <cell r="A922">
            <v>921</v>
          </cell>
          <cell r="B922" t="str">
            <v>ja</v>
          </cell>
          <cell r="C922" t="str">
            <v>CO03_GA07_R3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PremiumN</v>
          </cell>
          <cell r="K922" t="str">
            <v>ss</v>
          </cell>
          <cell r="L922" t="str">
            <v>S</v>
          </cell>
          <cell r="M922" t="str">
            <v>unknown</v>
          </cell>
        </row>
        <row r="923">
          <cell r="A923">
            <v>922</v>
          </cell>
          <cell r="B923" t="str">
            <v>ja</v>
          </cell>
          <cell r="C923" t="str">
            <v>CO03_GA07_R4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PremiumN</v>
          </cell>
          <cell r="K923" t="str">
            <v>ss</v>
          </cell>
          <cell r="L923" t="str">
            <v>S</v>
          </cell>
          <cell r="M923" t="str">
            <v>unknown</v>
          </cell>
        </row>
        <row r="924">
          <cell r="A924">
            <v>923</v>
          </cell>
          <cell r="B924" t="str">
            <v>ja</v>
          </cell>
          <cell r="C924" t="str">
            <v>CO03_GA08_R3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PremiumN</v>
          </cell>
          <cell r="K924" t="str">
            <v>ss</v>
          </cell>
          <cell r="L924" t="str">
            <v>S</v>
          </cell>
          <cell r="M924" t="str">
            <v>unknown</v>
          </cell>
        </row>
        <row r="925">
          <cell r="A925">
            <v>924</v>
          </cell>
          <cell r="B925" t="str">
            <v>ja</v>
          </cell>
          <cell r="C925" t="str">
            <v>CO03_GA08_R4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PremiumN</v>
          </cell>
          <cell r="K925" t="str">
            <v>ss</v>
          </cell>
          <cell r="L925" t="str">
            <v>S</v>
          </cell>
          <cell r="M925" t="str">
            <v>unknown</v>
          </cell>
        </row>
        <row r="926">
          <cell r="A926">
            <v>925</v>
          </cell>
          <cell r="B926" t="str">
            <v>ja</v>
          </cell>
          <cell r="C926" t="str">
            <v>CO03_GA09_R3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ss</v>
          </cell>
          <cell r="L926" t="str">
            <v>S</v>
          </cell>
          <cell r="M926" t="str">
            <v>unknown</v>
          </cell>
        </row>
        <row r="927">
          <cell r="A927">
            <v>926</v>
          </cell>
          <cell r="B927" t="str">
            <v>ja</v>
          </cell>
          <cell r="C927" t="str">
            <v>CO03_GA09_R4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ss</v>
          </cell>
          <cell r="L927" t="str">
            <v>S</v>
          </cell>
          <cell r="M927" t="str">
            <v>unknown</v>
          </cell>
        </row>
        <row r="928">
          <cell r="A928">
            <v>927</v>
          </cell>
          <cell r="B928" t="str">
            <v>ja</v>
          </cell>
          <cell r="C928" t="str">
            <v>CO03_GA10_R3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PremiumN</v>
          </cell>
          <cell r="K928" t="str">
            <v>ss</v>
          </cell>
          <cell r="L928" t="str">
            <v>S</v>
          </cell>
          <cell r="M928" t="str">
            <v>unknown</v>
          </cell>
        </row>
        <row r="929">
          <cell r="A929">
            <v>928</v>
          </cell>
          <cell r="B929" t="str">
            <v>ja</v>
          </cell>
          <cell r="C929" t="str">
            <v>CO03_GA10_R4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PremiumN</v>
          </cell>
          <cell r="K929" t="str">
            <v>ss</v>
          </cell>
          <cell r="L929" t="str">
            <v>S</v>
          </cell>
          <cell r="M929" t="str">
            <v>unknown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Drop2N</v>
          </cell>
          <cell r="K930" t="str">
            <v>attack</v>
          </cell>
          <cell r="L930" t="str">
            <v>攻撃タイプ</v>
          </cell>
          <cell r="M930" t="str">
            <v>human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Drop2N</v>
          </cell>
          <cell r="K931" t="str">
            <v>attack</v>
          </cell>
          <cell r="L931" t="str">
            <v>攻撃タイプ</v>
          </cell>
          <cell r="M931" t="str">
            <v>human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Drop2N</v>
          </cell>
          <cell r="K961" t="str">
            <v>attack</v>
          </cell>
          <cell r="L961" t="str">
            <v>攻撃タイプ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Drop2N</v>
          </cell>
          <cell r="K962" t="str">
            <v>attack</v>
          </cell>
          <cell r="L962" t="str">
            <v>攻撃タイプ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Drop2N</v>
          </cell>
          <cell r="K963" t="str">
            <v>attack</v>
          </cell>
          <cell r="L963" t="str">
            <v>攻撃タイプ</v>
          </cell>
          <cell r="M963" t="str">
            <v>human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Drop2N</v>
          </cell>
          <cell r="K964" t="str">
            <v>attack</v>
          </cell>
          <cell r="L964" t="str">
            <v>攻撃タイプ</v>
          </cell>
          <cell r="M964" t="str">
            <v>human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Drop2N</v>
          </cell>
          <cell r="K965" t="str">
            <v>attack</v>
          </cell>
          <cell r="L965" t="str">
            <v>攻撃タイプ</v>
          </cell>
          <cell r="M965" t="str">
            <v>human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Drop2N</v>
          </cell>
          <cell r="K966" t="str">
            <v>attack</v>
          </cell>
          <cell r="L966" t="str">
            <v>攻撃タイプ</v>
          </cell>
          <cell r="M966" t="str">
            <v>human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Drop2N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Drop2N</v>
          </cell>
          <cell r="K968" t="str">
            <v>attack</v>
          </cell>
          <cell r="L968" t="str">
            <v>攻撃タイプ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Drop2N</v>
          </cell>
          <cell r="K969" t="str">
            <v>attack</v>
          </cell>
          <cell r="L969" t="str">
            <v>攻撃タイプ</v>
          </cell>
          <cell r="M969" t="str">
            <v>human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Drop2N</v>
          </cell>
          <cell r="K970" t="str">
            <v>attack</v>
          </cell>
          <cell r="L970" t="str">
            <v>攻撃タイプ</v>
          </cell>
          <cell r="M970" t="str">
            <v>human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Drop2N</v>
          </cell>
          <cell r="K971" t="str">
            <v>attack</v>
          </cell>
          <cell r="L971" t="str">
            <v>攻撃タイプ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Drop2N</v>
          </cell>
          <cell r="K972" t="str">
            <v>attack</v>
          </cell>
          <cell r="L972" t="str">
            <v>攻撃タイプ</v>
          </cell>
          <cell r="M972" t="str">
            <v>human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red</v>
          </cell>
          <cell r="I975">
            <v>5</v>
          </cell>
          <cell r="J975" t="str">
            <v>Drop2N</v>
          </cell>
          <cell r="K975" t="str">
            <v>attack</v>
          </cell>
          <cell r="L975" t="str">
            <v>攻撃タイプ</v>
          </cell>
          <cell r="M975" t="str">
            <v>human</v>
          </cell>
        </row>
        <row r="976">
          <cell r="A976">
            <v>975</v>
          </cell>
          <cell r="B976" t="str">
            <v>ja</v>
          </cell>
          <cell r="C976" t="str">
            <v>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Drop2N</v>
          </cell>
          <cell r="K976" t="str">
            <v>attack</v>
          </cell>
          <cell r="L976" t="str">
            <v>攻撃タイプ</v>
          </cell>
          <cell r="M976" t="str">
            <v>human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1040</v>
          </cell>
          <cell r="B978" t="str">
            <v>ja</v>
          </cell>
          <cell r="C978" t="str">
            <v>UsagiKun</v>
          </cell>
          <cell r="D978" t="str">
            <v>各属性相性良3・黄・R458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5</v>
          </cell>
          <cell r="J978" t="str">
            <v>DropWizSSS</v>
          </cell>
          <cell r="K978" t="str">
            <v>attack</v>
          </cell>
          <cell r="L978" t="str">
            <v>攻撃タイプ</v>
          </cell>
          <cell r="M978" t="str">
            <v>unknown</v>
          </cell>
        </row>
        <row r="979">
          <cell r="A979">
            <v>8001</v>
          </cell>
          <cell r="B979" t="str">
            <v>ja</v>
          </cell>
          <cell r="C979" t="str">
            <v>媽祖</v>
          </cell>
          <cell r="D979" t="str">
            <v>イベント:ミクコラボ01</v>
          </cell>
          <cell r="E979" t="str">
            <v>執行者</v>
          </cell>
          <cell r="F979" t="str">
            <v>格好いい</v>
          </cell>
          <cell r="G979" t="str">
            <v>女性</v>
          </cell>
          <cell r="H979" t="str">
            <v>yellow</v>
          </cell>
          <cell r="I979">
            <v>5</v>
          </cell>
          <cell r="J979" t="str">
            <v>PremiumSS</v>
          </cell>
          <cell r="K979" t="str">
            <v>attack</v>
          </cell>
          <cell r="L979" t="str">
            <v>攻撃タイプ</v>
          </cell>
          <cell r="M979" t="str">
            <v>god</v>
          </cell>
        </row>
        <row r="980">
          <cell r="A980">
            <v>8002</v>
          </cell>
          <cell r="B980" t="str">
            <v>ja</v>
          </cell>
          <cell r="C980" t="str">
            <v>天后 媽祖</v>
          </cell>
          <cell r="D980" t="str">
            <v>イベント:ミクコラボ01</v>
          </cell>
          <cell r="E980" t="str">
            <v>執行者</v>
          </cell>
          <cell r="F980" t="str">
            <v>格好いい</v>
          </cell>
          <cell r="G980" t="str">
            <v>女性</v>
          </cell>
          <cell r="H980" t="str">
            <v>yellow</v>
          </cell>
          <cell r="I980">
            <v>6</v>
          </cell>
          <cell r="J980" t="str">
            <v>PremiumSS</v>
          </cell>
          <cell r="K980" t="str">
            <v>attack</v>
          </cell>
          <cell r="L980" t="str">
            <v>攻撃タイプ</v>
          </cell>
          <cell r="M980" t="str">
            <v>god</v>
          </cell>
        </row>
        <row r="981">
          <cell r="A981">
            <v>8003</v>
          </cell>
          <cell r="B981" t="str">
            <v>ja</v>
          </cell>
          <cell r="C981" t="str">
            <v>蛟龍</v>
          </cell>
          <cell r="D981" t="str">
            <v>イベント:ミクコラボ01</v>
          </cell>
          <cell r="E981" t="str">
            <v>執行者</v>
          </cell>
          <cell r="F981" t="str">
            <v>格好いい</v>
          </cell>
          <cell r="G981" t="str">
            <v>不明</v>
          </cell>
          <cell r="H981" t="str">
            <v>red</v>
          </cell>
          <cell r="I981">
            <v>5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dragon</v>
          </cell>
        </row>
        <row r="982">
          <cell r="A982">
            <v>8004</v>
          </cell>
          <cell r="B982" t="str">
            <v>ja</v>
          </cell>
          <cell r="C982" t="str">
            <v>深海蛟龍怪‧晏公</v>
          </cell>
          <cell r="D982" t="str">
            <v>イベント:ミクコラボ01</v>
          </cell>
          <cell r="E982" t="str">
            <v>執行者</v>
          </cell>
          <cell r="F982" t="str">
            <v>格好いい</v>
          </cell>
          <cell r="G982" t="str">
            <v>不明</v>
          </cell>
          <cell r="H982" t="str">
            <v>green</v>
          </cell>
          <cell r="I982">
            <v>6</v>
          </cell>
          <cell r="J982" t="str">
            <v>DropWizS</v>
          </cell>
          <cell r="K982" t="str">
            <v>hp</v>
          </cell>
          <cell r="L982" t="str">
            <v>体力タイプ</v>
          </cell>
          <cell r="M982" t="str">
            <v>dragon</v>
          </cell>
        </row>
        <row r="983">
          <cell r="A983">
            <v>8005</v>
          </cell>
          <cell r="B983" t="str">
            <v>ja</v>
          </cell>
          <cell r="C983" t="str">
            <v>三蔵法師</v>
          </cell>
          <cell r="D983" t="str">
            <v>イベント:ミクコラボ01</v>
          </cell>
          <cell r="E983" t="str">
            <v>執行者</v>
          </cell>
          <cell r="F983" t="str">
            <v>格好いい</v>
          </cell>
          <cell r="G983" t="str">
            <v>不明</v>
          </cell>
          <cell r="H983" t="str">
            <v>blue</v>
          </cell>
          <cell r="I983">
            <v>5</v>
          </cell>
          <cell r="J983" t="str">
            <v>PremiumSS</v>
          </cell>
          <cell r="K983" t="str">
            <v>heal</v>
          </cell>
          <cell r="L983" t="str">
            <v>回復タイプ</v>
          </cell>
          <cell r="M983" t="str">
            <v>human</v>
          </cell>
        </row>
        <row r="984">
          <cell r="A984">
            <v>8006</v>
          </cell>
          <cell r="B984" t="str">
            <v>ja</v>
          </cell>
          <cell r="C984" t="str">
            <v>三蔵法師</v>
          </cell>
          <cell r="D984" t="str">
            <v>イベント:ミクコラボ01</v>
          </cell>
          <cell r="E984" t="str">
            <v>執行者</v>
          </cell>
          <cell r="F984" t="str">
            <v>格好いい</v>
          </cell>
          <cell r="G984" t="str">
            <v>不明</v>
          </cell>
          <cell r="H984" t="str">
            <v>yellow</v>
          </cell>
          <cell r="I984">
            <v>6</v>
          </cell>
          <cell r="J984" t="str">
            <v>PremiumSS</v>
          </cell>
          <cell r="K984" t="str">
            <v>heal</v>
          </cell>
          <cell r="L984" t="str">
            <v>回復タイプ</v>
          </cell>
          <cell r="M984" t="str">
            <v>human</v>
          </cell>
        </row>
        <row r="985">
          <cell r="A985">
            <v>8007</v>
          </cell>
          <cell r="B985" t="str">
            <v>ja</v>
          </cell>
          <cell r="C985" t="str">
            <v>孫悟空</v>
          </cell>
          <cell r="D985" t="str">
            <v>イベント:ミクコラボ01</v>
          </cell>
          <cell r="E985" t="str">
            <v>執行者</v>
          </cell>
          <cell r="F985" t="str">
            <v>格好いい</v>
          </cell>
          <cell r="G985" t="str">
            <v>不明</v>
          </cell>
          <cell r="H985" t="str">
            <v>red</v>
          </cell>
          <cell r="I985">
            <v>5</v>
          </cell>
          <cell r="J985" t="str">
            <v>DropWizS</v>
          </cell>
          <cell r="K985" t="str">
            <v>balance</v>
          </cell>
          <cell r="L985" t="str">
            <v>バランスタイプ</v>
          </cell>
          <cell r="M985" t="str">
            <v>animal</v>
          </cell>
        </row>
        <row r="986">
          <cell r="A986">
            <v>8008</v>
          </cell>
          <cell r="B986" t="str">
            <v>ja</v>
          </cell>
          <cell r="C986" t="str">
            <v>孫悟空</v>
          </cell>
          <cell r="D986" t="str">
            <v>イベント:ミクコラボ01</v>
          </cell>
          <cell r="E986" t="str">
            <v>執行者</v>
          </cell>
          <cell r="F986" t="str">
            <v>格好いい</v>
          </cell>
          <cell r="G986" t="str">
            <v>不明</v>
          </cell>
          <cell r="H986" t="str">
            <v>red</v>
          </cell>
          <cell r="I986">
            <v>6</v>
          </cell>
          <cell r="J986" t="str">
            <v>DropWizS</v>
          </cell>
          <cell r="K986" t="str">
            <v>heal</v>
          </cell>
          <cell r="L986" t="str">
            <v>回復タイプ</v>
          </cell>
          <cell r="M986" t="str">
            <v>animal</v>
          </cell>
        </row>
        <row r="987">
          <cell r="A987">
            <v>8009</v>
          </cell>
          <cell r="B987" t="str">
            <v>ja</v>
          </cell>
          <cell r="C987" t="str">
            <v>七星娘娘</v>
          </cell>
          <cell r="D987" t="str">
            <v>イベント:ミクコラボ01</v>
          </cell>
          <cell r="E987" t="str">
            <v>執行者</v>
          </cell>
          <cell r="F987" t="str">
            <v>格好いい</v>
          </cell>
          <cell r="G987" t="str">
            <v>不明</v>
          </cell>
          <cell r="H987" t="str">
            <v>blue</v>
          </cell>
          <cell r="I987">
            <v>5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god</v>
          </cell>
        </row>
        <row r="988">
          <cell r="A988">
            <v>8010</v>
          </cell>
          <cell r="B988" t="str">
            <v>ja</v>
          </cell>
          <cell r="C988" t="str">
            <v>七星娘娘</v>
          </cell>
          <cell r="D988" t="str">
            <v>イベント:ミクコラボ01</v>
          </cell>
          <cell r="E988" t="str">
            <v>執行者</v>
          </cell>
          <cell r="F988" t="str">
            <v>格好いい</v>
          </cell>
          <cell r="G988" t="str">
            <v>不明</v>
          </cell>
          <cell r="H988" t="str">
            <v>yellow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god</v>
          </cell>
        </row>
        <row r="989">
          <cell r="A989">
            <v>8011</v>
          </cell>
          <cell r="B989" t="str">
            <v>ja</v>
          </cell>
          <cell r="C989" t="str">
            <v>月下老人</v>
          </cell>
          <cell r="D989" t="str">
            <v>イベント:ミクコラボ01</v>
          </cell>
          <cell r="E989" t="str">
            <v>執行者</v>
          </cell>
          <cell r="F989" t="str">
            <v>格好いい</v>
          </cell>
          <cell r="G989" t="str">
            <v>女性</v>
          </cell>
          <cell r="H989" t="str">
            <v>green</v>
          </cell>
          <cell r="I989">
            <v>5</v>
          </cell>
          <cell r="J989" t="str">
            <v>DropWizS</v>
          </cell>
          <cell r="K989" t="str">
            <v>heal</v>
          </cell>
          <cell r="L989" t="str">
            <v>回復タイプ</v>
          </cell>
          <cell r="M989" t="str">
            <v>god</v>
          </cell>
        </row>
        <row r="990">
          <cell r="A990">
            <v>8012</v>
          </cell>
          <cell r="B990" t="str">
            <v>ja</v>
          </cell>
          <cell r="C990" t="str">
            <v>良緣祈福 月下老人</v>
          </cell>
          <cell r="D990" t="str">
            <v>イベント:ミクコラボ01</v>
          </cell>
          <cell r="E990" t="str">
            <v>執行者</v>
          </cell>
          <cell r="F990" t="str">
            <v>格好いい</v>
          </cell>
          <cell r="G990" t="str">
            <v>女性</v>
          </cell>
          <cell r="H990" t="str">
            <v>yellow</v>
          </cell>
          <cell r="I990">
            <v>6</v>
          </cell>
          <cell r="J990" t="str">
            <v>DropWizS</v>
          </cell>
          <cell r="K990" t="str">
            <v>heal</v>
          </cell>
          <cell r="L990" t="str">
            <v>回復タイプ</v>
          </cell>
          <cell r="M990" t="str">
            <v>god</v>
          </cell>
        </row>
        <row r="991">
          <cell r="A991">
            <v>8013</v>
          </cell>
          <cell r="B991" t="str">
            <v>ja</v>
          </cell>
          <cell r="C991" t="str">
            <v>CO04_Wiz01_R5</v>
          </cell>
          <cell r="D991" t="str">
            <v>初音ミクV3</v>
          </cell>
          <cell r="E991" t="str">
            <v>執行者</v>
          </cell>
          <cell r="F991" t="str">
            <v>格好いい</v>
          </cell>
          <cell r="G991" t="str">
            <v>女性</v>
          </cell>
          <cell r="H991" t="str">
            <v>yellow</v>
          </cell>
          <cell r="I991">
            <v>5</v>
          </cell>
          <cell r="J991" t="str">
            <v>DropWizS</v>
          </cell>
          <cell r="K991" t="str">
            <v>balance</v>
          </cell>
          <cell r="L991" t="str">
            <v>バランスタイプ</v>
          </cell>
          <cell r="M991" t="str">
            <v>unknown</v>
          </cell>
        </row>
        <row r="992">
          <cell r="A992">
            <v>8014</v>
          </cell>
          <cell r="B992" t="str">
            <v>ja</v>
          </cell>
          <cell r="C992" t="str">
            <v>CO04_Wiz01_R6</v>
          </cell>
          <cell r="D992" t="str">
            <v>初音ミクV3</v>
          </cell>
          <cell r="E992" t="str">
            <v>執行者</v>
          </cell>
          <cell r="F992" t="str">
            <v>格好いい</v>
          </cell>
          <cell r="G992" t="str">
            <v>女性</v>
          </cell>
          <cell r="H992" t="str">
            <v>yellow</v>
          </cell>
          <cell r="I992">
            <v>6</v>
          </cell>
          <cell r="J992" t="str">
            <v>DropWizS</v>
          </cell>
          <cell r="K992" t="str">
            <v>balance</v>
          </cell>
          <cell r="L992" t="str">
            <v>バランスタイプ</v>
          </cell>
          <cell r="M992" t="str">
            <v>unknown</v>
          </cell>
        </row>
        <row r="993">
          <cell r="A993">
            <v>8015</v>
          </cell>
          <cell r="B993" t="str">
            <v>ja</v>
          </cell>
          <cell r="C993" t="str">
            <v>CO04_ GA01_R5</v>
          </cell>
          <cell r="D993" t="str">
            <v>初音ミク・アペンド</v>
          </cell>
          <cell r="E993" t="str">
            <v>執行者</v>
          </cell>
          <cell r="F993" t="str">
            <v>格好いい</v>
          </cell>
          <cell r="G993" t="str">
            <v>女性</v>
          </cell>
          <cell r="H993" t="str">
            <v>green</v>
          </cell>
          <cell r="I993">
            <v>5</v>
          </cell>
          <cell r="J993" t="str">
            <v>PremiumSSS</v>
          </cell>
          <cell r="K993" t="str">
            <v>technical</v>
          </cell>
          <cell r="L993" t="str">
            <v>テクニカルタイプ</v>
          </cell>
          <cell r="M993" t="str">
            <v>unknown</v>
          </cell>
        </row>
        <row r="994">
          <cell r="A994">
            <v>8016</v>
          </cell>
          <cell r="B994" t="str">
            <v>ja</v>
          </cell>
          <cell r="C994" t="str">
            <v>CO04_ GA01_R6</v>
          </cell>
          <cell r="D994" t="str">
            <v>初音ミク・アペンド</v>
          </cell>
          <cell r="E994" t="str">
            <v>執行者</v>
          </cell>
          <cell r="F994" t="str">
            <v>格好いい</v>
          </cell>
          <cell r="G994" t="str">
            <v>女性</v>
          </cell>
          <cell r="H994" t="str">
            <v>green</v>
          </cell>
          <cell r="I994">
            <v>6</v>
          </cell>
          <cell r="J994" t="str">
            <v>PremiumSSS</v>
          </cell>
          <cell r="K994" t="str">
            <v>technical</v>
          </cell>
          <cell r="L994" t="str">
            <v>テクニカルタイプ</v>
          </cell>
          <cell r="M994" t="str">
            <v>unknown</v>
          </cell>
        </row>
        <row r="995">
          <cell r="A995">
            <v>8017</v>
          </cell>
          <cell r="B995" t="str">
            <v>ja</v>
          </cell>
          <cell r="C995" t="str">
            <v>CO04_ GA02_R5</v>
          </cell>
          <cell r="D995" t="str">
            <v>初音ミク</v>
          </cell>
          <cell r="E995" t="str">
            <v>執行者</v>
          </cell>
          <cell r="F995" t="str">
            <v>格好いい</v>
          </cell>
          <cell r="G995" t="str">
            <v>女性</v>
          </cell>
          <cell r="H995" t="str">
            <v>yellow</v>
          </cell>
          <cell r="I995">
            <v>5</v>
          </cell>
          <cell r="J995" t="str">
            <v>PremiumSSS</v>
          </cell>
          <cell r="K995" t="str">
            <v>balance</v>
          </cell>
          <cell r="L995" t="str">
            <v>バランスタイプ</v>
          </cell>
          <cell r="M995" t="str">
            <v>unknown</v>
          </cell>
        </row>
        <row r="996">
          <cell r="A996">
            <v>8018</v>
          </cell>
          <cell r="B996" t="str">
            <v>ja</v>
          </cell>
          <cell r="C996" t="str">
            <v>CO04_ GA02_R6</v>
          </cell>
          <cell r="D996" t="str">
            <v>初音ミク</v>
          </cell>
          <cell r="E996" t="str">
            <v>執行者</v>
          </cell>
          <cell r="F996" t="str">
            <v>格好いい</v>
          </cell>
          <cell r="G996" t="str">
            <v>女性</v>
          </cell>
          <cell r="H996" t="str">
            <v>yellow</v>
          </cell>
          <cell r="I996">
            <v>6</v>
          </cell>
          <cell r="J996" t="str">
            <v>PremiumSSS</v>
          </cell>
          <cell r="K996" t="str">
            <v>balance</v>
          </cell>
          <cell r="L996" t="str">
            <v>バランスタイプ</v>
          </cell>
          <cell r="M996" t="str">
            <v>unknown</v>
          </cell>
        </row>
        <row r="997">
          <cell r="A997">
            <v>8019</v>
          </cell>
          <cell r="B997" t="str">
            <v>ja</v>
          </cell>
          <cell r="C997" t="str">
            <v>CO04_ GA03_R4</v>
          </cell>
          <cell r="D997" t="str">
            <v>鏡音リン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yellow</v>
          </cell>
          <cell r="I997">
            <v>4</v>
          </cell>
          <cell r="J997" t="str">
            <v>PremiumSS</v>
          </cell>
          <cell r="K997" t="str">
            <v>balance</v>
          </cell>
          <cell r="L997" t="str">
            <v>バランスタイプ</v>
          </cell>
          <cell r="M997" t="str">
            <v>unknown</v>
          </cell>
        </row>
        <row r="998">
          <cell r="A998">
            <v>8020</v>
          </cell>
          <cell r="B998" t="str">
            <v>ja</v>
          </cell>
          <cell r="C998" t="str">
            <v>CO04_ GA03_R5</v>
          </cell>
          <cell r="D998" t="str">
            <v>鏡音リン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yellow</v>
          </cell>
          <cell r="I998">
            <v>5</v>
          </cell>
          <cell r="J998" t="str">
            <v>PremiumSS</v>
          </cell>
          <cell r="K998" t="str">
            <v>balance</v>
          </cell>
          <cell r="L998" t="str">
            <v>バランスタイプ</v>
          </cell>
          <cell r="M998" t="str">
            <v>unknown</v>
          </cell>
        </row>
        <row r="999">
          <cell r="A999">
            <v>8021</v>
          </cell>
          <cell r="B999" t="str">
            <v>ja</v>
          </cell>
          <cell r="C999" t="str">
            <v>CO04_ GA04_R4</v>
          </cell>
          <cell r="D999" t="str">
            <v>鏡音レン</v>
          </cell>
          <cell r="E999" t="str">
            <v>執行者</v>
          </cell>
          <cell r="F999" t="str">
            <v>格好いい</v>
          </cell>
          <cell r="G999" t="str">
            <v>女性</v>
          </cell>
          <cell r="H999" t="str">
            <v>red</v>
          </cell>
          <cell r="I999">
            <v>4</v>
          </cell>
          <cell r="J999" t="str">
            <v>PremiumS</v>
          </cell>
          <cell r="K999" t="str">
            <v>heal</v>
          </cell>
          <cell r="L999" t="str">
            <v>回復タイプ</v>
          </cell>
          <cell r="M999" t="str">
            <v>unknown</v>
          </cell>
        </row>
        <row r="1000">
          <cell r="A1000">
            <v>8022</v>
          </cell>
          <cell r="B1000" t="str">
            <v>ja</v>
          </cell>
          <cell r="C1000" t="str">
            <v>CO04_ GA04_R5</v>
          </cell>
          <cell r="D1000" t="str">
            <v>鏡音レン</v>
          </cell>
          <cell r="E1000" t="str">
            <v>執行者</v>
          </cell>
          <cell r="F1000" t="str">
            <v>格好いい</v>
          </cell>
          <cell r="G1000" t="str">
            <v>女性</v>
          </cell>
          <cell r="H1000" t="str">
            <v>red</v>
          </cell>
          <cell r="I1000">
            <v>5</v>
          </cell>
          <cell r="J1000" t="str">
            <v>PremiumS</v>
          </cell>
          <cell r="K1000" t="str">
            <v>heal</v>
          </cell>
          <cell r="L1000" t="str">
            <v>回復タイプ</v>
          </cell>
          <cell r="M1000" t="str">
            <v>unknown</v>
          </cell>
        </row>
        <row r="1001">
          <cell r="A1001">
            <v>8023</v>
          </cell>
          <cell r="B1001" t="str">
            <v>ja</v>
          </cell>
          <cell r="C1001" t="str">
            <v>CO04_ GA05_R3</v>
          </cell>
          <cell r="D1001" t="str">
            <v>巡音ルカ</v>
          </cell>
          <cell r="E1001" t="str">
            <v>執行者</v>
          </cell>
          <cell r="F1001" t="str">
            <v>格好いい</v>
          </cell>
          <cell r="G1001" t="str">
            <v>女性</v>
          </cell>
          <cell r="H1001" t="str">
            <v>red</v>
          </cell>
          <cell r="I1001">
            <v>3</v>
          </cell>
          <cell r="J1001" t="str">
            <v>PremiumS</v>
          </cell>
          <cell r="K1001" t="str">
            <v>attack</v>
          </cell>
          <cell r="L1001" t="str">
            <v>攻撃タイプ</v>
          </cell>
          <cell r="M1001" t="str">
            <v>unknown</v>
          </cell>
        </row>
        <row r="1002">
          <cell r="A1002">
            <v>8024</v>
          </cell>
          <cell r="B1002" t="str">
            <v>ja</v>
          </cell>
          <cell r="C1002" t="str">
            <v>CO04_ GA05_R4</v>
          </cell>
          <cell r="D1002" t="str">
            <v>巡音ルカ</v>
          </cell>
          <cell r="E1002" t="str">
            <v>執行者</v>
          </cell>
          <cell r="F1002" t="str">
            <v>格好いい</v>
          </cell>
          <cell r="G1002" t="str">
            <v>女性</v>
          </cell>
          <cell r="H1002" t="str">
            <v>red</v>
          </cell>
          <cell r="I1002">
            <v>4</v>
          </cell>
          <cell r="J1002" t="str">
            <v>PremiumS</v>
          </cell>
          <cell r="K1002" t="str">
            <v>attack</v>
          </cell>
          <cell r="L1002" t="str">
            <v>攻撃タイプ</v>
          </cell>
          <cell r="M1002" t="str">
            <v>unknown</v>
          </cell>
        </row>
        <row r="1003">
          <cell r="A1003">
            <v>8025</v>
          </cell>
          <cell r="B1003" t="str">
            <v>ja</v>
          </cell>
          <cell r="C1003" t="str">
            <v>CO04_ GA06_R3</v>
          </cell>
          <cell r="D1003" t="str">
            <v>MEIKO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red</v>
          </cell>
          <cell r="I1003">
            <v>3</v>
          </cell>
          <cell r="J1003" t="str">
            <v>PremiumS</v>
          </cell>
          <cell r="K1003" t="str">
            <v>hp</v>
          </cell>
          <cell r="L1003" t="str">
            <v>体力タイプ</v>
          </cell>
          <cell r="M1003" t="str">
            <v>unknown</v>
          </cell>
        </row>
        <row r="1004">
          <cell r="A1004">
            <v>8026</v>
          </cell>
          <cell r="B1004" t="str">
            <v>ja</v>
          </cell>
          <cell r="C1004" t="str">
            <v>CO04_ GA06_R4</v>
          </cell>
          <cell r="D1004" t="str">
            <v>MEIKO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red</v>
          </cell>
          <cell r="I1004">
            <v>4</v>
          </cell>
          <cell r="J1004" t="str">
            <v>PremiumS</v>
          </cell>
          <cell r="K1004" t="str">
            <v>hp</v>
          </cell>
          <cell r="L1004" t="str">
            <v>体力タイプ</v>
          </cell>
          <cell r="M1004" t="str">
            <v>unknown</v>
          </cell>
        </row>
        <row r="1005">
          <cell r="A1005">
            <v>8027</v>
          </cell>
          <cell r="B1005" t="str">
            <v>ja</v>
          </cell>
          <cell r="C1005" t="str">
            <v>CO04_ GA07_R3</v>
          </cell>
          <cell r="D1005" t="str">
            <v>KAITO</v>
          </cell>
          <cell r="E1005" t="str">
            <v>執行者</v>
          </cell>
          <cell r="F1005" t="str">
            <v>格好いい</v>
          </cell>
          <cell r="G1005" t="str">
            <v>女性</v>
          </cell>
          <cell r="H1005" t="str">
            <v>blue</v>
          </cell>
          <cell r="I1005">
            <v>3</v>
          </cell>
          <cell r="J1005" t="str">
            <v>PremiumS</v>
          </cell>
          <cell r="K1005" t="str">
            <v>technical</v>
          </cell>
          <cell r="L1005" t="str">
            <v>テクニカルタイプ</v>
          </cell>
          <cell r="M1005" t="str">
            <v>unknown</v>
          </cell>
        </row>
        <row r="1006">
          <cell r="A1006">
            <v>8028</v>
          </cell>
          <cell r="B1006" t="str">
            <v>ja</v>
          </cell>
          <cell r="C1006" t="str">
            <v>CO04_ GA07_R4</v>
          </cell>
          <cell r="D1006" t="str">
            <v>KAITO</v>
          </cell>
          <cell r="E1006" t="str">
            <v>執行者</v>
          </cell>
          <cell r="F1006" t="str">
            <v>格好いい</v>
          </cell>
          <cell r="G1006" t="str">
            <v>女性</v>
          </cell>
          <cell r="H1006" t="str">
            <v>blue</v>
          </cell>
          <cell r="I1006">
            <v>4</v>
          </cell>
          <cell r="J1006" t="str">
            <v>PremiumS</v>
          </cell>
          <cell r="K1006" t="str">
            <v>technical</v>
          </cell>
          <cell r="L1006" t="str">
            <v>テクニカルタイプ</v>
          </cell>
          <cell r="M1006" t="str">
            <v>unknown</v>
          </cell>
        </row>
        <row r="1007">
          <cell r="A1007">
            <v>8029</v>
          </cell>
          <cell r="B1007" t="str">
            <v>ja</v>
          </cell>
          <cell r="C1007" t="str">
            <v>CO04_ EV01_R4</v>
          </cell>
          <cell r="D1007" t="str">
            <v>Expoミク</v>
          </cell>
          <cell r="E1007" t="str">
            <v>執行者</v>
          </cell>
          <cell r="F1007" t="str">
            <v>格好いい</v>
          </cell>
          <cell r="G1007" t="str">
            <v>女性</v>
          </cell>
          <cell r="H1007" t="str">
            <v>blue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unknown</v>
          </cell>
        </row>
        <row r="1008">
          <cell r="A1008">
            <v>8030</v>
          </cell>
          <cell r="B1008" t="str">
            <v>ja</v>
          </cell>
          <cell r="C1008" t="str">
            <v>CO04_ EV02_R5</v>
          </cell>
          <cell r="D1008" t="str">
            <v>Expoミク</v>
          </cell>
          <cell r="E1008" t="str">
            <v>執行者</v>
          </cell>
          <cell r="F1008" t="str">
            <v>格好いい</v>
          </cell>
          <cell r="G1008" t="str">
            <v>女性</v>
          </cell>
          <cell r="H1008" t="str">
            <v>blue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114</v>
      </c>
      <c r="B1" s="64" t="s">
        <v>115</v>
      </c>
    </row>
    <row r="2" spans="1:13" x14ac:dyDescent="0.15">
      <c r="A2" s="64" t="s">
        <v>116</v>
      </c>
      <c r="B2" s="64" t="s">
        <v>117</v>
      </c>
      <c r="C2" s="64" t="s">
        <v>118</v>
      </c>
      <c r="D2" s="64" t="s">
        <v>119</v>
      </c>
      <c r="E2" s="64" t="s">
        <v>120</v>
      </c>
      <c r="F2" s="64" t="s">
        <v>121</v>
      </c>
      <c r="G2" s="64" t="s">
        <v>122</v>
      </c>
      <c r="H2" s="64" t="s">
        <v>123</v>
      </c>
    </row>
    <row r="3" spans="1:13" x14ac:dyDescent="0.15">
      <c r="A3" s="64">
        <v>3</v>
      </c>
      <c r="B3" s="65" t="s">
        <v>124</v>
      </c>
      <c r="C3" s="65" t="s">
        <v>125</v>
      </c>
      <c r="D3" s="64">
        <v>0</v>
      </c>
      <c r="E3" s="65" t="s">
        <v>126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127</v>
      </c>
      <c r="C4" s="65" t="s">
        <v>128</v>
      </c>
      <c r="D4" s="65" t="s">
        <v>129</v>
      </c>
      <c r="E4" s="65" t="s">
        <v>130</v>
      </c>
      <c r="F4" s="65" t="s">
        <v>131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132</v>
      </c>
      <c r="D5" s="65" t="s">
        <v>133</v>
      </c>
      <c r="E5" s="65" t="s">
        <v>134</v>
      </c>
      <c r="F5" s="65" t="s">
        <v>135</v>
      </c>
      <c r="G5" s="65" t="s">
        <v>136</v>
      </c>
      <c r="H5" s="66">
        <v>0.05</v>
      </c>
    </row>
    <row r="6" spans="1:13" x14ac:dyDescent="0.15">
      <c r="B6" s="66" t="s">
        <v>137</v>
      </c>
      <c r="C6" s="66" t="s">
        <v>137</v>
      </c>
      <c r="D6" s="66" t="s">
        <v>138</v>
      </c>
      <c r="E6" s="66" t="s">
        <v>137</v>
      </c>
      <c r="F6" s="66" t="s">
        <v>137</v>
      </c>
      <c r="G6" s="68" t="s">
        <v>139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140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141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142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143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136</v>
      </c>
      <c r="B12" s="66" t="s">
        <v>144</v>
      </c>
      <c r="C12" s="66" t="s">
        <v>145</v>
      </c>
      <c r="D12" s="66"/>
      <c r="E12" s="66"/>
      <c r="F12" s="66"/>
      <c r="G12" s="68"/>
      <c r="H12" s="66"/>
    </row>
    <row r="13" spans="1:13" x14ac:dyDescent="0.15">
      <c r="A13" s="64" t="s">
        <v>146</v>
      </c>
      <c r="B13" s="64" t="s">
        <v>147</v>
      </c>
      <c r="C13" s="64" t="s">
        <v>148</v>
      </c>
    </row>
    <row r="14" spans="1:13" x14ac:dyDescent="0.15">
      <c r="A14" s="64" t="s">
        <v>149</v>
      </c>
      <c r="B14" s="64" t="s">
        <v>144</v>
      </c>
      <c r="C14" s="67" t="s">
        <v>150</v>
      </c>
      <c r="E14" s="67"/>
      <c r="F14" s="67"/>
      <c r="M14" s="66"/>
    </row>
    <row r="15" spans="1:13" x14ac:dyDescent="0.15">
      <c r="A15" s="64" t="s">
        <v>126</v>
      </c>
      <c r="B15" s="66" t="s">
        <v>144</v>
      </c>
      <c r="C15" s="66" t="s">
        <v>151</v>
      </c>
      <c r="H15" s="69"/>
      <c r="M15" s="66"/>
    </row>
    <row r="16" spans="1:13" x14ac:dyDescent="0.15">
      <c r="A16" s="64" t="s">
        <v>130</v>
      </c>
      <c r="B16" s="66" t="s">
        <v>144</v>
      </c>
      <c r="C16" s="66" t="s">
        <v>152</v>
      </c>
      <c r="M16" s="66"/>
    </row>
    <row r="17" spans="1:13" x14ac:dyDescent="0.15">
      <c r="A17" s="64" t="s">
        <v>153</v>
      </c>
      <c r="B17" s="66" t="s">
        <v>144</v>
      </c>
      <c r="C17" s="66" t="s">
        <v>154</v>
      </c>
      <c r="M17" s="66"/>
    </row>
    <row r="18" spans="1:13" x14ac:dyDescent="0.15">
      <c r="B18" s="66"/>
      <c r="C18" s="66"/>
    </row>
    <row r="19" spans="1:13" x14ac:dyDescent="0.15">
      <c r="A19" s="64" t="s">
        <v>155</v>
      </c>
    </row>
    <row r="20" spans="1:13" x14ac:dyDescent="0.15">
      <c r="A20" s="64" t="s">
        <v>156</v>
      </c>
      <c r="B20" s="66"/>
      <c r="C20" s="66"/>
    </row>
    <row r="21" spans="1:13" x14ac:dyDescent="0.15">
      <c r="A21" s="64" t="s">
        <v>157</v>
      </c>
      <c r="B21" s="66" t="s">
        <v>158</v>
      </c>
      <c r="C21" s="66" t="s">
        <v>159</v>
      </c>
      <c r="D21" s="64" t="s">
        <v>160</v>
      </c>
    </row>
    <row r="22" spans="1:13" x14ac:dyDescent="0.15">
      <c r="A22" s="64" t="s">
        <v>161</v>
      </c>
      <c r="B22" s="66" t="s">
        <v>144</v>
      </c>
      <c r="C22" s="66" t="s">
        <v>162</v>
      </c>
      <c r="D22" s="64" t="s">
        <v>163</v>
      </c>
    </row>
    <row r="23" spans="1:13" x14ac:dyDescent="0.15">
      <c r="A23" s="64" t="s">
        <v>164</v>
      </c>
      <c r="B23" s="66" t="s">
        <v>144</v>
      </c>
      <c r="C23" s="64" t="s">
        <v>165</v>
      </c>
      <c r="D23" s="64" t="s">
        <v>166</v>
      </c>
    </row>
    <row r="24" spans="1:13" x14ac:dyDescent="0.15">
      <c r="A24" s="64" t="s">
        <v>167</v>
      </c>
      <c r="B24" s="66" t="s">
        <v>144</v>
      </c>
      <c r="C24" s="66" t="s">
        <v>168</v>
      </c>
      <c r="D24" s="64" t="s">
        <v>169</v>
      </c>
    </row>
    <row r="25" spans="1:13" x14ac:dyDescent="0.15">
      <c r="A25" s="64" t="s">
        <v>170</v>
      </c>
      <c r="B25" s="66" t="s">
        <v>144</v>
      </c>
      <c r="C25" s="66" t="s">
        <v>171</v>
      </c>
      <c r="D25" s="64" t="s">
        <v>172</v>
      </c>
    </row>
    <row r="26" spans="1:13" x14ac:dyDescent="0.15">
      <c r="A26" s="64" t="s">
        <v>173</v>
      </c>
      <c r="B26" s="66" t="s">
        <v>144</v>
      </c>
      <c r="C26" s="66" t="s">
        <v>174</v>
      </c>
      <c r="D26" s="64" t="s">
        <v>175</v>
      </c>
    </row>
    <row r="27" spans="1:13" x14ac:dyDescent="0.15">
      <c r="A27" s="64" t="s">
        <v>176</v>
      </c>
      <c r="B27" s="66" t="s">
        <v>144</v>
      </c>
      <c r="C27" s="66" t="s">
        <v>138</v>
      </c>
      <c r="D27" s="64" t="s">
        <v>177</v>
      </c>
      <c r="E27" s="64" t="s">
        <v>178</v>
      </c>
    </row>
    <row r="28" spans="1:13" x14ac:dyDescent="0.15">
      <c r="A28" s="64" t="s">
        <v>125</v>
      </c>
      <c r="B28" s="66" t="s">
        <v>144</v>
      </c>
      <c r="C28" s="66" t="s">
        <v>179</v>
      </c>
      <c r="E28" s="64" t="s">
        <v>180</v>
      </c>
    </row>
    <row r="29" spans="1:13" x14ac:dyDescent="0.15">
      <c r="A29" s="64" t="s">
        <v>128</v>
      </c>
      <c r="B29" s="66" t="s">
        <v>144</v>
      </c>
      <c r="C29" s="66" t="s">
        <v>181</v>
      </c>
    </row>
    <row r="30" spans="1:13" x14ac:dyDescent="0.15">
      <c r="B30" s="66"/>
    </row>
    <row r="31" spans="1:13" x14ac:dyDescent="0.15">
      <c r="A31" s="64" t="s">
        <v>182</v>
      </c>
    </row>
    <row r="32" spans="1:13" x14ac:dyDescent="0.15">
      <c r="A32" s="64" t="s">
        <v>183</v>
      </c>
      <c r="B32" s="66" t="s">
        <v>144</v>
      </c>
      <c r="C32" s="66" t="s">
        <v>184</v>
      </c>
    </row>
    <row r="33" spans="1:3" x14ac:dyDescent="0.15">
      <c r="A33" s="64" t="s">
        <v>128</v>
      </c>
      <c r="B33" s="66" t="s">
        <v>144</v>
      </c>
      <c r="C33" s="66" t="s">
        <v>185</v>
      </c>
    </row>
    <row r="34" spans="1:3" x14ac:dyDescent="0.15">
      <c r="A34" s="64" t="s">
        <v>125</v>
      </c>
      <c r="B34" s="66" t="s">
        <v>144</v>
      </c>
      <c r="C34" s="66" t="s">
        <v>186</v>
      </c>
    </row>
    <row r="35" spans="1:3" x14ac:dyDescent="0.15">
      <c r="A35" s="64" t="s">
        <v>124</v>
      </c>
      <c r="B35" s="66" t="s">
        <v>144</v>
      </c>
      <c r="C35" s="66" t="s">
        <v>187</v>
      </c>
    </row>
    <row r="36" spans="1:3" x14ac:dyDescent="0.15">
      <c r="A36" s="64" t="s">
        <v>127</v>
      </c>
      <c r="B36" s="66" t="s">
        <v>144</v>
      </c>
      <c r="C36" s="66" t="s">
        <v>188</v>
      </c>
    </row>
    <row r="37" spans="1:3" x14ac:dyDescent="0.15">
      <c r="A37" s="64" t="s">
        <v>133</v>
      </c>
      <c r="B37" s="66" t="s">
        <v>144</v>
      </c>
      <c r="C37" s="66" t="s">
        <v>189</v>
      </c>
    </row>
    <row r="38" spans="1:3" x14ac:dyDescent="0.15">
      <c r="A38" s="64" t="s">
        <v>129</v>
      </c>
      <c r="B38" s="66" t="s">
        <v>144</v>
      </c>
      <c r="C38" s="66" t="s">
        <v>190</v>
      </c>
    </row>
  </sheetData>
  <phoneticPr fontId="17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17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G3" sqref="G3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2" t="s">
        <v>233</v>
      </c>
      <c r="B2" s="61" t="s">
        <v>113</v>
      </c>
      <c r="C2" s="50" t="str">
        <f>RIGHT(F2,6)</f>
        <v>338100</v>
      </c>
      <c r="D2" s="19" t="s">
        <v>45</v>
      </c>
      <c r="E2" s="17" t="str">
        <f t="shared" ref="E2:E6" si="0">B2&amp;C2&amp;D2</f>
        <v>gacha_select_tables_338100.tmp</v>
      </c>
      <c r="F2" s="94" t="s">
        <v>236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233</v>
      </c>
      <c r="B3" s="93" t="s">
        <v>234</v>
      </c>
      <c r="C3" s="50" t="str">
        <f>RIGHT(F3,6)</f>
        <v>338100</v>
      </c>
      <c r="D3" s="19" t="s">
        <v>45</v>
      </c>
      <c r="E3" s="17" t="str">
        <f t="shared" ref="E3" si="1">B3&amp;C3&amp;D3</f>
        <v>gacha_settle_tables_338100.tmp</v>
      </c>
      <c r="F3" s="94" t="s">
        <v>235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2" t="s">
        <v>222</v>
      </c>
      <c r="B4" s="27" t="s">
        <v>50</v>
      </c>
      <c r="C4" s="83" t="s">
        <v>223</v>
      </c>
      <c r="D4" s="19" t="s">
        <v>46</v>
      </c>
      <c r="E4" s="17" t="str">
        <f t="shared" si="0"/>
        <v>gacha_bonus_tables_hogehoge.tmp</v>
      </c>
      <c r="F4" s="19" t="s">
        <v>47</v>
      </c>
      <c r="G4" s="21" t="s">
        <v>11</v>
      </c>
      <c r="H4" s="23" t="s">
        <v>14</v>
      </c>
      <c r="I4" s="21" t="s">
        <v>12</v>
      </c>
      <c r="J4" s="20"/>
      <c r="K4" s="20"/>
      <c r="L4" s="20"/>
      <c r="M4" s="20"/>
      <c r="N4" s="20"/>
      <c r="O4" s="20"/>
    </row>
    <row r="5" spans="1:21" x14ac:dyDescent="0.15">
      <c r="A5" s="82" t="s">
        <v>222</v>
      </c>
      <c r="B5" s="19" t="s">
        <v>48</v>
      </c>
      <c r="C5" s="83" t="s">
        <v>223</v>
      </c>
      <c r="D5" s="19" t="s">
        <v>46</v>
      </c>
      <c r="E5" s="17" t="str">
        <f t="shared" si="0"/>
        <v>gifts_tmp_hogehoge.tmp</v>
      </c>
      <c r="F5" s="19" t="s">
        <v>47</v>
      </c>
      <c r="G5" s="23" t="s">
        <v>22</v>
      </c>
      <c r="H5" s="24" t="s">
        <v>30</v>
      </c>
      <c r="I5" s="23" t="s">
        <v>23</v>
      </c>
      <c r="J5" s="23" t="s">
        <v>24</v>
      </c>
      <c r="K5" s="23" t="s">
        <v>24</v>
      </c>
      <c r="L5" s="23" t="s">
        <v>25</v>
      </c>
      <c r="M5" s="23" t="s">
        <v>25</v>
      </c>
      <c r="N5" s="23" t="s">
        <v>25</v>
      </c>
      <c r="O5" s="51" t="s">
        <v>7</v>
      </c>
      <c r="P5" s="51" t="s">
        <v>9</v>
      </c>
      <c r="Q5" s="51" t="s">
        <v>6</v>
      </c>
      <c r="R5" s="51" t="s">
        <v>86</v>
      </c>
      <c r="S5" s="51" t="s">
        <v>8</v>
      </c>
      <c r="T5" s="51" t="s">
        <v>87</v>
      </c>
      <c r="U5" s="51" t="s">
        <v>5</v>
      </c>
    </row>
    <row r="6" spans="1:21" x14ac:dyDescent="0.15">
      <c r="A6" s="82" t="s">
        <v>222</v>
      </c>
      <c r="B6" s="19" t="s">
        <v>49</v>
      </c>
      <c r="C6" s="83" t="s">
        <v>223</v>
      </c>
      <c r="D6" s="19" t="s">
        <v>46</v>
      </c>
      <c r="E6" s="17" t="str">
        <f t="shared" si="0"/>
        <v>gifts_i18n_hogehoge.tmp</v>
      </c>
      <c r="F6" s="19" t="s">
        <v>47</v>
      </c>
      <c r="G6" s="23" t="s">
        <v>13</v>
      </c>
      <c r="H6" s="25" t="s">
        <v>26</v>
      </c>
      <c r="I6" s="25" t="s">
        <v>27</v>
      </c>
      <c r="J6" s="25" t="s">
        <v>28</v>
      </c>
      <c r="K6" s="25" t="s">
        <v>29</v>
      </c>
      <c r="L6" s="26"/>
      <c r="M6" s="23"/>
      <c r="N6" s="23"/>
      <c r="O6" s="19"/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workbookViewId="0">
      <selection activeCell="G13" sqref="G13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338100</v>
      </c>
      <c r="L2" s="32" t="s">
        <v>1</v>
      </c>
      <c r="M2" s="37" t="s">
        <v>65</v>
      </c>
      <c r="N2" s="32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2" t="s">
        <v>193</v>
      </c>
      <c r="V2" s="54">
        <f>SUMIF(Q:Q,U2,N:N)</f>
        <v>0</v>
      </c>
    </row>
    <row r="3" spans="1:22" x14ac:dyDescent="0.15">
      <c r="H3" s="73" t="s">
        <v>214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VLOOKUP(L3,tables_338100!B:C,2,FALSE)</f>
        <v>#N/A</v>
      </c>
      <c r="R3" s="62">
        <f t="shared" ref="R3:R20" si="0">N3*A$36</f>
        <v>0</v>
      </c>
      <c r="S3">
        <v>190</v>
      </c>
      <c r="U3" s="32" t="s">
        <v>194</v>
      </c>
      <c r="V3" s="54">
        <f t="shared" ref="V3:V16" si="1">SUMIF(Q:Q,U3,N:N)</f>
        <v>0</v>
      </c>
    </row>
    <row r="4" spans="1:22" x14ac:dyDescent="0.15">
      <c r="A4" s="34" t="s">
        <v>53</v>
      </c>
      <c r="B4" s="34"/>
      <c r="D4" t="s">
        <v>203</v>
      </c>
      <c r="F4" t="s">
        <v>206</v>
      </c>
      <c r="H4" t="s">
        <v>212</v>
      </c>
      <c r="I4" t="s">
        <v>213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VLOOKUP(L4,tables_338100!B:C,2,FALSE)</f>
        <v>#N/A</v>
      </c>
      <c r="R4" s="62">
        <f t="shared" si="0"/>
        <v>0</v>
      </c>
      <c r="S4">
        <v>191</v>
      </c>
      <c r="U4" s="32" t="s">
        <v>97</v>
      </c>
      <c r="V4" s="54">
        <f t="shared" si="1"/>
        <v>0</v>
      </c>
    </row>
    <row r="5" spans="1:22" x14ac:dyDescent="0.15">
      <c r="A5" s="32" t="s">
        <v>68</v>
      </c>
      <c r="B5" s="72">
        <f>1-B6-B7-B8</f>
        <v>4.163336342344337E-17</v>
      </c>
      <c r="D5" t="s">
        <v>204</v>
      </c>
      <c r="E5" s="43">
        <f>(B11-H5)/(F5-I5)</f>
        <v>8.3333333333333328E-4</v>
      </c>
      <c r="F5">
        <f>(COUNTIF(tables_338100!C:C,input_338100!A26)+COUNTIF(tables_338100!C:C,input_338100!A28)+COUNTIF(tables_338100!C:C,input_338100!A29))</f>
        <v>36</v>
      </c>
      <c r="H5" s="84">
        <v>0</v>
      </c>
      <c r="I5" s="31">
        <v>0</v>
      </c>
      <c r="L5" s="1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VLOOKUP(L5,tables_338100!B:C,2,FALSE)</f>
        <v>#N/A</v>
      </c>
      <c r="R5" s="62">
        <f>N5*A$36</f>
        <v>0</v>
      </c>
      <c r="S5">
        <v>192</v>
      </c>
      <c r="U5" s="32" t="s">
        <v>98</v>
      </c>
      <c r="V5" s="54">
        <f t="shared" si="1"/>
        <v>0</v>
      </c>
    </row>
    <row r="6" spans="1:22" x14ac:dyDescent="0.15">
      <c r="A6" s="32" t="s">
        <v>69</v>
      </c>
      <c r="B6" s="72">
        <v>0.95</v>
      </c>
      <c r="D6" t="s">
        <v>205</v>
      </c>
      <c r="E6" s="77">
        <f>(B10-H6)/(F6-I6)</f>
        <v>1.2763157894736843E-2</v>
      </c>
      <c r="F6">
        <f>(COUNTIF(tables_338100!C:C,input_338100!A18)+COUNTIF(tables_338100!C:C,input_338100!A20)+COUNTIF(tables_338100!C:C,input_338100!A22))</f>
        <v>76</v>
      </c>
      <c r="H6" s="84">
        <v>0</v>
      </c>
      <c r="I6" s="31">
        <v>0</v>
      </c>
      <c r="L6" s="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VLOOKUP(L6,tables_338100!B:C,2,FALSE)</f>
        <v>#N/A</v>
      </c>
      <c r="R6" s="62">
        <f t="shared" si="0"/>
        <v>0</v>
      </c>
      <c r="S6">
        <v>596</v>
      </c>
      <c r="U6" s="32" t="s">
        <v>99</v>
      </c>
      <c r="V6" s="54">
        <f t="shared" si="1"/>
        <v>0</v>
      </c>
    </row>
    <row r="7" spans="1:22" x14ac:dyDescent="0.15">
      <c r="A7" s="32" t="s">
        <v>70</v>
      </c>
      <c r="B7" s="72">
        <v>0.05</v>
      </c>
      <c r="L7" s="1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VLOOKUP(L7,tables_338100!B:C,2,FALSE)</f>
        <v>#N/A</v>
      </c>
      <c r="R7" s="62">
        <f t="shared" si="0"/>
        <v>0</v>
      </c>
      <c r="S7">
        <v>597</v>
      </c>
      <c r="U7" s="32" t="s">
        <v>199</v>
      </c>
      <c r="V7" s="54">
        <f t="shared" si="1"/>
        <v>0</v>
      </c>
    </row>
    <row r="8" spans="1:22" x14ac:dyDescent="0.15">
      <c r="A8" s="57"/>
      <c r="B8" s="71"/>
      <c r="L8" s="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VLOOKUP(L8,tables_338100!B:C,2,FALSE)</f>
        <v>#N/A</v>
      </c>
      <c r="R8" s="62">
        <f t="shared" si="0"/>
        <v>0</v>
      </c>
      <c r="S8">
        <v>598</v>
      </c>
      <c r="U8" s="32" t="s">
        <v>200</v>
      </c>
      <c r="V8" s="54">
        <f t="shared" si="1"/>
        <v>0</v>
      </c>
    </row>
    <row r="9" spans="1:22" x14ac:dyDescent="0.15">
      <c r="A9" s="35" t="s">
        <v>54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VLOOKUP(L9,tables_338100!B:C,2,FALSE)</f>
        <v>#N/A</v>
      </c>
      <c r="R9" s="62">
        <f t="shared" si="0"/>
        <v>0</v>
      </c>
      <c r="S9">
        <v>390</v>
      </c>
      <c r="U9" s="32" t="s">
        <v>196</v>
      </c>
      <c r="V9" s="54">
        <f t="shared" si="1"/>
        <v>0</v>
      </c>
    </row>
    <row r="10" spans="1:22" x14ac:dyDescent="0.15">
      <c r="A10" s="32" t="s">
        <v>96</v>
      </c>
      <c r="B10" s="72">
        <f>1-B11-B12-B8</f>
        <v>0.97</v>
      </c>
      <c r="C10" t="s">
        <v>211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VLOOKUP(L10,tables_338100!B:C,2,FALSE)</f>
        <v>#N/A</v>
      </c>
      <c r="R10" s="62">
        <f t="shared" si="0"/>
        <v>0</v>
      </c>
      <c r="S10">
        <v>391</v>
      </c>
      <c r="U10" s="32" t="s">
        <v>197</v>
      </c>
      <c r="V10" s="54">
        <f t="shared" si="1"/>
        <v>0</v>
      </c>
    </row>
    <row r="11" spans="1:22" x14ac:dyDescent="0.15">
      <c r="A11" s="32" t="s">
        <v>56</v>
      </c>
      <c r="B11" s="78">
        <v>0.03</v>
      </c>
      <c r="C11" t="s">
        <v>224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VLOOKUP(L11,tables_338100!B:C,2,FALSE)</f>
        <v>#N/A</v>
      </c>
      <c r="R11" s="62">
        <f t="shared" si="0"/>
        <v>0</v>
      </c>
      <c r="S11">
        <v>811</v>
      </c>
      <c r="U11" s="32" t="s">
        <v>198</v>
      </c>
      <c r="V11" s="54">
        <f t="shared" si="1"/>
        <v>0</v>
      </c>
    </row>
    <row r="12" spans="1:22" x14ac:dyDescent="0.15">
      <c r="A12" s="32" t="s">
        <v>55</v>
      </c>
      <c r="B12" s="33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VLOOKUP(L12,tables_338100!B:C,2,FALSE)</f>
        <v>#N/A</v>
      </c>
      <c r="R12" s="62">
        <f t="shared" si="0"/>
        <v>0</v>
      </c>
      <c r="S12">
        <v>496</v>
      </c>
      <c r="U12" s="32" t="s">
        <v>106</v>
      </c>
      <c r="V12" s="54">
        <f t="shared" si="1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VLOOKUP(L13,tables_338100!B:C,2,FALSE)</f>
        <v>#N/A</v>
      </c>
      <c r="R13" s="62">
        <f t="shared" si="0"/>
        <v>0</v>
      </c>
      <c r="S13">
        <v>497</v>
      </c>
      <c r="U13" s="32" t="s">
        <v>107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VLOOKUP(L14,tables_338100!B:C,2,FALSE)</f>
        <v>#N/A</v>
      </c>
      <c r="R14" s="62">
        <f t="shared" si="0"/>
        <v>0</v>
      </c>
      <c r="S14">
        <v>498</v>
      </c>
      <c r="U14" s="32" t="s">
        <v>202</v>
      </c>
      <c r="V14" s="54">
        <f t="shared" si="1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VLOOKUP(L15,tables_338100!B:C,2,FALSE)</f>
        <v>#N/A</v>
      </c>
      <c r="R15" s="62">
        <f t="shared" si="0"/>
        <v>0</v>
      </c>
      <c r="S15">
        <v>395</v>
      </c>
      <c r="U15" s="32" t="s">
        <v>201</v>
      </c>
      <c r="V15" s="54">
        <f t="shared" si="1"/>
        <v>0</v>
      </c>
    </row>
    <row r="16" spans="1:22" x14ac:dyDescent="0.15">
      <c r="A16" s="32" t="s">
        <v>60</v>
      </c>
      <c r="B16" s="32" t="s">
        <v>195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215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VLOOKUP(L16,tables_338100!B:C,2,FALSE)</f>
        <v>#N/A</v>
      </c>
      <c r="R16" s="62">
        <f t="shared" si="0"/>
        <v>0</v>
      </c>
      <c r="S16">
        <v>396</v>
      </c>
      <c r="U16" s="32" t="s">
        <v>108</v>
      </c>
      <c r="V16" s="54">
        <f t="shared" si="1"/>
        <v>0</v>
      </c>
    </row>
    <row r="17" spans="1:19" x14ac:dyDescent="0.15">
      <c r="A17" s="32" t="s">
        <v>193</v>
      </c>
      <c r="B17" s="56">
        <f>B5-B19-B24</f>
        <v>1.3863179610122023E-17</v>
      </c>
      <c r="C17" s="74">
        <f t="shared" ref="C17:C31" si="2">SUMIF(Q:Q,A17,N:N)</f>
        <v>0</v>
      </c>
      <c r="D17" s="75">
        <f t="shared" ref="D17:D32" si="3">B17-C17</f>
        <v>1.3863179610122023E-17</v>
      </c>
      <c r="E17">
        <f>COUNTIF(tables_338100!C:C,input_338100!A17)-COUNTIF(Q:Q,A17)</f>
        <v>20</v>
      </c>
      <c r="F17" s="43">
        <f>IFERROR(B17/E17,0)</f>
        <v>6.9315898050610118E-19</v>
      </c>
      <c r="G17">
        <f>A$36*B17</f>
        <v>3.7929659413293855E-11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VLOOKUP(L17,tables_338100!B:C,2,FALSE)</f>
        <v>#N/A</v>
      </c>
      <c r="R17" s="62">
        <f t="shared" si="0"/>
        <v>0</v>
      </c>
      <c r="S17">
        <v>397</v>
      </c>
    </row>
    <row r="18" spans="1:19" x14ac:dyDescent="0.15">
      <c r="A18" s="32" t="s">
        <v>194</v>
      </c>
      <c r="B18" s="56">
        <f>E6*E18-B17</f>
        <v>0.25526315789473686</v>
      </c>
      <c r="C18" s="74">
        <f t="shared" si="2"/>
        <v>0</v>
      </c>
      <c r="D18" s="75">
        <f t="shared" si="3"/>
        <v>0.25526315789473686</v>
      </c>
      <c r="E18">
        <f>COUNTIF(tables_338100!C:C,input_338100!A18)-COUNTIF(Q:Q,A18)</f>
        <v>20</v>
      </c>
      <c r="F18" s="43">
        <f t="shared" ref="F18:F31" si="7">IFERROR(B18/E18,0)</f>
        <v>1.2763157894736843E-2</v>
      </c>
      <c r="G18">
        <f t="shared" ref="G18:G31" si="8">A$36*B18</f>
        <v>698400</v>
      </c>
      <c r="H18">
        <f t="shared" si="4"/>
        <v>34920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VLOOKUP(L18,tables_338100!B:C,2,FALSE)</f>
        <v>#N/A</v>
      </c>
      <c r="R18" s="62">
        <f t="shared" si="0"/>
        <v>0</v>
      </c>
      <c r="S18">
        <v>324</v>
      </c>
    </row>
    <row r="19" spans="1:19" x14ac:dyDescent="0.15">
      <c r="A19" s="32" t="s">
        <v>97</v>
      </c>
      <c r="B19" s="56">
        <f>E$6*E19*B5</f>
        <v>2.7631405935243203E-17</v>
      </c>
      <c r="C19" s="74">
        <f t="shared" si="2"/>
        <v>0</v>
      </c>
      <c r="D19" s="75">
        <f t="shared" si="3"/>
        <v>2.7631405935243203E-17</v>
      </c>
      <c r="E19">
        <f>COUNTIF(tables_338100!C:C,input_338100!A19)-COUNTIF(Q:Q,A19)</f>
        <v>52</v>
      </c>
      <c r="F19" s="43">
        <f t="shared" si="7"/>
        <v>5.3137319106236933E-19</v>
      </c>
      <c r="G19">
        <f t="shared" si="8"/>
        <v>7.5599526638825397E-11</v>
      </c>
      <c r="H19">
        <f t="shared" si="4"/>
        <v>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VLOOKUP(L19,tables_338100!B:C,2,FALSE)</f>
        <v>#N/A</v>
      </c>
      <c r="R19" s="62">
        <f t="shared" si="0"/>
        <v>0</v>
      </c>
      <c r="S19">
        <v>325</v>
      </c>
    </row>
    <row r="20" spans="1:19" x14ac:dyDescent="0.15">
      <c r="A20" s="32" t="s">
        <v>98</v>
      </c>
      <c r="B20" s="56">
        <f>E$6*E20*B6</f>
        <v>0.63049999999999995</v>
      </c>
      <c r="C20" s="74">
        <f t="shared" si="2"/>
        <v>0</v>
      </c>
      <c r="D20" s="75">
        <f t="shared" si="3"/>
        <v>0.63049999999999995</v>
      </c>
      <c r="E20">
        <f>COUNTIF(tables_338100!C:C,input_338100!A20)-COUNTIF(Q:Q,A20)</f>
        <v>52</v>
      </c>
      <c r="F20" s="43">
        <f t="shared" si="7"/>
        <v>1.2124999999999999E-2</v>
      </c>
      <c r="G20">
        <f t="shared" si="8"/>
        <v>1725047.9999999998</v>
      </c>
      <c r="H20">
        <f t="shared" si="4"/>
        <v>33174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VLOOKUP(L20,tables_338100!B:C,2,FALSE)</f>
        <v>#N/A</v>
      </c>
      <c r="R20" s="62">
        <f t="shared" si="0"/>
        <v>0</v>
      </c>
      <c r="S20">
        <v>809</v>
      </c>
    </row>
    <row r="21" spans="1:19" x14ac:dyDescent="0.15">
      <c r="A21" s="32" t="s">
        <v>99</v>
      </c>
      <c r="B21" s="56">
        <f>E$6*E21*B7</f>
        <v>3.3184210526315788E-2</v>
      </c>
      <c r="C21" s="74">
        <f t="shared" si="2"/>
        <v>0</v>
      </c>
      <c r="D21" s="75">
        <f t="shared" si="3"/>
        <v>3.3184210526315788E-2</v>
      </c>
      <c r="E21">
        <f>COUNTIF(tables_338100!C:C,input_338100!A21)-COUNTIF(Q:Q,A21)</f>
        <v>52</v>
      </c>
      <c r="F21" s="43">
        <f t="shared" si="7"/>
        <v>6.3815789473684211E-4</v>
      </c>
      <c r="G21">
        <f t="shared" si="8"/>
        <v>90792</v>
      </c>
      <c r="H21">
        <f t="shared" si="4"/>
        <v>1746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2" t="s">
        <v>199</v>
      </c>
      <c r="B22" s="76">
        <f>E6*E22-B23</f>
        <v>3.8903508771929829E-2</v>
      </c>
      <c r="C22" s="74">
        <f t="shared" si="2"/>
        <v>0</v>
      </c>
      <c r="D22" s="75">
        <f t="shared" si="3"/>
        <v>3.8903508771929829E-2</v>
      </c>
      <c r="E22">
        <f>COUNTIF(tables_338100!C:C,input_338100!A22)-COUNTIF(Q:Q,A22)</f>
        <v>4</v>
      </c>
      <c r="F22" s="43">
        <f t="shared" si="7"/>
        <v>9.7258771929824572E-3</v>
      </c>
      <c r="G22">
        <f t="shared" si="8"/>
        <v>106440.00000000001</v>
      </c>
      <c r="H22">
        <f t="shared" si="4"/>
        <v>26610</v>
      </c>
      <c r="I22">
        <f t="shared" si="5"/>
        <v>0</v>
      </c>
      <c r="J22">
        <f t="shared" si="6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2" t="s">
        <v>200</v>
      </c>
      <c r="B23" s="70">
        <f>B7-B26-B28-B29-B21-V6</f>
        <v>1.2149122807017541E-2</v>
      </c>
      <c r="C23" s="74">
        <f t="shared" si="2"/>
        <v>0</v>
      </c>
      <c r="D23" s="75">
        <f t="shared" si="3"/>
        <v>1.2149122807017541E-2</v>
      </c>
      <c r="E23">
        <f>COUNTIF(tables_338100!C:C,input_338100!A23)-COUNTIF(Q:Q,A23)</f>
        <v>4</v>
      </c>
      <c r="F23" s="43">
        <f t="shared" si="7"/>
        <v>3.0372807017543853E-3</v>
      </c>
      <c r="G23">
        <f t="shared" si="8"/>
        <v>33239.999999999993</v>
      </c>
      <c r="H23">
        <f t="shared" si="4"/>
        <v>8310</v>
      </c>
      <c r="I23">
        <f t="shared" si="5"/>
        <v>0</v>
      </c>
      <c r="J23">
        <f t="shared" si="6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2" t="s">
        <v>196</v>
      </c>
      <c r="B24" s="56">
        <f>E$5*COUNTIF(tables_338100!C:C,input_338100!A24)*B5</f>
        <v>1.3877787807814455E-19</v>
      </c>
      <c r="C24" s="74">
        <f t="shared" si="2"/>
        <v>0</v>
      </c>
      <c r="D24" s="75">
        <f t="shared" si="3"/>
        <v>1.3877787807814455E-19</v>
      </c>
      <c r="E24">
        <f>COUNTIF(tables_338100!C:C,input_338100!A24)-COUNTIF(Q:Q,A24)</f>
        <v>4</v>
      </c>
      <c r="F24" s="43">
        <f t="shared" si="7"/>
        <v>3.4694469519536137E-20</v>
      </c>
      <c r="G24">
        <f t="shared" si="8"/>
        <v>3.7969627442180349E-13</v>
      </c>
      <c r="H24">
        <f t="shared" si="4"/>
        <v>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2" t="s">
        <v>197</v>
      </c>
      <c r="B25" s="56">
        <f>E$5*B6*E25</f>
        <v>3.1666666666666662E-3</v>
      </c>
      <c r="C25" s="74">
        <f t="shared" si="2"/>
        <v>0</v>
      </c>
      <c r="D25" s="75">
        <f t="shared" si="3"/>
        <v>3.1666666666666662E-3</v>
      </c>
      <c r="E25">
        <f>COUNTIF(tables_338100!C:C,input_338100!A25)-COUNTIF(Q:Q,A25)</f>
        <v>4</v>
      </c>
      <c r="F25" s="43">
        <f t="shared" si="7"/>
        <v>7.9166666666666654E-4</v>
      </c>
      <c r="G25">
        <f t="shared" si="8"/>
        <v>8663.9999999999982</v>
      </c>
      <c r="H25">
        <f t="shared" si="4"/>
        <v>2166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2" t="s">
        <v>198</v>
      </c>
      <c r="B26" s="56">
        <f>E$5*B7*E26</f>
        <v>1.6666666666666666E-4</v>
      </c>
      <c r="C26" s="74">
        <f t="shared" si="2"/>
        <v>0</v>
      </c>
      <c r="D26" s="75">
        <f t="shared" si="3"/>
        <v>1.6666666666666666E-4</v>
      </c>
      <c r="E26">
        <f>COUNTIF(tables_338100!C:C,input_338100!A26)-COUNTIF(Q:Q,A26)</f>
        <v>4</v>
      </c>
      <c r="F26" s="43">
        <f t="shared" si="7"/>
        <v>4.1666666666666665E-5</v>
      </c>
      <c r="G26">
        <f t="shared" si="8"/>
        <v>456</v>
      </c>
      <c r="H26">
        <f t="shared" si="4"/>
        <v>114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2" t="s">
        <v>106</v>
      </c>
      <c r="B27" s="56">
        <f>E$5*E27*(B5+B6)</f>
        <v>2.2166666666666664E-2</v>
      </c>
      <c r="C27" s="74">
        <f t="shared" si="2"/>
        <v>0</v>
      </c>
      <c r="D27" s="75">
        <f t="shared" si="3"/>
        <v>2.2166666666666664E-2</v>
      </c>
      <c r="E27">
        <f>COUNTIF(tables_338100!C:C,input_338100!A27)-COUNTIF(Q:Q,A27)</f>
        <v>28</v>
      </c>
      <c r="F27" s="43">
        <f>IFERROR(B27/E27,0)</f>
        <v>7.9166666666666654E-4</v>
      </c>
      <c r="G27">
        <f t="shared" si="8"/>
        <v>60647.999999999993</v>
      </c>
      <c r="H27">
        <f t="shared" si="4"/>
        <v>2166</v>
      </c>
      <c r="I27">
        <f t="shared" si="5"/>
        <v>0</v>
      </c>
      <c r="J27">
        <f t="shared" si="6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2" t="s">
        <v>107</v>
      </c>
      <c r="B28" s="56">
        <f>E$5*E28*B7</f>
        <v>1.1666666666666665E-3</v>
      </c>
      <c r="C28" s="74">
        <f t="shared" si="2"/>
        <v>0</v>
      </c>
      <c r="D28" s="75">
        <f t="shared" si="3"/>
        <v>1.1666666666666665E-3</v>
      </c>
      <c r="E28">
        <f>COUNTIF(tables_338100!C:C,input_338100!A28)-COUNTIF(Q:Q,A28)</f>
        <v>28</v>
      </c>
      <c r="F28" s="43">
        <f t="shared" si="7"/>
        <v>4.1666666666666665E-5</v>
      </c>
      <c r="G28">
        <f t="shared" si="8"/>
        <v>3191.9999999999995</v>
      </c>
      <c r="H28">
        <f t="shared" si="4"/>
        <v>114</v>
      </c>
      <c r="I28">
        <f t="shared" si="5"/>
        <v>0</v>
      </c>
      <c r="J28">
        <f t="shared" si="6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2" t="s">
        <v>202</v>
      </c>
      <c r="B29" s="56">
        <f>E5*E29</f>
        <v>3.3333333333333331E-3</v>
      </c>
      <c r="C29" s="74">
        <f t="shared" si="2"/>
        <v>0</v>
      </c>
      <c r="D29" s="75">
        <f t="shared" si="3"/>
        <v>3.3333333333333331E-3</v>
      </c>
      <c r="E29">
        <f>COUNTIF(tables_338100!C:C,input_338100!A29)-COUNTIF(Q:Q,A29)</f>
        <v>4</v>
      </c>
      <c r="F29" s="43">
        <f>IFERROR(B29/E29,0)</f>
        <v>8.3333333333333328E-4</v>
      </c>
      <c r="G29">
        <f t="shared" si="8"/>
        <v>9120</v>
      </c>
      <c r="H29">
        <f t="shared" si="4"/>
        <v>2280</v>
      </c>
      <c r="I29">
        <f t="shared" si="5"/>
        <v>0</v>
      </c>
      <c r="J29">
        <f t="shared" si="6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2" t="s">
        <v>201</v>
      </c>
      <c r="B30" s="56">
        <v>0</v>
      </c>
      <c r="C30" s="74">
        <f t="shared" si="2"/>
        <v>0</v>
      </c>
      <c r="D30" s="75">
        <f t="shared" si="3"/>
        <v>0</v>
      </c>
      <c r="E30">
        <f>COUNTIF(tables_338100!C:C,input_338100!A30)-COUNTIF(Q:Q,A30)</f>
        <v>0</v>
      </c>
      <c r="F30" s="43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2" t="s">
        <v>108</v>
      </c>
      <c r="B31" s="56">
        <v>0</v>
      </c>
      <c r="C31" s="74">
        <f t="shared" si="2"/>
        <v>0</v>
      </c>
      <c r="D31" s="75">
        <f t="shared" si="3"/>
        <v>0</v>
      </c>
      <c r="E31">
        <f>COUNTIF(tables_338100!C:C,input_338100!A31)-COUNTIF(Q:Q,A31)</f>
        <v>0</v>
      </c>
      <c r="F31" s="43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0.99999999999999989</v>
      </c>
      <c r="C32" s="41">
        <f>SUM(C19:C31)</f>
        <v>0</v>
      </c>
      <c r="D32" s="42">
        <f t="shared" si="3"/>
        <v>0.99999999999999989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73</v>
      </c>
    </row>
    <row r="36" spans="1:7" x14ac:dyDescent="0.15">
      <c r="A36" s="31">
        <f>LCM(F5-I5,F6-I6)*1000*2*2</f>
        <v>2736000</v>
      </c>
    </row>
    <row r="38" spans="1:7" x14ac:dyDescent="0.15">
      <c r="A38" s="47" t="s">
        <v>76</v>
      </c>
    </row>
    <row r="39" spans="1:7" x14ac:dyDescent="0.15">
      <c r="A39" s="32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2" t="s">
        <v>103</v>
      </c>
      <c r="B40">
        <f ca="1">SUMIF(tables_338100!C:C,input_338100!A40,tables_338100!O:O)</f>
        <v>0</v>
      </c>
      <c r="C40" s="54">
        <f t="shared" ref="C40:C46" ca="1" si="9">B40/B$47</f>
        <v>0</v>
      </c>
      <c r="E40">
        <v>3</v>
      </c>
      <c r="F40">
        <f ca="1">SUMIF(tables_338100!J:J,input_338100!E40,tables_338100!O:O)</f>
        <v>0</v>
      </c>
      <c r="G40">
        <f ca="1">F40/A36</f>
        <v>0</v>
      </c>
    </row>
    <row r="41" spans="1:7" x14ac:dyDescent="0.15">
      <c r="A41" s="32" t="s">
        <v>104</v>
      </c>
      <c r="B41">
        <f ca="1">SUMIF(tables_338100!C:C,input_338100!A41,tables_338100!O:O)</f>
        <v>1725048</v>
      </c>
      <c r="C41" s="54">
        <f t="shared" ca="1" si="9"/>
        <v>0.91773493360572012</v>
      </c>
      <c r="E41">
        <v>4</v>
      </c>
      <c r="F41">
        <f ca="1">SUMIF(tables_338100!J:J,input_338100!E41,tables_338100!O:O)</f>
        <v>2599200</v>
      </c>
      <c r="G41">
        <f ca="1">F41/A36</f>
        <v>0.95</v>
      </c>
    </row>
    <row r="42" spans="1:7" x14ac:dyDescent="0.15">
      <c r="A42" s="32" t="s">
        <v>109</v>
      </c>
      <c r="B42">
        <f ca="1">SUMIF(tables_338100!C:C,input_338100!A42,tables_338100!O:O)</f>
        <v>60648</v>
      </c>
      <c r="C42" s="54">
        <f t="shared" ca="1" si="9"/>
        <v>3.2265066394279875E-2</v>
      </c>
      <c r="E42">
        <v>5</v>
      </c>
      <c r="F42">
        <f ca="1">SUMIF(tables_338100!J:J,input_338100!E42,tables_338100!O:O)</f>
        <v>136800</v>
      </c>
      <c r="G42">
        <f ca="1">F42/A36</f>
        <v>0.05</v>
      </c>
    </row>
    <row r="43" spans="1:7" x14ac:dyDescent="0.15">
      <c r="A43" s="32" t="s">
        <v>110</v>
      </c>
      <c r="B43">
        <f>SUMIF(tables_338100!C:C,input_338100!A43,tables_338100!O:O)</f>
        <v>0</v>
      </c>
      <c r="C43" s="54">
        <f t="shared" ca="1" si="9"/>
        <v>0</v>
      </c>
      <c r="F43" s="55"/>
    </row>
    <row r="44" spans="1:7" x14ac:dyDescent="0.15">
      <c r="A44" s="32" t="s">
        <v>105</v>
      </c>
      <c r="B44">
        <f ca="1">SUMIF(tables_338100!C:C,input_338100!A44,tables_338100!O:O)</f>
        <v>90792</v>
      </c>
      <c r="C44" s="54">
        <f t="shared" ca="1" si="9"/>
        <v>4.8301838610827375E-2</v>
      </c>
      <c r="E44" t="s">
        <v>54</v>
      </c>
      <c r="F44" s="55"/>
    </row>
    <row r="45" spans="1:7" x14ac:dyDescent="0.15">
      <c r="A45" s="32" t="s">
        <v>111</v>
      </c>
      <c r="B45">
        <f ca="1">SUMIF(tables_338100!C:C,input_338100!A45,tables_338100!O:O)</f>
        <v>3192</v>
      </c>
      <c r="C45" s="54">
        <f t="shared" ca="1" si="9"/>
        <v>1.6981613891726252E-3</v>
      </c>
      <c r="E45" t="s">
        <v>207</v>
      </c>
      <c r="F45" s="55">
        <f ca="1">SUMIF(tables_338100!I:I,input_338100!E45,tables_338100!P:P)</f>
        <v>0.25968421052631574</v>
      </c>
    </row>
    <row r="46" spans="1:7" x14ac:dyDescent="0.15">
      <c r="A46" s="32" t="s">
        <v>112</v>
      </c>
      <c r="B46">
        <f>SUMIF(tables_338100!C:C,input_338100!A46,tables_338100!O:O)</f>
        <v>0</v>
      </c>
      <c r="C46" s="54">
        <f t="shared" ca="1" si="9"/>
        <v>0</v>
      </c>
      <c r="E46" t="s">
        <v>208</v>
      </c>
      <c r="F46" s="55">
        <f ca="1">SUMIF(tables_338100!I:I,input_338100!E46,tables_338100!P:P)</f>
        <v>0.21947368421052627</v>
      </c>
    </row>
    <row r="47" spans="1:7" x14ac:dyDescent="0.15">
      <c r="A47" s="39" t="s">
        <v>59</v>
      </c>
      <c r="B47">
        <f ca="1">SUM(B40:B46)</f>
        <v>1879680</v>
      </c>
      <c r="C47" s="55">
        <f ca="1">SUM(C40:C46)</f>
        <v>1</v>
      </c>
      <c r="E47" t="s">
        <v>209</v>
      </c>
      <c r="F47" s="55">
        <f ca="1">SUMIF(tables_338100!I:I,input_338100!E47,tables_338100!P:P)</f>
        <v>0.49859649122807059</v>
      </c>
    </row>
    <row r="48" spans="1:7" x14ac:dyDescent="0.15">
      <c r="E48" t="s">
        <v>210</v>
      </c>
      <c r="F48" s="55">
        <f ca="1">SUMIF(tables_338100!I:I,input_338100!E48,tables_338100!P:P)</f>
        <v>2.6666666666666648E-2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77"/>
  <sheetViews>
    <sheetView showGridLines="0" tabSelected="1" zoomScale="75" zoomScaleNormal="75" zoomScalePageLayoutView="75" workbookViewId="0">
      <pane ySplit="1" topLeftCell="A54" activePane="bottomLeft" state="frozen"/>
      <selection activeCell="E6" sqref="E6"/>
      <selection pane="bottomLeft" activeCell="O266" sqref="O26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191</v>
      </c>
      <c r="F1" s="3" t="s">
        <v>192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input_338100!A$2</f>
        <v>338100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IFERROR(VLOOKUP(B2,input_338100!L:R,7,FALSE),VLOOKUP(tables_338100!C2,input_338100!A:H,8,FALSE))</f>
        <v>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input_338100!A$2</f>
        <v>338100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IFERROR(VLOOKUP(B3,input_338100!L:R,7,FALSE),VLOOKUP(tables_338100!C3,input_338100!A:H,8,FALSE))</f>
        <v>34920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input_338100!A$2</f>
        <v>338100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IFERROR(VLOOKUP(B4,input_338100!L:R,7,FALSE),VLOOKUP(tables_338100!C4,input_338100!A:H,8,FALSE))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input_338100!A$2</f>
        <v>338100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IFERROR(VLOOKUP(B5,input_338100!L:R,7,FALSE),VLOOKUP(tables_338100!C5,input_338100!A:H,8,FALSE))</f>
        <v>34920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input_338100!A$2</f>
        <v>338100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IFERROR(VLOOKUP(B6,input_338100!L:R,7,FALSE),VLOOKUP(tables_338100!C6,input_338100!A:H,8,FALSE))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input_338100!A$2</f>
        <v>338100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IFERROR(VLOOKUP(B7,input_338100!L:R,7,FALSE),VLOOKUP(tables_338100!C7,input_338100!A:H,8,FALSE))</f>
        <v>34920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input_338100!A$2</f>
        <v>338100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IFERROR(VLOOKUP(B8,input_338100!L:R,7,FALSE),VLOOKUP(tables_338100!C8,input_338100!A:H,8,FALSE))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input_338100!A$2</f>
        <v>338100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IFERROR(VLOOKUP(B9,input_338100!L:R,7,FALSE),VLOOKUP(tables_338100!C9,input_338100!A:H,8,FALSE))</f>
        <v>34920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input_338100!A$2</f>
        <v>338100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IFERROR(VLOOKUP(B10,input_338100!L:R,7,FALSE),VLOOKUP(tables_338100!C10,input_338100!A:H,8,FALSE))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input_338100!A$2</f>
        <v>338100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IFERROR(VLOOKUP(B11,input_338100!L:R,7,FALSE),VLOOKUP(tables_338100!C11,input_338100!A:H,8,FALSE))</f>
        <v>34920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input_338100!A$2</f>
        <v>338100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IFERROR(VLOOKUP(B12,input_338100!L:R,7,FALSE),VLOOKUP(tables_338100!C12,input_338100!A:H,8,FALSE))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input_338100!A$2</f>
        <v>338100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IFERROR(VLOOKUP(B13,input_338100!L:R,7,FALSE),VLOOKUP(tables_338100!C13,input_338100!A:H,8,FALSE))</f>
        <v>34920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input_338100!A$2</f>
        <v>338100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IFERROR(VLOOKUP(B14,input_338100!L:R,7,FALSE),VLOOKUP(tables_338100!C14,input_338100!A:H,8,FALSE))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input_338100!A$2</f>
        <v>338100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IFERROR(VLOOKUP(B15,input_338100!L:R,7,FALSE),VLOOKUP(tables_338100!C15,input_338100!A:H,8,FALSE))</f>
        <v>34920</v>
      </c>
      <c r="P15" s="46">
        <f t="shared" ref="P15:P78" ca="1" si="2">O15/SUM(O:O)</f>
        <v>1.2763157894736843E-2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input_338100!A$2</f>
        <v>338100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IFERROR(VLOOKUP(B16,input_338100!L:R,7,FALSE),VLOOKUP(tables_338100!C16,input_338100!A:H,8,FALSE))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input_338100!A$2</f>
        <v>338100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IFERROR(VLOOKUP(B17,input_338100!L:R,7,FALSE),VLOOKUP(tables_338100!C17,input_338100!A:H,8,FALSE))</f>
        <v>34920</v>
      </c>
      <c r="P17" s="46">
        <f t="shared" ca="1" si="2"/>
        <v>1.2763157894736843E-2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input_338100!A$2</f>
        <v>338100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IFERROR(VLOOKUP(B18,input_338100!L:R,7,FALSE),VLOOKUP(tables_338100!C18,input_338100!A:H,8,FALSE))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input_338100!A$2</f>
        <v>338100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IFERROR(VLOOKUP(B19,input_338100!L:R,7,FALSE),VLOOKUP(tables_338100!C19,input_338100!A:H,8,FALSE))</f>
        <v>34920</v>
      </c>
      <c r="P19" s="46">
        <f t="shared" ca="1" si="2"/>
        <v>1.2763157894736843E-2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input_338100!A$2</f>
        <v>338100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IFERROR(VLOOKUP(B20,input_338100!L:R,7,FALSE),VLOOKUP(tables_338100!C20,input_338100!A:H,8,FALSE))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input_338100!A$2</f>
        <v>338100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IFERROR(VLOOKUP(B21,input_338100!L:R,7,FALSE),VLOOKUP(tables_338100!C21,input_338100!A:H,8,FALSE))</f>
        <v>34920</v>
      </c>
      <c r="P21" s="46">
        <f t="shared" ca="1" si="2"/>
        <v>1.2763157894736843E-2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input_338100!A$2</f>
        <v>338100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IFERROR(VLOOKUP(B22,input_338100!L:R,7,FALSE),VLOOKUP(tables_338100!C22,input_338100!A:H,8,FALSE))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input_338100!A$2</f>
        <v>338100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IFERROR(VLOOKUP(B23,input_338100!L:R,7,FALSE),VLOOKUP(tables_338100!C23,input_338100!A:H,8,FALSE))</f>
        <v>34920</v>
      </c>
      <c r="P23" s="46">
        <f t="shared" ca="1" si="2"/>
        <v>1.2763157894736843E-2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input_338100!A$2</f>
        <v>338100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IFERROR(VLOOKUP(B24,input_338100!L:R,7,FALSE),VLOOKUP(tables_338100!C24,input_338100!A:H,8,FALSE))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input_338100!A$2</f>
        <v>338100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IFERROR(VLOOKUP(B25,input_338100!L:R,7,FALSE),VLOOKUP(tables_338100!C25,input_338100!A:H,8,FALSE))</f>
        <v>34920</v>
      </c>
      <c r="P25" s="46">
        <f t="shared" ca="1" si="2"/>
        <v>1.2763157894736843E-2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input_338100!A$2</f>
        <v>338100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IFERROR(VLOOKUP(B26,input_338100!L:R,7,FALSE),VLOOKUP(tables_338100!C26,input_338100!A:H,8,FALSE))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input_338100!A$2</f>
        <v>338100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IFERROR(VLOOKUP(B27,input_338100!L:R,7,FALSE),VLOOKUP(tables_338100!C27,input_338100!A:H,8,FALSE))</f>
        <v>34920</v>
      </c>
      <c r="P27" s="46">
        <f t="shared" ca="1" si="2"/>
        <v>1.2763157894736843E-2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input_338100!A$2</f>
        <v>338100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IFERROR(VLOOKUP(B28,input_338100!L:R,7,FALSE),VLOOKUP(tables_338100!C28,input_338100!A:H,8,FALSE))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input_338100!A$2</f>
        <v>338100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IFERROR(VLOOKUP(B29,input_338100!L:R,7,FALSE),VLOOKUP(tables_338100!C29,input_338100!A:H,8,FALSE))</f>
        <v>34920</v>
      </c>
      <c r="P29" s="46">
        <f t="shared" ca="1" si="2"/>
        <v>1.2763157894736843E-2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input_338100!A$2</f>
        <v>338100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IFERROR(VLOOKUP(B30,input_338100!L:R,7,FALSE),VLOOKUP(tables_338100!C30,input_338100!A:H,8,FALSE))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input_338100!A$2</f>
        <v>338100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IFERROR(VLOOKUP(B31,input_338100!L:R,7,FALSE),VLOOKUP(tables_338100!C31,input_338100!A:H,8,FALSE))</f>
        <v>34920</v>
      </c>
      <c r="P31" s="46">
        <f t="shared" ca="1" si="2"/>
        <v>1.2763157894736843E-2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input_338100!A$2</f>
        <v>338100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IFERROR(VLOOKUP(B32,input_338100!L:R,7,FALSE),VLOOKUP(tables_338100!C32,input_338100!A:H,8,FALSE))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input_338100!A$2</f>
        <v>338100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IFERROR(VLOOKUP(B33,input_338100!L:R,7,FALSE),VLOOKUP(tables_338100!C33,input_338100!A:H,8,FALSE))</f>
        <v>34920</v>
      </c>
      <c r="P33" s="46">
        <f t="shared" ca="1" si="2"/>
        <v>1.2763157894736843E-2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input_338100!A$2</f>
        <v>338100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IFERROR(VLOOKUP(B34,input_338100!L:R,7,FALSE),VLOOKUP(tables_338100!C34,input_338100!A:H,8,FALSE))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input_338100!A$2</f>
        <v>338100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IFERROR(VLOOKUP(B35,input_338100!L:R,7,FALSE),VLOOKUP(tables_338100!C35,input_338100!A:H,8,FALSE))</f>
        <v>34920</v>
      </c>
      <c r="P35" s="46">
        <f t="shared" ca="1" si="2"/>
        <v>1.2763157894736843E-2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input_338100!A$2</f>
        <v>338100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IFERROR(VLOOKUP(B36,input_338100!L:R,7,FALSE),VLOOKUP(tables_338100!C36,input_338100!A:H,8,FALSE))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input_338100!A$2</f>
        <v>338100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IFERROR(VLOOKUP(B37,input_338100!L:R,7,FALSE),VLOOKUP(tables_338100!C37,input_338100!A:H,8,FALSE))</f>
        <v>34920</v>
      </c>
      <c r="P37" s="46">
        <f t="shared" ca="1" si="2"/>
        <v>1.2763157894736843E-2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input_338100!A$2</f>
        <v>338100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IFERROR(VLOOKUP(B38,input_338100!L:R,7,FALSE),VLOOKUP(tables_338100!C38,input_338100!A:H,8,FALSE))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input_338100!A$2</f>
        <v>338100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IFERROR(VLOOKUP(B39,input_338100!L:R,7,FALSE),VLOOKUP(tables_338100!C39,input_338100!A:H,8,FALSE))</f>
        <v>34920</v>
      </c>
      <c r="P39" s="46">
        <f t="shared" ca="1" si="2"/>
        <v>1.2763157894736843E-2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input_338100!A$2</f>
        <v>338100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IFERROR(VLOOKUP(B40,input_338100!L:R,7,FALSE),VLOOKUP(tables_338100!C40,input_338100!A:H,8,FALSE))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input_338100!A$2</f>
        <v>338100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IFERROR(VLOOKUP(B41,input_338100!L:R,7,FALSE),VLOOKUP(tables_338100!C41,input_338100!A:H,8,FALSE))</f>
        <v>34920</v>
      </c>
      <c r="P41" s="46">
        <f t="shared" ca="1" si="2"/>
        <v>1.2763157894736843E-2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input_338100!A$2</f>
        <v>338100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IFERROR(VLOOKUP(B42,input_338100!L:R,7,FALSE),VLOOKUP(tables_338100!C42,input_338100!A:H,8,FALSE))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input_338100!A$2</f>
        <v>338100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IFERROR(VLOOKUP(B43,input_338100!L:R,7,FALSE),VLOOKUP(tables_338100!C43,input_338100!A:H,8,FALSE))</f>
        <v>2166</v>
      </c>
      <c r="P43" s="46">
        <f t="shared" ca="1" si="2"/>
        <v>7.9166666666666665E-4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input_338100!A$2</f>
        <v>338100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IFERROR(VLOOKUP(B44,input_338100!L:R,7,FALSE),VLOOKUP(tables_338100!C44,input_338100!A:H,8,FALSE))</f>
        <v>114</v>
      </c>
      <c r="P44" s="46">
        <f t="shared" ca="1" si="2"/>
        <v>4.1666666666666665E-5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input_338100!A$2</f>
        <v>338100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IFERROR(VLOOKUP(B45,input_338100!L:R,7,FALSE),VLOOKUP(tables_338100!C45,input_338100!A:H,8,FALSE))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input_338100!A$2</f>
        <v>338100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IFERROR(VLOOKUP(B46,input_338100!L:R,7,FALSE),VLOOKUP(tables_338100!C46,input_338100!A:H,8,FALSE))</f>
        <v>2166</v>
      </c>
      <c r="P46" s="46">
        <f t="shared" ca="1" si="2"/>
        <v>7.9166666666666665E-4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input_338100!A$2</f>
        <v>338100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IFERROR(VLOOKUP(B47,input_338100!L:R,7,FALSE),VLOOKUP(tables_338100!C47,input_338100!A:H,8,FALSE))</f>
        <v>114</v>
      </c>
      <c r="P47" s="46">
        <f t="shared" ca="1" si="2"/>
        <v>4.1666666666666665E-5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input_338100!A$2</f>
        <v>338100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IFERROR(VLOOKUP(B48,input_338100!L:R,7,FALSE),VLOOKUP(tables_338100!C48,input_338100!A:H,8,FALSE))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input_338100!A$2</f>
        <v>338100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IFERROR(VLOOKUP(B49,input_338100!L:R,7,FALSE),VLOOKUP(tables_338100!C49,input_338100!A:H,8,FALSE))</f>
        <v>2166</v>
      </c>
      <c r="P49" s="46">
        <f t="shared" ca="1" si="2"/>
        <v>7.9166666666666665E-4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input_338100!A$2</f>
        <v>338100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IFERROR(VLOOKUP(B50,input_338100!L:R,7,FALSE),VLOOKUP(tables_338100!C50,input_338100!A:H,8,FALSE))</f>
        <v>114</v>
      </c>
      <c r="P50" s="46">
        <f t="shared" ca="1" si="2"/>
        <v>4.1666666666666665E-5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input_338100!A$2</f>
        <v>338100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IFERROR(VLOOKUP(B51,input_338100!L:R,7,FALSE),VLOOKUP(tables_338100!C51,input_338100!A:H,8,FALSE))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input_338100!A$2</f>
        <v>338100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IFERROR(VLOOKUP(B52,input_338100!L:R,7,FALSE),VLOOKUP(tables_338100!C52,input_338100!A:H,8,FALSE))</f>
        <v>33174</v>
      </c>
      <c r="P52" s="46">
        <f t="shared" ca="1" si="2"/>
        <v>1.2125E-2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input_338100!A$2</f>
        <v>338100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IFERROR(VLOOKUP(B53,input_338100!L:R,7,FALSE),VLOOKUP(tables_338100!C53,input_338100!A:H,8,FALSE))</f>
        <v>1746</v>
      </c>
      <c r="P53" s="46">
        <f t="shared" ca="1" si="2"/>
        <v>6.3815789473684211E-4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input_338100!A$2</f>
        <v>338100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IFERROR(VLOOKUP(B54,input_338100!L:R,7,FALSE),VLOOKUP(tables_338100!C54,input_338100!A:H,8,FALSE))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input_338100!A$2</f>
        <v>338100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IFERROR(VLOOKUP(B55,input_338100!L:R,7,FALSE),VLOOKUP(tables_338100!C55,input_338100!A:H,8,FALSE))</f>
        <v>33174</v>
      </c>
      <c r="P55" s="46">
        <f t="shared" ca="1" si="2"/>
        <v>1.2125E-2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input_338100!A$2</f>
        <v>338100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IFERROR(VLOOKUP(B56,input_338100!L:R,7,FALSE),VLOOKUP(tables_338100!C56,input_338100!A:H,8,FALSE))</f>
        <v>1746</v>
      </c>
      <c r="P56" s="46">
        <f t="shared" ca="1" si="2"/>
        <v>6.3815789473684211E-4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input_338100!A$2</f>
        <v>338100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IFERROR(VLOOKUP(B57,input_338100!L:R,7,FALSE),VLOOKUP(tables_338100!C57,input_338100!A:H,8,FALSE))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input_338100!A$2</f>
        <v>338100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IFERROR(VLOOKUP(B58,input_338100!L:R,7,FALSE),VLOOKUP(tables_338100!C58,input_338100!A:H,8,FALSE))</f>
        <v>33174</v>
      </c>
      <c r="P58" s="46">
        <f t="shared" ca="1" si="2"/>
        <v>1.2125E-2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input_338100!A$2</f>
        <v>338100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IFERROR(VLOOKUP(B59,input_338100!L:R,7,FALSE),VLOOKUP(tables_338100!C59,input_338100!A:H,8,FALSE))</f>
        <v>1746</v>
      </c>
      <c r="P59" s="46">
        <f t="shared" ca="1" si="2"/>
        <v>6.3815789473684211E-4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input_338100!A$2</f>
        <v>338100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IFERROR(VLOOKUP(B60,input_338100!L:R,7,FALSE),VLOOKUP(tables_338100!C60,input_338100!A:H,8,FALSE))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input_338100!A$2</f>
        <v>338100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IFERROR(VLOOKUP(B61,input_338100!L:R,7,FALSE),VLOOKUP(tables_338100!C61,input_338100!A:H,8,FALSE))</f>
        <v>33174</v>
      </c>
      <c r="P61" s="46">
        <f t="shared" ca="1" si="2"/>
        <v>1.2125E-2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input_338100!A$2</f>
        <v>338100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IFERROR(VLOOKUP(B62,input_338100!L:R,7,FALSE),VLOOKUP(tables_338100!C62,input_338100!A:H,8,FALSE))</f>
        <v>1746</v>
      </c>
      <c r="P62" s="46">
        <f t="shared" ca="1" si="2"/>
        <v>6.3815789473684211E-4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input_338100!A$2</f>
        <v>338100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IFERROR(VLOOKUP(B63,input_338100!L:R,7,FALSE),VLOOKUP(tables_338100!C63,input_338100!A:H,8,FALSE))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input_338100!A$2</f>
        <v>338100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IFERROR(VLOOKUP(B64,input_338100!L:R,7,FALSE),VLOOKUP(tables_338100!C64,input_338100!A:H,8,FALSE))</f>
        <v>33174</v>
      </c>
      <c r="P64" s="46">
        <f t="shared" ca="1" si="2"/>
        <v>1.2125E-2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input_338100!A$2</f>
        <v>338100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IFERROR(VLOOKUP(B65,input_338100!L:R,7,FALSE),VLOOKUP(tables_338100!C65,input_338100!A:H,8,FALSE))</f>
        <v>1746</v>
      </c>
      <c r="P65" s="46">
        <f t="shared" ca="1" si="2"/>
        <v>6.3815789473684211E-4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input_338100!A$2</f>
        <v>338100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IFERROR(VLOOKUP(B66,input_338100!L:R,7,FALSE),VLOOKUP(tables_338100!C66,input_338100!A:H,8,FALSE))</f>
        <v>0</v>
      </c>
      <c r="P66" s="46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input_338100!A$2</f>
        <v>338100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IFERROR(VLOOKUP(B67,input_338100!L:R,7,FALSE),VLOOKUP(tables_338100!C67,input_338100!A:H,8,FALSE))</f>
        <v>33174</v>
      </c>
      <c r="P67" s="46">
        <f t="shared" ca="1" si="2"/>
        <v>1.2125E-2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input_338100!A$2</f>
        <v>338100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IFERROR(VLOOKUP(B68,input_338100!L:R,7,FALSE),VLOOKUP(tables_338100!C68,input_338100!A:H,8,FALSE))</f>
        <v>1746</v>
      </c>
      <c r="P68" s="46">
        <f t="shared" ca="1" si="2"/>
        <v>6.3815789473684211E-4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input_338100!A$2</f>
        <v>338100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IFERROR(VLOOKUP(B69,input_338100!L:R,7,FALSE),VLOOKUP(tables_338100!C69,input_338100!A:H,8,FALSE))</f>
        <v>0</v>
      </c>
      <c r="P69" s="46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input_338100!A$2</f>
        <v>338100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IFERROR(VLOOKUP(B70,input_338100!L:R,7,FALSE),VLOOKUP(tables_338100!C70,input_338100!A:H,8,FALSE))</f>
        <v>33174</v>
      </c>
      <c r="P70" s="46">
        <f t="shared" ca="1" si="2"/>
        <v>1.2125E-2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input_338100!A$2</f>
        <v>338100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IFERROR(VLOOKUP(B71,input_338100!L:R,7,FALSE),VLOOKUP(tables_338100!C71,input_338100!A:H,8,FALSE))</f>
        <v>1746</v>
      </c>
      <c r="P71" s="46">
        <f t="shared" ca="1" si="2"/>
        <v>6.3815789473684211E-4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input_338100!A$2</f>
        <v>338100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IFERROR(VLOOKUP(B72,input_338100!L:R,7,FALSE),VLOOKUP(tables_338100!C72,input_338100!A:H,8,FALSE))</f>
        <v>0</v>
      </c>
      <c r="P72" s="46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input_338100!A$2</f>
        <v>338100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IFERROR(VLOOKUP(B73,input_338100!L:R,7,FALSE),VLOOKUP(tables_338100!C73,input_338100!A:H,8,FALSE))</f>
        <v>33174</v>
      </c>
      <c r="P73" s="46">
        <f t="shared" ca="1" si="2"/>
        <v>1.2125E-2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input_338100!A$2</f>
        <v>338100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IFERROR(VLOOKUP(B74,input_338100!L:R,7,FALSE),VLOOKUP(tables_338100!C74,input_338100!A:H,8,FALSE))</f>
        <v>1746</v>
      </c>
      <c r="P74" s="46">
        <f t="shared" ca="1" si="2"/>
        <v>6.3815789473684211E-4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input_338100!A$2</f>
        <v>338100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IFERROR(VLOOKUP(B75,input_338100!L:R,7,FALSE),VLOOKUP(tables_338100!C75,input_338100!A:H,8,FALSE))</f>
        <v>0</v>
      </c>
      <c r="P75" s="46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input_338100!A$2</f>
        <v>338100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IFERROR(VLOOKUP(B76,input_338100!L:R,7,FALSE),VLOOKUP(tables_338100!C76,input_338100!A:H,8,FALSE))</f>
        <v>33174</v>
      </c>
      <c r="P76" s="46">
        <f t="shared" ca="1" si="2"/>
        <v>1.2125E-2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input_338100!A$2</f>
        <v>338100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IFERROR(VLOOKUP(B77,input_338100!L:R,7,FALSE),VLOOKUP(tables_338100!C77,input_338100!A:H,8,FALSE))</f>
        <v>1746</v>
      </c>
      <c r="P77" s="46">
        <f t="shared" ca="1" si="2"/>
        <v>6.3815789473684211E-4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input_338100!A$2</f>
        <v>338100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IFERROR(VLOOKUP(B78,input_338100!L:R,7,FALSE),VLOOKUP(tables_338100!C78,input_338100!A:H,8,FALSE))</f>
        <v>0</v>
      </c>
      <c r="P78" s="46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input_338100!A$2</f>
        <v>338100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IFERROR(VLOOKUP(B79,input_338100!L:R,7,FALSE),VLOOKUP(tables_338100!C79,input_338100!A:H,8,FALSE))</f>
        <v>33174</v>
      </c>
      <c r="P79" s="46">
        <f t="shared" ref="P79:P142" ca="1" si="5">O79/SUM(O:O)</f>
        <v>1.2125E-2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input_338100!A$2</f>
        <v>338100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IFERROR(VLOOKUP(B80,input_338100!L:R,7,FALSE),VLOOKUP(tables_338100!C80,input_338100!A:H,8,FALSE))</f>
        <v>1746</v>
      </c>
      <c r="P80" s="46">
        <f t="shared" ca="1" si="5"/>
        <v>6.3815789473684211E-4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input_338100!A$2</f>
        <v>338100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IFERROR(VLOOKUP(B81,input_338100!L:R,7,FALSE),VLOOKUP(tables_338100!C81,input_338100!A:H,8,FALSE))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input_338100!A$2</f>
        <v>338100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IFERROR(VLOOKUP(B82,input_338100!L:R,7,FALSE),VLOOKUP(tables_338100!C82,input_338100!A:H,8,FALSE))</f>
        <v>33174</v>
      </c>
      <c r="P82" s="46">
        <f t="shared" ca="1" si="5"/>
        <v>1.2125E-2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input_338100!A$2</f>
        <v>338100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IFERROR(VLOOKUP(B83,input_338100!L:R,7,FALSE),VLOOKUP(tables_338100!C83,input_338100!A:H,8,FALSE))</f>
        <v>1746</v>
      </c>
      <c r="P83" s="46">
        <f t="shared" ca="1" si="5"/>
        <v>6.3815789473684211E-4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input_338100!A$2</f>
        <v>338100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IFERROR(VLOOKUP(B84,input_338100!L:R,7,FALSE),VLOOKUP(tables_338100!C84,input_338100!A:H,8,FALSE))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input_338100!A$2</f>
        <v>338100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IFERROR(VLOOKUP(B85,input_338100!L:R,7,FALSE),VLOOKUP(tables_338100!C85,input_338100!A:H,8,FALSE))</f>
        <v>33174</v>
      </c>
      <c r="P85" s="46">
        <f t="shared" ca="1" si="5"/>
        <v>1.2125E-2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input_338100!A$2</f>
        <v>338100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IFERROR(VLOOKUP(B86,input_338100!L:R,7,FALSE),VLOOKUP(tables_338100!C86,input_338100!A:H,8,FALSE))</f>
        <v>1746</v>
      </c>
      <c r="P86" s="46">
        <f t="shared" ca="1" si="5"/>
        <v>6.3815789473684211E-4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input_338100!A$2</f>
        <v>338100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IFERROR(VLOOKUP(B87,input_338100!L:R,7,FALSE),VLOOKUP(tables_338100!C87,input_338100!A:H,8,FALSE))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input_338100!A$2</f>
        <v>338100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IFERROR(VLOOKUP(B88,input_338100!L:R,7,FALSE),VLOOKUP(tables_338100!C88,input_338100!A:H,8,FALSE))</f>
        <v>33174</v>
      </c>
      <c r="P88" s="46">
        <f t="shared" ca="1" si="5"/>
        <v>1.2125E-2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input_338100!A$2</f>
        <v>338100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IFERROR(VLOOKUP(B89,input_338100!L:R,7,FALSE),VLOOKUP(tables_338100!C89,input_338100!A:H,8,FALSE))</f>
        <v>1746</v>
      </c>
      <c r="P89" s="46">
        <f t="shared" ca="1" si="5"/>
        <v>6.3815789473684211E-4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input_338100!A$2</f>
        <v>338100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IFERROR(VLOOKUP(B90,input_338100!L:R,7,FALSE),VLOOKUP(tables_338100!C90,input_338100!A:H,8,FALSE))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input_338100!A$2</f>
        <v>338100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IFERROR(VLOOKUP(B91,input_338100!L:R,7,FALSE),VLOOKUP(tables_338100!C91,input_338100!A:H,8,FALSE))</f>
        <v>33174</v>
      </c>
      <c r="P91" s="46">
        <f t="shared" ca="1" si="5"/>
        <v>1.2125E-2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input_338100!A$2</f>
        <v>338100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IFERROR(VLOOKUP(B92,input_338100!L:R,7,FALSE),VLOOKUP(tables_338100!C92,input_338100!A:H,8,FALSE))</f>
        <v>1746</v>
      </c>
      <c r="P92" s="46">
        <f t="shared" ca="1" si="5"/>
        <v>6.3815789473684211E-4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input_338100!A$2</f>
        <v>338100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IFERROR(VLOOKUP(B93,input_338100!L:R,7,FALSE),VLOOKUP(tables_338100!C93,input_338100!A:H,8,FALSE))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input_338100!A$2</f>
        <v>338100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IFERROR(VLOOKUP(B94,input_338100!L:R,7,FALSE),VLOOKUP(tables_338100!C94,input_338100!A:H,8,FALSE))</f>
        <v>33174</v>
      </c>
      <c r="P94" s="46">
        <f t="shared" ca="1" si="5"/>
        <v>1.2125E-2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input_338100!A$2</f>
        <v>338100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IFERROR(VLOOKUP(B95,input_338100!L:R,7,FALSE),VLOOKUP(tables_338100!C95,input_338100!A:H,8,FALSE))</f>
        <v>1746</v>
      </c>
      <c r="P95" s="46">
        <f t="shared" ca="1" si="5"/>
        <v>6.3815789473684211E-4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input_338100!A$2</f>
        <v>338100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IFERROR(VLOOKUP(B96,input_338100!L:R,7,FALSE),VLOOKUP(tables_338100!C96,input_338100!A:H,8,FALSE))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input_338100!A$2</f>
        <v>338100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IFERROR(VLOOKUP(B97,input_338100!L:R,7,FALSE),VLOOKUP(tables_338100!C97,input_338100!A:H,8,FALSE))</f>
        <v>33174</v>
      </c>
      <c r="P97" s="46">
        <f t="shared" ca="1" si="5"/>
        <v>1.2125E-2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input_338100!A$2</f>
        <v>338100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IFERROR(VLOOKUP(B98,input_338100!L:R,7,FALSE),VLOOKUP(tables_338100!C98,input_338100!A:H,8,FALSE))</f>
        <v>1746</v>
      </c>
      <c r="P98" s="46">
        <f t="shared" ca="1" si="5"/>
        <v>6.3815789473684211E-4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input_338100!A$2</f>
        <v>338100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IFERROR(VLOOKUP(B99,input_338100!L:R,7,FALSE),VLOOKUP(tables_338100!C99,input_338100!A:H,8,FALSE))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input_338100!A$2</f>
        <v>338100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IFERROR(VLOOKUP(B100,input_338100!L:R,7,FALSE),VLOOKUP(tables_338100!C100,input_338100!A:H,8,FALSE))</f>
        <v>33174</v>
      </c>
      <c r="P100" s="46">
        <f t="shared" ca="1" si="5"/>
        <v>1.2125E-2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input_338100!A$2</f>
        <v>338100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IFERROR(VLOOKUP(B101,input_338100!L:R,7,FALSE),VLOOKUP(tables_338100!C101,input_338100!A:H,8,FALSE))</f>
        <v>1746</v>
      </c>
      <c r="P101" s="46">
        <f t="shared" ca="1" si="5"/>
        <v>6.3815789473684211E-4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input_338100!A$2</f>
        <v>338100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IFERROR(VLOOKUP(B102,input_338100!L:R,7,FALSE),VLOOKUP(tables_338100!C102,input_338100!A:H,8,FALSE))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input_338100!A$2</f>
        <v>338100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IFERROR(VLOOKUP(B103,input_338100!L:R,7,FALSE),VLOOKUP(tables_338100!C103,input_338100!A:H,8,FALSE))</f>
        <v>33174</v>
      </c>
      <c r="P103" s="46">
        <f t="shared" ca="1" si="5"/>
        <v>1.2125E-2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input_338100!A$2</f>
        <v>338100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IFERROR(VLOOKUP(B104,input_338100!L:R,7,FALSE),VLOOKUP(tables_338100!C104,input_338100!A:H,8,FALSE))</f>
        <v>1746</v>
      </c>
      <c r="P104" s="46">
        <f t="shared" ca="1" si="5"/>
        <v>6.3815789473684211E-4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input_338100!A$2</f>
        <v>338100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IFERROR(VLOOKUP(B105,input_338100!L:R,7,FALSE),VLOOKUP(tables_338100!C105,input_338100!A:H,8,FALSE))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input_338100!A$2</f>
        <v>338100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IFERROR(VLOOKUP(B106,input_338100!L:R,7,FALSE),VLOOKUP(tables_338100!C106,input_338100!A:H,8,FALSE))</f>
        <v>33174</v>
      </c>
      <c r="P106" s="46">
        <f t="shared" ca="1" si="5"/>
        <v>1.2125E-2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input_338100!A$2</f>
        <v>338100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IFERROR(VLOOKUP(B107,input_338100!L:R,7,FALSE),VLOOKUP(tables_338100!C107,input_338100!A:H,8,FALSE))</f>
        <v>1746</v>
      </c>
      <c r="P107" s="46">
        <f t="shared" ca="1" si="5"/>
        <v>6.3815789473684211E-4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input_338100!A$2</f>
        <v>338100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IFERROR(VLOOKUP(B108,input_338100!L:R,7,FALSE),VLOOKUP(tables_338100!C108,input_338100!A:H,8,FALSE))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input_338100!A$2</f>
        <v>338100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IFERROR(VLOOKUP(B109,input_338100!L:R,7,FALSE),VLOOKUP(tables_338100!C109,input_338100!A:H,8,FALSE))</f>
        <v>33174</v>
      </c>
      <c r="P109" s="46">
        <f t="shared" ca="1" si="5"/>
        <v>1.2125E-2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input_338100!A$2</f>
        <v>338100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IFERROR(VLOOKUP(B110,input_338100!L:R,7,FALSE),VLOOKUP(tables_338100!C110,input_338100!A:H,8,FALSE))</f>
        <v>1746</v>
      </c>
      <c r="P110" s="46">
        <f t="shared" ca="1" si="5"/>
        <v>6.3815789473684211E-4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input_338100!A$2</f>
        <v>338100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IFERROR(VLOOKUP(B111,input_338100!L:R,7,FALSE),VLOOKUP(tables_338100!C111,input_338100!A:H,8,FALSE))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input_338100!A$2</f>
        <v>338100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IFERROR(VLOOKUP(B112,input_338100!L:R,7,FALSE),VLOOKUP(tables_338100!C112,input_338100!A:H,8,FALSE))</f>
        <v>2166</v>
      </c>
      <c r="P112" s="46">
        <f t="shared" ca="1" si="5"/>
        <v>7.9166666666666665E-4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input_338100!A$2</f>
        <v>338100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IFERROR(VLOOKUP(B113,input_338100!L:R,7,FALSE),VLOOKUP(tables_338100!C113,input_338100!A:H,8,FALSE))</f>
        <v>114</v>
      </c>
      <c r="P113" s="46">
        <f t="shared" ca="1" si="5"/>
        <v>4.1666666666666665E-5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input_338100!A$2</f>
        <v>338100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IFERROR(VLOOKUP(B114,input_338100!L:R,7,FALSE),VLOOKUP(tables_338100!C114,input_338100!A:H,8,FALSE))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input_338100!A$2</f>
        <v>338100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IFERROR(VLOOKUP(B115,input_338100!L:R,7,FALSE),VLOOKUP(tables_338100!C115,input_338100!A:H,8,FALSE))</f>
        <v>33174</v>
      </c>
      <c r="P115" s="46">
        <f t="shared" ca="1" si="5"/>
        <v>1.2125E-2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input_338100!A$2</f>
        <v>338100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IFERROR(VLOOKUP(B116,input_338100!L:R,7,FALSE),VLOOKUP(tables_338100!C116,input_338100!A:H,8,FALSE))</f>
        <v>1746</v>
      </c>
      <c r="P116" s="46">
        <f t="shared" ca="1" si="5"/>
        <v>6.3815789473684211E-4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input_338100!A$2</f>
        <v>338100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IFERROR(VLOOKUP(B117,input_338100!L:R,7,FALSE),VLOOKUP(tables_338100!C117,input_338100!A:H,8,FALSE))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input_338100!A$2</f>
        <v>338100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IFERROR(VLOOKUP(B118,input_338100!L:R,7,FALSE),VLOOKUP(tables_338100!C118,input_338100!A:H,8,FALSE))</f>
        <v>33174</v>
      </c>
      <c r="P118" s="46">
        <f t="shared" ca="1" si="5"/>
        <v>1.2125E-2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input_338100!A$2</f>
        <v>338100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IFERROR(VLOOKUP(B119,input_338100!L:R,7,FALSE),VLOOKUP(tables_338100!C119,input_338100!A:H,8,FALSE))</f>
        <v>1746</v>
      </c>
      <c r="P119" s="46">
        <f t="shared" ca="1" si="5"/>
        <v>6.3815789473684211E-4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input_338100!A$2</f>
        <v>338100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IFERROR(VLOOKUP(B120,input_338100!L:R,7,FALSE),VLOOKUP(tables_338100!C120,input_338100!A:H,8,FALSE))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input_338100!A$2</f>
        <v>338100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IFERROR(VLOOKUP(B121,input_338100!L:R,7,FALSE),VLOOKUP(tables_338100!C121,input_338100!A:H,8,FALSE))</f>
        <v>33174</v>
      </c>
      <c r="P121" s="46">
        <f t="shared" ca="1" si="5"/>
        <v>1.2125E-2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input_338100!A$2</f>
        <v>338100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IFERROR(VLOOKUP(B122,input_338100!L:R,7,FALSE),VLOOKUP(tables_338100!C122,input_338100!A:H,8,FALSE))</f>
        <v>1746</v>
      </c>
      <c r="P122" s="46">
        <f t="shared" ca="1" si="5"/>
        <v>6.3815789473684211E-4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input_338100!A$2</f>
        <v>338100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IFERROR(VLOOKUP(B123,input_338100!L:R,7,FALSE),VLOOKUP(tables_338100!C123,input_338100!A:H,8,FALSE))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input_338100!A$2</f>
        <v>338100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IFERROR(VLOOKUP(B124,input_338100!L:R,7,FALSE),VLOOKUP(tables_338100!C124,input_338100!A:H,8,FALSE))</f>
        <v>33174</v>
      </c>
      <c r="P124" s="46">
        <f t="shared" ca="1" si="5"/>
        <v>1.2125E-2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input_338100!A$2</f>
        <v>338100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IFERROR(VLOOKUP(B125,input_338100!L:R,7,FALSE),VLOOKUP(tables_338100!C125,input_338100!A:H,8,FALSE))</f>
        <v>1746</v>
      </c>
      <c r="P125" s="46">
        <f t="shared" ca="1" si="5"/>
        <v>6.3815789473684211E-4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input_338100!A$2</f>
        <v>338100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IFERROR(VLOOKUP(B126,input_338100!L:R,7,FALSE),VLOOKUP(tables_338100!C126,input_338100!A:H,8,FALSE))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input_338100!A$2</f>
        <v>338100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IFERROR(VLOOKUP(B127,input_338100!L:R,7,FALSE),VLOOKUP(tables_338100!C127,input_338100!A:H,8,FALSE))</f>
        <v>33174</v>
      </c>
      <c r="P127" s="46">
        <f t="shared" ca="1" si="5"/>
        <v>1.2125E-2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input_338100!A$2</f>
        <v>338100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IFERROR(VLOOKUP(B128,input_338100!L:R,7,FALSE),VLOOKUP(tables_338100!C128,input_338100!A:H,8,FALSE))</f>
        <v>1746</v>
      </c>
      <c r="P128" s="46">
        <f t="shared" ca="1" si="5"/>
        <v>6.3815789473684211E-4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input_338100!A$2</f>
        <v>338100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IFERROR(VLOOKUP(B129,input_338100!L:R,7,FALSE),VLOOKUP(tables_338100!C129,input_338100!A:H,8,FALSE))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input_338100!A$2</f>
        <v>338100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IFERROR(VLOOKUP(B130,input_338100!L:R,7,FALSE),VLOOKUP(tables_338100!C130,input_338100!A:H,8,FALSE))</f>
        <v>33174</v>
      </c>
      <c r="P130" s="46">
        <f t="shared" ca="1" si="5"/>
        <v>1.2125E-2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input_338100!A$2</f>
        <v>338100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IFERROR(VLOOKUP(B131,input_338100!L:R,7,FALSE),VLOOKUP(tables_338100!C131,input_338100!A:H,8,FALSE))</f>
        <v>1746</v>
      </c>
      <c r="P131" s="46">
        <f t="shared" ca="1" si="5"/>
        <v>6.3815789473684211E-4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input_338100!A$2</f>
        <v>338100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IFERROR(VLOOKUP(B132,input_338100!L:R,7,FALSE),VLOOKUP(tables_338100!C132,input_338100!A:H,8,FALSE))</f>
        <v>0</v>
      </c>
      <c r="P132" s="46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input_338100!A$2</f>
        <v>338100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IFERROR(VLOOKUP(B133,input_338100!L:R,7,FALSE),VLOOKUP(tables_338100!C133,input_338100!A:H,8,FALSE))</f>
        <v>33174</v>
      </c>
      <c r="P133" s="46">
        <f t="shared" ca="1" si="5"/>
        <v>1.2125E-2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input_338100!A$2</f>
        <v>338100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IFERROR(VLOOKUP(B134,input_338100!L:R,7,FALSE),VLOOKUP(tables_338100!C134,input_338100!A:H,8,FALSE))</f>
        <v>1746</v>
      </c>
      <c r="P134" s="46">
        <f t="shared" ca="1" si="5"/>
        <v>6.3815789473684211E-4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input_338100!A$2</f>
        <v>338100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IFERROR(VLOOKUP(B135,input_338100!L:R,7,FALSE),VLOOKUP(tables_338100!C135,input_338100!A:H,8,FALSE))</f>
        <v>0</v>
      </c>
      <c r="P135" s="46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input_338100!A$2</f>
        <v>338100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IFERROR(VLOOKUP(B136,input_338100!L:R,7,FALSE),VLOOKUP(tables_338100!C136,input_338100!A:H,8,FALSE))</f>
        <v>33174</v>
      </c>
      <c r="P136" s="46">
        <f t="shared" ca="1" si="5"/>
        <v>1.2125E-2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input_338100!A$2</f>
        <v>338100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IFERROR(VLOOKUP(B137,input_338100!L:R,7,FALSE),VLOOKUP(tables_338100!C137,input_338100!A:H,8,FALSE))</f>
        <v>1746</v>
      </c>
      <c r="P137" s="46">
        <f t="shared" ca="1" si="5"/>
        <v>6.3815789473684211E-4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input_338100!A$2</f>
        <v>338100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IFERROR(VLOOKUP(B138,input_338100!L:R,7,FALSE),VLOOKUP(tables_338100!C138,input_338100!A:H,8,FALSE))</f>
        <v>2166</v>
      </c>
      <c r="P138" s="46">
        <f t="shared" ca="1" si="5"/>
        <v>7.9166666666666665E-4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input_338100!A$2</f>
        <v>338100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IFERROR(VLOOKUP(B139,input_338100!L:R,7,FALSE),VLOOKUP(tables_338100!C139,input_338100!A:H,8,FALSE))</f>
        <v>114</v>
      </c>
      <c r="P139" s="46">
        <f t="shared" ca="1" si="5"/>
        <v>4.1666666666666665E-5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input_338100!A$2</f>
        <v>338100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IFERROR(VLOOKUP(B140,input_338100!L:R,7,FALSE),VLOOKUP(tables_338100!C140,input_338100!A:H,8,FALSE))</f>
        <v>2166</v>
      </c>
      <c r="P140" s="46">
        <f t="shared" ca="1" si="5"/>
        <v>7.9166666666666665E-4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input_338100!A$2</f>
        <v>338100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IFERROR(VLOOKUP(B141,input_338100!L:R,7,FALSE),VLOOKUP(tables_338100!C141,input_338100!A:H,8,FALSE))</f>
        <v>114</v>
      </c>
      <c r="P141" s="46">
        <f t="shared" ca="1" si="5"/>
        <v>4.1666666666666665E-5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input_338100!A$2</f>
        <v>338100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IFERROR(VLOOKUP(B142,input_338100!L:R,7,FALSE),VLOOKUP(tables_338100!C142,input_338100!A:H,8,FALSE))</f>
        <v>2166</v>
      </c>
      <c r="P142" s="46">
        <f t="shared" ca="1" si="5"/>
        <v>7.9166666666666665E-4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input_338100!A$2</f>
        <v>338100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IFERROR(VLOOKUP(B143,input_338100!L:R,7,FALSE),VLOOKUP(tables_338100!C143,input_338100!A:H,8,FALSE))</f>
        <v>114</v>
      </c>
      <c r="P143" s="46">
        <f t="shared" ref="P143:P206" ca="1" si="8">O143/SUM(O:O)</f>
        <v>4.1666666666666665E-5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input_338100!A$2</f>
        <v>338100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IFERROR(VLOOKUP(B144,input_338100!L:R,7,FALSE),VLOOKUP(tables_338100!C144,input_338100!A:H,8,FALSE))</f>
        <v>2166</v>
      </c>
      <c r="P144" s="46">
        <f t="shared" ca="1" si="8"/>
        <v>7.9166666666666665E-4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input_338100!A$2</f>
        <v>338100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IFERROR(VLOOKUP(B145,input_338100!L:R,7,FALSE),VLOOKUP(tables_338100!C145,input_338100!A:H,8,FALSE))</f>
        <v>114</v>
      </c>
      <c r="P145" s="46">
        <f t="shared" ca="1" si="8"/>
        <v>4.1666666666666665E-5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input_338100!A$2</f>
        <v>338100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IFERROR(VLOOKUP(B146,input_338100!L:R,7,FALSE),VLOOKUP(tables_338100!C146,input_338100!A:H,8,FALSE))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input_338100!A$2</f>
        <v>338100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IFERROR(VLOOKUP(B147,input_338100!L:R,7,FALSE),VLOOKUP(tables_338100!C147,input_338100!A:H,8,FALSE))</f>
        <v>33174</v>
      </c>
      <c r="P147" s="46">
        <f t="shared" ca="1" si="8"/>
        <v>1.2125E-2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input_338100!A$2</f>
        <v>338100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IFERROR(VLOOKUP(B148,input_338100!L:R,7,FALSE),VLOOKUP(tables_338100!C148,input_338100!A:H,8,FALSE))</f>
        <v>1746</v>
      </c>
      <c r="P148" s="46">
        <f t="shared" ca="1" si="8"/>
        <v>6.3815789473684211E-4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input_338100!A$2</f>
        <v>338100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IFERROR(VLOOKUP(B149,input_338100!L:R,7,FALSE),VLOOKUP(tables_338100!C149,input_338100!A:H,8,FALSE))</f>
        <v>2166</v>
      </c>
      <c r="P149" s="46">
        <f t="shared" ca="1" si="8"/>
        <v>7.9166666666666665E-4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input_338100!A$2</f>
        <v>338100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IFERROR(VLOOKUP(B150,input_338100!L:R,7,FALSE),VLOOKUP(tables_338100!C150,input_338100!A:H,8,FALSE))</f>
        <v>114</v>
      </c>
      <c r="P150" s="46">
        <f t="shared" ca="1" si="8"/>
        <v>4.1666666666666665E-5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input_338100!A$2</f>
        <v>338100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IFERROR(VLOOKUP(B151,input_338100!L:R,7,FALSE),VLOOKUP(tables_338100!C151,input_338100!A:H,8,FALSE))</f>
        <v>2166</v>
      </c>
      <c r="P151" s="46">
        <f t="shared" ca="1" si="8"/>
        <v>7.9166666666666665E-4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input_338100!A$2</f>
        <v>338100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IFERROR(VLOOKUP(B152,input_338100!L:R,7,FALSE),VLOOKUP(tables_338100!C152,input_338100!A:H,8,FALSE))</f>
        <v>114</v>
      </c>
      <c r="P152" s="46">
        <f t="shared" ca="1" si="8"/>
        <v>4.1666666666666665E-5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input_338100!A$2</f>
        <v>338100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IFERROR(VLOOKUP(B153,input_338100!L:R,7,FALSE),VLOOKUP(tables_338100!C153,input_338100!A:H,8,FALSE))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input_338100!A$2</f>
        <v>338100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IFERROR(VLOOKUP(B154,input_338100!L:R,7,FALSE),VLOOKUP(tables_338100!C154,input_338100!A:H,8,FALSE))</f>
        <v>33174</v>
      </c>
      <c r="P154" s="46">
        <f t="shared" ca="1" si="8"/>
        <v>1.2125E-2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input_338100!A$2</f>
        <v>338100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IFERROR(VLOOKUP(B155,input_338100!L:R,7,FALSE),VLOOKUP(tables_338100!C155,input_338100!A:H,8,FALSE))</f>
        <v>1746</v>
      </c>
      <c r="P155" s="46">
        <f t="shared" ca="1" si="8"/>
        <v>6.3815789473684211E-4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input_338100!A$2</f>
        <v>338100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IFERROR(VLOOKUP(B156,input_338100!L:R,7,FALSE),VLOOKUP(tables_338100!C156,input_338100!A:H,8,FALSE))</f>
        <v>2166</v>
      </c>
      <c r="P156" s="46">
        <f t="shared" ca="1" si="8"/>
        <v>7.9166666666666665E-4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input_338100!A$2</f>
        <v>338100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IFERROR(VLOOKUP(B157,input_338100!L:R,7,FALSE),VLOOKUP(tables_338100!C157,input_338100!A:H,8,FALSE))</f>
        <v>114</v>
      </c>
      <c r="P157" s="46">
        <f t="shared" ca="1" si="8"/>
        <v>4.1666666666666665E-5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input_338100!A$2</f>
        <v>338100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IFERROR(VLOOKUP(B158,input_338100!L:R,7,FALSE),VLOOKUP(tables_338100!C158,input_338100!A:H,8,FALSE))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input_338100!A$2</f>
        <v>338100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IFERROR(VLOOKUP(B159,input_338100!L:R,7,FALSE),VLOOKUP(tables_338100!C159,input_338100!A:H,8,FALSE))</f>
        <v>33174</v>
      </c>
      <c r="P159" s="46">
        <f t="shared" ca="1" si="8"/>
        <v>1.2125E-2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input_338100!A$2</f>
        <v>338100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IFERROR(VLOOKUP(B160,input_338100!L:R,7,FALSE),VLOOKUP(tables_338100!C160,input_338100!A:H,8,FALSE))</f>
        <v>1746</v>
      </c>
      <c r="P160" s="46">
        <f t="shared" ca="1" si="8"/>
        <v>6.3815789473684211E-4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input_338100!A$2</f>
        <v>338100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IFERROR(VLOOKUP(B161,input_338100!L:R,7,FALSE),VLOOKUP(tables_338100!C161,input_338100!A:H,8,FALSE))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input_338100!A$2</f>
        <v>338100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IFERROR(VLOOKUP(B162,input_338100!L:R,7,FALSE),VLOOKUP(tables_338100!C162,input_338100!A:H,8,FALSE))</f>
        <v>33174</v>
      </c>
      <c r="P162" s="46">
        <f t="shared" ca="1" si="8"/>
        <v>1.2125E-2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input_338100!A$2</f>
        <v>338100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IFERROR(VLOOKUP(B163,input_338100!L:R,7,FALSE),VLOOKUP(tables_338100!C163,input_338100!A:H,8,FALSE))</f>
        <v>1746</v>
      </c>
      <c r="P163" s="46">
        <f t="shared" ca="1" si="8"/>
        <v>6.3815789473684211E-4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input_338100!A$2</f>
        <v>338100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IFERROR(VLOOKUP(B164,input_338100!L:R,7,FALSE),VLOOKUP(tables_338100!C164,input_338100!A:H,8,FALSE))</f>
        <v>2166</v>
      </c>
      <c r="P164" s="46">
        <f t="shared" ca="1" si="8"/>
        <v>7.9166666666666665E-4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input_338100!A$2</f>
        <v>338100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IFERROR(VLOOKUP(B165,input_338100!L:R,7,FALSE),VLOOKUP(tables_338100!C165,input_338100!A:H,8,FALSE))</f>
        <v>114</v>
      </c>
      <c r="P165" s="46">
        <f t="shared" ca="1" si="8"/>
        <v>4.1666666666666665E-5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input_338100!A$2</f>
        <v>338100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IFERROR(VLOOKUP(B166,input_338100!L:R,7,FALSE),VLOOKUP(tables_338100!C166,input_338100!A:H,8,FALSE))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input_338100!A$2</f>
        <v>338100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IFERROR(VLOOKUP(B167,input_338100!L:R,7,FALSE),VLOOKUP(tables_338100!C167,input_338100!A:H,8,FALSE))</f>
        <v>33174</v>
      </c>
      <c r="P167" s="46">
        <f t="shared" ca="1" si="8"/>
        <v>1.2125E-2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input_338100!A$2</f>
        <v>338100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IFERROR(VLOOKUP(B168,input_338100!L:R,7,FALSE),VLOOKUP(tables_338100!C168,input_338100!A:H,8,FALSE))</f>
        <v>1746</v>
      </c>
      <c r="P168" s="46">
        <f t="shared" ca="1" si="8"/>
        <v>6.3815789473684211E-4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input_338100!A$2</f>
        <v>338100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IFERROR(VLOOKUP(B169,input_338100!L:R,7,FALSE),VLOOKUP(tables_338100!C169,input_338100!A:H,8,FALSE))</f>
        <v>2166</v>
      </c>
      <c r="P169" s="46">
        <f t="shared" ca="1" si="8"/>
        <v>7.9166666666666665E-4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input_338100!A$2</f>
        <v>338100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IFERROR(VLOOKUP(B170,input_338100!L:R,7,FALSE),VLOOKUP(tables_338100!C170,input_338100!A:H,8,FALSE))</f>
        <v>114</v>
      </c>
      <c r="P170" s="46">
        <f t="shared" ca="1" si="8"/>
        <v>4.1666666666666665E-5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input_338100!A$2</f>
        <v>338100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IFERROR(VLOOKUP(B171,input_338100!L:R,7,FALSE),VLOOKUP(tables_338100!C171,input_338100!A:H,8,FALSE))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input_338100!A$2</f>
        <v>338100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IFERROR(VLOOKUP(B172,input_338100!L:R,7,FALSE),VLOOKUP(tables_338100!C172,input_338100!A:H,8,FALSE))</f>
        <v>33174</v>
      </c>
      <c r="P172" s="46">
        <f t="shared" ca="1" si="8"/>
        <v>1.2125E-2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input_338100!A$2</f>
        <v>338100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IFERROR(VLOOKUP(B173,input_338100!L:R,7,FALSE),VLOOKUP(tables_338100!C173,input_338100!A:H,8,FALSE))</f>
        <v>1746</v>
      </c>
      <c r="P173" s="46">
        <f t="shared" ca="1" si="8"/>
        <v>6.3815789473684211E-4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input_338100!A$2</f>
        <v>338100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IFERROR(VLOOKUP(B174,input_338100!L:R,7,FALSE),VLOOKUP(tables_338100!C174,input_338100!A:H,8,FALSE))</f>
        <v>2166</v>
      </c>
      <c r="P174" s="46">
        <f t="shared" ca="1" si="8"/>
        <v>7.9166666666666665E-4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input_338100!A$2</f>
        <v>338100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IFERROR(VLOOKUP(B175,input_338100!L:R,7,FALSE),VLOOKUP(tables_338100!C175,input_338100!A:H,8,FALSE))</f>
        <v>114</v>
      </c>
      <c r="P175" s="46">
        <f t="shared" ca="1" si="8"/>
        <v>4.1666666666666665E-5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input_338100!A$2</f>
        <v>338100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IFERROR(VLOOKUP(B176,input_338100!L:R,7,FALSE),VLOOKUP(tables_338100!C176,input_338100!A:H,8,FALSE))</f>
        <v>2166</v>
      </c>
      <c r="P176" s="46">
        <f t="shared" ca="1" si="8"/>
        <v>7.9166666666666665E-4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input_338100!A$2</f>
        <v>338100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IFERROR(VLOOKUP(B177,input_338100!L:R,7,FALSE),VLOOKUP(tables_338100!C177,input_338100!A:H,8,FALSE))</f>
        <v>114</v>
      </c>
      <c r="P177" s="46">
        <f t="shared" ca="1" si="8"/>
        <v>4.1666666666666665E-5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input_338100!A$2</f>
        <v>338100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IFERROR(VLOOKUP(B178,input_338100!L:R,7,FALSE),VLOOKUP(tables_338100!C178,input_338100!A:H,8,FALSE))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input_338100!A$2</f>
        <v>338100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IFERROR(VLOOKUP(B179,input_338100!L:R,7,FALSE),VLOOKUP(tables_338100!C179,input_338100!A:H,8,FALSE))</f>
        <v>33174</v>
      </c>
      <c r="P179" s="46">
        <f t="shared" ca="1" si="8"/>
        <v>1.2125E-2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input_338100!A$2</f>
        <v>338100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IFERROR(VLOOKUP(B180,input_338100!L:R,7,FALSE),VLOOKUP(tables_338100!C180,input_338100!A:H,8,FALSE))</f>
        <v>1746</v>
      </c>
      <c r="P180" s="46">
        <f t="shared" ca="1" si="8"/>
        <v>6.3815789473684211E-4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input_338100!A$2</f>
        <v>338100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IFERROR(VLOOKUP(B181,input_338100!L:R,7,FALSE),VLOOKUP(tables_338100!C181,input_338100!A:H,8,FALSE))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input_338100!A$2</f>
        <v>338100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IFERROR(VLOOKUP(B182,input_338100!L:R,7,FALSE),VLOOKUP(tables_338100!C182,input_338100!A:H,8,FALSE))</f>
        <v>33174</v>
      </c>
      <c r="P182" s="46">
        <f t="shared" ca="1" si="8"/>
        <v>1.2125E-2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input_338100!A$2</f>
        <v>338100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IFERROR(VLOOKUP(B183,input_338100!L:R,7,FALSE),VLOOKUP(tables_338100!C183,input_338100!A:H,8,FALSE))</f>
        <v>1746</v>
      </c>
      <c r="P183" s="46">
        <f t="shared" ca="1" si="8"/>
        <v>6.3815789473684211E-4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input_338100!A$2</f>
        <v>338100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IFERROR(VLOOKUP(B184,input_338100!L:R,7,FALSE),VLOOKUP(tables_338100!C184,input_338100!A:H,8,FALSE))</f>
        <v>2166</v>
      </c>
      <c r="P184" s="46">
        <f t="shared" ca="1" si="8"/>
        <v>7.9166666666666665E-4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input_338100!A$2</f>
        <v>338100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IFERROR(VLOOKUP(B185,input_338100!L:R,7,FALSE),VLOOKUP(tables_338100!C185,input_338100!A:H,8,FALSE))</f>
        <v>114</v>
      </c>
      <c r="P185" s="46">
        <f t="shared" ca="1" si="8"/>
        <v>4.1666666666666665E-5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input_338100!A$2</f>
        <v>338100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IFERROR(VLOOKUP(B186,input_338100!L:R,7,FALSE),VLOOKUP(tables_338100!C186,input_338100!A:H,8,FALSE))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input_338100!A$2</f>
        <v>338100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IFERROR(VLOOKUP(B187,input_338100!L:R,7,FALSE),VLOOKUP(tables_338100!C187,input_338100!A:H,8,FALSE))</f>
        <v>33174</v>
      </c>
      <c r="P187" s="46">
        <f t="shared" ca="1" si="8"/>
        <v>1.2125E-2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input_338100!A$2</f>
        <v>338100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IFERROR(VLOOKUP(B188,input_338100!L:R,7,FALSE),VLOOKUP(tables_338100!C188,input_338100!A:H,8,FALSE))</f>
        <v>1746</v>
      </c>
      <c r="P188" s="46">
        <f t="shared" ca="1" si="8"/>
        <v>6.3815789473684211E-4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input_338100!A$2</f>
        <v>338100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IFERROR(VLOOKUP(B189,input_338100!L:R,7,FALSE),VLOOKUP(tables_338100!C189,input_338100!A:H,8,FALSE))</f>
        <v>2166</v>
      </c>
      <c r="P189" s="46">
        <f t="shared" ca="1" si="8"/>
        <v>7.9166666666666665E-4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input_338100!A$2</f>
        <v>338100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IFERROR(VLOOKUP(B190,input_338100!L:R,7,FALSE),VLOOKUP(tables_338100!C190,input_338100!A:H,8,FALSE))</f>
        <v>114</v>
      </c>
      <c r="P190" s="46">
        <f t="shared" ca="1" si="8"/>
        <v>4.1666666666666665E-5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input_338100!A$2</f>
        <v>338100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IFERROR(VLOOKUP(B191,input_338100!L:R,7,FALSE),VLOOKUP(tables_338100!C191,input_338100!A:H,8,FALSE))</f>
        <v>2166</v>
      </c>
      <c r="P191" s="46">
        <f t="shared" ca="1" si="8"/>
        <v>7.9166666666666665E-4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input_338100!A$2</f>
        <v>338100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IFERROR(VLOOKUP(B192,input_338100!L:R,7,FALSE),VLOOKUP(tables_338100!C192,input_338100!A:H,8,FALSE))</f>
        <v>114</v>
      </c>
      <c r="P192" s="46">
        <f t="shared" ca="1" si="8"/>
        <v>4.1666666666666665E-5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input_338100!A$2</f>
        <v>338100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IFERROR(VLOOKUP(B193,input_338100!L:R,7,FALSE),VLOOKUP(tables_338100!C193,input_338100!A:H,8,FALSE))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input_338100!A$2</f>
        <v>338100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IFERROR(VLOOKUP(B194,input_338100!L:R,7,FALSE),VLOOKUP(tables_338100!C194,input_338100!A:H,8,FALSE))</f>
        <v>33174</v>
      </c>
      <c r="P194" s="46">
        <f t="shared" ca="1" si="8"/>
        <v>1.2125E-2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input_338100!A$2</f>
        <v>338100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IFERROR(VLOOKUP(B195,input_338100!L:R,7,FALSE),VLOOKUP(tables_338100!C195,input_338100!A:H,8,FALSE))</f>
        <v>1746</v>
      </c>
      <c r="P195" s="46">
        <f t="shared" ca="1" si="8"/>
        <v>6.3815789473684211E-4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input_338100!A$2</f>
        <v>338100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IFERROR(VLOOKUP(B196,input_338100!L:R,7,FALSE),VLOOKUP(tables_338100!C196,input_338100!A:H,8,FALSE))</f>
        <v>2166</v>
      </c>
      <c r="P196" s="46">
        <f t="shared" ca="1" si="8"/>
        <v>7.9166666666666665E-4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input_338100!A$2</f>
        <v>338100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IFERROR(VLOOKUP(B197,input_338100!L:R,7,FALSE),VLOOKUP(tables_338100!C197,input_338100!A:H,8,FALSE))</f>
        <v>114</v>
      </c>
      <c r="P197" s="46">
        <f t="shared" ca="1" si="8"/>
        <v>4.1666666666666665E-5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input_338100!A$2</f>
        <v>338100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IFERROR(VLOOKUP(B198,input_338100!L:R,7,FALSE),VLOOKUP(tables_338100!C198,input_338100!A:H,8,FALSE))</f>
        <v>0</v>
      </c>
      <c r="P198" s="46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input_338100!A$2</f>
        <v>338100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IFERROR(VLOOKUP(B199,input_338100!L:R,7,FALSE),VLOOKUP(tables_338100!C199,input_338100!A:H,8,FALSE))</f>
        <v>33174</v>
      </c>
      <c r="P199" s="46">
        <f t="shared" ca="1" si="8"/>
        <v>1.2125E-2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input_338100!A$2</f>
        <v>338100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IFERROR(VLOOKUP(B200,input_338100!L:R,7,FALSE),VLOOKUP(tables_338100!C200,input_338100!A:H,8,FALSE))</f>
        <v>1746</v>
      </c>
      <c r="P200" s="46">
        <f t="shared" ca="1" si="8"/>
        <v>6.3815789473684211E-4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input_338100!A$2</f>
        <v>338100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IFERROR(VLOOKUP(B201,input_338100!L:R,7,FALSE),VLOOKUP(tables_338100!C201,input_338100!A:H,8,FALSE))</f>
        <v>2166</v>
      </c>
      <c r="P201" s="46">
        <f t="shared" ca="1" si="8"/>
        <v>7.9166666666666665E-4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input_338100!A$2</f>
        <v>338100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IFERROR(VLOOKUP(B202,input_338100!L:R,7,FALSE),VLOOKUP(tables_338100!C202,input_338100!A:H,8,FALSE))</f>
        <v>114</v>
      </c>
      <c r="P202" s="46">
        <f t="shared" ca="1" si="8"/>
        <v>4.1666666666666665E-5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input_338100!A$2</f>
        <v>338100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IFERROR(VLOOKUP(B203,input_338100!L:R,7,FALSE),VLOOKUP(tables_338100!C203,input_338100!A:H,8,FALSE))</f>
        <v>0</v>
      </c>
      <c r="P203" s="46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input_338100!A$2</f>
        <v>338100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IFERROR(VLOOKUP(B204,input_338100!L:R,7,FALSE),VLOOKUP(tables_338100!C204,input_338100!A:H,8,FALSE))</f>
        <v>33174</v>
      </c>
      <c r="P204" s="46">
        <f t="shared" ca="1" si="8"/>
        <v>1.2125E-2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input_338100!A$2</f>
        <v>338100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IFERROR(VLOOKUP(B205,input_338100!L:R,7,FALSE),VLOOKUP(tables_338100!C205,input_338100!A:H,8,FALSE))</f>
        <v>1746</v>
      </c>
      <c r="P205" s="46">
        <f t="shared" ca="1" si="8"/>
        <v>6.3815789473684211E-4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input_338100!A$2</f>
        <v>338100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IFERROR(VLOOKUP(B206,input_338100!L:R,7,FALSE),VLOOKUP(tables_338100!C206,input_338100!A:H,8,FALSE))</f>
        <v>2166</v>
      </c>
      <c r="P206" s="46">
        <f t="shared" ca="1" si="8"/>
        <v>7.9166666666666665E-4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input_338100!A$2</f>
        <v>338100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IFERROR(VLOOKUP(B207,input_338100!L:R,7,FALSE),VLOOKUP(tables_338100!C207,input_338100!A:H,8,FALSE))</f>
        <v>114</v>
      </c>
      <c r="P207" s="46">
        <f t="shared" ref="P207:P270" ca="1" si="11">O207/SUM(O:O)</f>
        <v>4.1666666666666665E-5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input_338100!A$2</f>
        <v>338100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IFERROR(VLOOKUP(B208,input_338100!L:R,7,FALSE),VLOOKUP(tables_338100!C208,input_338100!A:H,8,FALSE))</f>
        <v>2166</v>
      </c>
      <c r="P208" s="46">
        <f t="shared" ca="1" si="11"/>
        <v>7.9166666666666665E-4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input_338100!A$2</f>
        <v>338100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IFERROR(VLOOKUP(B209,input_338100!L:R,7,FALSE),VLOOKUP(tables_338100!C209,input_338100!A:H,8,FALSE))</f>
        <v>114</v>
      </c>
      <c r="P209" s="46">
        <f t="shared" ca="1" si="11"/>
        <v>4.1666666666666665E-5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input_338100!A$2</f>
        <v>338100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IFERROR(VLOOKUP(B210,input_338100!L:R,7,FALSE),VLOOKUP(tables_338100!C210,input_338100!A:H,8,FALSE))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input_338100!A$2</f>
        <v>338100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IFERROR(VLOOKUP(B211,input_338100!L:R,7,FALSE),VLOOKUP(tables_338100!C211,input_338100!A:H,8,FALSE))</f>
        <v>33174</v>
      </c>
      <c r="P211" s="46">
        <f t="shared" ca="1" si="11"/>
        <v>1.2125E-2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input_338100!A$2</f>
        <v>338100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IFERROR(VLOOKUP(B212,input_338100!L:R,7,FALSE),VLOOKUP(tables_338100!C212,input_338100!A:H,8,FALSE))</f>
        <v>1746</v>
      </c>
      <c r="P212" s="46">
        <f t="shared" ca="1" si="11"/>
        <v>6.3815789473684211E-4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input_338100!A$2</f>
        <v>338100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IFERROR(VLOOKUP(B213,input_338100!L:R,7,FALSE),VLOOKUP(tables_338100!C213,input_338100!A:H,8,FALSE))</f>
        <v>2166</v>
      </c>
      <c r="P213" s="46">
        <f t="shared" ca="1" si="11"/>
        <v>7.9166666666666665E-4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input_338100!A$2</f>
        <v>338100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IFERROR(VLOOKUP(B214,input_338100!L:R,7,FALSE),VLOOKUP(tables_338100!C214,input_338100!A:H,8,FALSE))</f>
        <v>114</v>
      </c>
      <c r="P214" s="46">
        <f t="shared" ca="1" si="11"/>
        <v>4.1666666666666665E-5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input_338100!A$2</f>
        <v>338100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IFERROR(VLOOKUP(B215,input_338100!L:R,7,FALSE),VLOOKUP(tables_338100!C215,input_338100!A:H,8,FALSE))</f>
        <v>2166</v>
      </c>
      <c r="P215" s="46">
        <f t="shared" ca="1" si="11"/>
        <v>7.9166666666666665E-4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input_338100!A$2</f>
        <v>338100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IFERROR(VLOOKUP(B216,input_338100!L:R,7,FALSE),VLOOKUP(tables_338100!C216,input_338100!A:H,8,FALSE))</f>
        <v>114</v>
      </c>
      <c r="P216" s="46">
        <f t="shared" ca="1" si="11"/>
        <v>4.1666666666666665E-5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input_338100!A$2</f>
        <v>338100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IFERROR(VLOOKUP(B217,input_338100!L:R,7,FALSE),VLOOKUP(tables_338100!C217,input_338100!A:H,8,FALSE))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input_338100!A$2</f>
        <v>338100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IFERROR(VLOOKUP(B218,input_338100!L:R,7,FALSE),VLOOKUP(tables_338100!C218,input_338100!A:H,8,FALSE))</f>
        <v>33174</v>
      </c>
      <c r="P218" s="46">
        <f t="shared" ca="1" si="11"/>
        <v>1.2125E-2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input_338100!A$2</f>
        <v>338100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IFERROR(VLOOKUP(B219,input_338100!L:R,7,FALSE),VLOOKUP(tables_338100!C219,input_338100!A:H,8,FALSE))</f>
        <v>1746</v>
      </c>
      <c r="P219" s="46">
        <f t="shared" ca="1" si="11"/>
        <v>6.3815789473684211E-4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input_338100!A$2</f>
        <v>338100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IFERROR(VLOOKUP(B220,input_338100!L:R,7,FALSE),VLOOKUP(tables_338100!C220,input_338100!A:H,8,FALSE))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input_338100!A$2</f>
        <v>338100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IFERROR(VLOOKUP(B221,input_338100!L:R,7,FALSE),VLOOKUP(tables_338100!C221,input_338100!A:H,8,FALSE))</f>
        <v>33174</v>
      </c>
      <c r="P221" s="46">
        <f t="shared" ca="1" si="11"/>
        <v>1.2125E-2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input_338100!A$2</f>
        <v>338100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IFERROR(VLOOKUP(B222,input_338100!L:R,7,FALSE),VLOOKUP(tables_338100!C222,input_338100!A:H,8,FALSE))</f>
        <v>1746</v>
      </c>
      <c r="P222" s="46">
        <f t="shared" ca="1" si="11"/>
        <v>6.3815789473684211E-4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input_338100!A$2</f>
        <v>338100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IFERROR(VLOOKUP(B223,input_338100!L:R,7,FALSE),VLOOKUP(tables_338100!C223,input_338100!A:H,8,FALSE))</f>
        <v>2166</v>
      </c>
      <c r="P223" s="46">
        <f t="shared" ca="1" si="11"/>
        <v>7.9166666666666665E-4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input_338100!A$2</f>
        <v>338100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IFERROR(VLOOKUP(B224,input_338100!L:R,7,FALSE),VLOOKUP(tables_338100!C224,input_338100!A:H,8,FALSE))</f>
        <v>114</v>
      </c>
      <c r="P224" s="46">
        <f t="shared" ca="1" si="11"/>
        <v>4.1666666666666665E-5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input_338100!A$2</f>
        <v>338100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IFERROR(VLOOKUP(B225,input_338100!L:R,7,FALSE),VLOOKUP(tables_338100!C225,input_338100!A:H,8,FALSE))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input_338100!A$2</f>
        <v>338100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IFERROR(VLOOKUP(B226,input_338100!L:R,7,FALSE),VLOOKUP(tables_338100!C226,input_338100!A:H,8,FALSE))</f>
        <v>33174</v>
      </c>
      <c r="P226" s="46">
        <f t="shared" ca="1" si="11"/>
        <v>1.2125E-2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input_338100!A$2</f>
        <v>338100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IFERROR(VLOOKUP(B227,input_338100!L:R,7,FALSE),VLOOKUP(tables_338100!C227,input_338100!A:H,8,FALSE))</f>
        <v>1746</v>
      </c>
      <c r="P227" s="46">
        <f t="shared" ca="1" si="11"/>
        <v>6.3815789473684211E-4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input_338100!A$2</f>
        <v>338100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IFERROR(VLOOKUP(B228,input_338100!L:R,7,FALSE),VLOOKUP(tables_338100!C228,input_338100!A:H,8,FALSE))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input_338100!A$2</f>
        <v>338100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IFERROR(VLOOKUP(B229,input_338100!L:R,7,FALSE),VLOOKUP(tables_338100!C229,input_338100!A:H,8,FALSE))</f>
        <v>33174</v>
      </c>
      <c r="P229" s="46">
        <f t="shared" ca="1" si="11"/>
        <v>1.2125E-2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input_338100!A$2</f>
        <v>338100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IFERROR(VLOOKUP(B230,input_338100!L:R,7,FALSE),VLOOKUP(tables_338100!C230,input_338100!A:H,8,FALSE))</f>
        <v>1746</v>
      </c>
      <c r="P230" s="46">
        <f t="shared" ca="1" si="11"/>
        <v>6.3815789473684211E-4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input_338100!A$2</f>
        <v>338100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IFERROR(VLOOKUP(B231,input_338100!L:R,7,FALSE),VLOOKUP(tables_338100!C231,input_338100!A:H,8,FALSE))</f>
        <v>2166</v>
      </c>
      <c r="P231" s="46">
        <f t="shared" ca="1" si="11"/>
        <v>7.9166666666666665E-4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input_338100!A$2</f>
        <v>338100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IFERROR(VLOOKUP(B232,input_338100!L:R,7,FALSE),VLOOKUP(tables_338100!C232,input_338100!A:H,8,FALSE))</f>
        <v>114</v>
      </c>
      <c r="P232" s="46">
        <f t="shared" ca="1" si="11"/>
        <v>4.1666666666666665E-5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input_338100!A$2</f>
        <v>338100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IFERROR(VLOOKUP(B233,input_338100!L:R,7,FALSE),VLOOKUP(tables_338100!C233,input_338100!A:H,8,FALSE))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input_338100!A$2</f>
        <v>338100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IFERROR(VLOOKUP(B234,input_338100!L:R,7,FALSE),VLOOKUP(tables_338100!C234,input_338100!A:H,8,FALSE))</f>
        <v>33174</v>
      </c>
      <c r="P234" s="46">
        <f t="shared" ca="1" si="11"/>
        <v>1.2125E-2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input_338100!A$2</f>
        <v>338100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IFERROR(VLOOKUP(B235,input_338100!L:R,7,FALSE),VLOOKUP(tables_338100!C235,input_338100!A:H,8,FALSE))</f>
        <v>1746</v>
      </c>
      <c r="P235" s="46">
        <f t="shared" ca="1" si="11"/>
        <v>6.3815789473684211E-4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input_338100!A$2</f>
        <v>338100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IFERROR(VLOOKUP(B236,input_338100!L:R,7,FALSE),VLOOKUP(tables_338100!C236,input_338100!A:H,8,FALSE))</f>
        <v>2166</v>
      </c>
      <c r="P236" s="46">
        <f t="shared" ca="1" si="11"/>
        <v>7.9166666666666665E-4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input_338100!A$2</f>
        <v>338100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IFERROR(VLOOKUP(B237,input_338100!L:R,7,FALSE),VLOOKUP(tables_338100!C237,input_338100!A:H,8,FALSE))</f>
        <v>114</v>
      </c>
      <c r="P237" s="46">
        <f t="shared" ca="1" si="11"/>
        <v>4.1666666666666665E-5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input_338100!A$2</f>
        <v>338100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IFERROR(VLOOKUP(B238,input_338100!L:R,7,FALSE),VLOOKUP(tables_338100!C238,input_338100!A:H,8,FALSE))</f>
        <v>2166</v>
      </c>
      <c r="P238" s="46">
        <f t="shared" ca="1" si="11"/>
        <v>7.9166666666666665E-4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input_338100!A$2</f>
        <v>338100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IFERROR(VLOOKUP(B239,input_338100!L:R,7,FALSE),VLOOKUP(tables_338100!C239,input_338100!A:H,8,FALSE))</f>
        <v>114</v>
      </c>
      <c r="P239" s="46">
        <f t="shared" ca="1" si="11"/>
        <v>4.1666666666666665E-5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input_338100!A$2</f>
        <v>338100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IFERROR(VLOOKUP(B240,input_338100!L:R,7,FALSE),VLOOKUP(tables_338100!C240,input_338100!A:H,8,FALSE))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input_338100!A$2</f>
        <v>338100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IFERROR(VLOOKUP(B241,input_338100!L:R,7,FALSE),VLOOKUP(tables_338100!C241,input_338100!A:H,8,FALSE))</f>
        <v>33174</v>
      </c>
      <c r="P241" s="46">
        <f t="shared" ca="1" si="11"/>
        <v>1.2125E-2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input_338100!A$2</f>
        <v>338100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IFERROR(VLOOKUP(B242,input_338100!L:R,7,FALSE),VLOOKUP(tables_338100!C242,input_338100!A:H,8,FALSE))</f>
        <v>1746</v>
      </c>
      <c r="P242" s="46">
        <f t="shared" ca="1" si="11"/>
        <v>6.3815789473684211E-4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input_338100!A$2</f>
        <v>338100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IFERROR(VLOOKUP(B243,input_338100!L:R,7,FALSE),VLOOKUP(tables_338100!C243,input_338100!A:H,8,FALSE))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input_338100!A$2</f>
        <v>338100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IFERROR(VLOOKUP(B244,input_338100!L:R,7,FALSE),VLOOKUP(tables_338100!C244,input_338100!A:H,8,FALSE))</f>
        <v>33174</v>
      </c>
      <c r="P244" s="46">
        <f t="shared" ca="1" si="11"/>
        <v>1.2125E-2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input_338100!A$2</f>
        <v>338100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IFERROR(VLOOKUP(B245,input_338100!L:R,7,FALSE),VLOOKUP(tables_338100!C245,input_338100!A:H,8,FALSE))</f>
        <v>1746</v>
      </c>
      <c r="P245" s="46">
        <f t="shared" ca="1" si="11"/>
        <v>6.3815789473684211E-4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input_338100!A$2</f>
        <v>338100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IFERROR(VLOOKUP(B246,input_338100!L:R,7,FALSE),VLOOKUP(tables_338100!C246,input_338100!A:H,8,FALSE))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input_338100!A$2</f>
        <v>338100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IFERROR(VLOOKUP(B247,input_338100!L:R,7,FALSE),VLOOKUP(tables_338100!C247,input_338100!A:H,8,FALSE))</f>
        <v>33174</v>
      </c>
      <c r="P247" s="46">
        <f t="shared" ca="1" si="11"/>
        <v>1.2125E-2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input_338100!A$2</f>
        <v>338100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IFERROR(VLOOKUP(B248,input_338100!L:R,7,FALSE),VLOOKUP(tables_338100!C248,input_338100!A:H,8,FALSE))</f>
        <v>1746</v>
      </c>
      <c r="P248" s="46">
        <f t="shared" ca="1" si="11"/>
        <v>6.3815789473684211E-4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input_338100!A$2</f>
        <v>338100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IFERROR(VLOOKUP(B249,input_338100!L:R,7,FALSE),VLOOKUP(tables_338100!C249,input_338100!A:H,8,FALSE))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input_338100!A$2</f>
        <v>338100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IFERROR(VLOOKUP(B250,input_338100!L:R,7,FALSE),VLOOKUP(tables_338100!C250,input_338100!A:H,8,FALSE))</f>
        <v>33174</v>
      </c>
      <c r="P250" s="46">
        <f t="shared" ca="1" si="11"/>
        <v>1.2125E-2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input_338100!A$2</f>
        <v>338100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IFERROR(VLOOKUP(B251,input_338100!L:R,7,FALSE),VLOOKUP(tables_338100!C251,input_338100!A:H,8,FALSE))</f>
        <v>1746</v>
      </c>
      <c r="P251" s="46">
        <f t="shared" ca="1" si="11"/>
        <v>6.3815789473684211E-4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input_338100!A$2</f>
        <v>338100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IFERROR(VLOOKUP(B252,input_338100!L:R,7,FALSE),VLOOKUP(tables_338100!C252,input_338100!A:H,8,FALSE))</f>
        <v>2166</v>
      </c>
      <c r="P252" s="46">
        <f t="shared" ca="1" si="11"/>
        <v>7.9166666666666665E-4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input_338100!A$2</f>
        <v>338100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IFERROR(VLOOKUP(B253,input_338100!L:R,7,FALSE),VLOOKUP(tables_338100!C253,input_338100!A:H,8,FALSE))</f>
        <v>114</v>
      </c>
      <c r="P253" s="46">
        <f t="shared" ca="1" si="11"/>
        <v>4.1666666666666665E-5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input_338100!A$2</f>
        <v>338100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IFERROR(VLOOKUP(B254,input_338100!L:R,7,FALSE),VLOOKUP(tables_338100!C254,input_338100!A:H,8,FALSE))</f>
        <v>2166</v>
      </c>
      <c r="P254" s="46">
        <f t="shared" ca="1" si="11"/>
        <v>7.9166666666666665E-4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input_338100!A$2</f>
        <v>338100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IFERROR(VLOOKUP(B255,input_338100!L:R,7,FALSE),VLOOKUP(tables_338100!C255,input_338100!A:H,8,FALSE))</f>
        <v>114</v>
      </c>
      <c r="P255" s="46">
        <f t="shared" ca="1" si="11"/>
        <v>4.1666666666666665E-5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input_338100!A$2</f>
        <v>338100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IFERROR(VLOOKUP(B256,input_338100!L:R,7,FALSE),VLOOKUP(tables_338100!C256,input_338100!A:H,8,FALSE))</f>
        <v>26610</v>
      </c>
      <c r="P256" s="46">
        <f t="shared" ca="1" si="11"/>
        <v>9.7258771929824555E-3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input_338100!A$2</f>
        <v>338100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IFERROR(VLOOKUP(B257,input_338100!L:R,7,FALSE),VLOOKUP(tables_338100!C257,input_338100!A:H,8,FALSE))</f>
        <v>8310</v>
      </c>
      <c r="P257" s="46">
        <f t="shared" ca="1" si="11"/>
        <v>3.0372807017543858E-3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input_338100!A$2</f>
        <v>338100</v>
      </c>
      <c r="B258" s="60">
        <v>730</v>
      </c>
      <c r="C258" s="7" t="str">
        <f t="shared" ref="C258:C277" si="12">D258&amp;J258&amp;E258&amp;F258&amp;G258</f>
        <v>Premium4R3less</v>
      </c>
      <c r="D258" s="7" t="str">
        <f t="shared" ref="D258:D277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IFERROR(VLOOKUP(B258,input_338100!L:R,7,FALSE),VLOOKUP(tables_338100!C258,input_338100!A:H,8,FALSE))</f>
        <v>26610</v>
      </c>
      <c r="P258" s="46">
        <f t="shared" ca="1" si="11"/>
        <v>9.7258771929824555E-3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input_338100!A$2</f>
        <v>338100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IFERROR(VLOOKUP(B259,input_338100!L:R,7,FALSE),VLOOKUP(tables_338100!C259,input_338100!A:H,8,FALSE))</f>
        <v>8310</v>
      </c>
      <c r="P259" s="46">
        <f t="shared" ca="1" si="11"/>
        <v>3.0372807017543858E-3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input_338100!A$2</f>
        <v>338100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IFERROR(VLOOKUP(B260,input_338100!L:R,7,FALSE),VLOOKUP(tables_338100!C260,input_338100!A:H,8,FALSE))</f>
        <v>2280</v>
      </c>
      <c r="P260" s="46">
        <f t="shared" ca="1" si="11"/>
        <v>8.3333333333333339E-4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input_338100!A$2</f>
        <v>338100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IFERROR(VLOOKUP(B261,input_338100!L:R,7,FALSE),VLOOKUP(tables_338100!C261,input_338100!A:H,8,FALSE))</f>
        <v>2280</v>
      </c>
      <c r="P261" s="46">
        <f t="shared" ca="1" si="11"/>
        <v>8.3333333333333339E-4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input_338100!A$2</f>
        <v>338100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IFERROR(VLOOKUP(B262,input_338100!L:R,7,FALSE),VLOOKUP(tables_338100!C262,input_338100!A:H,8,FALSE))</f>
        <v>2166</v>
      </c>
      <c r="P262" s="46">
        <f t="shared" ca="1" si="11"/>
        <v>7.9166666666666665E-4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input_338100!A$2</f>
        <v>338100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IFERROR(VLOOKUP(B263,input_338100!L:R,7,FALSE),VLOOKUP(tables_338100!C263,input_338100!A:H,8,FALSE))</f>
        <v>114</v>
      </c>
      <c r="P263" s="46">
        <f t="shared" ca="1" si="11"/>
        <v>4.1666666666666665E-5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input_338100!A$2</f>
        <v>338100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IFERROR(VLOOKUP(B264,input_338100!L:R,7,FALSE),VLOOKUP(tables_338100!C264,input_338100!A:H,8,FALSE))</f>
        <v>2166</v>
      </c>
      <c r="P264" s="46">
        <f t="shared" ca="1" si="11"/>
        <v>7.9166666666666665E-4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input_338100!A$2</f>
        <v>338100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IFERROR(VLOOKUP(B265,input_338100!L:R,7,FALSE),VLOOKUP(tables_338100!C265,input_338100!A:H,8,FALSE))</f>
        <v>114</v>
      </c>
      <c r="P265" s="46">
        <f t="shared" ca="1" si="11"/>
        <v>4.1666666666666665E-5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input_338100!A$2</f>
        <v>338100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IFERROR(VLOOKUP(B266,input_338100!L:R,7,FALSE),VLOOKUP(tables_338100!C266,input_338100!A:H,8,FALSE))</f>
        <v>0</v>
      </c>
      <c r="P266" s="46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input_338100!A$2</f>
        <v>338100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IFERROR(VLOOKUP(B267,input_338100!L:R,7,FALSE),VLOOKUP(tables_338100!C267,input_338100!A:H,8,FALSE))</f>
        <v>33174</v>
      </c>
      <c r="P267" s="46">
        <f t="shared" ca="1" si="11"/>
        <v>1.2125E-2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input_338100!A$2</f>
        <v>338100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IFERROR(VLOOKUP(B268,input_338100!L:R,7,FALSE),VLOOKUP(tables_338100!C268,input_338100!A:H,8,FALSE))</f>
        <v>1746</v>
      </c>
      <c r="P268" s="46">
        <f t="shared" ca="1" si="11"/>
        <v>6.3815789473684211E-4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input_338100!A$2</f>
        <v>338100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IFERROR(VLOOKUP(B269,input_338100!L:R,7,FALSE),VLOOKUP(tables_338100!C269,input_338100!A:H,8,FALSE))</f>
        <v>0</v>
      </c>
      <c r="P269" s="46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input_338100!A$2</f>
        <v>338100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IFERROR(VLOOKUP(B270,input_338100!L:R,7,FALSE),VLOOKUP(tables_338100!C270,input_338100!A:H,8,FALSE))</f>
        <v>33174</v>
      </c>
      <c r="P270" s="46">
        <f t="shared" ca="1" si="11"/>
        <v>1.2125E-2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input_338100!A$2</f>
        <v>338100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IFERROR(VLOOKUP(B271,input_338100!L:R,7,FALSE),VLOOKUP(tables_338100!C271,input_338100!A:H,8,FALSE))</f>
        <v>1746</v>
      </c>
      <c r="P271" s="46">
        <f t="shared" ref="P271:P277" ca="1" si="14">O271/SUM(O:O)</f>
        <v>6.3815789473684211E-4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input_338100!A$2</f>
        <v>338100</v>
      </c>
      <c r="B272" s="1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IFERROR(VLOOKUP(B272,input_338100!L:R,7,FALSE),VLOOKUP(tables_338100!C272,input_338100!A:H,8,FALSE))</f>
        <v>2280</v>
      </c>
      <c r="P272" s="46">
        <f t="shared" ca="1" si="14"/>
        <v>8.3333333333333339E-4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input_338100!A$2</f>
        <v>338100</v>
      </c>
      <c r="B273" s="1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IFERROR(VLOOKUP(B273,input_338100!L:R,7,FALSE),VLOOKUP(tables_338100!C273,input_338100!A:H,8,FALSE))</f>
        <v>2280</v>
      </c>
      <c r="P273" s="46">
        <f t="shared" ca="1" si="14"/>
        <v>8.3333333333333339E-4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input_338100!A$2</f>
        <v>338100</v>
      </c>
      <c r="B274" s="1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IFERROR(VLOOKUP(B274,input_338100!L:R,7,FALSE),VLOOKUP(tables_338100!C274,input_338100!A:H,8,FALSE))</f>
        <v>26610</v>
      </c>
      <c r="P274" s="46">
        <f t="shared" ca="1" si="14"/>
        <v>9.7258771929824555E-3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input_338100!A$2</f>
        <v>338100</v>
      </c>
      <c r="B275" s="1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IFERROR(VLOOKUP(B275,input_338100!L:R,7,FALSE),VLOOKUP(tables_338100!C275,input_338100!A:H,8,FALSE))</f>
        <v>8310</v>
      </c>
      <c r="P275" s="46">
        <f t="shared" ca="1" si="14"/>
        <v>3.0372807017543858E-3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input_338100!A$2</f>
        <v>338100</v>
      </c>
      <c r="B276" s="1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IFERROR(VLOOKUP(B276,input_338100!L:R,7,FALSE),VLOOKUP(tables_338100!C276,input_338100!A:H,8,FALSE))</f>
        <v>26610</v>
      </c>
      <c r="P276" s="46">
        <f t="shared" ca="1" si="14"/>
        <v>9.7258771929824555E-3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input_338100!A$2</f>
        <v>338100</v>
      </c>
      <c r="B277" s="1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IFERROR(VLOOKUP(B277,input_338100!L:R,7,FALSE),VLOOKUP(tables_338100!C277,input_338100!A:H,8,FALSE))</f>
        <v>8310</v>
      </c>
      <c r="P277" s="46">
        <f t="shared" ca="1" si="14"/>
        <v>3.0372807017543858E-3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</sheetData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13"/>
  <sheetViews>
    <sheetView showGridLines="0" zoomScale="75" zoomScaleNormal="75" zoomScalePageLayoutView="75" workbookViewId="0">
      <pane ySplit="1" topLeftCell="A2" activePane="bottomLeft" state="frozen"/>
      <selection activeCell="B272" sqref="B272:B277"/>
      <selection pane="bottomLeft" activeCell="F18" sqref="F18"/>
    </sheetView>
  </sheetViews>
  <sheetFormatPr baseColWidth="12" defaultRowHeight="21" customHeight="1" outlineLevelCol="1" x14ac:dyDescent="0.15"/>
  <cols>
    <col min="1" max="1" width="12.59765625" style="88" bestFit="1" customWidth="1"/>
    <col min="2" max="2" width="10.3984375" style="88" customWidth="1"/>
    <col min="3" max="3" width="17.59765625" style="88" bestFit="1" customWidth="1" outlineLevel="1"/>
    <col min="4" max="7" width="17.59765625" style="88" customWidth="1" outlineLevel="1"/>
    <col min="8" max="8" width="23.3984375" style="88" customWidth="1" outlineLevel="1"/>
    <col min="9" max="9" width="13.59765625" style="88" customWidth="1" outlineLevel="1"/>
    <col min="10" max="10" width="9.59765625" style="88" customWidth="1" outlineLevel="1"/>
    <col min="11" max="11" width="10.3984375" style="91" customWidth="1" outlineLevel="1"/>
    <col min="12" max="12" width="18.796875" style="88" customWidth="1" outlineLevel="1"/>
    <col min="13" max="14" width="19" style="88" customWidth="1" outlineLevel="1"/>
    <col min="15" max="15" width="11.3984375" style="88" bestFit="1" customWidth="1"/>
    <col min="16" max="16" width="11.3984375" style="88" customWidth="1"/>
    <col min="17" max="17" width="13.19921875" style="88" bestFit="1" customWidth="1"/>
    <col min="18" max="16384" width="13" style="88"/>
  </cols>
  <sheetData>
    <row r="1" spans="1:22" ht="21" customHeight="1" x14ac:dyDescent="0.15">
      <c r="A1" s="85" t="s">
        <v>225</v>
      </c>
      <c r="B1" s="86" t="s">
        <v>226</v>
      </c>
      <c r="C1" s="87" t="s">
        <v>31</v>
      </c>
      <c r="D1" s="87" t="s">
        <v>227</v>
      </c>
      <c r="E1" s="87" t="s">
        <v>191</v>
      </c>
      <c r="F1" s="87" t="s">
        <v>192</v>
      </c>
      <c r="G1" s="87" t="s">
        <v>228</v>
      </c>
      <c r="H1" s="87" t="s">
        <v>33</v>
      </c>
      <c r="I1" s="87" t="s">
        <v>34</v>
      </c>
      <c r="J1" s="87" t="s">
        <v>229</v>
      </c>
      <c r="K1" s="87" t="s">
        <v>230</v>
      </c>
      <c r="L1" s="87" t="s">
        <v>231</v>
      </c>
      <c r="M1" s="87" t="s">
        <v>232</v>
      </c>
      <c r="N1" s="87" t="s">
        <v>58</v>
      </c>
      <c r="O1" s="86" t="s">
        <v>2</v>
      </c>
      <c r="P1" s="87" t="s">
        <v>63</v>
      </c>
      <c r="Q1" s="86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89">
        <v>338100</v>
      </c>
      <c r="B2" s="88">
        <v>805</v>
      </c>
      <c r="C2" s="90" t="str">
        <f t="shared" ref="C2:C7" si="0">D2&amp;J2&amp;E2&amp;F2&amp;G2</f>
        <v>Premium6R3less</v>
      </c>
      <c r="D2" s="90" t="str">
        <f t="shared" ref="D2:D7" si="1">IF(I2="PremiumSS",I2,IF(I2="PremiumSSS",I2,IF(I2="PremiumW",I2,"Premium")))</f>
        <v>Premium</v>
      </c>
      <c r="E2" s="90" t="str">
        <f>IF(COUNTIF('R6追加前'!A:A,B2)=0,IF(I2="PremiumSS","R5only","R3less"),"")</f>
        <v>R3less</v>
      </c>
      <c r="F2" s="90" t="str">
        <f>IF(COUNTIF('R6開放'!A:A,B2)&gt;0,"R6release","")</f>
        <v/>
      </c>
      <c r="G2" s="90"/>
      <c r="H2" s="90" t="str">
        <f>VLOOKUP(B2,[1]characters!$A:$C,3,FALSE)</f>
        <v>熱環の大逆聖 ベリアル</v>
      </c>
      <c r="I2" s="90" t="str">
        <f>VLOOKUP(B2,[1]characters!$A:$J,10,FALSE)</f>
        <v>PremiumS</v>
      </c>
      <c r="J2" s="90">
        <f>VLOOKUP(B2,[1]characters!$A:$I,9,FALSE)</f>
        <v>6</v>
      </c>
      <c r="K2" s="90" t="str">
        <f>VLOOKUP(B2,[1]characters!$A:$H,8,FALSE)</f>
        <v>red</v>
      </c>
      <c r="L2" s="90" t="str">
        <f>VLOOKUP(B2,[1]characters!$A:$K,11,FALSE)</f>
        <v>attack</v>
      </c>
      <c r="M2" s="90" t="str">
        <f>VLOOKUP(B2,[1]characters!$A:$M,13,FALSE)</f>
        <v>god</v>
      </c>
      <c r="N2" s="90" t="str">
        <f>VLOOKUP(B2,[1]characters!$A:$G,7,FALSE)</f>
        <v>男性</v>
      </c>
      <c r="O2" s="45">
        <v>100</v>
      </c>
      <c r="P2" s="46">
        <f t="shared" ref="P2:P7" si="2">O2/SUM(O:O)</f>
        <v>8.3333333333333329E-2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89">
        <v>338100</v>
      </c>
      <c r="B3" s="88">
        <v>806</v>
      </c>
      <c r="C3" s="90" t="str">
        <f t="shared" si="0"/>
        <v>Premium6R3less</v>
      </c>
      <c r="D3" s="90" t="str">
        <f t="shared" si="1"/>
        <v>Premium</v>
      </c>
      <c r="E3" s="90" t="str">
        <f>IF(COUNTIF('R6追加前'!A:A,B3)=0,IF(I3="PremiumSS","R5only","R3less"),"")</f>
        <v>R3less</v>
      </c>
      <c r="F3" s="90" t="str">
        <f>IF(COUNTIF('R6開放'!A:A,B3)&gt;0,"R6release","")</f>
        <v/>
      </c>
      <c r="G3" s="90"/>
      <c r="H3" s="90" t="str">
        <f>VLOOKUP(B3,[1]characters!$A:$C,3,FALSE)</f>
        <v>全解の預智聖 オセ</v>
      </c>
      <c r="I3" s="90" t="str">
        <f>VLOOKUP(B3,[1]characters!$A:$J,10,FALSE)</f>
        <v>PremiumS</v>
      </c>
      <c r="J3" s="90">
        <f>VLOOKUP(B3,[1]characters!$A:$I,9,FALSE)</f>
        <v>6</v>
      </c>
      <c r="K3" s="90" t="str">
        <f>VLOOKUP(B3,[1]characters!$A:$H,8,FALSE)</f>
        <v>green</v>
      </c>
      <c r="L3" s="90" t="str">
        <f>VLOOKUP(B3,[1]characters!$A:$K,11,FALSE)</f>
        <v>attack</v>
      </c>
      <c r="M3" s="90" t="str">
        <f>VLOOKUP(B3,[1]characters!$A:$M,13,FALSE)</f>
        <v>god</v>
      </c>
      <c r="N3" s="90" t="str">
        <f>VLOOKUP(B3,[1]characters!$A:$G,7,FALSE)</f>
        <v>男性</v>
      </c>
      <c r="O3" s="45">
        <v>100</v>
      </c>
      <c r="P3" s="46">
        <f t="shared" si="2"/>
        <v>8.3333333333333329E-2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89">
        <v>338100</v>
      </c>
      <c r="B4" s="88">
        <v>807</v>
      </c>
      <c r="C4" s="90" t="str">
        <f t="shared" si="0"/>
        <v>Premium6R3less</v>
      </c>
      <c r="D4" s="90" t="str">
        <f t="shared" si="1"/>
        <v>Premium</v>
      </c>
      <c r="E4" s="90" t="str">
        <f>IF(COUNTIF('R6追加前'!A:A,B4)=0,IF(I4="PremiumSS","R5only","R3less"),"")</f>
        <v>R3less</v>
      </c>
      <c r="F4" s="90" t="str">
        <f>IF(COUNTIF('R6開放'!A:A,B4)&gt;0,"R6release","")</f>
        <v/>
      </c>
      <c r="G4" s="90"/>
      <c r="H4" s="90" t="str">
        <f>VLOOKUP(B4,[1]characters!$A:$C,3,FALSE)</f>
        <v>襲愛の真公爵 フォルネウス</v>
      </c>
      <c r="I4" s="90" t="str">
        <f>VLOOKUP(B4,[1]characters!$A:$J,10,FALSE)</f>
        <v>PremiumS</v>
      </c>
      <c r="J4" s="90">
        <f>VLOOKUP(B4,[1]characters!$A:$I,9,FALSE)</f>
        <v>6</v>
      </c>
      <c r="K4" s="90" t="str">
        <f>VLOOKUP(B4,[1]characters!$A:$H,8,FALSE)</f>
        <v>blue</v>
      </c>
      <c r="L4" s="90" t="str">
        <f>VLOOKUP(B4,[1]characters!$A:$K,11,FALSE)</f>
        <v>attack</v>
      </c>
      <c r="M4" s="90" t="str">
        <f>VLOOKUP(B4,[1]characters!$A:$M,13,FALSE)</f>
        <v>god</v>
      </c>
      <c r="N4" s="90" t="str">
        <f>VLOOKUP(B4,[1]characters!$A:$G,7,FALSE)</f>
        <v>男性</v>
      </c>
      <c r="O4" s="45">
        <v>100</v>
      </c>
      <c r="P4" s="46">
        <f t="shared" si="2"/>
        <v>8.3333333333333329E-2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89">
        <v>338100</v>
      </c>
      <c r="B5" s="88">
        <v>808</v>
      </c>
      <c r="C5" s="90" t="str">
        <f t="shared" si="0"/>
        <v>Premium6R3less</v>
      </c>
      <c r="D5" s="90" t="str">
        <f t="shared" si="1"/>
        <v>Premium</v>
      </c>
      <c r="E5" s="90" t="str">
        <f>IF(COUNTIF('R6追加前'!A:A,B5)=0,IF(I5="PremiumSS","R5only","R3less"),"")</f>
        <v>R3less</v>
      </c>
      <c r="F5" s="90" t="str">
        <f>IF(COUNTIF('R6開放'!A:A,B5)&gt;0,"R6release","")</f>
        <v/>
      </c>
      <c r="G5" s="90"/>
      <c r="H5" s="90" t="str">
        <f>VLOOKUP(B5,[1]characters!$A:$C,3,FALSE)</f>
        <v>天地万物の烈神母 イザナミ</v>
      </c>
      <c r="I5" s="90" t="str">
        <f>VLOOKUP(B5,[1]characters!$A:$J,10,FALSE)</f>
        <v>PremiumS</v>
      </c>
      <c r="J5" s="90">
        <f>VLOOKUP(B5,[1]characters!$A:$I,9,FALSE)</f>
        <v>6</v>
      </c>
      <c r="K5" s="90" t="str">
        <f>VLOOKUP(B5,[1]characters!$A:$H,8,FALSE)</f>
        <v>yellow</v>
      </c>
      <c r="L5" s="90" t="str">
        <f>VLOOKUP(B5,[1]characters!$A:$K,11,FALSE)</f>
        <v>attack</v>
      </c>
      <c r="M5" s="90" t="str">
        <f>VLOOKUP(B5,[1]characters!$A:$M,13,FALSE)</f>
        <v>god</v>
      </c>
      <c r="N5" s="90" t="str">
        <f>VLOOKUP(B5,[1]characters!$A:$G,7,FALSE)</f>
        <v>男性</v>
      </c>
      <c r="O5" s="45">
        <v>100</v>
      </c>
      <c r="P5" s="46">
        <f t="shared" si="2"/>
        <v>8.3333333333333329E-2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89">
        <v>338100</v>
      </c>
      <c r="B6" s="88">
        <v>809</v>
      </c>
      <c r="C6" s="90" t="str">
        <f t="shared" si="0"/>
        <v>PremiumSS6R5only</v>
      </c>
      <c r="D6" s="90" t="str">
        <f t="shared" si="1"/>
        <v>PremiumSS</v>
      </c>
      <c r="E6" s="90" t="str">
        <f>IF(COUNTIF('R6追加前'!A:A,B6)=0,IF(I6="PremiumSS","R5only","R3less"),"")</f>
        <v>R5only</v>
      </c>
      <c r="F6" s="90" t="str">
        <f>IF(COUNTIF('R6開放'!A:A,B6)&gt;0,"R6release","")</f>
        <v/>
      </c>
      <c r="G6" s="90"/>
      <c r="H6" s="90" t="str">
        <f>VLOOKUP(B6,[1]characters!$A:$C,3,FALSE)</f>
        <v>天然理心の激凛 沖田総司</v>
      </c>
      <c r="I6" s="90" t="str">
        <f>VLOOKUP(B6,[1]characters!$A:$J,10,FALSE)</f>
        <v>PremiumSS</v>
      </c>
      <c r="J6" s="90">
        <f>VLOOKUP(B6,[1]characters!$A:$I,9,FALSE)</f>
        <v>6</v>
      </c>
      <c r="K6" s="90" t="str">
        <f>VLOOKUP(B6,[1]characters!$A:$H,8,FALSE)</f>
        <v>blue</v>
      </c>
      <c r="L6" s="90" t="str">
        <f>VLOOKUP(B6,[1]characters!$A:$K,11,FALSE)</f>
        <v>balance</v>
      </c>
      <c r="M6" s="90" t="str">
        <f>VLOOKUP(B6,[1]characters!$A:$M,13,FALSE)</f>
        <v>human</v>
      </c>
      <c r="N6" s="90" t="str">
        <f>VLOOKUP(B6,[1]characters!$A:$G,7,FALSE)</f>
        <v>男性</v>
      </c>
      <c r="O6" s="45">
        <v>100</v>
      </c>
      <c r="P6" s="46">
        <f t="shared" si="2"/>
        <v>8.3333333333333329E-2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89">
        <v>338100</v>
      </c>
      <c r="B7" s="88">
        <v>811</v>
      </c>
      <c r="C7" s="90" t="str">
        <f t="shared" si="0"/>
        <v>PremiumSS6R5only</v>
      </c>
      <c r="D7" s="90" t="str">
        <f t="shared" si="1"/>
        <v>PremiumSS</v>
      </c>
      <c r="E7" s="90" t="str">
        <f>IF(COUNTIF('R6追加前'!A:A,B7)=0,IF(I7="PremiumSS","R5only","R3less"),"")</f>
        <v>R5only</v>
      </c>
      <c r="F7" s="90" t="str">
        <f>IF(COUNTIF('R6開放'!A:A,B7)&gt;0,"R6release","")</f>
        <v/>
      </c>
      <c r="G7" s="90"/>
      <c r="H7" s="90" t="str">
        <f>VLOOKUP(B7,[1]characters!$A:$C,3,FALSE)</f>
        <v>咲き誇る旅航者 親指姫</v>
      </c>
      <c r="I7" s="90" t="str">
        <f>VLOOKUP(B7,[1]characters!$A:$J,10,FALSE)</f>
        <v>PremiumSS</v>
      </c>
      <c r="J7" s="90">
        <f>VLOOKUP(B7,[1]characters!$A:$I,9,FALSE)</f>
        <v>6</v>
      </c>
      <c r="K7" s="90" t="str">
        <f>VLOOKUP(B7,[1]characters!$A:$H,8,FALSE)</f>
        <v>red</v>
      </c>
      <c r="L7" s="90" t="str">
        <f>VLOOKUP(B7,[1]characters!$A:$K,11,FALSE)</f>
        <v>heal</v>
      </c>
      <c r="M7" s="90" t="str">
        <f>VLOOKUP(B7,[1]characters!$A:$M,13,FALSE)</f>
        <v>human</v>
      </c>
      <c r="N7" s="90" t="str">
        <f>VLOOKUP(B7,[1]characters!$A:$G,7,FALSE)</f>
        <v>男性</v>
      </c>
      <c r="O7" s="45">
        <v>100</v>
      </c>
      <c r="P7" s="46">
        <f t="shared" si="2"/>
        <v>8.3333333333333329E-2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89">
        <v>338100</v>
      </c>
      <c r="B8" s="88">
        <v>813</v>
      </c>
      <c r="C8" s="90" t="str">
        <f t="shared" ref="C8:C13" si="3">D8&amp;J8&amp;E8&amp;F8&amp;G8</f>
        <v>PremiumSS6R5only</v>
      </c>
      <c r="D8" s="90" t="str">
        <f t="shared" ref="D8:D13" si="4">IF(I8="PremiumSS",I8,IF(I8="PremiumSSS",I8,IF(I8="PremiumW",I8,"Premium")))</f>
        <v>PremiumSS</v>
      </c>
      <c r="E8" s="90" t="str">
        <f>IF(COUNTIF('R6追加前'!A:A,B8)=0,IF(I8="PremiumSS","R5only","R3less"),"")</f>
        <v>R5only</v>
      </c>
      <c r="F8" s="90" t="str">
        <f>IF(COUNTIF('R6開放'!A:A,B8)&gt;0,"R6release","")</f>
        <v/>
      </c>
      <c r="G8" s="90"/>
      <c r="H8" s="90" t="str">
        <f>VLOOKUP(B8,[1]characters!$A:$C,3,FALSE)</f>
        <v>絆の大冒険 ヘンゼル＆グレーテル</v>
      </c>
      <c r="I8" s="90" t="str">
        <f>VLOOKUP(B8,[1]characters!$A:$J,10,FALSE)</f>
        <v>PremiumSS</v>
      </c>
      <c r="J8" s="90">
        <f>VLOOKUP(B8,[1]characters!$A:$I,9,FALSE)</f>
        <v>6</v>
      </c>
      <c r="K8" s="90" t="str">
        <f>VLOOKUP(B8,[1]characters!$A:$H,8,FALSE)</f>
        <v>yellow</v>
      </c>
      <c r="L8" s="90" t="str">
        <f>VLOOKUP(B8,[1]characters!$A:$K,11,FALSE)</f>
        <v>balance</v>
      </c>
      <c r="M8" s="90" t="str">
        <f>VLOOKUP(B8,[1]characters!$A:$M,13,FALSE)</f>
        <v>human</v>
      </c>
      <c r="N8" s="90" t="str">
        <f>VLOOKUP(B8,[1]characters!$A:$G,7,FALSE)</f>
        <v>男性</v>
      </c>
      <c r="O8" s="45">
        <v>100</v>
      </c>
      <c r="P8" s="46">
        <f t="shared" ref="P8:P13" si="5">O8/SUM(O:O)</f>
        <v>8.3333333333333329E-2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89">
        <v>338100</v>
      </c>
      <c r="B9" s="88">
        <v>815</v>
      </c>
      <c r="C9" s="90" t="str">
        <f t="shared" si="3"/>
        <v>PremiumSS6R5only</v>
      </c>
      <c r="D9" s="90" t="str">
        <f t="shared" si="4"/>
        <v>PremiumSS</v>
      </c>
      <c r="E9" s="90" t="str">
        <f>IF(COUNTIF('R6追加前'!A:A,B9)=0,IF(I9="PremiumSS","R5only","R3less"),"")</f>
        <v>R5only</v>
      </c>
      <c r="F9" s="90" t="str">
        <f>IF(COUNTIF('R6開放'!A:A,B9)&gt;0,"R6release","")</f>
        <v/>
      </c>
      <c r="G9" s="90"/>
      <c r="H9" s="90" t="str">
        <f>VLOOKUP(B9,[1]characters!$A:$C,3,FALSE)</f>
        <v>解砲の鴉眼 八咫烏</v>
      </c>
      <c r="I9" s="90" t="str">
        <f>VLOOKUP(B9,[1]characters!$A:$J,10,FALSE)</f>
        <v>PremiumSS</v>
      </c>
      <c r="J9" s="90">
        <f>VLOOKUP(B9,[1]characters!$A:$I,9,FALSE)</f>
        <v>6</v>
      </c>
      <c r="K9" s="90" t="str">
        <f>VLOOKUP(B9,[1]characters!$A:$H,8,FALSE)</f>
        <v>green</v>
      </c>
      <c r="L9" s="90" t="str">
        <f>VLOOKUP(B9,[1]characters!$A:$K,11,FALSE)</f>
        <v>balance</v>
      </c>
      <c r="M9" s="90" t="str">
        <f>VLOOKUP(B9,[1]characters!$A:$M,13,FALSE)</f>
        <v>animal</v>
      </c>
      <c r="N9" s="90" t="str">
        <f>VLOOKUP(B9,[1]characters!$A:$G,7,FALSE)</f>
        <v>男性</v>
      </c>
      <c r="O9" s="45">
        <v>100</v>
      </c>
      <c r="P9" s="46">
        <f t="shared" si="5"/>
        <v>8.3333333333333329E-2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89">
        <v>338100</v>
      </c>
      <c r="B10" s="88">
        <v>849</v>
      </c>
      <c r="C10" s="90" t="str">
        <f t="shared" si="3"/>
        <v>PremiumSS6R5only</v>
      </c>
      <c r="D10" s="90" t="str">
        <f t="shared" si="4"/>
        <v>PremiumSS</v>
      </c>
      <c r="E10" s="90" t="str">
        <f>IF(COUNTIF('R6追加前'!A:A,B10)=0,IF(I10="PremiumSS","R5only","R3less"),"")</f>
        <v>R5only</v>
      </c>
      <c r="F10" s="90" t="str">
        <f>IF(COUNTIF('R6開放'!A:A,B10)&gt;0,"R6release","")</f>
        <v/>
      </c>
      <c r="G10" s="90"/>
      <c r="H10" s="90" t="str">
        <f>VLOOKUP(B10,[1]characters!$A:$C,3,FALSE)</f>
        <v>燦然たる天使 メタトロン・ラヴァ</v>
      </c>
      <c r="I10" s="90" t="str">
        <f>VLOOKUP(B10,[1]characters!$A:$J,10,FALSE)</f>
        <v>PremiumSS</v>
      </c>
      <c r="J10" s="90">
        <f>VLOOKUP(B10,[1]characters!$A:$I,9,FALSE)</f>
        <v>6</v>
      </c>
      <c r="K10" s="90" t="str">
        <f>VLOOKUP(B10,[1]characters!$A:$H,8,FALSE)</f>
        <v>red</v>
      </c>
      <c r="L10" s="90" t="str">
        <f>VLOOKUP(B10,[1]characters!$A:$K,11,FALSE)</f>
        <v>balance</v>
      </c>
      <c r="M10" s="90" t="str">
        <f>VLOOKUP(B10,[1]characters!$A:$M,13,FALSE)</f>
        <v>god</v>
      </c>
      <c r="N10" s="90" t="str">
        <f>VLOOKUP(B10,[1]characters!$A:$G,7,FALSE)</f>
        <v>男性</v>
      </c>
      <c r="O10" s="45">
        <v>100</v>
      </c>
      <c r="P10" s="46">
        <f t="shared" si="5"/>
        <v>8.3333333333333329E-2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89">
        <v>338100</v>
      </c>
      <c r="B11" s="88">
        <v>851</v>
      </c>
      <c r="C11" s="90" t="str">
        <f t="shared" si="3"/>
        <v>PremiumSS6R5only</v>
      </c>
      <c r="D11" s="90" t="str">
        <f t="shared" si="4"/>
        <v>PremiumSS</v>
      </c>
      <c r="E11" s="90" t="str">
        <f>IF(COUNTIF('R6追加前'!A:A,B11)=0,IF(I11="PremiumSS","R5only","R3less"),"")</f>
        <v>R5only</v>
      </c>
      <c r="F11" s="90" t="str">
        <f>IF(COUNTIF('R6開放'!A:A,B11)&gt;0,"R6release","")</f>
        <v/>
      </c>
      <c r="G11" s="90"/>
      <c r="H11" s="90" t="str">
        <f>VLOOKUP(B11,[1]characters!$A:$C,3,FALSE)</f>
        <v>寡黙なる凶王 バアル</v>
      </c>
      <c r="I11" s="90" t="str">
        <f>VLOOKUP(B11,[1]characters!$A:$J,10,FALSE)</f>
        <v>PremiumSS</v>
      </c>
      <c r="J11" s="90">
        <f>VLOOKUP(B11,[1]characters!$A:$I,9,FALSE)</f>
        <v>6</v>
      </c>
      <c r="K11" s="90" t="str">
        <f>VLOOKUP(B11,[1]characters!$A:$H,8,FALSE)</f>
        <v>green</v>
      </c>
      <c r="L11" s="90" t="str">
        <f>VLOOKUP(B11,[1]characters!$A:$K,11,FALSE)</f>
        <v>technical</v>
      </c>
      <c r="M11" s="90" t="str">
        <f>VLOOKUP(B11,[1]characters!$A:$M,13,FALSE)</f>
        <v>god</v>
      </c>
      <c r="N11" s="90" t="str">
        <f>VLOOKUP(B11,[1]characters!$A:$G,7,FALSE)</f>
        <v>男性</v>
      </c>
      <c r="O11" s="45">
        <v>100</v>
      </c>
      <c r="P11" s="46">
        <f t="shared" si="5"/>
        <v>8.3333333333333329E-2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89">
        <v>338100</v>
      </c>
      <c r="B12" s="88">
        <v>733</v>
      </c>
      <c r="C12" s="90" t="str">
        <f t="shared" si="3"/>
        <v>PremiumSS6R5only</v>
      </c>
      <c r="D12" s="90" t="str">
        <f t="shared" si="4"/>
        <v>PremiumSS</v>
      </c>
      <c r="E12" s="90" t="str">
        <f>IF(COUNTIF('R6追加前'!A:A,B12)=0,IF(I12="PremiumSS","R5only","R3less"),"")</f>
        <v>R5only</v>
      </c>
      <c r="F12" s="90" t="str">
        <f>IF(COUNTIF('R6開放'!A:A,B12)&gt;0,"R6release","")</f>
        <v/>
      </c>
      <c r="G12" s="90"/>
      <c r="H12" s="90" t="str">
        <f>VLOOKUP(B12,[1]characters!$A:$C,3,FALSE)</f>
        <v>夢幻の千刃 上杉謙信</v>
      </c>
      <c r="I12" s="90" t="str">
        <f>VLOOKUP(B12,[1]characters!$A:$J,10,FALSE)</f>
        <v>PremiumSS</v>
      </c>
      <c r="J12" s="90">
        <f>VLOOKUP(B12,[1]characters!$A:$I,9,FALSE)</f>
        <v>6</v>
      </c>
      <c r="K12" s="90" t="str">
        <f>VLOOKUP(B12,[1]characters!$A:$H,8,FALSE)</f>
        <v>blue</v>
      </c>
      <c r="L12" s="90" t="str">
        <f>VLOOKUP(B12,[1]characters!$A:$K,11,FALSE)</f>
        <v>attack</v>
      </c>
      <c r="M12" s="90" t="str">
        <f>VLOOKUP(B12,[1]characters!$A:$M,13,FALSE)</f>
        <v>human</v>
      </c>
      <c r="N12" s="90" t="str">
        <f>VLOOKUP(B12,[1]characters!$A:$G,7,FALSE)</f>
        <v>男性</v>
      </c>
      <c r="O12" s="45">
        <v>100</v>
      </c>
      <c r="P12" s="46">
        <f t="shared" si="5"/>
        <v>8.3333333333333329E-2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89">
        <v>338100</v>
      </c>
      <c r="B13" s="88">
        <v>735</v>
      </c>
      <c r="C13" s="90" t="str">
        <f t="shared" si="3"/>
        <v>PremiumSS6R5only</v>
      </c>
      <c r="D13" s="90" t="str">
        <f t="shared" si="4"/>
        <v>PremiumSS</v>
      </c>
      <c r="E13" s="90" t="str">
        <f>IF(COUNTIF('R6追加前'!A:A,B13)=0,IF(I13="PremiumSS","R5only","R3less"),"")</f>
        <v>R5only</v>
      </c>
      <c r="F13" s="90" t="str">
        <f>IF(COUNTIF('R6開放'!A:A,B13)&gt;0,"R6release","")</f>
        <v/>
      </c>
      <c r="G13" s="90"/>
      <c r="H13" s="90" t="str">
        <f>VLOOKUP(B13,[1]characters!$A:$C,3,FALSE)</f>
        <v>破天の隻眼 伊達政宗</v>
      </c>
      <c r="I13" s="90" t="str">
        <f>VLOOKUP(B13,[1]characters!$A:$J,10,FALSE)</f>
        <v>PremiumSS</v>
      </c>
      <c r="J13" s="90">
        <f>VLOOKUP(B13,[1]characters!$A:$I,9,FALSE)</f>
        <v>6</v>
      </c>
      <c r="K13" s="90" t="str">
        <f>VLOOKUP(B13,[1]characters!$A:$H,8,FALSE)</f>
        <v>yellow</v>
      </c>
      <c r="L13" s="90" t="str">
        <f>VLOOKUP(B13,[1]characters!$A:$K,11,FALSE)</f>
        <v>balance</v>
      </c>
      <c r="M13" s="90" t="str">
        <f>VLOOKUP(B13,[1]characters!$A:$M,13,FALSE)</f>
        <v>human</v>
      </c>
      <c r="N13" s="90" t="str">
        <f>VLOOKUP(B13,[1]characters!$A:$G,7,FALSE)</f>
        <v>女性</v>
      </c>
      <c r="O13" s="45">
        <v>100</v>
      </c>
      <c r="P13" s="46">
        <f t="shared" si="5"/>
        <v>8.3333333333333329E-2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</sheetData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B7" sqref="B7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9" t="s">
        <v>216</v>
      </c>
      <c r="B2" s="80">
        <v>33501</v>
      </c>
      <c r="C2" s="80" t="s">
        <v>219</v>
      </c>
      <c r="D2" s="80">
        <v>500</v>
      </c>
      <c r="E2" s="80">
        <v>1</v>
      </c>
      <c r="F2" s="80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0" t="s">
        <v>217</v>
      </c>
      <c r="O2" s="80" t="s">
        <v>221</v>
      </c>
      <c r="P2" s="80" t="s">
        <v>218</v>
      </c>
      <c r="Q2" s="81" t="s">
        <v>220</v>
      </c>
    </row>
  </sheetData>
  <autoFilter ref="A1:F1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17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2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2">
        <v>169</v>
      </c>
      <c r="B6" s="37" t="str">
        <f>VLOOKUP(A6,[1]characters!$A:$C,3,FALSE)</f>
        <v>オセ</v>
      </c>
    </row>
    <row r="7" spans="1:2" x14ac:dyDescent="0.15">
      <c r="A7" s="32">
        <v>170</v>
      </c>
      <c r="B7" s="37" t="str">
        <f>VLOOKUP(A7,[1]characters!$A:$C,3,FALSE)</f>
        <v>識徒 オセ</v>
      </c>
    </row>
    <row r="8" spans="1:2" x14ac:dyDescent="0.15">
      <c r="A8" s="32">
        <v>171</v>
      </c>
      <c r="B8" s="37" t="str">
        <f>VLOOKUP(A8,[1]characters!$A:$C,3,FALSE)</f>
        <v>精解の預知者 オセ</v>
      </c>
    </row>
    <row r="9" spans="1:2" x14ac:dyDescent="0.15">
      <c r="A9" s="32">
        <v>172</v>
      </c>
      <c r="B9" s="37" t="str">
        <f>VLOOKUP(A9,[1]characters!$A:$C,3,FALSE)</f>
        <v>フォルネウス</v>
      </c>
    </row>
    <row r="10" spans="1:2" x14ac:dyDescent="0.15">
      <c r="A10" s="32">
        <v>173</v>
      </c>
      <c r="B10" s="37" t="str">
        <f>VLOOKUP(A10,[1]characters!$A:$C,3,FALSE)</f>
        <v>公爵 フォルネウス</v>
      </c>
    </row>
    <row r="11" spans="1:2" x14ac:dyDescent="0.15">
      <c r="A11" s="32">
        <v>174</v>
      </c>
      <c r="B11" s="37" t="str">
        <f>VLOOKUP(A11,[1]characters!$A:$C,3,FALSE)</f>
        <v>偽愛の大公爵 フォルネウス</v>
      </c>
    </row>
    <row r="12" spans="1:2" x14ac:dyDescent="0.15">
      <c r="A12" s="32">
        <v>235</v>
      </c>
      <c r="B12" s="37" t="str">
        <f>VLOOKUP(A12,[1]characters!$A:$C,3,FALSE)</f>
        <v>イザナミ</v>
      </c>
    </row>
    <row r="13" spans="1:2" x14ac:dyDescent="0.15">
      <c r="A13" s="32">
        <v>236</v>
      </c>
      <c r="B13" s="37" t="str">
        <f>VLOOKUP(A13,[1]characters!$A:$C,3,FALSE)</f>
        <v>神産 イザナミ</v>
      </c>
    </row>
    <row r="14" spans="1:2" x14ac:dyDescent="0.15">
      <c r="A14" s="32">
        <v>237</v>
      </c>
      <c r="B14" s="37" t="str">
        <f>VLOOKUP(A14,[1]characters!$A:$C,3,FALSE)</f>
        <v>森羅万象の神母 イザナミ</v>
      </c>
    </row>
  </sheetData>
  <phoneticPr fontId="1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確率の考え方</vt:lpstr>
      <vt:lpstr>Sheet1</vt:lpstr>
      <vt:lpstr>output</vt:lpstr>
      <vt:lpstr>input_338100</vt:lpstr>
      <vt:lpstr>tables_338100</vt:lpstr>
      <vt:lpstr>tables_settle_338100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2016-05-12T06:46:17Z</dcterms:modified>
</cp:coreProperties>
</file>