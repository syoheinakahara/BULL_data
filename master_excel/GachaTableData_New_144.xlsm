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0" windowWidth="25600" windowHeight="16060" tabRatio="943" activeTab="1"/>
  </bookViews>
  <sheets>
    <sheet name="output" sheetId="103" r:id="rId1"/>
    <sheet name="gacha_144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gacha_144_base!$A$39:$B$65</definedName>
    <definedName name="_xlnm._FilterDatabase" localSheetId="4" hidden="1">gacha_bonus_tables!$B$1:$G$10</definedName>
    <definedName name="_xlnm._FilterDatabase" localSheetId="2" hidden="1">gacha_select_tables!$B$1:$M$1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82" l="1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11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3" i="82"/>
  <c r="N277" i="82"/>
  <c r="L277" i="82"/>
  <c r="K277" i="82"/>
  <c r="J277" i="82"/>
  <c r="G277" i="82"/>
  <c r="C277" i="82"/>
  <c r="A277" i="82"/>
  <c r="N276" i="82"/>
  <c r="L276" i="82"/>
  <c r="K276" i="82"/>
  <c r="J276" i="82"/>
  <c r="G276" i="82"/>
  <c r="C276" i="82"/>
  <c r="A276" i="82"/>
  <c r="N275" i="82"/>
  <c r="L275" i="82"/>
  <c r="K275" i="82"/>
  <c r="J275" i="82"/>
  <c r="G275" i="82"/>
  <c r="C275" i="82"/>
  <c r="A275" i="82"/>
  <c r="N274" i="82"/>
  <c r="L274" i="82"/>
  <c r="K274" i="82"/>
  <c r="J274" i="82"/>
  <c r="G274" i="82"/>
  <c r="C274" i="82"/>
  <c r="A274" i="82"/>
  <c r="N273" i="82"/>
  <c r="L273" i="82"/>
  <c r="K273" i="82"/>
  <c r="J273" i="82"/>
  <c r="G273" i="82"/>
  <c r="C273" i="82"/>
  <c r="A273" i="82"/>
  <c r="N272" i="82"/>
  <c r="L272" i="82"/>
  <c r="K272" i="82"/>
  <c r="J272" i="82"/>
  <c r="G272" i="82"/>
  <c r="C272" i="82"/>
  <c r="A272" i="82"/>
  <c r="N271" i="82"/>
  <c r="L271" i="82"/>
  <c r="K271" i="82"/>
  <c r="J271" i="82"/>
  <c r="G271" i="82"/>
  <c r="C271" i="82"/>
  <c r="A271" i="82"/>
  <c r="N270" i="82"/>
  <c r="L270" i="82"/>
  <c r="K270" i="82"/>
  <c r="J270" i="82"/>
  <c r="G270" i="82"/>
  <c r="C270" i="82"/>
  <c r="A270" i="82"/>
  <c r="N269" i="82"/>
  <c r="L269" i="82"/>
  <c r="K269" i="82"/>
  <c r="J269" i="82"/>
  <c r="G269" i="82"/>
  <c r="C269" i="82"/>
  <c r="A269" i="82"/>
  <c r="N268" i="82"/>
  <c r="L268" i="82"/>
  <c r="K268" i="82"/>
  <c r="J268" i="82"/>
  <c r="G268" i="82"/>
  <c r="C268" i="82"/>
  <c r="A268" i="82"/>
  <c r="N267" i="82"/>
  <c r="L267" i="82"/>
  <c r="K267" i="82"/>
  <c r="J267" i="82"/>
  <c r="G267" i="82"/>
  <c r="C267" i="82"/>
  <c r="A267" i="82"/>
  <c r="N266" i="82"/>
  <c r="L266" i="82"/>
  <c r="K266" i="82"/>
  <c r="J266" i="82"/>
  <c r="G266" i="82"/>
  <c r="C266" i="82"/>
  <c r="A266" i="82"/>
  <c r="N265" i="82"/>
  <c r="L265" i="82"/>
  <c r="K265" i="82"/>
  <c r="J265" i="82"/>
  <c r="G265" i="82"/>
  <c r="C265" i="82"/>
  <c r="A265" i="82"/>
  <c r="N264" i="82"/>
  <c r="L264" i="82"/>
  <c r="K264" i="82"/>
  <c r="J264" i="82"/>
  <c r="G264" i="82"/>
  <c r="C264" i="82"/>
  <c r="A264" i="82"/>
  <c r="N263" i="82"/>
  <c r="L263" i="82"/>
  <c r="K263" i="82"/>
  <c r="J263" i="82"/>
  <c r="G263" i="82"/>
  <c r="C263" i="82"/>
  <c r="A263" i="82"/>
  <c r="N262" i="82"/>
  <c r="L262" i="82"/>
  <c r="K262" i="82"/>
  <c r="J262" i="82"/>
  <c r="G262" i="82"/>
  <c r="C262" i="82"/>
  <c r="A262" i="82"/>
  <c r="N261" i="82"/>
  <c r="L261" i="82"/>
  <c r="K261" i="82"/>
  <c r="J261" i="82"/>
  <c r="G261" i="82"/>
  <c r="C261" i="82"/>
  <c r="A261" i="82"/>
  <c r="N260" i="82"/>
  <c r="L260" i="82"/>
  <c r="K260" i="82"/>
  <c r="J260" i="82"/>
  <c r="G260" i="82"/>
  <c r="C260" i="82"/>
  <c r="A260" i="82"/>
  <c r="N259" i="82"/>
  <c r="L259" i="82"/>
  <c r="K259" i="82"/>
  <c r="J259" i="82"/>
  <c r="G259" i="82"/>
  <c r="C259" i="82"/>
  <c r="A259" i="82"/>
  <c r="N258" i="82"/>
  <c r="L258" i="82"/>
  <c r="K258" i="82"/>
  <c r="J258" i="82"/>
  <c r="G258" i="82"/>
  <c r="C258" i="82"/>
  <c r="A258" i="82"/>
  <c r="N257" i="82"/>
  <c r="L257" i="82"/>
  <c r="K257" i="82"/>
  <c r="J257" i="82"/>
  <c r="G257" i="82"/>
  <c r="C257" i="82"/>
  <c r="A257" i="82"/>
  <c r="N256" i="82"/>
  <c r="L256" i="82"/>
  <c r="K256" i="82"/>
  <c r="J256" i="82"/>
  <c r="G256" i="82"/>
  <c r="C256" i="82"/>
  <c r="A256" i="82"/>
  <c r="N255" i="82"/>
  <c r="L255" i="82"/>
  <c r="K255" i="82"/>
  <c r="J255" i="82"/>
  <c r="G255" i="82"/>
  <c r="C255" i="82"/>
  <c r="A255" i="82"/>
  <c r="N254" i="82"/>
  <c r="L254" i="82"/>
  <c r="K254" i="82"/>
  <c r="J254" i="82"/>
  <c r="G254" i="82"/>
  <c r="C254" i="82"/>
  <c r="A254" i="82"/>
  <c r="N253" i="82"/>
  <c r="L253" i="82"/>
  <c r="K253" i="82"/>
  <c r="J253" i="82"/>
  <c r="G253" i="82"/>
  <c r="C253" i="82"/>
  <c r="A253" i="82"/>
  <c r="N252" i="82"/>
  <c r="L252" i="82"/>
  <c r="K252" i="82"/>
  <c r="J252" i="82"/>
  <c r="G252" i="82"/>
  <c r="C252" i="82"/>
  <c r="A252" i="82"/>
  <c r="N251" i="82"/>
  <c r="L251" i="82"/>
  <c r="K251" i="82"/>
  <c r="J251" i="82"/>
  <c r="G251" i="82"/>
  <c r="C251" i="82"/>
  <c r="A251" i="82"/>
  <c r="N250" i="82"/>
  <c r="L250" i="82"/>
  <c r="K250" i="82"/>
  <c r="J250" i="82"/>
  <c r="G250" i="82"/>
  <c r="C250" i="82"/>
  <c r="A250" i="82"/>
  <c r="N249" i="82"/>
  <c r="L249" i="82"/>
  <c r="K249" i="82"/>
  <c r="J249" i="82"/>
  <c r="G249" i="82"/>
  <c r="C249" i="82"/>
  <c r="A249" i="82"/>
  <c r="N248" i="82"/>
  <c r="L248" i="82"/>
  <c r="K248" i="82"/>
  <c r="J248" i="82"/>
  <c r="G248" i="82"/>
  <c r="C248" i="82"/>
  <c r="A248" i="82"/>
  <c r="N247" i="82"/>
  <c r="L247" i="82"/>
  <c r="K247" i="82"/>
  <c r="J247" i="82"/>
  <c r="G247" i="82"/>
  <c r="C247" i="82"/>
  <c r="A247" i="82"/>
  <c r="N246" i="82"/>
  <c r="L246" i="82"/>
  <c r="K246" i="82"/>
  <c r="J246" i="82"/>
  <c r="G246" i="82"/>
  <c r="C246" i="82"/>
  <c r="A246" i="82"/>
  <c r="N245" i="82"/>
  <c r="L245" i="82"/>
  <c r="K245" i="82"/>
  <c r="J245" i="82"/>
  <c r="G245" i="82"/>
  <c r="C245" i="82"/>
  <c r="A245" i="82"/>
  <c r="N244" i="82"/>
  <c r="L244" i="82"/>
  <c r="K244" i="82"/>
  <c r="J244" i="82"/>
  <c r="G244" i="82"/>
  <c r="C244" i="82"/>
  <c r="A244" i="82"/>
  <c r="N243" i="82"/>
  <c r="L243" i="82"/>
  <c r="K243" i="82"/>
  <c r="J243" i="82"/>
  <c r="G243" i="82"/>
  <c r="C243" i="82"/>
  <c r="A243" i="82"/>
  <c r="N242" i="82"/>
  <c r="L242" i="82"/>
  <c r="K242" i="82"/>
  <c r="J242" i="82"/>
  <c r="G242" i="82"/>
  <c r="C242" i="82"/>
  <c r="A242" i="82"/>
  <c r="N241" i="82"/>
  <c r="L241" i="82"/>
  <c r="K241" i="82"/>
  <c r="J241" i="82"/>
  <c r="G241" i="82"/>
  <c r="C241" i="82"/>
  <c r="A241" i="82"/>
  <c r="N240" i="82"/>
  <c r="L240" i="82"/>
  <c r="K240" i="82"/>
  <c r="J240" i="82"/>
  <c r="G240" i="82"/>
  <c r="C240" i="82"/>
  <c r="A240" i="82"/>
  <c r="N239" i="82"/>
  <c r="L239" i="82"/>
  <c r="K239" i="82"/>
  <c r="J239" i="82"/>
  <c r="G239" i="82"/>
  <c r="C239" i="82"/>
  <c r="A239" i="82"/>
  <c r="N238" i="82"/>
  <c r="L238" i="82"/>
  <c r="K238" i="82"/>
  <c r="J238" i="82"/>
  <c r="G238" i="82"/>
  <c r="C238" i="82"/>
  <c r="A238" i="82"/>
  <c r="N237" i="82"/>
  <c r="L237" i="82"/>
  <c r="K237" i="82"/>
  <c r="J237" i="82"/>
  <c r="G237" i="82"/>
  <c r="C237" i="82"/>
  <c r="A237" i="82"/>
  <c r="N236" i="82"/>
  <c r="L236" i="82"/>
  <c r="K236" i="82"/>
  <c r="J236" i="82"/>
  <c r="G236" i="82"/>
  <c r="C236" i="82"/>
  <c r="A236" i="82"/>
  <c r="N235" i="82"/>
  <c r="L235" i="82"/>
  <c r="K235" i="82"/>
  <c r="J235" i="82"/>
  <c r="G235" i="82"/>
  <c r="C235" i="82"/>
  <c r="A235" i="82"/>
  <c r="N234" i="82"/>
  <c r="L234" i="82"/>
  <c r="K234" i="82"/>
  <c r="J234" i="82"/>
  <c r="G234" i="82"/>
  <c r="C234" i="82"/>
  <c r="A234" i="82"/>
  <c r="N233" i="82"/>
  <c r="L233" i="82"/>
  <c r="K233" i="82"/>
  <c r="J233" i="82"/>
  <c r="G233" i="82"/>
  <c r="C233" i="82"/>
  <c r="A233" i="82"/>
  <c r="N232" i="82"/>
  <c r="L232" i="82"/>
  <c r="K232" i="82"/>
  <c r="J232" i="82"/>
  <c r="G232" i="82"/>
  <c r="C232" i="82"/>
  <c r="A232" i="82"/>
  <c r="N231" i="82"/>
  <c r="L231" i="82"/>
  <c r="K231" i="82"/>
  <c r="J231" i="82"/>
  <c r="G231" i="82"/>
  <c r="C231" i="82"/>
  <c r="A231" i="82"/>
  <c r="N230" i="82"/>
  <c r="L230" i="82"/>
  <c r="K230" i="82"/>
  <c r="J230" i="82"/>
  <c r="G230" i="82"/>
  <c r="C230" i="82"/>
  <c r="A230" i="82"/>
  <c r="N229" i="82"/>
  <c r="L229" i="82"/>
  <c r="K229" i="82"/>
  <c r="J229" i="82"/>
  <c r="G229" i="82"/>
  <c r="C229" i="82"/>
  <c r="A229" i="82"/>
  <c r="N228" i="82"/>
  <c r="L228" i="82"/>
  <c r="K228" i="82"/>
  <c r="J228" i="82"/>
  <c r="G228" i="82"/>
  <c r="C228" i="82"/>
  <c r="A228" i="82"/>
  <c r="N227" i="82"/>
  <c r="L227" i="82"/>
  <c r="K227" i="82"/>
  <c r="J227" i="82"/>
  <c r="G227" i="82"/>
  <c r="C227" i="82"/>
  <c r="A227" i="82"/>
  <c r="N226" i="82"/>
  <c r="L226" i="82"/>
  <c r="K226" i="82"/>
  <c r="J226" i="82"/>
  <c r="G226" i="82"/>
  <c r="C226" i="82"/>
  <c r="A226" i="82"/>
  <c r="N225" i="82"/>
  <c r="L225" i="82"/>
  <c r="K225" i="82"/>
  <c r="J225" i="82"/>
  <c r="G225" i="82"/>
  <c r="C225" i="82"/>
  <c r="A225" i="82"/>
  <c r="N224" i="82"/>
  <c r="L224" i="82"/>
  <c r="K224" i="82"/>
  <c r="J224" i="82"/>
  <c r="G224" i="82"/>
  <c r="C224" i="82"/>
  <c r="A224" i="82"/>
  <c r="N223" i="82"/>
  <c r="L223" i="82"/>
  <c r="K223" i="82"/>
  <c r="J223" i="82"/>
  <c r="G223" i="82"/>
  <c r="C223" i="82"/>
  <c r="A223" i="82"/>
  <c r="N222" i="82"/>
  <c r="L222" i="82"/>
  <c r="K222" i="82"/>
  <c r="J222" i="82"/>
  <c r="G222" i="82"/>
  <c r="C222" i="82"/>
  <c r="A222" i="82"/>
  <c r="N221" i="82"/>
  <c r="L221" i="82"/>
  <c r="K221" i="82"/>
  <c r="J221" i="82"/>
  <c r="G221" i="82"/>
  <c r="C221" i="82"/>
  <c r="A221" i="82"/>
  <c r="N220" i="82"/>
  <c r="L220" i="82"/>
  <c r="K220" i="82"/>
  <c r="J220" i="82"/>
  <c r="G220" i="82"/>
  <c r="C220" i="82"/>
  <c r="A220" i="82"/>
  <c r="N219" i="82"/>
  <c r="L219" i="82"/>
  <c r="K219" i="82"/>
  <c r="J219" i="82"/>
  <c r="G219" i="82"/>
  <c r="C219" i="82"/>
  <c r="A219" i="82"/>
  <c r="N218" i="82"/>
  <c r="L218" i="82"/>
  <c r="K218" i="82"/>
  <c r="J218" i="82"/>
  <c r="G218" i="82"/>
  <c r="C218" i="82"/>
  <c r="A218" i="82"/>
  <c r="N217" i="82"/>
  <c r="L217" i="82"/>
  <c r="K217" i="82"/>
  <c r="J217" i="82"/>
  <c r="G217" i="82"/>
  <c r="C217" i="82"/>
  <c r="A217" i="82"/>
  <c r="N216" i="82"/>
  <c r="L216" i="82"/>
  <c r="K216" i="82"/>
  <c r="J216" i="82"/>
  <c r="G216" i="82"/>
  <c r="C216" i="82"/>
  <c r="A216" i="82"/>
  <c r="N215" i="82"/>
  <c r="L215" i="82"/>
  <c r="K215" i="82"/>
  <c r="J215" i="82"/>
  <c r="G215" i="82"/>
  <c r="C215" i="82"/>
  <c r="A215" i="82"/>
  <c r="N214" i="82"/>
  <c r="L214" i="82"/>
  <c r="K214" i="82"/>
  <c r="J214" i="82"/>
  <c r="G214" i="82"/>
  <c r="C214" i="82"/>
  <c r="A214" i="82"/>
  <c r="N213" i="82"/>
  <c r="L213" i="82"/>
  <c r="K213" i="82"/>
  <c r="J213" i="82"/>
  <c r="G213" i="82"/>
  <c r="C213" i="82"/>
  <c r="A213" i="82"/>
  <c r="N212" i="82"/>
  <c r="L212" i="82"/>
  <c r="K212" i="82"/>
  <c r="J212" i="82"/>
  <c r="G212" i="82"/>
  <c r="C212" i="82"/>
  <c r="A212" i="82"/>
  <c r="N211" i="82"/>
  <c r="L211" i="82"/>
  <c r="K211" i="82"/>
  <c r="J211" i="82"/>
  <c r="G211" i="82"/>
  <c r="C211" i="82"/>
  <c r="A211" i="82"/>
  <c r="N210" i="82"/>
  <c r="L210" i="82"/>
  <c r="K210" i="82"/>
  <c r="J210" i="82"/>
  <c r="G210" i="82"/>
  <c r="C210" i="82"/>
  <c r="A210" i="82"/>
  <c r="N209" i="82"/>
  <c r="L209" i="82"/>
  <c r="K209" i="82"/>
  <c r="J209" i="82"/>
  <c r="G209" i="82"/>
  <c r="C209" i="82"/>
  <c r="A209" i="82"/>
  <c r="N208" i="82"/>
  <c r="L208" i="82"/>
  <c r="K208" i="82"/>
  <c r="J208" i="82"/>
  <c r="G208" i="82"/>
  <c r="C208" i="82"/>
  <c r="A208" i="82"/>
  <c r="N207" i="82"/>
  <c r="L207" i="82"/>
  <c r="K207" i="82"/>
  <c r="J207" i="82"/>
  <c r="G207" i="82"/>
  <c r="C207" i="82"/>
  <c r="A207" i="82"/>
  <c r="N206" i="82"/>
  <c r="L206" i="82"/>
  <c r="K206" i="82"/>
  <c r="J206" i="82"/>
  <c r="G206" i="82"/>
  <c r="C206" i="82"/>
  <c r="A206" i="82"/>
  <c r="N205" i="82"/>
  <c r="L205" i="82"/>
  <c r="K205" i="82"/>
  <c r="J205" i="82"/>
  <c r="G205" i="82"/>
  <c r="C205" i="82"/>
  <c r="A205" i="82"/>
  <c r="N204" i="82"/>
  <c r="L204" i="82"/>
  <c r="K204" i="82"/>
  <c r="J204" i="82"/>
  <c r="G204" i="82"/>
  <c r="C204" i="82"/>
  <c r="A204" i="82"/>
  <c r="N203" i="82"/>
  <c r="L203" i="82"/>
  <c r="K203" i="82"/>
  <c r="J203" i="82"/>
  <c r="G203" i="82"/>
  <c r="C203" i="82"/>
  <c r="A203" i="82"/>
  <c r="N202" i="82"/>
  <c r="L202" i="82"/>
  <c r="K202" i="82"/>
  <c r="J202" i="82"/>
  <c r="G202" i="82"/>
  <c r="C202" i="82"/>
  <c r="A202" i="82"/>
  <c r="N201" i="82"/>
  <c r="L201" i="82"/>
  <c r="K201" i="82"/>
  <c r="J201" i="82"/>
  <c r="G201" i="82"/>
  <c r="C201" i="82"/>
  <c r="A201" i="82"/>
  <c r="N200" i="82"/>
  <c r="L200" i="82"/>
  <c r="K200" i="82"/>
  <c r="J200" i="82"/>
  <c r="G200" i="82"/>
  <c r="C200" i="82"/>
  <c r="A200" i="82"/>
  <c r="N199" i="82"/>
  <c r="L199" i="82"/>
  <c r="K199" i="82"/>
  <c r="J199" i="82"/>
  <c r="G199" i="82"/>
  <c r="C199" i="82"/>
  <c r="A199" i="82"/>
  <c r="N198" i="82"/>
  <c r="L198" i="82"/>
  <c r="K198" i="82"/>
  <c r="J198" i="82"/>
  <c r="G198" i="82"/>
  <c r="C198" i="82"/>
  <c r="A198" i="82"/>
  <c r="N197" i="82"/>
  <c r="L197" i="82"/>
  <c r="K197" i="82"/>
  <c r="J197" i="82"/>
  <c r="G197" i="82"/>
  <c r="C197" i="82"/>
  <c r="A197" i="82"/>
  <c r="N196" i="82"/>
  <c r="L196" i="82"/>
  <c r="K196" i="82"/>
  <c r="J196" i="82"/>
  <c r="G196" i="82"/>
  <c r="C196" i="82"/>
  <c r="A196" i="82"/>
  <c r="N195" i="82"/>
  <c r="L195" i="82"/>
  <c r="K195" i="82"/>
  <c r="J195" i="82"/>
  <c r="G195" i="82"/>
  <c r="C195" i="82"/>
  <c r="A195" i="82"/>
  <c r="N194" i="82"/>
  <c r="L194" i="82"/>
  <c r="K194" i="82"/>
  <c r="J194" i="82"/>
  <c r="G194" i="82"/>
  <c r="C194" i="82"/>
  <c r="A194" i="82"/>
  <c r="N193" i="82"/>
  <c r="L193" i="82"/>
  <c r="K193" i="82"/>
  <c r="J193" i="82"/>
  <c r="G193" i="82"/>
  <c r="C193" i="82"/>
  <c r="A193" i="82"/>
  <c r="N192" i="82"/>
  <c r="L192" i="82"/>
  <c r="K192" i="82"/>
  <c r="J192" i="82"/>
  <c r="G192" i="82"/>
  <c r="C192" i="82"/>
  <c r="A192" i="82"/>
  <c r="N191" i="82"/>
  <c r="L191" i="82"/>
  <c r="K191" i="82"/>
  <c r="J191" i="82"/>
  <c r="G191" i="82"/>
  <c r="C191" i="82"/>
  <c r="A191" i="82"/>
  <c r="N190" i="82"/>
  <c r="L190" i="82"/>
  <c r="K190" i="82"/>
  <c r="J190" i="82"/>
  <c r="G190" i="82"/>
  <c r="C190" i="82"/>
  <c r="A190" i="82"/>
  <c r="N189" i="82"/>
  <c r="L189" i="82"/>
  <c r="K189" i="82"/>
  <c r="J189" i="82"/>
  <c r="G189" i="82"/>
  <c r="C189" i="82"/>
  <c r="A189" i="82"/>
  <c r="N188" i="82"/>
  <c r="L188" i="82"/>
  <c r="K188" i="82"/>
  <c r="J188" i="82"/>
  <c r="G188" i="82"/>
  <c r="C188" i="82"/>
  <c r="A188" i="82"/>
  <c r="N187" i="82"/>
  <c r="L187" i="82"/>
  <c r="K187" i="82"/>
  <c r="J187" i="82"/>
  <c r="G187" i="82"/>
  <c r="C187" i="82"/>
  <c r="A187" i="82"/>
  <c r="N186" i="82"/>
  <c r="L186" i="82"/>
  <c r="K186" i="82"/>
  <c r="J186" i="82"/>
  <c r="G186" i="82"/>
  <c r="C186" i="82"/>
  <c r="A186" i="82"/>
  <c r="N185" i="82"/>
  <c r="L185" i="82"/>
  <c r="K185" i="82"/>
  <c r="J185" i="82"/>
  <c r="G185" i="82"/>
  <c r="C185" i="82"/>
  <c r="A185" i="82"/>
  <c r="N184" i="82"/>
  <c r="L184" i="82"/>
  <c r="K184" i="82"/>
  <c r="J184" i="82"/>
  <c r="G184" i="82"/>
  <c r="C184" i="82"/>
  <c r="A184" i="82"/>
  <c r="N183" i="82"/>
  <c r="L183" i="82"/>
  <c r="K183" i="82"/>
  <c r="J183" i="82"/>
  <c r="G183" i="82"/>
  <c r="C183" i="82"/>
  <c r="A183" i="82"/>
  <c r="N182" i="82"/>
  <c r="L182" i="82"/>
  <c r="K182" i="82"/>
  <c r="J182" i="82"/>
  <c r="G182" i="82"/>
  <c r="C182" i="82"/>
  <c r="A182" i="82"/>
  <c r="N181" i="82"/>
  <c r="L181" i="82"/>
  <c r="K181" i="82"/>
  <c r="J181" i="82"/>
  <c r="G181" i="82"/>
  <c r="C181" i="82"/>
  <c r="A181" i="82"/>
  <c r="N180" i="82"/>
  <c r="L180" i="82"/>
  <c r="K180" i="82"/>
  <c r="J180" i="82"/>
  <c r="G180" i="82"/>
  <c r="C180" i="82"/>
  <c r="A180" i="82"/>
  <c r="N179" i="82"/>
  <c r="L179" i="82"/>
  <c r="K179" i="82"/>
  <c r="J179" i="82"/>
  <c r="G179" i="82"/>
  <c r="C179" i="82"/>
  <c r="A179" i="82"/>
  <c r="N178" i="82"/>
  <c r="L178" i="82"/>
  <c r="K178" i="82"/>
  <c r="J178" i="82"/>
  <c r="G178" i="82"/>
  <c r="C178" i="82"/>
  <c r="A178" i="82"/>
  <c r="N177" i="82"/>
  <c r="L177" i="82"/>
  <c r="K177" i="82"/>
  <c r="J177" i="82"/>
  <c r="G177" i="82"/>
  <c r="C177" i="82"/>
  <c r="A177" i="82"/>
  <c r="N176" i="82"/>
  <c r="L176" i="82"/>
  <c r="K176" i="82"/>
  <c r="J176" i="82"/>
  <c r="G176" i="82"/>
  <c r="C176" i="82"/>
  <c r="A176" i="82"/>
  <c r="N175" i="82"/>
  <c r="L175" i="82"/>
  <c r="K175" i="82"/>
  <c r="J175" i="82"/>
  <c r="G175" i="82"/>
  <c r="C175" i="82"/>
  <c r="A175" i="82"/>
  <c r="N174" i="82"/>
  <c r="L174" i="82"/>
  <c r="K174" i="82"/>
  <c r="J174" i="82"/>
  <c r="G174" i="82"/>
  <c r="C174" i="82"/>
  <c r="A174" i="82"/>
  <c r="N173" i="82"/>
  <c r="L173" i="82"/>
  <c r="K173" i="82"/>
  <c r="J173" i="82"/>
  <c r="G173" i="82"/>
  <c r="C173" i="82"/>
  <c r="A173" i="82"/>
  <c r="N172" i="82"/>
  <c r="L172" i="82"/>
  <c r="K172" i="82"/>
  <c r="J172" i="82"/>
  <c r="G172" i="82"/>
  <c r="C172" i="82"/>
  <c r="A172" i="82"/>
  <c r="N171" i="82"/>
  <c r="L171" i="82"/>
  <c r="K171" i="82"/>
  <c r="J171" i="82"/>
  <c r="G171" i="82"/>
  <c r="C171" i="82"/>
  <c r="A171" i="82"/>
  <c r="N170" i="82"/>
  <c r="L170" i="82"/>
  <c r="K170" i="82"/>
  <c r="J170" i="82"/>
  <c r="G170" i="82"/>
  <c r="C170" i="82"/>
  <c r="A170" i="82"/>
  <c r="N169" i="82"/>
  <c r="L169" i="82"/>
  <c r="K169" i="82"/>
  <c r="J169" i="82"/>
  <c r="G169" i="82"/>
  <c r="C169" i="82"/>
  <c r="A169" i="82"/>
  <c r="N168" i="82"/>
  <c r="L168" i="82"/>
  <c r="K168" i="82"/>
  <c r="J168" i="82"/>
  <c r="G168" i="82"/>
  <c r="C168" i="82"/>
  <c r="A168" i="82"/>
  <c r="N167" i="82"/>
  <c r="L167" i="82"/>
  <c r="K167" i="82"/>
  <c r="J167" i="82"/>
  <c r="G167" i="82"/>
  <c r="C167" i="82"/>
  <c r="A167" i="82"/>
  <c r="N166" i="82"/>
  <c r="L166" i="82"/>
  <c r="K166" i="82"/>
  <c r="J166" i="82"/>
  <c r="G166" i="82"/>
  <c r="C166" i="82"/>
  <c r="A166" i="82"/>
  <c r="N165" i="82"/>
  <c r="L165" i="82"/>
  <c r="K165" i="82"/>
  <c r="J165" i="82"/>
  <c r="G165" i="82"/>
  <c r="C165" i="82"/>
  <c r="A165" i="82"/>
  <c r="N164" i="82"/>
  <c r="L164" i="82"/>
  <c r="K164" i="82"/>
  <c r="J164" i="82"/>
  <c r="G164" i="82"/>
  <c r="C164" i="82"/>
  <c r="A164" i="82"/>
  <c r="N163" i="82"/>
  <c r="L163" i="82"/>
  <c r="K163" i="82"/>
  <c r="J163" i="82"/>
  <c r="G163" i="82"/>
  <c r="C163" i="82"/>
  <c r="A163" i="82"/>
  <c r="N162" i="82"/>
  <c r="L162" i="82"/>
  <c r="K162" i="82"/>
  <c r="J162" i="82"/>
  <c r="G162" i="82"/>
  <c r="C162" i="82"/>
  <c r="A162" i="82"/>
  <c r="N161" i="82"/>
  <c r="L161" i="82"/>
  <c r="K161" i="82"/>
  <c r="J161" i="82"/>
  <c r="G161" i="82"/>
  <c r="C161" i="82"/>
  <c r="A161" i="82"/>
  <c r="N160" i="82"/>
  <c r="L160" i="82"/>
  <c r="K160" i="82"/>
  <c r="J160" i="82"/>
  <c r="G160" i="82"/>
  <c r="C160" i="82"/>
  <c r="A160" i="82"/>
  <c r="N159" i="82"/>
  <c r="L159" i="82"/>
  <c r="K159" i="82"/>
  <c r="J159" i="82"/>
  <c r="G159" i="82"/>
  <c r="C159" i="82"/>
  <c r="A159" i="82"/>
  <c r="N158" i="82"/>
  <c r="L158" i="82"/>
  <c r="K158" i="82"/>
  <c r="J158" i="82"/>
  <c r="G158" i="82"/>
  <c r="C158" i="82"/>
  <c r="A158" i="82"/>
  <c r="N157" i="82"/>
  <c r="L157" i="82"/>
  <c r="K157" i="82"/>
  <c r="J157" i="82"/>
  <c r="G157" i="82"/>
  <c r="C157" i="82"/>
  <c r="A157" i="82"/>
  <c r="N156" i="82"/>
  <c r="L156" i="82"/>
  <c r="K156" i="82"/>
  <c r="J156" i="82"/>
  <c r="G156" i="82"/>
  <c r="C156" i="82"/>
  <c r="A156" i="82"/>
  <c r="N155" i="82"/>
  <c r="L155" i="82"/>
  <c r="K155" i="82"/>
  <c r="J155" i="82"/>
  <c r="G155" i="82"/>
  <c r="C155" i="82"/>
  <c r="A155" i="82"/>
  <c r="N154" i="82"/>
  <c r="L154" i="82"/>
  <c r="K154" i="82"/>
  <c r="J154" i="82"/>
  <c r="G154" i="82"/>
  <c r="C154" i="82"/>
  <c r="A154" i="82"/>
  <c r="N153" i="82"/>
  <c r="L153" i="82"/>
  <c r="K153" i="82"/>
  <c r="J153" i="82"/>
  <c r="G153" i="82"/>
  <c r="C153" i="82"/>
  <c r="A153" i="82"/>
  <c r="N152" i="82"/>
  <c r="L152" i="82"/>
  <c r="K152" i="82"/>
  <c r="J152" i="82"/>
  <c r="G152" i="82"/>
  <c r="C152" i="82"/>
  <c r="A152" i="82"/>
  <c r="N151" i="82"/>
  <c r="L151" i="82"/>
  <c r="K151" i="82"/>
  <c r="J151" i="82"/>
  <c r="G151" i="82"/>
  <c r="C151" i="82"/>
  <c r="A151" i="82"/>
  <c r="N150" i="82"/>
  <c r="L150" i="82"/>
  <c r="K150" i="82"/>
  <c r="J150" i="82"/>
  <c r="G150" i="82"/>
  <c r="C150" i="82"/>
  <c r="A150" i="82"/>
  <c r="N149" i="82"/>
  <c r="L149" i="82"/>
  <c r="K149" i="82"/>
  <c r="J149" i="82"/>
  <c r="G149" i="82"/>
  <c r="C149" i="82"/>
  <c r="A149" i="82"/>
  <c r="N148" i="82"/>
  <c r="L148" i="82"/>
  <c r="K148" i="82"/>
  <c r="J148" i="82"/>
  <c r="G148" i="82"/>
  <c r="C148" i="82"/>
  <c r="A148" i="82"/>
  <c r="N147" i="82"/>
  <c r="L147" i="82"/>
  <c r="K147" i="82"/>
  <c r="J147" i="82"/>
  <c r="G147" i="82"/>
  <c r="C147" i="82"/>
  <c r="A147" i="82"/>
  <c r="N146" i="82"/>
  <c r="L146" i="82"/>
  <c r="K146" i="82"/>
  <c r="J146" i="82"/>
  <c r="G146" i="82"/>
  <c r="C146" i="82"/>
  <c r="A146" i="82"/>
  <c r="N145" i="82"/>
  <c r="L145" i="82"/>
  <c r="K145" i="82"/>
  <c r="J145" i="82"/>
  <c r="G145" i="82"/>
  <c r="C145" i="82"/>
  <c r="A145" i="82"/>
  <c r="N144" i="82"/>
  <c r="L144" i="82"/>
  <c r="K144" i="82"/>
  <c r="J144" i="82"/>
  <c r="G144" i="82"/>
  <c r="C144" i="82"/>
  <c r="A144" i="82"/>
  <c r="N143" i="82"/>
  <c r="L143" i="82"/>
  <c r="K143" i="82"/>
  <c r="J143" i="82"/>
  <c r="G143" i="82"/>
  <c r="C143" i="82"/>
  <c r="A143" i="82"/>
  <c r="N142" i="82"/>
  <c r="L142" i="82"/>
  <c r="K142" i="82"/>
  <c r="J142" i="82"/>
  <c r="G142" i="82"/>
  <c r="C142" i="82"/>
  <c r="A142" i="82"/>
  <c r="N141" i="82"/>
  <c r="L141" i="82"/>
  <c r="K141" i="82"/>
  <c r="J141" i="82"/>
  <c r="G141" i="82"/>
  <c r="C141" i="82"/>
  <c r="A141" i="82"/>
  <c r="N140" i="82"/>
  <c r="L140" i="82"/>
  <c r="K140" i="82"/>
  <c r="J140" i="82"/>
  <c r="G140" i="82"/>
  <c r="C140" i="82"/>
  <c r="A140" i="82"/>
  <c r="N139" i="82"/>
  <c r="L139" i="82"/>
  <c r="K139" i="82"/>
  <c r="J139" i="82"/>
  <c r="G139" i="82"/>
  <c r="C139" i="82"/>
  <c r="A139" i="82"/>
  <c r="N138" i="82"/>
  <c r="L138" i="82"/>
  <c r="K138" i="82"/>
  <c r="J138" i="82"/>
  <c r="G138" i="82"/>
  <c r="C138" i="82"/>
  <c r="A138" i="82"/>
  <c r="N137" i="82"/>
  <c r="L137" i="82"/>
  <c r="K137" i="82"/>
  <c r="J137" i="82"/>
  <c r="G137" i="82"/>
  <c r="C137" i="82"/>
  <c r="A137" i="82"/>
  <c r="N136" i="82"/>
  <c r="L136" i="82"/>
  <c r="K136" i="82"/>
  <c r="J136" i="82"/>
  <c r="G136" i="82"/>
  <c r="C136" i="82"/>
  <c r="A136" i="82"/>
  <c r="N135" i="82"/>
  <c r="L135" i="82"/>
  <c r="K135" i="82"/>
  <c r="J135" i="82"/>
  <c r="G135" i="82"/>
  <c r="C135" i="82"/>
  <c r="A135" i="82"/>
  <c r="N134" i="82"/>
  <c r="L134" i="82"/>
  <c r="K134" i="82"/>
  <c r="J134" i="82"/>
  <c r="G134" i="82"/>
  <c r="C134" i="82"/>
  <c r="A134" i="82"/>
  <c r="N133" i="82"/>
  <c r="L133" i="82"/>
  <c r="K133" i="82"/>
  <c r="J133" i="82"/>
  <c r="G133" i="82"/>
  <c r="C133" i="82"/>
  <c r="A133" i="82"/>
  <c r="N132" i="82"/>
  <c r="L132" i="82"/>
  <c r="K132" i="82"/>
  <c r="J132" i="82"/>
  <c r="G132" i="82"/>
  <c r="C132" i="82"/>
  <c r="A132" i="82"/>
  <c r="N131" i="82"/>
  <c r="L131" i="82"/>
  <c r="K131" i="82"/>
  <c r="J131" i="82"/>
  <c r="G131" i="82"/>
  <c r="C131" i="82"/>
  <c r="A131" i="82"/>
  <c r="N130" i="82"/>
  <c r="L130" i="82"/>
  <c r="K130" i="82"/>
  <c r="J130" i="82"/>
  <c r="G130" i="82"/>
  <c r="C130" i="82"/>
  <c r="A130" i="82"/>
  <c r="N129" i="82"/>
  <c r="L129" i="82"/>
  <c r="K129" i="82"/>
  <c r="J129" i="82"/>
  <c r="G129" i="82"/>
  <c r="C129" i="82"/>
  <c r="A129" i="82"/>
  <c r="N128" i="82"/>
  <c r="L128" i="82"/>
  <c r="K128" i="82"/>
  <c r="J128" i="82"/>
  <c r="G128" i="82"/>
  <c r="C128" i="82"/>
  <c r="A128" i="82"/>
  <c r="N127" i="82"/>
  <c r="L127" i="82"/>
  <c r="K127" i="82"/>
  <c r="J127" i="82"/>
  <c r="G127" i="82"/>
  <c r="C127" i="82"/>
  <c r="A127" i="82"/>
  <c r="N126" i="82"/>
  <c r="L126" i="82"/>
  <c r="K126" i="82"/>
  <c r="J126" i="82"/>
  <c r="G126" i="82"/>
  <c r="C126" i="82"/>
  <c r="A126" i="82"/>
  <c r="N125" i="82"/>
  <c r="L125" i="82"/>
  <c r="K125" i="82"/>
  <c r="J125" i="82"/>
  <c r="G125" i="82"/>
  <c r="C125" i="82"/>
  <c r="A125" i="82"/>
  <c r="N124" i="82"/>
  <c r="L124" i="82"/>
  <c r="K124" i="82"/>
  <c r="J124" i="82"/>
  <c r="G124" i="82"/>
  <c r="C124" i="82"/>
  <c r="A124" i="82"/>
  <c r="N123" i="82"/>
  <c r="L123" i="82"/>
  <c r="K123" i="82"/>
  <c r="J123" i="82"/>
  <c r="G123" i="82"/>
  <c r="C123" i="82"/>
  <c r="A123" i="82"/>
  <c r="N122" i="82"/>
  <c r="L122" i="82"/>
  <c r="K122" i="82"/>
  <c r="J122" i="82"/>
  <c r="G122" i="82"/>
  <c r="C122" i="82"/>
  <c r="A122" i="82"/>
  <c r="N121" i="82"/>
  <c r="L121" i="82"/>
  <c r="K121" i="82"/>
  <c r="J121" i="82"/>
  <c r="G121" i="82"/>
  <c r="C121" i="82"/>
  <c r="A121" i="82"/>
  <c r="N120" i="82"/>
  <c r="L120" i="82"/>
  <c r="K120" i="82"/>
  <c r="J120" i="82"/>
  <c r="G120" i="82"/>
  <c r="C120" i="82"/>
  <c r="A120" i="82"/>
  <c r="N119" i="82"/>
  <c r="L119" i="82"/>
  <c r="K119" i="82"/>
  <c r="J119" i="82"/>
  <c r="G119" i="82"/>
  <c r="C119" i="82"/>
  <c r="A119" i="82"/>
  <c r="N118" i="82"/>
  <c r="L118" i="82"/>
  <c r="K118" i="82"/>
  <c r="J118" i="82"/>
  <c r="G118" i="82"/>
  <c r="C118" i="82"/>
  <c r="A118" i="82"/>
  <c r="N117" i="82"/>
  <c r="L117" i="82"/>
  <c r="K117" i="82"/>
  <c r="J117" i="82"/>
  <c r="G117" i="82"/>
  <c r="C117" i="82"/>
  <c r="A117" i="82"/>
  <c r="N116" i="82"/>
  <c r="L116" i="82"/>
  <c r="K116" i="82"/>
  <c r="J116" i="82"/>
  <c r="G116" i="82"/>
  <c r="C116" i="82"/>
  <c r="A116" i="82"/>
  <c r="N115" i="82"/>
  <c r="L115" i="82"/>
  <c r="K115" i="82"/>
  <c r="J115" i="82"/>
  <c r="G115" i="82"/>
  <c r="C115" i="82"/>
  <c r="A115" i="82"/>
  <c r="N114" i="82"/>
  <c r="L114" i="82"/>
  <c r="K114" i="82"/>
  <c r="J114" i="82"/>
  <c r="G114" i="82"/>
  <c r="C114" i="82"/>
  <c r="A114" i="82"/>
  <c r="N113" i="82"/>
  <c r="L113" i="82"/>
  <c r="K113" i="82"/>
  <c r="J113" i="82"/>
  <c r="G113" i="82"/>
  <c r="C113" i="82"/>
  <c r="A113" i="82"/>
  <c r="N112" i="82"/>
  <c r="L112" i="82"/>
  <c r="K112" i="82"/>
  <c r="J112" i="82"/>
  <c r="G112" i="82"/>
  <c r="C112" i="82"/>
  <c r="A112" i="82"/>
  <c r="N111" i="82"/>
  <c r="L111" i="82"/>
  <c r="K111" i="82"/>
  <c r="J111" i="82"/>
  <c r="G111" i="82"/>
  <c r="C111" i="82"/>
  <c r="A111" i="82"/>
  <c r="N110" i="82"/>
  <c r="L110" i="82"/>
  <c r="K110" i="82"/>
  <c r="J110" i="82"/>
  <c r="G110" i="82"/>
  <c r="C110" i="82"/>
  <c r="A110" i="82"/>
  <c r="N109" i="82"/>
  <c r="L109" i="82"/>
  <c r="K109" i="82"/>
  <c r="J109" i="82"/>
  <c r="G109" i="82"/>
  <c r="C109" i="82"/>
  <c r="A109" i="82"/>
  <c r="N108" i="82"/>
  <c r="L108" i="82"/>
  <c r="K108" i="82"/>
  <c r="J108" i="82"/>
  <c r="G108" i="82"/>
  <c r="C108" i="82"/>
  <c r="A108" i="82"/>
  <c r="N107" i="82"/>
  <c r="L107" i="82"/>
  <c r="K107" i="82"/>
  <c r="J107" i="82"/>
  <c r="G107" i="82"/>
  <c r="C107" i="82"/>
  <c r="A107" i="82"/>
  <c r="N106" i="82"/>
  <c r="L106" i="82"/>
  <c r="K106" i="82"/>
  <c r="J106" i="82"/>
  <c r="G106" i="82"/>
  <c r="C106" i="82"/>
  <c r="A106" i="82"/>
  <c r="N105" i="82"/>
  <c r="L105" i="82"/>
  <c r="K105" i="82"/>
  <c r="J105" i="82"/>
  <c r="G105" i="82"/>
  <c r="C105" i="82"/>
  <c r="A105" i="82"/>
  <c r="N104" i="82"/>
  <c r="L104" i="82"/>
  <c r="K104" i="82"/>
  <c r="J104" i="82"/>
  <c r="G104" i="82"/>
  <c r="C104" i="82"/>
  <c r="A104" i="82"/>
  <c r="N103" i="82"/>
  <c r="L103" i="82"/>
  <c r="K103" i="82"/>
  <c r="J103" i="82"/>
  <c r="G103" i="82"/>
  <c r="C103" i="82"/>
  <c r="A103" i="82"/>
  <c r="N102" i="82"/>
  <c r="L102" i="82"/>
  <c r="K102" i="82"/>
  <c r="J102" i="82"/>
  <c r="G102" i="82"/>
  <c r="C102" i="82"/>
  <c r="A102" i="82"/>
  <c r="N101" i="82"/>
  <c r="L101" i="82"/>
  <c r="K101" i="82"/>
  <c r="J101" i="82"/>
  <c r="G101" i="82"/>
  <c r="C101" i="82"/>
  <c r="A101" i="82"/>
  <c r="N100" i="82"/>
  <c r="L100" i="82"/>
  <c r="K100" i="82"/>
  <c r="J100" i="82"/>
  <c r="G100" i="82"/>
  <c r="C100" i="82"/>
  <c r="A100" i="82"/>
  <c r="N99" i="82"/>
  <c r="L99" i="82"/>
  <c r="K99" i="82"/>
  <c r="J99" i="82"/>
  <c r="G99" i="82"/>
  <c r="C99" i="82"/>
  <c r="A99" i="82"/>
  <c r="N98" i="82"/>
  <c r="L98" i="82"/>
  <c r="K98" i="82"/>
  <c r="J98" i="82"/>
  <c r="G98" i="82"/>
  <c r="C98" i="82"/>
  <c r="A98" i="82"/>
  <c r="N97" i="82"/>
  <c r="L97" i="82"/>
  <c r="K97" i="82"/>
  <c r="J97" i="82"/>
  <c r="G97" i="82"/>
  <c r="C97" i="82"/>
  <c r="A97" i="82"/>
  <c r="N96" i="82"/>
  <c r="L96" i="82"/>
  <c r="K96" i="82"/>
  <c r="J96" i="82"/>
  <c r="G96" i="82"/>
  <c r="C96" i="82"/>
  <c r="A96" i="82"/>
  <c r="N95" i="82"/>
  <c r="L95" i="82"/>
  <c r="K95" i="82"/>
  <c r="J95" i="82"/>
  <c r="G95" i="82"/>
  <c r="C95" i="82"/>
  <c r="A95" i="82"/>
  <c r="N94" i="82"/>
  <c r="L94" i="82"/>
  <c r="K94" i="82"/>
  <c r="J94" i="82"/>
  <c r="G94" i="82"/>
  <c r="C94" i="82"/>
  <c r="A94" i="82"/>
  <c r="N93" i="82"/>
  <c r="L93" i="82"/>
  <c r="K93" i="82"/>
  <c r="J93" i="82"/>
  <c r="G93" i="82"/>
  <c r="C93" i="82"/>
  <c r="A93" i="82"/>
  <c r="N92" i="82"/>
  <c r="L92" i="82"/>
  <c r="K92" i="82"/>
  <c r="J92" i="82"/>
  <c r="G92" i="82"/>
  <c r="C92" i="82"/>
  <c r="A92" i="82"/>
  <c r="N91" i="82"/>
  <c r="L91" i="82"/>
  <c r="K91" i="82"/>
  <c r="J91" i="82"/>
  <c r="G91" i="82"/>
  <c r="C91" i="82"/>
  <c r="A91" i="82"/>
  <c r="N90" i="82"/>
  <c r="L90" i="82"/>
  <c r="K90" i="82"/>
  <c r="J90" i="82"/>
  <c r="G90" i="82"/>
  <c r="C90" i="82"/>
  <c r="A90" i="82"/>
  <c r="N89" i="82"/>
  <c r="L89" i="82"/>
  <c r="K89" i="82"/>
  <c r="J89" i="82"/>
  <c r="G89" i="82"/>
  <c r="C89" i="82"/>
  <c r="A89" i="82"/>
  <c r="N88" i="82"/>
  <c r="L88" i="82"/>
  <c r="K88" i="82"/>
  <c r="J88" i="82"/>
  <c r="G88" i="82"/>
  <c r="C88" i="82"/>
  <c r="A88" i="82"/>
  <c r="N87" i="82"/>
  <c r="L87" i="82"/>
  <c r="K87" i="82"/>
  <c r="J87" i="82"/>
  <c r="G87" i="82"/>
  <c r="C87" i="82"/>
  <c r="A87" i="82"/>
  <c r="N86" i="82"/>
  <c r="L86" i="82"/>
  <c r="K86" i="82"/>
  <c r="J86" i="82"/>
  <c r="G86" i="82"/>
  <c r="C86" i="82"/>
  <c r="A86" i="82"/>
  <c r="N85" i="82"/>
  <c r="L85" i="82"/>
  <c r="K85" i="82"/>
  <c r="J85" i="82"/>
  <c r="G85" i="82"/>
  <c r="C85" i="82"/>
  <c r="A85" i="82"/>
  <c r="N84" i="82"/>
  <c r="L84" i="82"/>
  <c r="K84" i="82"/>
  <c r="J84" i="82"/>
  <c r="G84" i="82"/>
  <c r="C84" i="82"/>
  <c r="A84" i="82"/>
  <c r="N83" i="82"/>
  <c r="L83" i="82"/>
  <c r="K83" i="82"/>
  <c r="J83" i="82"/>
  <c r="G83" i="82"/>
  <c r="C83" i="82"/>
  <c r="A83" i="82"/>
  <c r="N82" i="82"/>
  <c r="L82" i="82"/>
  <c r="K82" i="82"/>
  <c r="J82" i="82"/>
  <c r="G82" i="82"/>
  <c r="C82" i="82"/>
  <c r="A82" i="82"/>
  <c r="N81" i="82"/>
  <c r="L81" i="82"/>
  <c r="K81" i="82"/>
  <c r="J81" i="82"/>
  <c r="G81" i="82"/>
  <c r="C81" i="82"/>
  <c r="A81" i="82"/>
  <c r="N80" i="82"/>
  <c r="L80" i="82"/>
  <c r="K80" i="82"/>
  <c r="J80" i="82"/>
  <c r="G80" i="82"/>
  <c r="C80" i="82"/>
  <c r="A80" i="82"/>
  <c r="N79" i="82"/>
  <c r="L79" i="82"/>
  <c r="K79" i="82"/>
  <c r="J79" i="82"/>
  <c r="G79" i="82"/>
  <c r="C79" i="82"/>
  <c r="A79" i="82"/>
  <c r="N78" i="82"/>
  <c r="L78" i="82"/>
  <c r="K78" i="82"/>
  <c r="J78" i="82"/>
  <c r="G78" i="82"/>
  <c r="C78" i="82"/>
  <c r="A78" i="82"/>
  <c r="N77" i="82"/>
  <c r="L77" i="82"/>
  <c r="K77" i="82"/>
  <c r="J77" i="82"/>
  <c r="G77" i="82"/>
  <c r="C77" i="82"/>
  <c r="A77" i="82"/>
  <c r="N76" i="82"/>
  <c r="L76" i="82"/>
  <c r="K76" i="82"/>
  <c r="J76" i="82"/>
  <c r="G76" i="82"/>
  <c r="C76" i="82"/>
  <c r="A76" i="82"/>
  <c r="N75" i="82"/>
  <c r="L75" i="82"/>
  <c r="K75" i="82"/>
  <c r="J75" i="82"/>
  <c r="G75" i="82"/>
  <c r="C75" i="82"/>
  <c r="A75" i="82"/>
  <c r="N74" i="82"/>
  <c r="L74" i="82"/>
  <c r="K74" i="82"/>
  <c r="J74" i="82"/>
  <c r="G74" i="82"/>
  <c r="C74" i="82"/>
  <c r="A74" i="82"/>
  <c r="N73" i="82"/>
  <c r="L73" i="82"/>
  <c r="K73" i="82"/>
  <c r="J73" i="82"/>
  <c r="G73" i="82"/>
  <c r="C73" i="82"/>
  <c r="A73" i="82"/>
  <c r="N72" i="82"/>
  <c r="L72" i="82"/>
  <c r="K72" i="82"/>
  <c r="J72" i="82"/>
  <c r="G72" i="82"/>
  <c r="C72" i="82"/>
  <c r="A72" i="82"/>
  <c r="N71" i="82"/>
  <c r="L71" i="82"/>
  <c r="K71" i="82"/>
  <c r="J71" i="82"/>
  <c r="G71" i="82"/>
  <c r="C71" i="82"/>
  <c r="A71" i="82"/>
  <c r="N70" i="82"/>
  <c r="L70" i="82"/>
  <c r="K70" i="82"/>
  <c r="J70" i="82"/>
  <c r="G70" i="82"/>
  <c r="C70" i="82"/>
  <c r="A70" i="82"/>
  <c r="N69" i="82"/>
  <c r="L69" i="82"/>
  <c r="K69" i="82"/>
  <c r="J69" i="82"/>
  <c r="G69" i="82"/>
  <c r="C69" i="82"/>
  <c r="A69" i="82"/>
  <c r="N68" i="82"/>
  <c r="L68" i="82"/>
  <c r="K68" i="82"/>
  <c r="J68" i="82"/>
  <c r="G68" i="82"/>
  <c r="C68" i="82"/>
  <c r="A68" i="82"/>
  <c r="N67" i="82"/>
  <c r="L67" i="82"/>
  <c r="K67" i="82"/>
  <c r="J67" i="82"/>
  <c r="G67" i="82"/>
  <c r="C67" i="82"/>
  <c r="A67" i="82"/>
  <c r="N66" i="82"/>
  <c r="L66" i="82"/>
  <c r="K66" i="82"/>
  <c r="J66" i="82"/>
  <c r="G66" i="82"/>
  <c r="C66" i="82"/>
  <c r="A66" i="82"/>
  <c r="N65" i="82"/>
  <c r="L65" i="82"/>
  <c r="K65" i="82"/>
  <c r="J65" i="82"/>
  <c r="G65" i="82"/>
  <c r="C65" i="82"/>
  <c r="A65" i="82"/>
  <c r="N64" i="82"/>
  <c r="L64" i="82"/>
  <c r="K64" i="82"/>
  <c r="J64" i="82"/>
  <c r="G64" i="82"/>
  <c r="C64" i="82"/>
  <c r="A64" i="82"/>
  <c r="N63" i="82"/>
  <c r="L63" i="82"/>
  <c r="K63" i="82"/>
  <c r="J63" i="82"/>
  <c r="G63" i="82"/>
  <c r="C63" i="82"/>
  <c r="A63" i="82"/>
  <c r="N62" i="82"/>
  <c r="L62" i="82"/>
  <c r="K62" i="82"/>
  <c r="J62" i="82"/>
  <c r="G62" i="82"/>
  <c r="C62" i="82"/>
  <c r="A62" i="82"/>
  <c r="N61" i="82"/>
  <c r="L61" i="82"/>
  <c r="K61" i="82"/>
  <c r="J61" i="82"/>
  <c r="G61" i="82"/>
  <c r="C61" i="82"/>
  <c r="A61" i="82"/>
  <c r="N60" i="82"/>
  <c r="L60" i="82"/>
  <c r="K60" i="82"/>
  <c r="J60" i="82"/>
  <c r="G60" i="82"/>
  <c r="C60" i="82"/>
  <c r="A60" i="82"/>
  <c r="N59" i="82"/>
  <c r="L59" i="82"/>
  <c r="K59" i="82"/>
  <c r="J59" i="82"/>
  <c r="G59" i="82"/>
  <c r="C59" i="82"/>
  <c r="A59" i="82"/>
  <c r="N58" i="82"/>
  <c r="L58" i="82"/>
  <c r="K58" i="82"/>
  <c r="J58" i="82"/>
  <c r="G58" i="82"/>
  <c r="C58" i="82"/>
  <c r="A58" i="82"/>
  <c r="N57" i="82"/>
  <c r="L57" i="82"/>
  <c r="K57" i="82"/>
  <c r="J57" i="82"/>
  <c r="G57" i="82"/>
  <c r="C57" i="82"/>
  <c r="A57" i="82"/>
  <c r="N56" i="82"/>
  <c r="L56" i="82"/>
  <c r="K56" i="82"/>
  <c r="J56" i="82"/>
  <c r="G56" i="82"/>
  <c r="C56" i="82"/>
  <c r="A56" i="82"/>
  <c r="N55" i="82"/>
  <c r="L55" i="82"/>
  <c r="K55" i="82"/>
  <c r="J55" i="82"/>
  <c r="G55" i="82"/>
  <c r="C55" i="82"/>
  <c r="A55" i="82"/>
  <c r="N54" i="82"/>
  <c r="L54" i="82"/>
  <c r="K54" i="82"/>
  <c r="J54" i="82"/>
  <c r="G54" i="82"/>
  <c r="C54" i="82"/>
  <c r="A54" i="82"/>
  <c r="N53" i="82"/>
  <c r="L53" i="82"/>
  <c r="K53" i="82"/>
  <c r="J53" i="82"/>
  <c r="G53" i="82"/>
  <c r="C53" i="82"/>
  <c r="A53" i="82"/>
  <c r="N52" i="82"/>
  <c r="L52" i="82"/>
  <c r="K52" i="82"/>
  <c r="J52" i="82"/>
  <c r="G52" i="82"/>
  <c r="C52" i="82"/>
  <c r="A52" i="82"/>
  <c r="N51" i="82"/>
  <c r="L51" i="82"/>
  <c r="K51" i="82"/>
  <c r="J51" i="82"/>
  <c r="G51" i="82"/>
  <c r="C51" i="82"/>
  <c r="A51" i="82"/>
  <c r="N50" i="82"/>
  <c r="L50" i="82"/>
  <c r="K50" i="82"/>
  <c r="J50" i="82"/>
  <c r="G50" i="82"/>
  <c r="C50" i="82"/>
  <c r="A50" i="82"/>
  <c r="N49" i="82"/>
  <c r="L49" i="82"/>
  <c r="K49" i="82"/>
  <c r="J49" i="82"/>
  <c r="G49" i="82"/>
  <c r="C49" i="82"/>
  <c r="A49" i="82"/>
  <c r="N48" i="82"/>
  <c r="L48" i="82"/>
  <c r="K48" i="82"/>
  <c r="J48" i="82"/>
  <c r="G48" i="82"/>
  <c r="C48" i="82"/>
  <c r="A48" i="82"/>
  <c r="N47" i="82"/>
  <c r="L47" i="82"/>
  <c r="K47" i="82"/>
  <c r="J47" i="82"/>
  <c r="G47" i="82"/>
  <c r="C47" i="82"/>
  <c r="A47" i="82"/>
  <c r="N46" i="82"/>
  <c r="L46" i="82"/>
  <c r="K46" i="82"/>
  <c r="J46" i="82"/>
  <c r="G46" i="82"/>
  <c r="C46" i="82"/>
  <c r="A46" i="82"/>
  <c r="N45" i="82"/>
  <c r="L45" i="82"/>
  <c r="K45" i="82"/>
  <c r="J45" i="82"/>
  <c r="G45" i="82"/>
  <c r="C45" i="82"/>
  <c r="A45" i="82"/>
  <c r="N44" i="82"/>
  <c r="L44" i="82"/>
  <c r="K44" i="82"/>
  <c r="J44" i="82"/>
  <c r="G44" i="82"/>
  <c r="C44" i="82"/>
  <c r="A44" i="82"/>
  <c r="N43" i="82"/>
  <c r="L43" i="82"/>
  <c r="K43" i="82"/>
  <c r="J43" i="82"/>
  <c r="G43" i="82"/>
  <c r="C43" i="82"/>
  <c r="A43" i="82"/>
  <c r="N42" i="82"/>
  <c r="L42" i="82"/>
  <c r="K42" i="82"/>
  <c r="J42" i="82"/>
  <c r="G42" i="82"/>
  <c r="C42" i="82"/>
  <c r="A42" i="82"/>
  <c r="N41" i="82"/>
  <c r="L41" i="82"/>
  <c r="K41" i="82"/>
  <c r="J41" i="82"/>
  <c r="G41" i="82"/>
  <c r="C41" i="82"/>
  <c r="A41" i="82"/>
  <c r="N40" i="82"/>
  <c r="L40" i="82"/>
  <c r="K40" i="82"/>
  <c r="J40" i="82"/>
  <c r="G40" i="82"/>
  <c r="C40" i="82"/>
  <c r="A40" i="82"/>
  <c r="N39" i="82"/>
  <c r="L39" i="82"/>
  <c r="K39" i="82"/>
  <c r="J39" i="82"/>
  <c r="G39" i="82"/>
  <c r="C39" i="82"/>
  <c r="A39" i="82"/>
  <c r="N38" i="82"/>
  <c r="L38" i="82"/>
  <c r="K38" i="82"/>
  <c r="J38" i="82"/>
  <c r="G38" i="82"/>
  <c r="C38" i="82"/>
  <c r="A38" i="82"/>
  <c r="N37" i="82"/>
  <c r="L37" i="82"/>
  <c r="K37" i="82"/>
  <c r="J37" i="82"/>
  <c r="G37" i="82"/>
  <c r="C37" i="82"/>
  <c r="A37" i="82"/>
  <c r="N36" i="82"/>
  <c r="L36" i="82"/>
  <c r="K36" i="82"/>
  <c r="J36" i="82"/>
  <c r="G36" i="82"/>
  <c r="C36" i="82"/>
  <c r="A36" i="82"/>
  <c r="N35" i="82"/>
  <c r="L35" i="82"/>
  <c r="K35" i="82"/>
  <c r="J35" i="82"/>
  <c r="G35" i="82"/>
  <c r="C35" i="82"/>
  <c r="A35" i="82"/>
  <c r="N34" i="82"/>
  <c r="L34" i="82"/>
  <c r="K34" i="82"/>
  <c r="J34" i="82"/>
  <c r="G34" i="82"/>
  <c r="C34" i="82"/>
  <c r="A34" i="82"/>
  <c r="N33" i="82"/>
  <c r="L33" i="82"/>
  <c r="K33" i="82"/>
  <c r="J33" i="82"/>
  <c r="G33" i="82"/>
  <c r="C33" i="82"/>
  <c r="A33" i="82"/>
  <c r="N32" i="82"/>
  <c r="L32" i="82"/>
  <c r="K32" i="82"/>
  <c r="J32" i="82"/>
  <c r="G32" i="82"/>
  <c r="C32" i="82"/>
  <c r="A32" i="82"/>
  <c r="N31" i="82"/>
  <c r="L31" i="82"/>
  <c r="K31" i="82"/>
  <c r="J31" i="82"/>
  <c r="G31" i="82"/>
  <c r="C31" i="82"/>
  <c r="A31" i="82"/>
  <c r="N30" i="82"/>
  <c r="L30" i="82"/>
  <c r="K30" i="82"/>
  <c r="J30" i="82"/>
  <c r="G30" i="82"/>
  <c r="C30" i="82"/>
  <c r="A30" i="82"/>
  <c r="N29" i="82"/>
  <c r="L29" i="82"/>
  <c r="K29" i="82"/>
  <c r="J29" i="82"/>
  <c r="G29" i="82"/>
  <c r="C29" i="82"/>
  <c r="A29" i="82"/>
  <c r="N28" i="82"/>
  <c r="L28" i="82"/>
  <c r="K28" i="82"/>
  <c r="J28" i="82"/>
  <c r="G28" i="82"/>
  <c r="C28" i="82"/>
  <c r="A28" i="82"/>
  <c r="N27" i="82"/>
  <c r="L27" i="82"/>
  <c r="K27" i="82"/>
  <c r="J27" i="82"/>
  <c r="G27" i="82"/>
  <c r="C27" i="82"/>
  <c r="A27" i="82"/>
  <c r="N26" i="82"/>
  <c r="L26" i="82"/>
  <c r="K26" i="82"/>
  <c r="J26" i="82"/>
  <c r="G26" i="82"/>
  <c r="C26" i="82"/>
  <c r="A26" i="82"/>
  <c r="N25" i="82"/>
  <c r="L25" i="82"/>
  <c r="K25" i="82"/>
  <c r="J25" i="82"/>
  <c r="G25" i="82"/>
  <c r="C25" i="82"/>
  <c r="A25" i="82"/>
  <c r="N24" i="82"/>
  <c r="L24" i="82"/>
  <c r="K24" i="82"/>
  <c r="J24" i="82"/>
  <c r="G24" i="82"/>
  <c r="C24" i="82"/>
  <c r="A24" i="82"/>
  <c r="N23" i="82"/>
  <c r="L23" i="82"/>
  <c r="K23" i="82"/>
  <c r="J23" i="82"/>
  <c r="G23" i="82"/>
  <c r="C23" i="82"/>
  <c r="A23" i="82"/>
  <c r="N22" i="82"/>
  <c r="L22" i="82"/>
  <c r="K22" i="82"/>
  <c r="J22" i="82"/>
  <c r="G22" i="82"/>
  <c r="C22" i="82"/>
  <c r="A22" i="82"/>
  <c r="N21" i="82"/>
  <c r="L21" i="82"/>
  <c r="K21" i="82"/>
  <c r="J21" i="82"/>
  <c r="G21" i="82"/>
  <c r="C21" i="82"/>
  <c r="A21" i="82"/>
  <c r="N20" i="82"/>
  <c r="L20" i="82"/>
  <c r="K20" i="82"/>
  <c r="J20" i="82"/>
  <c r="G20" i="82"/>
  <c r="C20" i="82"/>
  <c r="A20" i="82"/>
  <c r="N19" i="82"/>
  <c r="L19" i="82"/>
  <c r="K19" i="82"/>
  <c r="J19" i="82"/>
  <c r="G19" i="82"/>
  <c r="C19" i="82"/>
  <c r="A19" i="82"/>
  <c r="N18" i="82"/>
  <c r="L18" i="82"/>
  <c r="K18" i="82"/>
  <c r="J18" i="82"/>
  <c r="G18" i="82"/>
  <c r="C18" i="82"/>
  <c r="A18" i="82"/>
  <c r="N17" i="82"/>
  <c r="L17" i="82"/>
  <c r="K17" i="82"/>
  <c r="J17" i="82"/>
  <c r="G17" i="82"/>
  <c r="C17" i="82"/>
  <c r="A17" i="82"/>
  <c r="N16" i="82"/>
  <c r="L16" i="82"/>
  <c r="K16" i="82"/>
  <c r="J16" i="82"/>
  <c r="G16" i="82"/>
  <c r="C16" i="82"/>
  <c r="A16" i="82"/>
  <c r="N15" i="82"/>
  <c r="L15" i="82"/>
  <c r="K15" i="82"/>
  <c r="J15" i="82"/>
  <c r="G15" i="82"/>
  <c r="C15" i="82"/>
  <c r="A15" i="82"/>
  <c r="N14" i="82"/>
  <c r="L14" i="82"/>
  <c r="K14" i="82"/>
  <c r="J14" i="82"/>
  <c r="G14" i="82"/>
  <c r="C14" i="82"/>
  <c r="A14" i="82"/>
  <c r="N13" i="82"/>
  <c r="L13" i="82"/>
  <c r="K13" i="82"/>
  <c r="J13" i="82"/>
  <c r="G13" i="82"/>
  <c r="C13" i="82"/>
  <c r="A13" i="82"/>
  <c r="N12" i="82"/>
  <c r="L12" i="82"/>
  <c r="K12" i="82"/>
  <c r="J12" i="82"/>
  <c r="G12" i="82"/>
  <c r="C12" i="82"/>
  <c r="A12" i="82"/>
  <c r="N11" i="82"/>
  <c r="L11" i="82"/>
  <c r="K11" i="82"/>
  <c r="J11" i="82"/>
  <c r="G11" i="82"/>
  <c r="C11" i="82"/>
  <c r="A11" i="82"/>
  <c r="N10" i="82"/>
  <c r="L10" i="82"/>
  <c r="K10" i="82"/>
  <c r="J10" i="82"/>
  <c r="G10" i="82"/>
  <c r="C10" i="82"/>
  <c r="A10" i="82"/>
  <c r="N9" i="82"/>
  <c r="L9" i="82"/>
  <c r="K9" i="82"/>
  <c r="J9" i="82"/>
  <c r="G9" i="82"/>
  <c r="C9" i="82"/>
  <c r="A9" i="82"/>
  <c r="N8" i="82"/>
  <c r="L8" i="82"/>
  <c r="K8" i="82"/>
  <c r="J8" i="82"/>
  <c r="G8" i="82"/>
  <c r="C8" i="82"/>
  <c r="A8" i="82"/>
  <c r="N7" i="82"/>
  <c r="L7" i="82"/>
  <c r="K7" i="82"/>
  <c r="J7" i="82"/>
  <c r="G7" i="82"/>
  <c r="C7" i="82"/>
  <c r="A7" i="82"/>
  <c r="N6" i="82"/>
  <c r="L6" i="82"/>
  <c r="K6" i="82"/>
  <c r="J6" i="82"/>
  <c r="G6" i="82"/>
  <c r="C6" i="82"/>
  <c r="A6" i="82"/>
  <c r="N5" i="82"/>
  <c r="L5" i="82"/>
  <c r="K5" i="82"/>
  <c r="J5" i="82"/>
  <c r="G5" i="82"/>
  <c r="C5" i="82"/>
  <c r="A5" i="82"/>
  <c r="N4" i="82"/>
  <c r="L4" i="82"/>
  <c r="K4" i="82"/>
  <c r="J4" i="82"/>
  <c r="G4" i="82"/>
  <c r="C4" i="82"/>
  <c r="A4" i="82"/>
  <c r="N3" i="82"/>
  <c r="L3" i="82"/>
  <c r="K3" i="82"/>
  <c r="J3" i="82"/>
  <c r="G3" i="82"/>
  <c r="C3" i="82"/>
  <c r="A3" i="82"/>
  <c r="N2" i="82"/>
  <c r="L2" i="82"/>
  <c r="K2" i="82"/>
  <c r="J2" i="82"/>
  <c r="G2" i="82"/>
  <c r="C2" i="82"/>
  <c r="A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<sst xmlns="http://schemas.openxmlformats.org/spreadsheetml/2006/main" count="133" uniqueCount="95">
  <si>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</si>
  <si>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</si>
  <si>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</si>
  <si>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</si>
  <si>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</si>
  <si>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</si>
  <si>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</si>
  <si>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</si>
  <si>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</si>
  <si>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</si>
  <si>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</si>
  <si>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</si>
  <si>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</si>
  <si>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</si>
  <si>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</si>
  <si>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</si>
  <si>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</si>
  <si>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</si>
  <si>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</si>
  <si>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</si>
  <si>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</si>
  <si>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</si>
  <si>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</si>
  <si>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</si>
  <si>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</si>
  <si>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</si>
  <si>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</si>
  <si>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</si>
  <si>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</si>
  <si>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</si>
  <si>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</si>
  <si>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</si>
  <si>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</si>
  <si>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</si>
  <si>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</si>
  <si>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</si>
  <si>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</si>
  <si>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</si>
  <si>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</si>
  <si>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</si>
  <si>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</si>
  <si>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</si>
  <si>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</si>
  <si>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0PremiumW3</t>
    <phoneticPr fontId="11"/>
  </si>
  <si>
    <t>0PremiumN3</t>
    <phoneticPr fontId="11"/>
  </si>
  <si>
    <t>0PremiumS3</t>
    <phoneticPr fontId="11"/>
  </si>
  <si>
    <t>0PremiumW4</t>
    <phoneticPr fontId="11"/>
  </si>
  <si>
    <t>0PremiumN4</t>
    <phoneticPr fontId="11"/>
  </si>
  <si>
    <t>0PremiumS4</t>
    <phoneticPr fontId="11"/>
  </si>
  <si>
    <t>0PremiumSS4</t>
    <phoneticPr fontId="11"/>
  </si>
  <si>
    <t>0PremiumN5</t>
    <phoneticPr fontId="11"/>
  </si>
  <si>
    <t>0PremiumS5</t>
    <phoneticPr fontId="11"/>
  </si>
  <si>
    <t>0PremiumSS5</t>
    <phoneticPr fontId="11"/>
  </si>
  <si>
    <t>1PremiumW4</t>
    <phoneticPr fontId="11"/>
  </si>
  <si>
    <t>1PremiumN4</t>
    <phoneticPr fontId="11"/>
  </si>
  <si>
    <t>1PremiumS4</t>
    <phoneticPr fontId="11"/>
  </si>
  <si>
    <t>1PremiumSS4</t>
    <phoneticPr fontId="11"/>
  </si>
  <si>
    <t>1PremiumN5</t>
    <phoneticPr fontId="11"/>
  </si>
  <si>
    <t>1PremiumS5</t>
    <phoneticPr fontId="11"/>
  </si>
  <si>
    <t>1PremiumSS5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</si>
  <si>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</si>
  <si>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</si>
  <si>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</si>
  <si>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</si>
  <si>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</si>
  <si>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</si>
  <si>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</si>
  <si>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</si>
  <si>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</si>
  <si>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</si>
  <si>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</si>
  <si>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</si>
  <si>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</si>
  <si>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</si>
  <si>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</si>
  <si>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</si>
  <si>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</si>
  <si>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</si>
  <si>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</si>
  <si>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</si>
  <si>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</si>
  <si>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</si>
  <si>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</si>
  <si>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</si>
  <si>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</si>
  <si>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 xml:space="preserve"> 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</si>
  <si>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</si>
  <si>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</si>
  <si>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</si>
  <si>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0PremiumSSS4</t>
    <phoneticPr fontId="11"/>
  </si>
  <si>
    <t>0PremiumSSS5</t>
    <phoneticPr fontId="11"/>
  </si>
  <si>
    <t>1PremiumSSS4</t>
    <phoneticPr fontId="11"/>
  </si>
  <si>
    <t>1PremiumSSS5</t>
    <phoneticPr fontId="11"/>
  </si>
  <si>
    <t>出力flg</t>
    <rPh sb="0" eb="2">
      <t>シュツリョク</t>
    </rPh>
    <phoneticPr fontId="45"/>
  </si>
  <si>
    <t>old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</si>
</sst>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37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</cellStyleXfs>
  <cellXfs count="6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44" fillId="22" borderId="1" xfId="0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6" fillId="0" borderId="12" xfId="2" applyFont="1" applyBorder="1" applyAlignment="1">
      <alignment vertical="center"/>
    </xf>
    <xf numFmtId="0" fontId="16" fillId="4" borderId="18" xfId="2" applyFont="1" applyFill="1" applyBorder="1" applyAlignment="1">
      <alignment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0" fillId="4" borderId="12" xfId="0" applyFill="1" applyBorder="1"/>
    <xf numFmtId="0" fontId="21" fillId="5" borderId="13" xfId="2" applyFont="1" applyFill="1" applyBorder="1" applyAlignment="1">
      <alignment vertical="center"/>
    </xf>
    <xf numFmtId="0" fontId="16" fillId="0" borderId="14" xfId="2" applyFont="1" applyBorder="1" applyAlignment="1">
      <alignment vertical="center"/>
    </xf>
    <xf numFmtId="0" fontId="16" fillId="25" borderId="1" xfId="2" applyFont="1" applyFill="1" applyBorder="1" applyAlignment="1">
      <alignment vertical="center"/>
    </xf>
    <xf numFmtId="0" fontId="15" fillId="25" borderId="1" xfId="0" applyFont="1" applyFill="1" applyBorder="1" applyAlignment="1">
      <alignment horizontal="right" vertical="center"/>
    </xf>
    <xf numFmtId="0" fontId="16" fillId="25" borderId="14" xfId="2" applyFont="1" applyFill="1" applyBorder="1" applyAlignment="1">
      <alignment vertical="center"/>
    </xf>
    <xf numFmtId="0" fontId="15" fillId="25" borderId="14" xfId="0" applyFont="1" applyFill="1" applyBorder="1" applyAlignment="1">
      <alignment horizontal="right" vertical="center"/>
    </xf>
    <xf numFmtId="0" fontId="0" fillId="25" borderId="1" xfId="0" applyFill="1" applyBorder="1"/>
    <xf numFmtId="0" fontId="0" fillId="25" borderId="14" xfId="0" applyFill="1" applyBorder="1"/>
    <xf numFmtId="0" fontId="16" fillId="25" borderId="18" xfId="2" applyFont="1" applyFill="1" applyBorder="1" applyAlignment="1">
      <alignment vertical="center"/>
    </xf>
    <xf numFmtId="0" fontId="15" fillId="25" borderId="16" xfId="0" applyFont="1" applyFill="1" applyBorder="1" applyAlignment="1">
      <alignment horizontal="right" vertical="center"/>
    </xf>
    <xf numFmtId="0" fontId="16" fillId="25" borderId="16" xfId="2" applyFont="1" applyFill="1" applyBorder="1" applyAlignment="1">
      <alignment vertical="center"/>
    </xf>
    <xf numFmtId="0" fontId="18" fillId="24" borderId="1" xfId="0" applyFont="1" applyFill="1" applyBorder="1"/>
    <xf numFmtId="0" fontId="2" fillId="0" borderId="1" xfId="3036" applyFont="1" applyBorder="1"/>
  </cellXfs>
  <cellStyles count="303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乙姫（亀）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yellow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yellow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god</v>
          </cell>
        </row>
        <row r="428">
          <cell r="A428">
            <v>427</v>
          </cell>
          <cell r="B428" t="str">
            <v>ja</v>
          </cell>
          <cell r="C428" t="str">
            <v>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god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god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god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god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god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5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ドロシー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5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ドロシー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かかし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5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かかし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5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かかし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5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ブリキ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5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ブリキ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5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yellow</v>
          </cell>
          <cell r="I445">
            <v>5</v>
          </cell>
          <cell r="J445" t="str">
            <v>PremiumS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yellow</v>
          </cell>
          <cell r="I446">
            <v>5</v>
          </cell>
          <cell r="J446" t="str">
            <v>PremiumS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yellow</v>
          </cell>
          <cell r="I447">
            <v>5</v>
          </cell>
          <cell r="J447" t="str">
            <v>PremiumS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yellow</v>
          </cell>
          <cell r="I448">
            <v>5</v>
          </cell>
          <cell r="J448" t="str">
            <v>PremiumS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yellow</v>
          </cell>
          <cell r="I449">
            <v>5</v>
          </cell>
          <cell r="J449" t="str">
            <v>PremiumS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yellow</v>
          </cell>
          <cell r="I450">
            <v>5</v>
          </cell>
          <cell r="J450" t="str">
            <v>PremiumS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5</v>
          </cell>
          <cell r="J451" t="str">
            <v>PremiumS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PremiumS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シュレディンガー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yellow</v>
          </cell>
          <cell r="I453">
            <v>5</v>
          </cell>
          <cell r="J453" t="str">
            <v>PremiumS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シュレディンガー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yellow</v>
          </cell>
          <cell r="I454">
            <v>5</v>
          </cell>
          <cell r="J454" t="str">
            <v>PremiumS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メビウス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yellow</v>
          </cell>
          <cell r="I455">
            <v>5</v>
          </cell>
          <cell r="J455" t="str">
            <v>PremiumS</v>
          </cell>
          <cell r="K455" t="str">
            <v>balance</v>
          </cell>
          <cell r="L455" t="str">
            <v>バランスタイプ</v>
          </cell>
          <cell r="M455" t="str">
            <v>animal</v>
          </cell>
        </row>
        <row r="456">
          <cell r="A456">
            <v>455</v>
          </cell>
          <cell r="B456" t="str">
            <v>ja</v>
          </cell>
          <cell r="C456" t="str">
            <v>メビウス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yellow</v>
          </cell>
          <cell r="I456">
            <v>5</v>
          </cell>
          <cell r="J456" t="str">
            <v>PremiumS</v>
          </cell>
          <cell r="K456" t="str">
            <v>balance</v>
          </cell>
          <cell r="L456" t="str">
            <v>バランスタイプ</v>
          </cell>
          <cell r="M456" t="str">
            <v>animal</v>
          </cell>
        </row>
        <row r="457">
          <cell r="A457">
            <v>456</v>
          </cell>
          <cell r="B457" t="str">
            <v>ja</v>
          </cell>
          <cell r="C457" t="str">
            <v>マクスウェル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yellow</v>
          </cell>
          <cell r="I457">
            <v>5</v>
          </cell>
          <cell r="J457" t="str">
            <v>PremiumS</v>
          </cell>
          <cell r="K457" t="str">
            <v>balance</v>
          </cell>
          <cell r="L457" t="str">
            <v>バランスタイプ</v>
          </cell>
          <cell r="M457" t="str">
            <v>animal</v>
          </cell>
        </row>
        <row r="458">
          <cell r="A458">
            <v>457</v>
          </cell>
          <cell r="B458" t="str">
            <v>ja</v>
          </cell>
          <cell r="C458" t="str">
            <v>マクスウェル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yellow</v>
          </cell>
          <cell r="I458">
            <v>5</v>
          </cell>
          <cell r="J458" t="str">
            <v>PremiumS</v>
          </cell>
          <cell r="K458" t="str">
            <v>balance</v>
          </cell>
          <cell r="L458" t="str">
            <v>バランスタイプ</v>
          </cell>
          <cell r="M458" t="str">
            <v>animal</v>
          </cell>
        </row>
        <row r="459">
          <cell r="A459">
            <v>458</v>
          </cell>
          <cell r="B459" t="str">
            <v>ja</v>
          </cell>
          <cell r="C459" t="str">
            <v>ゼノン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PremiumS</v>
          </cell>
          <cell r="K459" t="str">
            <v>balance</v>
          </cell>
          <cell r="L459" t="str">
            <v>バランスタイプ</v>
          </cell>
          <cell r="M459" t="str">
            <v>animal</v>
          </cell>
        </row>
        <row r="460">
          <cell r="A460">
            <v>459</v>
          </cell>
          <cell r="B460" t="str">
            <v>ja</v>
          </cell>
          <cell r="C460" t="str">
            <v>ゼノン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PremiumS</v>
          </cell>
          <cell r="K460" t="str">
            <v>balance</v>
          </cell>
          <cell r="L460" t="str">
            <v>バランスタイプ</v>
          </cell>
          <cell r="M460" t="str">
            <v>animal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yellow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yellow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yellow</v>
          </cell>
          <cell r="I463">
            <v>3</v>
          </cell>
          <cell r="J463" t="str">
            <v>PremiumS</v>
          </cell>
          <cell r="K463" t="str">
            <v>balance</v>
          </cell>
          <cell r="L463" t="str">
            <v>バランスタイプ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yellow</v>
          </cell>
          <cell r="I464">
            <v>4</v>
          </cell>
          <cell r="J464" t="str">
            <v>PremiumS</v>
          </cell>
          <cell r="K464" t="str">
            <v>balance</v>
          </cell>
          <cell r="L464" t="str">
            <v>バランスタイプ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yellow</v>
          </cell>
          <cell r="I465">
            <v>5</v>
          </cell>
          <cell r="J465" t="str">
            <v>PremiumS</v>
          </cell>
          <cell r="K465" t="str">
            <v>balance</v>
          </cell>
          <cell r="L465" t="str">
            <v>バランスタイプ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yellow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yellow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yellow</v>
          </cell>
          <cell r="I468">
            <v>4</v>
          </cell>
          <cell r="J468" t="str">
            <v>PremiumSS</v>
          </cell>
          <cell r="K468" t="str">
            <v>attack</v>
          </cell>
          <cell r="L468" t="str">
            <v>攻撃タイプ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yellow</v>
          </cell>
          <cell r="I469">
            <v>5</v>
          </cell>
          <cell r="J469" t="str">
            <v>PremiumSS</v>
          </cell>
          <cell r="K469" t="str">
            <v>attack</v>
          </cell>
          <cell r="L469" t="str">
            <v>攻撃タイプ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balance</v>
          </cell>
          <cell r="L470" t="str">
            <v>バランスタイプ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balance</v>
          </cell>
          <cell r="L471" t="str">
            <v>バランスタイプ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balance</v>
          </cell>
          <cell r="L472" t="str">
            <v>バランスタイプ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yellow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yellow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邪を狩りし者 シャルロッテ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yellow</v>
          </cell>
          <cell r="I475">
            <v>5</v>
          </cell>
          <cell r="J475" t="str">
            <v>PremiumS</v>
          </cell>
          <cell r="K475" t="str">
            <v>balance</v>
          </cell>
          <cell r="L475" t="str">
            <v>バランスタイプ</v>
          </cell>
          <cell r="M475" t="str">
            <v>god</v>
          </cell>
        </row>
        <row r="476">
          <cell r="A476">
            <v>475</v>
          </cell>
          <cell r="B476" t="str">
            <v>ja</v>
          </cell>
          <cell r="C476" t="str">
            <v>咆哮の先導者 クリエ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yellow</v>
          </cell>
          <cell r="I476">
            <v>5</v>
          </cell>
          <cell r="J476" t="str">
            <v>PremiumS</v>
          </cell>
          <cell r="K476" t="str">
            <v>balance</v>
          </cell>
          <cell r="L476" t="str">
            <v>バランスタイプ</v>
          </cell>
          <cell r="M476" t="str">
            <v>god</v>
          </cell>
        </row>
        <row r="477">
          <cell r="A477">
            <v>476</v>
          </cell>
          <cell r="B477" t="str">
            <v>ja</v>
          </cell>
          <cell r="C477" t="str">
            <v>冷酷な狂嬢 クララ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yellow</v>
          </cell>
          <cell r="I477">
            <v>5</v>
          </cell>
          <cell r="J477" t="str">
            <v>PremiumS</v>
          </cell>
          <cell r="K477" t="str">
            <v>balance</v>
          </cell>
          <cell r="L477" t="str">
            <v>バランスタイプ</v>
          </cell>
          <cell r="M477" t="str">
            <v>god</v>
          </cell>
        </row>
        <row r="478">
          <cell r="A478">
            <v>477</v>
          </cell>
          <cell r="B478" t="str">
            <v>ja</v>
          </cell>
          <cell r="C478" t="str">
            <v>イブとたったひとりのトモダチ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yellow</v>
          </cell>
          <cell r="I478">
            <v>5</v>
          </cell>
          <cell r="J478" t="str">
            <v>PremiumS</v>
          </cell>
          <cell r="K478" t="str">
            <v>balance</v>
          </cell>
          <cell r="L478" t="str">
            <v>バランスタイプ</v>
          </cell>
          <cell r="M478" t="str">
            <v>god</v>
          </cell>
        </row>
        <row r="479">
          <cell r="A479">
            <v>478</v>
          </cell>
          <cell r="B479" t="str">
            <v>ja</v>
          </cell>
          <cell r="C479" t="str">
            <v>哄笑の禁縛 リサ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yellow</v>
          </cell>
          <cell r="I479">
            <v>5</v>
          </cell>
          <cell r="J479" t="str">
            <v>PremiumS</v>
          </cell>
          <cell r="K479" t="str">
            <v>balance</v>
          </cell>
          <cell r="L479" t="str">
            <v>バランスタイプ</v>
          </cell>
          <cell r="M479" t="str">
            <v>god</v>
          </cell>
        </row>
        <row r="480">
          <cell r="A480">
            <v>479</v>
          </cell>
          <cell r="B480" t="str">
            <v>ja</v>
          </cell>
          <cell r="C480" t="str">
            <v>螺旋の雷電 チエミ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</v>
          </cell>
          <cell r="K480" t="str">
            <v>balance</v>
          </cell>
          <cell r="L480" t="str">
            <v>バランスタイプ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狂気の炎風 ミサコ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yellow</v>
          </cell>
          <cell r="I481">
            <v>5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宿痾の葬送 チカ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god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9" sqref="F19"/>
    </sheetView>
  </sheetViews>
  <sheetFormatPr baseColWidth="12" defaultRowHeight="18" x14ac:dyDescent="0"/>
  <cols>
    <col min="1" max="1" width="12.7109375" style="41"/>
    <col min="2" max="2" width="14.85546875" style="41" bestFit="1" customWidth="1"/>
    <col min="3" max="4" width="12.7109375" style="41"/>
    <col min="5" max="5" width="17.7109375" style="41" bestFit="1" customWidth="1"/>
    <col min="6" max="6" width="22.140625" style="41" bestFit="1" customWidth="1"/>
    <col min="7" max="16384" width="12.7109375" style="41"/>
  </cols>
  <sheetData>
    <row r="1" spans="1:15">
      <c r="A1" s="63" t="s">
        <v>93</v>
      </c>
      <c r="B1" s="39" t="s">
        <v>72</v>
      </c>
      <c r="C1" s="39" t="s">
        <v>73</v>
      </c>
      <c r="D1" s="39" t="s">
        <v>74</v>
      </c>
      <c r="E1" s="39" t="s">
        <v>75</v>
      </c>
      <c r="F1" s="39" t="s">
        <v>76</v>
      </c>
      <c r="G1" s="39" t="s">
        <v>77</v>
      </c>
      <c r="H1" s="39"/>
      <c r="I1" s="39"/>
      <c r="J1" s="39"/>
      <c r="K1" s="39"/>
      <c r="L1" s="40"/>
      <c r="M1" s="40"/>
      <c r="N1" s="40"/>
      <c r="O1" s="40"/>
    </row>
    <row r="2" spans="1:15">
      <c r="A2" s="64" t="s">
        <v>94</v>
      </c>
      <c r="B2" s="42" t="s">
        <v>86</v>
      </c>
      <c r="C2" s="42" t="str">
        <f ca="1">MID(
  CELL("filename",B1),
  FIND("New_",CELL("filename",B1))+4,
  FIND(".xlsm",CELL("filename",B1))-FIND("New_",CELL("filename",B1))-4
)</f>
        <v>144</v>
      </c>
      <c r="D2" s="42" t="s">
        <v>78</v>
      </c>
      <c r="E2" s="40" t="str">
        <f ca="1">B2&amp;C2&amp;D2</f>
        <v>gacha_select_tables_144.tmp</v>
      </c>
      <c r="F2" s="42" t="s">
        <v>80</v>
      </c>
      <c r="G2" s="44" t="s">
        <v>21</v>
      </c>
      <c r="H2" s="45" t="s">
        <v>0</v>
      </c>
      <c r="I2" s="45" t="s">
        <v>11</v>
      </c>
      <c r="J2" s="45" t="s">
        <v>12</v>
      </c>
      <c r="K2" s="45" t="s">
        <v>13</v>
      </c>
      <c r="L2" s="45" t="s">
        <v>14</v>
      </c>
      <c r="M2" s="45" t="s">
        <v>15</v>
      </c>
      <c r="N2" s="45" t="s">
        <v>16</v>
      </c>
      <c r="O2" s="45" t="s">
        <v>17</v>
      </c>
    </row>
    <row r="3" spans="1:15">
      <c r="A3" s="64" t="s">
        <v>94</v>
      </c>
      <c r="B3" s="50" t="s">
        <v>87</v>
      </c>
      <c r="C3" s="42" t="str">
        <f ca="1">MID(
  CELL("filename",B2),
  FIND("New_",CELL("filename",B2))+4,
  FIND(".xlsm",CELL("filename",B2))-FIND("New_",CELL("filename",B2))-4
)</f>
        <v>144</v>
      </c>
      <c r="D3" s="42" t="s">
        <v>79</v>
      </c>
      <c r="E3" s="40" t="str">
        <f ca="1">B3&amp;C3&amp;D3</f>
        <v>gacha_settle_tables_144.tmp</v>
      </c>
      <c r="F3" s="42" t="s">
        <v>81</v>
      </c>
      <c r="G3" s="44" t="s">
        <v>21</v>
      </c>
      <c r="H3" s="45" t="s">
        <v>0</v>
      </c>
      <c r="I3" s="45" t="s">
        <v>11</v>
      </c>
      <c r="J3" s="45" t="s">
        <v>12</v>
      </c>
      <c r="K3" s="45" t="s">
        <v>13</v>
      </c>
      <c r="L3" s="45" t="s">
        <v>14</v>
      </c>
      <c r="M3" s="45" t="s">
        <v>15</v>
      </c>
      <c r="N3" s="45" t="s">
        <v>16</v>
      </c>
      <c r="O3" s="45" t="s">
        <v>17</v>
      </c>
    </row>
    <row r="4" spans="1:15">
      <c r="A4" s="64" t="s">
        <v>94</v>
      </c>
      <c r="B4" s="50" t="s">
        <v>88</v>
      </c>
      <c r="C4" s="42" t="str">
        <f ca="1">MID(
  CELL("filename",B3),
  FIND("New_",CELL("filename",B3))+4,
  FIND(".xlsm",CELL("filename",B3))-FIND("New_",CELL("filename",B3))-4
)</f>
        <v>144</v>
      </c>
      <c r="D4" s="42" t="s">
        <v>79</v>
      </c>
      <c r="E4" s="40" t="str">
        <f ca="1">B4&amp;C4&amp;D4</f>
        <v>gacha_bonus_tables_144.tmp</v>
      </c>
      <c r="F4" s="42" t="s">
        <v>82</v>
      </c>
      <c r="G4" s="44" t="s">
        <v>23</v>
      </c>
      <c r="H4" s="46" t="s">
        <v>26</v>
      </c>
      <c r="I4" s="44" t="s">
        <v>24</v>
      </c>
      <c r="J4" s="43"/>
      <c r="K4" s="43"/>
      <c r="L4" s="43"/>
      <c r="M4" s="43"/>
      <c r="N4" s="43"/>
      <c r="O4" s="43"/>
    </row>
    <row r="5" spans="1:15">
      <c r="A5" s="64" t="s">
        <v>94</v>
      </c>
      <c r="B5" s="42" t="s">
        <v>83</v>
      </c>
      <c r="C5" s="42" t="str">
        <f ca="1">MID(
  CELL("filename",B4),
  FIND("New_",CELL("filename",B4))+4,
  FIND(".xlsm",CELL("filename",B4))-FIND("New_",CELL("filename",B4))-4
)</f>
        <v>144</v>
      </c>
      <c r="D5" s="42" t="s">
        <v>79</v>
      </c>
      <c r="E5" s="40" t="str">
        <f ca="1">B5&amp;C5&amp;D5</f>
        <v>gifts_tmp_144.tmp</v>
      </c>
      <c r="F5" s="42" t="s">
        <v>82</v>
      </c>
      <c r="G5" s="46" t="s">
        <v>34</v>
      </c>
      <c r="H5" s="47" t="s">
        <v>42</v>
      </c>
      <c r="I5" s="46" t="s">
        <v>35</v>
      </c>
      <c r="J5" s="46" t="s">
        <v>36</v>
      </c>
      <c r="K5" s="46" t="s">
        <v>36</v>
      </c>
      <c r="L5" s="46" t="s">
        <v>37</v>
      </c>
      <c r="M5" s="46" t="s">
        <v>37</v>
      </c>
      <c r="N5" s="46" t="s">
        <v>37</v>
      </c>
      <c r="O5" s="42"/>
    </row>
    <row r="6" spans="1:15">
      <c r="A6" s="64" t="s">
        <v>94</v>
      </c>
      <c r="B6" s="42" t="s">
        <v>84</v>
      </c>
      <c r="C6" s="42" t="str">
        <f ca="1">MID(
  CELL("filename",B5),
  FIND("New_",CELL("filename",B5))+4,
  FIND(".xlsm",CELL("filename",B5))-FIND("New_",CELL("filename",B5))-4
)</f>
        <v>144</v>
      </c>
      <c r="D6" s="42" t="s">
        <v>79</v>
      </c>
      <c r="E6" s="40" t="str">
        <f ca="1">B6&amp;C6&amp;D6</f>
        <v>gifts_i18n_144.tmp</v>
      </c>
      <c r="F6" s="42" t="s">
        <v>82</v>
      </c>
      <c r="G6" s="46" t="s">
        <v>25</v>
      </c>
      <c r="H6" s="48" t="s">
        <v>38</v>
      </c>
      <c r="I6" s="48" t="s">
        <v>39</v>
      </c>
      <c r="J6" s="48" t="s">
        <v>40</v>
      </c>
      <c r="K6" s="48" t="s">
        <v>41</v>
      </c>
      <c r="L6" s="49" t="s">
        <v>85</v>
      </c>
      <c r="M6" s="46"/>
      <c r="N6" s="46"/>
      <c r="O6" s="42"/>
    </row>
  </sheetData>
  <phoneticPr fontId="1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B22"/>
  <sheetViews>
    <sheetView tabSelected="1" workbookViewId="0">
      <selection activeCell="C24" sqref="C24"/>
    </sheetView>
  </sheetViews>
  <sheetFormatPr baseColWidth="12" defaultRowHeight="14" x14ac:dyDescent="0"/>
  <cols>
    <col min="1" max="1" width="15.140625" customWidth="1"/>
  </cols>
  <sheetData>
    <row r="1" spans="1:2">
      <c r="A1" t="s">
        <v>18</v>
      </c>
      <c r="B1" t="s">
        <v>12</v>
      </c>
    </row>
    <row r="2" spans="1:2">
      <c r="A2" s="27" t="s">
        <v>43</v>
      </c>
      <c r="B2">
        <v>1577</v>
      </c>
    </row>
    <row r="3" spans="1:2">
      <c r="A3" s="27" t="s">
        <v>44</v>
      </c>
      <c r="B3">
        <v>1560</v>
      </c>
    </row>
    <row r="4" spans="1:2">
      <c r="A4" s="27" t="s">
        <v>45</v>
      </c>
      <c r="B4">
        <v>436</v>
      </c>
    </row>
    <row r="5" spans="1:2">
      <c r="A5" s="27" t="s">
        <v>46</v>
      </c>
      <c r="B5">
        <v>1660</v>
      </c>
    </row>
    <row r="6" spans="1:2">
      <c r="A6" s="27" t="s">
        <v>47</v>
      </c>
      <c r="B6">
        <v>1855</v>
      </c>
    </row>
    <row r="7" spans="1:2">
      <c r="A7" s="27" t="s">
        <v>48</v>
      </c>
      <c r="B7">
        <v>519</v>
      </c>
    </row>
    <row r="8" spans="1:2">
      <c r="A8" s="27" t="s">
        <v>49</v>
      </c>
      <c r="B8">
        <v>467</v>
      </c>
    </row>
    <row r="9" spans="1:2">
      <c r="A9" s="27" t="s">
        <v>89</v>
      </c>
      <c r="B9">
        <v>664</v>
      </c>
    </row>
    <row r="10" spans="1:2">
      <c r="A10" s="27" t="s">
        <v>50</v>
      </c>
      <c r="B10">
        <v>569</v>
      </c>
    </row>
    <row r="11" spans="1:2">
      <c r="A11" s="27" t="s">
        <v>51</v>
      </c>
      <c r="B11">
        <v>83</v>
      </c>
    </row>
    <row r="12" spans="1:2">
      <c r="A12" s="27" t="s">
        <v>52</v>
      </c>
      <c r="B12">
        <v>52</v>
      </c>
    </row>
    <row r="13" spans="1:2">
      <c r="A13" s="27" t="s">
        <v>90</v>
      </c>
      <c r="B13">
        <v>166</v>
      </c>
    </row>
    <row r="14" spans="1:2">
      <c r="A14" s="11" t="s">
        <v>53</v>
      </c>
      <c r="B14">
        <v>2145</v>
      </c>
    </row>
    <row r="15" spans="1:2">
      <c r="A15" s="11" t="s">
        <v>54</v>
      </c>
      <c r="B15">
        <v>2257</v>
      </c>
    </row>
    <row r="16" spans="1:2">
      <c r="A16" s="11" t="s">
        <v>55</v>
      </c>
      <c r="B16">
        <v>633</v>
      </c>
    </row>
    <row r="17" spans="1:2">
      <c r="A17" s="11" t="s">
        <v>56</v>
      </c>
      <c r="B17">
        <v>316</v>
      </c>
    </row>
    <row r="18" spans="1:2">
      <c r="A18" s="11" t="s">
        <v>91</v>
      </c>
      <c r="B18">
        <v>506</v>
      </c>
    </row>
    <row r="19" spans="1:2">
      <c r="A19" s="11" t="s">
        <v>57</v>
      </c>
      <c r="B19">
        <v>383</v>
      </c>
    </row>
    <row r="20" spans="1:2">
      <c r="A20" s="11" t="s">
        <v>58</v>
      </c>
      <c r="B20">
        <v>55</v>
      </c>
    </row>
    <row r="21" spans="1:2">
      <c r="A21" s="11" t="s">
        <v>59</v>
      </c>
      <c r="B21">
        <v>28</v>
      </c>
    </row>
    <row r="22" spans="1:2">
      <c r="A22" s="11" t="s">
        <v>92</v>
      </c>
      <c r="B22">
        <v>44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77"/>
  <sheetViews>
    <sheetView showGridLines="0" zoomScale="75" zoomScaleNormal="75" zoomScalePageLayoutView="75" workbookViewId="0">
      <pane ySplit="1" topLeftCell="A97" activePane="bottomLeft" state="frozen"/>
      <selection activeCell="M24" sqref="M24"/>
      <selection pane="bottomLeft" activeCell="H108" sqref="H108"/>
    </sheetView>
  </sheetViews>
  <sheetFormatPr baseColWidth="12" defaultRowHeight="21" customHeight="1" outlineLevelCol="1" x14ac:dyDescent="0"/>
  <cols>
    <col min="1" max="1" width="9.7109375" style="7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4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7" t="s">
        <v>10</v>
      </c>
      <c r="B1" s="29" t="s">
        <v>20</v>
      </c>
      <c r="C1" s="3" t="s">
        <v>60</v>
      </c>
      <c r="D1" s="3" t="s">
        <v>61</v>
      </c>
      <c r="E1" s="36" t="s">
        <v>62</v>
      </c>
      <c r="F1" s="36" t="s">
        <v>63</v>
      </c>
      <c r="G1" s="3" t="s">
        <v>64</v>
      </c>
      <c r="H1" s="3" t="s">
        <v>65</v>
      </c>
      <c r="I1" s="3" t="s">
        <v>66</v>
      </c>
      <c r="J1" s="3" t="s">
        <v>67</v>
      </c>
      <c r="K1" s="3" t="s">
        <v>68</v>
      </c>
      <c r="L1" s="3" t="s">
        <v>69</v>
      </c>
      <c r="M1" s="36" t="s">
        <v>70</v>
      </c>
      <c r="N1" s="36" t="s">
        <v>71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144127</v>
      </c>
      <c r="B2" s="37">
        <v>144</v>
      </c>
      <c r="C2" s="12" t="str">
        <f>E2&amp;H2&amp;I2</f>
        <v>1PremiumW4</v>
      </c>
      <c r="D2" s="8" t="str">
        <f t="shared" ref="D2:D32" si="0">E2&amp;H2&amp;I2</f>
        <v>1PremiumW4</v>
      </c>
      <c r="E2" s="13">
        <v>1</v>
      </c>
      <c r="F2" s="18">
        <v>127</v>
      </c>
      <c r="G2" s="12" t="str">
        <f>VLOOKUP(F2,[1]characters!$A:$C,3,FALSE)</f>
        <v>狂喜の賢者 ユノ</v>
      </c>
      <c r="H2" s="12" t="str">
        <f>VLOOKUP(F2,[1]characters!$A:$J,10,FALSE)</f>
        <v>PremiumW</v>
      </c>
      <c r="I2" s="12">
        <f>VLOOKUP(F2,[1]characters!$A:$I,9,FALSE)</f>
        <v>4</v>
      </c>
      <c r="J2" s="12" t="str">
        <f>VLOOKUP(F2,[1]characters!$A:$H,8,FALSE)</f>
        <v>red</v>
      </c>
      <c r="K2" s="12" t="str">
        <f>VLOOKUP(F2,[1]characters!$A:$K,11,FALSE)</f>
        <v>attack</v>
      </c>
      <c r="L2" s="12" t="str">
        <f>VLOOKUP(F2,[1]characters!$A:$M,13,FALSE)</f>
        <v>human</v>
      </c>
      <c r="M2" s="13">
        <v>1</v>
      </c>
      <c r="N2" s="51">
        <f>VLOOKUP(D2,gacha_144_base!A:B,2,FALSE)</f>
        <v>2145</v>
      </c>
      <c r="O2" s="10">
        <v>0</v>
      </c>
      <c r="P2" s="19">
        <v>0</v>
      </c>
      <c r="Q2" s="10">
        <v>0</v>
      </c>
      <c r="R2" s="10">
        <v>0</v>
      </c>
      <c r="S2" s="10">
        <v>1</v>
      </c>
    </row>
    <row r="3" spans="1:19" ht="21" customHeight="1">
      <c r="A3" s="7" t="str">
        <f t="shared" ref="A3:A66" si="1">B3&amp;F3</f>
        <v>144129</v>
      </c>
      <c r="B3" s="2">
        <f>$B$2</f>
        <v>144</v>
      </c>
      <c r="C3" s="8" t="str">
        <f t="shared" ref="C3:C19" si="2">E3&amp;H3&amp;I3</f>
        <v>1PremiumW4</v>
      </c>
      <c r="D3" s="8" t="str">
        <f t="shared" si="0"/>
        <v>1PremiumW4</v>
      </c>
      <c r="E3" s="5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VLOOKUP(D3,gacha_144_base!A:B,2,FALSE)</f>
        <v>2145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1"/>
        <v>144131</v>
      </c>
      <c r="B4" s="2">
        <f t="shared" ref="B4:B67" si="3">$B$2</f>
        <v>144</v>
      </c>
      <c r="C4" s="8" t="str">
        <f t="shared" si="2"/>
        <v>1PremiumW4</v>
      </c>
      <c r="D4" s="8" t="str">
        <f t="shared" si="0"/>
        <v>1PremiumW4</v>
      </c>
      <c r="E4" s="5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VLOOKUP(D4,gacha_144_base!A:B,2,FALSE)</f>
        <v>2145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1"/>
        <v>144133</v>
      </c>
      <c r="B5" s="2">
        <f t="shared" si="3"/>
        <v>144</v>
      </c>
      <c r="C5" s="8" t="str">
        <f t="shared" si="2"/>
        <v>1PremiumW4</v>
      </c>
      <c r="D5" s="8" t="str">
        <f t="shared" si="0"/>
        <v>1PremiumW4</v>
      </c>
      <c r="E5" s="5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VLOOKUP(D5,gacha_144_base!A:B,2,FALSE)</f>
        <v>2145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1"/>
        <v>144135</v>
      </c>
      <c r="B6" s="2">
        <f t="shared" si="3"/>
        <v>144</v>
      </c>
      <c r="C6" s="8" t="str">
        <f t="shared" si="2"/>
        <v>1PremiumW4</v>
      </c>
      <c r="D6" s="8" t="str">
        <f t="shared" si="0"/>
        <v>1PremiumW4</v>
      </c>
      <c r="E6" s="5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VLOOKUP(D6,gacha_144_base!A:B,2,FALSE)</f>
        <v>2145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1"/>
        <v>144137</v>
      </c>
      <c r="B7" s="2">
        <f t="shared" si="3"/>
        <v>144</v>
      </c>
      <c r="C7" s="8" t="str">
        <f t="shared" si="2"/>
        <v>1PremiumW4</v>
      </c>
      <c r="D7" s="8" t="str">
        <f t="shared" si="0"/>
        <v>1PremiumW4</v>
      </c>
      <c r="E7" s="5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VLOOKUP(D7,gacha_144_base!A:B,2,FALSE)</f>
        <v>2145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1"/>
        <v>144139</v>
      </c>
      <c r="B8" s="2">
        <f t="shared" si="3"/>
        <v>144</v>
      </c>
      <c r="C8" s="8" t="str">
        <f t="shared" si="2"/>
        <v>1PremiumW4</v>
      </c>
      <c r="D8" s="8" t="str">
        <f t="shared" si="0"/>
        <v>1PremiumW4</v>
      </c>
      <c r="E8" s="5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VLOOKUP(D8,gacha_144_base!A:B,2,FALSE)</f>
        <v>2145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1"/>
        <v>144141</v>
      </c>
      <c r="B9" s="2">
        <f t="shared" si="3"/>
        <v>144</v>
      </c>
      <c r="C9" s="8" t="str">
        <f t="shared" si="2"/>
        <v>1PremiumW4</v>
      </c>
      <c r="D9" s="8" t="str">
        <f t="shared" si="0"/>
        <v>1PremiumW4</v>
      </c>
      <c r="E9" s="5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VLOOKUP(D9,gacha_144_base!A:B,2,FALSE)</f>
        <v>2145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1"/>
        <v>144143</v>
      </c>
      <c r="B10" s="2">
        <f t="shared" si="3"/>
        <v>144</v>
      </c>
      <c r="C10" s="8" t="str">
        <f t="shared" si="2"/>
        <v>1PremiumW4</v>
      </c>
      <c r="D10" s="8" t="str">
        <f t="shared" si="0"/>
        <v>1PremiumW4</v>
      </c>
      <c r="E10" s="5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VLOOKUP(D10,gacha_144_base!A:B,2,FALSE)</f>
        <v>2145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1"/>
        <v>144145</v>
      </c>
      <c r="B11" s="2">
        <f t="shared" si="3"/>
        <v>144</v>
      </c>
      <c r="C11" s="8" t="str">
        <f t="shared" si="2"/>
        <v>1PremiumW4</v>
      </c>
      <c r="D11" s="8" t="str">
        <f t="shared" si="0"/>
        <v>1PremiumW4</v>
      </c>
      <c r="E11" s="5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VLOOKUP(D11,gacha_144_base!A:B,2,FALSE)</f>
        <v>2145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1"/>
        <v>144147</v>
      </c>
      <c r="B12" s="2">
        <f t="shared" si="3"/>
        <v>144</v>
      </c>
      <c r="C12" s="8" t="str">
        <f t="shared" si="2"/>
        <v>1PremiumW4</v>
      </c>
      <c r="D12" s="8" t="str">
        <f t="shared" si="0"/>
        <v>1PremiumW4</v>
      </c>
      <c r="E12" s="5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VLOOKUP(D12,gacha_144_base!A:B,2,FALSE)</f>
        <v>2145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1"/>
        <v>144149</v>
      </c>
      <c r="B13" s="2">
        <f t="shared" si="3"/>
        <v>144</v>
      </c>
      <c r="C13" s="8" t="str">
        <f t="shared" si="2"/>
        <v>1PremiumW4</v>
      </c>
      <c r="D13" s="8" t="str">
        <f t="shared" si="0"/>
        <v>1PremiumW4</v>
      </c>
      <c r="E13" s="5">
        <v>1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VLOOKUP(D13,gacha_144_base!A:B,2,FALSE)</f>
        <v>2145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1"/>
        <v>144151</v>
      </c>
      <c r="B14" s="2">
        <f t="shared" si="3"/>
        <v>144</v>
      </c>
      <c r="C14" s="8" t="str">
        <f t="shared" si="2"/>
        <v>1PremiumW4</v>
      </c>
      <c r="D14" s="8" t="str">
        <f t="shared" si="0"/>
        <v>1PremiumW4</v>
      </c>
      <c r="E14" s="5">
        <v>1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VLOOKUP(D14,gacha_144_base!A:B,2,FALSE)</f>
        <v>2145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1"/>
        <v>144153</v>
      </c>
      <c r="B15" s="2">
        <f t="shared" si="3"/>
        <v>144</v>
      </c>
      <c r="C15" s="8" t="str">
        <f t="shared" si="2"/>
        <v>1PremiumW4</v>
      </c>
      <c r="D15" s="8" t="str">
        <f t="shared" si="0"/>
        <v>1PremiumW4</v>
      </c>
      <c r="E15" s="5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VLOOKUP(D15,gacha_144_base!A:B,2,FALSE)</f>
        <v>2145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1"/>
        <v>144155</v>
      </c>
      <c r="B16" s="2">
        <f t="shared" si="3"/>
        <v>144</v>
      </c>
      <c r="C16" s="8" t="str">
        <f t="shared" si="2"/>
        <v>1PremiumW4</v>
      </c>
      <c r="D16" s="8" t="str">
        <f t="shared" si="0"/>
        <v>1PremiumW4</v>
      </c>
      <c r="E16" s="5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VLOOKUP(D16,gacha_144_base!A:B,2,FALSE)</f>
        <v>2145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1"/>
        <v>144157</v>
      </c>
      <c r="B17" s="2">
        <f t="shared" si="3"/>
        <v>144</v>
      </c>
      <c r="C17" s="8" t="str">
        <f t="shared" si="2"/>
        <v>1PremiumW4</v>
      </c>
      <c r="D17" s="8" t="str">
        <f t="shared" si="0"/>
        <v>1PremiumW4</v>
      </c>
      <c r="E17" s="5">
        <v>1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VLOOKUP(D17,gacha_144_base!A:B,2,FALSE)</f>
        <v>2145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1"/>
        <v>144159</v>
      </c>
      <c r="B18" s="2">
        <f t="shared" si="3"/>
        <v>144</v>
      </c>
      <c r="C18" s="8" t="str">
        <f t="shared" si="2"/>
        <v>1PremiumW4</v>
      </c>
      <c r="D18" s="8" t="str">
        <f t="shared" si="0"/>
        <v>1PremiumW4</v>
      </c>
      <c r="E18" s="5">
        <v>1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VLOOKUP(D18,gacha_144_base!A:B,2,FALSE)</f>
        <v>2145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ht="21" customHeight="1">
      <c r="A19" s="7" t="str">
        <f t="shared" si="1"/>
        <v>144161</v>
      </c>
      <c r="B19" s="2">
        <f t="shared" si="3"/>
        <v>144</v>
      </c>
      <c r="C19" s="8" t="str">
        <f t="shared" si="2"/>
        <v>1PremiumW4</v>
      </c>
      <c r="D19" s="8" t="str">
        <f t="shared" si="0"/>
        <v>1PremiumW4</v>
      </c>
      <c r="E19" s="5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VLOOKUP(D19,gacha_144_base!A:B,2,FALSE)</f>
        <v>2145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1"/>
        <v>144163</v>
      </c>
      <c r="B20" s="2">
        <f t="shared" si="3"/>
        <v>144</v>
      </c>
      <c r="C20" s="8" t="str">
        <f>E20&amp;H20&amp;I20</f>
        <v>1PremiumW4</v>
      </c>
      <c r="D20" s="8" t="str">
        <f t="shared" si="0"/>
        <v>1PremiumW4</v>
      </c>
      <c r="E20" s="5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VLOOKUP(D20,gacha_144_base!A:B,2,FALSE)</f>
        <v>2145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1"/>
        <v>144165</v>
      </c>
      <c r="B21" s="2">
        <f t="shared" si="3"/>
        <v>144</v>
      </c>
      <c r="C21" s="8" t="str">
        <f t="shared" ref="C21:C65" si="4">E21&amp;H21&amp;I21</f>
        <v>1PremiumW4</v>
      </c>
      <c r="D21" s="8" t="str">
        <f t="shared" si="0"/>
        <v>1PremiumW4</v>
      </c>
      <c r="E21" s="5">
        <v>1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VLOOKUP(D21,gacha_144_base!A:B,2,FALSE)</f>
        <v>2145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1"/>
        <v>144167</v>
      </c>
      <c r="B22" s="2">
        <f t="shared" si="3"/>
        <v>144</v>
      </c>
      <c r="C22" s="8" t="str">
        <f t="shared" si="4"/>
        <v>1PremiumN4</v>
      </c>
      <c r="D22" s="8" t="str">
        <f t="shared" si="0"/>
        <v>1PremiumN4</v>
      </c>
      <c r="E22" s="5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VLOOKUP(D22,gacha_144_base!A:B,2,FALSE)</f>
        <v>2257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1"/>
        <v>144170</v>
      </c>
      <c r="B23" s="2">
        <f t="shared" si="3"/>
        <v>144</v>
      </c>
      <c r="C23" s="8" t="str">
        <f t="shared" si="4"/>
        <v>1PremiumN4</v>
      </c>
      <c r="D23" s="8" t="str">
        <f t="shared" si="0"/>
        <v>1PremiumN4</v>
      </c>
      <c r="E23" s="5">
        <v>1</v>
      </c>
      <c r="F23" s="6">
        <v>170</v>
      </c>
      <c r="G23" s="8" t="str">
        <f>VLOOKUP(F23,[1]characters!$A:$C,3,FALSE)</f>
        <v>識徒 オセ</v>
      </c>
      <c r="H23" s="8" t="str">
        <f>VLOOKUP(F23,[1]characters!$A:$J,10,FALSE)</f>
        <v>PremiumN</v>
      </c>
      <c r="I23" s="8">
        <f>VLOOKUP(F23,[1]characters!$A:$I,9,FALSE)</f>
        <v>4</v>
      </c>
      <c r="J23" s="8" t="str">
        <f>VLOOKUP(F23,[1]characters!$A:$H,8,FALSE)</f>
        <v>green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VLOOKUP(D23,gacha_144_base!A:B,2,FALSE)</f>
        <v>2257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1"/>
        <v>144173</v>
      </c>
      <c r="B24" s="2">
        <f t="shared" si="3"/>
        <v>144</v>
      </c>
      <c r="C24" s="8" t="str">
        <f t="shared" si="4"/>
        <v>1PremiumN4</v>
      </c>
      <c r="D24" s="8" t="str">
        <f t="shared" si="0"/>
        <v>1PremiumN4</v>
      </c>
      <c r="E24" s="5">
        <v>1</v>
      </c>
      <c r="F24" s="6">
        <v>173</v>
      </c>
      <c r="G24" s="8" t="str">
        <f>VLOOKUP(F24,[1]characters!$A:$C,3,FALSE)</f>
        <v>公爵 フォルネウス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blue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VLOOKUP(D24,gacha_144_base!A:B,2,FALSE)</f>
        <v>2257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1"/>
        <v>144176</v>
      </c>
      <c r="B25" s="2">
        <f t="shared" si="3"/>
        <v>144</v>
      </c>
      <c r="C25" s="8" t="str">
        <f t="shared" si="4"/>
        <v>1PremiumN4</v>
      </c>
      <c r="D25" s="8" t="str">
        <f t="shared" si="0"/>
        <v>1PremiumN4</v>
      </c>
      <c r="E25" s="5">
        <v>1</v>
      </c>
      <c r="F25" s="6">
        <v>176</v>
      </c>
      <c r="G25" s="8" t="str">
        <f>VLOOKUP(F25,[1]characters!$A:$C,3,FALSE)</f>
        <v>異教徒 バフォメット</v>
      </c>
      <c r="H25" s="8" t="str">
        <f>VLOOKUP(F25,[1]characters!$A:$J,10,FALSE)</f>
        <v>PremiumN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VLOOKUP(D25,gacha_144_base!A:B,2,FALSE)</f>
        <v>2257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1"/>
        <v>144179</v>
      </c>
      <c r="B26" s="2">
        <f t="shared" si="3"/>
        <v>144</v>
      </c>
      <c r="C26" s="8" t="str">
        <f t="shared" si="4"/>
        <v>1PremiumN4</v>
      </c>
      <c r="D26" s="8" t="str">
        <f t="shared" si="0"/>
        <v>1PremiumN4</v>
      </c>
      <c r="E26" s="5">
        <v>1</v>
      </c>
      <c r="F26" s="6">
        <v>179</v>
      </c>
      <c r="G26" s="8" t="str">
        <f>VLOOKUP(F26,[1]characters!$A:$C,3,FALSE)</f>
        <v>番犬 ケルベロス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red</v>
      </c>
      <c r="K26" s="8" t="str">
        <f>VLOOKUP(F26,[1]characters!$A:$K,11,FALSE)</f>
        <v>balance</v>
      </c>
      <c r="L26" s="8" t="str">
        <f>VLOOKUP(F26,[1]characters!$A:$M,13,FALSE)</f>
        <v>animal</v>
      </c>
      <c r="M26" s="5">
        <v>1</v>
      </c>
      <c r="N26" s="28">
        <f>VLOOKUP(D26,gacha_144_base!A:B,2,FALSE)</f>
        <v>2257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1"/>
        <v>144182</v>
      </c>
      <c r="B27" s="2">
        <f t="shared" si="3"/>
        <v>144</v>
      </c>
      <c r="C27" s="8" t="str">
        <f t="shared" si="4"/>
        <v>1PremiumN4</v>
      </c>
      <c r="D27" s="8" t="str">
        <f t="shared" si="0"/>
        <v>1PremiumN4</v>
      </c>
      <c r="E27" s="5">
        <v>1</v>
      </c>
      <c r="F27" s="6">
        <v>182</v>
      </c>
      <c r="G27" s="8" t="str">
        <f>VLOOKUP(F27,[1]characters!$A:$C,3,FALSE)</f>
        <v>放蕩者 ベヒモス</v>
      </c>
      <c r="H27" s="8" t="str">
        <f>VLOOKUP(F27,[1]characters!$A:$J,10,FALSE)</f>
        <v>PremiumN</v>
      </c>
      <c r="I27" s="8">
        <f>VLOOKUP(F27,[1]characters!$A:$I,9,FALSE)</f>
        <v>4</v>
      </c>
      <c r="J27" s="8" t="str">
        <f>VLOOKUP(F27,[1]characters!$A:$H,8,FALSE)</f>
        <v>green</v>
      </c>
      <c r="K27" s="8" t="str">
        <f>VLOOKUP(F27,[1]characters!$A:$K,11,FALSE)</f>
        <v>hp</v>
      </c>
      <c r="L27" s="8" t="str">
        <f>VLOOKUP(F27,[1]characters!$A:$M,13,FALSE)</f>
        <v>animal</v>
      </c>
      <c r="M27" s="5">
        <v>1</v>
      </c>
      <c r="N27" s="28">
        <f>VLOOKUP(D27,gacha_144_base!A:B,2,FALSE)</f>
        <v>2257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1"/>
        <v>144185</v>
      </c>
      <c r="B28" s="2">
        <f t="shared" si="3"/>
        <v>144</v>
      </c>
      <c r="C28" s="8" t="str">
        <f t="shared" si="4"/>
        <v>1PremiumN4</v>
      </c>
      <c r="D28" s="8" t="str">
        <f t="shared" si="0"/>
        <v>1PremiumN4</v>
      </c>
      <c r="E28" s="5">
        <v>1</v>
      </c>
      <c r="F28" s="6">
        <v>185</v>
      </c>
      <c r="G28" s="8" t="str">
        <f>VLOOKUP(F28,[1]characters!$A:$C,3,FALSE)</f>
        <v>海姫 クラーケン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blue</v>
      </c>
      <c r="K28" s="8" t="str">
        <f>VLOOKUP(F28,[1]characters!$A:$K,11,FALSE)</f>
        <v>heal</v>
      </c>
      <c r="L28" s="8" t="str">
        <f>VLOOKUP(F28,[1]characters!$A:$M,13,FALSE)</f>
        <v>animal</v>
      </c>
      <c r="M28" s="5">
        <v>1</v>
      </c>
      <c r="N28" s="28">
        <f>VLOOKUP(D28,gacha_144_base!A:B,2,FALSE)</f>
        <v>2257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1"/>
        <v>144188</v>
      </c>
      <c r="B29" s="2">
        <f t="shared" si="3"/>
        <v>144</v>
      </c>
      <c r="C29" s="8" t="str">
        <f t="shared" si="4"/>
        <v>1PremiumN4</v>
      </c>
      <c r="D29" s="8" t="str">
        <f t="shared" si="0"/>
        <v>1PremiumN4</v>
      </c>
      <c r="E29" s="5">
        <v>1</v>
      </c>
      <c r="F29" s="6">
        <v>188</v>
      </c>
      <c r="G29" s="8" t="str">
        <f>VLOOKUP(F29,[1]characters!$A:$C,3,FALSE)</f>
        <v>猛禽 ホルス</v>
      </c>
      <c r="H29" s="8" t="str">
        <f>VLOOKUP(F29,[1]characters!$A:$J,10,FALSE)</f>
        <v>PremiumN</v>
      </c>
      <c r="I29" s="8">
        <f>VLOOKUP(F29,[1]characters!$A:$I,9,FALSE)</f>
        <v>4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animal</v>
      </c>
      <c r="M29" s="5">
        <v>1</v>
      </c>
      <c r="N29" s="28">
        <f>VLOOKUP(D29,gacha_144_base!A:B,2,FALSE)</f>
        <v>2257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1"/>
        <v>144191</v>
      </c>
      <c r="B30" s="2">
        <f t="shared" si="3"/>
        <v>144</v>
      </c>
      <c r="C30" s="8" t="str">
        <f t="shared" si="4"/>
        <v>1PremiumN4</v>
      </c>
      <c r="D30" s="8" t="str">
        <f t="shared" si="0"/>
        <v>1PremiumN4</v>
      </c>
      <c r="E30" s="5">
        <v>1</v>
      </c>
      <c r="F30" s="6">
        <v>191</v>
      </c>
      <c r="G30" s="8" t="str">
        <f>VLOOKUP(F30,[1]characters!$A:$C,3,FALSE)</f>
        <v>始祖 卑弥呼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human</v>
      </c>
      <c r="M30" s="5">
        <v>1</v>
      </c>
      <c r="N30" s="28">
        <f>VLOOKUP(D30,gacha_144_base!A:B,2,FALSE)</f>
        <v>2257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1"/>
        <v>144194</v>
      </c>
      <c r="B31" s="2">
        <f t="shared" si="3"/>
        <v>144</v>
      </c>
      <c r="C31" s="8" t="str">
        <f t="shared" si="4"/>
        <v>1PremiumN4</v>
      </c>
      <c r="D31" s="8" t="str">
        <f t="shared" si="0"/>
        <v>1PremiumN4</v>
      </c>
      <c r="E31" s="5">
        <v>1</v>
      </c>
      <c r="F31" s="6">
        <v>194</v>
      </c>
      <c r="G31" s="8" t="str">
        <f>VLOOKUP(F31,[1]characters!$A:$C,3,FALSE)</f>
        <v>スナイパー ロビンフッド</v>
      </c>
      <c r="H31" s="8" t="str">
        <f>VLOOKUP(F31,[1]characters!$A:$J,10,FALSE)</f>
        <v>PremiumN</v>
      </c>
      <c r="I31" s="8">
        <f>VLOOKUP(F31,[1]characters!$A:$I,9,FALSE)</f>
        <v>4</v>
      </c>
      <c r="J31" s="8" t="str">
        <f>VLOOKUP(F31,[1]characters!$A:$H,8,FALSE)</f>
        <v>green</v>
      </c>
      <c r="K31" s="8" t="str">
        <f>VLOOKUP(F31,[1]characters!$A:$K,11,FALSE)</f>
        <v>balance</v>
      </c>
      <c r="L31" s="8" t="str">
        <f>VLOOKUP(F31,[1]characters!$A:$M,13,FALSE)</f>
        <v>human</v>
      </c>
      <c r="M31" s="5">
        <v>1</v>
      </c>
      <c r="N31" s="28">
        <f>VLOOKUP(D31,gacha_144_base!A:B,2,FALSE)</f>
        <v>2257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1"/>
        <v>144197</v>
      </c>
      <c r="B32" s="2">
        <f t="shared" si="3"/>
        <v>144</v>
      </c>
      <c r="C32" s="8" t="str">
        <f t="shared" si="4"/>
        <v>1PremiumN4</v>
      </c>
      <c r="D32" s="8" t="str">
        <f t="shared" si="0"/>
        <v>1PremiumN4</v>
      </c>
      <c r="E32" s="5">
        <v>1</v>
      </c>
      <c r="F32" s="6">
        <v>197</v>
      </c>
      <c r="G32" s="8" t="str">
        <f>VLOOKUP(F32,[1]characters!$A:$C,3,FALSE)</f>
        <v>鉄腕 アキレス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yellow</v>
      </c>
      <c r="K32" s="8" t="str">
        <f>VLOOKUP(F32,[1]characters!$A:$K,11,FALSE)</f>
        <v>balance</v>
      </c>
      <c r="L32" s="8" t="str">
        <f>VLOOKUP(F32,[1]characters!$A:$M,13,FALSE)</f>
        <v>human</v>
      </c>
      <c r="M32" s="5">
        <v>1</v>
      </c>
      <c r="N32" s="28">
        <f>VLOOKUP(D32,gacha_144_base!A:B,2,FALSE)</f>
        <v>2257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1"/>
        <v>144200</v>
      </c>
      <c r="B33" s="2">
        <f t="shared" si="3"/>
        <v>144</v>
      </c>
      <c r="C33" s="8" t="str">
        <f t="shared" si="4"/>
        <v>1PremiumN4</v>
      </c>
      <c r="D33" s="8" t="str">
        <f t="shared" ref="D33:D96" si="5">E33&amp;H33&amp;I33</f>
        <v>1PremiumN4</v>
      </c>
      <c r="E33" s="5">
        <v>1</v>
      </c>
      <c r="F33" s="6">
        <v>200</v>
      </c>
      <c r="G33" s="8" t="str">
        <f>VLOOKUP(F33,[1]characters!$A:$C,3,FALSE)</f>
        <v>大剣士 ジークフリート</v>
      </c>
      <c r="H33" s="8" t="str">
        <f>VLOOKUP(F33,[1]characters!$A:$J,10,FALSE)</f>
        <v>PremiumN</v>
      </c>
      <c r="I33" s="8">
        <f>VLOOKUP(F33,[1]characters!$A:$I,9,FALSE)</f>
        <v>4</v>
      </c>
      <c r="J33" s="8" t="str">
        <f>VLOOKUP(F33,[1]characters!$A:$H,8,FALSE)</f>
        <v>blue</v>
      </c>
      <c r="K33" s="8" t="str">
        <f>VLOOKUP(F33,[1]characters!$A:$K,11,FALSE)</f>
        <v>balance</v>
      </c>
      <c r="L33" s="8" t="str">
        <f>VLOOKUP(F33,[1]characters!$A:$M,13,FALSE)</f>
        <v>human</v>
      </c>
      <c r="M33" s="5">
        <v>1</v>
      </c>
      <c r="N33" s="28">
        <f>VLOOKUP(D33,gacha_144_base!A:B,2,FALSE)</f>
        <v>2257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1"/>
        <v>144203</v>
      </c>
      <c r="B34" s="2">
        <f t="shared" si="3"/>
        <v>144</v>
      </c>
      <c r="C34" s="8" t="str">
        <f t="shared" si="4"/>
        <v>1PremiumN4</v>
      </c>
      <c r="D34" s="8" t="str">
        <f t="shared" si="5"/>
        <v>1PremiumN4</v>
      </c>
      <c r="E34" s="5">
        <v>1</v>
      </c>
      <c r="F34" s="6">
        <v>203</v>
      </c>
      <c r="G34" s="8" t="str">
        <f>VLOOKUP(F34,[1]characters!$A:$C,3,FALSE)</f>
        <v>焔神 プロメテウス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red</v>
      </c>
      <c r="K34" s="8" t="str">
        <f>VLOOKUP(F34,[1]characters!$A:$K,11,FALSE)</f>
        <v>hp</v>
      </c>
      <c r="L34" s="8" t="str">
        <f>VLOOKUP(F34,[1]characters!$A:$M,13,FALSE)</f>
        <v>god</v>
      </c>
      <c r="M34" s="5">
        <v>1</v>
      </c>
      <c r="N34" s="28">
        <f>VLOOKUP(D34,gacha_144_base!A:B,2,FALSE)</f>
        <v>2257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1"/>
        <v>144206</v>
      </c>
      <c r="B35" s="2">
        <f t="shared" si="3"/>
        <v>144</v>
      </c>
      <c r="C35" s="8" t="str">
        <f t="shared" si="4"/>
        <v>1PremiumN4</v>
      </c>
      <c r="D35" s="8" t="str">
        <f t="shared" si="5"/>
        <v>1PremiumN4</v>
      </c>
      <c r="E35" s="5">
        <v>1</v>
      </c>
      <c r="F35" s="6">
        <v>206</v>
      </c>
      <c r="G35" s="8" t="str">
        <f>VLOOKUP(F35,[1]characters!$A:$C,3,FALSE)</f>
        <v>美神 アフロディーテ</v>
      </c>
      <c r="H35" s="8" t="str">
        <f>VLOOKUP(F35,[1]characters!$A:$J,10,FALSE)</f>
        <v>PremiumN</v>
      </c>
      <c r="I35" s="8">
        <f>VLOOKUP(F35,[1]characters!$A:$I,9,FALSE)</f>
        <v>4</v>
      </c>
      <c r="J35" s="8" t="str">
        <f>VLOOKUP(F35,[1]characters!$A:$H,8,FALSE)</f>
        <v>green</v>
      </c>
      <c r="K35" s="8" t="str">
        <f>VLOOKUP(F35,[1]characters!$A:$K,11,FALSE)</f>
        <v>hp</v>
      </c>
      <c r="L35" s="8" t="str">
        <f>VLOOKUP(F35,[1]characters!$A:$M,13,FALSE)</f>
        <v>god</v>
      </c>
      <c r="M35" s="5">
        <v>1</v>
      </c>
      <c r="N35" s="28">
        <f>VLOOKUP(D35,gacha_144_base!A:B,2,FALSE)</f>
        <v>2257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1"/>
        <v>144209</v>
      </c>
      <c r="B36" s="2">
        <f t="shared" si="3"/>
        <v>144</v>
      </c>
      <c r="C36" s="8" t="str">
        <f t="shared" si="4"/>
        <v>1PremiumN4</v>
      </c>
      <c r="D36" s="8" t="str">
        <f t="shared" si="5"/>
        <v>1PremiumN4</v>
      </c>
      <c r="E36" s="5">
        <v>1</v>
      </c>
      <c r="F36" s="6">
        <v>209</v>
      </c>
      <c r="G36" s="8" t="str">
        <f>VLOOKUP(F36,[1]characters!$A:$C,3,FALSE)</f>
        <v>孤神 テティス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blue</v>
      </c>
      <c r="K36" s="8" t="str">
        <f>VLOOKUP(F36,[1]characters!$A:$K,11,FALSE)</f>
        <v>hp</v>
      </c>
      <c r="L36" s="8" t="str">
        <f>VLOOKUP(F36,[1]characters!$A:$M,13,FALSE)</f>
        <v>god</v>
      </c>
      <c r="M36" s="5">
        <v>1</v>
      </c>
      <c r="N36" s="28">
        <f>VLOOKUP(D36,gacha_144_base!A:B,2,FALSE)</f>
        <v>2257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1"/>
        <v>144212</v>
      </c>
      <c r="B37" s="2">
        <f t="shared" si="3"/>
        <v>144</v>
      </c>
      <c r="C37" s="8" t="str">
        <f t="shared" si="4"/>
        <v>1PremiumN4</v>
      </c>
      <c r="D37" s="8" t="str">
        <f t="shared" si="5"/>
        <v>1PremiumN4</v>
      </c>
      <c r="E37" s="5">
        <v>1</v>
      </c>
      <c r="F37" s="6">
        <v>212</v>
      </c>
      <c r="G37" s="8" t="str">
        <f>VLOOKUP(F37,[1]characters!$A:$C,3,FALSE)</f>
        <v>星神 アストライアー</v>
      </c>
      <c r="H37" s="8" t="str">
        <f>VLOOKUP(F37,[1]characters!$A:$J,10,FALSE)</f>
        <v>PremiumN</v>
      </c>
      <c r="I37" s="8">
        <f>VLOOKUP(F37,[1]characters!$A:$I,9,FALSE)</f>
        <v>4</v>
      </c>
      <c r="J37" s="8" t="str">
        <f>VLOOKUP(F37,[1]characters!$A:$H,8,FALSE)</f>
        <v>yellow</v>
      </c>
      <c r="K37" s="8" t="str">
        <f>VLOOKUP(F37,[1]characters!$A:$K,11,FALSE)</f>
        <v>balance</v>
      </c>
      <c r="L37" s="8" t="str">
        <f>VLOOKUP(F37,[1]characters!$A:$M,13,FALSE)</f>
        <v>god</v>
      </c>
      <c r="M37" s="5">
        <v>1</v>
      </c>
      <c r="N37" s="28">
        <f>VLOOKUP(D37,gacha_144_base!A:B,2,FALSE)</f>
        <v>2257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1"/>
        <v>144215</v>
      </c>
      <c r="B38" s="2">
        <f t="shared" si="3"/>
        <v>144</v>
      </c>
      <c r="C38" s="8" t="str">
        <f t="shared" si="4"/>
        <v>1PremiumN4</v>
      </c>
      <c r="D38" s="8" t="str">
        <f t="shared" si="5"/>
        <v>1PremiumN4</v>
      </c>
      <c r="E38" s="5">
        <v>1</v>
      </c>
      <c r="F38" s="6">
        <v>215</v>
      </c>
      <c r="G38" s="8" t="str">
        <f>VLOOKUP(F38,[1]characters!$A:$C,3,FALSE)</f>
        <v>死導者 アズラエル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god</v>
      </c>
      <c r="M38" s="5">
        <v>1</v>
      </c>
      <c r="N38" s="28">
        <f>VLOOKUP(D38,gacha_144_base!A:B,2,FALSE)</f>
        <v>2257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1"/>
        <v>144218</v>
      </c>
      <c r="B39" s="2">
        <f t="shared" si="3"/>
        <v>144</v>
      </c>
      <c r="C39" s="8" t="str">
        <f t="shared" si="4"/>
        <v>1PremiumN4</v>
      </c>
      <c r="D39" s="8" t="str">
        <f t="shared" si="5"/>
        <v>1PremiumN4</v>
      </c>
      <c r="E39" s="5">
        <v>1</v>
      </c>
      <c r="F39" s="6">
        <v>218</v>
      </c>
      <c r="G39" s="8" t="str">
        <f>VLOOKUP(F39,[1]characters!$A:$C,3,FALSE)</f>
        <v>聖蛇 ケツァクアトル</v>
      </c>
      <c r="H39" s="8" t="str">
        <f>VLOOKUP(F39,[1]characters!$A:$J,10,FALSE)</f>
        <v>PremiumN</v>
      </c>
      <c r="I39" s="8">
        <f>VLOOKUP(F39,[1]characters!$A:$I,9,FALSE)</f>
        <v>4</v>
      </c>
      <c r="J39" s="8" t="str">
        <f>VLOOKUP(F39,[1]characters!$A:$H,8,FALSE)</f>
        <v>green</v>
      </c>
      <c r="K39" s="8" t="str">
        <f>VLOOKUP(F39,[1]characters!$A:$K,11,FALSE)</f>
        <v>hp</v>
      </c>
      <c r="L39" s="8" t="str">
        <f>VLOOKUP(F39,[1]characters!$A:$M,13,FALSE)</f>
        <v>dragon</v>
      </c>
      <c r="M39" s="5">
        <v>1</v>
      </c>
      <c r="N39" s="28">
        <f>VLOOKUP(D39,gacha_144_base!A:B,2,FALSE)</f>
        <v>2257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1"/>
        <v>144221</v>
      </c>
      <c r="B40" s="2">
        <f t="shared" si="3"/>
        <v>144</v>
      </c>
      <c r="C40" s="8" t="str">
        <f t="shared" si="4"/>
        <v>1PremiumN4</v>
      </c>
      <c r="D40" s="8" t="str">
        <f t="shared" si="5"/>
        <v>1PremiumN4</v>
      </c>
      <c r="E40" s="5">
        <v>1</v>
      </c>
      <c r="F40" s="6">
        <v>221</v>
      </c>
      <c r="G40" s="8" t="str">
        <f>VLOOKUP(F40,[1]characters!$A:$C,3,FALSE)</f>
        <v>宰相 ルキフグス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blue</v>
      </c>
      <c r="K40" s="8" t="str">
        <f>VLOOKUP(F40,[1]characters!$A:$K,11,FALSE)</f>
        <v>balance</v>
      </c>
      <c r="L40" s="8" t="str">
        <f>VLOOKUP(F40,[1]characters!$A:$M,13,FALSE)</f>
        <v>god</v>
      </c>
      <c r="M40" s="5">
        <v>1</v>
      </c>
      <c r="N40" s="28">
        <f>VLOOKUP(D40,gacha_144_base!A:B,2,FALSE)</f>
        <v>2257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1"/>
        <v>144224</v>
      </c>
      <c r="B41" s="2">
        <f t="shared" si="3"/>
        <v>144</v>
      </c>
      <c r="C41" s="8" t="str">
        <f t="shared" si="4"/>
        <v>1PremiumN4</v>
      </c>
      <c r="D41" s="8" t="str">
        <f t="shared" si="5"/>
        <v>1PremiumN4</v>
      </c>
      <c r="E41" s="5">
        <v>1</v>
      </c>
      <c r="F41" s="6">
        <v>224</v>
      </c>
      <c r="G41" s="8" t="str">
        <f>VLOOKUP(F41,[1]characters!$A:$C,3,FALSE)</f>
        <v>巨腕 ヘラクレス</v>
      </c>
      <c r="H41" s="8" t="str">
        <f>VLOOKUP(F41,[1]characters!$A:$J,10,FALSE)</f>
        <v>PremiumN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VLOOKUP(D41,gacha_144_base!A:B,2,FALSE)</f>
        <v>2257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1"/>
        <v>144227</v>
      </c>
      <c r="B42" s="2">
        <f t="shared" si="3"/>
        <v>144</v>
      </c>
      <c r="C42" s="8" t="str">
        <f t="shared" si="4"/>
        <v>1PremiumS4</v>
      </c>
      <c r="D42" s="8" t="str">
        <f t="shared" si="5"/>
        <v>1PremiumS4</v>
      </c>
      <c r="E42" s="5">
        <v>1</v>
      </c>
      <c r="F42" s="6">
        <v>227</v>
      </c>
      <c r="G42" s="8" t="str">
        <f>VLOOKUP(F42,[1]characters!$A:$C,3,FALSE)</f>
        <v>滅弾 アレス</v>
      </c>
      <c r="H42" s="8" t="str">
        <f>VLOOKUP(F42,[1]characters!$A:$J,10,FALSE)</f>
        <v>PremiumS</v>
      </c>
      <c r="I42" s="8">
        <f>VLOOKUP(F42,[1]characters!$A:$I,9,FALSE)</f>
        <v>4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28">
        <f>VLOOKUP(D42,gacha_144_base!A:B,2,FALSE)</f>
        <v>633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1"/>
        <v>144230</v>
      </c>
      <c r="B43" s="2">
        <f t="shared" si="3"/>
        <v>144</v>
      </c>
      <c r="C43" s="8" t="str">
        <f t="shared" si="4"/>
        <v>1PremiumS4</v>
      </c>
      <c r="D43" s="8" t="str">
        <f t="shared" si="5"/>
        <v>1PremiumS4</v>
      </c>
      <c r="E43" s="5">
        <v>1</v>
      </c>
      <c r="F43" s="6">
        <v>230</v>
      </c>
      <c r="G43" s="8" t="str">
        <f>VLOOKUP(F43,[1]characters!$A:$C,3,FALSE)</f>
        <v>毒銃 ヨルムンガンド</v>
      </c>
      <c r="H43" s="8" t="str">
        <f>VLOOKUP(F43,[1]characters!$A:$J,10,FALSE)</f>
        <v>PremiumS</v>
      </c>
      <c r="I43" s="8">
        <f>VLOOKUP(F43,[1]characters!$A:$I,9,FALSE)</f>
        <v>4</v>
      </c>
      <c r="J43" s="8" t="str">
        <f>VLOOKUP(F43,[1]characters!$A:$H,8,FALSE)</f>
        <v>green</v>
      </c>
      <c r="K43" s="8" t="str">
        <f>VLOOKUP(F43,[1]characters!$A:$K,11,FALSE)</f>
        <v>technical</v>
      </c>
      <c r="L43" s="8" t="str">
        <f>VLOOKUP(F43,[1]characters!$A:$M,13,FALSE)</f>
        <v>dragon</v>
      </c>
      <c r="M43" s="5">
        <v>1</v>
      </c>
      <c r="N43" s="28">
        <f>VLOOKUP(D43,gacha_144_base!A:B,2,FALSE)</f>
        <v>633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1"/>
        <v>144233</v>
      </c>
      <c r="B44" s="2">
        <f t="shared" si="3"/>
        <v>144</v>
      </c>
      <c r="C44" s="8" t="str">
        <f t="shared" si="4"/>
        <v>1PremiumS4</v>
      </c>
      <c r="D44" s="8" t="str">
        <f t="shared" si="5"/>
        <v>1PremiumS4</v>
      </c>
      <c r="E44" s="5">
        <v>1</v>
      </c>
      <c r="F44" s="6">
        <v>233</v>
      </c>
      <c r="G44" s="8" t="str">
        <f>VLOOKUP(F44,[1]characters!$A:$C,3,FALSE)</f>
        <v>遂行 パーシヴァル</v>
      </c>
      <c r="H44" s="8" t="str">
        <f>VLOOKUP(F44,[1]characters!$A:$J,10,FALSE)</f>
        <v>PremiumS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technical</v>
      </c>
      <c r="L44" s="8" t="str">
        <f>VLOOKUP(F44,[1]characters!$A:$M,13,FALSE)</f>
        <v>human</v>
      </c>
      <c r="M44" s="5">
        <v>1</v>
      </c>
      <c r="N44" s="28">
        <f>VLOOKUP(D44,gacha_144_base!A:B,2,FALSE)</f>
        <v>633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1"/>
        <v>144236</v>
      </c>
      <c r="B45" s="2">
        <f t="shared" si="3"/>
        <v>144</v>
      </c>
      <c r="C45" s="8" t="str">
        <f t="shared" si="4"/>
        <v>1PremiumS4</v>
      </c>
      <c r="D45" s="8" t="str">
        <f t="shared" si="5"/>
        <v>1PremiumS4</v>
      </c>
      <c r="E45" s="5">
        <v>1</v>
      </c>
      <c r="F45" s="6">
        <v>236</v>
      </c>
      <c r="G45" s="8" t="str">
        <f>VLOOKUP(F45,[1]characters!$A:$C,3,FALSE)</f>
        <v>神産 イザナミ</v>
      </c>
      <c r="H45" s="8" t="str">
        <f>VLOOKUP(F45,[1]characters!$A:$J,10,FALSE)</f>
        <v>PremiumS</v>
      </c>
      <c r="I45" s="8">
        <f>VLOOKUP(F45,[1]characters!$A:$I,9,FALSE)</f>
        <v>4</v>
      </c>
      <c r="J45" s="8" t="str">
        <f>VLOOKUP(F45,[1]characters!$A:$H,8,FALSE)</f>
        <v>yellow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28">
        <f>VLOOKUP(D45,gacha_144_base!A:B,2,FALSE)</f>
        <v>633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1"/>
        <v>144168</v>
      </c>
      <c r="B46" s="2">
        <f t="shared" si="3"/>
        <v>144</v>
      </c>
      <c r="C46" s="8" t="str">
        <f t="shared" si="4"/>
        <v>1PremiumN5</v>
      </c>
      <c r="D46" s="8" t="str">
        <f t="shared" si="5"/>
        <v>1PremiumN5</v>
      </c>
      <c r="E46" s="5">
        <v>1</v>
      </c>
      <c r="F46" s="6">
        <v>168</v>
      </c>
      <c r="G46" s="8" t="str">
        <f>VLOOKUP(F46,[1]characters!$A:$C,3,FALSE)</f>
        <v>猛進の大逆者 ベリアル</v>
      </c>
      <c r="H46" s="8" t="str">
        <f>VLOOKUP(F46,[1]characters!$A:$J,10,FALSE)</f>
        <v>PremiumN</v>
      </c>
      <c r="I46" s="8">
        <f>VLOOKUP(F46,[1]characters!$A:$I,9,FALSE)</f>
        <v>5</v>
      </c>
      <c r="J46" s="8" t="str">
        <f>VLOOKUP(F46,[1]characters!$A:$H,8,FALSE)</f>
        <v>red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28">
        <f>VLOOKUP(D46,gacha_144_base!A:B,2,FALSE)</f>
        <v>383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1"/>
        <v>144171</v>
      </c>
      <c r="B47" s="2">
        <f t="shared" si="3"/>
        <v>144</v>
      </c>
      <c r="C47" s="8" t="str">
        <f t="shared" si="4"/>
        <v>1PremiumN5</v>
      </c>
      <c r="D47" s="8" t="str">
        <f t="shared" si="5"/>
        <v>1PremiumN5</v>
      </c>
      <c r="E47" s="5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28">
        <f>VLOOKUP(D47,gacha_144_base!A:B,2,FALSE)</f>
        <v>383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1"/>
        <v>144174</v>
      </c>
      <c r="B48" s="2">
        <f t="shared" si="3"/>
        <v>144</v>
      </c>
      <c r="C48" s="8" t="str">
        <f t="shared" si="4"/>
        <v>1PremiumN5</v>
      </c>
      <c r="D48" s="8" t="str">
        <f t="shared" si="5"/>
        <v>1PremiumN5</v>
      </c>
      <c r="E48" s="5">
        <v>1</v>
      </c>
      <c r="F48" s="6">
        <v>174</v>
      </c>
      <c r="G48" s="8" t="str">
        <f>VLOOKUP(F48,[1]characters!$A:$C,3,FALSE)</f>
        <v>偽愛の大公爵 フォルネウス</v>
      </c>
      <c r="H48" s="8" t="str">
        <f>VLOOKUP(F48,[1]characters!$A:$J,10,FALSE)</f>
        <v>PremiumN</v>
      </c>
      <c r="I48" s="8">
        <f>VLOOKUP(F48,[1]characters!$A:$I,9,FALSE)</f>
        <v>5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28">
        <f>VLOOKUP(D48,gacha_144_base!A:B,2,FALSE)</f>
        <v>383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1"/>
        <v>144177</v>
      </c>
      <c r="B49" s="2">
        <f t="shared" si="3"/>
        <v>144</v>
      </c>
      <c r="C49" s="8" t="str">
        <f t="shared" si="4"/>
        <v>1PremiumN5</v>
      </c>
      <c r="D49" s="8" t="str">
        <f t="shared" si="5"/>
        <v>1PremiumN5</v>
      </c>
      <c r="E49" s="5">
        <v>1</v>
      </c>
      <c r="F49" s="6">
        <v>177</v>
      </c>
      <c r="G49" s="8" t="str">
        <f>VLOOKUP(F49,[1]characters!$A:$C,3,FALSE)</f>
        <v>黒魔の異端師 バフォメット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yellow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28">
        <f>VLOOKUP(D49,gacha_144_base!A:B,2,FALSE)</f>
        <v>383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1"/>
        <v>144180</v>
      </c>
      <c r="B50" s="2">
        <f t="shared" si="3"/>
        <v>144</v>
      </c>
      <c r="C50" s="8" t="str">
        <f t="shared" si="4"/>
        <v>1PremiumN5</v>
      </c>
      <c r="D50" s="8" t="str">
        <f t="shared" si="5"/>
        <v>1PremiumN5</v>
      </c>
      <c r="E50" s="5">
        <v>1</v>
      </c>
      <c r="F50" s="6">
        <v>180</v>
      </c>
      <c r="G50" s="8" t="str">
        <f>VLOOKUP(F50,[1]characters!$A:$C,3,FALSE)</f>
        <v>地獄の大門番 ケルベロス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red</v>
      </c>
      <c r="K50" s="8" t="str">
        <f>VLOOKUP(F50,[1]characters!$A:$K,11,FALSE)</f>
        <v>balance</v>
      </c>
      <c r="L50" s="8" t="str">
        <f>VLOOKUP(F50,[1]characters!$A:$M,13,FALSE)</f>
        <v>animal</v>
      </c>
      <c r="M50" s="5">
        <v>1</v>
      </c>
      <c r="N50" s="28">
        <f>VLOOKUP(D50,gacha_144_base!A:B,2,FALSE)</f>
        <v>383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1"/>
        <v>144183</v>
      </c>
      <c r="B51" s="2">
        <f t="shared" si="3"/>
        <v>144</v>
      </c>
      <c r="C51" s="8" t="str">
        <f t="shared" si="4"/>
        <v>1PremiumN5</v>
      </c>
      <c r="D51" s="8" t="str">
        <f t="shared" si="5"/>
        <v>1PremiumN5</v>
      </c>
      <c r="E51" s="5">
        <v>1</v>
      </c>
      <c r="F51" s="6">
        <v>183</v>
      </c>
      <c r="G51" s="8" t="str">
        <f>VLOOKUP(F51,[1]characters!$A:$C,3,FALSE)</f>
        <v>鈍重な彷徨者 ベヒモス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green</v>
      </c>
      <c r="K51" s="8" t="str">
        <f>VLOOKUP(F51,[1]characters!$A:$K,11,FALSE)</f>
        <v>hp</v>
      </c>
      <c r="L51" s="8" t="str">
        <f>VLOOKUP(F51,[1]characters!$A:$M,13,FALSE)</f>
        <v>animal</v>
      </c>
      <c r="M51" s="5">
        <v>1</v>
      </c>
      <c r="N51" s="28">
        <f>VLOOKUP(D51,gacha_144_base!A:B,2,FALSE)</f>
        <v>383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1"/>
        <v>144186</v>
      </c>
      <c r="B52" s="2">
        <f t="shared" si="3"/>
        <v>144</v>
      </c>
      <c r="C52" s="8" t="str">
        <f t="shared" si="4"/>
        <v>1PremiumN5</v>
      </c>
      <c r="D52" s="8" t="str">
        <f t="shared" si="5"/>
        <v>1PremiumN5</v>
      </c>
      <c r="E52" s="5">
        <v>1</v>
      </c>
      <c r="F52" s="6">
        <v>186</v>
      </c>
      <c r="G52" s="8" t="str">
        <f>VLOOKUP(F52,[1]characters!$A:$C,3,FALSE)</f>
        <v>誇り高き多触姫・クラーケン</v>
      </c>
      <c r="H52" s="8" t="str">
        <f>VLOOKUP(F52,[1]characters!$A:$J,10,FALSE)</f>
        <v>PremiumN</v>
      </c>
      <c r="I52" s="8">
        <f>VLOOKUP(F52,[1]characters!$A:$I,9,FALSE)</f>
        <v>5</v>
      </c>
      <c r="J52" s="8" t="str">
        <f>VLOOKUP(F52,[1]characters!$A:$H,8,FALSE)</f>
        <v>blue</v>
      </c>
      <c r="K52" s="8" t="str">
        <f>VLOOKUP(F52,[1]characters!$A:$K,11,FALSE)</f>
        <v>heal</v>
      </c>
      <c r="L52" s="8" t="str">
        <f>VLOOKUP(F52,[1]characters!$A:$M,13,FALSE)</f>
        <v>animal</v>
      </c>
      <c r="M52" s="5">
        <v>1</v>
      </c>
      <c r="N52" s="28">
        <f>VLOOKUP(D52,gacha_144_base!A:B,2,FALSE)</f>
        <v>383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1"/>
        <v>144189</v>
      </c>
      <c r="B53" s="2">
        <f t="shared" si="3"/>
        <v>144</v>
      </c>
      <c r="C53" s="8" t="str">
        <f t="shared" si="4"/>
        <v>1PremiumN5</v>
      </c>
      <c r="D53" s="8" t="str">
        <f t="shared" si="5"/>
        <v>1PremiumN5</v>
      </c>
      <c r="E53" s="5">
        <v>1</v>
      </c>
      <c r="F53" s="6">
        <v>189</v>
      </c>
      <c r="G53" s="8" t="str">
        <f>VLOOKUP(F53,[1]characters!$A:$C,3,FALSE)</f>
        <v>迅雷の王禽 ホルス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animal</v>
      </c>
      <c r="M53" s="5">
        <v>1</v>
      </c>
      <c r="N53" s="28">
        <f>VLOOKUP(D53,gacha_144_base!A:B,2,FALSE)</f>
        <v>383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1"/>
        <v>144192</v>
      </c>
      <c r="B54" s="2">
        <f t="shared" si="3"/>
        <v>144</v>
      </c>
      <c r="C54" s="8" t="str">
        <f t="shared" si="4"/>
        <v>1PremiumN5</v>
      </c>
      <c r="D54" s="8" t="str">
        <f t="shared" si="5"/>
        <v>1PremiumN5</v>
      </c>
      <c r="E54" s="5">
        <v>1</v>
      </c>
      <c r="F54" s="6">
        <v>192</v>
      </c>
      <c r="G54" s="8" t="str">
        <f>VLOOKUP(F54,[1]characters!$A:$C,3,FALSE)</f>
        <v>荘厳なる始祖帝 卑弥呼</v>
      </c>
      <c r="H54" s="8" t="str">
        <f>VLOOKUP(F54,[1]characters!$A:$J,10,FALSE)</f>
        <v>PremiumN</v>
      </c>
      <c r="I54" s="8">
        <f>VLOOKUP(F54,[1]characters!$A:$I,9,FALSE)</f>
        <v>5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human</v>
      </c>
      <c r="M54" s="5">
        <v>1</v>
      </c>
      <c r="N54" s="28">
        <f>VLOOKUP(D54,gacha_144_base!A:B,2,FALSE)</f>
        <v>383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1"/>
        <v>144195</v>
      </c>
      <c r="B55" s="2">
        <f t="shared" si="3"/>
        <v>144</v>
      </c>
      <c r="C55" s="8" t="str">
        <f t="shared" si="4"/>
        <v>1PremiumN5</v>
      </c>
      <c r="D55" s="8" t="str">
        <f t="shared" si="5"/>
        <v>1PremiumN5</v>
      </c>
      <c r="E55" s="5">
        <v>1</v>
      </c>
      <c r="F55" s="6">
        <v>195</v>
      </c>
      <c r="G55" s="8" t="str">
        <f>VLOOKUP(F55,[1]characters!$A:$C,3,FALSE)</f>
        <v>グランドハンター ロビンフッド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green</v>
      </c>
      <c r="K55" s="8" t="str">
        <f>VLOOKUP(F55,[1]characters!$A:$K,11,FALSE)</f>
        <v>balance</v>
      </c>
      <c r="L55" s="8" t="str">
        <f>VLOOKUP(F55,[1]characters!$A:$M,13,FALSE)</f>
        <v>human</v>
      </c>
      <c r="M55" s="5">
        <v>1</v>
      </c>
      <c r="N55" s="28">
        <f>VLOOKUP(D55,gacha_144_base!A:B,2,FALSE)</f>
        <v>383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1"/>
        <v>144198</v>
      </c>
      <c r="B56" s="2">
        <f t="shared" si="3"/>
        <v>144</v>
      </c>
      <c r="C56" s="8" t="str">
        <f t="shared" si="4"/>
        <v>1PremiumN5</v>
      </c>
      <c r="D56" s="8" t="str">
        <f t="shared" si="5"/>
        <v>1PremiumN5</v>
      </c>
      <c r="E56" s="5">
        <v>1</v>
      </c>
      <c r="F56" s="6">
        <v>198</v>
      </c>
      <c r="G56" s="8" t="str">
        <f>VLOOKUP(F56,[1]characters!$A:$C,3,FALSE)</f>
        <v>砕骨の剛腕 アキレス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yellow</v>
      </c>
      <c r="K56" s="8" t="str">
        <f>VLOOKUP(F56,[1]characters!$A:$K,11,FALSE)</f>
        <v>balance</v>
      </c>
      <c r="L56" s="8" t="str">
        <f>VLOOKUP(F56,[1]characters!$A:$M,13,FALSE)</f>
        <v>human</v>
      </c>
      <c r="M56" s="5">
        <v>1</v>
      </c>
      <c r="N56" s="28">
        <f>VLOOKUP(D56,gacha_144_base!A:B,2,FALSE)</f>
        <v>383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1"/>
        <v>144201</v>
      </c>
      <c r="B57" s="2">
        <f t="shared" si="3"/>
        <v>144</v>
      </c>
      <c r="C57" s="8" t="str">
        <f t="shared" si="4"/>
        <v>1PremiumN5</v>
      </c>
      <c r="D57" s="8" t="str">
        <f t="shared" si="5"/>
        <v>1PremiumN5</v>
      </c>
      <c r="E57" s="5">
        <v>1</v>
      </c>
      <c r="F57" s="6">
        <v>201</v>
      </c>
      <c r="G57" s="8" t="str">
        <f>VLOOKUP(F57,[1]characters!$A:$C,3,FALSE)</f>
        <v>斬空の大破剣 ジークフリート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blue</v>
      </c>
      <c r="K57" s="8" t="str">
        <f>VLOOKUP(F57,[1]characters!$A:$K,11,FALSE)</f>
        <v>balance</v>
      </c>
      <c r="L57" s="8" t="str">
        <f>VLOOKUP(F57,[1]characters!$A:$M,13,FALSE)</f>
        <v>human</v>
      </c>
      <c r="M57" s="5">
        <v>1</v>
      </c>
      <c r="N57" s="28">
        <f>VLOOKUP(D57,gacha_144_base!A:B,2,FALSE)</f>
        <v>383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1"/>
        <v>144204</v>
      </c>
      <c r="B58" s="2">
        <f t="shared" si="3"/>
        <v>144</v>
      </c>
      <c r="C58" s="8" t="str">
        <f t="shared" si="4"/>
        <v>1PremiumN5</v>
      </c>
      <c r="D58" s="8" t="str">
        <f t="shared" si="5"/>
        <v>1PremiumN5</v>
      </c>
      <c r="E58" s="5">
        <v>1</v>
      </c>
      <c r="F58" s="6">
        <v>204</v>
      </c>
      <c r="G58" s="8" t="str">
        <f>VLOOKUP(F58,[1]characters!$A:$C,3,FALSE)</f>
        <v>慟哭の巨焔 プロメテウス</v>
      </c>
      <c r="H58" s="8" t="str">
        <f>VLOOKUP(F58,[1]characters!$A:$J,10,FALSE)</f>
        <v>PremiumN</v>
      </c>
      <c r="I58" s="8">
        <f>VLOOKUP(F58,[1]characters!$A:$I,9,FALSE)</f>
        <v>5</v>
      </c>
      <c r="J58" s="8" t="str">
        <f>VLOOKUP(F58,[1]characters!$A:$H,8,FALSE)</f>
        <v>red</v>
      </c>
      <c r="K58" s="8" t="str">
        <f>VLOOKUP(F58,[1]characters!$A:$K,11,FALSE)</f>
        <v>hp</v>
      </c>
      <c r="L58" s="8" t="str">
        <f>VLOOKUP(F58,[1]characters!$A:$M,13,FALSE)</f>
        <v>god</v>
      </c>
      <c r="M58" s="5">
        <v>1</v>
      </c>
      <c r="N58" s="28">
        <f>VLOOKUP(D58,gacha_144_base!A:B,2,FALSE)</f>
        <v>383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1"/>
        <v>144207</v>
      </c>
      <c r="B59" s="2">
        <f t="shared" si="3"/>
        <v>144</v>
      </c>
      <c r="C59" s="8" t="str">
        <f t="shared" si="4"/>
        <v>1PremiumN5</v>
      </c>
      <c r="D59" s="8" t="str">
        <f t="shared" si="5"/>
        <v>1PremiumN5</v>
      </c>
      <c r="E59" s="5">
        <v>1</v>
      </c>
      <c r="F59" s="6">
        <v>207</v>
      </c>
      <c r="G59" s="8" t="str">
        <f>VLOOKUP(F59,[1]characters!$A:$C,3,FALSE)</f>
        <v>豊穣の麗神・アフロディーテ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god</v>
      </c>
      <c r="M59" s="5">
        <v>1</v>
      </c>
      <c r="N59" s="28">
        <f>VLOOKUP(D59,gacha_144_base!A:B,2,FALSE)</f>
        <v>383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1"/>
        <v>144210</v>
      </c>
      <c r="B60" s="2">
        <f t="shared" si="3"/>
        <v>144</v>
      </c>
      <c r="C60" s="8" t="str">
        <f t="shared" si="4"/>
        <v>1PremiumN5</v>
      </c>
      <c r="D60" s="8" t="str">
        <f t="shared" si="5"/>
        <v>1PremiumN5</v>
      </c>
      <c r="E60" s="5">
        <v>1</v>
      </c>
      <c r="F60" s="6">
        <v>210</v>
      </c>
      <c r="G60" s="8" t="str">
        <f>VLOOKUP(F60,[1]characters!$A:$C,3,FALSE)</f>
        <v>海底の孤高神 テティス</v>
      </c>
      <c r="H60" s="8" t="str">
        <f>VLOOKUP(F60,[1]characters!$A:$J,10,FALSE)</f>
        <v>PremiumN</v>
      </c>
      <c r="I60" s="8">
        <f>VLOOKUP(F60,[1]characters!$A:$I,9,FALSE)</f>
        <v>5</v>
      </c>
      <c r="J60" s="8" t="str">
        <f>VLOOKUP(F60,[1]characters!$A:$H,8,FALSE)</f>
        <v>blue</v>
      </c>
      <c r="K60" s="8" t="str">
        <f>VLOOKUP(F60,[1]characters!$A:$K,11,FALSE)</f>
        <v>hp</v>
      </c>
      <c r="L60" s="8" t="str">
        <f>VLOOKUP(F60,[1]characters!$A:$M,13,FALSE)</f>
        <v>god</v>
      </c>
      <c r="M60" s="5">
        <v>1</v>
      </c>
      <c r="N60" s="28">
        <f>VLOOKUP(D60,gacha_144_base!A:B,2,FALSE)</f>
        <v>383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1"/>
        <v>144213</v>
      </c>
      <c r="B61" s="2">
        <f t="shared" si="3"/>
        <v>144</v>
      </c>
      <c r="C61" s="8" t="str">
        <f t="shared" si="4"/>
        <v>1PremiumN5</v>
      </c>
      <c r="D61" s="8" t="str">
        <f t="shared" si="5"/>
        <v>1PremiumN5</v>
      </c>
      <c r="E61" s="5">
        <v>1</v>
      </c>
      <c r="F61" s="6">
        <v>213</v>
      </c>
      <c r="G61" s="8" t="str">
        <f>VLOOKUP(F61,[1]characters!$A:$C,3,FALSE)</f>
        <v>満天の星降神 アストライアー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god</v>
      </c>
      <c r="M61" s="5">
        <v>1</v>
      </c>
      <c r="N61" s="28">
        <f>VLOOKUP(D61,gacha_144_base!A:B,2,FALSE)</f>
        <v>383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1"/>
        <v>144216</v>
      </c>
      <c r="B62" s="2">
        <f t="shared" si="3"/>
        <v>144</v>
      </c>
      <c r="C62" s="8" t="str">
        <f t="shared" si="4"/>
        <v>1PremiumN5</v>
      </c>
      <c r="D62" s="8" t="str">
        <f t="shared" si="5"/>
        <v>1PremiumN5</v>
      </c>
      <c r="E62" s="5">
        <v>1</v>
      </c>
      <c r="F62" s="6">
        <v>216</v>
      </c>
      <c r="G62" s="8" t="str">
        <f>VLOOKUP(F62,[1]characters!$A:$C,3,FALSE)</f>
        <v>百読の死導司書 アズラエル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red</v>
      </c>
      <c r="K62" s="8" t="str">
        <f>VLOOKUP(F62,[1]characters!$A:$K,11,FALSE)</f>
        <v>balance</v>
      </c>
      <c r="L62" s="8" t="str">
        <f>VLOOKUP(F62,[1]characters!$A:$M,13,FALSE)</f>
        <v>god</v>
      </c>
      <c r="M62" s="5">
        <v>1</v>
      </c>
      <c r="N62" s="28">
        <f>VLOOKUP(D62,gacha_144_base!A:B,2,FALSE)</f>
        <v>383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1"/>
        <v>144219</v>
      </c>
      <c r="B63" s="2">
        <f t="shared" si="3"/>
        <v>144</v>
      </c>
      <c r="C63" s="8" t="str">
        <f t="shared" si="4"/>
        <v>1PremiumN5</v>
      </c>
      <c r="D63" s="8" t="str">
        <f t="shared" si="5"/>
        <v>1PremiumN5</v>
      </c>
      <c r="E63" s="5">
        <v>1</v>
      </c>
      <c r="F63" s="6">
        <v>219</v>
      </c>
      <c r="G63" s="8" t="str">
        <f>VLOOKUP(F63,[1]characters!$A:$C,3,FALSE)</f>
        <v>覇翼の聖蛇竜 ケツァクアトル</v>
      </c>
      <c r="H63" s="8" t="str">
        <f>VLOOKUP(F63,[1]characters!$A:$J,10,FALSE)</f>
        <v>PremiumN</v>
      </c>
      <c r="I63" s="8">
        <f>VLOOKUP(F63,[1]characters!$A:$I,9,FALSE)</f>
        <v>5</v>
      </c>
      <c r="J63" s="8" t="str">
        <f>VLOOKUP(F63,[1]characters!$A:$H,8,FALSE)</f>
        <v>green</v>
      </c>
      <c r="K63" s="8" t="str">
        <f>VLOOKUP(F63,[1]characters!$A:$K,11,FALSE)</f>
        <v>hp</v>
      </c>
      <c r="L63" s="8" t="str">
        <f>VLOOKUP(F63,[1]characters!$A:$M,13,FALSE)</f>
        <v>dragon</v>
      </c>
      <c r="M63" s="5">
        <v>1</v>
      </c>
      <c r="N63" s="28">
        <f>VLOOKUP(D63,gacha_144_base!A:B,2,FALSE)</f>
        <v>383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1"/>
        <v>144222</v>
      </c>
      <c r="B64" s="2">
        <f t="shared" si="3"/>
        <v>144</v>
      </c>
      <c r="C64" s="8" t="str">
        <f t="shared" si="4"/>
        <v>1PremiumN5</v>
      </c>
      <c r="D64" s="8" t="str">
        <f t="shared" si="5"/>
        <v>1PremiumN5</v>
      </c>
      <c r="E64" s="5">
        <v>1</v>
      </c>
      <c r="F64" s="6">
        <v>222</v>
      </c>
      <c r="G64" s="8" t="str">
        <f>VLOOKUP(F64,[1]characters!$A:$C,3,FALSE)</f>
        <v>避光の鉄鎖宰相 ルキフグス</v>
      </c>
      <c r="H64" s="8" t="str">
        <f>VLOOKUP(F64,[1]characters!$A:$J,10,FALSE)</f>
        <v>PremiumN</v>
      </c>
      <c r="I64" s="8">
        <f>VLOOKUP(F64,[1]characters!$A:$I,9,FALSE)</f>
        <v>5</v>
      </c>
      <c r="J64" s="8" t="str">
        <f>VLOOKUP(F64,[1]characters!$A:$H,8,FALSE)</f>
        <v>blue</v>
      </c>
      <c r="K64" s="8" t="str">
        <f>VLOOKUP(F64,[1]characters!$A:$K,11,FALSE)</f>
        <v>balance</v>
      </c>
      <c r="L64" s="8" t="str">
        <f>VLOOKUP(F64,[1]characters!$A:$M,13,FALSE)</f>
        <v>god</v>
      </c>
      <c r="M64" s="5">
        <v>1</v>
      </c>
      <c r="N64" s="28">
        <f>VLOOKUP(D64,gacha_144_base!A:B,2,FALSE)</f>
        <v>383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1"/>
        <v>144225</v>
      </c>
      <c r="B65" s="2">
        <f t="shared" si="3"/>
        <v>144</v>
      </c>
      <c r="C65" s="8" t="str">
        <f t="shared" si="4"/>
        <v>1PremiumN5</v>
      </c>
      <c r="D65" s="8" t="str">
        <f t="shared" si="5"/>
        <v>1PremiumN5</v>
      </c>
      <c r="E65" s="5">
        <v>1</v>
      </c>
      <c r="F65" s="6">
        <v>225</v>
      </c>
      <c r="G65" s="8" t="str">
        <f>VLOOKUP(F65,[1]characters!$A:$C,3,FALSE)</f>
        <v>咆哮の巨獅腕 ヘラクレス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balance</v>
      </c>
      <c r="L65" s="8" t="str">
        <f>VLOOKUP(F65,[1]characters!$A:$M,13,FALSE)</f>
        <v>human</v>
      </c>
      <c r="M65" s="5">
        <v>1</v>
      </c>
      <c r="N65" s="28">
        <f>VLOOKUP(D65,gacha_144_base!A:B,2,FALSE)</f>
        <v>383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si="1"/>
        <v>144228</v>
      </c>
      <c r="B66" s="2">
        <f t="shared" si="3"/>
        <v>144</v>
      </c>
      <c r="C66" s="8" t="str">
        <f>E66&amp;H66&amp;I66</f>
        <v>1PremiumS5</v>
      </c>
      <c r="D66" s="8" t="str">
        <f t="shared" si="5"/>
        <v>1PremiumS5</v>
      </c>
      <c r="E66" s="5">
        <v>1</v>
      </c>
      <c r="F66" s="6">
        <v>228</v>
      </c>
      <c r="G66" s="8" t="str">
        <f>VLOOKUP(F66,[1]characters!$A:$C,3,FALSE)</f>
        <v>殲滅の掃射砲 アレス</v>
      </c>
      <c r="H66" s="8" t="str">
        <f>VLOOKUP(F66,[1]characters!$A:$J,10,FALSE)</f>
        <v>PremiumS</v>
      </c>
      <c r="I66" s="8">
        <f>VLOOKUP(F66,[1]characters!$A:$I,9,FALSE)</f>
        <v>5</v>
      </c>
      <c r="J66" s="8" t="str">
        <f>VLOOKUP(F66,[1]characters!$A:$H,8,FALSE)</f>
        <v>red</v>
      </c>
      <c r="K66" s="8" t="str">
        <f>VLOOKUP(F66,[1]characters!$A:$K,11,FALSE)</f>
        <v>attack</v>
      </c>
      <c r="L66" s="8" t="str">
        <f>VLOOKUP(F66,[1]characters!$A:$M,13,FALSE)</f>
        <v>god</v>
      </c>
      <c r="M66" s="5">
        <v>1</v>
      </c>
      <c r="N66" s="28">
        <f>VLOOKUP(D66,gacha_144_base!A:B,2,FALSE)</f>
        <v>55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ht="21" customHeight="1">
      <c r="A67" s="7" t="str">
        <f t="shared" ref="A67:A132" si="6">B67&amp;F67</f>
        <v>144231</v>
      </c>
      <c r="B67" s="2">
        <f t="shared" si="3"/>
        <v>144</v>
      </c>
      <c r="C67" s="8" t="str">
        <f t="shared" ref="C67:C140" si="7">E67&amp;H67&amp;I67</f>
        <v>1PremiumS5</v>
      </c>
      <c r="D67" s="8" t="str">
        <f t="shared" si="5"/>
        <v>1PremiumS5</v>
      </c>
      <c r="E67" s="5">
        <v>1</v>
      </c>
      <c r="F67" s="6">
        <v>231</v>
      </c>
      <c r="G67" s="8" t="str">
        <f>VLOOKUP(F67,[1]characters!$A:$C,3,FALSE)</f>
        <v>必中の咬銃 ヨルムンガンド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green</v>
      </c>
      <c r="K67" s="8" t="str">
        <f>VLOOKUP(F67,[1]characters!$A:$K,11,FALSE)</f>
        <v>technical</v>
      </c>
      <c r="L67" s="8" t="str">
        <f>VLOOKUP(F67,[1]characters!$A:$M,13,FALSE)</f>
        <v>dragon</v>
      </c>
      <c r="M67" s="5">
        <v>1</v>
      </c>
      <c r="N67" s="28">
        <f>VLOOKUP(D67,gacha_144_base!A:B,2,FALSE)</f>
        <v>55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6"/>
        <v>144234</v>
      </c>
      <c r="B68" s="2">
        <f t="shared" ref="B68:B111" si="8">$B$2</f>
        <v>144</v>
      </c>
      <c r="C68" s="8" t="str">
        <f t="shared" si="7"/>
        <v>1PremiumS5</v>
      </c>
      <c r="D68" s="8" t="str">
        <f t="shared" si="5"/>
        <v>1PremiumS5</v>
      </c>
      <c r="E68" s="5">
        <v>1</v>
      </c>
      <c r="F68" s="6">
        <v>234</v>
      </c>
      <c r="G68" s="8" t="str">
        <f>VLOOKUP(F68,[1]characters!$A:$C,3,FALSE)</f>
        <v>精密なる照準 パーシヴァル</v>
      </c>
      <c r="H68" s="8" t="str">
        <f>VLOOKUP(F68,[1]characters!$A:$J,10,FALSE)</f>
        <v>PremiumS</v>
      </c>
      <c r="I68" s="8">
        <f>VLOOKUP(F68,[1]characters!$A:$I,9,FALSE)</f>
        <v>5</v>
      </c>
      <c r="J68" s="8" t="str">
        <f>VLOOKUP(F68,[1]characters!$A:$H,8,FALSE)</f>
        <v>blue</v>
      </c>
      <c r="K68" s="8" t="str">
        <f>VLOOKUP(F68,[1]characters!$A:$K,11,FALSE)</f>
        <v>technical</v>
      </c>
      <c r="L68" s="8" t="str">
        <f>VLOOKUP(F68,[1]characters!$A:$M,13,FALSE)</f>
        <v>human</v>
      </c>
      <c r="M68" s="5">
        <v>1</v>
      </c>
      <c r="N68" s="28">
        <f>VLOOKUP(D68,gacha_144_base!A:B,2,FALSE)</f>
        <v>55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s="17" customFormat="1" ht="21" customHeight="1" thickBot="1">
      <c r="A69" s="7" t="str">
        <f t="shared" si="6"/>
        <v>144237</v>
      </c>
      <c r="B69" s="2">
        <f t="shared" si="8"/>
        <v>144</v>
      </c>
      <c r="C69" s="8" t="str">
        <f t="shared" si="7"/>
        <v>1PremiumS5</v>
      </c>
      <c r="D69" s="8" t="str">
        <f t="shared" si="5"/>
        <v>1PremiumS5</v>
      </c>
      <c r="E69" s="5">
        <v>1</v>
      </c>
      <c r="F69" s="6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8">
        <f>VLOOKUP(D69,gacha_144_base!A:B,2,FALSE)</f>
        <v>55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6"/>
        <v>144239</v>
      </c>
      <c r="B70" s="2">
        <f t="shared" si="8"/>
        <v>144</v>
      </c>
      <c r="C70" s="8" t="str">
        <f t="shared" si="7"/>
        <v>1PremiumS4</v>
      </c>
      <c r="D70" s="8" t="str">
        <f t="shared" si="5"/>
        <v>1PremiumS4</v>
      </c>
      <c r="E70" s="5">
        <v>1</v>
      </c>
      <c r="F70" s="11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8">
        <f>VLOOKUP(D70,gacha_144_base!A:B,2,FALSE)</f>
        <v>633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6"/>
        <v>144240</v>
      </c>
      <c r="B71" s="2">
        <f t="shared" si="8"/>
        <v>144</v>
      </c>
      <c r="C71" s="8" t="str">
        <f t="shared" si="7"/>
        <v>1PremiumS5</v>
      </c>
      <c r="D71" s="8" t="str">
        <f t="shared" si="5"/>
        <v>1PremiumS5</v>
      </c>
      <c r="E71" s="5">
        <v>1</v>
      </c>
      <c r="F71" s="11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8">
        <f>VLOOKUP(D71,gacha_144_base!A:B,2,FALSE)</f>
        <v>55</v>
      </c>
      <c r="O71" s="19">
        <v>0</v>
      </c>
      <c r="P71" s="19">
        <v>0</v>
      </c>
      <c r="Q71" s="19">
        <v>0</v>
      </c>
      <c r="R71" s="19">
        <v>0</v>
      </c>
      <c r="S71" s="19">
        <v>1</v>
      </c>
    </row>
    <row r="72" spans="1:19" ht="21" customHeight="1">
      <c r="A72" s="7" t="str">
        <f t="shared" si="6"/>
        <v>144242</v>
      </c>
      <c r="B72" s="2">
        <f t="shared" si="8"/>
        <v>144</v>
      </c>
      <c r="C72" s="8" t="str">
        <f t="shared" si="7"/>
        <v>1PremiumS4</v>
      </c>
      <c r="D72" s="8" t="str">
        <f t="shared" si="5"/>
        <v>1PremiumS4</v>
      </c>
      <c r="E72" s="5">
        <v>1</v>
      </c>
      <c r="F72" s="11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8">
        <f>VLOOKUP(D72,gacha_144_base!A:B,2,FALSE)</f>
        <v>633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6"/>
        <v>144243</v>
      </c>
      <c r="B73" s="2">
        <f t="shared" si="8"/>
        <v>144</v>
      </c>
      <c r="C73" s="8" t="str">
        <f t="shared" si="7"/>
        <v>1PremiumS5</v>
      </c>
      <c r="D73" s="8" t="str">
        <f t="shared" si="5"/>
        <v>1PremiumS5</v>
      </c>
      <c r="E73" s="5">
        <v>1</v>
      </c>
      <c r="F73" s="11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8">
        <f>VLOOKUP(D73,gacha_144_base!A:B,2,FALSE)</f>
        <v>55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6"/>
        <v>144245</v>
      </c>
      <c r="B74" s="2">
        <f t="shared" si="8"/>
        <v>144</v>
      </c>
      <c r="C74" s="8" t="str">
        <f t="shared" si="7"/>
        <v>1PremiumS4</v>
      </c>
      <c r="D74" s="8" t="str">
        <f t="shared" si="5"/>
        <v>1PremiumS4</v>
      </c>
      <c r="E74" s="5">
        <v>1</v>
      </c>
      <c r="F74" s="11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8">
        <f>VLOOKUP(D74,gacha_144_base!A:B,2,FALSE)</f>
        <v>633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6"/>
        <v>144246</v>
      </c>
      <c r="B75" s="2">
        <f t="shared" si="8"/>
        <v>144</v>
      </c>
      <c r="C75" s="8" t="str">
        <f t="shared" si="7"/>
        <v>1PremiumS5</v>
      </c>
      <c r="D75" s="8" t="str">
        <f t="shared" si="5"/>
        <v>1PremiumS5</v>
      </c>
      <c r="E75" s="5">
        <v>1</v>
      </c>
      <c r="F75" s="11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8">
        <f>VLOOKUP(D75,gacha_144_base!A:B,2,FALSE)</f>
        <v>55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6"/>
        <v>144248</v>
      </c>
      <c r="B76" s="2">
        <f t="shared" si="8"/>
        <v>144</v>
      </c>
      <c r="C76" s="8" t="str">
        <f t="shared" si="7"/>
        <v>1PremiumS4</v>
      </c>
      <c r="D76" s="8" t="str">
        <f t="shared" si="5"/>
        <v>1PremiumS4</v>
      </c>
      <c r="E76" s="5">
        <v>1</v>
      </c>
      <c r="F76" s="11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8">
        <f>VLOOKUP(D76,gacha_144_base!A:B,2,FALSE)</f>
        <v>633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s="17" customFormat="1" ht="21" customHeight="1" thickBot="1">
      <c r="A77" s="7" t="str">
        <f t="shared" si="6"/>
        <v>144249</v>
      </c>
      <c r="B77" s="2">
        <f t="shared" si="8"/>
        <v>144</v>
      </c>
      <c r="C77" s="8" t="str">
        <f t="shared" si="7"/>
        <v>1PremiumS5</v>
      </c>
      <c r="D77" s="8" t="str">
        <f t="shared" si="5"/>
        <v>1PremiumS5</v>
      </c>
      <c r="E77" s="5">
        <v>1</v>
      </c>
      <c r="F77" s="11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8">
        <f>VLOOKUP(D77,gacha_144_base!A:B,2,FALSE)</f>
        <v>55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6"/>
        <v>144251</v>
      </c>
      <c r="B78" s="2">
        <f t="shared" si="8"/>
        <v>144</v>
      </c>
      <c r="C78" s="8" t="str">
        <f t="shared" si="7"/>
        <v>1PremiumS4</v>
      </c>
      <c r="D78" s="8" t="str">
        <f t="shared" si="5"/>
        <v>1PremiumS4</v>
      </c>
      <c r="E78" s="5">
        <v>1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8">
        <f>VLOOKUP(D78,gacha_144_base!A:B,2,FALSE)</f>
        <v>633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6"/>
        <v>144252</v>
      </c>
      <c r="B79" s="2">
        <f t="shared" si="8"/>
        <v>144</v>
      </c>
      <c r="C79" s="8" t="str">
        <f t="shared" si="7"/>
        <v>1PremiumS5</v>
      </c>
      <c r="D79" s="8" t="str">
        <f t="shared" si="5"/>
        <v>1PremiumS5</v>
      </c>
      <c r="E79" s="5">
        <v>1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8">
        <f>VLOOKUP(D79,gacha_144_base!A:B,2,FALSE)</f>
        <v>55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si="6"/>
        <v>144254</v>
      </c>
      <c r="B80" s="2">
        <f t="shared" si="8"/>
        <v>144</v>
      </c>
      <c r="C80" s="8" t="str">
        <f t="shared" si="7"/>
        <v>1PremiumS4</v>
      </c>
      <c r="D80" s="8" t="str">
        <f t="shared" si="5"/>
        <v>1PremiumS4</v>
      </c>
      <c r="E80" s="5">
        <v>1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8">
        <f>VLOOKUP(D80,gacha_144_base!A:B,2,FALSE)</f>
        <v>633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6"/>
        <v>144255</v>
      </c>
      <c r="B81" s="2">
        <f t="shared" si="8"/>
        <v>144</v>
      </c>
      <c r="C81" s="8" t="str">
        <f t="shared" si="7"/>
        <v>1PremiumS5</v>
      </c>
      <c r="D81" s="8" t="str">
        <f t="shared" si="5"/>
        <v>1PremiumS5</v>
      </c>
      <c r="E81" s="5">
        <v>1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8">
        <f>VLOOKUP(D81,gacha_144_base!A:B,2,FALSE)</f>
        <v>55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6"/>
        <v>144257</v>
      </c>
      <c r="B82" s="2">
        <f t="shared" si="8"/>
        <v>144</v>
      </c>
      <c r="C82" s="8" t="str">
        <f t="shared" si="7"/>
        <v>1PremiumS4</v>
      </c>
      <c r="D82" s="8" t="str">
        <f t="shared" si="5"/>
        <v>1PremiumS4</v>
      </c>
      <c r="E82" s="5">
        <v>1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8">
        <f>VLOOKUP(D82,gacha_144_base!A:B,2,FALSE)</f>
        <v>633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6"/>
        <v>144258</v>
      </c>
      <c r="B83" s="2">
        <f t="shared" si="8"/>
        <v>144</v>
      </c>
      <c r="C83" s="8" t="str">
        <f t="shared" si="7"/>
        <v>1PremiumS5</v>
      </c>
      <c r="D83" s="8" t="str">
        <f t="shared" si="5"/>
        <v>1PremiumS5</v>
      </c>
      <c r="E83" s="5">
        <v>1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8">
        <f>VLOOKUP(D83,gacha_144_base!A:B,2,FALSE)</f>
        <v>55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6"/>
        <v>144260</v>
      </c>
      <c r="B84" s="2">
        <f t="shared" si="8"/>
        <v>144</v>
      </c>
      <c r="C84" s="8" t="str">
        <f t="shared" si="7"/>
        <v>1PremiumS4</v>
      </c>
      <c r="D84" s="8" t="str">
        <f t="shared" si="5"/>
        <v>1PremiumS4</v>
      </c>
      <c r="E84" s="5">
        <v>1</v>
      </c>
      <c r="F84" s="6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8">
        <f>VLOOKUP(D84,gacha_144_base!A:B,2,FALSE)</f>
        <v>633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6"/>
        <v>144261</v>
      </c>
      <c r="B85" s="2">
        <f t="shared" si="8"/>
        <v>144</v>
      </c>
      <c r="C85" s="8" t="str">
        <f t="shared" si="7"/>
        <v>1PremiumS5</v>
      </c>
      <c r="D85" s="8" t="str">
        <f t="shared" si="5"/>
        <v>1PremiumS5</v>
      </c>
      <c r="E85" s="5">
        <v>1</v>
      </c>
      <c r="F85" s="6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8">
        <f>VLOOKUP(D85,gacha_144_base!A:B,2,FALSE)</f>
        <v>55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6"/>
        <v>144320</v>
      </c>
      <c r="B86" s="2">
        <f t="shared" si="8"/>
        <v>144</v>
      </c>
      <c r="C86" s="8" t="str">
        <f t="shared" si="7"/>
        <v>1PremiumSS4</v>
      </c>
      <c r="D86" s="8" t="str">
        <f t="shared" si="5"/>
        <v>1PremiumSS4</v>
      </c>
      <c r="E86" s="13">
        <v>1</v>
      </c>
      <c r="F86" s="18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3">
        <v>1</v>
      </c>
      <c r="N86" s="28">
        <f>VLOOKUP(D86,gacha_144_base!A:B,2,FALSE)</f>
        <v>316</v>
      </c>
      <c r="O86" s="10">
        <v>0</v>
      </c>
      <c r="P86" s="19">
        <v>0</v>
      </c>
      <c r="Q86" s="10">
        <v>0</v>
      </c>
      <c r="R86" s="10">
        <v>0</v>
      </c>
      <c r="S86" s="10">
        <v>1</v>
      </c>
    </row>
    <row r="87" spans="1:19" ht="21" customHeight="1">
      <c r="A87" s="7" t="str">
        <f t="shared" si="6"/>
        <v>144321</v>
      </c>
      <c r="B87" s="2">
        <f t="shared" si="8"/>
        <v>144</v>
      </c>
      <c r="C87" s="8" t="str">
        <f t="shared" si="7"/>
        <v>1PremiumSS5</v>
      </c>
      <c r="D87" s="8" t="str">
        <f t="shared" si="5"/>
        <v>1PremiumSS5</v>
      </c>
      <c r="E87" s="5">
        <v>1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8">
        <f>VLOOKUP(D87,gacha_144_base!A:B,2,FALSE)</f>
        <v>28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6"/>
        <v>144322</v>
      </c>
      <c r="B88" s="2">
        <f t="shared" si="8"/>
        <v>144</v>
      </c>
      <c r="C88" s="8" t="str">
        <f t="shared" si="7"/>
        <v>1PremiumSS4</v>
      </c>
      <c r="D88" s="8" t="str">
        <f t="shared" si="5"/>
        <v>1PremiumSS4</v>
      </c>
      <c r="E88" s="5">
        <v>1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8">
        <f>VLOOKUP(D88,gacha_144_base!A:B,2,FALSE)</f>
        <v>316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6"/>
        <v>144323</v>
      </c>
      <c r="B89" s="2">
        <f t="shared" si="8"/>
        <v>144</v>
      </c>
      <c r="C89" s="8" t="str">
        <f t="shared" si="7"/>
        <v>1PremiumSS5</v>
      </c>
      <c r="D89" s="8" t="str">
        <f t="shared" si="5"/>
        <v>1PremiumSS5</v>
      </c>
      <c r="E89" s="5">
        <v>1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8">
        <f>VLOOKUP(D89,gacha_144_base!A:B,2,FALSE)</f>
        <v>28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si="6"/>
        <v>144324</v>
      </c>
      <c r="B90" s="2">
        <f t="shared" si="8"/>
        <v>144</v>
      </c>
      <c r="C90" s="8" t="str">
        <f t="shared" si="7"/>
        <v>1PremiumSS4</v>
      </c>
      <c r="D90" s="8" t="str">
        <f t="shared" si="5"/>
        <v>1PremiumSS4</v>
      </c>
      <c r="E90" s="5">
        <v>1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8">
        <f>VLOOKUP(D90,gacha_144_base!A:B,2,FALSE)</f>
        <v>316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6"/>
        <v>144325</v>
      </c>
      <c r="B91" s="2">
        <f t="shared" si="8"/>
        <v>144</v>
      </c>
      <c r="C91" s="8" t="str">
        <f t="shared" si="7"/>
        <v>1PremiumSS5</v>
      </c>
      <c r="D91" s="8" t="str">
        <f t="shared" si="5"/>
        <v>1PremiumSS5</v>
      </c>
      <c r="E91" s="5">
        <v>1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8">
        <f>VLOOKUP(D91,gacha_144_base!A:B,2,FALSE)</f>
        <v>28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6"/>
        <v>144326</v>
      </c>
      <c r="B92" s="2">
        <f t="shared" si="8"/>
        <v>144</v>
      </c>
      <c r="C92" s="8" t="str">
        <f t="shared" si="7"/>
        <v>1PremiumSS4</v>
      </c>
      <c r="D92" s="8" t="str">
        <f t="shared" si="5"/>
        <v>1PremiumSS4</v>
      </c>
      <c r="E92" s="22">
        <v>1</v>
      </c>
      <c r="F92" s="23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22">
        <v>1</v>
      </c>
      <c r="N92" s="28">
        <f>VLOOKUP(D92,gacha_144_base!A:B,2,FALSE)</f>
        <v>316</v>
      </c>
      <c r="O92" s="25">
        <v>0</v>
      </c>
      <c r="P92" s="19">
        <v>0</v>
      </c>
      <c r="Q92" s="25">
        <v>0</v>
      </c>
      <c r="R92" s="25">
        <v>0</v>
      </c>
      <c r="S92" s="25">
        <v>1</v>
      </c>
    </row>
    <row r="93" spans="1:19" ht="21" customHeight="1">
      <c r="A93" s="7" t="str">
        <f t="shared" si="6"/>
        <v>144327</v>
      </c>
      <c r="B93" s="2">
        <f t="shared" si="8"/>
        <v>144</v>
      </c>
      <c r="C93" s="8" t="str">
        <f t="shared" si="7"/>
        <v>1PremiumSS5</v>
      </c>
      <c r="D93" s="8" t="str">
        <f t="shared" si="5"/>
        <v>1PremiumSS5</v>
      </c>
      <c r="E93" s="5">
        <v>1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8">
        <f>VLOOKUP(D93,gacha_144_base!A:B,2,FALSE)</f>
        <v>28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6"/>
        <v>144381</v>
      </c>
      <c r="B94" s="2">
        <f t="shared" si="8"/>
        <v>144</v>
      </c>
      <c r="C94" s="8" t="str">
        <f t="shared" si="7"/>
        <v>1PremiumS4</v>
      </c>
      <c r="D94" s="8" t="str">
        <f t="shared" si="5"/>
        <v>1PremiumS4</v>
      </c>
      <c r="E94" s="5">
        <v>1</v>
      </c>
      <c r="F94" s="18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8">
        <f>VLOOKUP(D94,gacha_144_base!A:B,2,FALSE)</f>
        <v>633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6"/>
        <v>144382</v>
      </c>
      <c r="B95" s="2">
        <f t="shared" si="8"/>
        <v>144</v>
      </c>
      <c r="C95" s="8" t="str">
        <f t="shared" si="7"/>
        <v>1PremiumS5</v>
      </c>
      <c r="D95" s="8" t="str">
        <f t="shared" si="5"/>
        <v>1PremiumS5</v>
      </c>
      <c r="E95" s="5">
        <v>1</v>
      </c>
      <c r="F95" s="18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8">
        <f>VLOOKUP(D95,gacha_144_base!A:B,2,FALSE)</f>
        <v>55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6"/>
        <v>144383</v>
      </c>
      <c r="B96" s="2">
        <f t="shared" si="8"/>
        <v>144</v>
      </c>
      <c r="C96" s="8" t="str">
        <f t="shared" si="7"/>
        <v>1PremiumSS4</v>
      </c>
      <c r="D96" s="8" t="str">
        <f t="shared" si="5"/>
        <v>1PremiumSS4</v>
      </c>
      <c r="E96" s="5">
        <v>1</v>
      </c>
      <c r="F96" s="18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8">
        <f>VLOOKUP(D96,gacha_144_base!A:B,2,FALSE)</f>
        <v>316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6"/>
        <v>144384</v>
      </c>
      <c r="B97" s="2">
        <f t="shared" si="8"/>
        <v>144</v>
      </c>
      <c r="C97" s="8" t="str">
        <f t="shared" si="7"/>
        <v>1PremiumSS5</v>
      </c>
      <c r="D97" s="8" t="str">
        <f t="shared" ref="D97:D154" si="9">E97&amp;H97&amp;I97</f>
        <v>1PremiumSS5</v>
      </c>
      <c r="E97" s="5">
        <v>1</v>
      </c>
      <c r="F97" s="18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8">
        <f>VLOOKUP(D97,gacha_144_base!A:B,2,FALSE)</f>
        <v>28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si="6"/>
        <v>144385</v>
      </c>
      <c r="B98" s="2">
        <f t="shared" si="8"/>
        <v>144</v>
      </c>
      <c r="C98" s="8" t="str">
        <f t="shared" si="7"/>
        <v>1PremiumSS4</v>
      </c>
      <c r="D98" s="8" t="str">
        <f t="shared" si="9"/>
        <v>1PremiumSS4</v>
      </c>
      <c r="E98" s="5">
        <v>1</v>
      </c>
      <c r="F98" s="18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8">
        <f>VLOOKUP(D98,gacha_144_base!A:B,2,FALSE)</f>
        <v>316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6"/>
        <v>144386</v>
      </c>
      <c r="B99" s="2">
        <f t="shared" si="8"/>
        <v>144</v>
      </c>
      <c r="C99" s="8" t="str">
        <f t="shared" si="7"/>
        <v>1PremiumSS5</v>
      </c>
      <c r="D99" s="8" t="str">
        <f t="shared" si="9"/>
        <v>1PremiumSS5</v>
      </c>
      <c r="E99" s="22">
        <v>1</v>
      </c>
      <c r="F99" s="21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22">
        <v>1</v>
      </c>
      <c r="N99" s="28">
        <f>VLOOKUP(D99,gacha_144_base!A:B,2,FALSE)</f>
        <v>28</v>
      </c>
      <c r="O99" s="25">
        <v>0</v>
      </c>
      <c r="P99" s="19">
        <v>0</v>
      </c>
      <c r="Q99" s="25">
        <v>0</v>
      </c>
      <c r="R99" s="25">
        <v>0</v>
      </c>
      <c r="S99" s="25">
        <v>1</v>
      </c>
    </row>
    <row r="100" spans="1:19" ht="21" customHeight="1">
      <c r="A100" s="7" t="str">
        <f t="shared" si="6"/>
        <v>144388</v>
      </c>
      <c r="B100" s="2">
        <f t="shared" si="8"/>
        <v>144</v>
      </c>
      <c r="C100" s="8" t="str">
        <f t="shared" si="7"/>
        <v>1PremiumS4</v>
      </c>
      <c r="D100" s="8" t="str">
        <f t="shared" si="9"/>
        <v>1PremiumS4</v>
      </c>
      <c r="E100" s="22">
        <v>1</v>
      </c>
      <c r="F100" s="23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22">
        <v>1</v>
      </c>
      <c r="N100" s="28">
        <f>VLOOKUP(D100,gacha_144_base!A:B,2,FALSE)</f>
        <v>633</v>
      </c>
      <c r="O100" s="25">
        <v>0</v>
      </c>
      <c r="P100" s="19">
        <v>0</v>
      </c>
      <c r="Q100" s="25">
        <v>0</v>
      </c>
      <c r="R100" s="25">
        <v>0</v>
      </c>
      <c r="S100" s="25">
        <v>1</v>
      </c>
    </row>
    <row r="101" spans="1:19" s="26" customFormat="1" ht="21" customHeight="1" thickBot="1">
      <c r="A101" s="7" t="str">
        <f t="shared" si="6"/>
        <v>144389</v>
      </c>
      <c r="B101" s="2">
        <f t="shared" si="8"/>
        <v>144</v>
      </c>
      <c r="C101" s="8" t="str">
        <f t="shared" si="7"/>
        <v>1PremiumS5</v>
      </c>
      <c r="D101" s="8" t="str">
        <f t="shared" si="9"/>
        <v>1PremiumS5</v>
      </c>
      <c r="E101" s="5">
        <v>1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8">
        <f>VLOOKUP(D101,gacha_144_base!A:B,2,FALSE)</f>
        <v>55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si="6"/>
        <v>144390</v>
      </c>
      <c r="B102" s="2">
        <f t="shared" si="8"/>
        <v>144</v>
      </c>
      <c r="C102" s="8" t="str">
        <f t="shared" si="7"/>
        <v>1PremiumSS4</v>
      </c>
      <c r="D102" s="8" t="str">
        <f t="shared" si="9"/>
        <v>1PremiumSS4</v>
      </c>
      <c r="E102" s="13">
        <v>1</v>
      </c>
      <c r="F102" s="21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3">
        <v>1</v>
      </c>
      <c r="N102" s="28">
        <f>VLOOKUP(D102,gacha_144_base!A:B,2,FALSE)</f>
        <v>316</v>
      </c>
      <c r="O102" s="10">
        <v>0</v>
      </c>
      <c r="P102" s="19">
        <v>0</v>
      </c>
      <c r="Q102" s="10">
        <v>0</v>
      </c>
      <c r="R102" s="10">
        <v>0</v>
      </c>
      <c r="S102" s="10">
        <v>1</v>
      </c>
    </row>
    <row r="103" spans="1:19" ht="21" customHeight="1">
      <c r="A103" s="7" t="str">
        <f t="shared" si="6"/>
        <v>144391</v>
      </c>
      <c r="B103" s="2">
        <f t="shared" si="8"/>
        <v>144</v>
      </c>
      <c r="C103" s="8" t="str">
        <f t="shared" si="7"/>
        <v>1PremiumSS5</v>
      </c>
      <c r="D103" s="8" t="str">
        <f t="shared" si="9"/>
        <v>1PremiumSS5</v>
      </c>
      <c r="E103" s="5">
        <v>1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VLOOKUP(D103,gacha_144_base!A:B,2,FALSE)</f>
        <v>28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6"/>
        <v>144393</v>
      </c>
      <c r="B104" s="2">
        <f t="shared" si="8"/>
        <v>144</v>
      </c>
      <c r="C104" s="8" t="str">
        <f t="shared" si="7"/>
        <v>1PremiumS4</v>
      </c>
      <c r="D104" s="8" t="str">
        <f t="shared" si="9"/>
        <v>1PremiumS4</v>
      </c>
      <c r="E104" s="5">
        <v>1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8">
        <f>VLOOKUP(D104,gacha_144_base!A:B,2,FALSE)</f>
        <v>633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6"/>
        <v>144394</v>
      </c>
      <c r="B105" s="2">
        <f t="shared" si="8"/>
        <v>144</v>
      </c>
      <c r="C105" s="8" t="str">
        <f t="shared" si="7"/>
        <v>1PremiumS5</v>
      </c>
      <c r="D105" s="8" t="str">
        <f t="shared" si="9"/>
        <v>1PremiumS5</v>
      </c>
      <c r="E105" s="5">
        <v>1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8">
        <f>VLOOKUP(D105,gacha_144_base!A:B,2,FALSE)</f>
        <v>55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si="6"/>
        <v>144396</v>
      </c>
      <c r="B106" s="2">
        <f t="shared" si="8"/>
        <v>144</v>
      </c>
      <c r="C106" s="8" t="str">
        <f t="shared" si="7"/>
        <v>1PremiumS4</v>
      </c>
      <c r="D106" s="8" t="str">
        <f t="shared" si="9"/>
        <v>1PremiumS4</v>
      </c>
      <c r="E106" s="5">
        <v>1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8">
        <f>VLOOKUP(D106,gacha_144_base!A:B,2,FALSE)</f>
        <v>633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s="26" customFormat="1" ht="21" customHeight="1" thickBot="1">
      <c r="A107" s="7" t="str">
        <f t="shared" si="6"/>
        <v>144397</v>
      </c>
      <c r="B107" s="2">
        <f t="shared" si="8"/>
        <v>144</v>
      </c>
      <c r="C107" s="8" t="str">
        <f t="shared" si="7"/>
        <v>1PremiumS5</v>
      </c>
      <c r="D107" s="8" t="str">
        <f t="shared" si="9"/>
        <v>1PremiumS5</v>
      </c>
      <c r="E107" s="5">
        <v>1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8">
        <f>VLOOKUP(D107,gacha_144_base!A:B,2,FALSE)</f>
        <v>55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6"/>
        <v>144398</v>
      </c>
      <c r="B108" s="2">
        <f t="shared" si="8"/>
        <v>144</v>
      </c>
      <c r="C108" s="8" t="str">
        <f t="shared" si="7"/>
        <v>1PremiumSS4</v>
      </c>
      <c r="D108" s="8" t="str">
        <f t="shared" si="9"/>
        <v>1PremiumSS4</v>
      </c>
      <c r="E108" s="5">
        <v>1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VLOOKUP(D108,gacha_144_base!A:B,2,FALSE)</f>
        <v>316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s="26" customFormat="1" ht="21" customHeight="1" thickBot="1">
      <c r="A109" s="7" t="str">
        <f t="shared" si="6"/>
        <v>144399</v>
      </c>
      <c r="B109" s="2">
        <f t="shared" si="8"/>
        <v>144</v>
      </c>
      <c r="C109" s="8" t="str">
        <f t="shared" si="7"/>
        <v>1PremiumSS5</v>
      </c>
      <c r="D109" s="8" t="str">
        <f t="shared" si="9"/>
        <v>1PremiumSS5</v>
      </c>
      <c r="E109" s="5">
        <v>1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8">
        <f>VLOOKUP(D109,gacha_144_base!A:B,2,FALSE)</f>
        <v>28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6"/>
        <v>144378</v>
      </c>
      <c r="B110" s="2">
        <f t="shared" si="8"/>
        <v>144</v>
      </c>
      <c r="C110" s="8" t="str">
        <f t="shared" si="7"/>
        <v>1PremiumSSS4</v>
      </c>
      <c r="D110" s="8" t="str">
        <f t="shared" si="9"/>
        <v>1PremiumSSS4</v>
      </c>
      <c r="E110" s="54">
        <v>1</v>
      </c>
      <c r="F110" s="55">
        <v>378</v>
      </c>
      <c r="G110" s="8" t="str">
        <f>VLOOKUP(F110,[1]characters!$A:$C,3,FALSE)</f>
        <v>オイラー</v>
      </c>
      <c r="H110" s="8" t="str">
        <f>VLOOKUP(F110,[1]characters!$A:$J,10,FALSE)</f>
        <v>PremiumSSS</v>
      </c>
      <c r="I110" s="8">
        <f>VLOOKUP(F110,[1]characters!$A:$I,9,FALSE)</f>
        <v>4</v>
      </c>
      <c r="J110" s="8" t="str">
        <f>VLOOKUP(F110,[1]characters!$A:$H,8,FALSE)</f>
        <v>green</v>
      </c>
      <c r="K110" s="8" t="str">
        <f>VLOOKUP(F110,[1]characters!$A:$K,11,FALSE)</f>
        <v>balance</v>
      </c>
      <c r="L110" s="8" t="str">
        <f>VLOOKUP(F110,[1]characters!$A:$M,13,FALSE)</f>
        <v>human</v>
      </c>
      <c r="M110" s="54">
        <v>1</v>
      </c>
      <c r="N110" s="58">
        <f>VLOOKUP(D110,gacha_144_base!A:B,2,FALSE)</f>
        <v>506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s="17" customFormat="1" ht="21" customHeight="1" thickBot="1">
      <c r="A111" s="52" t="str">
        <f t="shared" si="6"/>
        <v>144379</v>
      </c>
      <c r="B111" s="53">
        <f t="shared" si="8"/>
        <v>144</v>
      </c>
      <c r="C111" s="14" t="str">
        <f t="shared" si="7"/>
        <v>1PremiumSSS5</v>
      </c>
      <c r="D111" s="14" t="str">
        <f t="shared" si="9"/>
        <v>1PremiumSSS5</v>
      </c>
      <c r="E111" s="56">
        <v>1</v>
      </c>
      <c r="F111" s="57">
        <v>379</v>
      </c>
      <c r="G111" s="14" t="str">
        <f>VLOOKUP(F111,[1]characters!$A:$C,3,FALSE)</f>
        <v>幾何の機刃 オイラー</v>
      </c>
      <c r="H111" s="14" t="str">
        <f>VLOOKUP(F111,[1]characters!$A:$J,10,FALSE)</f>
        <v>PremiumSSS</v>
      </c>
      <c r="I111" s="14">
        <f>VLOOKUP(F111,[1]characters!$A:$I,9,FALSE)</f>
        <v>5</v>
      </c>
      <c r="J111" s="14" t="str">
        <f>VLOOKUP(F111,[1]characters!$A:$H,8,FALSE)</f>
        <v>green</v>
      </c>
      <c r="K111" s="14" t="str">
        <f>VLOOKUP(F111,[1]characters!$A:$K,11,FALSE)</f>
        <v>balance</v>
      </c>
      <c r="L111" s="14" t="str">
        <f>VLOOKUP(F111,[1]characters!$A:$M,13,FALSE)</f>
        <v>human</v>
      </c>
      <c r="M111" s="56">
        <v>1</v>
      </c>
      <c r="N111" s="59">
        <f>VLOOKUP(D111,gacha_144_base!A:B,2,FALSE)</f>
        <v>44</v>
      </c>
      <c r="O111" s="20">
        <v>0</v>
      </c>
      <c r="P111" s="20">
        <v>0</v>
      </c>
      <c r="Q111" s="20">
        <v>0</v>
      </c>
      <c r="R111" s="20">
        <v>0</v>
      </c>
      <c r="S111" s="20">
        <v>1</v>
      </c>
    </row>
    <row r="112" spans="1:19" ht="21" customHeight="1">
      <c r="A112" s="7" t="str">
        <f t="shared" si="6"/>
        <v>145126</v>
      </c>
      <c r="B112" s="37">
        <v>145</v>
      </c>
      <c r="C112" s="12" t="str">
        <f t="shared" si="7"/>
        <v>0PremiumW3</v>
      </c>
      <c r="D112" s="12" t="str">
        <f t="shared" si="9"/>
        <v>0PremiumW3</v>
      </c>
      <c r="E112" s="13">
        <v>0</v>
      </c>
      <c r="F112" s="18">
        <v>126</v>
      </c>
      <c r="G112" s="12" t="str">
        <f>VLOOKUP(F112,[1]characters!$A:$C,3,FALSE)</f>
        <v>骨器使い ユノ</v>
      </c>
      <c r="H112" s="12" t="str">
        <f>VLOOKUP(F112,[1]characters!$A:$J,10,FALSE)</f>
        <v>PremiumW</v>
      </c>
      <c r="I112" s="12">
        <f>VLOOKUP(F112,[1]characters!$A:$I,9,FALSE)</f>
        <v>3</v>
      </c>
      <c r="J112" s="12" t="str">
        <f>VLOOKUP(F112,[1]characters!$A:$H,8,FALSE)</f>
        <v>red</v>
      </c>
      <c r="K112" s="12" t="str">
        <f>VLOOKUP(F112,[1]characters!$A:$K,11,FALSE)</f>
        <v>attack</v>
      </c>
      <c r="L112" s="12" t="str">
        <f>VLOOKUP(F112,[1]characters!$A:$M,13,FALSE)</f>
        <v>human</v>
      </c>
      <c r="M112" s="13">
        <v>1</v>
      </c>
      <c r="N112" s="51">
        <f>VLOOKUP(D112,gacha_144_base!A:B,2,FALSE)</f>
        <v>1577</v>
      </c>
      <c r="O112" s="10">
        <v>0</v>
      </c>
      <c r="P112" s="10">
        <v>0</v>
      </c>
      <c r="Q112" s="10">
        <v>0</v>
      </c>
      <c r="R112" s="10">
        <v>0</v>
      </c>
      <c r="S112" s="10">
        <v>1</v>
      </c>
    </row>
    <row r="113" spans="1:19" ht="21" customHeight="1">
      <c r="A113" s="7" t="str">
        <f t="shared" si="6"/>
        <v>145128</v>
      </c>
      <c r="B113" s="2">
        <f>$B$112</f>
        <v>145</v>
      </c>
      <c r="C113" s="8" t="str">
        <f t="shared" si="7"/>
        <v>0PremiumW3</v>
      </c>
      <c r="D113" s="8" t="str">
        <f t="shared" si="9"/>
        <v>0PremiumW3</v>
      </c>
      <c r="E113" s="13">
        <v>0</v>
      </c>
      <c r="F113" s="18">
        <v>128</v>
      </c>
      <c r="G113" s="8" t="str">
        <f>VLOOKUP(F113,[1]characters!$A:$C,3,FALSE)</f>
        <v>野生児 アマラ</v>
      </c>
      <c r="H113" s="8" t="str">
        <f>VLOOKUP(F113,[1]characters!$A:$J,10,FALSE)</f>
        <v>PremiumW</v>
      </c>
      <c r="I113" s="8">
        <f>VLOOKUP(F113,[1]characters!$A:$I,9,FALSE)</f>
        <v>3</v>
      </c>
      <c r="J113" s="8" t="str">
        <f>VLOOKUP(F113,[1]characters!$A:$H,8,FALSE)</f>
        <v>green</v>
      </c>
      <c r="K113" s="8" t="str">
        <f>VLOOKUP(F113,[1]characters!$A:$K,11,FALSE)</f>
        <v>attack</v>
      </c>
      <c r="L113" s="8" t="str">
        <f>VLOOKUP(F113,[1]characters!$A:$M,13,FALSE)</f>
        <v>human</v>
      </c>
      <c r="M113" s="13">
        <v>1</v>
      </c>
      <c r="N113" s="28">
        <f>VLOOKUP(D113,gacha_144_base!A:B,2,FALSE)</f>
        <v>1577</v>
      </c>
      <c r="O113" s="10">
        <v>0</v>
      </c>
      <c r="P113" s="19">
        <v>0</v>
      </c>
      <c r="Q113" s="10">
        <v>0</v>
      </c>
      <c r="R113" s="10">
        <v>0</v>
      </c>
      <c r="S113" s="10">
        <v>1</v>
      </c>
    </row>
    <row r="114" spans="1:19" ht="21" customHeight="1">
      <c r="A114" s="7" t="str">
        <f t="shared" si="6"/>
        <v>145130</v>
      </c>
      <c r="B114" s="2">
        <f t="shared" ref="B114:B177" si="10">$B$112</f>
        <v>145</v>
      </c>
      <c r="C114" s="8" t="str">
        <f t="shared" si="7"/>
        <v>0PremiumW3</v>
      </c>
      <c r="D114" s="8" t="str">
        <f t="shared" si="9"/>
        <v>0PremiumW3</v>
      </c>
      <c r="E114" s="5">
        <v>0</v>
      </c>
      <c r="F114" s="6">
        <v>130</v>
      </c>
      <c r="G114" s="8" t="str">
        <f>VLOOKUP(F114,[1]characters!$A:$C,3,FALSE)</f>
        <v>狼男 ローレンス</v>
      </c>
      <c r="H114" s="8" t="str">
        <f>VLOOKUP(F114,[1]characters!$A:$J,10,FALSE)</f>
        <v>PremiumW</v>
      </c>
      <c r="I114" s="8">
        <f>VLOOKUP(F114,[1]characters!$A:$I,9,FALSE)</f>
        <v>3</v>
      </c>
      <c r="J114" s="8" t="str">
        <f>VLOOKUP(F114,[1]characters!$A:$H,8,FALSE)</f>
        <v>blue</v>
      </c>
      <c r="K114" s="8" t="str">
        <f>VLOOKUP(F114,[1]characters!$A:$K,11,FALSE)</f>
        <v>attack</v>
      </c>
      <c r="L114" s="8" t="str">
        <f>VLOOKUP(F114,[1]characters!$A:$M,13,FALSE)</f>
        <v>animal</v>
      </c>
      <c r="M114" s="5">
        <v>1</v>
      </c>
      <c r="N114" s="28">
        <f>VLOOKUP(D114,gacha_144_base!A:B,2,FALSE)</f>
        <v>1577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ht="21" customHeight="1">
      <c r="A115" s="7" t="str">
        <f t="shared" si="6"/>
        <v>145132</v>
      </c>
      <c r="B115" s="2">
        <f t="shared" si="10"/>
        <v>145</v>
      </c>
      <c r="C115" s="8" t="str">
        <f t="shared" si="7"/>
        <v>0PremiumW3</v>
      </c>
      <c r="D115" s="8" t="str">
        <f t="shared" si="9"/>
        <v>0PremiumW3</v>
      </c>
      <c r="E115" s="5">
        <v>0</v>
      </c>
      <c r="F115" s="6">
        <v>132</v>
      </c>
      <c r="G115" s="8" t="str">
        <f>VLOOKUP(F115,[1]characters!$A:$C,3,FALSE)</f>
        <v>鳥人ハヤト</v>
      </c>
      <c r="H115" s="8" t="str">
        <f>VLOOKUP(F115,[1]characters!$A:$J,10,FALSE)</f>
        <v>PremiumW</v>
      </c>
      <c r="I115" s="8">
        <f>VLOOKUP(F115,[1]characters!$A:$I,9,FALSE)</f>
        <v>3</v>
      </c>
      <c r="J115" s="8" t="str">
        <f>VLOOKUP(F115,[1]characters!$A:$H,8,FALSE)</f>
        <v>yellow</v>
      </c>
      <c r="K115" s="8" t="str">
        <f>VLOOKUP(F115,[1]characters!$A:$K,11,FALSE)</f>
        <v>attack</v>
      </c>
      <c r="L115" s="8" t="str">
        <f>VLOOKUP(F115,[1]characters!$A:$M,13,FALSE)</f>
        <v>human</v>
      </c>
      <c r="M115" s="5">
        <v>1</v>
      </c>
      <c r="N115" s="28">
        <f>VLOOKUP(D115,gacha_144_base!A:B,2,FALSE)</f>
        <v>1577</v>
      </c>
      <c r="O115" s="19">
        <v>0</v>
      </c>
      <c r="P115" s="19">
        <v>0</v>
      </c>
      <c r="Q115" s="19">
        <v>0</v>
      </c>
      <c r="R115" s="19">
        <v>0</v>
      </c>
      <c r="S115" s="19">
        <v>1</v>
      </c>
    </row>
    <row r="116" spans="1:19" ht="21" customHeight="1">
      <c r="A116" s="7" t="str">
        <f t="shared" si="6"/>
        <v>145134</v>
      </c>
      <c r="B116" s="2">
        <f t="shared" si="10"/>
        <v>145</v>
      </c>
      <c r="C116" s="8" t="str">
        <f t="shared" si="7"/>
        <v>0PremiumW3</v>
      </c>
      <c r="D116" s="8" t="str">
        <f t="shared" si="9"/>
        <v>0PremiumW3</v>
      </c>
      <c r="E116" s="5">
        <v>0</v>
      </c>
      <c r="F116" s="6">
        <v>134</v>
      </c>
      <c r="G116" s="8" t="str">
        <f>VLOOKUP(F116,[1]characters!$A:$C,3,FALSE)</f>
        <v>妖炎の夕霧</v>
      </c>
      <c r="H116" s="8" t="str">
        <f>VLOOKUP(F116,[1]characters!$A:$J,10,FALSE)</f>
        <v>PremiumW</v>
      </c>
      <c r="I116" s="8">
        <f>VLOOKUP(F116,[1]characters!$A:$I,9,FALSE)</f>
        <v>3</v>
      </c>
      <c r="J116" s="8" t="str">
        <f>VLOOKUP(F116,[1]characters!$A:$H,8,FALSE)</f>
        <v>red</v>
      </c>
      <c r="K116" s="8" t="str">
        <f>VLOOKUP(F116,[1]characters!$A:$K,11,FALSE)</f>
        <v>balance</v>
      </c>
      <c r="L116" s="8" t="str">
        <f>VLOOKUP(F116,[1]characters!$A:$M,13,FALSE)</f>
        <v>human</v>
      </c>
      <c r="M116" s="5">
        <v>1</v>
      </c>
      <c r="N116" s="28">
        <f>VLOOKUP(D116,gacha_144_base!A:B,2,FALSE)</f>
        <v>1577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ht="21" customHeight="1">
      <c r="A117" s="7" t="str">
        <f t="shared" si="6"/>
        <v>145136</v>
      </c>
      <c r="B117" s="2">
        <f t="shared" si="10"/>
        <v>145</v>
      </c>
      <c r="C117" s="8" t="str">
        <f t="shared" si="7"/>
        <v>0PremiumW3</v>
      </c>
      <c r="D117" s="8" t="str">
        <f t="shared" si="9"/>
        <v>0PremiumW3</v>
      </c>
      <c r="E117" s="5">
        <v>0</v>
      </c>
      <c r="F117" s="6">
        <v>136</v>
      </c>
      <c r="G117" s="8" t="str">
        <f>VLOOKUP(F117,[1]characters!$A:$C,3,FALSE)</f>
        <v>お針子チハヤ</v>
      </c>
      <c r="H117" s="8" t="str">
        <f>VLOOKUP(F117,[1]characters!$A:$J,10,FALSE)</f>
        <v>PremiumW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human</v>
      </c>
      <c r="M117" s="5">
        <v>1</v>
      </c>
      <c r="N117" s="28">
        <f>VLOOKUP(D117,gacha_144_base!A:B,2,FALSE)</f>
        <v>1577</v>
      </c>
      <c r="O117" s="19">
        <v>0</v>
      </c>
      <c r="P117" s="19">
        <v>0</v>
      </c>
      <c r="Q117" s="19">
        <v>0</v>
      </c>
      <c r="R117" s="19">
        <v>0</v>
      </c>
      <c r="S117" s="19">
        <v>1</v>
      </c>
    </row>
    <row r="118" spans="1:19" ht="21" customHeight="1">
      <c r="A118" s="7" t="str">
        <f t="shared" si="6"/>
        <v>145138</v>
      </c>
      <c r="B118" s="2">
        <f t="shared" si="10"/>
        <v>145</v>
      </c>
      <c r="C118" s="8" t="str">
        <f t="shared" si="7"/>
        <v>0PremiumW3</v>
      </c>
      <c r="D118" s="8" t="str">
        <f t="shared" si="9"/>
        <v>0PremiumW3</v>
      </c>
      <c r="E118" s="5">
        <v>0</v>
      </c>
      <c r="F118" s="6">
        <v>138</v>
      </c>
      <c r="G118" s="8" t="str">
        <f>VLOOKUP(F118,[1]characters!$A:$C,3,FALSE)</f>
        <v>蒼薙のトモエ</v>
      </c>
      <c r="H118" s="8" t="str">
        <f>VLOOKUP(F118,[1]characters!$A:$J,10,FALSE)</f>
        <v>PremiumW</v>
      </c>
      <c r="I118" s="8">
        <f>VLOOKUP(F118,[1]characters!$A:$I,9,FALSE)</f>
        <v>3</v>
      </c>
      <c r="J118" s="8" t="str">
        <f>VLOOKUP(F118,[1]characters!$A:$H,8,FALSE)</f>
        <v>blue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5">
        <v>1</v>
      </c>
      <c r="N118" s="28">
        <f>VLOOKUP(D118,gacha_144_base!A:B,2,FALSE)</f>
        <v>1577</v>
      </c>
      <c r="O118" s="19">
        <v>0</v>
      </c>
      <c r="P118" s="19">
        <v>0</v>
      </c>
      <c r="Q118" s="19">
        <v>0</v>
      </c>
      <c r="R118" s="19">
        <v>0</v>
      </c>
      <c r="S118" s="19">
        <v>1</v>
      </c>
    </row>
    <row r="119" spans="1:19" ht="21" customHeight="1">
      <c r="A119" s="7" t="str">
        <f t="shared" si="6"/>
        <v>145140</v>
      </c>
      <c r="B119" s="2">
        <f t="shared" si="10"/>
        <v>145</v>
      </c>
      <c r="C119" s="8" t="str">
        <f t="shared" si="7"/>
        <v>0PremiumW3</v>
      </c>
      <c r="D119" s="8" t="str">
        <f t="shared" si="9"/>
        <v>0PremiumW3</v>
      </c>
      <c r="E119" s="5">
        <v>0</v>
      </c>
      <c r="F119" s="6">
        <v>140</v>
      </c>
      <c r="G119" s="8" t="str">
        <f>VLOOKUP(F119,[1]characters!$A:$C,3,FALSE)</f>
        <v>秋祭のタマモ</v>
      </c>
      <c r="H119" s="8" t="str">
        <f>VLOOKUP(F119,[1]characters!$A:$J,10,FALSE)</f>
        <v>PremiumW</v>
      </c>
      <c r="I119" s="8">
        <f>VLOOKUP(F119,[1]characters!$A:$I,9,FALSE)</f>
        <v>3</v>
      </c>
      <c r="J119" s="8" t="str">
        <f>VLOOKUP(F119,[1]characters!$A:$H,8,FALSE)</f>
        <v>yellow</v>
      </c>
      <c r="K119" s="8" t="str">
        <f>VLOOKUP(F119,[1]characters!$A:$K,11,FALSE)</f>
        <v>balance</v>
      </c>
      <c r="L119" s="8" t="str">
        <f>VLOOKUP(F119,[1]characters!$A:$M,13,FALSE)</f>
        <v>animal</v>
      </c>
      <c r="M119" s="5">
        <v>1</v>
      </c>
      <c r="N119" s="28">
        <f>VLOOKUP(D119,gacha_144_base!A:B,2,FALSE)</f>
        <v>1577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6"/>
        <v>145142</v>
      </c>
      <c r="B120" s="2">
        <f t="shared" si="10"/>
        <v>145</v>
      </c>
      <c r="C120" s="8" t="str">
        <f t="shared" si="7"/>
        <v>0PremiumW3</v>
      </c>
      <c r="D120" s="8" t="str">
        <f t="shared" si="9"/>
        <v>0PremiumW3</v>
      </c>
      <c r="E120" s="5">
        <v>0</v>
      </c>
      <c r="F120" s="6">
        <v>142</v>
      </c>
      <c r="G120" s="8" t="str">
        <f>VLOOKUP(F120,[1]characters!$A:$C,3,FALSE)</f>
        <v>赤ずきん</v>
      </c>
      <c r="H120" s="8" t="str">
        <f>VLOOKUP(F120,[1]characters!$A:$J,10,FALSE)</f>
        <v>PremiumW</v>
      </c>
      <c r="I120" s="8">
        <f>VLOOKUP(F120,[1]characters!$A:$I,9,FALSE)</f>
        <v>3</v>
      </c>
      <c r="J120" s="8" t="str">
        <f>VLOOKUP(F120,[1]characters!$A:$H,8,FALSE)</f>
        <v>red</v>
      </c>
      <c r="K120" s="8" t="str">
        <f>VLOOKUP(F120,[1]characters!$A:$K,11,FALSE)</f>
        <v>balance</v>
      </c>
      <c r="L120" s="8" t="str">
        <f>VLOOKUP(F120,[1]characters!$A:$M,13,FALSE)</f>
        <v>human</v>
      </c>
      <c r="M120" s="5">
        <v>1</v>
      </c>
      <c r="N120" s="28">
        <f>VLOOKUP(D120,gacha_144_base!A:B,2,FALSE)</f>
        <v>1577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6"/>
        <v>145144</v>
      </c>
      <c r="B121" s="2">
        <f t="shared" si="10"/>
        <v>145</v>
      </c>
      <c r="C121" s="8" t="str">
        <f t="shared" si="7"/>
        <v>0PremiumW3</v>
      </c>
      <c r="D121" s="8" t="str">
        <f t="shared" si="9"/>
        <v>0PremiumW3</v>
      </c>
      <c r="E121" s="5">
        <v>0</v>
      </c>
      <c r="F121" s="6">
        <v>144</v>
      </c>
      <c r="G121" s="8" t="str">
        <f>VLOOKUP(F121,[1]characters!$A:$C,3,FALSE)</f>
        <v>かぐや</v>
      </c>
      <c r="H121" s="8" t="str">
        <f>VLOOKUP(F121,[1]characters!$A:$J,10,FALSE)</f>
        <v>PremiumW</v>
      </c>
      <c r="I121" s="8">
        <f>VLOOKUP(F121,[1]characters!$A:$I,9,FALSE)</f>
        <v>3</v>
      </c>
      <c r="J121" s="8" t="str">
        <f>VLOOKUP(F121,[1]characters!$A:$H,8,FALSE)</f>
        <v>green</v>
      </c>
      <c r="K121" s="8" t="str">
        <f>VLOOKUP(F121,[1]characters!$A:$K,11,FALSE)</f>
        <v>hp</v>
      </c>
      <c r="L121" s="8" t="str">
        <f>VLOOKUP(F121,[1]characters!$A:$M,13,FALSE)</f>
        <v>human</v>
      </c>
      <c r="M121" s="5">
        <v>1</v>
      </c>
      <c r="N121" s="28">
        <f>VLOOKUP(D121,gacha_144_base!A:B,2,FALSE)</f>
        <v>1577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si="6"/>
        <v>145146</v>
      </c>
      <c r="B122" s="2">
        <f t="shared" si="10"/>
        <v>145</v>
      </c>
      <c r="C122" s="8" t="str">
        <f t="shared" si="7"/>
        <v>0PremiumW3</v>
      </c>
      <c r="D122" s="8" t="str">
        <f t="shared" si="9"/>
        <v>0PremiumW3</v>
      </c>
      <c r="E122" s="5">
        <v>0</v>
      </c>
      <c r="F122" s="6">
        <v>146</v>
      </c>
      <c r="G122" s="8" t="str">
        <f>VLOOKUP(F122,[1]characters!$A:$C,3,FALSE)</f>
        <v>マーメイド</v>
      </c>
      <c r="H122" s="8" t="str">
        <f>VLOOKUP(F122,[1]characters!$A:$J,10,FALSE)</f>
        <v>PremiumW</v>
      </c>
      <c r="I122" s="8">
        <f>VLOOKUP(F122,[1]characters!$A:$I,9,FALSE)</f>
        <v>3</v>
      </c>
      <c r="J122" s="8" t="str">
        <f>VLOOKUP(F122,[1]characters!$A:$H,8,FALSE)</f>
        <v>blue</v>
      </c>
      <c r="K122" s="8" t="str">
        <f>VLOOKUP(F122,[1]characters!$A:$K,11,FALSE)</f>
        <v>hp</v>
      </c>
      <c r="L122" s="8" t="str">
        <f>VLOOKUP(F122,[1]characters!$A:$M,13,FALSE)</f>
        <v>human</v>
      </c>
      <c r="M122" s="5">
        <v>1</v>
      </c>
      <c r="N122" s="28">
        <f>VLOOKUP(D122,gacha_144_base!A:B,2,FALSE)</f>
        <v>1577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6"/>
        <v>145148</v>
      </c>
      <c r="B123" s="2">
        <f t="shared" si="10"/>
        <v>145</v>
      </c>
      <c r="C123" s="8" t="str">
        <f t="shared" si="7"/>
        <v>0PremiumW3</v>
      </c>
      <c r="D123" s="8" t="str">
        <f t="shared" si="9"/>
        <v>0PremiumW3</v>
      </c>
      <c r="E123" s="5">
        <v>0</v>
      </c>
      <c r="F123" s="6">
        <v>148</v>
      </c>
      <c r="G123" s="8" t="str">
        <f>VLOOKUP(F123,[1]characters!$A:$C,3,FALSE)</f>
        <v>シンデレラ</v>
      </c>
      <c r="H123" s="8" t="str">
        <f>VLOOKUP(F123,[1]characters!$A:$J,10,FALSE)</f>
        <v>PremiumW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balance</v>
      </c>
      <c r="L123" s="8" t="str">
        <f>VLOOKUP(F123,[1]characters!$A:$M,13,FALSE)</f>
        <v>human</v>
      </c>
      <c r="M123" s="5">
        <v>1</v>
      </c>
      <c r="N123" s="28">
        <f>VLOOKUP(D123,gacha_144_base!A:B,2,FALSE)</f>
        <v>1577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6"/>
        <v>145150</v>
      </c>
      <c r="B124" s="2">
        <f t="shared" si="10"/>
        <v>145</v>
      </c>
      <c r="C124" s="8" t="str">
        <f t="shared" si="7"/>
        <v>0PremiumW3</v>
      </c>
      <c r="D124" s="8" t="str">
        <f t="shared" si="9"/>
        <v>0PremiumW3</v>
      </c>
      <c r="E124" s="5">
        <v>0</v>
      </c>
      <c r="F124" s="6">
        <v>150</v>
      </c>
      <c r="G124" s="8" t="str">
        <f>VLOOKUP(F124,[1]characters!$A:$C,3,FALSE)</f>
        <v>ポイズンマスターサキ</v>
      </c>
      <c r="H124" s="8" t="str">
        <f>VLOOKUP(F124,[1]characters!$A:$J,10,FALSE)</f>
        <v>PremiumW</v>
      </c>
      <c r="I124" s="8">
        <f>VLOOKUP(F124,[1]characters!$A:$I,9,FALSE)</f>
        <v>3</v>
      </c>
      <c r="J124" s="8" t="str">
        <f>VLOOKUP(F124,[1]characters!$A:$H,8,FALSE)</f>
        <v>red</v>
      </c>
      <c r="K124" s="8" t="str">
        <f>VLOOKUP(F124,[1]characters!$A:$K,11,FALSE)</f>
        <v>technical</v>
      </c>
      <c r="L124" s="8" t="str">
        <f>VLOOKUP(F124,[1]characters!$A:$M,13,FALSE)</f>
        <v>human</v>
      </c>
      <c r="M124" s="5">
        <v>1</v>
      </c>
      <c r="N124" s="28">
        <f>VLOOKUP(D124,gacha_144_base!A:B,2,FALSE)</f>
        <v>1577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6"/>
        <v>145152</v>
      </c>
      <c r="B125" s="2">
        <f t="shared" si="10"/>
        <v>145</v>
      </c>
      <c r="C125" s="8" t="str">
        <f t="shared" si="7"/>
        <v>0PremiumW3</v>
      </c>
      <c r="D125" s="8" t="str">
        <f t="shared" si="9"/>
        <v>0PremiumW3</v>
      </c>
      <c r="E125" s="5">
        <v>0</v>
      </c>
      <c r="F125" s="6">
        <v>152</v>
      </c>
      <c r="G125" s="8" t="str">
        <f>VLOOKUP(F125,[1]characters!$A:$C,3,FALSE)</f>
        <v>功夫少女ランラン</v>
      </c>
      <c r="H125" s="8" t="str">
        <f>VLOOKUP(F125,[1]characters!$A:$J,10,FALSE)</f>
        <v>PremiumW</v>
      </c>
      <c r="I125" s="8">
        <f>VLOOKUP(F125,[1]characters!$A:$I,9,FALSE)</f>
        <v>3</v>
      </c>
      <c r="J125" s="8" t="str">
        <f>VLOOKUP(F125,[1]characters!$A:$H,8,FALSE)</f>
        <v>green</v>
      </c>
      <c r="K125" s="8" t="str">
        <f>VLOOKUP(F125,[1]characters!$A:$K,11,FALSE)</f>
        <v>heal</v>
      </c>
      <c r="L125" s="8" t="str">
        <f>VLOOKUP(F125,[1]characters!$A:$M,13,FALSE)</f>
        <v>human</v>
      </c>
      <c r="M125" s="5">
        <v>1</v>
      </c>
      <c r="N125" s="28">
        <f>VLOOKUP(D125,gacha_144_base!A:B,2,FALSE)</f>
        <v>1577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6"/>
        <v>145154</v>
      </c>
      <c r="B126" s="2">
        <f t="shared" si="10"/>
        <v>145</v>
      </c>
      <c r="C126" s="8" t="str">
        <f t="shared" si="7"/>
        <v>0PremiumW3</v>
      </c>
      <c r="D126" s="8" t="str">
        <f t="shared" si="9"/>
        <v>0PremiumW3</v>
      </c>
      <c r="E126" s="5">
        <v>0</v>
      </c>
      <c r="F126" s="6">
        <v>154</v>
      </c>
      <c r="G126" s="8" t="str">
        <f>VLOOKUP(F126,[1]characters!$A:$C,3,FALSE)</f>
        <v>始末屋 ハンナ</v>
      </c>
      <c r="H126" s="8" t="str">
        <f>VLOOKUP(F126,[1]characters!$A:$J,10,FALSE)</f>
        <v>PremiumW</v>
      </c>
      <c r="I126" s="8">
        <f>VLOOKUP(F126,[1]characters!$A:$I,9,FALSE)</f>
        <v>3</v>
      </c>
      <c r="J126" s="8" t="str">
        <f>VLOOKUP(F126,[1]characters!$A:$H,8,FALSE)</f>
        <v>blue</v>
      </c>
      <c r="K126" s="8" t="str">
        <f>VLOOKUP(F126,[1]characters!$A:$K,11,FALSE)</f>
        <v>heal</v>
      </c>
      <c r="L126" s="8" t="str">
        <f>VLOOKUP(F126,[1]characters!$A:$M,13,FALSE)</f>
        <v>human</v>
      </c>
      <c r="M126" s="5">
        <v>1</v>
      </c>
      <c r="N126" s="28">
        <f>VLOOKUP(D126,gacha_144_base!A:B,2,FALSE)</f>
        <v>1577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6"/>
        <v>145156</v>
      </c>
      <c r="B127" s="2">
        <f t="shared" si="10"/>
        <v>145</v>
      </c>
      <c r="C127" s="8" t="str">
        <f t="shared" si="7"/>
        <v>0PremiumW3</v>
      </c>
      <c r="D127" s="8" t="str">
        <f t="shared" si="9"/>
        <v>0PremiumW3</v>
      </c>
      <c r="E127" s="5">
        <v>0</v>
      </c>
      <c r="F127" s="6">
        <v>156</v>
      </c>
      <c r="G127" s="8" t="str">
        <f>VLOOKUP(F127,[1]characters!$A:$C,3,FALSE)</f>
        <v>踊り子 エレナ</v>
      </c>
      <c r="H127" s="8" t="str">
        <f>VLOOKUP(F127,[1]characters!$A:$J,10,FALSE)</f>
        <v>PremiumW</v>
      </c>
      <c r="I127" s="8">
        <f>VLOOKUP(F127,[1]characters!$A:$I,9,FALSE)</f>
        <v>3</v>
      </c>
      <c r="J127" s="8" t="str">
        <f>VLOOKUP(F127,[1]characters!$A:$H,8,FALSE)</f>
        <v>yellow</v>
      </c>
      <c r="K127" s="8" t="str">
        <f>VLOOKUP(F127,[1]characters!$A:$K,11,FALSE)</f>
        <v>heal</v>
      </c>
      <c r="L127" s="8" t="str">
        <f>VLOOKUP(F127,[1]characters!$A:$M,13,FALSE)</f>
        <v>human</v>
      </c>
      <c r="M127" s="5">
        <v>1</v>
      </c>
      <c r="N127" s="28">
        <f>VLOOKUP(D127,gacha_144_base!A:B,2,FALSE)</f>
        <v>1577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6"/>
        <v>145158</v>
      </c>
      <c r="B128" s="2">
        <f t="shared" si="10"/>
        <v>145</v>
      </c>
      <c r="C128" s="8" t="str">
        <f t="shared" si="7"/>
        <v>0PremiumW3</v>
      </c>
      <c r="D128" s="8" t="str">
        <f t="shared" si="9"/>
        <v>0PremiumW3</v>
      </c>
      <c r="E128" s="5">
        <v>0</v>
      </c>
      <c r="F128" s="6">
        <v>158</v>
      </c>
      <c r="G128" s="8" t="str">
        <f>VLOOKUP(F128,[1]characters!$A:$C,3,FALSE)</f>
        <v>シスター シャルロッテ</v>
      </c>
      <c r="H128" s="8" t="str">
        <f>VLOOKUP(F128,[1]characters!$A:$J,10,FALSE)</f>
        <v>PremiumW</v>
      </c>
      <c r="I128" s="8">
        <f>VLOOKUP(F128,[1]characters!$A:$I,9,FALSE)</f>
        <v>3</v>
      </c>
      <c r="J128" s="8" t="str">
        <f>VLOOKUP(F128,[1]characters!$A:$H,8,FALSE)</f>
        <v>red</v>
      </c>
      <c r="K128" s="8" t="str">
        <f>VLOOKUP(F128,[1]characters!$A:$K,11,FALSE)</f>
        <v>heal</v>
      </c>
      <c r="L128" s="8" t="str">
        <f>VLOOKUP(F128,[1]characters!$A:$M,13,FALSE)</f>
        <v>human</v>
      </c>
      <c r="M128" s="5">
        <v>1</v>
      </c>
      <c r="N128" s="28">
        <f>VLOOKUP(D128,gacha_144_base!A:B,2,FALSE)</f>
        <v>1577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6"/>
        <v>145160</v>
      </c>
      <c r="B129" s="2">
        <f t="shared" si="10"/>
        <v>145</v>
      </c>
      <c r="C129" s="8" t="str">
        <f t="shared" si="7"/>
        <v>0PremiumW3</v>
      </c>
      <c r="D129" s="8" t="str">
        <f t="shared" si="9"/>
        <v>0PremiumW3</v>
      </c>
      <c r="E129" s="5">
        <v>0</v>
      </c>
      <c r="F129" s="6">
        <v>160</v>
      </c>
      <c r="G129" s="8" t="str">
        <f>VLOOKUP(F129,[1]characters!$A:$C,3,FALSE)</f>
        <v>反逆者 クリエ</v>
      </c>
      <c r="H129" s="8" t="str">
        <f>VLOOKUP(F129,[1]characters!$A:$J,10,FALSE)</f>
        <v>PremiumW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5">
        <v>1</v>
      </c>
      <c r="N129" s="28">
        <f>VLOOKUP(D129,gacha_144_base!A:B,2,FALSE)</f>
        <v>1577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6"/>
        <v>145162</v>
      </c>
      <c r="B130" s="2">
        <f t="shared" si="10"/>
        <v>145</v>
      </c>
      <c r="C130" s="8" t="str">
        <f t="shared" si="7"/>
        <v>0PremiumW3</v>
      </c>
      <c r="D130" s="8" t="str">
        <f t="shared" si="9"/>
        <v>0PremiumW3</v>
      </c>
      <c r="E130" s="5">
        <v>0</v>
      </c>
      <c r="F130" s="6">
        <v>162</v>
      </c>
      <c r="G130" s="8" t="str">
        <f>VLOOKUP(F130,[1]characters!$A:$C,3,FALSE)</f>
        <v>狂女 クララ</v>
      </c>
      <c r="H130" s="8" t="str">
        <f>VLOOKUP(F130,[1]characters!$A:$J,10,FALSE)</f>
        <v>PremiumW</v>
      </c>
      <c r="I130" s="8">
        <f>VLOOKUP(F130,[1]characters!$A:$I,9,FALSE)</f>
        <v>3</v>
      </c>
      <c r="J130" s="8" t="str">
        <f>VLOOKUP(F130,[1]characters!$A:$H,8,FALSE)</f>
        <v>blue</v>
      </c>
      <c r="K130" s="8" t="str">
        <f>VLOOKUP(F130,[1]characters!$A:$K,11,FALSE)</f>
        <v>attack</v>
      </c>
      <c r="L130" s="8" t="str">
        <f>VLOOKUP(F130,[1]characters!$A:$M,13,FALSE)</f>
        <v>human</v>
      </c>
      <c r="M130" s="5">
        <v>1</v>
      </c>
      <c r="N130" s="28">
        <f>VLOOKUP(D130,gacha_144_base!A:B,2,FALSE)</f>
        <v>1577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6"/>
        <v>145164</v>
      </c>
      <c r="B131" s="2">
        <f t="shared" si="10"/>
        <v>145</v>
      </c>
      <c r="C131" s="8" t="str">
        <f t="shared" si="7"/>
        <v>0PremiumW3</v>
      </c>
      <c r="D131" s="8" t="str">
        <f t="shared" si="9"/>
        <v>0PremiumW3</v>
      </c>
      <c r="E131" s="5">
        <v>0</v>
      </c>
      <c r="F131" s="6">
        <v>164</v>
      </c>
      <c r="G131" s="8" t="str">
        <f>VLOOKUP(F131,[1]characters!$A:$C,3,FALSE)</f>
        <v>イブとトモダチ</v>
      </c>
      <c r="H131" s="8" t="str">
        <f>VLOOKUP(F131,[1]characters!$A:$J,10,FALSE)</f>
        <v>PremiumW</v>
      </c>
      <c r="I131" s="8">
        <f>VLOOKUP(F131,[1]characters!$A:$I,9,FALSE)</f>
        <v>3</v>
      </c>
      <c r="J131" s="8" t="str">
        <f>VLOOKUP(F131,[1]characters!$A:$H,8,FALSE)</f>
        <v>yellow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5">
        <v>1</v>
      </c>
      <c r="N131" s="28">
        <f>VLOOKUP(D131,gacha_144_base!A:B,2,FALSE)</f>
        <v>1577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6"/>
        <v>145166</v>
      </c>
      <c r="B132" s="2">
        <f t="shared" si="10"/>
        <v>145</v>
      </c>
      <c r="C132" s="8" t="str">
        <f t="shared" si="7"/>
        <v>0PremiumN3</v>
      </c>
      <c r="D132" s="8" t="str">
        <f t="shared" si="9"/>
        <v>0PremiumN3</v>
      </c>
      <c r="E132" s="5">
        <v>0</v>
      </c>
      <c r="F132" s="6">
        <v>166</v>
      </c>
      <c r="G132" s="8" t="str">
        <f>VLOOKUP(F132,[1]characters!$A:$C,3,FALSE)</f>
        <v>ベリアル</v>
      </c>
      <c r="H132" s="8" t="str">
        <f>VLOOKUP(F132,[1]characters!$A:$J,10,FALSE)</f>
        <v>PremiumN</v>
      </c>
      <c r="I132" s="8">
        <f>VLOOKUP(F132,[1]characters!$A:$I,9,FALSE)</f>
        <v>3</v>
      </c>
      <c r="J132" s="8" t="str">
        <f>VLOOKUP(F132,[1]characters!$A:$H,8,FALSE)</f>
        <v>red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28">
        <f>VLOOKUP(D132,gacha_144_base!A:B,2,FALSE)</f>
        <v>1560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ref="A133:A196" si="11">B133&amp;F133</f>
        <v>145169</v>
      </c>
      <c r="B133" s="2">
        <f t="shared" si="10"/>
        <v>145</v>
      </c>
      <c r="C133" s="8" t="str">
        <f t="shared" si="7"/>
        <v>0PremiumN3</v>
      </c>
      <c r="D133" s="8" t="str">
        <f t="shared" si="9"/>
        <v>0PremiumN3</v>
      </c>
      <c r="E133" s="5">
        <v>0</v>
      </c>
      <c r="F133" s="6">
        <v>169</v>
      </c>
      <c r="G133" s="8" t="str">
        <f>VLOOKUP(F133,[1]characters!$A:$C,3,FALSE)</f>
        <v>オセ</v>
      </c>
      <c r="H133" s="8" t="str">
        <f>VLOOKUP(F133,[1]characters!$A:$J,10,FALSE)</f>
        <v>PremiumN</v>
      </c>
      <c r="I133" s="8">
        <f>VLOOKUP(F133,[1]characters!$A:$I,9,FALSE)</f>
        <v>3</v>
      </c>
      <c r="J133" s="8" t="str">
        <f>VLOOKUP(F133,[1]characters!$A:$H,8,FALSE)</f>
        <v>green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28">
        <f>VLOOKUP(D133,gacha_144_base!A:B,2,FALSE)</f>
        <v>1560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11"/>
        <v>145172</v>
      </c>
      <c r="B134" s="2">
        <f t="shared" si="10"/>
        <v>145</v>
      </c>
      <c r="C134" s="8" t="str">
        <f t="shared" si="7"/>
        <v>0PremiumN3</v>
      </c>
      <c r="D134" s="8" t="str">
        <f t="shared" si="9"/>
        <v>0PremiumN3</v>
      </c>
      <c r="E134" s="5">
        <v>0</v>
      </c>
      <c r="F134" s="6">
        <v>172</v>
      </c>
      <c r="G134" s="8" t="str">
        <f>VLOOKUP(F134,[1]characters!$A:$C,3,FALSE)</f>
        <v>フォルネウス</v>
      </c>
      <c r="H134" s="8" t="str">
        <f>VLOOKUP(F134,[1]characters!$A:$J,10,FALSE)</f>
        <v>PremiumN</v>
      </c>
      <c r="I134" s="8">
        <f>VLOOKUP(F134,[1]characters!$A:$I,9,FALSE)</f>
        <v>3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28">
        <f>VLOOKUP(D134,gacha_144_base!A:B,2,FALSE)</f>
        <v>1560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11"/>
        <v>145175</v>
      </c>
      <c r="B135" s="2">
        <f t="shared" si="10"/>
        <v>145</v>
      </c>
      <c r="C135" s="8" t="str">
        <f t="shared" si="7"/>
        <v>0PremiumN3</v>
      </c>
      <c r="D135" s="8" t="str">
        <f t="shared" si="9"/>
        <v>0PremiumN3</v>
      </c>
      <c r="E135" s="5">
        <v>0</v>
      </c>
      <c r="F135" s="6">
        <v>175</v>
      </c>
      <c r="G135" s="8" t="str">
        <f>VLOOKUP(F135,[1]characters!$A:$C,3,FALSE)</f>
        <v>バフォメット</v>
      </c>
      <c r="H135" s="8" t="str">
        <f>VLOOKUP(F135,[1]characters!$A:$J,10,FALSE)</f>
        <v>PremiumN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attack</v>
      </c>
      <c r="L135" s="8" t="str">
        <f>VLOOKUP(F135,[1]characters!$A:$M,13,FALSE)</f>
        <v>god</v>
      </c>
      <c r="M135" s="5">
        <v>1</v>
      </c>
      <c r="N135" s="28">
        <f>VLOOKUP(D135,gacha_144_base!A:B,2,FALSE)</f>
        <v>1560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11"/>
        <v>145178</v>
      </c>
      <c r="B136" s="2">
        <f t="shared" si="10"/>
        <v>145</v>
      </c>
      <c r="C136" s="8" t="str">
        <f t="shared" si="7"/>
        <v>0PremiumN3</v>
      </c>
      <c r="D136" s="8" t="str">
        <f t="shared" si="9"/>
        <v>0PremiumN3</v>
      </c>
      <c r="E136" s="5">
        <v>0</v>
      </c>
      <c r="F136" s="6">
        <v>178</v>
      </c>
      <c r="G136" s="8" t="str">
        <f>VLOOKUP(F136,[1]characters!$A:$C,3,FALSE)</f>
        <v>ケルベロス</v>
      </c>
      <c r="H136" s="8" t="str">
        <f>VLOOKUP(F136,[1]characters!$A:$J,10,FALSE)</f>
        <v>PremiumN</v>
      </c>
      <c r="I136" s="8">
        <f>VLOOKUP(F136,[1]characters!$A:$I,9,FALSE)</f>
        <v>3</v>
      </c>
      <c r="J136" s="8" t="str">
        <f>VLOOKUP(F136,[1]characters!$A:$H,8,FALSE)</f>
        <v>red</v>
      </c>
      <c r="K136" s="8" t="str">
        <f>VLOOKUP(F136,[1]characters!$A:$K,11,FALSE)</f>
        <v>balance</v>
      </c>
      <c r="L136" s="8" t="str">
        <f>VLOOKUP(F136,[1]characters!$A:$M,13,FALSE)</f>
        <v>animal</v>
      </c>
      <c r="M136" s="5">
        <v>1</v>
      </c>
      <c r="N136" s="28">
        <f>VLOOKUP(D136,gacha_144_base!A:B,2,FALSE)</f>
        <v>1560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11"/>
        <v>145181</v>
      </c>
      <c r="B137" s="2">
        <f t="shared" si="10"/>
        <v>145</v>
      </c>
      <c r="C137" s="8" t="str">
        <f t="shared" si="7"/>
        <v>0PremiumN3</v>
      </c>
      <c r="D137" s="8" t="str">
        <f t="shared" si="9"/>
        <v>0PremiumN3</v>
      </c>
      <c r="E137" s="5">
        <v>0</v>
      </c>
      <c r="F137" s="6">
        <v>181</v>
      </c>
      <c r="G137" s="8" t="str">
        <f>VLOOKUP(F137,[1]characters!$A:$C,3,FALSE)</f>
        <v>ベヒモス</v>
      </c>
      <c r="H137" s="8" t="str">
        <f>VLOOKUP(F137,[1]characters!$A:$J,10,FALSE)</f>
        <v>PremiumN</v>
      </c>
      <c r="I137" s="8">
        <f>VLOOKUP(F137,[1]characters!$A:$I,9,FALSE)</f>
        <v>3</v>
      </c>
      <c r="J137" s="8" t="str">
        <f>VLOOKUP(F137,[1]characters!$A:$H,8,FALSE)</f>
        <v>green</v>
      </c>
      <c r="K137" s="8" t="str">
        <f>VLOOKUP(F137,[1]characters!$A:$K,11,FALSE)</f>
        <v>hp</v>
      </c>
      <c r="L137" s="8" t="str">
        <f>VLOOKUP(F137,[1]characters!$A:$M,13,FALSE)</f>
        <v>animal</v>
      </c>
      <c r="M137" s="5">
        <v>1</v>
      </c>
      <c r="N137" s="28">
        <f>VLOOKUP(D137,gacha_144_base!A:B,2,FALSE)</f>
        <v>1560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11"/>
        <v>145184</v>
      </c>
      <c r="B138" s="2">
        <f t="shared" si="10"/>
        <v>145</v>
      </c>
      <c r="C138" s="8" t="str">
        <f t="shared" si="7"/>
        <v>0PremiumN3</v>
      </c>
      <c r="D138" s="8" t="str">
        <f t="shared" si="9"/>
        <v>0PremiumN3</v>
      </c>
      <c r="E138" s="5">
        <v>0</v>
      </c>
      <c r="F138" s="6">
        <v>184</v>
      </c>
      <c r="G138" s="8" t="str">
        <f>VLOOKUP(F138,[1]characters!$A:$C,3,FALSE)</f>
        <v>クラーケン</v>
      </c>
      <c r="H138" s="8" t="str">
        <f>VLOOKUP(F138,[1]characters!$A:$J,10,FALSE)</f>
        <v>PremiumN</v>
      </c>
      <c r="I138" s="8">
        <f>VLOOKUP(F138,[1]characters!$A:$I,9,FALSE)</f>
        <v>3</v>
      </c>
      <c r="J138" s="8" t="str">
        <f>VLOOKUP(F138,[1]characters!$A:$H,8,FALSE)</f>
        <v>blue</v>
      </c>
      <c r="K138" s="8" t="str">
        <f>VLOOKUP(F138,[1]characters!$A:$K,11,FALSE)</f>
        <v>heal</v>
      </c>
      <c r="L138" s="8" t="str">
        <f>VLOOKUP(F138,[1]characters!$A:$M,13,FALSE)</f>
        <v>animal</v>
      </c>
      <c r="M138" s="5">
        <v>1</v>
      </c>
      <c r="N138" s="28">
        <f>VLOOKUP(D138,gacha_144_base!A:B,2,FALSE)</f>
        <v>1560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11"/>
        <v>145187</v>
      </c>
      <c r="B139" s="2">
        <f t="shared" si="10"/>
        <v>145</v>
      </c>
      <c r="C139" s="8" t="str">
        <f t="shared" si="7"/>
        <v>0PremiumN3</v>
      </c>
      <c r="D139" s="8" t="str">
        <f t="shared" si="9"/>
        <v>0PremiumN3</v>
      </c>
      <c r="E139" s="5">
        <v>0</v>
      </c>
      <c r="F139" s="6">
        <v>187</v>
      </c>
      <c r="G139" s="8" t="str">
        <f>VLOOKUP(F139,[1]characters!$A:$C,3,FALSE)</f>
        <v>ホルス</v>
      </c>
      <c r="H139" s="8" t="str">
        <f>VLOOKUP(F139,[1]characters!$A:$J,10,FALSE)</f>
        <v>PremiumN</v>
      </c>
      <c r="I139" s="8">
        <f>VLOOKUP(F139,[1]characters!$A:$I,9,FALSE)</f>
        <v>3</v>
      </c>
      <c r="J139" s="8" t="str">
        <f>VLOOKUP(F139,[1]characters!$A:$H,8,FALSE)</f>
        <v>yellow</v>
      </c>
      <c r="K139" s="8" t="str">
        <f>VLOOKUP(F139,[1]characters!$A:$K,11,FALSE)</f>
        <v>attack</v>
      </c>
      <c r="L139" s="8" t="str">
        <f>VLOOKUP(F139,[1]characters!$A:$M,13,FALSE)</f>
        <v>animal</v>
      </c>
      <c r="M139" s="5">
        <v>1</v>
      </c>
      <c r="N139" s="28">
        <f>VLOOKUP(D139,gacha_144_base!A:B,2,FALSE)</f>
        <v>1560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1"/>
        <v>145190</v>
      </c>
      <c r="B140" s="2">
        <f t="shared" si="10"/>
        <v>145</v>
      </c>
      <c r="C140" s="8" t="str">
        <f t="shared" si="7"/>
        <v>0PremiumN3</v>
      </c>
      <c r="D140" s="8" t="str">
        <f t="shared" si="9"/>
        <v>0PremiumN3</v>
      </c>
      <c r="E140" s="5">
        <v>0</v>
      </c>
      <c r="F140" s="6">
        <v>190</v>
      </c>
      <c r="G140" s="8" t="str">
        <f>VLOOKUP(F140,[1]characters!$A:$C,3,FALSE)</f>
        <v>卑弥呼</v>
      </c>
      <c r="H140" s="8" t="str">
        <f>VLOOKUP(F140,[1]characters!$A:$J,10,FALSE)</f>
        <v>PremiumN</v>
      </c>
      <c r="I140" s="8">
        <f>VLOOKUP(F140,[1]characters!$A:$I,9,FALSE)</f>
        <v>3</v>
      </c>
      <c r="J140" s="8" t="str">
        <f>VLOOKUP(F140,[1]characters!$A:$H,8,FALSE)</f>
        <v>red</v>
      </c>
      <c r="K140" s="8" t="str">
        <f>VLOOKUP(F140,[1]characters!$A:$K,11,FALSE)</f>
        <v>balance</v>
      </c>
      <c r="L140" s="8" t="str">
        <f>VLOOKUP(F140,[1]characters!$A:$M,13,FALSE)</f>
        <v>human</v>
      </c>
      <c r="M140" s="5">
        <v>1</v>
      </c>
      <c r="N140" s="28">
        <f>VLOOKUP(D140,gacha_144_base!A:B,2,FALSE)</f>
        <v>1560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1"/>
        <v>145193</v>
      </c>
      <c r="B141" s="2">
        <f t="shared" si="10"/>
        <v>145</v>
      </c>
      <c r="C141" s="8" t="str">
        <f t="shared" ref="C141:C204" si="12">E141&amp;H141&amp;I141</f>
        <v>0PremiumN3</v>
      </c>
      <c r="D141" s="8" t="str">
        <f t="shared" si="9"/>
        <v>0PremiumN3</v>
      </c>
      <c r="E141" s="5">
        <v>0</v>
      </c>
      <c r="F141" s="6">
        <v>193</v>
      </c>
      <c r="G141" s="8" t="str">
        <f>VLOOKUP(F141,[1]characters!$A:$C,3,FALSE)</f>
        <v>ロビンフッド</v>
      </c>
      <c r="H141" s="8" t="str">
        <f>VLOOKUP(F141,[1]characters!$A:$J,10,FALSE)</f>
        <v>PremiumN</v>
      </c>
      <c r="I141" s="8">
        <f>VLOOKUP(F141,[1]characters!$A:$I,9,FALSE)</f>
        <v>3</v>
      </c>
      <c r="J141" s="8" t="str">
        <f>VLOOKUP(F141,[1]characters!$A:$H,8,FALSE)</f>
        <v>green</v>
      </c>
      <c r="K141" s="8" t="str">
        <f>VLOOKUP(F141,[1]characters!$A:$K,11,FALSE)</f>
        <v>balance</v>
      </c>
      <c r="L141" s="8" t="str">
        <f>VLOOKUP(F141,[1]characters!$A:$M,13,FALSE)</f>
        <v>human</v>
      </c>
      <c r="M141" s="5">
        <v>1</v>
      </c>
      <c r="N141" s="28">
        <f>VLOOKUP(D141,gacha_144_base!A:B,2,FALSE)</f>
        <v>1560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1"/>
        <v>145196</v>
      </c>
      <c r="B142" s="2">
        <f t="shared" si="10"/>
        <v>145</v>
      </c>
      <c r="C142" s="8" t="str">
        <f t="shared" si="12"/>
        <v>0PremiumN3</v>
      </c>
      <c r="D142" s="8" t="str">
        <f t="shared" si="9"/>
        <v>0PremiumN3</v>
      </c>
      <c r="E142" s="5">
        <v>0</v>
      </c>
      <c r="F142" s="6">
        <v>196</v>
      </c>
      <c r="G142" s="8" t="str">
        <f>VLOOKUP(F142,[1]characters!$A:$C,3,FALSE)</f>
        <v>アキレス</v>
      </c>
      <c r="H142" s="8" t="str">
        <f>VLOOKUP(F142,[1]characters!$A:$J,10,FALSE)</f>
        <v>PremiumN</v>
      </c>
      <c r="I142" s="8">
        <f>VLOOKUP(F142,[1]characters!$A:$I,9,FALSE)</f>
        <v>3</v>
      </c>
      <c r="J142" s="8" t="str">
        <f>VLOOKUP(F142,[1]characters!$A:$H,8,FALSE)</f>
        <v>yellow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28">
        <f>VLOOKUP(D142,gacha_144_base!A:B,2,FALSE)</f>
        <v>1560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ht="21" customHeight="1">
      <c r="A143" s="7" t="str">
        <f t="shared" si="11"/>
        <v>145199</v>
      </c>
      <c r="B143" s="2">
        <f t="shared" si="10"/>
        <v>145</v>
      </c>
      <c r="C143" s="8" t="str">
        <f t="shared" si="12"/>
        <v>0PremiumN3</v>
      </c>
      <c r="D143" s="8" t="str">
        <f t="shared" si="9"/>
        <v>0PremiumN3</v>
      </c>
      <c r="E143" s="5">
        <v>0</v>
      </c>
      <c r="F143" s="6">
        <v>199</v>
      </c>
      <c r="G143" s="8" t="str">
        <f>VLOOKUP(F143,[1]characters!$A:$C,3,FALSE)</f>
        <v>ジークフリート</v>
      </c>
      <c r="H143" s="8" t="str">
        <f>VLOOKUP(F143,[1]characters!$A:$J,10,FALSE)</f>
        <v>PremiumN</v>
      </c>
      <c r="I143" s="8">
        <f>VLOOKUP(F143,[1]characters!$A:$I,9,FALSE)</f>
        <v>3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28">
        <f>VLOOKUP(D143,gacha_144_base!A:B,2,FALSE)</f>
        <v>1560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1"/>
        <v>145202</v>
      </c>
      <c r="B144" s="2">
        <f t="shared" si="10"/>
        <v>145</v>
      </c>
      <c r="C144" s="8" t="str">
        <f t="shared" si="12"/>
        <v>0PremiumN3</v>
      </c>
      <c r="D144" s="8" t="str">
        <f t="shared" si="9"/>
        <v>0PremiumN3</v>
      </c>
      <c r="E144" s="5">
        <v>0</v>
      </c>
      <c r="F144" s="6">
        <v>202</v>
      </c>
      <c r="G144" s="8" t="str">
        <f>VLOOKUP(F144,[1]characters!$A:$C,3,FALSE)</f>
        <v>プロメテウス</v>
      </c>
      <c r="H144" s="8" t="str">
        <f>VLOOKUP(F144,[1]characters!$A:$J,10,FALSE)</f>
        <v>PremiumN</v>
      </c>
      <c r="I144" s="8">
        <f>VLOOKUP(F144,[1]characters!$A:$I,9,FALSE)</f>
        <v>3</v>
      </c>
      <c r="J144" s="8" t="str">
        <f>VLOOKUP(F144,[1]characters!$A:$H,8,FALSE)</f>
        <v>red</v>
      </c>
      <c r="K144" s="8" t="str">
        <f>VLOOKUP(F144,[1]characters!$A:$K,11,FALSE)</f>
        <v>hp</v>
      </c>
      <c r="L144" s="8" t="str">
        <f>VLOOKUP(F144,[1]characters!$A:$M,13,FALSE)</f>
        <v>god</v>
      </c>
      <c r="M144" s="5">
        <v>1</v>
      </c>
      <c r="N144" s="28">
        <f>VLOOKUP(D144,gacha_144_base!A:B,2,FALSE)</f>
        <v>1560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1"/>
        <v>145205</v>
      </c>
      <c r="B145" s="2">
        <f t="shared" si="10"/>
        <v>145</v>
      </c>
      <c r="C145" s="8" t="str">
        <f t="shared" si="12"/>
        <v>0PremiumN3</v>
      </c>
      <c r="D145" s="8" t="str">
        <f t="shared" si="9"/>
        <v>0PremiumN3</v>
      </c>
      <c r="E145" s="5">
        <v>0</v>
      </c>
      <c r="F145" s="6">
        <v>205</v>
      </c>
      <c r="G145" s="8" t="str">
        <f>VLOOKUP(F145,[1]characters!$A:$C,3,FALSE)</f>
        <v>アフロディーテ</v>
      </c>
      <c r="H145" s="8" t="str">
        <f>VLOOKUP(F145,[1]characters!$A:$J,10,FALSE)</f>
        <v>PremiumN</v>
      </c>
      <c r="I145" s="8">
        <f>VLOOKUP(F145,[1]characters!$A:$I,9,FALSE)</f>
        <v>3</v>
      </c>
      <c r="J145" s="8" t="str">
        <f>VLOOKUP(F145,[1]characters!$A:$H,8,FALSE)</f>
        <v>green</v>
      </c>
      <c r="K145" s="8" t="str">
        <f>VLOOKUP(F145,[1]characters!$A:$K,11,FALSE)</f>
        <v>hp</v>
      </c>
      <c r="L145" s="8" t="str">
        <f>VLOOKUP(F145,[1]characters!$A:$M,13,FALSE)</f>
        <v>god</v>
      </c>
      <c r="M145" s="5">
        <v>1</v>
      </c>
      <c r="N145" s="28">
        <f>VLOOKUP(D145,gacha_144_base!A:B,2,FALSE)</f>
        <v>1560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1"/>
        <v>145208</v>
      </c>
      <c r="B146" s="2">
        <f t="shared" si="10"/>
        <v>145</v>
      </c>
      <c r="C146" s="8" t="str">
        <f t="shared" si="12"/>
        <v>0PremiumN3</v>
      </c>
      <c r="D146" s="8" t="str">
        <f t="shared" si="9"/>
        <v>0PremiumN3</v>
      </c>
      <c r="E146" s="5">
        <v>0</v>
      </c>
      <c r="F146" s="6">
        <v>208</v>
      </c>
      <c r="G146" s="8" t="str">
        <f>VLOOKUP(F146,[1]characters!$A:$C,3,FALSE)</f>
        <v>テティス</v>
      </c>
      <c r="H146" s="8" t="str">
        <f>VLOOKUP(F146,[1]characters!$A:$J,10,FALSE)</f>
        <v>PremiumN</v>
      </c>
      <c r="I146" s="8">
        <f>VLOOKUP(F146,[1]characters!$A:$I,9,FALSE)</f>
        <v>3</v>
      </c>
      <c r="J146" s="8" t="str">
        <f>VLOOKUP(F146,[1]characters!$A:$H,8,FALSE)</f>
        <v>blue</v>
      </c>
      <c r="K146" s="8" t="str">
        <f>VLOOKUP(F146,[1]characters!$A:$K,11,FALSE)</f>
        <v>hp</v>
      </c>
      <c r="L146" s="8" t="str">
        <f>VLOOKUP(F146,[1]characters!$A:$M,13,FALSE)</f>
        <v>god</v>
      </c>
      <c r="M146" s="5">
        <v>1</v>
      </c>
      <c r="N146" s="28">
        <f>VLOOKUP(D146,gacha_144_base!A:B,2,FALSE)</f>
        <v>1560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1"/>
        <v>145211</v>
      </c>
      <c r="B147" s="2">
        <f t="shared" si="10"/>
        <v>145</v>
      </c>
      <c r="C147" s="8" t="str">
        <f t="shared" si="12"/>
        <v>0PremiumN3</v>
      </c>
      <c r="D147" s="8" t="str">
        <f t="shared" si="9"/>
        <v>0PremiumN3</v>
      </c>
      <c r="E147" s="5">
        <v>0</v>
      </c>
      <c r="F147" s="6">
        <v>211</v>
      </c>
      <c r="G147" s="8" t="str">
        <f>VLOOKUP(F147,[1]characters!$A:$C,3,FALSE)</f>
        <v>アストライアー</v>
      </c>
      <c r="H147" s="8" t="str">
        <f>VLOOKUP(F147,[1]characters!$A:$J,10,FALSE)</f>
        <v>PremiumN</v>
      </c>
      <c r="I147" s="8">
        <f>VLOOKUP(F147,[1]characters!$A:$I,9,FALSE)</f>
        <v>3</v>
      </c>
      <c r="J147" s="8" t="str">
        <f>VLOOKUP(F147,[1]characters!$A:$H,8,FALSE)</f>
        <v>yellow</v>
      </c>
      <c r="K147" s="8" t="str">
        <f>VLOOKUP(F147,[1]characters!$A:$K,11,FALSE)</f>
        <v>balance</v>
      </c>
      <c r="L147" s="8" t="str">
        <f>VLOOKUP(F147,[1]characters!$A:$M,13,FALSE)</f>
        <v>god</v>
      </c>
      <c r="M147" s="5">
        <v>1</v>
      </c>
      <c r="N147" s="28">
        <f>VLOOKUP(D147,gacha_144_base!A:B,2,FALSE)</f>
        <v>1560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1"/>
        <v>145214</v>
      </c>
      <c r="B148" s="2">
        <f t="shared" si="10"/>
        <v>145</v>
      </c>
      <c r="C148" s="8" t="str">
        <f t="shared" si="12"/>
        <v>0PremiumN3</v>
      </c>
      <c r="D148" s="8" t="str">
        <f t="shared" si="9"/>
        <v>0PremiumN3</v>
      </c>
      <c r="E148" s="5">
        <v>0</v>
      </c>
      <c r="F148" s="6">
        <v>214</v>
      </c>
      <c r="G148" s="8" t="str">
        <f>VLOOKUP(F148,[1]characters!$A:$C,3,FALSE)</f>
        <v>アズラエル</v>
      </c>
      <c r="H148" s="8" t="str">
        <f>VLOOKUP(F148,[1]characters!$A:$J,10,FALSE)</f>
        <v>PremiumN</v>
      </c>
      <c r="I148" s="8">
        <f>VLOOKUP(F148,[1]characters!$A:$I,9,FALSE)</f>
        <v>3</v>
      </c>
      <c r="J148" s="8" t="str">
        <f>VLOOKUP(F148,[1]characters!$A:$H,8,FALSE)</f>
        <v>red</v>
      </c>
      <c r="K148" s="8" t="str">
        <f>VLOOKUP(F148,[1]characters!$A:$K,11,FALSE)</f>
        <v>balance</v>
      </c>
      <c r="L148" s="8" t="str">
        <f>VLOOKUP(F148,[1]characters!$A:$M,13,FALSE)</f>
        <v>god</v>
      </c>
      <c r="M148" s="5">
        <v>1</v>
      </c>
      <c r="N148" s="28">
        <f>VLOOKUP(D148,gacha_144_base!A:B,2,FALSE)</f>
        <v>1560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1"/>
        <v>145217</v>
      </c>
      <c r="B149" s="2">
        <f t="shared" si="10"/>
        <v>145</v>
      </c>
      <c r="C149" s="8" t="str">
        <f t="shared" si="12"/>
        <v>0PremiumN3</v>
      </c>
      <c r="D149" s="8" t="str">
        <f t="shared" si="9"/>
        <v>0PremiumN3</v>
      </c>
      <c r="E149" s="5">
        <v>0</v>
      </c>
      <c r="F149" s="6">
        <v>217</v>
      </c>
      <c r="G149" s="8" t="str">
        <f>VLOOKUP(F149,[1]characters!$A:$C,3,FALSE)</f>
        <v>ケツァクアトル</v>
      </c>
      <c r="H149" s="8" t="str">
        <f>VLOOKUP(F149,[1]characters!$A:$J,10,FALSE)</f>
        <v>PremiumN</v>
      </c>
      <c r="I149" s="8">
        <f>VLOOKUP(F149,[1]characters!$A:$I,9,FALSE)</f>
        <v>3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28">
        <f>VLOOKUP(D149,gacha_144_base!A:B,2,FALSE)</f>
        <v>1560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1"/>
        <v>145220</v>
      </c>
      <c r="B150" s="2">
        <f t="shared" si="10"/>
        <v>145</v>
      </c>
      <c r="C150" s="8" t="str">
        <f t="shared" si="12"/>
        <v>0PremiumN3</v>
      </c>
      <c r="D150" s="8" t="str">
        <f t="shared" si="9"/>
        <v>0PremiumN3</v>
      </c>
      <c r="E150" s="5">
        <v>0</v>
      </c>
      <c r="F150" s="6">
        <v>220</v>
      </c>
      <c r="G150" s="8" t="str">
        <f>VLOOKUP(F150,[1]characters!$A:$C,3,FALSE)</f>
        <v>ルキフグス</v>
      </c>
      <c r="H150" s="8" t="str">
        <f>VLOOKUP(F150,[1]characters!$A:$J,10,FALSE)</f>
        <v>PremiumN</v>
      </c>
      <c r="I150" s="8">
        <f>VLOOKUP(F150,[1]characters!$A:$I,9,FALSE)</f>
        <v>3</v>
      </c>
      <c r="J150" s="8" t="str">
        <f>VLOOKUP(F150,[1]characters!$A:$H,8,FALSE)</f>
        <v>blue</v>
      </c>
      <c r="K150" s="8" t="str">
        <f>VLOOKUP(F150,[1]characters!$A:$K,11,FALSE)</f>
        <v>balance</v>
      </c>
      <c r="L150" s="8" t="str">
        <f>VLOOKUP(F150,[1]characters!$A:$M,13,FALSE)</f>
        <v>god</v>
      </c>
      <c r="M150" s="5">
        <v>1</v>
      </c>
      <c r="N150" s="28">
        <f>VLOOKUP(D150,gacha_144_base!A:B,2,FALSE)</f>
        <v>1560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1"/>
        <v>145223</v>
      </c>
      <c r="B151" s="2">
        <f t="shared" si="10"/>
        <v>145</v>
      </c>
      <c r="C151" s="8" t="str">
        <f t="shared" si="12"/>
        <v>0PremiumN3</v>
      </c>
      <c r="D151" s="8" t="str">
        <f t="shared" si="9"/>
        <v>0PremiumN3</v>
      </c>
      <c r="E151" s="5">
        <v>0</v>
      </c>
      <c r="F151" s="6">
        <v>223</v>
      </c>
      <c r="G151" s="8" t="str">
        <f>VLOOKUP(F151,[1]characters!$A:$C,3,FALSE)</f>
        <v>ヘラクレス</v>
      </c>
      <c r="H151" s="8" t="str">
        <f>VLOOKUP(F151,[1]characters!$A:$J,10,FALSE)</f>
        <v>PremiumN</v>
      </c>
      <c r="I151" s="8">
        <f>VLOOKUP(F151,[1]characters!$A:$I,9,FALSE)</f>
        <v>3</v>
      </c>
      <c r="J151" s="8" t="str">
        <f>VLOOKUP(F151,[1]characters!$A:$H,8,FALSE)</f>
        <v>yellow</v>
      </c>
      <c r="K151" s="8" t="str">
        <f>VLOOKUP(F151,[1]characters!$A:$K,11,FALSE)</f>
        <v>balance</v>
      </c>
      <c r="L151" s="8" t="str">
        <f>VLOOKUP(F151,[1]characters!$A:$M,13,FALSE)</f>
        <v>human</v>
      </c>
      <c r="M151" s="5">
        <v>1</v>
      </c>
      <c r="N151" s="28">
        <f>VLOOKUP(D151,gacha_144_base!A:B,2,FALSE)</f>
        <v>1560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1"/>
        <v>145226</v>
      </c>
      <c r="B152" s="2">
        <f t="shared" si="10"/>
        <v>145</v>
      </c>
      <c r="C152" s="8" t="str">
        <f t="shared" si="12"/>
        <v>0PremiumS3</v>
      </c>
      <c r="D152" s="8" t="str">
        <f t="shared" si="9"/>
        <v>0PremiumS3</v>
      </c>
      <c r="E152" s="5">
        <v>0</v>
      </c>
      <c r="F152" s="6">
        <v>226</v>
      </c>
      <c r="G152" s="8" t="str">
        <f>VLOOKUP(F152,[1]characters!$A:$C,3,FALSE)</f>
        <v>アレス</v>
      </c>
      <c r="H152" s="8" t="str">
        <f>VLOOKUP(F152,[1]characters!$A:$J,10,FALSE)</f>
        <v>PremiumS</v>
      </c>
      <c r="I152" s="8">
        <f>VLOOKUP(F152,[1]characters!$A:$I,9,FALSE)</f>
        <v>3</v>
      </c>
      <c r="J152" s="8" t="str">
        <f>VLOOKUP(F152,[1]characters!$A:$H,8,FALSE)</f>
        <v>red</v>
      </c>
      <c r="K152" s="8" t="str">
        <f>VLOOKUP(F152,[1]characters!$A:$K,11,FALSE)</f>
        <v>attack</v>
      </c>
      <c r="L152" s="8" t="str">
        <f>VLOOKUP(F152,[1]characters!$A:$M,13,FALSE)</f>
        <v>god</v>
      </c>
      <c r="M152" s="5">
        <v>1</v>
      </c>
      <c r="N152" s="28">
        <f>VLOOKUP(D152,gacha_144_base!A:B,2,FALSE)</f>
        <v>436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1"/>
        <v>145229</v>
      </c>
      <c r="B153" s="2">
        <f t="shared" si="10"/>
        <v>145</v>
      </c>
      <c r="C153" s="8" t="str">
        <f t="shared" si="12"/>
        <v>0PremiumS3</v>
      </c>
      <c r="D153" s="8" t="str">
        <f t="shared" si="9"/>
        <v>0PremiumS3</v>
      </c>
      <c r="E153" s="5">
        <v>0</v>
      </c>
      <c r="F153" s="6">
        <v>229</v>
      </c>
      <c r="G153" s="8" t="str">
        <f>VLOOKUP(F153,[1]characters!$A:$C,3,FALSE)</f>
        <v>ヨルムンガンド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green</v>
      </c>
      <c r="K153" s="8" t="str">
        <f>VLOOKUP(F153,[1]characters!$A:$K,11,FALSE)</f>
        <v>technical</v>
      </c>
      <c r="L153" s="8" t="str">
        <f>VLOOKUP(F153,[1]characters!$A:$M,13,FALSE)</f>
        <v>dragon</v>
      </c>
      <c r="M153" s="5">
        <v>1</v>
      </c>
      <c r="N153" s="28">
        <f>VLOOKUP(D153,gacha_144_base!A:B,2,FALSE)</f>
        <v>436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11"/>
        <v>145232</v>
      </c>
      <c r="B154" s="2">
        <f t="shared" si="10"/>
        <v>145</v>
      </c>
      <c r="C154" s="8" t="str">
        <f t="shared" si="12"/>
        <v>0PremiumS3</v>
      </c>
      <c r="D154" s="8" t="str">
        <f t="shared" si="9"/>
        <v>0PremiumS3</v>
      </c>
      <c r="E154" s="5">
        <v>0</v>
      </c>
      <c r="F154" s="6">
        <v>232</v>
      </c>
      <c r="G154" s="8" t="str">
        <f>VLOOKUP(F154,[1]characters!$A:$C,3,FALSE)</f>
        <v>パーシヴァル</v>
      </c>
      <c r="H154" s="8" t="str">
        <f>VLOOKUP(F154,[1]characters!$A:$J,10,FALSE)</f>
        <v>PremiumS</v>
      </c>
      <c r="I154" s="8">
        <f>VLOOKUP(F154,[1]characters!$A:$I,9,FALSE)</f>
        <v>3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human</v>
      </c>
      <c r="M154" s="5">
        <v>1</v>
      </c>
      <c r="N154" s="28">
        <f>VLOOKUP(D154,gacha_144_base!A:B,2,FALSE)</f>
        <v>436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1"/>
        <v>145235</v>
      </c>
      <c r="B155" s="2">
        <f t="shared" si="10"/>
        <v>145</v>
      </c>
      <c r="C155" s="8" t="str">
        <f t="shared" si="12"/>
        <v>0PremiumS3</v>
      </c>
      <c r="D155" s="8" t="str">
        <f t="shared" ref="D155:D218" si="13">E155&amp;H155&amp;I155</f>
        <v>0PremiumS3</v>
      </c>
      <c r="E155" s="5">
        <v>0</v>
      </c>
      <c r="F155" s="6">
        <v>235</v>
      </c>
      <c r="G155" s="8" t="str">
        <f>VLOOKUP(F155,[1]characters!$A:$C,3,FALSE)</f>
        <v>イザナミ</v>
      </c>
      <c r="H155" s="8" t="str">
        <f>VLOOKUP(F155,[1]characters!$A:$J,10,FALSE)</f>
        <v>PremiumS</v>
      </c>
      <c r="I155" s="8">
        <f>VLOOKUP(F155,[1]characters!$A:$I,9,FALSE)</f>
        <v>3</v>
      </c>
      <c r="J155" s="8" t="str">
        <f>VLOOKUP(F155,[1]characters!$A:$H,8,FALSE)</f>
        <v>yellow</v>
      </c>
      <c r="K155" s="8" t="str">
        <f>VLOOKUP(F155,[1]characters!$A:$K,11,FALSE)</f>
        <v>attack</v>
      </c>
      <c r="L155" s="8" t="str">
        <f>VLOOKUP(F155,[1]characters!$A:$M,13,FALSE)</f>
        <v>god</v>
      </c>
      <c r="M155" s="5">
        <v>1</v>
      </c>
      <c r="N155" s="28">
        <f>VLOOKUP(D155,gacha_144_base!A:B,2,FALSE)</f>
        <v>436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1"/>
        <v>145127</v>
      </c>
      <c r="B156" s="2">
        <f t="shared" si="10"/>
        <v>145</v>
      </c>
      <c r="C156" s="8" t="str">
        <f t="shared" si="12"/>
        <v>0PremiumW4</v>
      </c>
      <c r="D156" s="8" t="str">
        <f t="shared" si="13"/>
        <v>0PremiumW4</v>
      </c>
      <c r="E156" s="5">
        <v>0</v>
      </c>
      <c r="F156" s="6">
        <v>127</v>
      </c>
      <c r="G156" s="8" t="str">
        <f>VLOOKUP(F156,[1]characters!$A:$C,3,FALSE)</f>
        <v>狂喜の賢者 ユノ</v>
      </c>
      <c r="H156" s="8" t="str">
        <f>VLOOKUP(F156,[1]characters!$A:$J,10,FALSE)</f>
        <v>PremiumW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attack</v>
      </c>
      <c r="L156" s="8" t="str">
        <f>VLOOKUP(F156,[1]characters!$A:$M,13,FALSE)</f>
        <v>human</v>
      </c>
      <c r="M156" s="5">
        <v>1</v>
      </c>
      <c r="N156" s="28">
        <f>VLOOKUP(D156,gacha_144_base!A:B,2,FALSE)</f>
        <v>1660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1"/>
        <v>145129</v>
      </c>
      <c r="B157" s="2">
        <f t="shared" si="10"/>
        <v>145</v>
      </c>
      <c r="C157" s="8" t="str">
        <f t="shared" si="12"/>
        <v>0PremiumW4</v>
      </c>
      <c r="D157" s="8" t="str">
        <f t="shared" si="13"/>
        <v>0PremiumW4</v>
      </c>
      <c r="E157" s="5">
        <v>0</v>
      </c>
      <c r="F157" s="6">
        <v>129</v>
      </c>
      <c r="G157" s="8" t="str">
        <f>VLOOKUP(F157,[1]characters!$A:$C,3,FALSE)</f>
        <v>孤高の狼憑き アマラ</v>
      </c>
      <c r="H157" s="8" t="str">
        <f>VLOOKUP(F157,[1]characters!$A:$J,10,FALSE)</f>
        <v>PremiumW</v>
      </c>
      <c r="I157" s="8">
        <f>VLOOKUP(F157,[1]characters!$A:$I,9,FALSE)</f>
        <v>4</v>
      </c>
      <c r="J157" s="8" t="str">
        <f>VLOOKUP(F157,[1]characters!$A:$H,8,FALSE)</f>
        <v>green</v>
      </c>
      <c r="K157" s="8" t="str">
        <f>VLOOKUP(F157,[1]characters!$A:$K,11,FALSE)</f>
        <v>attack</v>
      </c>
      <c r="L157" s="8" t="str">
        <f>VLOOKUP(F157,[1]characters!$A:$M,13,FALSE)</f>
        <v>human</v>
      </c>
      <c r="M157" s="5">
        <v>1</v>
      </c>
      <c r="N157" s="28">
        <f>VLOOKUP(D157,gacha_144_base!A:B,2,FALSE)</f>
        <v>1660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1"/>
        <v>145131</v>
      </c>
      <c r="B158" s="2">
        <f t="shared" si="10"/>
        <v>145</v>
      </c>
      <c r="C158" s="8" t="str">
        <f t="shared" si="12"/>
        <v>0PremiumW4</v>
      </c>
      <c r="D158" s="8" t="str">
        <f t="shared" si="13"/>
        <v>0PremiumW4</v>
      </c>
      <c r="E158" s="5">
        <v>0</v>
      </c>
      <c r="F158" s="6">
        <v>131</v>
      </c>
      <c r="G158" s="8" t="str">
        <f>VLOOKUP(F158,[1]characters!$A:$C,3,FALSE)</f>
        <v>月下の人狼 ローレンス</v>
      </c>
      <c r="H158" s="8" t="str">
        <f>VLOOKUP(F158,[1]characters!$A:$J,10,FALSE)</f>
        <v>PremiumW</v>
      </c>
      <c r="I158" s="8">
        <f>VLOOKUP(F158,[1]characters!$A:$I,9,FALSE)</f>
        <v>4</v>
      </c>
      <c r="J158" s="8" t="str">
        <f>VLOOKUP(F158,[1]characters!$A:$H,8,FALSE)</f>
        <v>blue</v>
      </c>
      <c r="K158" s="8" t="str">
        <f>VLOOKUP(F158,[1]characters!$A:$K,11,FALSE)</f>
        <v>attack</v>
      </c>
      <c r="L158" s="8" t="str">
        <f>VLOOKUP(F158,[1]characters!$A:$M,13,FALSE)</f>
        <v>animal</v>
      </c>
      <c r="M158" s="5">
        <v>1</v>
      </c>
      <c r="N158" s="28">
        <f>VLOOKUP(D158,gacha_144_base!A:B,2,FALSE)</f>
        <v>1660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1"/>
        <v>145133</v>
      </c>
      <c r="B159" s="2">
        <f t="shared" si="10"/>
        <v>145</v>
      </c>
      <c r="C159" s="8" t="str">
        <f t="shared" si="12"/>
        <v>0PremiumW4</v>
      </c>
      <c r="D159" s="8" t="str">
        <f t="shared" si="13"/>
        <v>0PremiumW4</v>
      </c>
      <c r="E159" s="5">
        <v>0</v>
      </c>
      <c r="F159" s="6">
        <v>133</v>
      </c>
      <c r="G159" s="8" t="str">
        <f>VLOOKUP(F159,[1]characters!$A:$C,3,FALSE)</f>
        <v>迅雷の刀剣 ハヤト</v>
      </c>
      <c r="H159" s="8" t="str">
        <f>VLOOKUP(F159,[1]characters!$A:$J,10,FALSE)</f>
        <v>PremiumW</v>
      </c>
      <c r="I159" s="8">
        <f>VLOOKUP(F159,[1]characters!$A:$I,9,FALSE)</f>
        <v>4</v>
      </c>
      <c r="J159" s="8" t="str">
        <f>VLOOKUP(F159,[1]characters!$A:$H,8,FALSE)</f>
        <v>yellow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28">
        <f>VLOOKUP(D159,gacha_144_base!A:B,2,FALSE)</f>
        <v>1660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1"/>
        <v>145135</v>
      </c>
      <c r="B160" s="2">
        <f t="shared" si="10"/>
        <v>145</v>
      </c>
      <c r="C160" s="8" t="str">
        <f t="shared" si="12"/>
        <v>0PremiumW4</v>
      </c>
      <c r="D160" s="8" t="str">
        <f t="shared" si="13"/>
        <v>0PremiumW4</v>
      </c>
      <c r="E160" s="5">
        <v>0</v>
      </c>
      <c r="F160" s="6">
        <v>135</v>
      </c>
      <c r="G160" s="8" t="str">
        <f>VLOOKUP(F160,[1]characters!$A:$C,3,FALSE)</f>
        <v>京の炎華夕霧</v>
      </c>
      <c r="H160" s="8" t="str">
        <f>VLOOKUP(F160,[1]characters!$A:$J,10,FALSE)</f>
        <v>PremiumW</v>
      </c>
      <c r="I160" s="8">
        <f>VLOOKUP(F160,[1]characters!$A:$I,9,FALSE)</f>
        <v>4</v>
      </c>
      <c r="J160" s="8" t="str">
        <f>VLOOKUP(F160,[1]characters!$A:$H,8,FALSE)</f>
        <v>red</v>
      </c>
      <c r="K160" s="8" t="str">
        <f>VLOOKUP(F160,[1]characters!$A:$K,11,FALSE)</f>
        <v>balance</v>
      </c>
      <c r="L160" s="8" t="str">
        <f>VLOOKUP(F160,[1]characters!$A:$M,13,FALSE)</f>
        <v>human</v>
      </c>
      <c r="M160" s="5">
        <v>1</v>
      </c>
      <c r="N160" s="28">
        <f>VLOOKUP(D160,gacha_144_base!A:B,2,FALSE)</f>
        <v>1660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1"/>
        <v>145137</v>
      </c>
      <c r="B161" s="2">
        <f t="shared" si="10"/>
        <v>145</v>
      </c>
      <c r="C161" s="8" t="str">
        <f t="shared" si="12"/>
        <v>0PremiumW4</v>
      </c>
      <c r="D161" s="8" t="str">
        <f t="shared" si="13"/>
        <v>0PremiumW4</v>
      </c>
      <c r="E161" s="5">
        <v>0</v>
      </c>
      <c r="F161" s="6">
        <v>137</v>
      </c>
      <c r="G161" s="8" t="str">
        <f>VLOOKUP(F161,[1]characters!$A:$C,3,FALSE)</f>
        <v>清福の仕立屋 チハヤ</v>
      </c>
      <c r="H161" s="8" t="str">
        <f>VLOOKUP(F161,[1]characters!$A:$J,10,FALSE)</f>
        <v>PremiumW</v>
      </c>
      <c r="I161" s="8">
        <f>VLOOKUP(F161,[1]characters!$A:$I,9,FALSE)</f>
        <v>4</v>
      </c>
      <c r="J161" s="8" t="str">
        <f>VLOOKUP(F161,[1]characters!$A:$H,8,FALSE)</f>
        <v>green</v>
      </c>
      <c r="K161" s="8" t="str">
        <f>VLOOKUP(F161,[1]characters!$A:$K,11,FALSE)</f>
        <v>balance</v>
      </c>
      <c r="L161" s="8" t="str">
        <f>VLOOKUP(F161,[1]characters!$A:$M,13,FALSE)</f>
        <v>human</v>
      </c>
      <c r="M161" s="5">
        <v>1</v>
      </c>
      <c r="N161" s="28">
        <f>VLOOKUP(D161,gacha_144_base!A:B,2,FALSE)</f>
        <v>1660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11"/>
        <v>145139</v>
      </c>
      <c r="B162" s="2">
        <f t="shared" si="10"/>
        <v>145</v>
      </c>
      <c r="C162" s="8" t="str">
        <f t="shared" si="12"/>
        <v>0PremiumW4</v>
      </c>
      <c r="D162" s="8" t="str">
        <f t="shared" si="13"/>
        <v>0PremiumW4</v>
      </c>
      <c r="E162" s="5">
        <v>0</v>
      </c>
      <c r="F162" s="6">
        <v>139</v>
      </c>
      <c r="G162" s="8" t="str">
        <f>VLOOKUP(F162,[1]characters!$A:$C,3,FALSE)</f>
        <v>蒼昇刃姫 トモエ</v>
      </c>
      <c r="H162" s="8" t="str">
        <f>VLOOKUP(F162,[1]characters!$A:$J,10,FALSE)</f>
        <v>PremiumW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balance</v>
      </c>
      <c r="L162" s="8" t="str">
        <f>VLOOKUP(F162,[1]characters!$A:$M,13,FALSE)</f>
        <v>human</v>
      </c>
      <c r="M162" s="5">
        <v>1</v>
      </c>
      <c r="N162" s="28">
        <f>VLOOKUP(D162,gacha_144_base!A:B,2,FALSE)</f>
        <v>1660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11"/>
        <v>145141</v>
      </c>
      <c r="B163" s="2">
        <f t="shared" si="10"/>
        <v>145</v>
      </c>
      <c r="C163" s="8" t="str">
        <f t="shared" si="12"/>
        <v>0PremiumW4</v>
      </c>
      <c r="D163" s="8" t="str">
        <f t="shared" si="13"/>
        <v>0PremiumW4</v>
      </c>
      <c r="E163" s="5">
        <v>0</v>
      </c>
      <c r="F163" s="6">
        <v>141</v>
      </c>
      <c r="G163" s="8" t="str">
        <f>VLOOKUP(F163,[1]characters!$A:$C,3,FALSE)</f>
        <v>妖狐演舞 タマモ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yellow</v>
      </c>
      <c r="K163" s="8" t="str">
        <f>VLOOKUP(F163,[1]characters!$A:$K,11,FALSE)</f>
        <v>balance</v>
      </c>
      <c r="L163" s="8" t="str">
        <f>VLOOKUP(F163,[1]characters!$A:$M,13,FALSE)</f>
        <v>animal</v>
      </c>
      <c r="M163" s="5">
        <v>1</v>
      </c>
      <c r="N163" s="28">
        <f>VLOOKUP(D163,gacha_144_base!A:B,2,FALSE)</f>
        <v>1660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11"/>
        <v>145143</v>
      </c>
      <c r="B164" s="2">
        <f t="shared" si="10"/>
        <v>145</v>
      </c>
      <c r="C164" s="8" t="str">
        <f t="shared" si="12"/>
        <v>0PremiumW4</v>
      </c>
      <c r="D164" s="8" t="str">
        <f t="shared" si="13"/>
        <v>0PremiumW4</v>
      </c>
      <c r="E164" s="5">
        <v>0</v>
      </c>
      <c r="F164" s="6">
        <v>143</v>
      </c>
      <c r="G164" s="8" t="str">
        <f>VLOOKUP(F164,[1]characters!$A:$C,3,FALSE)</f>
        <v>深紅の死神 赤ずきん</v>
      </c>
      <c r="H164" s="8" t="str">
        <f>VLOOKUP(F164,[1]characters!$A:$J,10,FALSE)</f>
        <v>PremiumW</v>
      </c>
      <c r="I164" s="8">
        <f>VLOOKUP(F164,[1]characters!$A:$I,9,FALSE)</f>
        <v>4</v>
      </c>
      <c r="J164" s="8" t="str">
        <f>VLOOKUP(F164,[1]characters!$A:$H,8,FALSE)</f>
        <v>red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28">
        <f>VLOOKUP(D164,gacha_144_base!A:B,2,FALSE)</f>
        <v>1660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11"/>
        <v>145145</v>
      </c>
      <c r="B165" s="2">
        <f t="shared" si="10"/>
        <v>145</v>
      </c>
      <c r="C165" s="8" t="str">
        <f t="shared" si="12"/>
        <v>0PremiumW4</v>
      </c>
      <c r="D165" s="8" t="str">
        <f t="shared" si="13"/>
        <v>0PremiumW4</v>
      </c>
      <c r="E165" s="5">
        <v>0</v>
      </c>
      <c r="F165" s="6">
        <v>145</v>
      </c>
      <c r="G165" s="8" t="str">
        <f>VLOOKUP(F165,[1]characters!$A:$C,3,FALSE)</f>
        <v>魔性妖艶 かぐや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green</v>
      </c>
      <c r="K165" s="8" t="str">
        <f>VLOOKUP(F165,[1]characters!$A:$K,11,FALSE)</f>
        <v>hp</v>
      </c>
      <c r="L165" s="8" t="str">
        <f>VLOOKUP(F165,[1]characters!$A:$M,13,FALSE)</f>
        <v>human</v>
      </c>
      <c r="M165" s="5">
        <v>1</v>
      </c>
      <c r="N165" s="28">
        <f>VLOOKUP(D165,gacha_144_base!A:B,2,FALSE)</f>
        <v>1660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11"/>
        <v>145147</v>
      </c>
      <c r="B166" s="2">
        <f t="shared" si="10"/>
        <v>145</v>
      </c>
      <c r="C166" s="8" t="str">
        <f t="shared" si="12"/>
        <v>0PremiumW4</v>
      </c>
      <c r="D166" s="8" t="str">
        <f t="shared" si="13"/>
        <v>0PremiumW4</v>
      </c>
      <c r="E166" s="5">
        <v>0</v>
      </c>
      <c r="F166" s="6">
        <v>147</v>
      </c>
      <c r="G166" s="8" t="str">
        <f>VLOOKUP(F166,[1]characters!$A:$C,3,FALSE)</f>
        <v>蒼き閃光 元マーメイド</v>
      </c>
      <c r="H166" s="8" t="str">
        <f>VLOOKUP(F166,[1]characters!$A:$J,10,FALSE)</f>
        <v>PremiumW</v>
      </c>
      <c r="I166" s="8">
        <f>VLOOKUP(F166,[1]characters!$A:$I,9,FALSE)</f>
        <v>4</v>
      </c>
      <c r="J166" s="8" t="str">
        <f>VLOOKUP(F166,[1]characters!$A:$H,8,FALSE)</f>
        <v>blue</v>
      </c>
      <c r="K166" s="8" t="str">
        <f>VLOOKUP(F166,[1]characters!$A:$K,11,FALSE)</f>
        <v>hp</v>
      </c>
      <c r="L166" s="8" t="str">
        <f>VLOOKUP(F166,[1]characters!$A:$M,13,FALSE)</f>
        <v>human</v>
      </c>
      <c r="M166" s="5">
        <v>1</v>
      </c>
      <c r="N166" s="28">
        <f>VLOOKUP(D166,gacha_144_base!A:B,2,FALSE)</f>
        <v>1660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11"/>
        <v>145149</v>
      </c>
      <c r="B167" s="2">
        <f t="shared" si="10"/>
        <v>145</v>
      </c>
      <c r="C167" s="8" t="str">
        <f t="shared" si="12"/>
        <v>0PremiumW4</v>
      </c>
      <c r="D167" s="8" t="str">
        <f t="shared" si="13"/>
        <v>0PremiumW4</v>
      </c>
      <c r="E167" s="5">
        <v>0</v>
      </c>
      <c r="F167" s="6">
        <v>149</v>
      </c>
      <c r="G167" s="8" t="str">
        <f>VLOOKUP(F167,[1]characters!$A:$C,3,FALSE)</f>
        <v>雷撃蹴技を極めし者 シンデレラ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yellow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5">
        <v>1</v>
      </c>
      <c r="N167" s="28">
        <f>VLOOKUP(D167,gacha_144_base!A:B,2,FALSE)</f>
        <v>1660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11"/>
        <v>145151</v>
      </c>
      <c r="B168" s="2">
        <f t="shared" si="10"/>
        <v>145</v>
      </c>
      <c r="C168" s="8" t="str">
        <f t="shared" si="12"/>
        <v>0PremiumW4</v>
      </c>
      <c r="D168" s="8" t="str">
        <f t="shared" si="13"/>
        <v>0PremiumW4</v>
      </c>
      <c r="E168" s="5">
        <v>0</v>
      </c>
      <c r="F168" s="6">
        <v>151</v>
      </c>
      <c r="G168" s="8" t="str">
        <f>VLOOKUP(F168,[1]characters!$A:$C,3,FALSE)</f>
        <v>毒煙の処刑人サキ</v>
      </c>
      <c r="H168" s="8" t="str">
        <f>VLOOKUP(F168,[1]characters!$A:$J,10,FALSE)</f>
        <v>PremiumW</v>
      </c>
      <c r="I168" s="8">
        <f>VLOOKUP(F168,[1]characters!$A:$I,9,FALSE)</f>
        <v>4</v>
      </c>
      <c r="J168" s="8" t="str">
        <f>VLOOKUP(F168,[1]characters!$A:$H,8,FALSE)</f>
        <v>red</v>
      </c>
      <c r="K168" s="8" t="str">
        <f>VLOOKUP(F168,[1]characters!$A:$K,11,FALSE)</f>
        <v>technical</v>
      </c>
      <c r="L168" s="8" t="str">
        <f>VLOOKUP(F168,[1]characters!$A:$M,13,FALSE)</f>
        <v>human</v>
      </c>
      <c r="M168" s="5">
        <v>1</v>
      </c>
      <c r="N168" s="28">
        <f>VLOOKUP(D168,gacha_144_base!A:B,2,FALSE)</f>
        <v>1660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11"/>
        <v>145153</v>
      </c>
      <c r="B169" s="2">
        <f t="shared" si="10"/>
        <v>145</v>
      </c>
      <c r="C169" s="8" t="str">
        <f t="shared" si="12"/>
        <v>0PremiumW4</v>
      </c>
      <c r="D169" s="8" t="str">
        <f t="shared" si="13"/>
        <v>0PremiumW4</v>
      </c>
      <c r="E169" s="5">
        <v>0</v>
      </c>
      <c r="F169" s="6">
        <v>153</v>
      </c>
      <c r="G169" s="8" t="str">
        <f>VLOOKUP(F169,[1]characters!$A:$C,3,FALSE)</f>
        <v>拳聖ランラン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heal</v>
      </c>
      <c r="L169" s="8" t="str">
        <f>VLOOKUP(F169,[1]characters!$A:$M,13,FALSE)</f>
        <v>human</v>
      </c>
      <c r="M169" s="5">
        <v>1</v>
      </c>
      <c r="N169" s="28">
        <f>VLOOKUP(D169,gacha_144_base!A:B,2,FALSE)</f>
        <v>1660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11"/>
        <v>145155</v>
      </c>
      <c r="B170" s="2">
        <f t="shared" si="10"/>
        <v>145</v>
      </c>
      <c r="C170" s="8" t="str">
        <f t="shared" si="12"/>
        <v>0PremiumW4</v>
      </c>
      <c r="D170" s="8" t="str">
        <f t="shared" si="13"/>
        <v>0PremiumW4</v>
      </c>
      <c r="E170" s="5">
        <v>0</v>
      </c>
      <c r="F170" s="6">
        <v>155</v>
      </c>
      <c r="G170" s="8" t="str">
        <f>VLOOKUP(F170,[1]characters!$A:$C,3,FALSE)</f>
        <v>隻眼の掃除屋 ハンナ</v>
      </c>
      <c r="H170" s="8" t="str">
        <f>VLOOKUP(F170,[1]characters!$A:$J,10,FALSE)</f>
        <v>PremiumW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heal</v>
      </c>
      <c r="L170" s="8" t="str">
        <f>VLOOKUP(F170,[1]characters!$A:$M,13,FALSE)</f>
        <v>human</v>
      </c>
      <c r="M170" s="5">
        <v>1</v>
      </c>
      <c r="N170" s="28">
        <f>VLOOKUP(D170,gacha_144_base!A:B,2,FALSE)</f>
        <v>1660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11"/>
        <v>145157</v>
      </c>
      <c r="B171" s="2">
        <f t="shared" si="10"/>
        <v>145</v>
      </c>
      <c r="C171" s="8" t="str">
        <f t="shared" si="12"/>
        <v>0PremiumW4</v>
      </c>
      <c r="D171" s="8" t="str">
        <f t="shared" si="13"/>
        <v>0PremiumW4</v>
      </c>
      <c r="E171" s="5">
        <v>0</v>
      </c>
      <c r="F171" s="6">
        <v>157</v>
      </c>
      <c r="G171" s="8" t="str">
        <f>VLOOKUP(F171,[1]characters!$A:$C,3,FALSE)</f>
        <v>雷光舞姫 エレナ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yellow</v>
      </c>
      <c r="K171" s="8" t="str">
        <f>VLOOKUP(F171,[1]characters!$A:$K,11,FALSE)</f>
        <v>heal</v>
      </c>
      <c r="L171" s="8" t="str">
        <f>VLOOKUP(F171,[1]characters!$A:$M,13,FALSE)</f>
        <v>human</v>
      </c>
      <c r="M171" s="5">
        <v>1</v>
      </c>
      <c r="N171" s="28">
        <f>VLOOKUP(D171,gacha_144_base!A:B,2,FALSE)</f>
        <v>1660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11"/>
        <v>145159</v>
      </c>
      <c r="B172" s="2">
        <f t="shared" si="10"/>
        <v>145</v>
      </c>
      <c r="C172" s="8" t="str">
        <f t="shared" si="12"/>
        <v>0PremiumW4</v>
      </c>
      <c r="D172" s="8" t="str">
        <f t="shared" si="13"/>
        <v>0PremiumW4</v>
      </c>
      <c r="E172" s="5">
        <v>0</v>
      </c>
      <c r="F172" s="6">
        <v>159</v>
      </c>
      <c r="G172" s="8" t="str">
        <f>VLOOKUP(F172,[1]characters!$A:$C,3,FALSE)</f>
        <v>邪を狩りし者 シャルロッテ</v>
      </c>
      <c r="H172" s="8" t="str">
        <f>VLOOKUP(F172,[1]characters!$A:$J,10,FALSE)</f>
        <v>PremiumW</v>
      </c>
      <c r="I172" s="8">
        <f>VLOOKUP(F172,[1]characters!$A:$I,9,FALSE)</f>
        <v>4</v>
      </c>
      <c r="J172" s="8" t="str">
        <f>VLOOKUP(F172,[1]characters!$A:$H,8,FALSE)</f>
        <v>red</v>
      </c>
      <c r="K172" s="8" t="str">
        <f>VLOOKUP(F172,[1]characters!$A:$K,11,FALSE)</f>
        <v>heal</v>
      </c>
      <c r="L172" s="8" t="str">
        <f>VLOOKUP(F172,[1]characters!$A:$M,13,FALSE)</f>
        <v>human</v>
      </c>
      <c r="M172" s="5">
        <v>1</v>
      </c>
      <c r="N172" s="28">
        <f>VLOOKUP(D172,gacha_144_base!A:B,2,FALSE)</f>
        <v>1660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11"/>
        <v>145161</v>
      </c>
      <c r="B173" s="2">
        <f t="shared" si="10"/>
        <v>145</v>
      </c>
      <c r="C173" s="8" t="str">
        <f t="shared" si="12"/>
        <v>0PremiumW4</v>
      </c>
      <c r="D173" s="8" t="str">
        <f t="shared" si="13"/>
        <v>0PremiumW4</v>
      </c>
      <c r="E173" s="5">
        <v>0</v>
      </c>
      <c r="F173" s="6">
        <v>161</v>
      </c>
      <c r="G173" s="8" t="str">
        <f>VLOOKUP(F173,[1]characters!$A:$C,3,FALSE)</f>
        <v>咆哮の先導者 クリエ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green</v>
      </c>
      <c r="K173" s="8" t="str">
        <f>VLOOKUP(F173,[1]characters!$A:$K,11,FALSE)</f>
        <v>balance</v>
      </c>
      <c r="L173" s="8" t="str">
        <f>VLOOKUP(F173,[1]characters!$A:$M,13,FALSE)</f>
        <v>human</v>
      </c>
      <c r="M173" s="5">
        <v>1</v>
      </c>
      <c r="N173" s="28">
        <f>VLOOKUP(D173,gacha_144_base!A:B,2,FALSE)</f>
        <v>1660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11"/>
        <v>145163</v>
      </c>
      <c r="B174" s="2">
        <f t="shared" si="10"/>
        <v>145</v>
      </c>
      <c r="C174" s="8" t="str">
        <f t="shared" si="12"/>
        <v>0PremiumW4</v>
      </c>
      <c r="D174" s="8" t="str">
        <f t="shared" si="13"/>
        <v>0PremiumW4</v>
      </c>
      <c r="E174" s="5">
        <v>0</v>
      </c>
      <c r="F174" s="6">
        <v>163</v>
      </c>
      <c r="G174" s="8" t="str">
        <f>VLOOKUP(F174,[1]characters!$A:$C,3,FALSE)</f>
        <v>冷酷な狂嬢 クララ</v>
      </c>
      <c r="H174" s="8" t="str">
        <f>VLOOKUP(F174,[1]characters!$A:$J,10,FALSE)</f>
        <v>PremiumW</v>
      </c>
      <c r="I174" s="8">
        <f>VLOOKUP(F174,[1]characters!$A:$I,9,FALSE)</f>
        <v>4</v>
      </c>
      <c r="J174" s="8" t="str">
        <f>VLOOKUP(F174,[1]characters!$A:$H,8,FALSE)</f>
        <v>blue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5">
        <v>1</v>
      </c>
      <c r="N174" s="28">
        <f>VLOOKUP(D174,gacha_144_base!A:B,2,FALSE)</f>
        <v>1660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11"/>
        <v>145165</v>
      </c>
      <c r="B175" s="2">
        <f t="shared" si="10"/>
        <v>145</v>
      </c>
      <c r="C175" s="8" t="str">
        <f t="shared" si="12"/>
        <v>0PremiumW4</v>
      </c>
      <c r="D175" s="8" t="str">
        <f t="shared" si="13"/>
        <v>0PremiumW4</v>
      </c>
      <c r="E175" s="5">
        <v>0</v>
      </c>
      <c r="F175" s="6">
        <v>165</v>
      </c>
      <c r="G175" s="8" t="str">
        <f>VLOOKUP(F175,[1]characters!$A:$C,3,FALSE)</f>
        <v>イブとたったひとりのトモダチ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yellow</v>
      </c>
      <c r="K175" s="8" t="str">
        <f>VLOOKUP(F175,[1]characters!$A:$K,11,FALSE)</f>
        <v>technical</v>
      </c>
      <c r="L175" s="8" t="str">
        <f>VLOOKUP(F175,[1]characters!$A:$M,13,FALSE)</f>
        <v>human</v>
      </c>
      <c r="M175" s="5">
        <v>1</v>
      </c>
      <c r="N175" s="28">
        <f>VLOOKUP(D175,gacha_144_base!A:B,2,FALSE)</f>
        <v>1660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11"/>
        <v>145167</v>
      </c>
      <c r="B176" s="2">
        <f t="shared" si="10"/>
        <v>145</v>
      </c>
      <c r="C176" s="8" t="str">
        <f t="shared" si="12"/>
        <v>0PremiumN4</v>
      </c>
      <c r="D176" s="8" t="str">
        <f t="shared" si="13"/>
        <v>0PremiumN4</v>
      </c>
      <c r="E176" s="5">
        <v>0</v>
      </c>
      <c r="F176" s="6">
        <v>167</v>
      </c>
      <c r="G176" s="8" t="str">
        <f>VLOOKUP(F176,[1]characters!$A:$C,3,FALSE)</f>
        <v>逆徒 ベリアル</v>
      </c>
      <c r="H176" s="8" t="str">
        <f>VLOOKUP(F176,[1]characters!$A:$J,10,FALSE)</f>
        <v>PremiumN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attack</v>
      </c>
      <c r="L176" s="8" t="str">
        <f>VLOOKUP(F176,[1]characters!$A:$M,13,FALSE)</f>
        <v>god</v>
      </c>
      <c r="M176" s="5">
        <v>1</v>
      </c>
      <c r="N176" s="28">
        <f>VLOOKUP(D176,gacha_144_base!A:B,2,FALSE)</f>
        <v>1855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11"/>
        <v>145170</v>
      </c>
      <c r="B177" s="2">
        <f t="shared" si="10"/>
        <v>145</v>
      </c>
      <c r="C177" s="8" t="str">
        <f t="shared" si="12"/>
        <v>0PremiumN4</v>
      </c>
      <c r="D177" s="8" t="str">
        <f t="shared" si="13"/>
        <v>0PremiumN4</v>
      </c>
      <c r="E177" s="5">
        <v>0</v>
      </c>
      <c r="F177" s="6">
        <v>170</v>
      </c>
      <c r="G177" s="8" t="str">
        <f>VLOOKUP(F177,[1]characters!$A:$C,3,FALSE)</f>
        <v>識徒 オセ</v>
      </c>
      <c r="H177" s="8" t="str">
        <f>VLOOKUP(F177,[1]characters!$A:$J,10,FALSE)</f>
        <v>PremiumN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god</v>
      </c>
      <c r="M177" s="5">
        <v>1</v>
      </c>
      <c r="N177" s="28">
        <f>VLOOKUP(D177,gacha_144_base!A:B,2,FALSE)</f>
        <v>1855</v>
      </c>
      <c r="O177" s="19">
        <v>0</v>
      </c>
      <c r="P177" s="19">
        <v>0</v>
      </c>
      <c r="Q177" s="19">
        <v>0</v>
      </c>
      <c r="R177" s="19">
        <v>0</v>
      </c>
      <c r="S177" s="19">
        <v>1</v>
      </c>
    </row>
    <row r="178" spans="1:19" ht="21" customHeight="1">
      <c r="A178" s="7" t="str">
        <f t="shared" si="11"/>
        <v>145173</v>
      </c>
      <c r="B178" s="2">
        <f t="shared" ref="B178:B241" si="14">$B$112</f>
        <v>145</v>
      </c>
      <c r="C178" s="8" t="str">
        <f t="shared" si="12"/>
        <v>0PremiumN4</v>
      </c>
      <c r="D178" s="8" t="str">
        <f t="shared" si="13"/>
        <v>0PremiumN4</v>
      </c>
      <c r="E178" s="5">
        <v>0</v>
      </c>
      <c r="F178" s="6">
        <v>173</v>
      </c>
      <c r="G178" s="8" t="str">
        <f>VLOOKUP(F178,[1]characters!$A:$C,3,FALSE)</f>
        <v>公爵 フォルネウス</v>
      </c>
      <c r="H178" s="8" t="str">
        <f>VLOOKUP(F178,[1]characters!$A:$J,10,FALSE)</f>
        <v>PremiumN</v>
      </c>
      <c r="I178" s="8">
        <f>VLOOKUP(F178,[1]characters!$A:$I,9,FALSE)</f>
        <v>4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god</v>
      </c>
      <c r="M178" s="5">
        <v>1</v>
      </c>
      <c r="N178" s="28">
        <f>VLOOKUP(D178,gacha_144_base!A:B,2,FALSE)</f>
        <v>1855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11"/>
        <v>145176</v>
      </c>
      <c r="B179" s="2">
        <f t="shared" si="14"/>
        <v>145</v>
      </c>
      <c r="C179" s="8" t="str">
        <f t="shared" si="12"/>
        <v>0PremiumN4</v>
      </c>
      <c r="D179" s="8" t="str">
        <f t="shared" si="13"/>
        <v>0PremiumN4</v>
      </c>
      <c r="E179" s="5">
        <v>0</v>
      </c>
      <c r="F179" s="6">
        <v>176</v>
      </c>
      <c r="G179" s="8" t="str">
        <f>VLOOKUP(F179,[1]characters!$A:$C,3,FALSE)</f>
        <v>異教徒 バフォメット</v>
      </c>
      <c r="H179" s="8" t="str">
        <f>VLOOKUP(F179,[1]characters!$A:$J,10,FALSE)</f>
        <v>PremiumN</v>
      </c>
      <c r="I179" s="8">
        <f>VLOOKUP(F179,[1]characters!$A:$I,9,FALSE)</f>
        <v>4</v>
      </c>
      <c r="J179" s="8" t="str">
        <f>VLOOKUP(F179,[1]characters!$A:$H,8,FALSE)</f>
        <v>yellow</v>
      </c>
      <c r="K179" s="8" t="str">
        <f>VLOOKUP(F179,[1]characters!$A:$K,11,FALSE)</f>
        <v>attack</v>
      </c>
      <c r="L179" s="8" t="str">
        <f>VLOOKUP(F179,[1]characters!$A:$M,13,FALSE)</f>
        <v>god</v>
      </c>
      <c r="M179" s="5">
        <v>1</v>
      </c>
      <c r="N179" s="28">
        <f>VLOOKUP(D179,gacha_144_base!A:B,2,FALSE)</f>
        <v>1855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11"/>
        <v>145179</v>
      </c>
      <c r="B180" s="2">
        <f t="shared" si="14"/>
        <v>145</v>
      </c>
      <c r="C180" s="8" t="str">
        <f t="shared" si="12"/>
        <v>0PremiumN4</v>
      </c>
      <c r="D180" s="8" t="str">
        <f t="shared" si="13"/>
        <v>0PremiumN4</v>
      </c>
      <c r="E180" s="5">
        <v>0</v>
      </c>
      <c r="F180" s="6">
        <v>179</v>
      </c>
      <c r="G180" s="8" t="str">
        <f>VLOOKUP(F180,[1]characters!$A:$C,3,FALSE)</f>
        <v>番犬 ケルベロス</v>
      </c>
      <c r="H180" s="8" t="str">
        <f>VLOOKUP(F180,[1]characters!$A:$J,10,FALSE)</f>
        <v>PremiumN</v>
      </c>
      <c r="I180" s="8">
        <f>VLOOKUP(F180,[1]characters!$A:$I,9,FALSE)</f>
        <v>4</v>
      </c>
      <c r="J180" s="8" t="str">
        <f>VLOOKUP(F180,[1]characters!$A:$H,8,FALSE)</f>
        <v>red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5">
        <v>1</v>
      </c>
      <c r="N180" s="28">
        <f>VLOOKUP(D180,gacha_144_base!A:B,2,FALSE)</f>
        <v>1855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11"/>
        <v>145182</v>
      </c>
      <c r="B181" s="2">
        <f t="shared" si="14"/>
        <v>145</v>
      </c>
      <c r="C181" s="8" t="str">
        <f t="shared" si="12"/>
        <v>0PremiumN4</v>
      </c>
      <c r="D181" s="8" t="str">
        <f t="shared" si="13"/>
        <v>0PremiumN4</v>
      </c>
      <c r="E181" s="5">
        <v>0</v>
      </c>
      <c r="F181" s="6">
        <v>182</v>
      </c>
      <c r="G181" s="8" t="str">
        <f>VLOOKUP(F181,[1]characters!$A:$C,3,FALSE)</f>
        <v>放蕩者 ベヒモス</v>
      </c>
      <c r="H181" s="8" t="str">
        <f>VLOOKUP(F181,[1]characters!$A:$J,10,FALSE)</f>
        <v>PremiumN</v>
      </c>
      <c r="I181" s="8">
        <f>VLOOKUP(F181,[1]characters!$A:$I,9,FALSE)</f>
        <v>4</v>
      </c>
      <c r="J181" s="8" t="str">
        <f>VLOOKUP(F181,[1]characters!$A:$H,8,FALSE)</f>
        <v>green</v>
      </c>
      <c r="K181" s="8" t="str">
        <f>VLOOKUP(F181,[1]characters!$A:$K,11,FALSE)</f>
        <v>hp</v>
      </c>
      <c r="L181" s="8" t="str">
        <f>VLOOKUP(F181,[1]characters!$A:$M,13,FALSE)</f>
        <v>animal</v>
      </c>
      <c r="M181" s="5">
        <v>1</v>
      </c>
      <c r="N181" s="28">
        <f>VLOOKUP(D181,gacha_144_base!A:B,2,FALSE)</f>
        <v>1855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si="11"/>
        <v>145185</v>
      </c>
      <c r="B182" s="2">
        <f t="shared" si="14"/>
        <v>145</v>
      </c>
      <c r="C182" s="8" t="str">
        <f t="shared" si="12"/>
        <v>0PremiumN4</v>
      </c>
      <c r="D182" s="8" t="str">
        <f t="shared" si="13"/>
        <v>0PremiumN4</v>
      </c>
      <c r="E182" s="5">
        <v>0</v>
      </c>
      <c r="F182" s="6">
        <v>185</v>
      </c>
      <c r="G182" s="8" t="str">
        <f>VLOOKUP(F182,[1]characters!$A:$C,3,FALSE)</f>
        <v>海姫 クラーケン</v>
      </c>
      <c r="H182" s="8" t="str">
        <f>VLOOKUP(F182,[1]characters!$A:$J,10,FALSE)</f>
        <v>PremiumN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heal</v>
      </c>
      <c r="L182" s="8" t="str">
        <f>VLOOKUP(F182,[1]characters!$A:$M,13,FALSE)</f>
        <v>animal</v>
      </c>
      <c r="M182" s="5">
        <v>1</v>
      </c>
      <c r="N182" s="28">
        <f>VLOOKUP(D182,gacha_144_base!A:B,2,FALSE)</f>
        <v>1855</v>
      </c>
      <c r="O182" s="19">
        <v>0</v>
      </c>
      <c r="P182" s="19">
        <v>0</v>
      </c>
      <c r="Q182" s="19">
        <v>0</v>
      </c>
      <c r="R182" s="19">
        <v>0</v>
      </c>
      <c r="S182" s="19">
        <v>1</v>
      </c>
    </row>
    <row r="183" spans="1:19" ht="21" customHeight="1">
      <c r="A183" s="7" t="str">
        <f t="shared" si="11"/>
        <v>145188</v>
      </c>
      <c r="B183" s="2">
        <f t="shared" si="14"/>
        <v>145</v>
      </c>
      <c r="C183" s="8" t="str">
        <f t="shared" si="12"/>
        <v>0PremiumN4</v>
      </c>
      <c r="D183" s="8" t="str">
        <f t="shared" si="13"/>
        <v>0PremiumN4</v>
      </c>
      <c r="E183" s="5">
        <v>0</v>
      </c>
      <c r="F183" s="6">
        <v>188</v>
      </c>
      <c r="G183" s="8" t="str">
        <f>VLOOKUP(F183,[1]characters!$A:$C,3,FALSE)</f>
        <v>猛禽 ホルス</v>
      </c>
      <c r="H183" s="8" t="str">
        <f>VLOOKUP(F183,[1]characters!$A:$J,10,FALSE)</f>
        <v>PremiumN</v>
      </c>
      <c r="I183" s="8">
        <f>VLOOKUP(F183,[1]characters!$A:$I,9,FALSE)</f>
        <v>4</v>
      </c>
      <c r="J183" s="8" t="str">
        <f>VLOOKUP(F183,[1]characters!$A:$H,8,FALSE)</f>
        <v>yellow</v>
      </c>
      <c r="K183" s="8" t="str">
        <f>VLOOKUP(F183,[1]characters!$A:$K,11,FALSE)</f>
        <v>attack</v>
      </c>
      <c r="L183" s="8" t="str">
        <f>VLOOKUP(F183,[1]characters!$A:$M,13,FALSE)</f>
        <v>animal</v>
      </c>
      <c r="M183" s="5">
        <v>1</v>
      </c>
      <c r="N183" s="28">
        <f>VLOOKUP(D183,gacha_144_base!A:B,2,FALSE)</f>
        <v>1855</v>
      </c>
      <c r="O183" s="19">
        <v>0</v>
      </c>
      <c r="P183" s="19">
        <v>0</v>
      </c>
      <c r="Q183" s="19">
        <v>0</v>
      </c>
      <c r="R183" s="19">
        <v>0</v>
      </c>
      <c r="S183" s="19">
        <v>1</v>
      </c>
    </row>
    <row r="184" spans="1:19" ht="21" customHeight="1">
      <c r="A184" s="7" t="str">
        <f t="shared" si="11"/>
        <v>145191</v>
      </c>
      <c r="B184" s="2">
        <f t="shared" si="14"/>
        <v>145</v>
      </c>
      <c r="C184" s="8" t="str">
        <f t="shared" si="12"/>
        <v>0PremiumN4</v>
      </c>
      <c r="D184" s="8" t="str">
        <f t="shared" si="13"/>
        <v>0PremiumN4</v>
      </c>
      <c r="E184" s="5">
        <v>0</v>
      </c>
      <c r="F184" s="6">
        <v>191</v>
      </c>
      <c r="G184" s="8" t="str">
        <f>VLOOKUP(F184,[1]characters!$A:$C,3,FALSE)</f>
        <v>始祖 卑弥呼</v>
      </c>
      <c r="H184" s="8" t="str">
        <f>VLOOKUP(F184,[1]characters!$A:$J,10,FALSE)</f>
        <v>PremiumN</v>
      </c>
      <c r="I184" s="8">
        <f>VLOOKUP(F184,[1]characters!$A:$I,9,FALSE)</f>
        <v>4</v>
      </c>
      <c r="J184" s="8" t="str">
        <f>VLOOKUP(F184,[1]characters!$A:$H,8,FALSE)</f>
        <v>red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5">
        <v>1</v>
      </c>
      <c r="N184" s="28">
        <f>VLOOKUP(D184,gacha_144_base!A:B,2,FALSE)</f>
        <v>1855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11"/>
        <v>145194</v>
      </c>
      <c r="B185" s="2">
        <f t="shared" si="14"/>
        <v>145</v>
      </c>
      <c r="C185" s="8" t="str">
        <f t="shared" si="12"/>
        <v>0PremiumN4</v>
      </c>
      <c r="D185" s="8" t="str">
        <f t="shared" si="13"/>
        <v>0PremiumN4</v>
      </c>
      <c r="E185" s="5">
        <v>0</v>
      </c>
      <c r="F185" s="6">
        <v>194</v>
      </c>
      <c r="G185" s="8" t="str">
        <f>VLOOKUP(F185,[1]characters!$A:$C,3,FALSE)</f>
        <v>スナイパー ロビンフッド</v>
      </c>
      <c r="H185" s="8" t="str">
        <f>VLOOKUP(F185,[1]characters!$A:$J,10,FALSE)</f>
        <v>PremiumN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5">
        <v>1</v>
      </c>
      <c r="N185" s="28">
        <f>VLOOKUP(D185,gacha_144_base!A:B,2,FALSE)</f>
        <v>1855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si="11"/>
        <v>145197</v>
      </c>
      <c r="B186" s="2">
        <f t="shared" si="14"/>
        <v>145</v>
      </c>
      <c r="C186" s="8" t="str">
        <f t="shared" si="12"/>
        <v>0PremiumN4</v>
      </c>
      <c r="D186" s="8" t="str">
        <f t="shared" si="13"/>
        <v>0PremiumN4</v>
      </c>
      <c r="E186" s="5">
        <v>0</v>
      </c>
      <c r="F186" s="6">
        <v>197</v>
      </c>
      <c r="G186" s="8" t="str">
        <f>VLOOKUP(F186,[1]characters!$A:$C,3,FALSE)</f>
        <v>鉄腕 アキレス</v>
      </c>
      <c r="H186" s="8" t="str">
        <f>VLOOKUP(F186,[1]characters!$A:$J,10,FALSE)</f>
        <v>PremiumN</v>
      </c>
      <c r="I186" s="8">
        <f>VLOOKUP(F186,[1]characters!$A:$I,9,FALSE)</f>
        <v>4</v>
      </c>
      <c r="J186" s="8" t="str">
        <f>VLOOKUP(F186,[1]characters!$A:$H,8,FALSE)</f>
        <v>yellow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5">
        <v>1</v>
      </c>
      <c r="N186" s="28">
        <f>VLOOKUP(D186,gacha_144_base!A:B,2,FALSE)</f>
        <v>1855</v>
      </c>
      <c r="O186" s="19">
        <v>0</v>
      </c>
      <c r="P186" s="19">
        <v>0</v>
      </c>
      <c r="Q186" s="19">
        <v>0</v>
      </c>
      <c r="R186" s="19">
        <v>0</v>
      </c>
      <c r="S186" s="19">
        <v>1</v>
      </c>
    </row>
    <row r="187" spans="1:19" ht="21" customHeight="1">
      <c r="A187" s="7" t="str">
        <f t="shared" si="11"/>
        <v>145200</v>
      </c>
      <c r="B187" s="2">
        <f t="shared" si="14"/>
        <v>145</v>
      </c>
      <c r="C187" s="8" t="str">
        <f t="shared" si="12"/>
        <v>0PremiumN4</v>
      </c>
      <c r="D187" s="8" t="str">
        <f t="shared" si="13"/>
        <v>0PremiumN4</v>
      </c>
      <c r="E187" s="5">
        <v>0</v>
      </c>
      <c r="F187" s="6">
        <v>200</v>
      </c>
      <c r="G187" s="8" t="str">
        <f>VLOOKUP(F187,[1]characters!$A:$C,3,FALSE)</f>
        <v>大剣士 ジークフリート</v>
      </c>
      <c r="H187" s="8" t="str">
        <f>VLOOKUP(F187,[1]characters!$A:$J,10,FALSE)</f>
        <v>PremiumN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5">
        <v>1</v>
      </c>
      <c r="N187" s="28">
        <f>VLOOKUP(D187,gacha_144_base!A:B,2,FALSE)</f>
        <v>1855</v>
      </c>
      <c r="O187" s="19">
        <v>0</v>
      </c>
      <c r="P187" s="19">
        <v>0</v>
      </c>
      <c r="Q187" s="19">
        <v>0</v>
      </c>
      <c r="R187" s="19">
        <v>0</v>
      </c>
      <c r="S187" s="19">
        <v>1</v>
      </c>
    </row>
    <row r="188" spans="1:19" ht="21" customHeight="1">
      <c r="A188" s="7" t="str">
        <f t="shared" si="11"/>
        <v>145203</v>
      </c>
      <c r="B188" s="2">
        <f t="shared" si="14"/>
        <v>145</v>
      </c>
      <c r="C188" s="8" t="str">
        <f t="shared" si="12"/>
        <v>0PremiumN4</v>
      </c>
      <c r="D188" s="8" t="str">
        <f t="shared" si="13"/>
        <v>0PremiumN4</v>
      </c>
      <c r="E188" s="5">
        <v>0</v>
      </c>
      <c r="F188" s="6">
        <v>203</v>
      </c>
      <c r="G188" s="8" t="str">
        <f>VLOOKUP(F188,[1]characters!$A:$C,3,FALSE)</f>
        <v>焔神 プロメテウス</v>
      </c>
      <c r="H188" s="8" t="str">
        <f>VLOOKUP(F188,[1]characters!$A:$J,10,FALSE)</f>
        <v>PremiumN</v>
      </c>
      <c r="I188" s="8">
        <f>VLOOKUP(F188,[1]characters!$A:$I,9,FALSE)</f>
        <v>4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god</v>
      </c>
      <c r="M188" s="5">
        <v>1</v>
      </c>
      <c r="N188" s="28">
        <f>VLOOKUP(D188,gacha_144_base!A:B,2,FALSE)</f>
        <v>1855</v>
      </c>
      <c r="O188" s="19">
        <v>0</v>
      </c>
      <c r="P188" s="19">
        <v>0</v>
      </c>
      <c r="Q188" s="19">
        <v>0</v>
      </c>
      <c r="R188" s="19">
        <v>0</v>
      </c>
      <c r="S188" s="19">
        <v>1</v>
      </c>
    </row>
    <row r="189" spans="1:19" ht="21" customHeight="1">
      <c r="A189" s="7" t="str">
        <f t="shared" si="11"/>
        <v>145206</v>
      </c>
      <c r="B189" s="2">
        <f t="shared" si="14"/>
        <v>145</v>
      </c>
      <c r="C189" s="8" t="str">
        <f t="shared" si="12"/>
        <v>0PremiumN4</v>
      </c>
      <c r="D189" s="8" t="str">
        <f t="shared" si="13"/>
        <v>0PremiumN4</v>
      </c>
      <c r="E189" s="5">
        <v>0</v>
      </c>
      <c r="F189" s="6">
        <v>206</v>
      </c>
      <c r="G189" s="8" t="str">
        <f>VLOOKUP(F189,[1]characters!$A:$C,3,FALSE)</f>
        <v>美神 アフロディーテ</v>
      </c>
      <c r="H189" s="8" t="str">
        <f>VLOOKUP(F189,[1]characters!$A:$J,10,FALSE)</f>
        <v>PremiumN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hp</v>
      </c>
      <c r="L189" s="8" t="str">
        <f>VLOOKUP(F189,[1]characters!$A:$M,13,FALSE)</f>
        <v>god</v>
      </c>
      <c r="M189" s="5">
        <v>1</v>
      </c>
      <c r="N189" s="28">
        <f>VLOOKUP(D189,gacha_144_base!A:B,2,FALSE)</f>
        <v>1855</v>
      </c>
      <c r="O189" s="19">
        <v>0</v>
      </c>
      <c r="P189" s="19">
        <v>0</v>
      </c>
      <c r="Q189" s="19">
        <v>0</v>
      </c>
      <c r="R189" s="19">
        <v>0</v>
      </c>
      <c r="S189" s="19">
        <v>1</v>
      </c>
    </row>
    <row r="190" spans="1:19" ht="21" customHeight="1">
      <c r="A190" s="7" t="str">
        <f t="shared" si="11"/>
        <v>145209</v>
      </c>
      <c r="B190" s="2">
        <f t="shared" si="14"/>
        <v>145</v>
      </c>
      <c r="C190" s="8" t="str">
        <f t="shared" si="12"/>
        <v>0PremiumN4</v>
      </c>
      <c r="D190" s="8" t="str">
        <f t="shared" si="13"/>
        <v>0PremiumN4</v>
      </c>
      <c r="E190" s="5">
        <v>0</v>
      </c>
      <c r="F190" s="6">
        <v>209</v>
      </c>
      <c r="G190" s="8" t="str">
        <f>VLOOKUP(F190,[1]characters!$A:$C,3,FALSE)</f>
        <v>孤神 テティス</v>
      </c>
      <c r="H190" s="8" t="str">
        <f>VLOOKUP(F190,[1]characters!$A:$J,10,FALSE)</f>
        <v>PremiumN</v>
      </c>
      <c r="I190" s="8">
        <f>VLOOKUP(F190,[1]characters!$A:$I,9,FALSE)</f>
        <v>4</v>
      </c>
      <c r="J190" s="8" t="str">
        <f>VLOOKUP(F190,[1]characters!$A:$H,8,FALSE)</f>
        <v>blue</v>
      </c>
      <c r="K190" s="8" t="str">
        <f>VLOOKUP(F190,[1]characters!$A:$K,11,FALSE)</f>
        <v>hp</v>
      </c>
      <c r="L190" s="8" t="str">
        <f>VLOOKUP(F190,[1]characters!$A:$M,13,FALSE)</f>
        <v>god</v>
      </c>
      <c r="M190" s="5">
        <v>1</v>
      </c>
      <c r="N190" s="28">
        <f>VLOOKUP(D190,gacha_144_base!A:B,2,FALSE)</f>
        <v>1855</v>
      </c>
      <c r="O190" s="19">
        <v>0</v>
      </c>
      <c r="P190" s="19">
        <v>0</v>
      </c>
      <c r="Q190" s="19">
        <v>0</v>
      </c>
      <c r="R190" s="19">
        <v>0</v>
      </c>
      <c r="S190" s="19">
        <v>1</v>
      </c>
    </row>
    <row r="191" spans="1:19" ht="21" customHeight="1">
      <c r="A191" s="7" t="str">
        <f t="shared" si="11"/>
        <v>145212</v>
      </c>
      <c r="B191" s="2">
        <f t="shared" si="14"/>
        <v>145</v>
      </c>
      <c r="C191" s="8" t="str">
        <f t="shared" si="12"/>
        <v>0PremiumN4</v>
      </c>
      <c r="D191" s="8" t="str">
        <f t="shared" si="13"/>
        <v>0PremiumN4</v>
      </c>
      <c r="E191" s="5">
        <v>0</v>
      </c>
      <c r="F191" s="6">
        <v>212</v>
      </c>
      <c r="G191" s="8" t="str">
        <f>VLOOKUP(F191,[1]characters!$A:$C,3,FALSE)</f>
        <v>星神 アストライアー</v>
      </c>
      <c r="H191" s="8" t="str">
        <f>VLOOKUP(F191,[1]characters!$A:$J,10,FALSE)</f>
        <v>PremiumN</v>
      </c>
      <c r="I191" s="8">
        <f>VLOOKUP(F191,[1]characters!$A:$I,9,FALSE)</f>
        <v>4</v>
      </c>
      <c r="J191" s="8" t="str">
        <f>VLOOKUP(F191,[1]characters!$A:$H,8,FALSE)</f>
        <v>yellow</v>
      </c>
      <c r="K191" s="8" t="str">
        <f>VLOOKUP(F191,[1]characters!$A:$K,11,FALSE)</f>
        <v>balance</v>
      </c>
      <c r="L191" s="8" t="str">
        <f>VLOOKUP(F191,[1]characters!$A:$M,13,FALSE)</f>
        <v>god</v>
      </c>
      <c r="M191" s="5">
        <v>1</v>
      </c>
      <c r="N191" s="28">
        <f>VLOOKUP(D191,gacha_144_base!A:B,2,FALSE)</f>
        <v>1855</v>
      </c>
      <c r="O191" s="19">
        <v>0</v>
      </c>
      <c r="P191" s="19">
        <v>0</v>
      </c>
      <c r="Q191" s="19">
        <v>0</v>
      </c>
      <c r="R191" s="19">
        <v>0</v>
      </c>
      <c r="S191" s="19">
        <v>1</v>
      </c>
    </row>
    <row r="192" spans="1:19" ht="21" customHeight="1">
      <c r="A192" s="7" t="str">
        <f t="shared" si="11"/>
        <v>145215</v>
      </c>
      <c r="B192" s="2">
        <f t="shared" si="14"/>
        <v>145</v>
      </c>
      <c r="C192" s="8" t="str">
        <f t="shared" si="12"/>
        <v>0PremiumN4</v>
      </c>
      <c r="D192" s="8" t="str">
        <f t="shared" si="13"/>
        <v>0PremiumN4</v>
      </c>
      <c r="E192" s="5">
        <v>0</v>
      </c>
      <c r="F192" s="6">
        <v>215</v>
      </c>
      <c r="G192" s="8" t="str">
        <f>VLOOKUP(F192,[1]characters!$A:$C,3,FALSE)</f>
        <v>死導者 アズラエル</v>
      </c>
      <c r="H192" s="8" t="str">
        <f>VLOOKUP(F192,[1]characters!$A:$J,10,FALSE)</f>
        <v>PremiumN</v>
      </c>
      <c r="I192" s="8">
        <f>VLOOKUP(F192,[1]characters!$A:$I,9,FALSE)</f>
        <v>4</v>
      </c>
      <c r="J192" s="8" t="str">
        <f>VLOOKUP(F192,[1]characters!$A:$H,8,FALSE)</f>
        <v>red</v>
      </c>
      <c r="K192" s="8" t="str">
        <f>VLOOKUP(F192,[1]characters!$A:$K,11,FALSE)</f>
        <v>balance</v>
      </c>
      <c r="L192" s="8" t="str">
        <f>VLOOKUP(F192,[1]characters!$A:$M,13,FALSE)</f>
        <v>god</v>
      </c>
      <c r="M192" s="5">
        <v>1</v>
      </c>
      <c r="N192" s="28">
        <f>VLOOKUP(D192,gacha_144_base!A:B,2,FALSE)</f>
        <v>1855</v>
      </c>
      <c r="O192" s="19">
        <v>0</v>
      </c>
      <c r="P192" s="19">
        <v>0</v>
      </c>
      <c r="Q192" s="19">
        <v>0</v>
      </c>
      <c r="R192" s="19">
        <v>0</v>
      </c>
      <c r="S192" s="19">
        <v>1</v>
      </c>
    </row>
    <row r="193" spans="1:19" ht="21" customHeight="1">
      <c r="A193" s="7" t="str">
        <f t="shared" si="11"/>
        <v>145218</v>
      </c>
      <c r="B193" s="2">
        <f t="shared" si="14"/>
        <v>145</v>
      </c>
      <c r="C193" s="8" t="str">
        <f t="shared" si="12"/>
        <v>0PremiumN4</v>
      </c>
      <c r="D193" s="8" t="str">
        <f t="shared" si="13"/>
        <v>0PremiumN4</v>
      </c>
      <c r="E193" s="5">
        <v>0</v>
      </c>
      <c r="F193" s="6">
        <v>218</v>
      </c>
      <c r="G193" s="8" t="str">
        <f>VLOOKUP(F193,[1]characters!$A:$C,3,FALSE)</f>
        <v>聖蛇 ケツァクアトル</v>
      </c>
      <c r="H193" s="8" t="str">
        <f>VLOOKUP(F193,[1]characters!$A:$J,10,FALSE)</f>
        <v>PremiumN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dragon</v>
      </c>
      <c r="M193" s="5">
        <v>1</v>
      </c>
      <c r="N193" s="28">
        <f>VLOOKUP(D193,gacha_144_base!A:B,2,FALSE)</f>
        <v>1855</v>
      </c>
      <c r="O193" s="19">
        <v>0</v>
      </c>
      <c r="P193" s="19">
        <v>0</v>
      </c>
      <c r="Q193" s="19">
        <v>0</v>
      </c>
      <c r="R193" s="19">
        <v>0</v>
      </c>
      <c r="S193" s="19">
        <v>1</v>
      </c>
    </row>
    <row r="194" spans="1:19" ht="21" customHeight="1">
      <c r="A194" s="7" t="str">
        <f t="shared" si="11"/>
        <v>145221</v>
      </c>
      <c r="B194" s="2">
        <f t="shared" si="14"/>
        <v>145</v>
      </c>
      <c r="C194" s="8" t="str">
        <f t="shared" si="12"/>
        <v>0PremiumN4</v>
      </c>
      <c r="D194" s="8" t="str">
        <f t="shared" si="13"/>
        <v>0PremiumN4</v>
      </c>
      <c r="E194" s="5">
        <v>0</v>
      </c>
      <c r="F194" s="6">
        <v>221</v>
      </c>
      <c r="G194" s="8" t="str">
        <f>VLOOKUP(F194,[1]characters!$A:$C,3,FALSE)</f>
        <v>宰相 ルキフグス</v>
      </c>
      <c r="H194" s="8" t="str">
        <f>VLOOKUP(F194,[1]characters!$A:$J,10,FALSE)</f>
        <v>PremiumN</v>
      </c>
      <c r="I194" s="8">
        <f>VLOOKUP(F194,[1]characters!$A:$I,9,FALSE)</f>
        <v>4</v>
      </c>
      <c r="J194" s="8" t="str">
        <f>VLOOKUP(F194,[1]characters!$A:$H,8,FALSE)</f>
        <v>blue</v>
      </c>
      <c r="K194" s="8" t="str">
        <f>VLOOKUP(F194,[1]characters!$A:$K,11,FALSE)</f>
        <v>balance</v>
      </c>
      <c r="L194" s="8" t="str">
        <f>VLOOKUP(F194,[1]characters!$A:$M,13,FALSE)</f>
        <v>god</v>
      </c>
      <c r="M194" s="5">
        <v>1</v>
      </c>
      <c r="N194" s="28">
        <f>VLOOKUP(D194,gacha_144_base!A:B,2,FALSE)</f>
        <v>1855</v>
      </c>
      <c r="O194" s="19">
        <v>0</v>
      </c>
      <c r="P194" s="19">
        <v>0</v>
      </c>
      <c r="Q194" s="19">
        <v>0</v>
      </c>
      <c r="R194" s="19">
        <v>0</v>
      </c>
      <c r="S194" s="19">
        <v>1</v>
      </c>
    </row>
    <row r="195" spans="1:19" ht="21" customHeight="1">
      <c r="A195" s="7" t="str">
        <f t="shared" si="11"/>
        <v>145224</v>
      </c>
      <c r="B195" s="2">
        <f t="shared" si="14"/>
        <v>145</v>
      </c>
      <c r="C195" s="8" t="str">
        <f t="shared" si="12"/>
        <v>0PremiumN4</v>
      </c>
      <c r="D195" s="8" t="str">
        <f t="shared" si="13"/>
        <v>0PremiumN4</v>
      </c>
      <c r="E195" s="5">
        <v>0</v>
      </c>
      <c r="F195" s="6">
        <v>224</v>
      </c>
      <c r="G195" s="8" t="str">
        <f>VLOOKUP(F195,[1]characters!$A:$C,3,FALSE)</f>
        <v>巨腕 ヘラクレス</v>
      </c>
      <c r="H195" s="8" t="str">
        <f>VLOOKUP(F195,[1]characters!$A:$J,10,FALSE)</f>
        <v>PremiumN</v>
      </c>
      <c r="I195" s="8">
        <f>VLOOKUP(F195,[1]characters!$A:$I,9,FALSE)</f>
        <v>4</v>
      </c>
      <c r="J195" s="8" t="str">
        <f>VLOOKUP(F195,[1]characters!$A:$H,8,FALSE)</f>
        <v>yellow</v>
      </c>
      <c r="K195" s="8" t="str">
        <f>VLOOKUP(F195,[1]characters!$A:$K,11,FALSE)</f>
        <v>balance</v>
      </c>
      <c r="L195" s="8" t="str">
        <f>VLOOKUP(F195,[1]characters!$A:$M,13,FALSE)</f>
        <v>human</v>
      </c>
      <c r="M195" s="5">
        <v>1</v>
      </c>
      <c r="N195" s="28">
        <f>VLOOKUP(D195,gacha_144_base!A:B,2,FALSE)</f>
        <v>1855</v>
      </c>
      <c r="O195" s="19">
        <v>0</v>
      </c>
      <c r="P195" s="19">
        <v>0</v>
      </c>
      <c r="Q195" s="19">
        <v>0</v>
      </c>
      <c r="R195" s="19">
        <v>0</v>
      </c>
      <c r="S195" s="19">
        <v>1</v>
      </c>
    </row>
    <row r="196" spans="1:19" ht="21" customHeight="1">
      <c r="A196" s="7" t="str">
        <f t="shared" si="11"/>
        <v>145227</v>
      </c>
      <c r="B196" s="2">
        <f t="shared" si="14"/>
        <v>145</v>
      </c>
      <c r="C196" s="8" t="str">
        <f t="shared" si="12"/>
        <v>0PremiumS4</v>
      </c>
      <c r="D196" s="8" t="str">
        <f t="shared" si="13"/>
        <v>0PremiumS4</v>
      </c>
      <c r="E196" s="5">
        <v>0</v>
      </c>
      <c r="F196" s="6">
        <v>227</v>
      </c>
      <c r="G196" s="8" t="str">
        <f>VLOOKUP(F196,[1]characters!$A:$C,3,FALSE)</f>
        <v>滅弾 アレス</v>
      </c>
      <c r="H196" s="8" t="str">
        <f>VLOOKUP(F196,[1]characters!$A:$J,10,FALSE)</f>
        <v>PremiumS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god</v>
      </c>
      <c r="M196" s="5">
        <v>1</v>
      </c>
      <c r="N196" s="28">
        <f>VLOOKUP(D196,gacha_144_base!A:B,2,FALSE)</f>
        <v>519</v>
      </c>
      <c r="O196" s="19">
        <v>0</v>
      </c>
      <c r="P196" s="19">
        <v>0</v>
      </c>
      <c r="Q196" s="19">
        <v>0</v>
      </c>
      <c r="R196" s="19">
        <v>0</v>
      </c>
      <c r="S196" s="19">
        <v>1</v>
      </c>
    </row>
    <row r="197" spans="1:19" ht="21" customHeight="1">
      <c r="A197" s="7" t="str">
        <f t="shared" ref="A197:A260" si="15">B197&amp;F197</f>
        <v>145230</v>
      </c>
      <c r="B197" s="2">
        <f t="shared" si="14"/>
        <v>145</v>
      </c>
      <c r="C197" s="8" t="str">
        <f t="shared" si="12"/>
        <v>0PremiumS4</v>
      </c>
      <c r="D197" s="8" t="str">
        <f t="shared" si="13"/>
        <v>0PremiumS4</v>
      </c>
      <c r="E197" s="5">
        <v>0</v>
      </c>
      <c r="F197" s="6">
        <v>230</v>
      </c>
      <c r="G197" s="8" t="str">
        <f>VLOOKUP(F197,[1]characters!$A:$C,3,FALSE)</f>
        <v>毒銃 ヨルムンガンド</v>
      </c>
      <c r="H197" s="8" t="str">
        <f>VLOOKUP(F197,[1]characters!$A:$J,10,FALSE)</f>
        <v>PremiumS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technical</v>
      </c>
      <c r="L197" s="8" t="str">
        <f>VLOOKUP(F197,[1]characters!$A:$M,13,FALSE)</f>
        <v>dragon</v>
      </c>
      <c r="M197" s="5">
        <v>1</v>
      </c>
      <c r="N197" s="28">
        <f>VLOOKUP(D197,gacha_144_base!A:B,2,FALSE)</f>
        <v>519</v>
      </c>
      <c r="O197" s="19">
        <v>0</v>
      </c>
      <c r="P197" s="19">
        <v>0</v>
      </c>
      <c r="Q197" s="19">
        <v>0</v>
      </c>
      <c r="R197" s="19">
        <v>0</v>
      </c>
      <c r="S197" s="19">
        <v>1</v>
      </c>
    </row>
    <row r="198" spans="1:19" ht="21" customHeight="1">
      <c r="A198" s="7" t="str">
        <f t="shared" si="15"/>
        <v>145233</v>
      </c>
      <c r="B198" s="2">
        <f t="shared" si="14"/>
        <v>145</v>
      </c>
      <c r="C198" s="8" t="str">
        <f t="shared" si="12"/>
        <v>0PremiumS4</v>
      </c>
      <c r="D198" s="8" t="str">
        <f t="shared" si="13"/>
        <v>0PremiumS4</v>
      </c>
      <c r="E198" s="5">
        <v>0</v>
      </c>
      <c r="F198" s="6">
        <v>233</v>
      </c>
      <c r="G198" s="8" t="str">
        <f>VLOOKUP(F198,[1]characters!$A:$C,3,FALSE)</f>
        <v>遂行 パーシヴァル</v>
      </c>
      <c r="H198" s="8" t="str">
        <f>VLOOKUP(F198,[1]characters!$A:$J,10,FALSE)</f>
        <v>PremiumS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5">
        <v>1</v>
      </c>
      <c r="N198" s="28">
        <f>VLOOKUP(D198,gacha_144_base!A:B,2,FALSE)</f>
        <v>519</v>
      </c>
      <c r="O198" s="19">
        <v>0</v>
      </c>
      <c r="P198" s="19">
        <v>0</v>
      </c>
      <c r="Q198" s="19">
        <v>0</v>
      </c>
      <c r="R198" s="19">
        <v>0</v>
      </c>
      <c r="S198" s="19">
        <v>1</v>
      </c>
    </row>
    <row r="199" spans="1:19" ht="21" customHeight="1">
      <c r="A199" s="7" t="str">
        <f t="shared" si="15"/>
        <v>145236</v>
      </c>
      <c r="B199" s="2">
        <f t="shared" si="14"/>
        <v>145</v>
      </c>
      <c r="C199" s="8" t="str">
        <f t="shared" si="12"/>
        <v>0PremiumS4</v>
      </c>
      <c r="D199" s="8" t="str">
        <f t="shared" si="13"/>
        <v>0PremiumS4</v>
      </c>
      <c r="E199" s="5">
        <v>0</v>
      </c>
      <c r="F199" s="6">
        <v>236</v>
      </c>
      <c r="G199" s="8" t="str">
        <f>VLOOKUP(F199,[1]characters!$A:$C,3,FALSE)</f>
        <v>神産 イザナミ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5">
        <v>1</v>
      </c>
      <c r="N199" s="28">
        <f>VLOOKUP(D199,gacha_144_base!A:B,2,FALSE)</f>
        <v>519</v>
      </c>
      <c r="O199" s="19">
        <v>0</v>
      </c>
      <c r="P199" s="19">
        <v>0</v>
      </c>
      <c r="Q199" s="19">
        <v>0</v>
      </c>
      <c r="R199" s="19">
        <v>0</v>
      </c>
      <c r="S199" s="19">
        <v>1</v>
      </c>
    </row>
    <row r="200" spans="1:19" ht="21" customHeight="1">
      <c r="A200" s="7" t="str">
        <f t="shared" si="15"/>
        <v>145168</v>
      </c>
      <c r="B200" s="2">
        <f t="shared" si="14"/>
        <v>145</v>
      </c>
      <c r="C200" s="8" t="str">
        <f t="shared" si="12"/>
        <v>0PremiumN5</v>
      </c>
      <c r="D200" s="8" t="str">
        <f t="shared" si="13"/>
        <v>0PremiumN5</v>
      </c>
      <c r="E200" s="5">
        <v>0</v>
      </c>
      <c r="F200" s="6">
        <v>168</v>
      </c>
      <c r="G200" s="8" t="str">
        <f>VLOOKUP(F200,[1]characters!$A:$C,3,FALSE)</f>
        <v>猛進の大逆者 ベリアル</v>
      </c>
      <c r="H200" s="8" t="str">
        <f>VLOOKUP(F200,[1]characters!$A:$J,10,FALSE)</f>
        <v>PremiumN</v>
      </c>
      <c r="I200" s="8">
        <f>VLOOKUP(F200,[1]characters!$A:$I,9,FALSE)</f>
        <v>5</v>
      </c>
      <c r="J200" s="8" t="str">
        <f>VLOOKUP(F200,[1]characters!$A:$H,8,FALSE)</f>
        <v>red</v>
      </c>
      <c r="K200" s="8" t="str">
        <f>VLOOKUP(F200,[1]characters!$A:$K,11,FALSE)</f>
        <v>attack</v>
      </c>
      <c r="L200" s="8" t="str">
        <f>VLOOKUP(F200,[1]characters!$A:$M,13,FALSE)</f>
        <v>god</v>
      </c>
      <c r="M200" s="5">
        <v>1</v>
      </c>
      <c r="N200" s="28">
        <f>VLOOKUP(D200,gacha_144_base!A:B,2,FALSE)</f>
        <v>569</v>
      </c>
      <c r="O200" s="19">
        <v>0</v>
      </c>
      <c r="P200" s="19">
        <v>0</v>
      </c>
      <c r="Q200" s="19">
        <v>0</v>
      </c>
      <c r="R200" s="19">
        <v>0</v>
      </c>
      <c r="S200" s="19">
        <v>1</v>
      </c>
    </row>
    <row r="201" spans="1:19" ht="21" customHeight="1">
      <c r="A201" s="7" t="str">
        <f t="shared" si="15"/>
        <v>145171</v>
      </c>
      <c r="B201" s="2">
        <f t="shared" si="14"/>
        <v>145</v>
      </c>
      <c r="C201" s="8" t="str">
        <f t="shared" si="12"/>
        <v>0PremiumN5</v>
      </c>
      <c r="D201" s="8" t="str">
        <f t="shared" si="13"/>
        <v>0PremiumN5</v>
      </c>
      <c r="E201" s="5">
        <v>0</v>
      </c>
      <c r="F201" s="6">
        <v>171</v>
      </c>
      <c r="G201" s="8" t="str">
        <f>VLOOKUP(F201,[1]characters!$A:$C,3,FALSE)</f>
        <v>精解の預知者 オセ</v>
      </c>
      <c r="H201" s="8" t="str">
        <f>VLOOKUP(F201,[1]characters!$A:$J,10,FALSE)</f>
        <v>PremiumN</v>
      </c>
      <c r="I201" s="8">
        <f>VLOOKUP(F201,[1]characters!$A:$I,9,FALSE)</f>
        <v>5</v>
      </c>
      <c r="J201" s="8" t="str">
        <f>VLOOKUP(F201,[1]characters!$A:$H,8,FALSE)</f>
        <v>green</v>
      </c>
      <c r="K201" s="8" t="str">
        <f>VLOOKUP(F201,[1]characters!$A:$K,11,FALSE)</f>
        <v>attack</v>
      </c>
      <c r="L201" s="8" t="str">
        <f>VLOOKUP(F201,[1]characters!$A:$M,13,FALSE)</f>
        <v>god</v>
      </c>
      <c r="M201" s="5">
        <v>1</v>
      </c>
      <c r="N201" s="28">
        <f>VLOOKUP(D201,gacha_144_base!A:B,2,FALSE)</f>
        <v>569</v>
      </c>
      <c r="O201" s="19">
        <v>0</v>
      </c>
      <c r="P201" s="19">
        <v>0</v>
      </c>
      <c r="Q201" s="19">
        <v>0</v>
      </c>
      <c r="R201" s="19">
        <v>0</v>
      </c>
      <c r="S201" s="19">
        <v>1</v>
      </c>
    </row>
    <row r="202" spans="1:19" ht="21" customHeight="1">
      <c r="A202" s="7" t="str">
        <f t="shared" si="15"/>
        <v>145174</v>
      </c>
      <c r="B202" s="2">
        <f t="shared" si="14"/>
        <v>145</v>
      </c>
      <c r="C202" s="8" t="str">
        <f t="shared" si="12"/>
        <v>0PremiumN5</v>
      </c>
      <c r="D202" s="8" t="str">
        <f t="shared" si="13"/>
        <v>0PremiumN5</v>
      </c>
      <c r="E202" s="5">
        <v>0</v>
      </c>
      <c r="F202" s="6">
        <v>174</v>
      </c>
      <c r="G202" s="8" t="str">
        <f>VLOOKUP(F202,[1]characters!$A:$C,3,FALSE)</f>
        <v>偽愛の大公爵 フォルネウス</v>
      </c>
      <c r="H202" s="8" t="str">
        <f>VLOOKUP(F202,[1]characters!$A:$J,10,FALSE)</f>
        <v>PremiumN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5">
        <v>1</v>
      </c>
      <c r="N202" s="28">
        <f>VLOOKUP(D202,gacha_144_base!A:B,2,FALSE)</f>
        <v>569</v>
      </c>
      <c r="O202" s="19">
        <v>0</v>
      </c>
      <c r="P202" s="19">
        <v>0</v>
      </c>
      <c r="Q202" s="19">
        <v>0</v>
      </c>
      <c r="R202" s="19">
        <v>0</v>
      </c>
      <c r="S202" s="19">
        <v>1</v>
      </c>
    </row>
    <row r="203" spans="1:19" ht="21" customHeight="1">
      <c r="A203" s="7" t="str">
        <f t="shared" si="15"/>
        <v>145177</v>
      </c>
      <c r="B203" s="2">
        <f t="shared" si="14"/>
        <v>145</v>
      </c>
      <c r="C203" s="8" t="str">
        <f t="shared" si="12"/>
        <v>0PremiumN5</v>
      </c>
      <c r="D203" s="8" t="str">
        <f t="shared" si="13"/>
        <v>0PremiumN5</v>
      </c>
      <c r="E203" s="5">
        <v>0</v>
      </c>
      <c r="F203" s="6">
        <v>177</v>
      </c>
      <c r="G203" s="8" t="str">
        <f>VLOOKUP(F203,[1]characters!$A:$C,3,FALSE)</f>
        <v>黒魔の異端師 バフォメット</v>
      </c>
      <c r="H203" s="8" t="str">
        <f>VLOOKUP(F203,[1]characters!$A:$J,10,FALSE)</f>
        <v>PremiumN</v>
      </c>
      <c r="I203" s="8">
        <f>VLOOKUP(F203,[1]characters!$A:$I,9,FALSE)</f>
        <v>5</v>
      </c>
      <c r="J203" s="8" t="str">
        <f>VLOOKUP(F203,[1]characters!$A:$H,8,FALSE)</f>
        <v>yellow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5">
        <v>1</v>
      </c>
      <c r="N203" s="28">
        <f>VLOOKUP(D203,gacha_144_base!A:B,2,FALSE)</f>
        <v>569</v>
      </c>
      <c r="O203" s="19">
        <v>0</v>
      </c>
      <c r="P203" s="19">
        <v>0</v>
      </c>
      <c r="Q203" s="19">
        <v>0</v>
      </c>
      <c r="R203" s="19">
        <v>0</v>
      </c>
      <c r="S203" s="19">
        <v>1</v>
      </c>
    </row>
    <row r="204" spans="1:19" ht="21" customHeight="1">
      <c r="A204" s="7" t="str">
        <f t="shared" si="15"/>
        <v>145180</v>
      </c>
      <c r="B204" s="2">
        <f t="shared" si="14"/>
        <v>145</v>
      </c>
      <c r="C204" s="8" t="str">
        <f t="shared" si="12"/>
        <v>0PremiumN5</v>
      </c>
      <c r="D204" s="8" t="str">
        <f t="shared" si="13"/>
        <v>0PremiumN5</v>
      </c>
      <c r="E204" s="5">
        <v>0</v>
      </c>
      <c r="F204" s="6">
        <v>180</v>
      </c>
      <c r="G204" s="8" t="str">
        <f>VLOOKUP(F204,[1]characters!$A:$C,3,FALSE)</f>
        <v>地獄の大門番 ケルベロス</v>
      </c>
      <c r="H204" s="8" t="str">
        <f>VLOOKUP(F204,[1]characters!$A:$J,10,FALSE)</f>
        <v>PremiumN</v>
      </c>
      <c r="I204" s="8">
        <f>VLOOKUP(F204,[1]characters!$A:$I,9,FALSE)</f>
        <v>5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animal</v>
      </c>
      <c r="M204" s="5">
        <v>1</v>
      </c>
      <c r="N204" s="28">
        <f>VLOOKUP(D204,gacha_144_base!A:B,2,FALSE)</f>
        <v>569</v>
      </c>
      <c r="O204" s="19">
        <v>0</v>
      </c>
      <c r="P204" s="19">
        <v>0</v>
      </c>
      <c r="Q204" s="19">
        <v>0</v>
      </c>
      <c r="R204" s="19">
        <v>0</v>
      </c>
      <c r="S204" s="19">
        <v>1</v>
      </c>
    </row>
    <row r="205" spans="1:19" ht="21" customHeight="1">
      <c r="A205" s="7" t="str">
        <f t="shared" si="15"/>
        <v>145183</v>
      </c>
      <c r="B205" s="2">
        <f t="shared" si="14"/>
        <v>145</v>
      </c>
      <c r="C205" s="8" t="str">
        <f t="shared" ref="C205:C268" si="16">E205&amp;H205&amp;I205</f>
        <v>0PremiumN5</v>
      </c>
      <c r="D205" s="8" t="str">
        <f t="shared" si="13"/>
        <v>0PremiumN5</v>
      </c>
      <c r="E205" s="5">
        <v>0</v>
      </c>
      <c r="F205" s="6">
        <v>183</v>
      </c>
      <c r="G205" s="8" t="str">
        <f>VLOOKUP(F205,[1]characters!$A:$C,3,FALSE)</f>
        <v>鈍重な彷徨者 ベヒモス</v>
      </c>
      <c r="H205" s="8" t="str">
        <f>VLOOKUP(F205,[1]characters!$A:$J,10,FALSE)</f>
        <v>PremiumN</v>
      </c>
      <c r="I205" s="8">
        <f>VLOOKUP(F205,[1]characters!$A:$I,9,FALSE)</f>
        <v>5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animal</v>
      </c>
      <c r="M205" s="5">
        <v>1</v>
      </c>
      <c r="N205" s="28">
        <f>VLOOKUP(D205,gacha_144_base!A:B,2,FALSE)</f>
        <v>569</v>
      </c>
      <c r="O205" s="19">
        <v>0</v>
      </c>
      <c r="P205" s="19">
        <v>0</v>
      </c>
      <c r="Q205" s="19">
        <v>0</v>
      </c>
      <c r="R205" s="19">
        <v>0</v>
      </c>
      <c r="S205" s="19">
        <v>1</v>
      </c>
    </row>
    <row r="206" spans="1:19" ht="21" customHeight="1">
      <c r="A206" s="7" t="str">
        <f t="shared" si="15"/>
        <v>145186</v>
      </c>
      <c r="B206" s="2">
        <f t="shared" si="14"/>
        <v>145</v>
      </c>
      <c r="C206" s="8" t="str">
        <f t="shared" si="16"/>
        <v>0PremiumN5</v>
      </c>
      <c r="D206" s="8" t="str">
        <f t="shared" si="13"/>
        <v>0PremiumN5</v>
      </c>
      <c r="E206" s="5">
        <v>0</v>
      </c>
      <c r="F206" s="6">
        <v>186</v>
      </c>
      <c r="G206" s="8" t="str">
        <f>VLOOKUP(F206,[1]characters!$A:$C,3,FALSE)</f>
        <v>誇り高き多触姫・クラーケン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blue</v>
      </c>
      <c r="K206" s="8" t="str">
        <f>VLOOKUP(F206,[1]characters!$A:$K,11,FALSE)</f>
        <v>heal</v>
      </c>
      <c r="L206" s="8" t="str">
        <f>VLOOKUP(F206,[1]characters!$A:$M,13,FALSE)</f>
        <v>animal</v>
      </c>
      <c r="M206" s="5">
        <v>1</v>
      </c>
      <c r="N206" s="28">
        <f>VLOOKUP(D206,gacha_144_base!A:B,2,FALSE)</f>
        <v>569</v>
      </c>
      <c r="O206" s="19">
        <v>0</v>
      </c>
      <c r="P206" s="19">
        <v>0</v>
      </c>
      <c r="Q206" s="19">
        <v>0</v>
      </c>
      <c r="R206" s="19">
        <v>0</v>
      </c>
      <c r="S206" s="19">
        <v>1</v>
      </c>
    </row>
    <row r="207" spans="1:19" ht="21" customHeight="1">
      <c r="A207" s="7" t="str">
        <f t="shared" si="15"/>
        <v>145189</v>
      </c>
      <c r="B207" s="2">
        <f t="shared" si="14"/>
        <v>145</v>
      </c>
      <c r="C207" s="8" t="str">
        <f t="shared" si="16"/>
        <v>0PremiumN5</v>
      </c>
      <c r="D207" s="8" t="str">
        <f t="shared" si="13"/>
        <v>0PremiumN5</v>
      </c>
      <c r="E207" s="5">
        <v>0</v>
      </c>
      <c r="F207" s="6">
        <v>189</v>
      </c>
      <c r="G207" s="8" t="str">
        <f>VLOOKUP(F207,[1]characters!$A:$C,3,FALSE)</f>
        <v>迅雷の王禽 ホルス</v>
      </c>
      <c r="H207" s="8" t="str">
        <f>VLOOKUP(F207,[1]characters!$A:$J,10,FALSE)</f>
        <v>PremiumN</v>
      </c>
      <c r="I207" s="8">
        <f>VLOOKUP(F207,[1]characters!$A:$I,9,FALSE)</f>
        <v>5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animal</v>
      </c>
      <c r="M207" s="5">
        <v>1</v>
      </c>
      <c r="N207" s="28">
        <f>VLOOKUP(D207,gacha_144_base!A:B,2,FALSE)</f>
        <v>569</v>
      </c>
      <c r="O207" s="19">
        <v>0</v>
      </c>
      <c r="P207" s="19">
        <v>0</v>
      </c>
      <c r="Q207" s="19">
        <v>0</v>
      </c>
      <c r="R207" s="19">
        <v>0</v>
      </c>
      <c r="S207" s="19">
        <v>1</v>
      </c>
    </row>
    <row r="208" spans="1:19" ht="21" customHeight="1">
      <c r="A208" s="7" t="str">
        <f t="shared" si="15"/>
        <v>145192</v>
      </c>
      <c r="B208" s="2">
        <f t="shared" si="14"/>
        <v>145</v>
      </c>
      <c r="C208" s="8" t="str">
        <f t="shared" si="16"/>
        <v>0PremiumN5</v>
      </c>
      <c r="D208" s="8" t="str">
        <f t="shared" si="13"/>
        <v>0PremiumN5</v>
      </c>
      <c r="E208" s="5">
        <v>0</v>
      </c>
      <c r="F208" s="6">
        <v>192</v>
      </c>
      <c r="G208" s="8" t="str">
        <f>VLOOKUP(F208,[1]characters!$A:$C,3,FALSE)</f>
        <v>荘厳なる始祖帝 卑弥呼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5">
        <v>1</v>
      </c>
      <c r="N208" s="28">
        <f>VLOOKUP(D208,gacha_144_base!A:B,2,FALSE)</f>
        <v>569</v>
      </c>
      <c r="O208" s="19">
        <v>0</v>
      </c>
      <c r="P208" s="19">
        <v>0</v>
      </c>
      <c r="Q208" s="19">
        <v>0</v>
      </c>
      <c r="R208" s="19">
        <v>0</v>
      </c>
      <c r="S208" s="19">
        <v>1</v>
      </c>
    </row>
    <row r="209" spans="1:19" ht="21" customHeight="1">
      <c r="A209" s="7" t="str">
        <f t="shared" si="15"/>
        <v>145195</v>
      </c>
      <c r="B209" s="2">
        <f t="shared" si="14"/>
        <v>145</v>
      </c>
      <c r="C209" s="8" t="str">
        <f t="shared" si="16"/>
        <v>0PremiumN5</v>
      </c>
      <c r="D209" s="8" t="str">
        <f t="shared" si="13"/>
        <v>0PremiumN5</v>
      </c>
      <c r="E209" s="5">
        <v>0</v>
      </c>
      <c r="F209" s="6">
        <v>195</v>
      </c>
      <c r="G209" s="8" t="str">
        <f>VLOOKUP(F209,[1]characters!$A:$C,3,FALSE)</f>
        <v>グランドハンター ロビンフッド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5">
        <v>1</v>
      </c>
      <c r="N209" s="28">
        <f>VLOOKUP(D209,gacha_144_base!A:B,2,FALSE)</f>
        <v>569</v>
      </c>
      <c r="O209" s="19">
        <v>0</v>
      </c>
      <c r="P209" s="19">
        <v>0</v>
      </c>
      <c r="Q209" s="19">
        <v>0</v>
      </c>
      <c r="R209" s="19">
        <v>0</v>
      </c>
      <c r="S209" s="19">
        <v>1</v>
      </c>
    </row>
    <row r="210" spans="1:19" ht="21" customHeight="1">
      <c r="A210" s="7" t="str">
        <f t="shared" si="15"/>
        <v>145198</v>
      </c>
      <c r="B210" s="2">
        <f t="shared" si="14"/>
        <v>145</v>
      </c>
      <c r="C210" s="8" t="str">
        <f t="shared" si="16"/>
        <v>0PremiumN5</v>
      </c>
      <c r="D210" s="8" t="str">
        <f t="shared" si="13"/>
        <v>0PremiumN5</v>
      </c>
      <c r="E210" s="5">
        <v>0</v>
      </c>
      <c r="F210" s="6">
        <v>198</v>
      </c>
      <c r="G210" s="8" t="str">
        <f>VLOOKUP(F210,[1]characters!$A:$C,3,FALSE)</f>
        <v>砕骨の剛腕 アキレス</v>
      </c>
      <c r="H210" s="8" t="str">
        <f>VLOOKUP(F210,[1]characters!$A:$J,10,FALSE)</f>
        <v>PremiumN</v>
      </c>
      <c r="I210" s="8">
        <f>VLOOKUP(F210,[1]characters!$A:$I,9,FALSE)</f>
        <v>5</v>
      </c>
      <c r="J210" s="8" t="str">
        <f>VLOOKUP(F210,[1]characters!$A:$H,8,FALSE)</f>
        <v>yellow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5">
        <v>1</v>
      </c>
      <c r="N210" s="28">
        <f>VLOOKUP(D210,gacha_144_base!A:B,2,FALSE)</f>
        <v>569</v>
      </c>
      <c r="O210" s="19">
        <v>0</v>
      </c>
      <c r="P210" s="19">
        <v>0</v>
      </c>
      <c r="Q210" s="19">
        <v>0</v>
      </c>
      <c r="R210" s="19">
        <v>0</v>
      </c>
      <c r="S210" s="19">
        <v>1</v>
      </c>
    </row>
    <row r="211" spans="1:19" ht="21" customHeight="1">
      <c r="A211" s="7" t="str">
        <f t="shared" si="15"/>
        <v>145201</v>
      </c>
      <c r="B211" s="2">
        <f t="shared" si="14"/>
        <v>145</v>
      </c>
      <c r="C211" s="8" t="str">
        <f t="shared" si="16"/>
        <v>0PremiumN5</v>
      </c>
      <c r="D211" s="8" t="str">
        <f t="shared" si="13"/>
        <v>0PremiumN5</v>
      </c>
      <c r="E211" s="5">
        <v>0</v>
      </c>
      <c r="F211" s="6">
        <v>201</v>
      </c>
      <c r="G211" s="8" t="str">
        <f>VLOOKUP(F211,[1]characters!$A:$C,3,FALSE)</f>
        <v>斬空の大破剣 ジークフリート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blue</v>
      </c>
      <c r="K211" s="8" t="str">
        <f>VLOOKUP(F211,[1]characters!$A:$K,11,FALSE)</f>
        <v>balance</v>
      </c>
      <c r="L211" s="8" t="str">
        <f>VLOOKUP(F211,[1]characters!$A:$M,13,FALSE)</f>
        <v>human</v>
      </c>
      <c r="M211" s="5">
        <v>1</v>
      </c>
      <c r="N211" s="28">
        <f>VLOOKUP(D211,gacha_144_base!A:B,2,FALSE)</f>
        <v>569</v>
      </c>
      <c r="O211" s="19">
        <v>0</v>
      </c>
      <c r="P211" s="19">
        <v>0</v>
      </c>
      <c r="Q211" s="19">
        <v>0</v>
      </c>
      <c r="R211" s="19">
        <v>0</v>
      </c>
      <c r="S211" s="19">
        <v>1</v>
      </c>
    </row>
    <row r="212" spans="1:19" ht="21" customHeight="1">
      <c r="A212" s="7" t="str">
        <f t="shared" si="15"/>
        <v>145204</v>
      </c>
      <c r="B212" s="2">
        <f t="shared" si="14"/>
        <v>145</v>
      </c>
      <c r="C212" s="8" t="str">
        <f t="shared" si="16"/>
        <v>0PremiumN5</v>
      </c>
      <c r="D212" s="8" t="str">
        <f t="shared" si="13"/>
        <v>0PremiumN5</v>
      </c>
      <c r="E212" s="5">
        <v>0</v>
      </c>
      <c r="F212" s="6">
        <v>204</v>
      </c>
      <c r="G212" s="8" t="str">
        <f>VLOOKUP(F212,[1]characters!$A:$C,3,FALSE)</f>
        <v>慟哭の巨焔 プロメテウス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hp</v>
      </c>
      <c r="L212" s="8" t="str">
        <f>VLOOKUP(F212,[1]characters!$A:$M,13,FALSE)</f>
        <v>god</v>
      </c>
      <c r="M212" s="5">
        <v>1</v>
      </c>
      <c r="N212" s="28">
        <f>VLOOKUP(D212,gacha_144_base!A:B,2,FALSE)</f>
        <v>569</v>
      </c>
      <c r="O212" s="19">
        <v>0</v>
      </c>
      <c r="P212" s="19">
        <v>0</v>
      </c>
      <c r="Q212" s="19">
        <v>0</v>
      </c>
      <c r="R212" s="19">
        <v>0</v>
      </c>
      <c r="S212" s="19">
        <v>1</v>
      </c>
    </row>
    <row r="213" spans="1:19" ht="21" customHeight="1">
      <c r="A213" s="7" t="str">
        <f t="shared" si="15"/>
        <v>145207</v>
      </c>
      <c r="B213" s="2">
        <f t="shared" si="14"/>
        <v>145</v>
      </c>
      <c r="C213" s="8" t="str">
        <f t="shared" si="16"/>
        <v>0PremiumN5</v>
      </c>
      <c r="D213" s="8" t="str">
        <f t="shared" si="13"/>
        <v>0PremiumN5</v>
      </c>
      <c r="E213" s="5">
        <v>0</v>
      </c>
      <c r="F213" s="6">
        <v>207</v>
      </c>
      <c r="G213" s="8" t="str">
        <f>VLOOKUP(F213,[1]characters!$A:$C,3,FALSE)</f>
        <v>豊穣の麗神・アフロディーテ</v>
      </c>
      <c r="H213" s="8" t="str">
        <f>VLOOKUP(F213,[1]characters!$A:$J,10,FALSE)</f>
        <v>PremiumN</v>
      </c>
      <c r="I213" s="8">
        <f>VLOOKUP(F213,[1]characters!$A:$I,9,FALSE)</f>
        <v>5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god</v>
      </c>
      <c r="M213" s="5">
        <v>1</v>
      </c>
      <c r="N213" s="28">
        <f>VLOOKUP(D213,gacha_144_base!A:B,2,FALSE)</f>
        <v>569</v>
      </c>
      <c r="O213" s="19">
        <v>0</v>
      </c>
      <c r="P213" s="19">
        <v>0</v>
      </c>
      <c r="Q213" s="19">
        <v>0</v>
      </c>
      <c r="R213" s="19">
        <v>0</v>
      </c>
      <c r="S213" s="19">
        <v>1</v>
      </c>
    </row>
    <row r="214" spans="1:19" ht="21" customHeight="1">
      <c r="A214" s="7" t="str">
        <f t="shared" si="15"/>
        <v>145210</v>
      </c>
      <c r="B214" s="2">
        <f t="shared" si="14"/>
        <v>145</v>
      </c>
      <c r="C214" s="8" t="str">
        <f t="shared" si="16"/>
        <v>0PremiumN5</v>
      </c>
      <c r="D214" s="8" t="str">
        <f t="shared" si="13"/>
        <v>0PremiumN5</v>
      </c>
      <c r="E214" s="5">
        <v>0</v>
      </c>
      <c r="F214" s="6">
        <v>210</v>
      </c>
      <c r="G214" s="8" t="str">
        <f>VLOOKUP(F214,[1]characters!$A:$C,3,FALSE)</f>
        <v>海底の孤高神 テティス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hp</v>
      </c>
      <c r="L214" s="8" t="str">
        <f>VLOOKUP(F214,[1]characters!$A:$M,13,FALSE)</f>
        <v>god</v>
      </c>
      <c r="M214" s="5">
        <v>1</v>
      </c>
      <c r="N214" s="28">
        <f>VLOOKUP(D214,gacha_144_base!A:B,2,FALSE)</f>
        <v>569</v>
      </c>
      <c r="O214" s="19">
        <v>0</v>
      </c>
      <c r="P214" s="19">
        <v>0</v>
      </c>
      <c r="Q214" s="19">
        <v>0</v>
      </c>
      <c r="R214" s="19">
        <v>0</v>
      </c>
      <c r="S214" s="19">
        <v>1</v>
      </c>
    </row>
    <row r="215" spans="1:19" ht="21" customHeight="1">
      <c r="A215" s="7" t="str">
        <f t="shared" si="15"/>
        <v>145213</v>
      </c>
      <c r="B215" s="2">
        <f t="shared" si="14"/>
        <v>145</v>
      </c>
      <c r="C215" s="8" t="str">
        <f t="shared" si="16"/>
        <v>0PremiumN5</v>
      </c>
      <c r="D215" s="8" t="str">
        <f t="shared" si="13"/>
        <v>0PremiumN5</v>
      </c>
      <c r="E215" s="5">
        <v>0</v>
      </c>
      <c r="F215" s="6">
        <v>213</v>
      </c>
      <c r="G215" s="8" t="str">
        <f>VLOOKUP(F215,[1]characters!$A:$C,3,FALSE)</f>
        <v>満天の星降神 アストライアー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yellow</v>
      </c>
      <c r="K215" s="8" t="str">
        <f>VLOOKUP(F215,[1]characters!$A:$K,11,FALSE)</f>
        <v>balance</v>
      </c>
      <c r="L215" s="8" t="str">
        <f>VLOOKUP(F215,[1]characters!$A:$M,13,FALSE)</f>
        <v>god</v>
      </c>
      <c r="M215" s="5">
        <v>1</v>
      </c>
      <c r="N215" s="28">
        <f>VLOOKUP(D215,gacha_144_base!A:B,2,FALSE)</f>
        <v>569</v>
      </c>
      <c r="O215" s="19">
        <v>0</v>
      </c>
      <c r="P215" s="19">
        <v>0</v>
      </c>
      <c r="Q215" s="19">
        <v>0</v>
      </c>
      <c r="R215" s="19">
        <v>0</v>
      </c>
      <c r="S215" s="19">
        <v>1</v>
      </c>
    </row>
    <row r="216" spans="1:19" ht="21" customHeight="1">
      <c r="A216" s="7" t="str">
        <f t="shared" si="15"/>
        <v>145216</v>
      </c>
      <c r="B216" s="2">
        <f t="shared" si="14"/>
        <v>145</v>
      </c>
      <c r="C216" s="8" t="str">
        <f t="shared" si="16"/>
        <v>0PremiumN5</v>
      </c>
      <c r="D216" s="8" t="str">
        <f t="shared" si="13"/>
        <v>0PremiumN5</v>
      </c>
      <c r="E216" s="5">
        <v>0</v>
      </c>
      <c r="F216" s="6">
        <v>216</v>
      </c>
      <c r="G216" s="8" t="str">
        <f>VLOOKUP(F216,[1]characters!$A:$C,3,FALSE)</f>
        <v>百読の死導司書 アズラエル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balance</v>
      </c>
      <c r="L216" s="8" t="str">
        <f>VLOOKUP(F216,[1]characters!$A:$M,13,FALSE)</f>
        <v>god</v>
      </c>
      <c r="M216" s="5">
        <v>1</v>
      </c>
      <c r="N216" s="28">
        <f>VLOOKUP(D216,gacha_144_base!A:B,2,FALSE)</f>
        <v>569</v>
      </c>
      <c r="O216" s="19">
        <v>0</v>
      </c>
      <c r="P216" s="19">
        <v>0</v>
      </c>
      <c r="Q216" s="19">
        <v>0</v>
      </c>
      <c r="R216" s="19">
        <v>0</v>
      </c>
      <c r="S216" s="19">
        <v>1</v>
      </c>
    </row>
    <row r="217" spans="1:19" ht="21" customHeight="1">
      <c r="A217" s="7" t="str">
        <f t="shared" si="15"/>
        <v>145219</v>
      </c>
      <c r="B217" s="2">
        <f t="shared" si="14"/>
        <v>145</v>
      </c>
      <c r="C217" s="8" t="str">
        <f t="shared" si="16"/>
        <v>0PremiumN5</v>
      </c>
      <c r="D217" s="8" t="str">
        <f t="shared" si="13"/>
        <v>0PremiumN5</v>
      </c>
      <c r="E217" s="5">
        <v>0</v>
      </c>
      <c r="F217" s="6">
        <v>219</v>
      </c>
      <c r="G217" s="8" t="str">
        <f>VLOOKUP(F217,[1]characters!$A:$C,3,FALSE)</f>
        <v>覇翼の聖蛇竜 ケツァクアトル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green</v>
      </c>
      <c r="K217" s="8" t="str">
        <f>VLOOKUP(F217,[1]characters!$A:$K,11,FALSE)</f>
        <v>hp</v>
      </c>
      <c r="L217" s="8" t="str">
        <f>VLOOKUP(F217,[1]characters!$A:$M,13,FALSE)</f>
        <v>dragon</v>
      </c>
      <c r="M217" s="5">
        <v>1</v>
      </c>
      <c r="N217" s="28">
        <f>VLOOKUP(D217,gacha_144_base!A:B,2,FALSE)</f>
        <v>569</v>
      </c>
      <c r="O217" s="19">
        <v>0</v>
      </c>
      <c r="P217" s="19">
        <v>0</v>
      </c>
      <c r="Q217" s="19">
        <v>0</v>
      </c>
      <c r="R217" s="19">
        <v>0</v>
      </c>
      <c r="S217" s="19">
        <v>1</v>
      </c>
    </row>
    <row r="218" spans="1:19" ht="21" customHeight="1">
      <c r="A218" s="7" t="str">
        <f t="shared" si="15"/>
        <v>145222</v>
      </c>
      <c r="B218" s="2">
        <f t="shared" si="14"/>
        <v>145</v>
      </c>
      <c r="C218" s="8" t="str">
        <f t="shared" si="16"/>
        <v>0PremiumN5</v>
      </c>
      <c r="D218" s="8" t="str">
        <f t="shared" si="13"/>
        <v>0PremiumN5</v>
      </c>
      <c r="E218" s="5">
        <v>0</v>
      </c>
      <c r="F218" s="6">
        <v>222</v>
      </c>
      <c r="G218" s="8" t="str">
        <f>VLOOKUP(F218,[1]characters!$A:$C,3,FALSE)</f>
        <v>避光の鉄鎖宰相 ルキフグス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balance</v>
      </c>
      <c r="L218" s="8" t="str">
        <f>VLOOKUP(F218,[1]characters!$A:$M,13,FALSE)</f>
        <v>god</v>
      </c>
      <c r="M218" s="5">
        <v>1</v>
      </c>
      <c r="N218" s="28">
        <f>VLOOKUP(D218,gacha_144_base!A:B,2,FALSE)</f>
        <v>569</v>
      </c>
      <c r="O218" s="19">
        <v>0</v>
      </c>
      <c r="P218" s="19">
        <v>0</v>
      </c>
      <c r="Q218" s="19">
        <v>0</v>
      </c>
      <c r="R218" s="19">
        <v>0</v>
      </c>
      <c r="S218" s="19">
        <v>1</v>
      </c>
    </row>
    <row r="219" spans="1:19" ht="21" customHeight="1">
      <c r="A219" s="7" t="str">
        <f t="shared" si="15"/>
        <v>145225</v>
      </c>
      <c r="B219" s="2">
        <f t="shared" si="14"/>
        <v>145</v>
      </c>
      <c r="C219" s="8" t="str">
        <f t="shared" si="16"/>
        <v>0PremiumN5</v>
      </c>
      <c r="D219" s="8" t="str">
        <f t="shared" ref="D219:D277" si="17">E219&amp;H219&amp;I219</f>
        <v>0PremiumN5</v>
      </c>
      <c r="E219" s="5">
        <v>0</v>
      </c>
      <c r="F219" s="6">
        <v>225</v>
      </c>
      <c r="G219" s="8" t="str">
        <f>VLOOKUP(F219,[1]characters!$A:$C,3,FALSE)</f>
        <v>咆哮の巨獅腕 ヘラクレス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yellow</v>
      </c>
      <c r="K219" s="8" t="str">
        <f>VLOOKUP(F219,[1]characters!$A:$K,11,FALSE)</f>
        <v>balance</v>
      </c>
      <c r="L219" s="8" t="str">
        <f>VLOOKUP(F219,[1]characters!$A:$M,13,FALSE)</f>
        <v>human</v>
      </c>
      <c r="M219" s="5">
        <v>1</v>
      </c>
      <c r="N219" s="28">
        <f>VLOOKUP(D219,gacha_144_base!A:B,2,FALSE)</f>
        <v>569</v>
      </c>
      <c r="O219" s="19">
        <v>0</v>
      </c>
      <c r="P219" s="19">
        <v>0</v>
      </c>
      <c r="Q219" s="19">
        <v>0</v>
      </c>
      <c r="R219" s="19">
        <v>0</v>
      </c>
      <c r="S219" s="19">
        <v>1</v>
      </c>
    </row>
    <row r="220" spans="1:19" ht="21" customHeight="1">
      <c r="A220" s="7" t="str">
        <f t="shared" si="15"/>
        <v>145228</v>
      </c>
      <c r="B220" s="2">
        <f t="shared" si="14"/>
        <v>145</v>
      </c>
      <c r="C220" s="8" t="str">
        <f t="shared" si="16"/>
        <v>0PremiumS5</v>
      </c>
      <c r="D220" s="8" t="str">
        <f t="shared" si="17"/>
        <v>0PremiumS5</v>
      </c>
      <c r="E220" s="5">
        <v>0</v>
      </c>
      <c r="F220" s="6">
        <v>228</v>
      </c>
      <c r="G220" s="8" t="str">
        <f>VLOOKUP(F220,[1]characters!$A:$C,3,FALSE)</f>
        <v>殲滅の掃射砲 アレス</v>
      </c>
      <c r="H220" s="8" t="str">
        <f>VLOOKUP(F220,[1]characters!$A:$J,10,FALSE)</f>
        <v>PremiumS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28">
        <f>VLOOKUP(D220,gacha_144_base!A:B,2,FALSE)</f>
        <v>83</v>
      </c>
      <c r="O220" s="19">
        <v>0</v>
      </c>
      <c r="P220" s="19">
        <v>0</v>
      </c>
      <c r="Q220" s="19">
        <v>0</v>
      </c>
      <c r="R220" s="19">
        <v>0</v>
      </c>
      <c r="S220" s="19">
        <v>1</v>
      </c>
    </row>
    <row r="221" spans="1:19" ht="21" customHeight="1">
      <c r="A221" s="7" t="str">
        <f t="shared" si="15"/>
        <v>145231</v>
      </c>
      <c r="B221" s="2">
        <f t="shared" si="14"/>
        <v>145</v>
      </c>
      <c r="C221" s="8" t="str">
        <f t="shared" si="16"/>
        <v>0PremiumS5</v>
      </c>
      <c r="D221" s="8" t="str">
        <f t="shared" si="17"/>
        <v>0PremiumS5</v>
      </c>
      <c r="E221" s="5">
        <v>0</v>
      </c>
      <c r="F221" s="6">
        <v>231</v>
      </c>
      <c r="G221" s="8" t="str">
        <f>VLOOKUP(F221,[1]characters!$A:$C,3,FALSE)</f>
        <v>必中の咬銃 ヨルムンガンド</v>
      </c>
      <c r="H221" s="8" t="str">
        <f>VLOOKUP(F221,[1]characters!$A:$J,10,FALSE)</f>
        <v>PremiumS</v>
      </c>
      <c r="I221" s="8">
        <f>VLOOKUP(F221,[1]characters!$A:$I,9,FALSE)</f>
        <v>5</v>
      </c>
      <c r="J221" s="8" t="str">
        <f>VLOOKUP(F221,[1]characters!$A:$H,8,FALSE)</f>
        <v>green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5">
        <v>1</v>
      </c>
      <c r="N221" s="28">
        <f>VLOOKUP(D221,gacha_144_base!A:B,2,FALSE)</f>
        <v>83</v>
      </c>
      <c r="O221" s="19">
        <v>0</v>
      </c>
      <c r="P221" s="19">
        <v>0</v>
      </c>
      <c r="Q221" s="19">
        <v>0</v>
      </c>
      <c r="R221" s="19">
        <v>0</v>
      </c>
      <c r="S221" s="19">
        <v>1</v>
      </c>
    </row>
    <row r="222" spans="1:19" ht="21" customHeight="1">
      <c r="A222" s="7" t="str">
        <f t="shared" si="15"/>
        <v>145234</v>
      </c>
      <c r="B222" s="2">
        <f t="shared" si="14"/>
        <v>145</v>
      </c>
      <c r="C222" s="8" t="str">
        <f t="shared" si="16"/>
        <v>0PremiumS5</v>
      </c>
      <c r="D222" s="8" t="str">
        <f t="shared" si="17"/>
        <v>0PremiumS5</v>
      </c>
      <c r="E222" s="5">
        <v>0</v>
      </c>
      <c r="F222" s="6">
        <v>234</v>
      </c>
      <c r="G222" s="8" t="str">
        <f>VLOOKUP(F222,[1]characters!$A:$C,3,FALSE)</f>
        <v>精密なる照準 パーシヴァル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human</v>
      </c>
      <c r="M222" s="5">
        <v>1</v>
      </c>
      <c r="N222" s="28">
        <f>VLOOKUP(D222,gacha_144_base!A:B,2,FALSE)</f>
        <v>83</v>
      </c>
      <c r="O222" s="19">
        <v>0</v>
      </c>
      <c r="P222" s="19">
        <v>0</v>
      </c>
      <c r="Q222" s="19">
        <v>0</v>
      </c>
      <c r="R222" s="19">
        <v>0</v>
      </c>
      <c r="S222" s="19">
        <v>1</v>
      </c>
    </row>
    <row r="223" spans="1:19" s="17" customFormat="1" ht="21" customHeight="1" thickBot="1">
      <c r="A223" s="7" t="str">
        <f t="shared" si="15"/>
        <v>145237</v>
      </c>
      <c r="B223" s="2">
        <f t="shared" si="14"/>
        <v>145</v>
      </c>
      <c r="C223" s="8" t="str">
        <f t="shared" si="16"/>
        <v>0PremiumS5</v>
      </c>
      <c r="D223" s="8" t="str">
        <f t="shared" si="17"/>
        <v>0PremiumS5</v>
      </c>
      <c r="E223" s="5">
        <v>0</v>
      </c>
      <c r="F223" s="6">
        <v>237</v>
      </c>
      <c r="G223" s="8" t="str">
        <f>VLOOKUP(F223,[1]characters!$A:$C,3,FALSE)</f>
        <v>森羅万象の神母 イザナミ</v>
      </c>
      <c r="H223" s="8" t="str">
        <f>VLOOKUP(F223,[1]characters!$A:$J,10,FALSE)</f>
        <v>PremiumS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28">
        <f>VLOOKUP(D223,gacha_144_base!A:B,2,FALSE)</f>
        <v>83</v>
      </c>
      <c r="O223" s="19">
        <v>0</v>
      </c>
      <c r="P223" s="19">
        <v>0</v>
      </c>
      <c r="Q223" s="19">
        <v>0</v>
      </c>
      <c r="R223" s="19">
        <v>0</v>
      </c>
      <c r="S223" s="19">
        <v>1</v>
      </c>
    </row>
    <row r="224" spans="1:19" ht="21" customHeight="1">
      <c r="A224" s="7" t="str">
        <f t="shared" si="15"/>
        <v>145238</v>
      </c>
      <c r="B224" s="2">
        <f t="shared" si="14"/>
        <v>145</v>
      </c>
      <c r="C224" s="8" t="str">
        <f t="shared" si="16"/>
        <v>0PremiumS3</v>
      </c>
      <c r="D224" s="8" t="str">
        <f t="shared" si="17"/>
        <v>0PremiumS3</v>
      </c>
      <c r="E224" s="5">
        <v>0</v>
      </c>
      <c r="F224" s="11">
        <v>238</v>
      </c>
      <c r="G224" s="8" t="str">
        <f>VLOOKUP(F224,[1]characters!$A:$C,3,FALSE)</f>
        <v>ウリエル</v>
      </c>
      <c r="H224" s="8" t="str">
        <f>VLOOKUP(F224,[1]characters!$A:$J,10,FALSE)</f>
        <v>PremiumS</v>
      </c>
      <c r="I224" s="8">
        <f>VLOOKUP(F224,[1]characters!$A:$I,9,FALSE)</f>
        <v>3</v>
      </c>
      <c r="J224" s="8" t="str">
        <f>VLOOKUP(F224,[1]characters!$A:$H,8,FALSE)</f>
        <v>red</v>
      </c>
      <c r="K224" s="8" t="str">
        <f>VLOOKUP(F224,[1]characters!$A:$K,11,FALSE)</f>
        <v>hp</v>
      </c>
      <c r="L224" s="8" t="str">
        <f>VLOOKUP(F224,[1]characters!$A:$M,13,FALSE)</f>
        <v>machine</v>
      </c>
      <c r="M224" s="5">
        <v>1</v>
      </c>
      <c r="N224" s="28">
        <f>VLOOKUP(D224,gacha_144_base!A:B,2,FALSE)</f>
        <v>436</v>
      </c>
      <c r="O224" s="19">
        <v>0</v>
      </c>
      <c r="P224" s="19">
        <v>0</v>
      </c>
      <c r="Q224" s="19">
        <v>0</v>
      </c>
      <c r="R224" s="19">
        <v>0</v>
      </c>
      <c r="S224" s="19">
        <v>1</v>
      </c>
    </row>
    <row r="225" spans="1:19" ht="21" customHeight="1">
      <c r="A225" s="7" t="str">
        <f t="shared" si="15"/>
        <v>145239</v>
      </c>
      <c r="B225" s="2">
        <f t="shared" si="14"/>
        <v>145</v>
      </c>
      <c r="C225" s="8" t="str">
        <f t="shared" si="16"/>
        <v>0PremiumS4</v>
      </c>
      <c r="D225" s="8" t="str">
        <f t="shared" si="17"/>
        <v>0PremiumS4</v>
      </c>
      <c r="E225" s="5">
        <v>0</v>
      </c>
      <c r="F225" s="11">
        <v>239</v>
      </c>
      <c r="G225" s="8" t="str">
        <f>VLOOKUP(F225,[1]characters!$A:$C,3,FALSE)</f>
        <v>豪炎の天使 ウリエル</v>
      </c>
      <c r="H225" s="8" t="str">
        <f>VLOOKUP(F225,[1]characters!$A:$J,10,FALSE)</f>
        <v>PremiumS</v>
      </c>
      <c r="I225" s="8">
        <f>VLOOKUP(F225,[1]characters!$A:$I,9,FALSE)</f>
        <v>4</v>
      </c>
      <c r="J225" s="8" t="str">
        <f>VLOOKUP(F225,[1]characters!$A:$H,8,FALSE)</f>
        <v>red</v>
      </c>
      <c r="K225" s="8" t="str">
        <f>VLOOKUP(F225,[1]characters!$A:$K,11,FALSE)</f>
        <v>hp</v>
      </c>
      <c r="L225" s="8" t="str">
        <f>VLOOKUP(F225,[1]characters!$A:$M,13,FALSE)</f>
        <v>machine</v>
      </c>
      <c r="M225" s="5">
        <v>1</v>
      </c>
      <c r="N225" s="28">
        <f>VLOOKUP(D225,gacha_144_base!A:B,2,FALSE)</f>
        <v>519</v>
      </c>
      <c r="O225" s="19">
        <v>0</v>
      </c>
      <c r="P225" s="19">
        <v>0</v>
      </c>
      <c r="Q225" s="19">
        <v>0</v>
      </c>
      <c r="R225" s="19">
        <v>0</v>
      </c>
      <c r="S225" s="19">
        <v>1</v>
      </c>
    </row>
    <row r="226" spans="1:19" ht="21" customHeight="1">
      <c r="A226" s="7" t="str">
        <f t="shared" si="15"/>
        <v>145240</v>
      </c>
      <c r="B226" s="2">
        <f t="shared" si="14"/>
        <v>145</v>
      </c>
      <c r="C226" s="8" t="str">
        <f t="shared" si="16"/>
        <v>0PremiumS5</v>
      </c>
      <c r="D226" s="8" t="str">
        <f t="shared" si="17"/>
        <v>0PremiumS5</v>
      </c>
      <c r="E226" s="5">
        <v>0</v>
      </c>
      <c r="F226" s="11">
        <v>240</v>
      </c>
      <c r="G226" s="8" t="str">
        <f>VLOOKUP(F226,[1]characters!$A:$C,3,FALSE)</f>
        <v>轟炎の天使 ウリエル・スレイヤー</v>
      </c>
      <c r="H226" s="8" t="str">
        <f>VLOOKUP(F226,[1]characters!$A:$J,10,FALSE)</f>
        <v>PremiumS</v>
      </c>
      <c r="I226" s="8">
        <f>VLOOKUP(F226,[1]characters!$A:$I,9,FALSE)</f>
        <v>5</v>
      </c>
      <c r="J226" s="8" t="str">
        <f>VLOOKUP(F226,[1]characters!$A:$H,8,FALSE)</f>
        <v>red</v>
      </c>
      <c r="K226" s="8" t="str">
        <f>VLOOKUP(F226,[1]characters!$A:$K,11,FALSE)</f>
        <v>hp</v>
      </c>
      <c r="L226" s="8" t="str">
        <f>VLOOKUP(F226,[1]characters!$A:$M,13,FALSE)</f>
        <v>machine</v>
      </c>
      <c r="M226" s="5">
        <v>1</v>
      </c>
      <c r="N226" s="28">
        <f>VLOOKUP(D226,gacha_144_base!A:B,2,FALSE)</f>
        <v>83</v>
      </c>
      <c r="O226" s="19">
        <v>0</v>
      </c>
      <c r="P226" s="19">
        <v>0</v>
      </c>
      <c r="Q226" s="19">
        <v>0</v>
      </c>
      <c r="R226" s="19">
        <v>0</v>
      </c>
      <c r="S226" s="19">
        <v>1</v>
      </c>
    </row>
    <row r="227" spans="1:19" ht="21" customHeight="1">
      <c r="A227" s="7" t="str">
        <f t="shared" si="15"/>
        <v>145241</v>
      </c>
      <c r="B227" s="2">
        <f t="shared" si="14"/>
        <v>145</v>
      </c>
      <c r="C227" s="8" t="str">
        <f t="shared" si="16"/>
        <v>0PremiumS3</v>
      </c>
      <c r="D227" s="8" t="str">
        <f t="shared" si="17"/>
        <v>0PremiumS3</v>
      </c>
      <c r="E227" s="5">
        <v>0</v>
      </c>
      <c r="F227" s="11">
        <v>241</v>
      </c>
      <c r="G227" s="8" t="str">
        <f>VLOOKUP(F227,[1]characters!$A:$C,3,FALSE)</f>
        <v>ガブリエル</v>
      </c>
      <c r="H227" s="8" t="str">
        <f>VLOOKUP(F227,[1]characters!$A:$J,10,FALSE)</f>
        <v>PremiumS</v>
      </c>
      <c r="I227" s="8">
        <f>VLOOKUP(F227,[1]characters!$A:$I,9,FALSE)</f>
        <v>3</v>
      </c>
      <c r="J227" s="8" t="str">
        <f>VLOOKUP(F227,[1]characters!$A:$H,8,FALSE)</f>
        <v>green</v>
      </c>
      <c r="K227" s="8" t="str">
        <f>VLOOKUP(F227,[1]characters!$A:$K,11,FALSE)</f>
        <v>balance</v>
      </c>
      <c r="L227" s="8" t="str">
        <f>VLOOKUP(F227,[1]characters!$A:$M,13,FALSE)</f>
        <v>machine</v>
      </c>
      <c r="M227" s="5">
        <v>1</v>
      </c>
      <c r="N227" s="28">
        <f>VLOOKUP(D227,gacha_144_base!A:B,2,FALSE)</f>
        <v>436</v>
      </c>
      <c r="O227" s="19">
        <v>0</v>
      </c>
      <c r="P227" s="19">
        <v>0</v>
      </c>
      <c r="Q227" s="19">
        <v>0</v>
      </c>
      <c r="R227" s="19">
        <v>0</v>
      </c>
      <c r="S227" s="19">
        <v>1</v>
      </c>
    </row>
    <row r="228" spans="1:19" ht="21" customHeight="1">
      <c r="A228" s="7" t="str">
        <f t="shared" si="15"/>
        <v>145242</v>
      </c>
      <c r="B228" s="2">
        <f t="shared" si="14"/>
        <v>145</v>
      </c>
      <c r="C228" s="8" t="str">
        <f t="shared" si="16"/>
        <v>0PremiumS4</v>
      </c>
      <c r="D228" s="8" t="str">
        <f t="shared" si="17"/>
        <v>0PremiumS4</v>
      </c>
      <c r="E228" s="5">
        <v>0</v>
      </c>
      <c r="F228" s="11">
        <v>242</v>
      </c>
      <c r="G228" s="8" t="str">
        <f>VLOOKUP(F228,[1]characters!$A:$C,3,FALSE)</f>
        <v>百花の天使 ガブリエル</v>
      </c>
      <c r="H228" s="8" t="str">
        <f>VLOOKUP(F228,[1]characters!$A:$J,10,FALSE)</f>
        <v>PremiumS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balance</v>
      </c>
      <c r="L228" s="8" t="str">
        <f>VLOOKUP(F228,[1]characters!$A:$M,13,FALSE)</f>
        <v>machine</v>
      </c>
      <c r="M228" s="5">
        <v>1</v>
      </c>
      <c r="N228" s="28">
        <f>VLOOKUP(D228,gacha_144_base!A:B,2,FALSE)</f>
        <v>519</v>
      </c>
      <c r="O228" s="19">
        <v>0</v>
      </c>
      <c r="P228" s="19">
        <v>0</v>
      </c>
      <c r="Q228" s="19">
        <v>0</v>
      </c>
      <c r="R228" s="19">
        <v>0</v>
      </c>
      <c r="S228" s="19">
        <v>1</v>
      </c>
    </row>
    <row r="229" spans="1:19" ht="21" customHeight="1">
      <c r="A229" s="7" t="str">
        <f t="shared" si="15"/>
        <v>145243</v>
      </c>
      <c r="B229" s="2">
        <f t="shared" si="14"/>
        <v>145</v>
      </c>
      <c r="C229" s="8" t="str">
        <f t="shared" si="16"/>
        <v>0PremiumS5</v>
      </c>
      <c r="D229" s="8" t="str">
        <f t="shared" si="17"/>
        <v>0PremiumS5</v>
      </c>
      <c r="E229" s="5">
        <v>0</v>
      </c>
      <c r="F229" s="11">
        <v>243</v>
      </c>
      <c r="G229" s="8" t="str">
        <f>VLOOKUP(F229,[1]characters!$A:$C,3,FALSE)</f>
        <v>万花の天使 ガブリエル・ブルーム</v>
      </c>
      <c r="H229" s="8" t="str">
        <f>VLOOKUP(F229,[1]characters!$A:$J,10,FALSE)</f>
        <v>PremiumS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balance</v>
      </c>
      <c r="L229" s="8" t="str">
        <f>VLOOKUP(F229,[1]characters!$A:$M,13,FALSE)</f>
        <v>machine</v>
      </c>
      <c r="M229" s="5">
        <v>1</v>
      </c>
      <c r="N229" s="28">
        <f>VLOOKUP(D229,gacha_144_base!A:B,2,FALSE)</f>
        <v>83</v>
      </c>
      <c r="O229" s="19">
        <v>0</v>
      </c>
      <c r="P229" s="19">
        <v>0</v>
      </c>
      <c r="Q229" s="19">
        <v>0</v>
      </c>
      <c r="R229" s="19">
        <v>0</v>
      </c>
      <c r="S229" s="19">
        <v>1</v>
      </c>
    </row>
    <row r="230" spans="1:19" ht="21" customHeight="1">
      <c r="A230" s="7" t="str">
        <f t="shared" si="15"/>
        <v>145244</v>
      </c>
      <c r="B230" s="2">
        <f t="shared" si="14"/>
        <v>145</v>
      </c>
      <c r="C230" s="8" t="str">
        <f t="shared" si="16"/>
        <v>0PremiumS3</v>
      </c>
      <c r="D230" s="8" t="str">
        <f t="shared" si="17"/>
        <v>0PremiumS3</v>
      </c>
      <c r="E230" s="5">
        <v>0</v>
      </c>
      <c r="F230" s="11">
        <v>244</v>
      </c>
      <c r="G230" s="8" t="str">
        <f>VLOOKUP(F230,[1]characters!$A:$C,3,FALSE)</f>
        <v>ラファエル</v>
      </c>
      <c r="H230" s="8" t="str">
        <f>VLOOKUP(F230,[1]characters!$A:$J,10,FALSE)</f>
        <v>PremiumS</v>
      </c>
      <c r="I230" s="8">
        <f>VLOOKUP(F230,[1]characters!$A:$I,9,FALSE)</f>
        <v>3</v>
      </c>
      <c r="J230" s="8" t="str">
        <f>VLOOKUP(F230,[1]characters!$A:$H,8,FALSE)</f>
        <v>blue</v>
      </c>
      <c r="K230" s="8" t="str">
        <f>VLOOKUP(F230,[1]characters!$A:$K,11,FALSE)</f>
        <v>balance</v>
      </c>
      <c r="L230" s="8" t="str">
        <f>VLOOKUP(F230,[1]characters!$A:$M,13,FALSE)</f>
        <v>machine</v>
      </c>
      <c r="M230" s="5">
        <v>1</v>
      </c>
      <c r="N230" s="28">
        <f>VLOOKUP(D230,gacha_144_base!A:B,2,FALSE)</f>
        <v>436</v>
      </c>
      <c r="O230" s="19">
        <v>0</v>
      </c>
      <c r="P230" s="19">
        <v>0</v>
      </c>
      <c r="Q230" s="19">
        <v>0</v>
      </c>
      <c r="R230" s="19">
        <v>0</v>
      </c>
      <c r="S230" s="19">
        <v>1</v>
      </c>
    </row>
    <row r="231" spans="1:19" ht="21" customHeight="1">
      <c r="A231" s="7" t="str">
        <f t="shared" si="15"/>
        <v>145245</v>
      </c>
      <c r="B231" s="2">
        <f t="shared" si="14"/>
        <v>145</v>
      </c>
      <c r="C231" s="8" t="str">
        <f t="shared" si="16"/>
        <v>0PremiumS4</v>
      </c>
      <c r="D231" s="8" t="str">
        <f t="shared" si="17"/>
        <v>0PremiumS4</v>
      </c>
      <c r="E231" s="5">
        <v>0</v>
      </c>
      <c r="F231" s="11">
        <v>245</v>
      </c>
      <c r="G231" s="8" t="str">
        <f>VLOOKUP(F231,[1]characters!$A:$C,3,FALSE)</f>
        <v>鎮癒の天使 ラファエル</v>
      </c>
      <c r="H231" s="8" t="str">
        <f>VLOOKUP(F231,[1]characters!$A:$J,10,FALSE)</f>
        <v>PremiumS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balance</v>
      </c>
      <c r="L231" s="8" t="str">
        <f>VLOOKUP(F231,[1]characters!$A:$M,13,FALSE)</f>
        <v>machine</v>
      </c>
      <c r="M231" s="5">
        <v>1</v>
      </c>
      <c r="N231" s="28">
        <f>VLOOKUP(D231,gacha_144_base!A:B,2,FALSE)</f>
        <v>519</v>
      </c>
      <c r="O231" s="19">
        <v>0</v>
      </c>
      <c r="P231" s="19">
        <v>0</v>
      </c>
      <c r="Q231" s="19">
        <v>0</v>
      </c>
      <c r="R231" s="19">
        <v>0</v>
      </c>
      <c r="S231" s="19">
        <v>1</v>
      </c>
    </row>
    <row r="232" spans="1:19" ht="21" customHeight="1">
      <c r="A232" s="7" t="str">
        <f t="shared" si="15"/>
        <v>145246</v>
      </c>
      <c r="B232" s="2">
        <f t="shared" si="14"/>
        <v>145</v>
      </c>
      <c r="C232" s="8" t="str">
        <f t="shared" si="16"/>
        <v>0PremiumS5</v>
      </c>
      <c r="D232" s="8" t="str">
        <f t="shared" si="17"/>
        <v>0PremiumS5</v>
      </c>
      <c r="E232" s="5">
        <v>0</v>
      </c>
      <c r="F232" s="11">
        <v>246</v>
      </c>
      <c r="G232" s="8" t="str">
        <f>VLOOKUP(F232,[1]characters!$A:$C,3,FALSE)</f>
        <v>真癒の天使 ラファエル・メディカ</v>
      </c>
      <c r="H232" s="8" t="str">
        <f>VLOOKUP(F232,[1]characters!$A:$J,10,FALSE)</f>
        <v>PremiumS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balance</v>
      </c>
      <c r="L232" s="8" t="str">
        <f>VLOOKUP(F232,[1]characters!$A:$M,13,FALSE)</f>
        <v>machine</v>
      </c>
      <c r="M232" s="5">
        <v>1</v>
      </c>
      <c r="N232" s="28">
        <f>VLOOKUP(D232,gacha_144_base!A:B,2,FALSE)</f>
        <v>83</v>
      </c>
      <c r="O232" s="19">
        <v>0</v>
      </c>
      <c r="P232" s="19">
        <v>0</v>
      </c>
      <c r="Q232" s="19">
        <v>0</v>
      </c>
      <c r="R232" s="19">
        <v>0</v>
      </c>
      <c r="S232" s="19">
        <v>1</v>
      </c>
    </row>
    <row r="233" spans="1:19" ht="21" customHeight="1">
      <c r="A233" s="7" t="str">
        <f t="shared" si="15"/>
        <v>145247</v>
      </c>
      <c r="B233" s="2">
        <f t="shared" si="14"/>
        <v>145</v>
      </c>
      <c r="C233" s="8" t="str">
        <f t="shared" si="16"/>
        <v>0PremiumS3</v>
      </c>
      <c r="D233" s="8" t="str">
        <f t="shared" si="17"/>
        <v>0PremiumS3</v>
      </c>
      <c r="E233" s="5">
        <v>0</v>
      </c>
      <c r="F233" s="11">
        <v>247</v>
      </c>
      <c r="G233" s="8" t="str">
        <f>VLOOKUP(F233,[1]characters!$A:$C,3,FALSE)</f>
        <v>ミカエル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machine</v>
      </c>
      <c r="M233" s="5">
        <v>1</v>
      </c>
      <c r="N233" s="28">
        <f>VLOOKUP(D233,gacha_144_base!A:B,2,FALSE)</f>
        <v>436</v>
      </c>
      <c r="O233" s="19">
        <v>0</v>
      </c>
      <c r="P233" s="19">
        <v>0</v>
      </c>
      <c r="Q233" s="19">
        <v>0</v>
      </c>
      <c r="R233" s="19">
        <v>0</v>
      </c>
      <c r="S233" s="19">
        <v>1</v>
      </c>
    </row>
    <row r="234" spans="1:19" ht="21" customHeight="1">
      <c r="A234" s="7" t="str">
        <f t="shared" si="15"/>
        <v>145248</v>
      </c>
      <c r="B234" s="2">
        <f t="shared" si="14"/>
        <v>145</v>
      </c>
      <c r="C234" s="8" t="str">
        <f t="shared" si="16"/>
        <v>0PremiumS4</v>
      </c>
      <c r="D234" s="8" t="str">
        <f t="shared" si="17"/>
        <v>0PremiumS4</v>
      </c>
      <c r="E234" s="5">
        <v>0</v>
      </c>
      <c r="F234" s="11">
        <v>248</v>
      </c>
      <c r="G234" s="8" t="str">
        <f>VLOOKUP(F234,[1]characters!$A:$C,3,FALSE)</f>
        <v>彩電の天使 ミカエル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attack</v>
      </c>
      <c r="L234" s="8" t="str">
        <f>VLOOKUP(F234,[1]characters!$A:$M,13,FALSE)</f>
        <v>machine</v>
      </c>
      <c r="M234" s="5">
        <v>1</v>
      </c>
      <c r="N234" s="28">
        <f>VLOOKUP(D234,gacha_144_base!A:B,2,FALSE)</f>
        <v>519</v>
      </c>
      <c r="O234" s="19">
        <v>0</v>
      </c>
      <c r="P234" s="19">
        <v>0</v>
      </c>
      <c r="Q234" s="19">
        <v>0</v>
      </c>
      <c r="R234" s="19">
        <v>0</v>
      </c>
      <c r="S234" s="19">
        <v>1</v>
      </c>
    </row>
    <row r="235" spans="1:19" s="17" customFormat="1" ht="21" customHeight="1" thickBot="1">
      <c r="A235" s="7" t="str">
        <f t="shared" si="15"/>
        <v>145249</v>
      </c>
      <c r="B235" s="2">
        <f t="shared" si="14"/>
        <v>145</v>
      </c>
      <c r="C235" s="8" t="str">
        <f t="shared" si="16"/>
        <v>0PremiumS5</v>
      </c>
      <c r="D235" s="8" t="str">
        <f t="shared" si="17"/>
        <v>0PremiumS5</v>
      </c>
      <c r="E235" s="5">
        <v>0</v>
      </c>
      <c r="F235" s="11">
        <v>249</v>
      </c>
      <c r="G235" s="8" t="str">
        <f>VLOOKUP(F235,[1]characters!$A:$C,3,FALSE)</f>
        <v>雷電の天使 ミカエル・ゲイナー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machine</v>
      </c>
      <c r="M235" s="5">
        <v>1</v>
      </c>
      <c r="N235" s="28">
        <f>VLOOKUP(D235,gacha_144_base!A:B,2,FALSE)</f>
        <v>83</v>
      </c>
      <c r="O235" s="19">
        <v>0</v>
      </c>
      <c r="P235" s="19">
        <v>0</v>
      </c>
      <c r="Q235" s="19">
        <v>0</v>
      </c>
      <c r="R235" s="19">
        <v>0</v>
      </c>
      <c r="S235" s="19">
        <v>1</v>
      </c>
    </row>
    <row r="236" spans="1:19" s="17" customFormat="1" ht="21" customHeight="1" thickBot="1">
      <c r="A236" s="7" t="str">
        <f t="shared" si="15"/>
        <v>145250</v>
      </c>
      <c r="B236" s="2">
        <f t="shared" si="14"/>
        <v>145</v>
      </c>
      <c r="C236" s="8" t="str">
        <f t="shared" si="16"/>
        <v>0PremiumS3</v>
      </c>
      <c r="D236" s="8" t="str">
        <f t="shared" si="17"/>
        <v>0PremiumS3</v>
      </c>
      <c r="E236" s="5">
        <v>0</v>
      </c>
      <c r="F236" s="6">
        <v>250</v>
      </c>
      <c r="G236" s="8" t="str">
        <f>VLOOKUP(F236,[1]characters!$A:$C,3,FALSE)</f>
        <v>マンモン</v>
      </c>
      <c r="H236" s="8" t="str">
        <f>VLOOKUP(F236,[1]characters!$A:$J,10,FALSE)</f>
        <v>PremiumS</v>
      </c>
      <c r="I236" s="8">
        <f>VLOOKUP(F236,[1]characters!$A:$I,9,FALSE)</f>
        <v>3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god</v>
      </c>
      <c r="M236" s="5">
        <v>1</v>
      </c>
      <c r="N236" s="28">
        <f>VLOOKUP(D236,gacha_144_base!A:B,2,FALSE)</f>
        <v>436</v>
      </c>
      <c r="O236" s="19">
        <v>0</v>
      </c>
      <c r="P236" s="19">
        <v>0</v>
      </c>
      <c r="Q236" s="19">
        <v>0</v>
      </c>
      <c r="R236" s="19">
        <v>0</v>
      </c>
      <c r="S236" s="19">
        <v>1</v>
      </c>
    </row>
    <row r="237" spans="1:19" ht="21" customHeight="1">
      <c r="A237" s="7" t="str">
        <f t="shared" si="15"/>
        <v>145251</v>
      </c>
      <c r="B237" s="2">
        <f t="shared" si="14"/>
        <v>145</v>
      </c>
      <c r="C237" s="8" t="str">
        <f t="shared" si="16"/>
        <v>0PremiumS4</v>
      </c>
      <c r="D237" s="8" t="str">
        <f t="shared" si="17"/>
        <v>0PremiumS4</v>
      </c>
      <c r="E237" s="5">
        <v>0</v>
      </c>
      <c r="F237" s="6">
        <v>251</v>
      </c>
      <c r="G237" s="8" t="str">
        <f>VLOOKUP(F237,[1]characters!$A:$C,3,FALSE)</f>
        <v>強欲 マンモン</v>
      </c>
      <c r="H237" s="8" t="str">
        <f>VLOOKUP(F237,[1]characters!$A:$J,10,FALSE)</f>
        <v>PremiumS</v>
      </c>
      <c r="I237" s="8">
        <f>VLOOKUP(F237,[1]characters!$A:$I,9,FALSE)</f>
        <v>4</v>
      </c>
      <c r="J237" s="8" t="str">
        <f>VLOOKUP(F237,[1]characters!$A:$H,8,FALSE)</f>
        <v>red</v>
      </c>
      <c r="K237" s="8" t="str">
        <f>VLOOKUP(F237,[1]characters!$A:$K,11,FALSE)</f>
        <v>balance</v>
      </c>
      <c r="L237" s="8" t="str">
        <f>VLOOKUP(F237,[1]characters!$A:$M,13,FALSE)</f>
        <v>god</v>
      </c>
      <c r="M237" s="5">
        <v>1</v>
      </c>
      <c r="N237" s="28">
        <f>VLOOKUP(D237,gacha_144_base!A:B,2,FALSE)</f>
        <v>519</v>
      </c>
      <c r="O237" s="19">
        <v>0</v>
      </c>
      <c r="P237" s="19">
        <v>0</v>
      </c>
      <c r="Q237" s="19">
        <v>0</v>
      </c>
      <c r="R237" s="19">
        <v>0</v>
      </c>
      <c r="S237" s="19">
        <v>1</v>
      </c>
    </row>
    <row r="238" spans="1:19" ht="21" customHeight="1">
      <c r="A238" s="7" t="str">
        <f t="shared" si="15"/>
        <v>145252</v>
      </c>
      <c r="B238" s="2">
        <f t="shared" si="14"/>
        <v>145</v>
      </c>
      <c r="C238" s="8" t="str">
        <f t="shared" si="16"/>
        <v>0PremiumS5</v>
      </c>
      <c r="D238" s="8" t="str">
        <f t="shared" si="17"/>
        <v>0PremiumS5</v>
      </c>
      <c r="E238" s="5">
        <v>0</v>
      </c>
      <c r="F238" s="6">
        <v>252</v>
      </c>
      <c r="G238" s="8" t="str">
        <f>VLOOKUP(F238,[1]characters!$A:$C,3,FALSE)</f>
        <v>強欲の沸騰 マンモン</v>
      </c>
      <c r="H238" s="8" t="str">
        <f>VLOOKUP(F238,[1]characters!$A:$J,10,FALSE)</f>
        <v>PremiumS</v>
      </c>
      <c r="I238" s="8">
        <f>VLOOKUP(F238,[1]characters!$A:$I,9,FALSE)</f>
        <v>5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god</v>
      </c>
      <c r="M238" s="5">
        <v>1</v>
      </c>
      <c r="N238" s="28">
        <f>VLOOKUP(D238,gacha_144_base!A:B,2,FALSE)</f>
        <v>83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>
      <c r="A239" s="7" t="str">
        <f t="shared" si="15"/>
        <v>145253</v>
      </c>
      <c r="B239" s="2">
        <f t="shared" si="14"/>
        <v>145</v>
      </c>
      <c r="C239" s="8" t="str">
        <f t="shared" si="16"/>
        <v>0PremiumS3</v>
      </c>
      <c r="D239" s="8" t="str">
        <f t="shared" si="17"/>
        <v>0PremiumS3</v>
      </c>
      <c r="E239" s="5">
        <v>0</v>
      </c>
      <c r="F239" s="6">
        <v>253</v>
      </c>
      <c r="G239" s="8" t="str">
        <f>VLOOKUP(F239,[1]characters!$A:$C,3,FALSE)</f>
        <v>ベルフェゴール</v>
      </c>
      <c r="H239" s="8" t="str">
        <f>VLOOKUP(F239,[1]characters!$A:$J,10,FALSE)</f>
        <v>PremiumS</v>
      </c>
      <c r="I239" s="8">
        <f>VLOOKUP(F239,[1]characters!$A:$I,9,FALSE)</f>
        <v>3</v>
      </c>
      <c r="J239" s="8" t="str">
        <f>VLOOKUP(F239,[1]characters!$A:$H,8,FALSE)</f>
        <v>green</v>
      </c>
      <c r="K239" s="8" t="str">
        <f>VLOOKUP(F239,[1]characters!$A:$K,11,FALSE)</f>
        <v>technical</v>
      </c>
      <c r="L239" s="8" t="str">
        <f>VLOOKUP(F239,[1]characters!$A:$M,13,FALSE)</f>
        <v>god</v>
      </c>
      <c r="M239" s="5">
        <v>1</v>
      </c>
      <c r="N239" s="28">
        <f>VLOOKUP(D239,gacha_144_base!A:B,2,FALSE)</f>
        <v>436</v>
      </c>
      <c r="O239" s="19">
        <v>0</v>
      </c>
      <c r="P239" s="19">
        <v>0</v>
      </c>
      <c r="Q239" s="19">
        <v>0</v>
      </c>
      <c r="R239" s="19">
        <v>0</v>
      </c>
      <c r="S239" s="19">
        <v>1</v>
      </c>
    </row>
    <row r="240" spans="1:19" ht="21" customHeight="1">
      <c r="A240" s="7" t="str">
        <f t="shared" si="15"/>
        <v>145254</v>
      </c>
      <c r="B240" s="2">
        <f t="shared" si="14"/>
        <v>145</v>
      </c>
      <c r="C240" s="8" t="str">
        <f t="shared" si="16"/>
        <v>0PremiumS4</v>
      </c>
      <c r="D240" s="8" t="str">
        <f t="shared" si="17"/>
        <v>0PremiumS4</v>
      </c>
      <c r="E240" s="5">
        <v>0</v>
      </c>
      <c r="F240" s="6">
        <v>254</v>
      </c>
      <c r="G240" s="8" t="str">
        <f>VLOOKUP(F240,[1]characters!$A:$C,3,FALSE)</f>
        <v>怠惰 ベルフェゴール</v>
      </c>
      <c r="H240" s="8" t="str">
        <f>VLOOKUP(F240,[1]characters!$A:$J,10,FALSE)</f>
        <v>PremiumS</v>
      </c>
      <c r="I240" s="8">
        <f>VLOOKUP(F240,[1]characters!$A:$I,9,FALSE)</f>
        <v>4</v>
      </c>
      <c r="J240" s="8" t="str">
        <f>VLOOKUP(F240,[1]characters!$A:$H,8,FALSE)</f>
        <v>green</v>
      </c>
      <c r="K240" s="8" t="str">
        <f>VLOOKUP(F240,[1]characters!$A:$K,11,FALSE)</f>
        <v>technical</v>
      </c>
      <c r="L240" s="8" t="str">
        <f>VLOOKUP(F240,[1]characters!$A:$M,13,FALSE)</f>
        <v>god</v>
      </c>
      <c r="M240" s="5">
        <v>1</v>
      </c>
      <c r="N240" s="28">
        <f>VLOOKUP(D240,gacha_144_base!A:B,2,FALSE)</f>
        <v>519</v>
      </c>
      <c r="O240" s="19">
        <v>0</v>
      </c>
      <c r="P240" s="19">
        <v>0</v>
      </c>
      <c r="Q240" s="19">
        <v>0</v>
      </c>
      <c r="R240" s="19">
        <v>0</v>
      </c>
      <c r="S240" s="19">
        <v>1</v>
      </c>
    </row>
    <row r="241" spans="1:19" ht="21" customHeight="1">
      <c r="A241" s="7" t="str">
        <f t="shared" si="15"/>
        <v>145255</v>
      </c>
      <c r="B241" s="2">
        <f t="shared" si="14"/>
        <v>145</v>
      </c>
      <c r="C241" s="8" t="str">
        <f t="shared" si="16"/>
        <v>0PremiumS5</v>
      </c>
      <c r="D241" s="8" t="str">
        <f t="shared" si="17"/>
        <v>0PremiumS5</v>
      </c>
      <c r="E241" s="5">
        <v>0</v>
      </c>
      <c r="F241" s="6">
        <v>255</v>
      </c>
      <c r="G241" s="8" t="str">
        <f>VLOOKUP(F241,[1]characters!$A:$C,3,FALSE)</f>
        <v>怠惰の頂点 ベルフェゴール</v>
      </c>
      <c r="H241" s="8" t="str">
        <f>VLOOKUP(F241,[1]characters!$A:$J,10,FALSE)</f>
        <v>PremiumS</v>
      </c>
      <c r="I241" s="8">
        <f>VLOOKUP(F241,[1]characters!$A:$I,9,FALSE)</f>
        <v>5</v>
      </c>
      <c r="J241" s="8" t="str">
        <f>VLOOKUP(F241,[1]characters!$A:$H,8,FALSE)</f>
        <v>green</v>
      </c>
      <c r="K241" s="8" t="str">
        <f>VLOOKUP(F241,[1]characters!$A:$K,11,FALSE)</f>
        <v>technical</v>
      </c>
      <c r="L241" s="8" t="str">
        <f>VLOOKUP(F241,[1]characters!$A:$M,13,FALSE)</f>
        <v>god</v>
      </c>
      <c r="M241" s="5">
        <v>1</v>
      </c>
      <c r="N241" s="28">
        <f>VLOOKUP(D241,gacha_144_base!A:B,2,FALSE)</f>
        <v>83</v>
      </c>
      <c r="O241" s="19">
        <v>0</v>
      </c>
      <c r="P241" s="19">
        <v>0</v>
      </c>
      <c r="Q241" s="19">
        <v>0</v>
      </c>
      <c r="R241" s="19">
        <v>0</v>
      </c>
      <c r="S241" s="19">
        <v>1</v>
      </c>
    </row>
    <row r="242" spans="1:19" ht="21" customHeight="1">
      <c r="A242" s="7" t="str">
        <f t="shared" si="15"/>
        <v>145256</v>
      </c>
      <c r="B242" s="2">
        <f t="shared" ref="B242:B277" si="18">$B$112</f>
        <v>145</v>
      </c>
      <c r="C242" s="8" t="str">
        <f t="shared" si="16"/>
        <v>0PremiumS3</v>
      </c>
      <c r="D242" s="8" t="str">
        <f t="shared" si="17"/>
        <v>0PremiumS3</v>
      </c>
      <c r="E242" s="5">
        <v>0</v>
      </c>
      <c r="F242" s="6">
        <v>256</v>
      </c>
      <c r="G242" s="8" t="str">
        <f>VLOOKUP(F242,[1]characters!$A:$C,3,FALSE)</f>
        <v>アスモデウス</v>
      </c>
      <c r="H242" s="8" t="str">
        <f>VLOOKUP(F242,[1]characters!$A:$J,10,FALSE)</f>
        <v>PremiumS</v>
      </c>
      <c r="I242" s="8">
        <f>VLOOKUP(F242,[1]characters!$A:$I,9,FALSE)</f>
        <v>3</v>
      </c>
      <c r="J242" s="8" t="str">
        <f>VLOOKUP(F242,[1]characters!$A:$H,8,FALSE)</f>
        <v>blue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5">
        <v>1</v>
      </c>
      <c r="N242" s="28">
        <f>VLOOKUP(D242,gacha_144_base!A:B,2,FALSE)</f>
        <v>436</v>
      </c>
      <c r="O242" s="19">
        <v>0</v>
      </c>
      <c r="P242" s="19">
        <v>0</v>
      </c>
      <c r="Q242" s="19">
        <v>0</v>
      </c>
      <c r="R242" s="19">
        <v>0</v>
      </c>
      <c r="S242" s="19">
        <v>1</v>
      </c>
    </row>
    <row r="243" spans="1:19" ht="21" customHeight="1">
      <c r="A243" s="7" t="str">
        <f t="shared" si="15"/>
        <v>145257</v>
      </c>
      <c r="B243" s="2">
        <f t="shared" si="18"/>
        <v>145</v>
      </c>
      <c r="C243" s="8" t="str">
        <f t="shared" si="16"/>
        <v>0PremiumS4</v>
      </c>
      <c r="D243" s="8" t="str">
        <f t="shared" si="17"/>
        <v>0PremiumS4</v>
      </c>
      <c r="E243" s="5">
        <v>0</v>
      </c>
      <c r="F243" s="6">
        <v>257</v>
      </c>
      <c r="G243" s="8" t="str">
        <f>VLOOKUP(F243,[1]characters!$A:$C,3,FALSE)</f>
        <v>色欲 アスモデウス</v>
      </c>
      <c r="H243" s="8" t="str">
        <f>VLOOKUP(F243,[1]characters!$A:$J,10,FALSE)</f>
        <v>PremiumS</v>
      </c>
      <c r="I243" s="8">
        <f>VLOOKUP(F243,[1]characters!$A:$I,9,FALSE)</f>
        <v>4</v>
      </c>
      <c r="J243" s="8" t="str">
        <f>VLOOKUP(F243,[1]characters!$A:$H,8,FALSE)</f>
        <v>blue</v>
      </c>
      <c r="K243" s="8" t="str">
        <f>VLOOKUP(F243,[1]characters!$A:$K,11,FALSE)</f>
        <v>attack</v>
      </c>
      <c r="L243" s="8" t="str">
        <f>VLOOKUP(F243,[1]characters!$A:$M,13,FALSE)</f>
        <v>god</v>
      </c>
      <c r="M243" s="5">
        <v>1</v>
      </c>
      <c r="N243" s="28">
        <f>VLOOKUP(D243,gacha_144_base!A:B,2,FALSE)</f>
        <v>519</v>
      </c>
      <c r="O243" s="19">
        <v>0</v>
      </c>
      <c r="P243" s="19">
        <v>0</v>
      </c>
      <c r="Q243" s="19">
        <v>0</v>
      </c>
      <c r="R243" s="19">
        <v>0</v>
      </c>
      <c r="S243" s="19">
        <v>1</v>
      </c>
    </row>
    <row r="244" spans="1:19" ht="21" customHeight="1">
      <c r="A244" s="7" t="str">
        <f t="shared" si="15"/>
        <v>145258</v>
      </c>
      <c r="B244" s="2">
        <f t="shared" si="18"/>
        <v>145</v>
      </c>
      <c r="C244" s="8" t="str">
        <f t="shared" si="16"/>
        <v>0PremiumS5</v>
      </c>
      <c r="D244" s="8" t="str">
        <f t="shared" si="17"/>
        <v>0PremiumS5</v>
      </c>
      <c r="E244" s="5">
        <v>0</v>
      </c>
      <c r="F244" s="6">
        <v>258</v>
      </c>
      <c r="G244" s="8" t="str">
        <f>VLOOKUP(F244,[1]characters!$A:$C,3,FALSE)</f>
        <v>色欲の源流 アスモデウス</v>
      </c>
      <c r="H244" s="8" t="str">
        <f>VLOOKUP(F244,[1]characters!$A:$J,10,FALSE)</f>
        <v>PremiumS</v>
      </c>
      <c r="I244" s="8">
        <f>VLOOKUP(F244,[1]characters!$A:$I,9,FALSE)</f>
        <v>5</v>
      </c>
      <c r="J244" s="8" t="str">
        <f>VLOOKUP(F244,[1]characters!$A:$H,8,FALSE)</f>
        <v>blue</v>
      </c>
      <c r="K244" s="8" t="str">
        <f>VLOOKUP(F244,[1]characters!$A:$K,11,FALSE)</f>
        <v>attack</v>
      </c>
      <c r="L244" s="8" t="str">
        <f>VLOOKUP(F244,[1]characters!$A:$M,13,FALSE)</f>
        <v>god</v>
      </c>
      <c r="M244" s="5">
        <v>1</v>
      </c>
      <c r="N244" s="28">
        <f>VLOOKUP(D244,gacha_144_base!A:B,2,FALSE)</f>
        <v>83</v>
      </c>
      <c r="O244" s="19">
        <v>0</v>
      </c>
      <c r="P244" s="19">
        <v>0</v>
      </c>
      <c r="Q244" s="19">
        <v>0</v>
      </c>
      <c r="R244" s="19">
        <v>0</v>
      </c>
      <c r="S244" s="19">
        <v>1</v>
      </c>
    </row>
    <row r="245" spans="1:19" ht="21" customHeight="1">
      <c r="A245" s="7" t="str">
        <f t="shared" si="15"/>
        <v>145259</v>
      </c>
      <c r="B245" s="2">
        <f t="shared" si="18"/>
        <v>145</v>
      </c>
      <c r="C245" s="8" t="str">
        <f t="shared" si="16"/>
        <v>0PremiumS3</v>
      </c>
      <c r="D245" s="8" t="str">
        <f t="shared" si="17"/>
        <v>0PremiumS3</v>
      </c>
      <c r="E245" s="5">
        <v>0</v>
      </c>
      <c r="F245" s="6">
        <v>259</v>
      </c>
      <c r="G245" s="8" t="str">
        <f>VLOOKUP(F245,[1]characters!$A:$C,3,FALSE)</f>
        <v>ウロボロス</v>
      </c>
      <c r="H245" s="8" t="str">
        <f>VLOOKUP(F245,[1]characters!$A:$J,10,FALSE)</f>
        <v>PremiumS</v>
      </c>
      <c r="I245" s="8">
        <f>VLOOKUP(F245,[1]characters!$A:$I,9,FALSE)</f>
        <v>3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dragon</v>
      </c>
      <c r="M245" s="5">
        <v>1</v>
      </c>
      <c r="N245" s="28">
        <f>VLOOKUP(D245,gacha_144_base!A:B,2,FALSE)</f>
        <v>436</v>
      </c>
      <c r="O245" s="19">
        <v>0</v>
      </c>
      <c r="P245" s="19">
        <v>0</v>
      </c>
      <c r="Q245" s="19">
        <v>0</v>
      </c>
      <c r="R245" s="19">
        <v>0</v>
      </c>
      <c r="S245" s="19">
        <v>1</v>
      </c>
    </row>
    <row r="246" spans="1:19" ht="21" customHeight="1">
      <c r="A246" s="7" t="str">
        <f t="shared" si="15"/>
        <v>145260</v>
      </c>
      <c r="B246" s="2">
        <f t="shared" si="18"/>
        <v>145</v>
      </c>
      <c r="C246" s="8" t="str">
        <f t="shared" si="16"/>
        <v>0PremiumS4</v>
      </c>
      <c r="D246" s="8" t="str">
        <f t="shared" si="17"/>
        <v>0PremiumS4</v>
      </c>
      <c r="E246" s="5">
        <v>0</v>
      </c>
      <c r="F246" s="6">
        <v>260</v>
      </c>
      <c r="G246" s="8" t="str">
        <f>VLOOKUP(F246,[1]characters!$A:$C,3,FALSE)</f>
        <v>輪廻 ウロボロス</v>
      </c>
      <c r="H246" s="8" t="str">
        <f>VLOOKUP(F246,[1]characters!$A:$J,10,FALSE)</f>
        <v>PremiumS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dragon</v>
      </c>
      <c r="M246" s="5">
        <v>1</v>
      </c>
      <c r="N246" s="28">
        <f>VLOOKUP(D246,gacha_144_base!A:B,2,FALSE)</f>
        <v>519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>
      <c r="A247" s="7" t="str">
        <f t="shared" si="15"/>
        <v>145261</v>
      </c>
      <c r="B247" s="2">
        <f t="shared" si="18"/>
        <v>145</v>
      </c>
      <c r="C247" s="8" t="str">
        <f t="shared" si="16"/>
        <v>0PremiumS5</v>
      </c>
      <c r="D247" s="8" t="str">
        <f t="shared" si="17"/>
        <v>0PremiumS5</v>
      </c>
      <c r="E247" s="5">
        <v>0</v>
      </c>
      <c r="F247" s="6">
        <v>261</v>
      </c>
      <c r="G247" s="8" t="str">
        <f>VLOOKUP(F247,[1]characters!$A:$C,3,FALSE)</f>
        <v>輪廻の蛇龍 ウロボロス</v>
      </c>
      <c r="H247" s="8" t="str">
        <f>VLOOKUP(F247,[1]characters!$A:$J,10,FALSE)</f>
        <v>PremiumS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dragon</v>
      </c>
      <c r="M247" s="5">
        <v>1</v>
      </c>
      <c r="N247" s="28">
        <f>VLOOKUP(D247,gacha_144_base!A:B,2,FALSE)</f>
        <v>83</v>
      </c>
      <c r="O247" s="19">
        <v>0</v>
      </c>
      <c r="P247" s="19">
        <v>0</v>
      </c>
      <c r="Q247" s="19">
        <v>0</v>
      </c>
      <c r="R247" s="19">
        <v>0</v>
      </c>
      <c r="S247" s="19">
        <v>1</v>
      </c>
    </row>
    <row r="248" spans="1:19" ht="21" customHeight="1">
      <c r="A248" s="7" t="str">
        <f t="shared" si="15"/>
        <v>145320</v>
      </c>
      <c r="B248" s="2">
        <f t="shared" si="18"/>
        <v>145</v>
      </c>
      <c r="C248" s="8" t="str">
        <f t="shared" si="16"/>
        <v>0PremiumSS4</v>
      </c>
      <c r="D248" s="8" t="str">
        <f t="shared" si="17"/>
        <v>0PremiumSS4</v>
      </c>
      <c r="E248" s="13">
        <v>0</v>
      </c>
      <c r="F248" s="18">
        <v>320</v>
      </c>
      <c r="G248" s="8" t="str">
        <f>VLOOKUP(F248,[1]characters!$A:$C,3,FALSE)</f>
        <v>烈志士 近藤勇</v>
      </c>
      <c r="H248" s="8" t="str">
        <f>VLOOKUP(F248,[1]characters!$A:$J,10,FALSE)</f>
        <v>PremiumSS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hp</v>
      </c>
      <c r="L248" s="8" t="str">
        <f>VLOOKUP(F248,[1]characters!$A:$M,13,FALSE)</f>
        <v>human</v>
      </c>
      <c r="M248" s="13">
        <v>1</v>
      </c>
      <c r="N248" s="28">
        <f>VLOOKUP(D248,gacha_144_base!A:B,2,FALSE)</f>
        <v>467</v>
      </c>
      <c r="O248" s="10">
        <v>0</v>
      </c>
      <c r="P248" s="19">
        <v>0</v>
      </c>
      <c r="Q248" s="10">
        <v>0</v>
      </c>
      <c r="R248" s="10">
        <v>0</v>
      </c>
      <c r="S248" s="10">
        <v>1</v>
      </c>
    </row>
    <row r="249" spans="1:19" ht="21" customHeight="1">
      <c r="A249" s="7" t="str">
        <f t="shared" si="15"/>
        <v>145321</v>
      </c>
      <c r="B249" s="2">
        <f t="shared" si="18"/>
        <v>145</v>
      </c>
      <c r="C249" s="8" t="str">
        <f t="shared" si="16"/>
        <v>0PremiumSS5</v>
      </c>
      <c r="D249" s="8" t="str">
        <f t="shared" si="17"/>
        <v>0PremiumSS5</v>
      </c>
      <c r="E249" s="13">
        <v>0</v>
      </c>
      <c r="F249" s="6">
        <v>321</v>
      </c>
      <c r="G249" s="8" t="str">
        <f>VLOOKUP(F249,[1]characters!$A:$C,3,FALSE)</f>
        <v>巌鉄の烈志士 近藤勇</v>
      </c>
      <c r="H249" s="8" t="str">
        <f>VLOOKUP(F249,[1]characters!$A:$J,10,FALSE)</f>
        <v>PremiumSS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hp</v>
      </c>
      <c r="L249" s="8" t="str">
        <f>VLOOKUP(F249,[1]characters!$A:$M,13,FALSE)</f>
        <v>human</v>
      </c>
      <c r="M249" s="5">
        <v>1</v>
      </c>
      <c r="N249" s="28">
        <f>VLOOKUP(D249,gacha_144_base!A:B,2,FALSE)</f>
        <v>52</v>
      </c>
      <c r="O249" s="19">
        <v>0</v>
      </c>
      <c r="P249" s="19">
        <v>0</v>
      </c>
      <c r="Q249" s="19">
        <v>0</v>
      </c>
      <c r="R249" s="19">
        <v>0</v>
      </c>
      <c r="S249" s="19">
        <v>1</v>
      </c>
    </row>
    <row r="250" spans="1:19" ht="21" customHeight="1">
      <c r="A250" s="7" t="str">
        <f t="shared" si="15"/>
        <v>145322</v>
      </c>
      <c r="B250" s="2">
        <f t="shared" si="18"/>
        <v>145</v>
      </c>
      <c r="C250" s="8" t="str">
        <f t="shared" si="16"/>
        <v>0PremiumSS4</v>
      </c>
      <c r="D250" s="8" t="str">
        <f t="shared" si="17"/>
        <v>0PremiumSS4</v>
      </c>
      <c r="E250" s="13">
        <v>0</v>
      </c>
      <c r="F250" s="6">
        <v>322</v>
      </c>
      <c r="G250" s="8" t="str">
        <f>VLOOKUP(F250,[1]characters!$A:$C,3,FALSE)</f>
        <v>愛志士 土方歳三</v>
      </c>
      <c r="H250" s="8" t="str">
        <f>VLOOKUP(F250,[1]characters!$A:$J,10,FALSE)</f>
        <v>PremiumSS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attack</v>
      </c>
      <c r="L250" s="8" t="str">
        <f>VLOOKUP(F250,[1]characters!$A:$M,13,FALSE)</f>
        <v>human</v>
      </c>
      <c r="M250" s="5">
        <v>1</v>
      </c>
      <c r="N250" s="28">
        <f>VLOOKUP(D250,gacha_144_base!A:B,2,FALSE)</f>
        <v>467</v>
      </c>
      <c r="O250" s="19">
        <v>0</v>
      </c>
      <c r="P250" s="19">
        <v>0</v>
      </c>
      <c r="Q250" s="19">
        <v>0</v>
      </c>
      <c r="R250" s="19">
        <v>0</v>
      </c>
      <c r="S250" s="19">
        <v>1</v>
      </c>
    </row>
    <row r="251" spans="1:19" ht="21" customHeight="1">
      <c r="A251" s="7" t="str">
        <f t="shared" si="15"/>
        <v>145323</v>
      </c>
      <c r="B251" s="2">
        <f t="shared" si="18"/>
        <v>145</v>
      </c>
      <c r="C251" s="8" t="str">
        <f t="shared" si="16"/>
        <v>0PremiumSS5</v>
      </c>
      <c r="D251" s="8" t="str">
        <f t="shared" si="17"/>
        <v>0PremiumSS5</v>
      </c>
      <c r="E251" s="13">
        <v>0</v>
      </c>
      <c r="F251" s="6">
        <v>323</v>
      </c>
      <c r="G251" s="8" t="str">
        <f>VLOOKUP(F251,[1]characters!$A:$C,3,FALSE)</f>
        <v>流麗の愛志士 土方歳三</v>
      </c>
      <c r="H251" s="8" t="str">
        <f>VLOOKUP(F251,[1]characters!$A:$J,10,FALSE)</f>
        <v>PremiumSS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attack</v>
      </c>
      <c r="L251" s="8" t="str">
        <f>VLOOKUP(F251,[1]characters!$A:$M,13,FALSE)</f>
        <v>human</v>
      </c>
      <c r="M251" s="5">
        <v>1</v>
      </c>
      <c r="N251" s="28">
        <f>VLOOKUP(D251,gacha_144_base!A:B,2,FALSE)</f>
        <v>52</v>
      </c>
      <c r="O251" s="19">
        <v>0</v>
      </c>
      <c r="P251" s="19">
        <v>0</v>
      </c>
      <c r="Q251" s="19">
        <v>0</v>
      </c>
      <c r="R251" s="19">
        <v>0</v>
      </c>
      <c r="S251" s="19">
        <v>1</v>
      </c>
    </row>
    <row r="252" spans="1:19" ht="21" customHeight="1">
      <c r="A252" s="7" t="str">
        <f t="shared" si="15"/>
        <v>145324</v>
      </c>
      <c r="B252" s="2">
        <f t="shared" si="18"/>
        <v>145</v>
      </c>
      <c r="C252" s="8" t="str">
        <f t="shared" si="16"/>
        <v>0PremiumSS4</v>
      </c>
      <c r="D252" s="8" t="str">
        <f t="shared" si="17"/>
        <v>0PremiumSS4</v>
      </c>
      <c r="E252" s="13">
        <v>0</v>
      </c>
      <c r="F252" s="6">
        <v>324</v>
      </c>
      <c r="G252" s="8" t="str">
        <f>VLOOKUP(F252,[1]characters!$A:$C,3,FALSE)</f>
        <v>凛志士 沖田総司</v>
      </c>
      <c r="H252" s="8" t="str">
        <f>VLOOKUP(F252,[1]characters!$A:$J,10,FALSE)</f>
        <v>PremiumSS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5">
        <v>1</v>
      </c>
      <c r="N252" s="28">
        <f>VLOOKUP(D252,gacha_144_base!A:B,2,FALSE)</f>
        <v>467</v>
      </c>
      <c r="O252" s="19">
        <v>0</v>
      </c>
      <c r="P252" s="19">
        <v>0</v>
      </c>
      <c r="Q252" s="19">
        <v>0</v>
      </c>
      <c r="R252" s="19">
        <v>0</v>
      </c>
      <c r="S252" s="19">
        <v>1</v>
      </c>
    </row>
    <row r="253" spans="1:19" ht="21" customHeight="1">
      <c r="A253" s="7" t="str">
        <f t="shared" si="15"/>
        <v>145325</v>
      </c>
      <c r="B253" s="2">
        <f t="shared" si="18"/>
        <v>145</v>
      </c>
      <c r="C253" s="8" t="str">
        <f t="shared" si="16"/>
        <v>0PremiumSS5</v>
      </c>
      <c r="D253" s="8" t="str">
        <f t="shared" si="17"/>
        <v>0PremiumSS5</v>
      </c>
      <c r="E253" s="13">
        <v>0</v>
      </c>
      <c r="F253" s="6">
        <v>325</v>
      </c>
      <c r="G253" s="8" t="str">
        <f>VLOOKUP(F253,[1]characters!$A:$C,3,FALSE)</f>
        <v>天賦の凛志士 沖田総司</v>
      </c>
      <c r="H253" s="8" t="str">
        <f>VLOOKUP(F253,[1]characters!$A:$J,10,FALSE)</f>
        <v>PremiumSS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5">
        <v>1</v>
      </c>
      <c r="N253" s="28">
        <f>VLOOKUP(D253,gacha_144_base!A:B,2,FALSE)</f>
        <v>52</v>
      </c>
      <c r="O253" s="19">
        <v>0</v>
      </c>
      <c r="P253" s="19">
        <v>0</v>
      </c>
      <c r="Q253" s="19">
        <v>0</v>
      </c>
      <c r="R253" s="19">
        <v>0</v>
      </c>
      <c r="S253" s="19">
        <v>1</v>
      </c>
    </row>
    <row r="254" spans="1:19" ht="21" customHeight="1">
      <c r="A254" s="7" t="str">
        <f t="shared" si="15"/>
        <v>145326</v>
      </c>
      <c r="B254" s="2">
        <f t="shared" si="18"/>
        <v>145</v>
      </c>
      <c r="C254" s="8" t="str">
        <f t="shared" si="16"/>
        <v>0PremiumSS4</v>
      </c>
      <c r="D254" s="8" t="str">
        <f t="shared" si="17"/>
        <v>0PremiumSS4</v>
      </c>
      <c r="E254" s="13">
        <v>0</v>
      </c>
      <c r="F254" s="23">
        <v>326</v>
      </c>
      <c r="G254" s="8" t="str">
        <f>VLOOKUP(F254,[1]characters!$A:$C,3,FALSE)</f>
        <v>妖志士 斎藤一</v>
      </c>
      <c r="H254" s="8" t="str">
        <f>VLOOKUP(F254,[1]characters!$A:$J,10,FALSE)</f>
        <v>PremiumSS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technical</v>
      </c>
      <c r="L254" s="8" t="str">
        <f>VLOOKUP(F254,[1]characters!$A:$M,13,FALSE)</f>
        <v>human</v>
      </c>
      <c r="M254" s="22">
        <v>1</v>
      </c>
      <c r="N254" s="28">
        <f>VLOOKUP(D254,gacha_144_base!A:B,2,FALSE)</f>
        <v>467</v>
      </c>
      <c r="O254" s="25">
        <v>0</v>
      </c>
      <c r="P254" s="19">
        <v>0</v>
      </c>
      <c r="Q254" s="25">
        <v>0</v>
      </c>
      <c r="R254" s="25">
        <v>0</v>
      </c>
      <c r="S254" s="25">
        <v>1</v>
      </c>
    </row>
    <row r="255" spans="1:19" ht="21" customHeight="1">
      <c r="A255" s="7" t="str">
        <f t="shared" si="15"/>
        <v>145327</v>
      </c>
      <c r="B255" s="2">
        <f t="shared" si="18"/>
        <v>145</v>
      </c>
      <c r="C255" s="8" t="str">
        <f t="shared" si="16"/>
        <v>0PremiumSS5</v>
      </c>
      <c r="D255" s="8" t="str">
        <f t="shared" si="17"/>
        <v>0PremiumSS5</v>
      </c>
      <c r="E255" s="38">
        <v>0</v>
      </c>
      <c r="F255" s="6">
        <v>327</v>
      </c>
      <c r="G255" s="8" t="str">
        <f>VLOOKUP(F255,[1]characters!$A:$C,3,FALSE)</f>
        <v>千殺の妖志士 斎藤一</v>
      </c>
      <c r="H255" s="8" t="str">
        <f>VLOOKUP(F255,[1]characters!$A:$J,10,FALSE)</f>
        <v>PremiumSS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5">
        <v>1</v>
      </c>
      <c r="N255" s="28">
        <f>VLOOKUP(D255,gacha_144_base!A:B,2,FALSE)</f>
        <v>52</v>
      </c>
      <c r="O255" s="19">
        <v>0</v>
      </c>
      <c r="P255" s="19">
        <v>0</v>
      </c>
      <c r="Q255" s="19">
        <v>0</v>
      </c>
      <c r="R255" s="19">
        <v>0</v>
      </c>
      <c r="S255" s="19">
        <v>1</v>
      </c>
    </row>
    <row r="256" spans="1:19" ht="21" customHeight="1">
      <c r="A256" s="7" t="str">
        <f t="shared" si="15"/>
        <v>145380</v>
      </c>
      <c r="B256" s="2">
        <f t="shared" si="18"/>
        <v>145</v>
      </c>
      <c r="C256" s="8" t="str">
        <f t="shared" si="16"/>
        <v>0PremiumS3</v>
      </c>
      <c r="D256" s="8" t="str">
        <f t="shared" si="17"/>
        <v>0PremiumS3</v>
      </c>
      <c r="E256" s="38">
        <v>0</v>
      </c>
      <c r="F256" s="18">
        <v>380</v>
      </c>
      <c r="G256" s="8" t="str">
        <f>VLOOKUP(F256,[1]characters!$A:$C,3,FALSE)</f>
        <v>バハムート</v>
      </c>
      <c r="H256" s="8" t="str">
        <f>VLOOKUP(F256,[1]characters!$A:$J,10,FALSE)</f>
        <v>PremiumS</v>
      </c>
      <c r="I256" s="8">
        <f>VLOOKUP(F256,[1]characters!$A:$I,9,FALSE)</f>
        <v>3</v>
      </c>
      <c r="J256" s="8" t="str">
        <f>VLOOKUP(F256,[1]characters!$A:$H,8,FALSE)</f>
        <v>red</v>
      </c>
      <c r="K256" s="8" t="str">
        <f>VLOOKUP(F256,[1]characters!$A:$K,11,FALSE)</f>
        <v>technical</v>
      </c>
      <c r="L256" s="8" t="str">
        <f>VLOOKUP(F256,[1]characters!$A:$M,13,FALSE)</f>
        <v>dragon</v>
      </c>
      <c r="M256" s="13">
        <v>1</v>
      </c>
      <c r="N256" s="28">
        <f>VLOOKUP(D256,gacha_144_base!A:B,2,FALSE)</f>
        <v>436</v>
      </c>
      <c r="O256" s="10">
        <v>0</v>
      </c>
      <c r="P256" s="19">
        <v>0</v>
      </c>
      <c r="Q256" s="10">
        <v>0</v>
      </c>
      <c r="R256" s="10">
        <v>0</v>
      </c>
      <c r="S256" s="10">
        <v>1</v>
      </c>
    </row>
    <row r="257" spans="1:19" ht="21" customHeight="1">
      <c r="A257" s="7" t="str">
        <f t="shared" si="15"/>
        <v>145381</v>
      </c>
      <c r="B257" s="2">
        <f t="shared" si="18"/>
        <v>145</v>
      </c>
      <c r="C257" s="8" t="str">
        <f t="shared" si="16"/>
        <v>0PremiumS4</v>
      </c>
      <c r="D257" s="8" t="str">
        <f t="shared" si="17"/>
        <v>0PremiumS4</v>
      </c>
      <c r="E257" s="38">
        <v>0</v>
      </c>
      <c r="F257" s="18">
        <v>381</v>
      </c>
      <c r="G257" s="8" t="str">
        <f>VLOOKUP(F257,[1]characters!$A:$C,3,FALSE)</f>
        <v>肉食の恋火 バハムート</v>
      </c>
      <c r="H257" s="8" t="str">
        <f>VLOOKUP(F257,[1]characters!$A:$J,10,FALSE)</f>
        <v>PremiumS</v>
      </c>
      <c r="I257" s="8">
        <f>VLOOKUP(F257,[1]characters!$A:$I,9,FALSE)</f>
        <v>4</v>
      </c>
      <c r="J257" s="8" t="str">
        <f>VLOOKUP(F257,[1]characters!$A:$H,8,FALSE)</f>
        <v>red</v>
      </c>
      <c r="K257" s="8" t="str">
        <f>VLOOKUP(F257,[1]characters!$A:$K,11,FALSE)</f>
        <v>technical</v>
      </c>
      <c r="L257" s="8" t="str">
        <f>VLOOKUP(F257,[1]characters!$A:$M,13,FALSE)</f>
        <v>dragon</v>
      </c>
      <c r="M257" s="5">
        <v>1</v>
      </c>
      <c r="N257" s="28">
        <f>VLOOKUP(D257,gacha_144_base!A:B,2,FALSE)</f>
        <v>519</v>
      </c>
      <c r="O257" s="19">
        <v>0</v>
      </c>
      <c r="P257" s="19">
        <v>0</v>
      </c>
      <c r="Q257" s="19">
        <v>0</v>
      </c>
      <c r="R257" s="19">
        <v>0</v>
      </c>
      <c r="S257" s="19">
        <v>1</v>
      </c>
    </row>
    <row r="258" spans="1:19" ht="21" customHeight="1">
      <c r="A258" s="7" t="str">
        <f t="shared" si="15"/>
        <v>145382</v>
      </c>
      <c r="B258" s="2">
        <f t="shared" si="18"/>
        <v>145</v>
      </c>
      <c r="C258" s="8" t="str">
        <f t="shared" si="16"/>
        <v>0PremiumS5</v>
      </c>
      <c r="D258" s="8" t="str">
        <f t="shared" si="17"/>
        <v>0PremiumS5</v>
      </c>
      <c r="E258" s="38">
        <v>0</v>
      </c>
      <c r="F258" s="18">
        <v>382</v>
      </c>
      <c r="G258" s="8" t="str">
        <f>VLOOKUP(F258,[1]characters!$A:$C,3,FALSE)</f>
        <v>激情の愛炎 バハムート</v>
      </c>
      <c r="H258" s="8" t="str">
        <f>VLOOKUP(F258,[1]characters!$A:$J,10,FALSE)</f>
        <v>PremiumS</v>
      </c>
      <c r="I258" s="8">
        <f>VLOOKUP(F258,[1]characters!$A:$I,9,FALSE)</f>
        <v>5</v>
      </c>
      <c r="J258" s="8" t="str">
        <f>VLOOKUP(F258,[1]characters!$A:$H,8,FALSE)</f>
        <v>red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28">
        <f>VLOOKUP(D258,gacha_144_base!A:B,2,FALSE)</f>
        <v>83</v>
      </c>
      <c r="O258" s="19">
        <v>0</v>
      </c>
      <c r="P258" s="19">
        <v>0</v>
      </c>
      <c r="Q258" s="19">
        <v>0</v>
      </c>
      <c r="R258" s="19">
        <v>0</v>
      </c>
      <c r="S258" s="19">
        <v>1</v>
      </c>
    </row>
    <row r="259" spans="1:19" ht="21" customHeight="1">
      <c r="A259" s="7" t="str">
        <f t="shared" si="15"/>
        <v>145383</v>
      </c>
      <c r="B259" s="2">
        <f t="shared" si="18"/>
        <v>145</v>
      </c>
      <c r="C259" s="8" t="str">
        <f t="shared" si="16"/>
        <v>0PremiumSS4</v>
      </c>
      <c r="D259" s="8" t="str">
        <f t="shared" si="17"/>
        <v>0PremiumSS4</v>
      </c>
      <c r="E259" s="38">
        <v>0</v>
      </c>
      <c r="F259" s="18">
        <v>383</v>
      </c>
      <c r="G259" s="8" t="str">
        <f>VLOOKUP(F259,[1]characters!$A:$C,3,FALSE)</f>
        <v>酒宴の蟒蛇 ヤマタノオロチ</v>
      </c>
      <c r="H259" s="8" t="str">
        <f>VLOOKUP(F259,[1]characters!$A:$J,10,FALSE)</f>
        <v>PremiumSS</v>
      </c>
      <c r="I259" s="8">
        <f>VLOOKUP(F259,[1]characters!$A:$I,9,FALSE)</f>
        <v>4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5">
        <v>1</v>
      </c>
      <c r="N259" s="28">
        <f>VLOOKUP(D259,gacha_144_base!A:B,2,FALSE)</f>
        <v>467</v>
      </c>
      <c r="O259" s="19">
        <v>0</v>
      </c>
      <c r="P259" s="19">
        <v>0</v>
      </c>
      <c r="Q259" s="19">
        <v>0</v>
      </c>
      <c r="R259" s="19">
        <v>0</v>
      </c>
      <c r="S259" s="19">
        <v>1</v>
      </c>
    </row>
    <row r="260" spans="1:19" ht="21" customHeight="1">
      <c r="A260" s="7" t="str">
        <f t="shared" si="15"/>
        <v>145384</v>
      </c>
      <c r="B260" s="2">
        <f t="shared" si="18"/>
        <v>145</v>
      </c>
      <c r="C260" s="8" t="str">
        <f t="shared" si="16"/>
        <v>0PremiumSS5</v>
      </c>
      <c r="D260" s="8" t="str">
        <f t="shared" si="17"/>
        <v>0PremiumSS5</v>
      </c>
      <c r="E260" s="38">
        <v>0</v>
      </c>
      <c r="F260" s="18">
        <v>384</v>
      </c>
      <c r="G260" s="8" t="str">
        <f>VLOOKUP(F260,[1]characters!$A:$C,3,FALSE)</f>
        <v>破国の呑龍 ヤマタノオロチ</v>
      </c>
      <c r="H260" s="8" t="str">
        <f>VLOOKUP(F260,[1]characters!$A:$J,10,FALSE)</f>
        <v>PremiumSS</v>
      </c>
      <c r="I260" s="8">
        <f>VLOOKUP(F260,[1]characters!$A:$I,9,FALSE)</f>
        <v>5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5">
        <v>1</v>
      </c>
      <c r="N260" s="28">
        <f>VLOOKUP(D260,gacha_144_base!A:B,2,FALSE)</f>
        <v>52</v>
      </c>
      <c r="O260" s="19">
        <v>0</v>
      </c>
      <c r="P260" s="19">
        <v>0</v>
      </c>
      <c r="Q260" s="19">
        <v>0</v>
      </c>
      <c r="R260" s="19">
        <v>0</v>
      </c>
      <c r="S260" s="19">
        <v>1</v>
      </c>
    </row>
    <row r="261" spans="1:19" ht="21" customHeight="1">
      <c r="A261" s="7" t="str">
        <f t="shared" ref="A261:A277" si="19">B261&amp;F261</f>
        <v>145385</v>
      </c>
      <c r="B261" s="2">
        <f t="shared" si="18"/>
        <v>145</v>
      </c>
      <c r="C261" s="8" t="str">
        <f t="shared" si="16"/>
        <v>0PremiumSS4</v>
      </c>
      <c r="D261" s="8" t="str">
        <f t="shared" si="17"/>
        <v>0PremiumSS4</v>
      </c>
      <c r="E261" s="38">
        <v>0</v>
      </c>
      <c r="F261" s="18">
        <v>385</v>
      </c>
      <c r="G261" s="8" t="str">
        <f>VLOOKUP(F261,[1]characters!$A:$C,3,FALSE)</f>
        <v>波烈の出奔 リヴァイアサン</v>
      </c>
      <c r="H261" s="8" t="str">
        <f>VLOOKUP(F261,[1]characters!$A:$J,10,FALSE)</f>
        <v>PremiumSS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dragon</v>
      </c>
      <c r="M261" s="5">
        <v>1</v>
      </c>
      <c r="N261" s="28">
        <f>VLOOKUP(D261,gacha_144_base!A:B,2,FALSE)</f>
        <v>467</v>
      </c>
      <c r="O261" s="19">
        <v>0</v>
      </c>
      <c r="P261" s="19">
        <v>0</v>
      </c>
      <c r="Q261" s="19">
        <v>0</v>
      </c>
      <c r="R261" s="19">
        <v>0</v>
      </c>
      <c r="S261" s="19">
        <v>1</v>
      </c>
    </row>
    <row r="262" spans="1:19" ht="21" customHeight="1">
      <c r="A262" s="7" t="str">
        <f t="shared" si="19"/>
        <v>145386</v>
      </c>
      <c r="B262" s="2">
        <f t="shared" si="18"/>
        <v>145</v>
      </c>
      <c r="C262" s="8" t="str">
        <f t="shared" si="16"/>
        <v>0PremiumSS5</v>
      </c>
      <c r="D262" s="8" t="str">
        <f t="shared" si="17"/>
        <v>0PremiumSS5</v>
      </c>
      <c r="E262" s="38">
        <v>0</v>
      </c>
      <c r="F262" s="21">
        <v>386</v>
      </c>
      <c r="G262" s="8" t="str">
        <f>VLOOKUP(F262,[1]characters!$A:$C,3,FALSE)</f>
        <v>氾乱の海龍 リヴァイアサン</v>
      </c>
      <c r="H262" s="8" t="str">
        <f>VLOOKUP(F262,[1]characters!$A:$J,10,FALSE)</f>
        <v>PremiumSS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dragon</v>
      </c>
      <c r="M262" s="22">
        <v>1</v>
      </c>
      <c r="N262" s="28">
        <f>VLOOKUP(D262,gacha_144_base!A:B,2,FALSE)</f>
        <v>52</v>
      </c>
      <c r="O262" s="25">
        <v>0</v>
      </c>
      <c r="P262" s="19">
        <v>0</v>
      </c>
      <c r="Q262" s="25">
        <v>0</v>
      </c>
      <c r="R262" s="25">
        <v>0</v>
      </c>
      <c r="S262" s="25">
        <v>1</v>
      </c>
    </row>
    <row r="263" spans="1:19" ht="21" customHeight="1">
      <c r="A263" s="7" t="str">
        <f t="shared" si="19"/>
        <v>145387</v>
      </c>
      <c r="B263" s="2">
        <f t="shared" si="18"/>
        <v>145</v>
      </c>
      <c r="C263" s="8" t="str">
        <f t="shared" si="16"/>
        <v>0PremiumS3</v>
      </c>
      <c r="D263" s="8" t="str">
        <f t="shared" si="17"/>
        <v>0PremiumS3</v>
      </c>
      <c r="E263" s="38">
        <v>0</v>
      </c>
      <c r="F263" s="6">
        <v>387</v>
      </c>
      <c r="G263" s="8" t="str">
        <f>VLOOKUP(F263,[1]characters!$A:$C,3,FALSE)</f>
        <v>スフィンクス</v>
      </c>
      <c r="H263" s="8" t="str">
        <f>VLOOKUP(F263,[1]characters!$A:$J,10,FALSE)</f>
        <v>PremiumS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heal</v>
      </c>
      <c r="L263" s="8" t="str">
        <f>VLOOKUP(F263,[1]characters!$A:$M,13,FALSE)</f>
        <v>animal</v>
      </c>
      <c r="M263" s="5">
        <v>1</v>
      </c>
      <c r="N263" s="28">
        <f>VLOOKUP(D263,gacha_144_base!A:B,2,FALSE)</f>
        <v>436</v>
      </c>
      <c r="O263" s="19">
        <v>0</v>
      </c>
      <c r="P263" s="19">
        <v>0</v>
      </c>
      <c r="Q263" s="19">
        <v>0</v>
      </c>
      <c r="R263" s="19">
        <v>0</v>
      </c>
      <c r="S263" s="19">
        <v>1</v>
      </c>
    </row>
    <row r="264" spans="1:19" ht="21" customHeight="1">
      <c r="A264" s="7" t="str">
        <f t="shared" si="19"/>
        <v>145388</v>
      </c>
      <c r="B264" s="2">
        <f t="shared" si="18"/>
        <v>145</v>
      </c>
      <c r="C264" s="8" t="str">
        <f t="shared" si="16"/>
        <v>0PremiumS4</v>
      </c>
      <c r="D264" s="8" t="str">
        <f t="shared" si="17"/>
        <v>0PremiumS4</v>
      </c>
      <c r="E264" s="38">
        <v>0</v>
      </c>
      <c r="F264" s="23">
        <v>388</v>
      </c>
      <c r="G264" s="8" t="str">
        <f>VLOOKUP(F264,[1]characters!$A:$C,3,FALSE)</f>
        <v>神円の恋姫 スフィンクス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heal</v>
      </c>
      <c r="L264" s="8" t="str">
        <f>VLOOKUP(F264,[1]characters!$A:$M,13,FALSE)</f>
        <v>animal</v>
      </c>
      <c r="M264" s="22">
        <v>1</v>
      </c>
      <c r="N264" s="28">
        <f>VLOOKUP(D264,gacha_144_base!A:B,2,FALSE)</f>
        <v>519</v>
      </c>
      <c r="O264" s="25">
        <v>0</v>
      </c>
      <c r="P264" s="19">
        <v>0</v>
      </c>
      <c r="Q264" s="25">
        <v>0</v>
      </c>
      <c r="R264" s="25">
        <v>0</v>
      </c>
      <c r="S264" s="25">
        <v>1</v>
      </c>
    </row>
    <row r="265" spans="1:19" s="26" customFormat="1" ht="21" customHeight="1" thickBot="1">
      <c r="A265" s="7" t="str">
        <f t="shared" si="19"/>
        <v>145389</v>
      </c>
      <c r="B265" s="2">
        <f t="shared" si="18"/>
        <v>145</v>
      </c>
      <c r="C265" s="8" t="str">
        <f t="shared" si="16"/>
        <v>0PremiumS5</v>
      </c>
      <c r="D265" s="8" t="str">
        <f t="shared" si="17"/>
        <v>0PremiumS5</v>
      </c>
      <c r="E265" s="38">
        <v>0</v>
      </c>
      <c r="F265" s="6">
        <v>389</v>
      </c>
      <c r="G265" s="8" t="str">
        <f>VLOOKUP(F265,[1]characters!$A:$C,3,FALSE)</f>
        <v>操神の愛姫 スフィンクス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heal</v>
      </c>
      <c r="L265" s="8" t="str">
        <f>VLOOKUP(F265,[1]characters!$A:$M,13,FALSE)</f>
        <v>animal</v>
      </c>
      <c r="M265" s="15">
        <v>1</v>
      </c>
      <c r="N265" s="28">
        <f>VLOOKUP(D265,gacha_144_base!A:B,2,FALSE)</f>
        <v>83</v>
      </c>
      <c r="O265" s="20">
        <v>0</v>
      </c>
      <c r="P265" s="19">
        <v>0</v>
      </c>
      <c r="Q265" s="20">
        <v>0</v>
      </c>
      <c r="R265" s="20">
        <v>0</v>
      </c>
      <c r="S265" s="20">
        <v>1</v>
      </c>
    </row>
    <row r="266" spans="1:19" ht="21" customHeight="1">
      <c r="A266" s="7" t="str">
        <f t="shared" si="19"/>
        <v>145390</v>
      </c>
      <c r="B266" s="2">
        <f t="shared" si="18"/>
        <v>145</v>
      </c>
      <c r="C266" s="8" t="str">
        <f t="shared" si="16"/>
        <v>0PremiumSS4</v>
      </c>
      <c r="D266" s="8" t="str">
        <f t="shared" si="17"/>
        <v>0PremiumSS4</v>
      </c>
      <c r="E266" s="38">
        <v>0</v>
      </c>
      <c r="F266" s="23">
        <v>390</v>
      </c>
      <c r="G266" s="8" t="str">
        <f>VLOOKUP(F266,[1]characters!$A:$C,3,FALSE)</f>
        <v>華環の旅客 親指姫</v>
      </c>
      <c r="H266" s="8" t="str">
        <f>VLOOKUP(F266,[1]characters!$A:$J,10,FALSE)</f>
        <v>PremiumSS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heal</v>
      </c>
      <c r="L266" s="8" t="str">
        <f>VLOOKUP(F266,[1]characters!$A:$M,13,FALSE)</f>
        <v>human</v>
      </c>
      <c r="M266" s="22">
        <v>1</v>
      </c>
      <c r="N266" s="28">
        <f>VLOOKUP(D266,gacha_144_base!A:B,2,FALSE)</f>
        <v>467</v>
      </c>
      <c r="O266" s="25">
        <v>0</v>
      </c>
      <c r="P266" s="19">
        <v>0</v>
      </c>
      <c r="Q266" s="25">
        <v>0</v>
      </c>
      <c r="R266" s="25">
        <v>0</v>
      </c>
      <c r="S266" s="25">
        <v>1</v>
      </c>
    </row>
    <row r="267" spans="1:19" ht="21" customHeight="1">
      <c r="A267" s="7" t="str">
        <f t="shared" si="19"/>
        <v>145391</v>
      </c>
      <c r="B267" s="2">
        <f t="shared" si="18"/>
        <v>145</v>
      </c>
      <c r="C267" s="8" t="str">
        <f t="shared" si="16"/>
        <v>0PremiumSS5</v>
      </c>
      <c r="D267" s="8" t="str">
        <f t="shared" si="17"/>
        <v>0PremiumSS5</v>
      </c>
      <c r="E267" s="38">
        <v>0</v>
      </c>
      <c r="F267" s="6">
        <v>391</v>
      </c>
      <c r="G267" s="8" t="str">
        <f>VLOOKUP(F267,[1]characters!$A:$C,3,FALSE)</f>
        <v>燕翼の旅人 親指姫</v>
      </c>
      <c r="H267" s="8" t="str">
        <f>VLOOKUP(F267,[1]characters!$A:$J,10,FALSE)</f>
        <v>PremiumSS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heal</v>
      </c>
      <c r="L267" s="8" t="str">
        <f>VLOOKUP(F267,[1]characters!$A:$M,13,FALSE)</f>
        <v>human</v>
      </c>
      <c r="M267" s="5">
        <v>1</v>
      </c>
      <c r="N267" s="28">
        <f>VLOOKUP(D267,gacha_144_base!A:B,2,FALSE)</f>
        <v>52</v>
      </c>
      <c r="O267" s="19">
        <v>0</v>
      </c>
      <c r="P267" s="19">
        <v>0</v>
      </c>
      <c r="Q267" s="19">
        <v>0</v>
      </c>
      <c r="R267" s="19">
        <v>0</v>
      </c>
      <c r="S267" s="19">
        <v>1</v>
      </c>
    </row>
    <row r="268" spans="1:19" ht="21" customHeight="1">
      <c r="A268" s="7" t="str">
        <f t="shared" si="19"/>
        <v>145392</v>
      </c>
      <c r="B268" s="2">
        <f t="shared" si="18"/>
        <v>145</v>
      </c>
      <c r="C268" s="8" t="str">
        <f t="shared" si="16"/>
        <v>0PremiumS3</v>
      </c>
      <c r="D268" s="8" t="str">
        <f t="shared" si="17"/>
        <v>0PremiumS3</v>
      </c>
      <c r="E268" s="38">
        <v>0</v>
      </c>
      <c r="F268" s="23">
        <v>392</v>
      </c>
      <c r="G268" s="8" t="str">
        <f>VLOOKUP(F268,[1]characters!$A:$C,3,FALSE)</f>
        <v>ピーターパン</v>
      </c>
      <c r="H268" s="8" t="str">
        <f>VLOOKUP(F268,[1]characters!$A:$J,10,FALSE)</f>
        <v>PremiumS</v>
      </c>
      <c r="I268" s="8">
        <f>VLOOKUP(F268,[1]characters!$A:$I,9,FALSE)</f>
        <v>3</v>
      </c>
      <c r="J268" s="8" t="str">
        <f>VLOOKUP(F268,[1]characters!$A:$H,8,FALSE)</f>
        <v>green</v>
      </c>
      <c r="K268" s="8" t="str">
        <f>VLOOKUP(F268,[1]characters!$A:$K,11,FALSE)</f>
        <v>attack</v>
      </c>
      <c r="L268" s="8" t="str">
        <f>VLOOKUP(F268,[1]characters!$A:$M,13,FALSE)</f>
        <v>human</v>
      </c>
      <c r="M268" s="22">
        <v>1</v>
      </c>
      <c r="N268" s="28">
        <f>VLOOKUP(D268,gacha_144_base!A:B,2,FALSE)</f>
        <v>436</v>
      </c>
      <c r="O268" s="25">
        <v>0</v>
      </c>
      <c r="P268" s="19">
        <v>0</v>
      </c>
      <c r="Q268" s="25">
        <v>0</v>
      </c>
      <c r="R268" s="25">
        <v>0</v>
      </c>
      <c r="S268" s="25">
        <v>1</v>
      </c>
    </row>
    <row r="269" spans="1:19" ht="21" customHeight="1" thickBot="1">
      <c r="A269" s="7" t="str">
        <f t="shared" si="19"/>
        <v>145393</v>
      </c>
      <c r="B269" s="2">
        <f t="shared" si="18"/>
        <v>145</v>
      </c>
      <c r="C269" s="8" t="str">
        <f t="shared" ref="C269:C277" si="20">E269&amp;H269&amp;I269</f>
        <v>0PremiumS4</v>
      </c>
      <c r="D269" s="8" t="str">
        <f t="shared" si="17"/>
        <v>0PremiumS4</v>
      </c>
      <c r="E269" s="38">
        <v>0</v>
      </c>
      <c r="F269" s="6">
        <v>393</v>
      </c>
      <c r="G269" s="8" t="str">
        <f>VLOOKUP(F269,[1]characters!$A:$C,3,FALSE)</f>
        <v>影縫い ピーターパン</v>
      </c>
      <c r="H269" s="8" t="str">
        <f>VLOOKUP(F269,[1]characters!$A:$J,10,FALSE)</f>
        <v>PremiumS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attack</v>
      </c>
      <c r="L269" s="8" t="str">
        <f>VLOOKUP(F269,[1]characters!$A:$M,13,FALSE)</f>
        <v>human</v>
      </c>
      <c r="M269" s="15">
        <v>1</v>
      </c>
      <c r="N269" s="28">
        <f>VLOOKUP(D269,gacha_144_base!A:B,2,FALSE)</f>
        <v>519</v>
      </c>
      <c r="O269" s="20">
        <v>0</v>
      </c>
      <c r="P269" s="19">
        <v>0</v>
      </c>
      <c r="Q269" s="20">
        <v>0</v>
      </c>
      <c r="R269" s="20">
        <v>0</v>
      </c>
      <c r="S269" s="20">
        <v>1</v>
      </c>
    </row>
    <row r="270" spans="1:19" ht="21" customHeight="1">
      <c r="A270" s="7" t="str">
        <f t="shared" si="19"/>
        <v>145394</v>
      </c>
      <c r="B270" s="2">
        <f t="shared" si="18"/>
        <v>145</v>
      </c>
      <c r="C270" s="8" t="str">
        <f t="shared" si="20"/>
        <v>0PremiumS5</v>
      </c>
      <c r="D270" s="8" t="str">
        <f t="shared" si="17"/>
        <v>0PremiumS5</v>
      </c>
      <c r="E270" s="38">
        <v>0</v>
      </c>
      <c r="F270" s="23">
        <v>394</v>
      </c>
      <c r="G270" s="8" t="str">
        <f>VLOOKUP(F270,[1]characters!$A:$C,3,FALSE)</f>
        <v>影求の悪童 ピーターパン</v>
      </c>
      <c r="H270" s="8" t="str">
        <f>VLOOKUP(F270,[1]characters!$A:$J,10,FALSE)</f>
        <v>PremiumS</v>
      </c>
      <c r="I270" s="8">
        <f>VLOOKUP(F270,[1]characters!$A:$I,9,FALSE)</f>
        <v>5</v>
      </c>
      <c r="J270" s="8" t="str">
        <f>VLOOKUP(F270,[1]characters!$A:$H,8,FALSE)</f>
        <v>green</v>
      </c>
      <c r="K270" s="8" t="str">
        <f>VLOOKUP(F270,[1]characters!$A:$K,11,FALSE)</f>
        <v>attack</v>
      </c>
      <c r="L270" s="8" t="str">
        <f>VLOOKUP(F270,[1]characters!$A:$M,13,FALSE)</f>
        <v>human</v>
      </c>
      <c r="M270" s="22">
        <v>1</v>
      </c>
      <c r="N270" s="28">
        <f>VLOOKUP(D270,gacha_144_base!A:B,2,FALSE)</f>
        <v>83</v>
      </c>
      <c r="O270" s="25">
        <v>0</v>
      </c>
      <c r="P270" s="19">
        <v>0</v>
      </c>
      <c r="Q270" s="25">
        <v>0</v>
      </c>
      <c r="R270" s="25">
        <v>0</v>
      </c>
      <c r="S270" s="25">
        <v>1</v>
      </c>
    </row>
    <row r="271" spans="1:19" ht="21" customHeight="1">
      <c r="A271" s="7" t="str">
        <f t="shared" si="19"/>
        <v>145395</v>
      </c>
      <c r="B271" s="2">
        <f t="shared" si="18"/>
        <v>145</v>
      </c>
      <c r="C271" s="8" t="str">
        <f t="shared" si="20"/>
        <v>0PremiumS3</v>
      </c>
      <c r="D271" s="8" t="str">
        <f t="shared" si="17"/>
        <v>0PremiumS3</v>
      </c>
      <c r="E271" s="38">
        <v>0</v>
      </c>
      <c r="F271" s="6">
        <v>395</v>
      </c>
      <c r="G271" s="8" t="str">
        <f>VLOOKUP(F271,[1]characters!$A:$C,3,FALSE)</f>
        <v>乙姫（亀）</v>
      </c>
      <c r="H271" s="8" t="str">
        <f>VLOOKUP(F271,[1]characters!$A:$J,10,FALSE)</f>
        <v>PremiumS</v>
      </c>
      <c r="I271" s="8">
        <f>VLOOKUP(F271,[1]characters!$A:$I,9,FALSE)</f>
        <v>3</v>
      </c>
      <c r="J271" s="8" t="str">
        <f>VLOOKUP(F271,[1]characters!$A:$H,8,FALSE)</f>
        <v>blue</v>
      </c>
      <c r="K271" s="8" t="str">
        <f>VLOOKUP(F271,[1]characters!$A:$K,11,FALSE)</f>
        <v>hp</v>
      </c>
      <c r="L271" s="8" t="str">
        <f>VLOOKUP(F271,[1]characters!$A:$M,13,FALSE)</f>
        <v>human</v>
      </c>
      <c r="M271" s="5">
        <v>1</v>
      </c>
      <c r="N271" s="28">
        <f>VLOOKUP(D271,gacha_144_base!A:B,2,FALSE)</f>
        <v>436</v>
      </c>
      <c r="O271" s="19">
        <v>0</v>
      </c>
      <c r="P271" s="19">
        <v>0</v>
      </c>
      <c r="Q271" s="19">
        <v>0</v>
      </c>
      <c r="R271" s="19">
        <v>0</v>
      </c>
      <c r="S271" s="19">
        <v>1</v>
      </c>
    </row>
    <row r="272" spans="1:19" ht="21" customHeight="1">
      <c r="A272" s="7" t="str">
        <f t="shared" si="19"/>
        <v>145396</v>
      </c>
      <c r="B272" s="2">
        <f t="shared" si="18"/>
        <v>145</v>
      </c>
      <c r="C272" s="8" t="str">
        <f t="shared" si="20"/>
        <v>0PremiumS4</v>
      </c>
      <c r="D272" s="8" t="str">
        <f t="shared" si="17"/>
        <v>0PremiumS4</v>
      </c>
      <c r="E272" s="38">
        <v>0</v>
      </c>
      <c r="F272" s="23">
        <v>396</v>
      </c>
      <c r="G272" s="8" t="str">
        <f>VLOOKUP(F272,[1]characters!$A:$C,3,FALSE)</f>
        <v>竜宮の水雷 乙姫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blue</v>
      </c>
      <c r="K272" s="8" t="str">
        <f>VLOOKUP(F272,[1]characters!$A:$K,11,FALSE)</f>
        <v>hp</v>
      </c>
      <c r="L272" s="8" t="str">
        <f>VLOOKUP(F272,[1]characters!$A:$M,13,FALSE)</f>
        <v>human</v>
      </c>
      <c r="M272" s="22">
        <v>1</v>
      </c>
      <c r="N272" s="28">
        <f>VLOOKUP(D272,gacha_144_base!A:B,2,FALSE)</f>
        <v>519</v>
      </c>
      <c r="O272" s="25">
        <v>0</v>
      </c>
      <c r="P272" s="19">
        <v>0</v>
      </c>
      <c r="Q272" s="25">
        <v>0</v>
      </c>
      <c r="R272" s="25">
        <v>0</v>
      </c>
      <c r="S272" s="25">
        <v>1</v>
      </c>
    </row>
    <row r="273" spans="1:19" ht="21" customHeight="1" thickBot="1">
      <c r="A273" s="7" t="str">
        <f t="shared" si="19"/>
        <v>145397</v>
      </c>
      <c r="B273" s="2">
        <f t="shared" si="18"/>
        <v>145</v>
      </c>
      <c r="C273" s="8" t="str">
        <f t="shared" si="20"/>
        <v>0PremiumS5</v>
      </c>
      <c r="D273" s="8" t="str">
        <f t="shared" si="17"/>
        <v>0PremiumS5</v>
      </c>
      <c r="E273" s="38">
        <v>0</v>
      </c>
      <c r="F273" s="6">
        <v>397</v>
      </c>
      <c r="G273" s="8" t="str">
        <f>VLOOKUP(F273,[1]characters!$A:$C,3,FALSE)</f>
        <v>禁断の追箱 乙姫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blue</v>
      </c>
      <c r="K273" s="8" t="str">
        <f>VLOOKUP(F273,[1]characters!$A:$K,11,FALSE)</f>
        <v>hp</v>
      </c>
      <c r="L273" s="8" t="str">
        <f>VLOOKUP(F273,[1]characters!$A:$M,13,FALSE)</f>
        <v>human</v>
      </c>
      <c r="M273" s="15">
        <v>1</v>
      </c>
      <c r="N273" s="28">
        <f>VLOOKUP(D273,gacha_144_base!A:B,2,FALSE)</f>
        <v>83</v>
      </c>
      <c r="O273" s="20">
        <v>0</v>
      </c>
      <c r="P273" s="19">
        <v>0</v>
      </c>
      <c r="Q273" s="20">
        <v>0</v>
      </c>
      <c r="R273" s="20">
        <v>0</v>
      </c>
      <c r="S273" s="20">
        <v>1</v>
      </c>
    </row>
    <row r="274" spans="1:19" ht="21" customHeight="1">
      <c r="A274" s="7" t="str">
        <f t="shared" si="19"/>
        <v>145398</v>
      </c>
      <c r="B274" s="2">
        <f t="shared" si="18"/>
        <v>145</v>
      </c>
      <c r="C274" s="8" t="str">
        <f t="shared" si="20"/>
        <v>0PremiumSS4</v>
      </c>
      <c r="D274" s="8" t="str">
        <f t="shared" si="17"/>
        <v>0PremiumSS4</v>
      </c>
      <c r="E274" s="38">
        <v>0</v>
      </c>
      <c r="F274" s="23">
        <v>398</v>
      </c>
      <c r="G274" s="8" t="str">
        <f>VLOOKUP(F274,[1]characters!$A:$C,3,FALSE)</f>
        <v>ヘンゼル＆グレーテル</v>
      </c>
      <c r="H274" s="8" t="str">
        <f>VLOOKUP(F274,[1]characters!$A:$J,10,FALSE)</f>
        <v>PremiumSS</v>
      </c>
      <c r="I274" s="8">
        <f>VLOOKUP(F274,[1]characters!$A:$I,9,FALSE)</f>
        <v>4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22">
        <v>1</v>
      </c>
      <c r="N274" s="28">
        <f>VLOOKUP(D274,gacha_144_base!A:B,2,FALSE)</f>
        <v>467</v>
      </c>
      <c r="O274" s="25">
        <v>0</v>
      </c>
      <c r="P274" s="19">
        <v>0</v>
      </c>
      <c r="Q274" s="25">
        <v>0</v>
      </c>
      <c r="R274" s="25">
        <v>0</v>
      </c>
      <c r="S274" s="25">
        <v>1</v>
      </c>
    </row>
    <row r="275" spans="1:19" ht="21" customHeight="1" thickBot="1">
      <c r="A275" s="7" t="str">
        <f t="shared" si="19"/>
        <v>145399</v>
      </c>
      <c r="B275" s="2">
        <f t="shared" si="18"/>
        <v>145</v>
      </c>
      <c r="C275" s="8" t="str">
        <f t="shared" si="20"/>
        <v>0PremiumSS5</v>
      </c>
      <c r="D275" s="8" t="str">
        <f t="shared" si="17"/>
        <v>0PremiumSS5</v>
      </c>
      <c r="E275" s="38">
        <v>0</v>
      </c>
      <c r="F275" s="6">
        <v>399</v>
      </c>
      <c r="G275" s="8" t="str">
        <f>VLOOKUP(F275,[1]characters!$A:$C,3,FALSE)</f>
        <v>信愛の兄妹 ヘンゼル＆グレーテル</v>
      </c>
      <c r="H275" s="8" t="str">
        <f>VLOOKUP(F275,[1]characters!$A:$J,10,FALSE)</f>
        <v>PremiumSS</v>
      </c>
      <c r="I275" s="8">
        <f>VLOOKUP(F275,[1]characters!$A:$I,9,FALSE)</f>
        <v>5</v>
      </c>
      <c r="J275" s="8" t="str">
        <f>VLOOKUP(F275,[1]characters!$A:$H,8,FALSE)</f>
        <v>yellow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5">
        <v>1</v>
      </c>
      <c r="N275" s="28">
        <f>VLOOKUP(D275,gacha_144_base!A:B,2,FALSE)</f>
        <v>52</v>
      </c>
      <c r="O275" s="20">
        <v>0</v>
      </c>
      <c r="P275" s="19">
        <v>0</v>
      </c>
      <c r="Q275" s="20">
        <v>0</v>
      </c>
      <c r="R275" s="20">
        <v>0</v>
      </c>
      <c r="S275" s="20">
        <v>1</v>
      </c>
    </row>
    <row r="276" spans="1:19" ht="21" customHeight="1">
      <c r="A276" s="7" t="str">
        <f t="shared" si="19"/>
        <v>145378</v>
      </c>
      <c r="B276" s="2">
        <f t="shared" si="18"/>
        <v>145</v>
      </c>
      <c r="C276" s="8" t="str">
        <f t="shared" si="20"/>
        <v>0PremiumSSS4</v>
      </c>
      <c r="D276" s="8" t="str">
        <f t="shared" si="17"/>
        <v>0PremiumSSS4</v>
      </c>
      <c r="E276" s="60">
        <v>0</v>
      </c>
      <c r="F276" s="61">
        <v>378</v>
      </c>
      <c r="G276" s="8" t="str">
        <f>VLOOKUP(F276,[1]characters!$A:$C,3,FALSE)</f>
        <v>オイラー</v>
      </c>
      <c r="H276" s="8" t="str">
        <f>VLOOKUP(F276,[1]characters!$A:$J,10,FALSE)</f>
        <v>PremiumSSS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62">
        <v>1</v>
      </c>
      <c r="N276" s="58">
        <f>VLOOKUP(D276,gacha_144_base!A:B,2,FALSE)</f>
        <v>664</v>
      </c>
      <c r="O276" s="25">
        <v>0</v>
      </c>
      <c r="P276" s="19">
        <v>0</v>
      </c>
      <c r="Q276" s="25">
        <v>0</v>
      </c>
      <c r="R276" s="25">
        <v>0</v>
      </c>
      <c r="S276" s="25">
        <v>1</v>
      </c>
    </row>
    <row r="277" spans="1:19" ht="21" customHeight="1">
      <c r="A277" s="7" t="str">
        <f t="shared" si="19"/>
        <v>145379</v>
      </c>
      <c r="B277" s="2">
        <f t="shared" si="18"/>
        <v>145</v>
      </c>
      <c r="C277" s="8" t="str">
        <f t="shared" si="20"/>
        <v>0PremiumSSS5</v>
      </c>
      <c r="D277" s="8" t="str">
        <f t="shared" si="17"/>
        <v>0PremiumSSS5</v>
      </c>
      <c r="E277" s="60">
        <v>0</v>
      </c>
      <c r="F277" s="55">
        <v>379</v>
      </c>
      <c r="G277" s="8" t="str">
        <f>VLOOKUP(F277,[1]characters!$A:$C,3,FALSE)</f>
        <v>幾何の機刃 オイラー</v>
      </c>
      <c r="H277" s="8" t="str">
        <f>VLOOKUP(F277,[1]characters!$A:$J,10,FALSE)</f>
        <v>PremiumSSS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54">
        <v>1</v>
      </c>
      <c r="N277" s="58">
        <f>VLOOKUP(D277,gacha_144_base!A:B,2,FALSE)</f>
        <v>166</v>
      </c>
      <c r="O277" s="19">
        <v>0</v>
      </c>
      <c r="P277" s="19">
        <v>0</v>
      </c>
      <c r="Q277" s="19">
        <v>0</v>
      </c>
      <c r="R277" s="19">
        <v>0</v>
      </c>
      <c r="S277" s="19">
        <v>1</v>
      </c>
    </row>
  </sheetData>
  <autoFilter ref="B1:M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23" sqref="G23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B2" s="2"/>
      <c r="C2" s="8"/>
      <c r="D2" s="8"/>
      <c r="E2" s="18"/>
      <c r="F2" s="12"/>
      <c r="G2" s="12"/>
      <c r="H2" s="12"/>
      <c r="I2" s="12"/>
      <c r="J2" s="12"/>
      <c r="K2" s="12"/>
      <c r="L2" s="13"/>
      <c r="M2" s="28"/>
      <c r="N2" s="10"/>
      <c r="O2" s="10"/>
      <c r="P2" s="10"/>
      <c r="Q2" s="10"/>
      <c r="R2" s="10"/>
    </row>
    <row r="3" spans="1:18" ht="21" customHeight="1">
      <c r="B3" s="2"/>
      <c r="C3" s="8"/>
      <c r="D3" s="8"/>
      <c r="E3" s="18"/>
      <c r="F3" s="8"/>
      <c r="G3" s="8"/>
      <c r="H3" s="8"/>
      <c r="I3" s="8"/>
      <c r="J3" s="8"/>
      <c r="K3" s="8"/>
      <c r="L3" s="5"/>
      <c r="M3" s="28"/>
      <c r="N3" s="19"/>
      <c r="O3" s="19"/>
      <c r="P3" s="19"/>
      <c r="Q3" s="19"/>
      <c r="R3" s="19"/>
    </row>
    <row r="4" spans="1:18" ht="21" customHeight="1">
      <c r="B4" s="2"/>
      <c r="C4" s="8"/>
      <c r="D4" s="8"/>
      <c r="E4" s="18"/>
      <c r="F4" s="8"/>
      <c r="G4" s="8"/>
      <c r="H4" s="8"/>
      <c r="I4" s="8"/>
      <c r="J4" s="8"/>
      <c r="K4" s="8"/>
      <c r="L4" s="5"/>
      <c r="M4" s="28"/>
      <c r="N4" s="19"/>
      <c r="O4" s="19"/>
      <c r="P4" s="19"/>
      <c r="Q4" s="19"/>
      <c r="R4" s="19"/>
    </row>
    <row r="5" spans="1:18" ht="21" customHeight="1">
      <c r="B5" s="2"/>
      <c r="C5" s="8"/>
      <c r="D5" s="8"/>
      <c r="E5" s="18"/>
      <c r="F5" s="8"/>
      <c r="G5" s="8"/>
      <c r="H5" s="8"/>
      <c r="I5" s="8"/>
      <c r="J5" s="8"/>
      <c r="K5" s="8"/>
      <c r="L5" s="5"/>
      <c r="M5" s="28"/>
      <c r="N5" s="19"/>
      <c r="O5" s="19"/>
      <c r="P5" s="19"/>
      <c r="Q5" s="19"/>
      <c r="R5" s="19"/>
    </row>
    <row r="6" spans="1:18" ht="21" customHeight="1">
      <c r="B6" s="2"/>
      <c r="C6" s="8"/>
      <c r="D6" s="8"/>
      <c r="E6" s="18"/>
      <c r="F6" s="8"/>
      <c r="G6" s="8"/>
      <c r="H6" s="8"/>
      <c r="I6" s="8"/>
      <c r="J6" s="8"/>
      <c r="K6" s="8"/>
      <c r="L6" s="5"/>
      <c r="M6" s="28"/>
      <c r="N6" s="19"/>
      <c r="O6" s="19"/>
      <c r="P6" s="19"/>
      <c r="Q6" s="19"/>
      <c r="R6" s="19"/>
    </row>
    <row r="7" spans="1:18" ht="21" customHeight="1">
      <c r="B7" s="2"/>
      <c r="C7" s="8"/>
      <c r="D7" s="8"/>
      <c r="E7" s="18"/>
      <c r="F7" s="8"/>
      <c r="G7" s="8"/>
      <c r="H7" s="8"/>
      <c r="I7" s="8"/>
      <c r="J7" s="8"/>
      <c r="K7" s="8"/>
      <c r="L7" s="5"/>
      <c r="M7" s="28"/>
      <c r="N7" s="19"/>
      <c r="O7" s="19"/>
      <c r="P7" s="19"/>
      <c r="Q7" s="19"/>
      <c r="R7" s="19"/>
    </row>
    <row r="8" spans="1:18" ht="21" customHeight="1">
      <c r="B8" s="2"/>
      <c r="C8" s="8"/>
      <c r="D8" s="8"/>
      <c r="E8" s="21"/>
      <c r="F8" s="24"/>
      <c r="G8" s="24"/>
      <c r="H8" s="24"/>
      <c r="I8" s="24"/>
      <c r="J8" s="24"/>
      <c r="K8" s="24"/>
      <c r="L8" s="22"/>
      <c r="M8" s="28"/>
      <c r="N8" s="25"/>
      <c r="O8" s="25"/>
      <c r="P8" s="25"/>
      <c r="Q8" s="25"/>
      <c r="R8" s="25"/>
    </row>
    <row r="9" spans="1:18" ht="21" customHeight="1">
      <c r="B9" s="2"/>
      <c r="C9" s="8"/>
      <c r="D9" s="8"/>
      <c r="E9" s="6"/>
      <c r="F9" s="8"/>
      <c r="G9" s="8"/>
      <c r="H9" s="8"/>
      <c r="I9" s="8"/>
      <c r="J9" s="8"/>
      <c r="K9" s="8"/>
      <c r="L9" s="5"/>
      <c r="M9" s="28"/>
      <c r="N9" s="19"/>
      <c r="O9" s="19"/>
      <c r="P9" s="19"/>
      <c r="Q9" s="19"/>
      <c r="R9" s="19"/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D4" sqref="D4"/>
    </sheetView>
  </sheetViews>
  <sheetFormatPr baseColWidth="12" defaultRowHeight="21" customHeight="1" outlineLevelCol="1" x14ac:dyDescent="0"/>
  <cols>
    <col min="1" max="1" width="12.7109375" style="33"/>
    <col min="2" max="2" width="14.7109375" style="1" bestFit="1" customWidth="1"/>
    <col min="3" max="3" width="14.140625" style="1" bestFit="1" customWidth="1"/>
    <col min="4" max="6" width="14.140625" style="1" customWidth="1" outlineLevel="1"/>
    <col min="7" max="8" width="8.7109375" style="1" bestFit="1" customWidth="1"/>
    <col min="9" max="10" width="12.7109375" style="1"/>
    <col min="11" max="11" width="18.85546875" style="1" bestFit="1" customWidth="1"/>
    <col min="12" max="16384" width="12.7109375" style="1"/>
  </cols>
  <sheetData>
    <row r="1" spans="1:11" ht="21" customHeight="1">
      <c r="A1" s="7" t="s">
        <v>10</v>
      </c>
      <c r="B1" s="29" t="s">
        <v>22</v>
      </c>
      <c r="C1" s="32" t="s">
        <v>25</v>
      </c>
      <c r="D1" s="34" t="s">
        <v>27</v>
      </c>
      <c r="E1" s="34" t="s">
        <v>28</v>
      </c>
      <c r="F1" s="34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/>
      <c r="B2" s="2"/>
      <c r="C2" s="10"/>
      <c r="D2" s="35"/>
      <c r="E2" s="35"/>
      <c r="F2" s="35"/>
      <c r="G2" s="31"/>
      <c r="H2" s="31"/>
      <c r="I2" s="31"/>
      <c r="J2" s="31"/>
      <c r="K2" s="31"/>
    </row>
    <row r="3" spans="1:11" ht="21" customHeight="1">
      <c r="A3" s="7"/>
      <c r="B3" s="2"/>
      <c r="C3" s="10"/>
      <c r="D3" s="35"/>
      <c r="E3" s="35"/>
      <c r="F3" s="35"/>
      <c r="G3" s="31"/>
      <c r="H3" s="31"/>
      <c r="I3" s="31"/>
      <c r="J3" s="31"/>
      <c r="K3" s="31"/>
    </row>
    <row r="4" spans="1:11" ht="21" customHeight="1">
      <c r="A4" s="7"/>
      <c r="B4" s="2"/>
      <c r="C4" s="10"/>
      <c r="D4" s="35"/>
      <c r="E4" s="35"/>
      <c r="F4" s="35"/>
      <c r="G4" s="31"/>
      <c r="H4" s="31"/>
      <c r="I4" s="31"/>
      <c r="J4" s="31"/>
      <c r="K4" s="31"/>
    </row>
    <row r="5" spans="1:11" ht="21" customHeight="1">
      <c r="A5" s="7"/>
      <c r="B5" s="2"/>
      <c r="C5" s="10"/>
      <c r="D5" s="35"/>
      <c r="E5" s="35"/>
      <c r="F5" s="35"/>
      <c r="G5" s="31"/>
      <c r="H5" s="31"/>
      <c r="I5" s="31"/>
      <c r="J5" s="31"/>
      <c r="K5" s="31"/>
    </row>
    <row r="6" spans="1:11" ht="21" customHeight="1">
      <c r="A6" s="7"/>
      <c r="B6" s="2"/>
      <c r="C6" s="10"/>
      <c r="D6" s="35"/>
      <c r="E6" s="35"/>
      <c r="F6" s="35"/>
      <c r="G6" s="31"/>
      <c r="H6" s="31"/>
      <c r="I6" s="31"/>
      <c r="J6" s="31"/>
      <c r="K6" s="31"/>
    </row>
    <row r="7" spans="1:11" ht="21" customHeight="1">
      <c r="A7" s="7"/>
      <c r="B7" s="2"/>
      <c r="C7" s="10"/>
      <c r="D7" s="35"/>
      <c r="E7" s="35"/>
      <c r="F7" s="35"/>
      <c r="G7" s="31"/>
      <c r="H7" s="31"/>
      <c r="I7" s="31"/>
      <c r="J7" s="31"/>
      <c r="K7" s="31"/>
    </row>
    <row r="8" spans="1:11" ht="21" customHeight="1">
      <c r="A8" s="7"/>
      <c r="B8" s="2"/>
      <c r="C8" s="10"/>
      <c r="D8" s="35"/>
      <c r="E8" s="35"/>
      <c r="F8" s="35"/>
      <c r="G8" s="31"/>
      <c r="H8" s="31"/>
      <c r="I8" s="31"/>
      <c r="J8" s="31"/>
      <c r="K8" s="31"/>
    </row>
    <row r="9" spans="1:11" ht="21" customHeight="1">
      <c r="A9" s="7"/>
      <c r="B9" s="2"/>
      <c r="C9" s="10"/>
      <c r="D9" s="35"/>
      <c r="E9" s="35"/>
      <c r="F9" s="35"/>
      <c r="G9" s="31"/>
      <c r="H9" s="31"/>
      <c r="I9" s="31"/>
      <c r="J9" s="31"/>
      <c r="K9" s="31"/>
    </row>
    <row r="10" spans="1:11" ht="21" customHeight="1">
      <c r="A10" s="7"/>
      <c r="B10" s="2"/>
      <c r="C10" s="10"/>
      <c r="D10" s="35"/>
      <c r="E10" s="35"/>
      <c r="F10" s="35"/>
      <c r="G10" s="31"/>
      <c r="H10" s="31"/>
      <c r="I10" s="31"/>
      <c r="J10" s="31"/>
      <c r="K10" s="31"/>
    </row>
    <row r="11" spans="1:11" ht="21" customHeight="1">
      <c r="A11" s="7"/>
      <c r="B11" s="2"/>
      <c r="C11" s="10"/>
      <c r="D11" s="35"/>
      <c r="E11" s="35"/>
      <c r="F11" s="35"/>
      <c r="G11" s="31"/>
      <c r="H11" s="31"/>
      <c r="I11" s="31"/>
      <c r="J11" s="31"/>
      <c r="K11" s="31"/>
    </row>
  </sheetData>
  <autoFilter ref="B1:G10"/>
  <phoneticPr fontId="11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gacha_144_base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2015-10-26T12:35:12Z</dcterms:modified>
</cp:coreProperties>
</file>