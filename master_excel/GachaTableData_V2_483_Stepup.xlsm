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8"/>
  </bookViews>
  <sheets>
    <sheet name="確率の考え方" sheetId="110" r:id="rId1"/>
    <sheet name="Sheet1" sheetId="107" r:id="rId2"/>
    <sheet name="output" sheetId="103" r:id="rId3"/>
    <sheet name="input_483101" sheetId="157" r:id="rId4"/>
    <sheet name="tables_483101" sheetId="158" r:id="rId5"/>
    <sheet name="input_483100" sheetId="153" r:id="rId6"/>
    <sheet name="tables_483100" sheetId="154" r:id="rId7"/>
    <sheet name="tables_settle_483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6" hidden="1">tables_483100!$A$1:$V$294</definedName>
    <definedName name="_xlnm._FilterDatabase" localSheetId="4" hidden="1">tables_483101!$A$1:$V$294</definedName>
    <definedName name="_xlnm._FilterDatabase" localSheetId="7" hidden="1">tables_settle_483105!$A$1:$V$84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3" i="98" l="1"/>
  <c r="R4" i="98"/>
  <c r="R5" i="98"/>
  <c r="R6" i="98"/>
  <c r="R7" i="98"/>
  <c r="S2" i="98"/>
  <c r="R2" i="98"/>
  <c r="S3" i="98"/>
  <c r="S4" i="98"/>
  <c r="S5" i="98"/>
  <c r="S6" i="98"/>
  <c r="S7" i="98"/>
  <c r="T3" i="98"/>
  <c r="T4" i="98"/>
  <c r="T5" i="98"/>
  <c r="T6" i="98"/>
  <c r="T7" i="98"/>
  <c r="T2" i="98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4" i="159"/>
  <c r="D4" i="159"/>
  <c r="J4" i="159"/>
  <c r="E4" i="159"/>
  <c r="F4" i="159"/>
  <c r="C4" i="159"/>
  <c r="H4" i="159"/>
  <c r="K4" i="159"/>
  <c r="L4" i="159"/>
  <c r="M4" i="159"/>
  <c r="N4" i="159"/>
  <c r="P4" i="159"/>
  <c r="I5" i="159"/>
  <c r="D5" i="159"/>
  <c r="J5" i="159"/>
  <c r="E5" i="159"/>
  <c r="F5" i="159"/>
  <c r="C5" i="159"/>
  <c r="H5" i="159"/>
  <c r="K5" i="159"/>
  <c r="L5" i="159"/>
  <c r="M5" i="159"/>
  <c r="N5" i="159"/>
  <c r="P5" i="159"/>
  <c r="I3" i="159"/>
  <c r="D3" i="159"/>
  <c r="E3" i="159"/>
  <c r="F3" i="159"/>
  <c r="H3" i="159"/>
  <c r="J3" i="159"/>
  <c r="K3" i="159"/>
  <c r="L3" i="159"/>
  <c r="M3" i="159"/>
  <c r="N3" i="159"/>
  <c r="P3" i="159"/>
  <c r="I6" i="159"/>
  <c r="D6" i="159"/>
  <c r="E6" i="159"/>
  <c r="F6" i="159"/>
  <c r="H6" i="159"/>
  <c r="J6" i="159"/>
  <c r="K6" i="159"/>
  <c r="L6" i="159"/>
  <c r="M6" i="159"/>
  <c r="N6" i="159"/>
  <c r="P6" i="159"/>
  <c r="I7" i="159"/>
  <c r="D7" i="159"/>
  <c r="E7" i="159"/>
  <c r="F7" i="159"/>
  <c r="H7" i="159"/>
  <c r="J7" i="159"/>
  <c r="K7" i="159"/>
  <c r="L7" i="159"/>
  <c r="M7" i="159"/>
  <c r="N7" i="159"/>
  <c r="P7" i="159"/>
  <c r="I10" i="159"/>
  <c r="D10" i="159"/>
  <c r="E10" i="159"/>
  <c r="F10" i="159"/>
  <c r="H10" i="159"/>
  <c r="J10" i="159"/>
  <c r="K10" i="159"/>
  <c r="L10" i="159"/>
  <c r="M10" i="159"/>
  <c r="N10" i="159"/>
  <c r="P10" i="159"/>
  <c r="I11" i="159"/>
  <c r="D11" i="159"/>
  <c r="E11" i="159"/>
  <c r="F11" i="159"/>
  <c r="H11" i="159"/>
  <c r="J11" i="159"/>
  <c r="K11" i="159"/>
  <c r="L11" i="159"/>
  <c r="M11" i="159"/>
  <c r="N11" i="159"/>
  <c r="P11" i="159"/>
  <c r="I12" i="159"/>
  <c r="D12" i="159"/>
  <c r="E12" i="159"/>
  <c r="F12" i="159"/>
  <c r="H12" i="159"/>
  <c r="J12" i="159"/>
  <c r="K12" i="159"/>
  <c r="L12" i="159"/>
  <c r="M12" i="159"/>
  <c r="N12" i="159"/>
  <c r="P12" i="159"/>
  <c r="I13" i="159"/>
  <c r="D13" i="159"/>
  <c r="E13" i="159"/>
  <c r="F13" i="159"/>
  <c r="H13" i="159"/>
  <c r="J13" i="159"/>
  <c r="K13" i="159"/>
  <c r="L13" i="159"/>
  <c r="M13" i="159"/>
  <c r="N13" i="159"/>
  <c r="P13" i="159"/>
  <c r="I14" i="159"/>
  <c r="D14" i="159"/>
  <c r="E14" i="159"/>
  <c r="F14" i="159"/>
  <c r="H14" i="159"/>
  <c r="J14" i="159"/>
  <c r="K14" i="159"/>
  <c r="L14" i="159"/>
  <c r="M14" i="159"/>
  <c r="N14" i="159"/>
  <c r="P14" i="159"/>
  <c r="I15" i="159"/>
  <c r="D15" i="159"/>
  <c r="E15" i="159"/>
  <c r="F15" i="159"/>
  <c r="H15" i="159"/>
  <c r="J15" i="159"/>
  <c r="K15" i="159"/>
  <c r="L15" i="159"/>
  <c r="M15" i="159"/>
  <c r="N15" i="159"/>
  <c r="P15" i="159"/>
  <c r="I16" i="159"/>
  <c r="D16" i="159"/>
  <c r="E16" i="159"/>
  <c r="F16" i="159"/>
  <c r="H16" i="159"/>
  <c r="J16" i="159"/>
  <c r="K16" i="159"/>
  <c r="L16" i="159"/>
  <c r="M16" i="159"/>
  <c r="N16" i="159"/>
  <c r="P16" i="159"/>
  <c r="I17" i="159"/>
  <c r="D17" i="159"/>
  <c r="E17" i="159"/>
  <c r="F17" i="159"/>
  <c r="H17" i="159"/>
  <c r="J17" i="159"/>
  <c r="K17" i="159"/>
  <c r="L17" i="159"/>
  <c r="M17" i="159"/>
  <c r="N17" i="159"/>
  <c r="P17" i="159"/>
  <c r="I18" i="159"/>
  <c r="D18" i="159"/>
  <c r="E18" i="159"/>
  <c r="F18" i="159"/>
  <c r="H18" i="159"/>
  <c r="J18" i="159"/>
  <c r="K18" i="159"/>
  <c r="L18" i="159"/>
  <c r="M18" i="159"/>
  <c r="N18" i="159"/>
  <c r="P18" i="159"/>
  <c r="I19" i="159"/>
  <c r="D19" i="159"/>
  <c r="E19" i="159"/>
  <c r="F19" i="159"/>
  <c r="H19" i="159"/>
  <c r="J19" i="159"/>
  <c r="K19" i="159"/>
  <c r="L19" i="159"/>
  <c r="M19" i="159"/>
  <c r="N19" i="159"/>
  <c r="P19" i="159"/>
  <c r="I20" i="159"/>
  <c r="D20" i="159"/>
  <c r="E20" i="159"/>
  <c r="F20" i="159"/>
  <c r="H20" i="159"/>
  <c r="J20" i="159"/>
  <c r="K20" i="159"/>
  <c r="L20" i="159"/>
  <c r="M20" i="159"/>
  <c r="N20" i="159"/>
  <c r="P20" i="159"/>
  <c r="I21" i="159"/>
  <c r="D21" i="159"/>
  <c r="E21" i="159"/>
  <c r="F21" i="159"/>
  <c r="H21" i="159"/>
  <c r="J21" i="159"/>
  <c r="K21" i="159"/>
  <c r="L21" i="159"/>
  <c r="M21" i="159"/>
  <c r="N21" i="159"/>
  <c r="P21" i="159"/>
  <c r="I22" i="159"/>
  <c r="D22" i="159"/>
  <c r="E22" i="159"/>
  <c r="F22" i="159"/>
  <c r="H22" i="159"/>
  <c r="J22" i="159"/>
  <c r="K22" i="159"/>
  <c r="L22" i="159"/>
  <c r="M22" i="159"/>
  <c r="N22" i="159"/>
  <c r="P22" i="159"/>
  <c r="I23" i="159"/>
  <c r="D23" i="159"/>
  <c r="E23" i="159"/>
  <c r="F23" i="159"/>
  <c r="H23" i="159"/>
  <c r="J23" i="159"/>
  <c r="K23" i="159"/>
  <c r="L23" i="159"/>
  <c r="M23" i="159"/>
  <c r="N23" i="159"/>
  <c r="P23" i="159"/>
  <c r="I24" i="159"/>
  <c r="D24" i="159"/>
  <c r="E24" i="159"/>
  <c r="F24" i="159"/>
  <c r="H24" i="159"/>
  <c r="J24" i="159"/>
  <c r="K24" i="159"/>
  <c r="L24" i="159"/>
  <c r="M24" i="159"/>
  <c r="N24" i="159"/>
  <c r="P24" i="159"/>
  <c r="I25" i="159"/>
  <c r="D25" i="159"/>
  <c r="E25" i="159"/>
  <c r="F25" i="159"/>
  <c r="H25" i="159"/>
  <c r="J25" i="159"/>
  <c r="K25" i="159"/>
  <c r="L25" i="159"/>
  <c r="M25" i="159"/>
  <c r="N25" i="159"/>
  <c r="P25" i="159"/>
  <c r="I26" i="159"/>
  <c r="D26" i="159"/>
  <c r="E26" i="159"/>
  <c r="F26" i="159"/>
  <c r="H26" i="159"/>
  <c r="J26" i="159"/>
  <c r="K26" i="159"/>
  <c r="L26" i="159"/>
  <c r="M26" i="159"/>
  <c r="N26" i="159"/>
  <c r="P26" i="159"/>
  <c r="I27" i="159"/>
  <c r="D27" i="159"/>
  <c r="E27" i="159"/>
  <c r="F27" i="159"/>
  <c r="H27" i="159"/>
  <c r="J27" i="159"/>
  <c r="K27" i="159"/>
  <c r="L27" i="159"/>
  <c r="M27" i="159"/>
  <c r="N27" i="159"/>
  <c r="P27" i="159"/>
  <c r="I28" i="159"/>
  <c r="D28" i="159"/>
  <c r="E28" i="159"/>
  <c r="F28" i="159"/>
  <c r="H28" i="159"/>
  <c r="J28" i="159"/>
  <c r="K28" i="159"/>
  <c r="L28" i="159"/>
  <c r="M28" i="159"/>
  <c r="N28" i="159"/>
  <c r="P28" i="159"/>
  <c r="I29" i="159"/>
  <c r="D29" i="159"/>
  <c r="E29" i="159"/>
  <c r="F29" i="159"/>
  <c r="H29" i="159"/>
  <c r="J29" i="159"/>
  <c r="K29" i="159"/>
  <c r="L29" i="159"/>
  <c r="M29" i="159"/>
  <c r="N29" i="159"/>
  <c r="P29" i="159"/>
  <c r="I30" i="159"/>
  <c r="D30" i="159"/>
  <c r="E30" i="159"/>
  <c r="F30" i="159"/>
  <c r="H30" i="159"/>
  <c r="J30" i="159"/>
  <c r="K30" i="159"/>
  <c r="L30" i="159"/>
  <c r="M30" i="159"/>
  <c r="N30" i="159"/>
  <c r="P30" i="159"/>
  <c r="I31" i="159"/>
  <c r="D31" i="159"/>
  <c r="E31" i="159"/>
  <c r="F31" i="159"/>
  <c r="H31" i="159"/>
  <c r="J31" i="159"/>
  <c r="K31" i="159"/>
  <c r="L31" i="159"/>
  <c r="M31" i="159"/>
  <c r="N31" i="159"/>
  <c r="P31" i="159"/>
  <c r="I32" i="159"/>
  <c r="D32" i="159"/>
  <c r="E32" i="159"/>
  <c r="F32" i="159"/>
  <c r="H32" i="159"/>
  <c r="J32" i="159"/>
  <c r="K32" i="159"/>
  <c r="L32" i="159"/>
  <c r="M32" i="159"/>
  <c r="N32" i="159"/>
  <c r="P32" i="159"/>
  <c r="I33" i="159"/>
  <c r="D33" i="159"/>
  <c r="E33" i="159"/>
  <c r="F33" i="159"/>
  <c r="H33" i="159"/>
  <c r="J33" i="159"/>
  <c r="K33" i="159"/>
  <c r="L33" i="159"/>
  <c r="M33" i="159"/>
  <c r="N33" i="159"/>
  <c r="P33" i="159"/>
  <c r="I34" i="159"/>
  <c r="D34" i="159"/>
  <c r="E34" i="159"/>
  <c r="F34" i="159"/>
  <c r="H34" i="159"/>
  <c r="J34" i="159"/>
  <c r="K34" i="159"/>
  <c r="L34" i="159"/>
  <c r="M34" i="159"/>
  <c r="N34" i="159"/>
  <c r="P34" i="159"/>
  <c r="I35" i="159"/>
  <c r="D35" i="159"/>
  <c r="E35" i="159"/>
  <c r="F35" i="159"/>
  <c r="H35" i="159"/>
  <c r="J35" i="159"/>
  <c r="K35" i="159"/>
  <c r="L35" i="159"/>
  <c r="M35" i="159"/>
  <c r="N35" i="159"/>
  <c r="P35" i="159"/>
  <c r="I36" i="159"/>
  <c r="D36" i="159"/>
  <c r="E36" i="159"/>
  <c r="F36" i="159"/>
  <c r="H36" i="159"/>
  <c r="J36" i="159"/>
  <c r="K36" i="159"/>
  <c r="L36" i="159"/>
  <c r="M36" i="159"/>
  <c r="N36" i="159"/>
  <c r="P36" i="159"/>
  <c r="I37" i="159"/>
  <c r="D37" i="159"/>
  <c r="E37" i="159"/>
  <c r="F37" i="159"/>
  <c r="H37" i="159"/>
  <c r="J37" i="159"/>
  <c r="K37" i="159"/>
  <c r="L37" i="159"/>
  <c r="M37" i="159"/>
  <c r="N37" i="159"/>
  <c r="P37" i="159"/>
  <c r="I38" i="159"/>
  <c r="D38" i="159"/>
  <c r="E38" i="159"/>
  <c r="F38" i="159"/>
  <c r="H38" i="159"/>
  <c r="J38" i="159"/>
  <c r="K38" i="159"/>
  <c r="L38" i="159"/>
  <c r="M38" i="159"/>
  <c r="N38" i="159"/>
  <c r="P38" i="159"/>
  <c r="I39" i="159"/>
  <c r="D39" i="159"/>
  <c r="E39" i="159"/>
  <c r="F39" i="159"/>
  <c r="H39" i="159"/>
  <c r="J39" i="159"/>
  <c r="K39" i="159"/>
  <c r="L39" i="159"/>
  <c r="M39" i="159"/>
  <c r="N39" i="159"/>
  <c r="P39" i="159"/>
  <c r="I40" i="159"/>
  <c r="D40" i="159"/>
  <c r="E40" i="159"/>
  <c r="F40" i="159"/>
  <c r="H40" i="159"/>
  <c r="J40" i="159"/>
  <c r="K40" i="159"/>
  <c r="L40" i="159"/>
  <c r="M40" i="159"/>
  <c r="N40" i="159"/>
  <c r="P40" i="159"/>
  <c r="I41" i="159"/>
  <c r="D41" i="159"/>
  <c r="E41" i="159"/>
  <c r="F41" i="159"/>
  <c r="H41" i="159"/>
  <c r="J41" i="159"/>
  <c r="K41" i="159"/>
  <c r="L41" i="159"/>
  <c r="M41" i="159"/>
  <c r="N41" i="159"/>
  <c r="P41" i="159"/>
  <c r="I42" i="159"/>
  <c r="D42" i="159"/>
  <c r="E42" i="159"/>
  <c r="F42" i="159"/>
  <c r="H42" i="159"/>
  <c r="J42" i="159"/>
  <c r="K42" i="159"/>
  <c r="L42" i="159"/>
  <c r="M42" i="159"/>
  <c r="N42" i="159"/>
  <c r="P42" i="159"/>
  <c r="I43" i="159"/>
  <c r="D43" i="159"/>
  <c r="E43" i="159"/>
  <c r="F43" i="159"/>
  <c r="H43" i="159"/>
  <c r="J43" i="159"/>
  <c r="K43" i="159"/>
  <c r="L43" i="159"/>
  <c r="M43" i="159"/>
  <c r="N43" i="159"/>
  <c r="P43" i="159"/>
  <c r="I44" i="159"/>
  <c r="D44" i="159"/>
  <c r="E44" i="159"/>
  <c r="F44" i="159"/>
  <c r="H44" i="159"/>
  <c r="J44" i="159"/>
  <c r="K44" i="159"/>
  <c r="L44" i="159"/>
  <c r="M44" i="159"/>
  <c r="N44" i="159"/>
  <c r="P44" i="159"/>
  <c r="I45" i="159"/>
  <c r="D45" i="159"/>
  <c r="E45" i="159"/>
  <c r="F45" i="159"/>
  <c r="H45" i="159"/>
  <c r="J45" i="159"/>
  <c r="K45" i="159"/>
  <c r="L45" i="159"/>
  <c r="M45" i="159"/>
  <c r="N45" i="159"/>
  <c r="P45" i="159"/>
  <c r="I46" i="159"/>
  <c r="D46" i="159"/>
  <c r="E46" i="159"/>
  <c r="F46" i="159"/>
  <c r="H46" i="159"/>
  <c r="J46" i="159"/>
  <c r="K46" i="159"/>
  <c r="L46" i="159"/>
  <c r="M46" i="159"/>
  <c r="N46" i="159"/>
  <c r="P46" i="159"/>
  <c r="I47" i="159"/>
  <c r="D47" i="159"/>
  <c r="E47" i="159"/>
  <c r="F47" i="159"/>
  <c r="H47" i="159"/>
  <c r="J47" i="159"/>
  <c r="K47" i="159"/>
  <c r="L47" i="159"/>
  <c r="M47" i="159"/>
  <c r="N47" i="159"/>
  <c r="P47" i="159"/>
  <c r="I48" i="159"/>
  <c r="D48" i="159"/>
  <c r="E48" i="159"/>
  <c r="F48" i="159"/>
  <c r="H48" i="159"/>
  <c r="J48" i="159"/>
  <c r="K48" i="159"/>
  <c r="L48" i="159"/>
  <c r="M48" i="159"/>
  <c r="N48" i="159"/>
  <c r="P48" i="159"/>
  <c r="I49" i="159"/>
  <c r="D49" i="159"/>
  <c r="E49" i="159"/>
  <c r="F49" i="159"/>
  <c r="H49" i="159"/>
  <c r="J49" i="159"/>
  <c r="K49" i="159"/>
  <c r="L49" i="159"/>
  <c r="M49" i="159"/>
  <c r="N49" i="159"/>
  <c r="P49" i="159"/>
  <c r="I50" i="159"/>
  <c r="D50" i="159"/>
  <c r="E50" i="159"/>
  <c r="F50" i="159"/>
  <c r="H50" i="159"/>
  <c r="J50" i="159"/>
  <c r="K50" i="159"/>
  <c r="L50" i="159"/>
  <c r="M50" i="159"/>
  <c r="N50" i="159"/>
  <c r="P50" i="159"/>
  <c r="I51" i="159"/>
  <c r="D51" i="159"/>
  <c r="E51" i="159"/>
  <c r="F51" i="159"/>
  <c r="H51" i="159"/>
  <c r="J51" i="159"/>
  <c r="K51" i="159"/>
  <c r="L51" i="159"/>
  <c r="M51" i="159"/>
  <c r="N51" i="159"/>
  <c r="P51" i="159"/>
  <c r="I52" i="159"/>
  <c r="D52" i="159"/>
  <c r="E52" i="159"/>
  <c r="F52" i="159"/>
  <c r="H52" i="159"/>
  <c r="J52" i="159"/>
  <c r="K52" i="159"/>
  <c r="L52" i="159"/>
  <c r="M52" i="159"/>
  <c r="N52" i="159"/>
  <c r="P52" i="159"/>
  <c r="I53" i="159"/>
  <c r="D53" i="159"/>
  <c r="E53" i="159"/>
  <c r="F53" i="159"/>
  <c r="H53" i="159"/>
  <c r="J53" i="159"/>
  <c r="K53" i="159"/>
  <c r="L53" i="159"/>
  <c r="M53" i="159"/>
  <c r="N53" i="159"/>
  <c r="P53" i="159"/>
  <c r="I54" i="159"/>
  <c r="D54" i="159"/>
  <c r="E54" i="159"/>
  <c r="F54" i="159"/>
  <c r="H54" i="159"/>
  <c r="J54" i="159"/>
  <c r="K54" i="159"/>
  <c r="L54" i="159"/>
  <c r="M54" i="159"/>
  <c r="N54" i="159"/>
  <c r="P54" i="159"/>
  <c r="I55" i="159"/>
  <c r="D55" i="159"/>
  <c r="E55" i="159"/>
  <c r="F55" i="159"/>
  <c r="H55" i="159"/>
  <c r="J55" i="159"/>
  <c r="K55" i="159"/>
  <c r="L55" i="159"/>
  <c r="M55" i="159"/>
  <c r="N55" i="159"/>
  <c r="P55" i="159"/>
  <c r="I56" i="159"/>
  <c r="D56" i="159"/>
  <c r="E56" i="159"/>
  <c r="F56" i="159"/>
  <c r="H56" i="159"/>
  <c r="J56" i="159"/>
  <c r="K56" i="159"/>
  <c r="L56" i="159"/>
  <c r="M56" i="159"/>
  <c r="N56" i="159"/>
  <c r="P56" i="159"/>
  <c r="I57" i="159"/>
  <c r="D57" i="159"/>
  <c r="E57" i="159"/>
  <c r="F57" i="159"/>
  <c r="H57" i="159"/>
  <c r="J57" i="159"/>
  <c r="K57" i="159"/>
  <c r="L57" i="159"/>
  <c r="M57" i="159"/>
  <c r="N57" i="159"/>
  <c r="P57" i="159"/>
  <c r="I58" i="159"/>
  <c r="D58" i="159"/>
  <c r="E58" i="159"/>
  <c r="F58" i="159"/>
  <c r="H58" i="159"/>
  <c r="J58" i="159"/>
  <c r="K58" i="159"/>
  <c r="L58" i="159"/>
  <c r="M58" i="159"/>
  <c r="N58" i="159"/>
  <c r="P58" i="159"/>
  <c r="I59" i="159"/>
  <c r="D59" i="159"/>
  <c r="E59" i="159"/>
  <c r="F59" i="159"/>
  <c r="H59" i="159"/>
  <c r="J59" i="159"/>
  <c r="K59" i="159"/>
  <c r="L59" i="159"/>
  <c r="M59" i="159"/>
  <c r="N59" i="159"/>
  <c r="P59" i="159"/>
  <c r="I60" i="159"/>
  <c r="D60" i="159"/>
  <c r="E60" i="159"/>
  <c r="F60" i="159"/>
  <c r="H60" i="159"/>
  <c r="J60" i="159"/>
  <c r="K60" i="159"/>
  <c r="L60" i="159"/>
  <c r="M60" i="159"/>
  <c r="N60" i="159"/>
  <c r="P60" i="159"/>
  <c r="I61" i="159"/>
  <c r="D61" i="159"/>
  <c r="E61" i="159"/>
  <c r="F61" i="159"/>
  <c r="H61" i="159"/>
  <c r="J61" i="159"/>
  <c r="K61" i="159"/>
  <c r="L61" i="159"/>
  <c r="M61" i="159"/>
  <c r="N61" i="159"/>
  <c r="P61" i="159"/>
  <c r="I62" i="159"/>
  <c r="D62" i="159"/>
  <c r="E62" i="159"/>
  <c r="F62" i="159"/>
  <c r="H62" i="159"/>
  <c r="J62" i="159"/>
  <c r="K62" i="159"/>
  <c r="L62" i="159"/>
  <c r="M62" i="159"/>
  <c r="N62" i="159"/>
  <c r="P62" i="159"/>
  <c r="I63" i="159"/>
  <c r="D63" i="159"/>
  <c r="E63" i="159"/>
  <c r="F63" i="159"/>
  <c r="H63" i="159"/>
  <c r="J63" i="159"/>
  <c r="K63" i="159"/>
  <c r="L63" i="159"/>
  <c r="M63" i="159"/>
  <c r="N63" i="159"/>
  <c r="P63" i="159"/>
  <c r="I64" i="159"/>
  <c r="D64" i="159"/>
  <c r="E64" i="159"/>
  <c r="F64" i="159"/>
  <c r="H64" i="159"/>
  <c r="J64" i="159"/>
  <c r="K64" i="159"/>
  <c r="L64" i="159"/>
  <c r="M64" i="159"/>
  <c r="N64" i="159"/>
  <c r="P64" i="159"/>
  <c r="I65" i="159"/>
  <c r="D65" i="159"/>
  <c r="E65" i="159"/>
  <c r="F65" i="159"/>
  <c r="H65" i="159"/>
  <c r="J65" i="159"/>
  <c r="K65" i="159"/>
  <c r="L65" i="159"/>
  <c r="M65" i="159"/>
  <c r="N65" i="159"/>
  <c r="P65" i="159"/>
  <c r="I66" i="159"/>
  <c r="D66" i="159"/>
  <c r="E66" i="159"/>
  <c r="F66" i="159"/>
  <c r="H66" i="159"/>
  <c r="J66" i="159"/>
  <c r="K66" i="159"/>
  <c r="L66" i="159"/>
  <c r="M66" i="159"/>
  <c r="N66" i="159"/>
  <c r="P66" i="159"/>
  <c r="I67" i="159"/>
  <c r="D67" i="159"/>
  <c r="E67" i="159"/>
  <c r="F67" i="159"/>
  <c r="H67" i="159"/>
  <c r="J67" i="159"/>
  <c r="K67" i="159"/>
  <c r="L67" i="159"/>
  <c r="M67" i="159"/>
  <c r="N67" i="159"/>
  <c r="P67" i="159"/>
  <c r="I68" i="159"/>
  <c r="D68" i="159"/>
  <c r="E68" i="159"/>
  <c r="F68" i="159"/>
  <c r="H68" i="159"/>
  <c r="J68" i="159"/>
  <c r="K68" i="159"/>
  <c r="L68" i="159"/>
  <c r="M68" i="159"/>
  <c r="N68" i="159"/>
  <c r="P68" i="159"/>
  <c r="I69" i="159"/>
  <c r="D69" i="159"/>
  <c r="E69" i="159"/>
  <c r="F69" i="159"/>
  <c r="H69" i="159"/>
  <c r="J69" i="159"/>
  <c r="K69" i="159"/>
  <c r="L69" i="159"/>
  <c r="M69" i="159"/>
  <c r="N69" i="159"/>
  <c r="P69" i="159"/>
  <c r="I70" i="159"/>
  <c r="D70" i="159"/>
  <c r="E70" i="159"/>
  <c r="F70" i="159"/>
  <c r="H70" i="159"/>
  <c r="J70" i="159"/>
  <c r="K70" i="159"/>
  <c r="L70" i="159"/>
  <c r="M70" i="159"/>
  <c r="N70" i="159"/>
  <c r="P70" i="159"/>
  <c r="I71" i="159"/>
  <c r="D71" i="159"/>
  <c r="E71" i="159"/>
  <c r="F71" i="159"/>
  <c r="H71" i="159"/>
  <c r="J71" i="159"/>
  <c r="K71" i="159"/>
  <c r="L71" i="159"/>
  <c r="M71" i="159"/>
  <c r="N71" i="159"/>
  <c r="P71" i="159"/>
  <c r="I72" i="159"/>
  <c r="D72" i="159"/>
  <c r="E72" i="159"/>
  <c r="F72" i="159"/>
  <c r="H72" i="159"/>
  <c r="J72" i="159"/>
  <c r="K72" i="159"/>
  <c r="L72" i="159"/>
  <c r="M72" i="159"/>
  <c r="N72" i="159"/>
  <c r="P72" i="159"/>
  <c r="I73" i="159"/>
  <c r="D73" i="159"/>
  <c r="E73" i="159"/>
  <c r="F73" i="159"/>
  <c r="H73" i="159"/>
  <c r="J73" i="159"/>
  <c r="K73" i="159"/>
  <c r="L73" i="159"/>
  <c r="M73" i="159"/>
  <c r="N73" i="159"/>
  <c r="P73" i="159"/>
  <c r="I74" i="159"/>
  <c r="D74" i="159"/>
  <c r="E74" i="159"/>
  <c r="F74" i="159"/>
  <c r="H74" i="159"/>
  <c r="J74" i="159"/>
  <c r="K74" i="159"/>
  <c r="L74" i="159"/>
  <c r="M74" i="159"/>
  <c r="N74" i="159"/>
  <c r="P74" i="159"/>
  <c r="I75" i="159"/>
  <c r="D75" i="159"/>
  <c r="E75" i="159"/>
  <c r="F75" i="159"/>
  <c r="H75" i="159"/>
  <c r="J75" i="159"/>
  <c r="K75" i="159"/>
  <c r="L75" i="159"/>
  <c r="M75" i="159"/>
  <c r="N75" i="159"/>
  <c r="P75" i="159"/>
  <c r="I76" i="159"/>
  <c r="D76" i="159"/>
  <c r="E76" i="159"/>
  <c r="F76" i="159"/>
  <c r="H76" i="159"/>
  <c r="J76" i="159"/>
  <c r="K76" i="159"/>
  <c r="L76" i="159"/>
  <c r="M76" i="159"/>
  <c r="N76" i="159"/>
  <c r="P76" i="159"/>
  <c r="I77" i="159"/>
  <c r="D77" i="159"/>
  <c r="E77" i="159"/>
  <c r="F77" i="159"/>
  <c r="H77" i="159"/>
  <c r="J77" i="159"/>
  <c r="K77" i="159"/>
  <c r="L77" i="159"/>
  <c r="M77" i="159"/>
  <c r="N77" i="159"/>
  <c r="P77" i="159"/>
  <c r="I78" i="159"/>
  <c r="D78" i="159"/>
  <c r="E78" i="159"/>
  <c r="F78" i="159"/>
  <c r="H78" i="159"/>
  <c r="J78" i="159"/>
  <c r="K78" i="159"/>
  <c r="L78" i="159"/>
  <c r="M78" i="159"/>
  <c r="N78" i="159"/>
  <c r="P78" i="159"/>
  <c r="I79" i="159"/>
  <c r="D79" i="159"/>
  <c r="E79" i="159"/>
  <c r="F79" i="159"/>
  <c r="H79" i="159"/>
  <c r="J79" i="159"/>
  <c r="K79" i="159"/>
  <c r="L79" i="159"/>
  <c r="M79" i="159"/>
  <c r="N79" i="159"/>
  <c r="P79" i="159"/>
  <c r="I80" i="159"/>
  <c r="D80" i="159"/>
  <c r="E80" i="159"/>
  <c r="F80" i="159"/>
  <c r="H80" i="159"/>
  <c r="J80" i="159"/>
  <c r="K80" i="159"/>
  <c r="L80" i="159"/>
  <c r="M80" i="159"/>
  <c r="N80" i="159"/>
  <c r="P80" i="159"/>
  <c r="I81" i="159"/>
  <c r="D81" i="159"/>
  <c r="E81" i="159"/>
  <c r="F81" i="159"/>
  <c r="H81" i="159"/>
  <c r="J81" i="159"/>
  <c r="K81" i="159"/>
  <c r="L81" i="159"/>
  <c r="M81" i="159"/>
  <c r="N81" i="159"/>
  <c r="P81" i="159"/>
  <c r="I82" i="159"/>
  <c r="D82" i="159"/>
  <c r="E82" i="159"/>
  <c r="F82" i="159"/>
  <c r="H82" i="159"/>
  <c r="J82" i="159"/>
  <c r="K82" i="159"/>
  <c r="L82" i="159"/>
  <c r="M82" i="159"/>
  <c r="N82" i="159"/>
  <c r="P82" i="159"/>
  <c r="I83" i="159"/>
  <c r="D83" i="159"/>
  <c r="E83" i="159"/>
  <c r="F83" i="159"/>
  <c r="H83" i="159"/>
  <c r="J83" i="159"/>
  <c r="K83" i="159"/>
  <c r="L83" i="159"/>
  <c r="M83" i="159"/>
  <c r="N83" i="159"/>
  <c r="P83" i="159"/>
  <c r="I84" i="159"/>
  <c r="D84" i="159"/>
  <c r="E84" i="159"/>
  <c r="F84" i="159"/>
  <c r="H84" i="159"/>
  <c r="J84" i="159"/>
  <c r="K84" i="159"/>
  <c r="L84" i="159"/>
  <c r="M84" i="159"/>
  <c r="N84" i="159"/>
  <c r="P84" i="159"/>
  <c r="C6" i="159"/>
  <c r="C7" i="159"/>
  <c r="C10" i="159"/>
  <c r="C11" i="159"/>
  <c r="C12" i="159"/>
  <c r="C13" i="159"/>
  <c r="C14" i="159"/>
  <c r="C15" i="159"/>
  <c r="C16" i="159"/>
  <c r="C17" i="159"/>
  <c r="C18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C33" i="159"/>
  <c r="C34" i="159"/>
  <c r="C35" i="159"/>
  <c r="C36" i="159"/>
  <c r="C37" i="159"/>
  <c r="C38" i="159"/>
  <c r="C39" i="159"/>
  <c r="C40" i="159"/>
  <c r="C41" i="159"/>
  <c r="C42" i="159"/>
  <c r="C43" i="159"/>
  <c r="C44" i="159"/>
  <c r="C45" i="159"/>
  <c r="C46" i="159"/>
  <c r="C47" i="159"/>
  <c r="C48" i="159"/>
  <c r="C49" i="159"/>
  <c r="C50" i="159"/>
  <c r="C51" i="159"/>
  <c r="C52" i="159"/>
  <c r="C53" i="159"/>
  <c r="C54" i="159"/>
  <c r="C55" i="159"/>
  <c r="C56" i="159"/>
  <c r="C57" i="159"/>
  <c r="C58" i="159"/>
  <c r="C59" i="159"/>
  <c r="C60" i="159"/>
  <c r="C61" i="159"/>
  <c r="C62" i="159"/>
  <c r="C63" i="159"/>
  <c r="C64" i="159"/>
  <c r="C65" i="159"/>
  <c r="C66" i="159"/>
  <c r="C67" i="159"/>
  <c r="C68" i="159"/>
  <c r="C69" i="159"/>
  <c r="C70" i="159"/>
  <c r="C71" i="159"/>
  <c r="C72" i="159"/>
  <c r="C73" i="159"/>
  <c r="C74" i="159"/>
  <c r="C75" i="159"/>
  <c r="C76" i="159"/>
  <c r="C77" i="159"/>
  <c r="C78" i="159"/>
  <c r="C79" i="159"/>
  <c r="C80" i="159"/>
  <c r="C81" i="159"/>
  <c r="C82" i="159"/>
  <c r="C83" i="159"/>
  <c r="C84" i="159"/>
  <c r="A2" i="153"/>
  <c r="I2" i="159"/>
  <c r="D2" i="159"/>
  <c r="J2" i="159"/>
  <c r="E2" i="159"/>
  <c r="F2" i="159"/>
  <c r="C2" i="159"/>
  <c r="H2" i="159"/>
  <c r="K2" i="159"/>
  <c r="L2" i="159"/>
  <c r="M2" i="159"/>
  <c r="N2" i="159"/>
  <c r="P2" i="159"/>
  <c r="C3" i="159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F6" i="153"/>
  <c r="B10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F41" i="153"/>
  <c r="G41" i="153"/>
  <c r="F34" i="153"/>
  <c r="A2" i="157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F6" i="157"/>
  <c r="B10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8" i="157"/>
  <c r="E19" i="157"/>
  <c r="B19" i="157"/>
  <c r="E24" i="157"/>
  <c r="B24" i="157"/>
  <c r="B17" i="157"/>
  <c r="B18" i="157"/>
  <c r="F5" i="157"/>
  <c r="A36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E23" i="157"/>
  <c r="B23" i="157"/>
  <c r="E5" i="157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E22" i="157"/>
  <c r="B22" i="157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F41" i="157"/>
  <c r="G41" i="157"/>
  <c r="F34" i="157"/>
  <c r="R5" i="153"/>
  <c r="R6" i="153"/>
  <c r="R3" i="153"/>
  <c r="R4" i="153"/>
  <c r="R7" i="153"/>
  <c r="R8" i="153"/>
  <c r="F42" i="153"/>
  <c r="G42" i="153"/>
  <c r="R5" i="157"/>
  <c r="R6" i="157"/>
  <c r="R3" i="157"/>
  <c r="R4" i="157"/>
  <c r="R7" i="157"/>
  <c r="R8" i="157"/>
  <c r="F42" i="157"/>
  <c r="G42" i="157"/>
  <c r="H336" i="154"/>
  <c r="K336" i="154"/>
  <c r="L336" i="154"/>
  <c r="M336" i="154"/>
  <c r="N336" i="154"/>
  <c r="P336" i="154"/>
  <c r="H337" i="154"/>
  <c r="K337" i="154"/>
  <c r="L337" i="154"/>
  <c r="M337" i="154"/>
  <c r="N337" i="154"/>
  <c r="P337" i="154"/>
  <c r="H338" i="154"/>
  <c r="K338" i="154"/>
  <c r="L338" i="154"/>
  <c r="M338" i="154"/>
  <c r="N338" i="154"/>
  <c r="P338" i="154"/>
  <c r="H339" i="154"/>
  <c r="K339" i="154"/>
  <c r="L339" i="154"/>
  <c r="M339" i="154"/>
  <c r="N339" i="154"/>
  <c r="P339" i="154"/>
  <c r="H340" i="154"/>
  <c r="K340" i="154"/>
  <c r="L340" i="154"/>
  <c r="M340" i="154"/>
  <c r="N340" i="154"/>
  <c r="P340" i="154"/>
  <c r="A336" i="154"/>
  <c r="A337" i="154"/>
  <c r="A338" i="154"/>
  <c r="A339" i="154"/>
  <c r="A340" i="154"/>
  <c r="H336" i="158"/>
  <c r="K336" i="158"/>
  <c r="L336" i="158"/>
  <c r="M336" i="158"/>
  <c r="N336" i="158"/>
  <c r="P336" i="158"/>
  <c r="H337" i="158"/>
  <c r="K337" i="158"/>
  <c r="L337" i="158"/>
  <c r="M337" i="158"/>
  <c r="N337" i="158"/>
  <c r="P337" i="158"/>
  <c r="H338" i="158"/>
  <c r="K338" i="158"/>
  <c r="L338" i="158"/>
  <c r="M338" i="158"/>
  <c r="N338" i="158"/>
  <c r="P338" i="158"/>
  <c r="H339" i="158"/>
  <c r="K339" i="158"/>
  <c r="L339" i="158"/>
  <c r="M339" i="158"/>
  <c r="N339" i="158"/>
  <c r="P339" i="158"/>
  <c r="H340" i="158"/>
  <c r="K340" i="158"/>
  <c r="L340" i="158"/>
  <c r="M340" i="158"/>
  <c r="N340" i="158"/>
  <c r="P340" i="158"/>
  <c r="A336" i="158"/>
  <c r="A337" i="158"/>
  <c r="A338" i="158"/>
  <c r="A339" i="158"/>
  <c r="A340" i="158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F49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B30" i="153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F48" i="157"/>
  <c r="F49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9" i="153"/>
  <c r="R10" i="153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<sst xmlns="http://schemas.openxmlformats.org/spreadsheetml/2006/main" count="565" uniqueCount="272">
  <si>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</si>
  <si>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</si>
  <si>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</si>
  <si>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</si>
  <si>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</si>
  <si>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</si>
  <si>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</si>
  <si>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</si>
  <si>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</si>
  <si>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</si>
  <si>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</si>
  <si>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</si>
  <si>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</si>
  <si>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</si>
  <si>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</si>
  <si>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</si>
  <si>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</si>
  <si>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</si>
  <si>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</si>
  <si>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</si>
  <si>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</si>
  <si>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</si>
  <si>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</si>
  <si>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</si>
  <si>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</si>
  <si>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</si>
  <si>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</si>
  <si>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</si>
  <si>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</si>
  <si>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</si>
  <si>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</si>
  <si>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</si>
  <si>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</si>
  <si>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</si>
  <si>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</si>
  <si>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</si>
  <si>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</si>
  <si>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</si>
  <si>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</si>
  <si>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</si>
  <si>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</si>
  <si>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</si>
  <si>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</si>
  <si>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</si>
  <si>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</si>
  <si>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</si>
  <si>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</si>
  <si>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</si>
  <si>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</si>
  <si>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</si>
  <si>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</si>
  <si>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</si>
  <si>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</si>
  <si>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</si>
  <si>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</si>
  <si>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</si>
  <si>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</si>
  <si>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</si>
  <si>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</si>
  <si>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</si>
  <si>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</si>
  <si>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</si>
  <si>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</si>
  <si>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</si>
  <si>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</si>
  <si>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</si>
  <si>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</si>
  <si>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</si>
  <si>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</si>
  <si>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</si>
  <si>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</si>
  <si>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</si>
  <si>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</si>
  <si>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</si>
  <si>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</si>
  <si>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</si>
  <si>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</si>
  <si>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</si>
  <si>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</si>
  <si>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</si>
  <si>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</si>
  <si>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</si>
  <si>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</si>
  <si>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</si>
  <si>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</si>
  <si>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</si>
  <si>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</si>
  <si>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</si>
  <si>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</si>
  <si>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</si>
  <si>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</si>
  <si>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</si>
  <si>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</si>
  <si>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</si>
  <si>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</si>
  <si>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</si>
  <si>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</si>
  <si>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</si>
  <si>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</si>
  <si>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</si>
  <si>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</si>
  <si>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</si>
  <si>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</si>
  <si>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</si>
  <si>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</si>
  <si>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</si>
  <si>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</si>
  <si>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</si>
  <si>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</si>
  <si>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</si>
  <si>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</si>
  <si>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</si>
  <si>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</si>
  <si>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</si>
  <si>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</si>
  <si>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</si>
  <si>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</si>
  <si>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</si>
  <si>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</si>
  <si>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</si>
  <si>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</si>
  <si>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</si>
  <si>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</si>
  <si>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</si>
  <si>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</si>
  <si>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</si>
  <si>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</si>
  <si>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</si>
  <si>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</si>
  <si>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</si>
  <si>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</si>
  <si>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</si>
  <si>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</si>
  <si>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</si>
  <si>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</si>
  <si>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</si>
  <si>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</si>
  <si>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</si>
  <si>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</si>
  <si>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</si>
  <si>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</si>
  <si>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</si>
  <si>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</si>
  <si>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</si>
  <si>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</si>
  <si>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</si>
  <si>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</si>
  <si>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</si>
  <si>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</si>
  <si>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</si>
  <si>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</si>
  <si>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</si>
  <si>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</si>
  <si>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</si>
  <si>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</si>
  <si>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</si>
  <si>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</si>
  <si>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</si>
  <si>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</si>
  <si>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</si>
  <si>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</si>
  <si>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</si>
  <si>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</si>
  <si>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</si>
  <si>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</si>
  <si>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</si>
  <si>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</si>
  <si>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</si>
  <si>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</si>
  <si>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</si>
  <si>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</si>
  <si>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</si>
  <si>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</si>
  <si>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</si>
  <si>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</si>
  <si>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</si>
  <si>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</si>
  <si>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</si>
  <si>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</si>
  <si>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</si>
  <si>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</si>
  <si>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</si>
  <si>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</si>
  <si>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</si>
  <si>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</si>
  <si>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</si>
  <si>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</si>
  <si>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</si>
  <si>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</si>
  <si>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</si>
  <si>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</si>
  <si>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</si>
  <si>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</si>
  <si>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</si>
  <si>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</si>
  <si>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</si>
  <si>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</si>
  <si>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</si>
  <si>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</si>
  <si>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</si>
  <si>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</si>
  <si>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</si>
  <si>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</si>
  <si>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</si>
  <si>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</si>
  <si>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</si>
  <si>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</si>
  <si>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</si>
  <si>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</si>
  <si>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</si>
  <si>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</si>
  <si>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</si>
  <si>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</si>
  <si>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</si>
  <si>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</si>
  <si>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</si>
  <si>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</si>
  <si>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</si>
  <si>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</si>
  <si>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</si>
  <si>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</si>
  <si>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</si>
  <si>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</si>
  <si>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</si>
  <si>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</si>
  <si>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</si>
  <si>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</si>
  <si>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</si>
  <si>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</si>
  <si>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</si>
  <si>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</si>
  <si>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</si>
  <si>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</si>
  <si>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</si>
  <si>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</si>
  <si>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</si>
  <si>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</si>
  <si>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</si>
  <si>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</si>
  <si>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</si>
  <si>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</si>
  <si>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</si>
  <si>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</si>
  <si>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</si>
  <si>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</si>
  <si>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</si>
  <si>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</si>
  <si>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</si>
  <si>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</si>
  <si>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</si>
  <si>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</si>
  <si>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</si>
  <si>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unit</t>
  </si>
  <si>
    <t>ja</t>
  </si>
  <si>
    <t>確定ステップアップガチャ特典</t>
  </si>
  <si>
    <t>炎のメタルジェントル × 10</t>
  </si>
  <si>
    <t>STEP3特典として炎のメタルジェントルを10体プレゼント！</t>
  </si>
  <si>
    <t>森のメタルジェントル × 10</t>
  </si>
  <si>
    <t>STEP3特典として森のメタルジェントルを10体プレゼント！</t>
  </si>
  <si>
    <t>水のメタルジェントル × 10</t>
  </si>
  <si>
    <t>雷のメタルジェントル × 10</t>
  </si>
  <si>
    <t>STEP3特典として水のメタルジェントルを10体プレゼント！</t>
    <phoneticPr fontId="22"/>
  </si>
  <si>
    <t>STEP3特典として雷のメタルジェントルを10体プレゼント！</t>
    <phoneticPr fontId="22"/>
  </si>
  <si>
    <t>old</t>
    <phoneticPr fontId="22"/>
  </si>
  <si>
    <t>tables_483100</t>
  </si>
  <si>
    <t>tables_483101</t>
  </si>
  <si>
    <t>tables_settle_483105</t>
  </si>
  <si>
    <t>item</t>
    <phoneticPr fontId="22"/>
  </si>
  <si>
    <t>経験値キー × 3</t>
    <phoneticPr fontId="22"/>
  </si>
  <si>
    <t>STEP2特典として経験値キーを3本プレゼント！</t>
    <phoneticPr fontId="22"/>
  </si>
  <si>
    <t>リトルハンプティ × 1</t>
    <phoneticPr fontId="22"/>
  </si>
  <si>
    <t>STEP4特典としてリトルハンプティを1体プレゼント！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</si>
</sst>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5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4" borderId="1" xfId="2978" applyFont="1" applyFill="1" applyBorder="1"/>
    <xf numFmtId="0" fontId="27" fillId="0" borderId="1" xfId="2" applyFont="1" applyFill="1" applyBorder="1" applyAlignment="1">
      <alignment vertical="center"/>
    </xf>
    <xf numFmtId="184" fontId="27" fillId="4" borderId="1" xfId="3663" quotePrefix="1" applyNumberFormat="1" applyFont="1" applyFill="1" applyBorder="1" applyAlignment="1">
      <alignment vertical="center"/>
    </xf>
    <xf numFmtId="184" fontId="27" fillId="0" borderId="1" xfId="2" applyNumberFormat="1" applyFont="1" applyBorder="1" applyAlignment="1">
      <alignment vertical="center"/>
    </xf>
    <xf numFmtId="0" fontId="26" fillId="4" borderId="16" xfId="0" applyFont="1" applyFill="1" applyBorder="1" applyAlignment="1">
      <alignment horizontal="right" vertical="center"/>
    </xf>
    <xf numFmtId="0" fontId="27" fillId="0" borderId="0" xfId="2" applyFont="1" applyBorder="1" applyAlignment="1">
      <alignment vertical="center"/>
    </xf>
    <xf numFmtId="0" fontId="2" fillId="4" borderId="1" xfId="2978" applyFont="1" applyFill="1" applyBorder="1"/>
    <xf numFmtId="0" fontId="2" fillId="0" borderId="1" xfId="3036" applyFont="1" applyBorder="1"/>
    <xf numFmtId="0" fontId="27" fillId="2" borderId="0" xfId="2" applyFont="1" applyFill="1" applyBorder="1" applyAlignment="1">
      <alignment horizontal="left"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balance</v>
          </cell>
          <cell r="L1263" t="str">
            <v>バランスタイプ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balance</v>
          </cell>
          <cell r="L1264" t="str">
            <v>バランスタイプ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アウリ(元狛犬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アウリ(元狛犬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8077</v>
          </cell>
          <cell r="B1473" t="str">
            <v>ja</v>
          </cell>
          <cell r="C1473" t="str">
            <v>鄭成功</v>
          </cell>
          <cell r="D1473" t="str">
            <v>ポムポムプリン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blue</v>
          </cell>
          <cell r="I1473">
            <v>5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8078</v>
          </cell>
          <cell r="B1474" t="str">
            <v>ja</v>
          </cell>
          <cell r="C1474" t="str">
            <v>レア６鄭成功</v>
          </cell>
          <cell r="D1474" t="str">
            <v>ポムポムプリン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attack</v>
          </cell>
          <cell r="L1474" t="str">
            <v>攻撃タイプ</v>
          </cell>
          <cell r="M1474" t="str">
            <v>human</v>
          </cell>
        </row>
        <row r="1475">
          <cell r="A1475">
            <v>8079</v>
          </cell>
          <cell r="B1475" t="str">
            <v>ja</v>
          </cell>
          <cell r="C1475" t="str">
            <v>赤鬼</v>
          </cell>
          <cell r="D1475" t="str">
            <v>ポムポムプリン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red</v>
          </cell>
          <cell r="I1475">
            <v>5</v>
          </cell>
          <cell r="J1475" t="str">
            <v>DropWizS</v>
          </cell>
          <cell r="K1475" t="str">
            <v>hp</v>
          </cell>
          <cell r="L1475" t="str">
            <v>体力タイプ</v>
          </cell>
          <cell r="M1475" t="str">
            <v>dragon</v>
          </cell>
        </row>
        <row r="1476">
          <cell r="A1476">
            <v>8080</v>
          </cell>
          <cell r="B1476" t="str">
            <v>ja</v>
          </cell>
          <cell r="C1476" t="str">
            <v>レア６赤鬼</v>
          </cell>
          <cell r="D1476" t="str">
            <v>ポムポムプリン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hp</v>
          </cell>
          <cell r="L1476" t="str">
            <v>体力タイプ</v>
          </cell>
          <cell r="M1476" t="str">
            <v>dragon</v>
          </cell>
        </row>
        <row r="1477">
          <cell r="A1477">
            <v>8095</v>
          </cell>
          <cell r="B1477" t="str">
            <v>ja</v>
          </cell>
          <cell r="C1477" t="str">
            <v>バハムートダック赤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red</v>
          </cell>
          <cell r="I1477">
            <v>6</v>
          </cell>
          <cell r="J1477" t="str">
            <v>Material</v>
          </cell>
          <cell r="K1477" t="str">
            <v>exp</v>
          </cell>
          <cell r="L1477" t="str">
            <v>強化素材タイプ</v>
          </cell>
          <cell r="M1477" t="str">
            <v>unknown</v>
          </cell>
        </row>
        <row r="1478">
          <cell r="A1478">
            <v>8096</v>
          </cell>
          <cell r="B1478" t="str">
            <v>ja</v>
          </cell>
          <cell r="C1478" t="str">
            <v>バハムートダック緑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6</v>
          </cell>
          <cell r="J1478" t="str">
            <v>Material</v>
          </cell>
          <cell r="K1478" t="str">
            <v>exp</v>
          </cell>
          <cell r="L1478" t="str">
            <v>強化素材タイプ</v>
          </cell>
          <cell r="M1478" t="str">
            <v>unknown</v>
          </cell>
        </row>
        <row r="1479">
          <cell r="A1479">
            <v>8097</v>
          </cell>
          <cell r="B1479" t="str">
            <v>ja</v>
          </cell>
          <cell r="C1479" t="str">
            <v>バハムートダック青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blue</v>
          </cell>
          <cell r="I1479">
            <v>6</v>
          </cell>
          <cell r="J1479" t="str">
            <v>Material</v>
          </cell>
          <cell r="K1479" t="str">
            <v>exp</v>
          </cell>
          <cell r="L1479" t="str">
            <v>強化素材タイプ</v>
          </cell>
          <cell r="M1479" t="str">
            <v>unknown</v>
          </cell>
        </row>
        <row r="1480">
          <cell r="A1480">
            <v>8098</v>
          </cell>
          <cell r="B1480" t="str">
            <v>ja</v>
          </cell>
          <cell r="C1480" t="str">
            <v>バハムートダック黄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yellow</v>
          </cell>
          <cell r="I1480">
            <v>6</v>
          </cell>
          <cell r="J1480" t="str">
            <v>Material</v>
          </cell>
          <cell r="K1480" t="str">
            <v>exp</v>
          </cell>
          <cell r="L1480" t="str">
            <v>強化素材タイプ</v>
          </cell>
          <cell r="M1480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sqref="A1:XFD1048576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247</v>
      </c>
      <c r="B2" s="61" t="s">
        <v>110</v>
      </c>
      <c r="C2" s="50" t="str">
        <f t="shared" ref="C2" si="0">RIGHT(F2,6)</f>
        <v>483100</v>
      </c>
      <c r="D2" s="19" t="s">
        <v>45</v>
      </c>
      <c r="E2" s="17" t="str">
        <f t="shared" ref="E2" si="1">B2&amp;C2&amp;D2</f>
        <v>gacha_select_tables_483100.tmp</v>
      </c>
      <c r="F2" s="96" t="s">
        <v>264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247</v>
      </c>
      <c r="B3" s="61" t="s">
        <v>110</v>
      </c>
      <c r="C3" s="50" t="str">
        <f t="shared" ref="C3:C7" si="2">RIGHT(F3,6)</f>
        <v>483101</v>
      </c>
      <c r="D3" s="19" t="s">
        <v>45</v>
      </c>
      <c r="E3" s="17" t="str">
        <f t="shared" ref="E3:E10" si="3">B3&amp;C3&amp;D3</f>
        <v>gacha_select_tables_483101.tmp</v>
      </c>
      <c r="F3" s="102" t="s">
        <v>265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103" t="s">
        <v>263</v>
      </c>
      <c r="B4" s="93" t="s">
        <v>248</v>
      </c>
      <c r="C4" s="94" t="str">
        <f t="shared" si="2"/>
        <v>483105</v>
      </c>
      <c r="D4" s="19" t="s">
        <v>249</v>
      </c>
      <c r="E4" s="17" t="str">
        <f t="shared" si="3"/>
        <v>gacha_settle_tables_483105.tmp</v>
      </c>
      <c r="F4" s="102" t="s">
        <v>266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9" t="s">
        <v>247</v>
      </c>
      <c r="B8" s="27" t="s">
        <v>50</v>
      </c>
      <c r="C8" s="32">
        <v>483</v>
      </c>
      <c r="D8" s="19" t="s">
        <v>46</v>
      </c>
      <c r="E8" s="17" t="str">
        <f t="shared" si="3"/>
        <v>gacha_bonus_tables_483.tmp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247</v>
      </c>
      <c r="B9" s="19" t="s">
        <v>48</v>
      </c>
      <c r="C9" s="32">
        <v>483</v>
      </c>
      <c r="D9" s="19" t="s">
        <v>46</v>
      </c>
      <c r="E9" s="17" t="str">
        <f t="shared" si="3"/>
        <v>gifts_tmp_483.tmp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103" t="s">
        <v>263</v>
      </c>
      <c r="B10" s="19" t="s">
        <v>49</v>
      </c>
      <c r="C10" s="32">
        <v>483</v>
      </c>
      <c r="D10" s="19" t="s">
        <v>46</v>
      </c>
      <c r="E10" s="17" t="str">
        <f t="shared" si="3"/>
        <v>gifts_i18n_483.tmp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34" sqref="G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483101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VLOOKUP(L3,tables_483101!B:C,2,FALSE)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VLOOKUP(L4,tables_483101!B:C,2,FALSE)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0.5</v>
      </c>
      <c r="D5" t="s">
        <v>201</v>
      </c>
      <c r="E5" s="43">
        <f>(B11-H5)/(F5-I5)</f>
        <v>7.9365079365079365E-4</v>
      </c>
      <c r="F5">
        <f>(COUNTIF(tables_483101!C:C,input_483101!A28)+COUNTIF(tables_483101!C:C,input_483101!A29))</f>
        <v>63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VLOOKUP(L5,tables_483101!B:C,2,FALSE)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1.0215053763440859E-2</v>
      </c>
      <c r="F6">
        <f>(COUNTIF(tables_483101!C:C,input_483101!A25)+COUNTIF(tables_483101!C:C,input_483101!A18)+COUNTIF(tables_483101!C:C,input_483101!A20)+COUNTIF(tables_483101!C:C,input_483101!A22))</f>
        <v>93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VLOOKUP(L6,tables_483101!B:C,2,FALSE)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VLOOKUP(L7,tables_483101!B:C,2,FALSE)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VLOOKUP(L8,tables_483101!B:C,2,FALSE)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VLOOKUP(L9,tables_483101!B:C,2,FALSE)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VLOOKUP(L10,tables_483101!B:C,2,FALSE)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VLOOKUP(L11,tables_483101!B:C,2,FALSE)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VLOOKUP(L12,tables_483101!B:C,2,FALSE)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VLOOKUP(L13,tables_483101!B:C,2,FALSE)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VLOOKUP(L14,tables_483101!B:C,2,FALSE)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VLOOKUP(L15,tables_483101!B:C,2,FALSE)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VLOOKUP(L16,tables_483101!B:C,2,FALSE)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0.21397849462365595</v>
      </c>
      <c r="C17" s="84">
        <f t="shared" ref="C17:C31" si="2">SUMIF(Q:Q,A17,N:N)</f>
        <v>0</v>
      </c>
      <c r="D17" s="74">
        <f t="shared" ref="D17:D32" si="3">B17-C17</f>
        <v>0.21397849462365595</v>
      </c>
      <c r="E17">
        <f>COUNTIF(tables_483101!C:C,input_483101!A17)-COUNTIF(Q:Q,A17)</f>
        <v>20</v>
      </c>
      <c r="F17" s="43">
        <f>IFERROR(B17/E17,0)</f>
        <v>1.0698924731182797E-2</v>
      </c>
      <c r="G17">
        <f t="shared" ref="G17:G31" si="4">A$36*B17</f>
        <v>8358000.0000000019</v>
      </c>
      <c r="H17">
        <f t="shared" ref="H17:H31" si="5">IFERROR(ROUND(G17/E17,5),0)</f>
        <v>417900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VLOOKUP(L17,tables_483101!B:C,2,FALSE)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2.9560931895289532E-2</v>
      </c>
      <c r="C18" s="84">
        <f t="shared" si="2"/>
        <v>0</v>
      </c>
      <c r="D18" s="74">
        <f t="shared" si="3"/>
        <v>2.9560931895289532E-2</v>
      </c>
      <c r="E18">
        <f>COUNTIF(tables_483101!C:C,input_483101!A18)-COUNTIF(Q:Q,A18)</f>
        <v>20</v>
      </c>
      <c r="F18" s="43">
        <f>IFERROR(B18/E18,0)</f>
        <v>1.4780465947644766E-3</v>
      </c>
      <c r="G18">
        <f t="shared" si="4"/>
        <v>1154649.9998300092</v>
      </c>
      <c r="H18">
        <f t="shared" si="5"/>
        <v>57732.499989999997</v>
      </c>
      <c r="I18">
        <f t="shared" si="6"/>
        <v>0.49998999999661464</v>
      </c>
      <c r="J18">
        <f t="shared" si="7"/>
        <v>2.0000400008135579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VLOOKUP(L18,tables_483101!B:C,2,FALSE)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0.26559139784946234</v>
      </c>
      <c r="C19" s="84">
        <f t="shared" si="2"/>
        <v>0</v>
      </c>
      <c r="D19" s="74">
        <f t="shared" si="3"/>
        <v>0.26559139784946234</v>
      </c>
      <c r="E19">
        <f>COUNTIF(tables_483101!C:C,input_483101!A19)-COUNTIF(Q:Q,A19)</f>
        <v>52</v>
      </c>
      <c r="F19" s="43">
        <f t="shared" ref="F19:F31" si="8">IFERROR(B19/E19,0)</f>
        <v>5.1075268817204296E-3</v>
      </c>
      <c r="G19">
        <f t="shared" si="4"/>
        <v>10373999.999999998</v>
      </c>
      <c r="H19">
        <f t="shared" si="5"/>
        <v>199500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VLOOKUP(L19,tables_483101!B:C,2,FALSE)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0.21903225806451612</v>
      </c>
      <c r="C20" s="84">
        <f t="shared" si="2"/>
        <v>0</v>
      </c>
      <c r="D20" s="74">
        <f t="shared" si="3"/>
        <v>0.21903225806451612</v>
      </c>
      <c r="E20">
        <f>COUNTIF(tables_483101!C:C,input_483101!A20)-COUNTIF(Q:Q,A20)</f>
        <v>52</v>
      </c>
      <c r="F20" s="43">
        <f t="shared" si="8"/>
        <v>4.2121588089330027E-3</v>
      </c>
      <c r="G20">
        <f t="shared" si="4"/>
        <v>8555400</v>
      </c>
      <c r="H20">
        <f t="shared" si="5"/>
        <v>164526.92308000001</v>
      </c>
      <c r="I20">
        <f t="shared" si="6"/>
        <v>0.92308000000775792</v>
      </c>
      <c r="J20">
        <f t="shared" si="7"/>
        <v>1.0833297222251546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VLOOKUP(L20,tables_483101!B:C,2,FALSE)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4">
        <f t="shared" si="2"/>
        <v>0</v>
      </c>
      <c r="D21" s="74">
        <f t="shared" si="3"/>
        <v>7.3207885304659506E-3</v>
      </c>
      <c r="E21">
        <f>COUNTIF(tables_483101!C:C,input_483101!A21)-COUNTIF(Q:Q,A21)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4">
        <f t="shared" si="2"/>
        <v>0</v>
      </c>
      <c r="D22" s="74">
        <f t="shared" si="3"/>
        <v>0.16190860215053762</v>
      </c>
      <c r="E22">
        <f>COUNTIF(tables_483101!C:C,input_483101!A22)-COUNTIF(Q:Q,A22)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4">
        <f t="shared" si="2"/>
        <v>0</v>
      </c>
      <c r="D23" s="74">
        <f t="shared" si="3"/>
        <v>1.1747311827956989E-2</v>
      </c>
      <c r="E23">
        <f>COUNTIF(tables_483101!C:C,input_483101!A23)-COUNTIF(Q:Q,A23)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2.0430107526881718E-2</v>
      </c>
      <c r="C24" s="84">
        <f t="shared" si="2"/>
        <v>0</v>
      </c>
      <c r="D24" s="74">
        <f t="shared" si="3"/>
        <v>2.0430107526881718E-2</v>
      </c>
      <c r="E24">
        <f>COUNTIF(tables_483101!C:C,input_483101!A24)-COUNTIF(Q:Q,A24)</f>
        <v>4</v>
      </c>
      <c r="F24" s="43">
        <f t="shared" si="8"/>
        <v>5.1075268817204296E-3</v>
      </c>
      <c r="G24">
        <f t="shared" si="4"/>
        <v>797999.99999999988</v>
      </c>
      <c r="H24">
        <f t="shared" si="5"/>
        <v>199500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1.8387096774193548E-2</v>
      </c>
      <c r="C25" s="84">
        <f t="shared" si="2"/>
        <v>0</v>
      </c>
      <c r="D25" s="74">
        <f t="shared" si="3"/>
        <v>1.8387096774193548E-2</v>
      </c>
      <c r="E25">
        <f>COUNTIF(tables_483101!C:C,input_483101!A25)-COUNTIF(Q:Q,A25)</f>
        <v>4</v>
      </c>
      <c r="F25" s="43">
        <f t="shared" si="8"/>
        <v>4.596774193548387E-3</v>
      </c>
      <c r="G25">
        <f t="shared" si="4"/>
        <v>718200</v>
      </c>
      <c r="H25">
        <f t="shared" si="5"/>
        <v>179550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4">
        <f t="shared" si="2"/>
        <v>0</v>
      </c>
      <c r="D26" s="74">
        <f t="shared" si="3"/>
        <v>2.0430107526881718E-3</v>
      </c>
      <c r="E26">
        <f>COUNTIF(tables_483101!C:C,input_483101!A26)-COUNTIF(Q:Q,A26)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4">
        <f t="shared" si="2"/>
        <v>0</v>
      </c>
      <c r="D27" s="74">
        <f t="shared" si="3"/>
        <v>2.1111111111111112E-2</v>
      </c>
      <c r="E27">
        <f>COUNTIF(tables_483101!C:C,input_483101!A27)-COUNTIF(Q:Q,A27)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4">
        <f t="shared" si="2"/>
        <v>0</v>
      </c>
      <c r="D28" s="74">
        <f t="shared" si="3"/>
        <v>1.1111111111111111E-3</v>
      </c>
      <c r="E28">
        <f>COUNTIF(tables_483101!C:C,input_483101!A28)-COUNTIF(Q:Q,A28)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4">
        <f t="shared" si="2"/>
        <v>0</v>
      </c>
      <c r="D29" s="74">
        <f t="shared" si="3"/>
        <v>2.7777777777777776E-2</v>
      </c>
      <c r="E29">
        <f>COUNTIF(tables_483101!C:C,input_483101!A29)-COUNTIF(Q:Q,A29)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COUNTIF(tables_483101!C:C,input_483101!A30)-COUNTIF(Q:Q,A30)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COUNTIF(tables_483101!C:C,input_483101!A31)-COUNTIF(Q:Q,A31)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0.99999999999564781</v>
      </c>
      <c r="C32" s="41">
        <f>SUM(C19:C31)</f>
        <v>0</v>
      </c>
      <c r="D32" s="42">
        <f t="shared" si="3"/>
        <v>0.99999999999564781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7.684408664943021E-13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SUMIF(tables_483101!C:C,input_483101!A40,tables_483101!O:O)</f>
        <v>10374000</v>
      </c>
      <c r="C40" s="54">
        <f t="shared" ref="C40:C46" ca="1" si="9">B40/B$47</f>
        <v>0.51654728917031645</v>
      </c>
      <c r="E40">
        <v>3</v>
      </c>
      <c r="F40">
        <f ca="1">SUMIF(tables_483101!J:J,input_483101!E40,tables_483101!O:O)</f>
        <v>19530000</v>
      </c>
      <c r="G40">
        <f ca="1">F40/A36</f>
        <v>0.5</v>
      </c>
    </row>
    <row r="41" spans="1:7" x14ac:dyDescent="0.15">
      <c r="A41" s="33" t="s">
        <v>104</v>
      </c>
      <c r="B41">
        <f ca="1">SUMIF(tables_483101!C:C,input_483101!A41,tables_483101!O:O)</f>
        <v>8555400.0001600031</v>
      </c>
      <c r="C41" s="54">
        <f t="shared" ca="1" si="9"/>
        <v>0.42599466723061258</v>
      </c>
      <c r="E41">
        <v>4</v>
      </c>
      <c r="F41">
        <f ca="1">SUMIF(tables_483101!J:J,input_483101!E41,tables_483101!O:O)</f>
        <v>17576999.999969985</v>
      </c>
      <c r="G41">
        <f ca="1">F41/A36</f>
        <v>0.44999999999923157</v>
      </c>
    </row>
    <row r="42" spans="1:7" x14ac:dyDescent="0.15">
      <c r="A42" s="33" t="s">
        <v>106</v>
      </c>
      <c r="B42">
        <f ca="1">SUMIF(tables_483101!C:C,input_483101!A42,tables_483101!O:O)</f>
        <v>824600</v>
      </c>
      <c r="C42" s="54">
        <f t="shared" ca="1" si="9"/>
        <v>4.1058887087896956E-2</v>
      </c>
      <c r="E42">
        <v>5</v>
      </c>
      <c r="F42">
        <f ca="1">SUMIF(tables_483101!J:J,input_483101!E42,tables_483101!O:O)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SUMIF(tables_483101!C:C,input_483101!A43,tables_483101!O:O)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SUMIF(tables_483101!C:C,input_483101!A44,tables_483101!O:O)</f>
        <v>285949.99992000021</v>
      </c>
      <c r="C44" s="54">
        <f t="shared" ca="1" si="9"/>
        <v>1.4238162453916361E-2</v>
      </c>
      <c r="E44" t="s">
        <v>54</v>
      </c>
      <c r="F44" s="55"/>
    </row>
    <row r="45" spans="1:7" x14ac:dyDescent="0.15">
      <c r="A45" s="33" t="s">
        <v>107</v>
      </c>
      <c r="B45">
        <f ca="1">SUMIF(tables_483101!C:C,input_483101!A45,tables_483101!O:O)</f>
        <v>43400</v>
      </c>
      <c r="C45" s="54">
        <f t="shared" ca="1" si="9"/>
        <v>2.1609940572577344E-3</v>
      </c>
      <c r="E45" t="s">
        <v>204</v>
      </c>
      <c r="F45" s="55">
        <f ca="1">SUMIF(tables_483101!I:I,input_483101!E45,tables_483101!P:P)</f>
        <v>0.24660394264790328</v>
      </c>
    </row>
    <row r="46" spans="1:7" x14ac:dyDescent="0.15">
      <c r="A46" s="33" t="s">
        <v>108</v>
      </c>
      <c r="B46">
        <f>SUMIF(tables_483101!C:C,input_483101!A46,tables_483101!O:O)</f>
        <v>0</v>
      </c>
      <c r="C46" s="54">
        <f t="shared" ca="1" si="9"/>
        <v>0</v>
      </c>
      <c r="E46" t="s">
        <v>205</v>
      </c>
      <c r="F46" s="55">
        <f ca="1">SUMIF(tables_483101!I:I,input_483101!E46,tables_483101!P:P)</f>
        <v>0.19147315274452223</v>
      </c>
    </row>
    <row r="47" spans="1:7" x14ac:dyDescent="0.15">
      <c r="A47" s="39" t="s">
        <v>59</v>
      </c>
      <c r="B47">
        <f ca="1">SUM(B40:B46)</f>
        <v>20083350.000080001</v>
      </c>
      <c r="C47" s="55">
        <f ca="1">SUM(C40:C46)</f>
        <v>1</v>
      </c>
      <c r="E47" t="s">
        <v>206</v>
      </c>
      <c r="F47" s="55">
        <f ca="1">SUMIF(tables_483101!I:I,input_483101!E47,tables_483101!P:P)</f>
        <v>0.51192290460743106</v>
      </c>
    </row>
    <row r="48" spans="1:7" x14ac:dyDescent="0.15">
      <c r="E48" t="s">
        <v>207</v>
      </c>
      <c r="F48" s="55">
        <f ca="1">SUMIF(tables_483101!I:I,input_483101!E48,tables_483101!P:P)</f>
        <v>4.5238095238222496E-2</v>
      </c>
      <c r="G48" s="55"/>
    </row>
    <row r="49" spans="5:6" x14ac:dyDescent="0.15">
      <c r="E49" t="s">
        <v>250</v>
      </c>
      <c r="F49" s="55">
        <f ca="1">SUMIF(tables_483101!I:I,input_483101!E49,tables_483101!P:P)</f>
        <v>4.7619047619181596E-3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F370" sqref="F37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input_483101!A$2</f>
        <v>483101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IFERROR(VLOOKUP(B2,input_483101!L:R,7,FALSE),VLOOKUP(tables_483101!C2,input_483101!A:H,8,FALSE))</f>
        <v>417900</v>
      </c>
      <c r="P2" s="46">
        <f t="shared" ref="P2:P65" ca="1" si="1">O2/SUM(O:O)</f>
        <v>1.0698924731212898E-2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input_483101!A$2</f>
        <v>483101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IFERROR(VLOOKUP(B3,input_483101!L:R,7,FALSE),VLOOKUP(tables_483101!C3,input_483101!A:H,8,FALSE))</f>
        <v>57732.499989999997</v>
      </c>
      <c r="P3" s="46">
        <f t="shared" ca="1" si="1"/>
        <v>1.4780465947302208E-3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input_483101!A$2</f>
        <v>483101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IFERROR(VLOOKUP(B4,input_483101!L:R,7,FALSE),VLOOKUP(tables_483101!C4,input_483101!A:H,8,FALSE))</f>
        <v>417900</v>
      </c>
      <c r="P4" s="46">
        <f t="shared" ca="1" si="1"/>
        <v>1.0698924731212898E-2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input_483101!A$2</f>
        <v>483101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IFERROR(VLOOKUP(B5,input_483101!L:R,7,FALSE),VLOOKUP(tables_483101!C5,input_483101!A:H,8,FALSE))</f>
        <v>57732.499989999997</v>
      </c>
      <c r="P5" s="46">
        <f t="shared" ca="1" si="1"/>
        <v>1.4780465947302208E-3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input_483101!A$2</f>
        <v>483101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IFERROR(VLOOKUP(B6,input_483101!L:R,7,FALSE),VLOOKUP(tables_483101!C6,input_483101!A:H,8,FALSE))</f>
        <v>417900</v>
      </c>
      <c r="P6" s="46">
        <f t="shared" ca="1" si="1"/>
        <v>1.0698924731212898E-2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input_483101!A$2</f>
        <v>483101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IFERROR(VLOOKUP(B7,input_483101!L:R,7,FALSE),VLOOKUP(tables_483101!C7,input_483101!A:H,8,FALSE))</f>
        <v>57732.499989999997</v>
      </c>
      <c r="P7" s="46">
        <f t="shared" ca="1" si="1"/>
        <v>1.4780465947302208E-3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input_483101!A$2</f>
        <v>483101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IFERROR(VLOOKUP(B8,input_483101!L:R,7,FALSE),VLOOKUP(tables_483101!C8,input_483101!A:H,8,FALSE))</f>
        <v>417900</v>
      </c>
      <c r="P8" s="46">
        <f t="shared" ca="1" si="1"/>
        <v>1.0698924731212898E-2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input_483101!A$2</f>
        <v>483101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IFERROR(VLOOKUP(B9,input_483101!L:R,7,FALSE),VLOOKUP(tables_483101!C9,input_483101!A:H,8,FALSE))</f>
        <v>57732.499989999997</v>
      </c>
      <c r="P9" s="46">
        <f t="shared" ca="1" si="1"/>
        <v>1.4780465947302208E-3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input_483101!A$2</f>
        <v>483101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IFERROR(VLOOKUP(B10,input_483101!L:R,7,FALSE),VLOOKUP(tables_483101!C10,input_483101!A:H,8,FALSE))</f>
        <v>417900</v>
      </c>
      <c r="P10" s="46">
        <f t="shared" ca="1" si="1"/>
        <v>1.0698924731212898E-2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input_483101!A$2</f>
        <v>483101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IFERROR(VLOOKUP(B11,input_483101!L:R,7,FALSE),VLOOKUP(tables_483101!C11,input_483101!A:H,8,FALSE))</f>
        <v>57732.499989999997</v>
      </c>
      <c r="P11" s="46">
        <f t="shared" ca="1" si="1"/>
        <v>1.4780465947302208E-3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input_483101!A$2</f>
        <v>483101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IFERROR(VLOOKUP(B12,input_483101!L:R,7,FALSE),VLOOKUP(tables_483101!C12,input_483101!A:H,8,FALSE))</f>
        <v>417900</v>
      </c>
      <c r="P12" s="46">
        <f t="shared" ca="1" si="1"/>
        <v>1.0698924731212898E-2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input_483101!A$2</f>
        <v>483101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IFERROR(VLOOKUP(B13,input_483101!L:R,7,FALSE),VLOOKUP(tables_483101!C13,input_483101!A:H,8,FALSE))</f>
        <v>57732.499989999997</v>
      </c>
      <c r="P13" s="46">
        <f t="shared" ca="1" si="1"/>
        <v>1.4780465947302208E-3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input_483101!A$2</f>
        <v>483101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IFERROR(VLOOKUP(B14,input_483101!L:R,7,FALSE),VLOOKUP(tables_483101!C14,input_483101!A:H,8,FALSE))</f>
        <v>417900</v>
      </c>
      <c r="P14" s="46">
        <f t="shared" ca="1" si="1"/>
        <v>1.0698924731212898E-2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input_483101!A$2</f>
        <v>483101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IFERROR(VLOOKUP(B15,input_483101!L:R,7,FALSE),VLOOKUP(tables_483101!C15,input_483101!A:H,8,FALSE))</f>
        <v>57732.499989999997</v>
      </c>
      <c r="P15" s="46">
        <f t="shared" ca="1" si="1"/>
        <v>1.4780465947302208E-3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input_483101!A$2</f>
        <v>483101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IFERROR(VLOOKUP(B16,input_483101!L:R,7,FALSE),VLOOKUP(tables_483101!C16,input_483101!A:H,8,FALSE))</f>
        <v>417900</v>
      </c>
      <c r="P16" s="46">
        <f t="shared" ca="1" si="1"/>
        <v>1.0698924731212898E-2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input_483101!A$2</f>
        <v>483101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IFERROR(VLOOKUP(B17,input_483101!L:R,7,FALSE),VLOOKUP(tables_483101!C17,input_483101!A:H,8,FALSE))</f>
        <v>57732.499989999997</v>
      </c>
      <c r="P17" s="46">
        <f t="shared" ca="1" si="1"/>
        <v>1.4780465947302208E-3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input_483101!A$2</f>
        <v>483101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IFERROR(VLOOKUP(B18,input_483101!L:R,7,FALSE),VLOOKUP(tables_483101!C18,input_483101!A:H,8,FALSE))</f>
        <v>417900</v>
      </c>
      <c r="P18" s="46">
        <f t="shared" ca="1" si="1"/>
        <v>1.0698924731212898E-2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input_483101!A$2</f>
        <v>483101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IFERROR(VLOOKUP(B19,input_483101!L:R,7,FALSE),VLOOKUP(tables_483101!C19,input_483101!A:H,8,FALSE))</f>
        <v>57732.499989999997</v>
      </c>
      <c r="P19" s="46">
        <f t="shared" ca="1" si="1"/>
        <v>1.4780465947302208E-3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input_483101!A$2</f>
        <v>483101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IFERROR(VLOOKUP(B20,input_483101!L:R,7,FALSE),VLOOKUP(tables_483101!C20,input_483101!A:H,8,FALSE))</f>
        <v>417900</v>
      </c>
      <c r="P20" s="46">
        <f t="shared" ca="1" si="1"/>
        <v>1.0698924731212898E-2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input_483101!A$2</f>
        <v>483101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IFERROR(VLOOKUP(B21,input_483101!L:R,7,FALSE),VLOOKUP(tables_483101!C21,input_483101!A:H,8,FALSE))</f>
        <v>57732.499989999997</v>
      </c>
      <c r="P21" s="46">
        <f t="shared" ca="1" si="1"/>
        <v>1.4780465947302208E-3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input_483101!A$2</f>
        <v>483101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IFERROR(VLOOKUP(B22,input_483101!L:R,7,FALSE),VLOOKUP(tables_483101!C22,input_483101!A:H,8,FALSE))</f>
        <v>417900</v>
      </c>
      <c r="P22" s="46">
        <f t="shared" ca="1" si="1"/>
        <v>1.0698924731212898E-2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input_483101!A$2</f>
        <v>483101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IFERROR(VLOOKUP(B23,input_483101!L:R,7,FALSE),VLOOKUP(tables_483101!C23,input_483101!A:H,8,FALSE))</f>
        <v>57732.499989999997</v>
      </c>
      <c r="P23" s="46">
        <f t="shared" ca="1" si="1"/>
        <v>1.4780465947302208E-3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input_483101!A$2</f>
        <v>483101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IFERROR(VLOOKUP(B24,input_483101!L:R,7,FALSE),VLOOKUP(tables_483101!C24,input_483101!A:H,8,FALSE))</f>
        <v>417900</v>
      </c>
      <c r="P24" s="46">
        <f t="shared" ca="1" si="1"/>
        <v>1.0698924731212898E-2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input_483101!A$2</f>
        <v>483101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IFERROR(VLOOKUP(B25,input_483101!L:R,7,FALSE),VLOOKUP(tables_483101!C25,input_483101!A:H,8,FALSE))</f>
        <v>57732.499989999997</v>
      </c>
      <c r="P25" s="46">
        <f t="shared" ca="1" si="1"/>
        <v>1.4780465947302208E-3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input_483101!A$2</f>
        <v>483101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IFERROR(VLOOKUP(B26,input_483101!L:R,7,FALSE),VLOOKUP(tables_483101!C26,input_483101!A:H,8,FALSE))</f>
        <v>417900</v>
      </c>
      <c r="P26" s="46">
        <f t="shared" ca="1" si="1"/>
        <v>1.0698924731212898E-2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input_483101!A$2</f>
        <v>483101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IFERROR(VLOOKUP(B27,input_483101!L:R,7,FALSE),VLOOKUP(tables_483101!C27,input_483101!A:H,8,FALSE))</f>
        <v>57732.499989999997</v>
      </c>
      <c r="P27" s="46">
        <f t="shared" ca="1" si="1"/>
        <v>1.4780465947302208E-3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input_483101!A$2</f>
        <v>483101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IFERROR(VLOOKUP(B28,input_483101!L:R,7,FALSE),VLOOKUP(tables_483101!C28,input_483101!A:H,8,FALSE))</f>
        <v>417900</v>
      </c>
      <c r="P28" s="46">
        <f t="shared" ca="1" si="1"/>
        <v>1.0698924731212898E-2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input_483101!A$2</f>
        <v>483101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IFERROR(VLOOKUP(B29,input_483101!L:R,7,FALSE),VLOOKUP(tables_483101!C29,input_483101!A:H,8,FALSE))</f>
        <v>57732.499989999997</v>
      </c>
      <c r="P29" s="46">
        <f t="shared" ca="1" si="1"/>
        <v>1.4780465947302208E-3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input_483101!A$2</f>
        <v>483101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IFERROR(VLOOKUP(B30,input_483101!L:R,7,FALSE),VLOOKUP(tables_483101!C30,input_483101!A:H,8,FALSE))</f>
        <v>417900</v>
      </c>
      <c r="P30" s="46">
        <f t="shared" ca="1" si="1"/>
        <v>1.0698924731212898E-2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input_483101!A$2</f>
        <v>483101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IFERROR(VLOOKUP(B31,input_483101!L:R,7,FALSE),VLOOKUP(tables_483101!C31,input_483101!A:H,8,FALSE))</f>
        <v>57732.499989999997</v>
      </c>
      <c r="P31" s="46">
        <f t="shared" ca="1" si="1"/>
        <v>1.4780465947302208E-3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input_483101!A$2</f>
        <v>483101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IFERROR(VLOOKUP(B32,input_483101!L:R,7,FALSE),VLOOKUP(tables_483101!C32,input_483101!A:H,8,FALSE))</f>
        <v>417900</v>
      </c>
      <c r="P32" s="46">
        <f t="shared" ca="1" si="1"/>
        <v>1.0698924731212898E-2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input_483101!A$2</f>
        <v>483101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IFERROR(VLOOKUP(B33,input_483101!L:R,7,FALSE),VLOOKUP(tables_483101!C33,input_483101!A:H,8,FALSE))</f>
        <v>57732.499989999997</v>
      </c>
      <c r="P33" s="46">
        <f t="shared" ca="1" si="1"/>
        <v>1.4780465947302208E-3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input_483101!A$2</f>
        <v>483101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IFERROR(VLOOKUP(B34,input_483101!L:R,7,FALSE),VLOOKUP(tables_483101!C34,input_483101!A:H,8,FALSE))</f>
        <v>417900</v>
      </c>
      <c r="P34" s="46">
        <f t="shared" ca="1" si="1"/>
        <v>1.0698924731212898E-2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input_483101!A$2</f>
        <v>483101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IFERROR(VLOOKUP(B35,input_483101!L:R,7,FALSE),VLOOKUP(tables_483101!C35,input_483101!A:H,8,FALSE))</f>
        <v>57732.499989999997</v>
      </c>
      <c r="P35" s="46">
        <f t="shared" ca="1" si="1"/>
        <v>1.4780465947302208E-3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input_483101!A$2</f>
        <v>483101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IFERROR(VLOOKUP(B36,input_483101!L:R,7,FALSE),VLOOKUP(tables_483101!C36,input_483101!A:H,8,FALSE))</f>
        <v>417900</v>
      </c>
      <c r="P36" s="46">
        <f t="shared" ca="1" si="1"/>
        <v>1.0698924731212898E-2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input_483101!A$2</f>
        <v>483101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IFERROR(VLOOKUP(B37,input_483101!L:R,7,FALSE),VLOOKUP(tables_483101!C37,input_483101!A:H,8,FALSE))</f>
        <v>57732.499989999997</v>
      </c>
      <c r="P37" s="46">
        <f t="shared" ca="1" si="1"/>
        <v>1.4780465947302208E-3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input_483101!A$2</f>
        <v>483101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IFERROR(VLOOKUP(B38,input_483101!L:R,7,FALSE),VLOOKUP(tables_483101!C38,input_483101!A:H,8,FALSE))</f>
        <v>417900</v>
      </c>
      <c r="P38" s="46">
        <f t="shared" ca="1" si="1"/>
        <v>1.0698924731212898E-2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input_483101!A$2</f>
        <v>483101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IFERROR(VLOOKUP(B39,input_483101!L:R,7,FALSE),VLOOKUP(tables_483101!C39,input_483101!A:H,8,FALSE))</f>
        <v>57732.499989999997</v>
      </c>
      <c r="P39" s="46">
        <f t="shared" ca="1" si="1"/>
        <v>1.4780465947302208E-3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input_483101!A$2</f>
        <v>483101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IFERROR(VLOOKUP(B40,input_483101!L:R,7,FALSE),VLOOKUP(tables_483101!C40,input_483101!A:H,8,FALSE))</f>
        <v>417900</v>
      </c>
      <c r="P40" s="46">
        <f t="shared" ca="1" si="1"/>
        <v>1.0698924731212898E-2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input_483101!A$2</f>
        <v>483101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IFERROR(VLOOKUP(B41,input_483101!L:R,7,FALSE),VLOOKUP(tables_483101!C41,input_483101!A:H,8,FALSE))</f>
        <v>57732.499989999997</v>
      </c>
      <c r="P41" s="46">
        <f t="shared" ca="1" si="1"/>
        <v>1.4780465947302208E-3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input_483101!A$2</f>
        <v>483101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IFERROR(VLOOKUP(B42,input_483101!L:R,7,FALSE),VLOOKUP(tables_483101!C42,input_483101!A:H,8,FALSE))</f>
        <v>199500</v>
      </c>
      <c r="P42" s="46">
        <f t="shared" ca="1" si="1"/>
        <v>5.1075268817348E-3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input_483101!A$2</f>
        <v>483101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IFERROR(VLOOKUP(B43,input_483101!L:R,7,FALSE),VLOOKUP(tables_483101!C43,input_483101!A:H,8,FALSE))</f>
        <v>179550</v>
      </c>
      <c r="P43" s="46">
        <f t="shared" ca="1" si="1"/>
        <v>4.5967741935613203E-3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input_483101!A$2</f>
        <v>483101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IFERROR(VLOOKUP(B44,input_483101!L:R,7,FALSE),VLOOKUP(tables_483101!C44,input_483101!A:H,8,FALSE))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input_483101!A$2</f>
        <v>483101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IFERROR(VLOOKUP(B45,input_483101!L:R,7,FALSE),VLOOKUP(tables_483101!C45,input_483101!A:H,8,FALSE))</f>
        <v>199500</v>
      </c>
      <c r="P45" s="46">
        <f t="shared" ca="1" si="1"/>
        <v>5.1075268817348E-3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input_483101!A$2</f>
        <v>483101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IFERROR(VLOOKUP(B46,input_483101!L:R,7,FALSE),VLOOKUP(tables_483101!C46,input_483101!A:H,8,FALSE))</f>
        <v>179550</v>
      </c>
      <c r="P46" s="46">
        <f t="shared" ca="1" si="1"/>
        <v>4.5967741935613203E-3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input_483101!A$2</f>
        <v>483101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IFERROR(VLOOKUP(B47,input_483101!L:R,7,FALSE),VLOOKUP(tables_483101!C47,input_483101!A:H,8,FALSE))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input_483101!A$2</f>
        <v>483101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IFERROR(VLOOKUP(B48,input_483101!L:R,7,FALSE),VLOOKUP(tables_483101!C48,input_483101!A:H,8,FALSE))</f>
        <v>199500</v>
      </c>
      <c r="P48" s="46">
        <f t="shared" ca="1" si="1"/>
        <v>5.1075268817348E-3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input_483101!A$2</f>
        <v>483101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IFERROR(VLOOKUP(B49,input_483101!L:R,7,FALSE),VLOOKUP(tables_483101!C49,input_483101!A:H,8,FALSE))</f>
        <v>179550</v>
      </c>
      <c r="P49" s="46">
        <f t="shared" ca="1" si="1"/>
        <v>4.5967741935613203E-3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input_483101!A$2</f>
        <v>483101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IFERROR(VLOOKUP(B50,input_483101!L:R,7,FALSE),VLOOKUP(tables_483101!C50,input_483101!A:H,8,FALSE))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input_483101!A$2</f>
        <v>483101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IFERROR(VLOOKUP(B51,input_483101!L:R,7,FALSE),VLOOKUP(tables_483101!C51,input_483101!A:H,8,FALSE))</f>
        <v>199500</v>
      </c>
      <c r="P51" s="46">
        <f t="shared" ca="1" si="1"/>
        <v>5.1075268817348E-3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input_483101!A$2</f>
        <v>483101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IFERROR(VLOOKUP(B52,input_483101!L:R,7,FALSE),VLOOKUP(tables_483101!C52,input_483101!A:H,8,FALSE))</f>
        <v>164526.92308000001</v>
      </c>
      <c r="P52" s="46">
        <f t="shared" ca="1" si="1"/>
        <v>4.2121588090236282E-3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input_483101!A$2</f>
        <v>483101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IFERROR(VLOOKUP(B53,input_483101!L:R,7,FALSE),VLOOKUP(tables_483101!C53,input_483101!A:H,8,FALSE))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input_483101!A$2</f>
        <v>483101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IFERROR(VLOOKUP(B54,input_483101!L:R,7,FALSE),VLOOKUP(tables_483101!C54,input_483101!A:H,8,FALSE))</f>
        <v>199500</v>
      </c>
      <c r="P54" s="46">
        <f t="shared" ca="1" si="1"/>
        <v>5.1075268817348E-3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input_483101!A$2</f>
        <v>483101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IFERROR(VLOOKUP(B55,input_483101!L:R,7,FALSE),VLOOKUP(tables_483101!C55,input_483101!A:H,8,FALSE))</f>
        <v>164526.92308000001</v>
      </c>
      <c r="P55" s="46">
        <f t="shared" ca="1" si="1"/>
        <v>4.2121588090236282E-3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input_483101!A$2</f>
        <v>483101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IFERROR(VLOOKUP(B56,input_483101!L:R,7,FALSE),VLOOKUP(tables_483101!C56,input_483101!A:H,8,FALSE))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input_483101!A$2</f>
        <v>483101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IFERROR(VLOOKUP(B57,input_483101!L:R,7,FALSE),VLOOKUP(tables_483101!C57,input_483101!A:H,8,FALSE))</f>
        <v>199500</v>
      </c>
      <c r="P57" s="46">
        <f t="shared" ca="1" si="1"/>
        <v>5.1075268817348E-3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input_483101!A$2</f>
        <v>483101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IFERROR(VLOOKUP(B58,input_483101!L:R,7,FALSE),VLOOKUP(tables_483101!C58,input_483101!A:H,8,FALSE))</f>
        <v>164526.92308000001</v>
      </c>
      <c r="P58" s="46">
        <f t="shared" ca="1" si="1"/>
        <v>4.2121588090236282E-3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input_483101!A$2</f>
        <v>483101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IFERROR(VLOOKUP(B59,input_483101!L:R,7,FALSE),VLOOKUP(tables_483101!C59,input_483101!A:H,8,FALSE))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input_483101!A$2</f>
        <v>483101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IFERROR(VLOOKUP(B60,input_483101!L:R,7,FALSE),VLOOKUP(tables_483101!C60,input_483101!A:H,8,FALSE))</f>
        <v>199500</v>
      </c>
      <c r="P60" s="46">
        <f t="shared" ca="1" si="1"/>
        <v>5.1075268817348E-3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input_483101!A$2</f>
        <v>483101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IFERROR(VLOOKUP(B61,input_483101!L:R,7,FALSE),VLOOKUP(tables_483101!C61,input_483101!A:H,8,FALSE))</f>
        <v>164526.92308000001</v>
      </c>
      <c r="P61" s="46">
        <f t="shared" ca="1" si="1"/>
        <v>4.2121588090236282E-3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input_483101!A$2</f>
        <v>483101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IFERROR(VLOOKUP(B62,input_483101!L:R,7,FALSE),VLOOKUP(tables_483101!C62,input_483101!A:H,8,FALSE))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input_483101!A$2</f>
        <v>483101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IFERROR(VLOOKUP(B63,input_483101!L:R,7,FALSE),VLOOKUP(tables_483101!C63,input_483101!A:H,8,FALSE))</f>
        <v>199500</v>
      </c>
      <c r="P63" s="46">
        <f t="shared" ca="1" si="1"/>
        <v>5.1075268817348E-3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input_483101!A$2</f>
        <v>483101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IFERROR(VLOOKUP(B64,input_483101!L:R,7,FALSE),VLOOKUP(tables_483101!C64,input_483101!A:H,8,FALSE))</f>
        <v>164526.92308000001</v>
      </c>
      <c r="P64" s="46">
        <f t="shared" ca="1" si="1"/>
        <v>4.2121588090236282E-3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input_483101!A$2</f>
        <v>483101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IFERROR(VLOOKUP(B65,input_483101!L:R,7,FALSE),VLOOKUP(tables_483101!C65,input_483101!A:H,8,FALSE))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input_483101!A$2</f>
        <v>483101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IFERROR(VLOOKUP(B66,input_483101!L:R,7,FALSE),VLOOKUP(tables_483101!C66,input_483101!A:H,8,FALSE))</f>
        <v>199500</v>
      </c>
      <c r="P66" s="46">
        <f t="shared" ref="P66:P129" ca="1" si="4">O66/SUM(O:O)</f>
        <v>5.1075268817348E-3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input_483101!A$2</f>
        <v>483101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IFERROR(VLOOKUP(B67,input_483101!L:R,7,FALSE),VLOOKUP(tables_483101!C67,input_483101!A:H,8,FALSE))</f>
        <v>164526.92308000001</v>
      </c>
      <c r="P67" s="46">
        <f t="shared" ca="1" si="4"/>
        <v>4.2121588090236282E-3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input_483101!A$2</f>
        <v>483101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IFERROR(VLOOKUP(B68,input_483101!L:R,7,FALSE),VLOOKUP(tables_483101!C68,input_483101!A:H,8,FALSE))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input_483101!A$2</f>
        <v>483101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IFERROR(VLOOKUP(B69,input_483101!L:R,7,FALSE),VLOOKUP(tables_483101!C69,input_483101!A:H,8,FALSE))</f>
        <v>199500</v>
      </c>
      <c r="P69" s="46">
        <f t="shared" ca="1" si="4"/>
        <v>5.1075268817348E-3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input_483101!A$2</f>
        <v>483101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IFERROR(VLOOKUP(B70,input_483101!L:R,7,FALSE),VLOOKUP(tables_483101!C70,input_483101!A:H,8,FALSE))</f>
        <v>164526.92308000001</v>
      </c>
      <c r="P70" s="46">
        <f t="shared" ca="1" si="4"/>
        <v>4.2121588090236282E-3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input_483101!A$2</f>
        <v>483101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IFERROR(VLOOKUP(B71,input_483101!L:R,7,FALSE),VLOOKUP(tables_483101!C71,input_483101!A:H,8,FALSE))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input_483101!A$2</f>
        <v>483101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IFERROR(VLOOKUP(B72,input_483101!L:R,7,FALSE),VLOOKUP(tables_483101!C72,input_483101!A:H,8,FALSE))</f>
        <v>199500</v>
      </c>
      <c r="P72" s="46">
        <f t="shared" ca="1" si="4"/>
        <v>5.1075268817348E-3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input_483101!A$2</f>
        <v>483101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IFERROR(VLOOKUP(B73,input_483101!L:R,7,FALSE),VLOOKUP(tables_483101!C73,input_483101!A:H,8,FALSE))</f>
        <v>164526.92308000001</v>
      </c>
      <c r="P73" s="46">
        <f t="shared" ca="1" si="4"/>
        <v>4.2121588090236282E-3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input_483101!A$2</f>
        <v>483101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IFERROR(VLOOKUP(B74,input_483101!L:R,7,FALSE),VLOOKUP(tables_483101!C74,input_483101!A:H,8,FALSE))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input_483101!A$2</f>
        <v>483101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IFERROR(VLOOKUP(B75,input_483101!L:R,7,FALSE),VLOOKUP(tables_483101!C75,input_483101!A:H,8,FALSE))</f>
        <v>199500</v>
      </c>
      <c r="P75" s="46">
        <f t="shared" ca="1" si="4"/>
        <v>5.1075268817348E-3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input_483101!A$2</f>
        <v>483101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IFERROR(VLOOKUP(B76,input_483101!L:R,7,FALSE),VLOOKUP(tables_483101!C76,input_483101!A:H,8,FALSE))</f>
        <v>164526.92308000001</v>
      </c>
      <c r="P76" s="46">
        <f t="shared" ca="1" si="4"/>
        <v>4.2121588090236282E-3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input_483101!A$2</f>
        <v>483101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IFERROR(VLOOKUP(B77,input_483101!L:R,7,FALSE),VLOOKUP(tables_483101!C77,input_483101!A:H,8,FALSE))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input_483101!A$2</f>
        <v>483101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IFERROR(VLOOKUP(B78,input_483101!L:R,7,FALSE),VLOOKUP(tables_483101!C78,input_483101!A:H,8,FALSE))</f>
        <v>199500</v>
      </c>
      <c r="P78" s="46">
        <f t="shared" ca="1" si="4"/>
        <v>5.1075268817348E-3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input_483101!A$2</f>
        <v>483101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IFERROR(VLOOKUP(B79,input_483101!L:R,7,FALSE),VLOOKUP(tables_483101!C79,input_483101!A:H,8,FALSE))</f>
        <v>164526.92308000001</v>
      </c>
      <c r="P79" s="46">
        <f t="shared" ca="1" si="4"/>
        <v>4.2121588090236282E-3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input_483101!A$2</f>
        <v>483101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IFERROR(VLOOKUP(B80,input_483101!L:R,7,FALSE),VLOOKUP(tables_483101!C80,input_483101!A:H,8,FALSE))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input_483101!A$2</f>
        <v>483101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IFERROR(VLOOKUP(B81,input_483101!L:R,7,FALSE),VLOOKUP(tables_483101!C81,input_483101!A:H,8,FALSE))</f>
        <v>199500</v>
      </c>
      <c r="P81" s="46">
        <f t="shared" ca="1" si="4"/>
        <v>5.1075268817348E-3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input_483101!A$2</f>
        <v>483101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IFERROR(VLOOKUP(B82,input_483101!L:R,7,FALSE),VLOOKUP(tables_483101!C82,input_483101!A:H,8,FALSE))</f>
        <v>164526.92308000001</v>
      </c>
      <c r="P82" s="46">
        <f t="shared" ca="1" si="4"/>
        <v>4.2121588090236282E-3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input_483101!A$2</f>
        <v>483101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IFERROR(VLOOKUP(B83,input_483101!L:R,7,FALSE),VLOOKUP(tables_483101!C83,input_483101!A:H,8,FALSE))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input_483101!A$2</f>
        <v>483101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IFERROR(VLOOKUP(B84,input_483101!L:R,7,FALSE),VLOOKUP(tables_483101!C84,input_483101!A:H,8,FALSE))</f>
        <v>199500</v>
      </c>
      <c r="P84" s="46">
        <f t="shared" ca="1" si="4"/>
        <v>5.1075268817348E-3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input_483101!A$2</f>
        <v>483101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IFERROR(VLOOKUP(B85,input_483101!L:R,7,FALSE),VLOOKUP(tables_483101!C85,input_483101!A:H,8,FALSE))</f>
        <v>164526.92308000001</v>
      </c>
      <c r="P85" s="46">
        <f t="shared" ca="1" si="4"/>
        <v>4.2121588090236282E-3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input_483101!A$2</f>
        <v>483101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IFERROR(VLOOKUP(B86,input_483101!L:R,7,FALSE),VLOOKUP(tables_483101!C86,input_483101!A:H,8,FALSE))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input_483101!A$2</f>
        <v>483101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IFERROR(VLOOKUP(B87,input_483101!L:R,7,FALSE),VLOOKUP(tables_483101!C87,input_483101!A:H,8,FALSE))</f>
        <v>199500</v>
      </c>
      <c r="P87" s="46">
        <f t="shared" ca="1" si="4"/>
        <v>5.1075268817348E-3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input_483101!A$2</f>
        <v>483101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IFERROR(VLOOKUP(B88,input_483101!L:R,7,FALSE),VLOOKUP(tables_483101!C88,input_483101!A:H,8,FALSE))</f>
        <v>164526.92308000001</v>
      </c>
      <c r="P88" s="46">
        <f t="shared" ca="1" si="4"/>
        <v>4.2121588090236282E-3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input_483101!A$2</f>
        <v>483101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IFERROR(VLOOKUP(B89,input_483101!L:R,7,FALSE),VLOOKUP(tables_483101!C89,input_483101!A:H,8,FALSE))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input_483101!A$2</f>
        <v>483101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IFERROR(VLOOKUP(B90,input_483101!L:R,7,FALSE),VLOOKUP(tables_483101!C90,input_483101!A:H,8,FALSE))</f>
        <v>199500</v>
      </c>
      <c r="P90" s="46">
        <f t="shared" ca="1" si="4"/>
        <v>5.1075268817348E-3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input_483101!A$2</f>
        <v>483101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IFERROR(VLOOKUP(B91,input_483101!L:R,7,FALSE),VLOOKUP(tables_483101!C91,input_483101!A:H,8,FALSE))</f>
        <v>164526.92308000001</v>
      </c>
      <c r="P91" s="46">
        <f t="shared" ca="1" si="4"/>
        <v>4.2121588090236282E-3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input_483101!A$2</f>
        <v>483101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IFERROR(VLOOKUP(B92,input_483101!L:R,7,FALSE),VLOOKUP(tables_483101!C92,input_483101!A:H,8,FALSE))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input_483101!A$2</f>
        <v>483101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IFERROR(VLOOKUP(B93,input_483101!L:R,7,FALSE),VLOOKUP(tables_483101!C93,input_483101!A:H,8,FALSE))</f>
        <v>199500</v>
      </c>
      <c r="P93" s="46">
        <f t="shared" ca="1" si="4"/>
        <v>5.1075268817348E-3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input_483101!A$2</f>
        <v>483101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IFERROR(VLOOKUP(B94,input_483101!L:R,7,FALSE),VLOOKUP(tables_483101!C94,input_483101!A:H,8,FALSE))</f>
        <v>164526.92308000001</v>
      </c>
      <c r="P94" s="46">
        <f t="shared" ca="1" si="4"/>
        <v>4.2121588090236282E-3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input_483101!A$2</f>
        <v>483101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IFERROR(VLOOKUP(B95,input_483101!L:R,7,FALSE),VLOOKUP(tables_483101!C95,input_483101!A:H,8,FALSE))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input_483101!A$2</f>
        <v>483101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IFERROR(VLOOKUP(B96,input_483101!L:R,7,FALSE),VLOOKUP(tables_483101!C96,input_483101!A:H,8,FALSE))</f>
        <v>199500</v>
      </c>
      <c r="P96" s="46">
        <f t="shared" ca="1" si="4"/>
        <v>5.1075268817348E-3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input_483101!A$2</f>
        <v>483101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IFERROR(VLOOKUP(B97,input_483101!L:R,7,FALSE),VLOOKUP(tables_483101!C97,input_483101!A:H,8,FALSE))</f>
        <v>164526.92308000001</v>
      </c>
      <c r="P97" s="46">
        <f t="shared" ca="1" si="4"/>
        <v>4.2121588090236282E-3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input_483101!A$2</f>
        <v>483101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IFERROR(VLOOKUP(B98,input_483101!L:R,7,FALSE),VLOOKUP(tables_483101!C98,input_483101!A:H,8,FALSE))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input_483101!A$2</f>
        <v>483101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IFERROR(VLOOKUP(B99,input_483101!L:R,7,FALSE),VLOOKUP(tables_483101!C99,input_483101!A:H,8,FALSE))</f>
        <v>199500</v>
      </c>
      <c r="P99" s="46">
        <f t="shared" ca="1" si="4"/>
        <v>5.1075268817348E-3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input_483101!A$2</f>
        <v>483101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IFERROR(VLOOKUP(B100,input_483101!L:R,7,FALSE),VLOOKUP(tables_483101!C100,input_483101!A:H,8,FALSE))</f>
        <v>164526.92308000001</v>
      </c>
      <c r="P100" s="46">
        <f t="shared" ca="1" si="4"/>
        <v>4.2121588090236282E-3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input_483101!A$2</f>
        <v>483101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IFERROR(VLOOKUP(B101,input_483101!L:R,7,FALSE),VLOOKUP(tables_483101!C101,input_483101!A:H,8,FALSE))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input_483101!A$2</f>
        <v>483101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IFERROR(VLOOKUP(B102,input_483101!L:R,7,FALSE),VLOOKUP(tables_483101!C102,input_483101!A:H,8,FALSE))</f>
        <v>199500</v>
      </c>
      <c r="P102" s="46">
        <f t="shared" ca="1" si="4"/>
        <v>5.1075268817348E-3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input_483101!A$2</f>
        <v>483101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IFERROR(VLOOKUP(B103,input_483101!L:R,7,FALSE),VLOOKUP(tables_483101!C103,input_483101!A:H,8,FALSE))</f>
        <v>164526.92308000001</v>
      </c>
      <c r="P103" s="46">
        <f t="shared" ca="1" si="4"/>
        <v>4.2121588090236282E-3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input_483101!A$2</f>
        <v>483101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IFERROR(VLOOKUP(B104,input_483101!L:R,7,FALSE),VLOOKUP(tables_483101!C104,input_483101!A:H,8,FALSE))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input_483101!A$2</f>
        <v>483101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IFERROR(VLOOKUP(B105,input_483101!L:R,7,FALSE),VLOOKUP(tables_483101!C105,input_483101!A:H,8,FALSE))</f>
        <v>199500</v>
      </c>
      <c r="P105" s="46">
        <f t="shared" ca="1" si="4"/>
        <v>5.1075268817348E-3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input_483101!A$2</f>
        <v>483101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IFERROR(VLOOKUP(B106,input_483101!L:R,7,FALSE),VLOOKUP(tables_483101!C106,input_483101!A:H,8,FALSE))</f>
        <v>164526.92308000001</v>
      </c>
      <c r="P106" s="46">
        <f t="shared" ca="1" si="4"/>
        <v>4.2121588090236282E-3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input_483101!A$2</f>
        <v>483101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IFERROR(VLOOKUP(B107,input_483101!L:R,7,FALSE),VLOOKUP(tables_483101!C107,input_483101!A:H,8,FALSE))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input_483101!A$2</f>
        <v>483101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IFERROR(VLOOKUP(B108,input_483101!L:R,7,FALSE),VLOOKUP(tables_483101!C108,input_483101!A:H,8,FALSE))</f>
        <v>199500</v>
      </c>
      <c r="P108" s="46">
        <f t="shared" ca="1" si="4"/>
        <v>5.1075268817348E-3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input_483101!A$2</f>
        <v>483101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IFERROR(VLOOKUP(B109,input_483101!L:R,7,FALSE),VLOOKUP(tables_483101!C109,input_483101!A:H,8,FALSE))</f>
        <v>164526.92308000001</v>
      </c>
      <c r="P109" s="46">
        <f t="shared" ca="1" si="4"/>
        <v>4.2121588090236282E-3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input_483101!A$2</f>
        <v>483101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IFERROR(VLOOKUP(B110,input_483101!L:R,7,FALSE),VLOOKUP(tables_483101!C110,input_483101!A:H,8,FALSE))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input_483101!A$2</f>
        <v>483101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IFERROR(VLOOKUP(B111,input_483101!L:R,7,FALSE),VLOOKUP(tables_483101!C111,input_483101!A:H,8,FALSE))</f>
        <v>199500</v>
      </c>
      <c r="P111" s="46">
        <f t="shared" ca="1" si="4"/>
        <v>5.1075268817348E-3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input_483101!A$2</f>
        <v>483101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IFERROR(VLOOKUP(B112,input_483101!L:R,7,FALSE),VLOOKUP(tables_483101!C112,input_483101!A:H,8,FALSE))</f>
        <v>179550</v>
      </c>
      <c r="P112" s="46">
        <f t="shared" ca="1" si="4"/>
        <v>4.5967741935613203E-3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input_483101!A$2</f>
        <v>483101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IFERROR(VLOOKUP(B113,input_483101!L:R,7,FALSE),VLOOKUP(tables_483101!C113,input_483101!A:H,8,FALSE))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input_483101!A$2</f>
        <v>483101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IFERROR(VLOOKUP(B114,input_483101!L:R,7,FALSE),VLOOKUP(tables_483101!C114,input_483101!A:H,8,FALSE))</f>
        <v>199500</v>
      </c>
      <c r="P114" s="46">
        <f t="shared" ca="1" si="4"/>
        <v>5.1075268817348E-3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input_483101!A$2</f>
        <v>483101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IFERROR(VLOOKUP(B115,input_483101!L:R,7,FALSE),VLOOKUP(tables_483101!C115,input_483101!A:H,8,FALSE))</f>
        <v>164526.92308000001</v>
      </c>
      <c r="P115" s="46">
        <f t="shared" ca="1" si="4"/>
        <v>4.2121588090236282E-3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input_483101!A$2</f>
        <v>483101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IFERROR(VLOOKUP(B116,input_483101!L:R,7,FALSE),VLOOKUP(tables_483101!C116,input_483101!A:H,8,FALSE))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input_483101!A$2</f>
        <v>483101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IFERROR(VLOOKUP(B117,input_483101!L:R,7,FALSE),VLOOKUP(tables_483101!C117,input_483101!A:H,8,FALSE))</f>
        <v>199500</v>
      </c>
      <c r="P117" s="46">
        <f t="shared" ca="1" si="4"/>
        <v>5.1075268817348E-3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input_483101!A$2</f>
        <v>483101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IFERROR(VLOOKUP(B118,input_483101!L:R,7,FALSE),VLOOKUP(tables_483101!C118,input_483101!A:H,8,FALSE))</f>
        <v>164526.92308000001</v>
      </c>
      <c r="P118" s="46">
        <f t="shared" ca="1" si="4"/>
        <v>4.2121588090236282E-3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input_483101!A$2</f>
        <v>483101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IFERROR(VLOOKUP(B119,input_483101!L:R,7,FALSE),VLOOKUP(tables_483101!C119,input_483101!A:H,8,FALSE))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input_483101!A$2</f>
        <v>483101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IFERROR(VLOOKUP(B120,input_483101!L:R,7,FALSE),VLOOKUP(tables_483101!C120,input_483101!A:H,8,FALSE))</f>
        <v>199500</v>
      </c>
      <c r="P120" s="46">
        <f t="shared" ca="1" si="4"/>
        <v>5.1075268817348E-3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input_483101!A$2</f>
        <v>483101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IFERROR(VLOOKUP(B121,input_483101!L:R,7,FALSE),VLOOKUP(tables_483101!C121,input_483101!A:H,8,FALSE))</f>
        <v>164526.92308000001</v>
      </c>
      <c r="P121" s="46">
        <f t="shared" ca="1" si="4"/>
        <v>4.2121588090236282E-3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input_483101!A$2</f>
        <v>483101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IFERROR(VLOOKUP(B122,input_483101!L:R,7,FALSE),VLOOKUP(tables_483101!C122,input_483101!A:H,8,FALSE))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input_483101!A$2</f>
        <v>483101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IFERROR(VLOOKUP(B123,input_483101!L:R,7,FALSE),VLOOKUP(tables_483101!C123,input_483101!A:H,8,FALSE))</f>
        <v>199500</v>
      </c>
      <c r="P123" s="46">
        <f t="shared" ca="1" si="4"/>
        <v>5.1075268817348E-3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input_483101!A$2</f>
        <v>483101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IFERROR(VLOOKUP(B124,input_483101!L:R,7,FALSE),VLOOKUP(tables_483101!C124,input_483101!A:H,8,FALSE))</f>
        <v>164526.92308000001</v>
      </c>
      <c r="P124" s="46">
        <f t="shared" ca="1" si="4"/>
        <v>4.2121588090236282E-3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input_483101!A$2</f>
        <v>483101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IFERROR(VLOOKUP(B125,input_483101!L:R,7,FALSE),VLOOKUP(tables_483101!C125,input_483101!A:H,8,FALSE))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input_483101!A$2</f>
        <v>483101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IFERROR(VLOOKUP(B126,input_483101!L:R,7,FALSE),VLOOKUP(tables_483101!C126,input_483101!A:H,8,FALSE))</f>
        <v>199500</v>
      </c>
      <c r="P126" s="46">
        <f t="shared" ca="1" si="4"/>
        <v>5.1075268817348E-3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input_483101!A$2</f>
        <v>483101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IFERROR(VLOOKUP(B127,input_483101!L:R,7,FALSE),VLOOKUP(tables_483101!C127,input_483101!A:H,8,FALSE))</f>
        <v>164526.92308000001</v>
      </c>
      <c r="P127" s="46">
        <f t="shared" ca="1" si="4"/>
        <v>4.2121588090236282E-3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input_483101!A$2</f>
        <v>483101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IFERROR(VLOOKUP(B128,input_483101!L:R,7,FALSE),VLOOKUP(tables_483101!C128,input_483101!A:H,8,FALSE))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input_483101!A$2</f>
        <v>483101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IFERROR(VLOOKUP(B129,input_483101!L:R,7,FALSE),VLOOKUP(tables_483101!C129,input_483101!A:H,8,FALSE))</f>
        <v>199500</v>
      </c>
      <c r="P129" s="46">
        <f t="shared" ca="1" si="4"/>
        <v>5.1075268817348E-3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input_483101!A$2</f>
        <v>483101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IFERROR(VLOOKUP(B130,input_483101!L:R,7,FALSE),VLOOKUP(tables_483101!C130,input_483101!A:H,8,FALSE))</f>
        <v>164526.92308000001</v>
      </c>
      <c r="P130" s="46">
        <f t="shared" ref="P130:P193" ca="1" si="7">O130/SUM(O:O)</f>
        <v>4.2121588090236282E-3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input_483101!A$2</f>
        <v>483101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IFERROR(VLOOKUP(B131,input_483101!L:R,7,FALSE),VLOOKUP(tables_483101!C131,input_483101!A:H,8,FALSE))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input_483101!A$2</f>
        <v>483101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IFERROR(VLOOKUP(B132,input_483101!L:R,7,FALSE),VLOOKUP(tables_483101!C132,input_483101!A:H,8,FALSE))</f>
        <v>199500</v>
      </c>
      <c r="P132" s="46">
        <f t="shared" ca="1" si="7"/>
        <v>5.1075268817348E-3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input_483101!A$2</f>
        <v>483101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IFERROR(VLOOKUP(B133,input_483101!L:R,7,FALSE),VLOOKUP(tables_483101!C133,input_483101!A:H,8,FALSE))</f>
        <v>164526.92308000001</v>
      </c>
      <c r="P133" s="46">
        <f t="shared" ca="1" si="7"/>
        <v>4.2121588090236282E-3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input_483101!A$2</f>
        <v>483101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IFERROR(VLOOKUP(B134,input_483101!L:R,7,FALSE),VLOOKUP(tables_483101!C134,input_483101!A:H,8,FALSE))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input_483101!A$2</f>
        <v>483101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IFERROR(VLOOKUP(B135,input_483101!L:R,7,FALSE),VLOOKUP(tables_483101!C135,input_483101!A:H,8,FALSE))</f>
        <v>199500</v>
      </c>
      <c r="P135" s="46">
        <f t="shared" ca="1" si="7"/>
        <v>5.1075268817348E-3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input_483101!A$2</f>
        <v>483101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IFERROR(VLOOKUP(B136,input_483101!L:R,7,FALSE),VLOOKUP(tables_483101!C136,input_483101!A:H,8,FALSE))</f>
        <v>164526.92308000001</v>
      </c>
      <c r="P136" s="46">
        <f t="shared" ca="1" si="7"/>
        <v>4.2121588090236282E-3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input_483101!A$2</f>
        <v>483101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IFERROR(VLOOKUP(B137,input_483101!L:R,7,FALSE),VLOOKUP(tables_483101!C137,input_483101!A:H,8,FALSE))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input_483101!A$2</f>
        <v>483101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IFERROR(VLOOKUP(B138,input_483101!L:R,7,FALSE),VLOOKUP(tables_483101!C138,input_483101!A:H,8,FALSE))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input_483101!A$2</f>
        <v>483101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IFERROR(VLOOKUP(B139,input_483101!L:R,7,FALSE),VLOOKUP(tables_483101!C139,input_483101!A:H,8,FALSE))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input_483101!A$2</f>
        <v>483101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IFERROR(VLOOKUP(B140,input_483101!L:R,7,FALSE),VLOOKUP(tables_483101!C140,input_483101!A:H,8,FALSE))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input_483101!A$2</f>
        <v>483101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IFERROR(VLOOKUP(B141,input_483101!L:R,7,FALSE),VLOOKUP(tables_483101!C141,input_483101!A:H,8,FALSE))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input_483101!A$2</f>
        <v>483101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IFERROR(VLOOKUP(B142,input_483101!L:R,7,FALSE),VLOOKUP(tables_483101!C142,input_483101!A:H,8,FALSE))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input_483101!A$2</f>
        <v>483101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IFERROR(VLOOKUP(B143,input_483101!L:R,7,FALSE),VLOOKUP(tables_483101!C143,input_483101!A:H,8,FALSE))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input_483101!A$2</f>
        <v>483101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IFERROR(VLOOKUP(B144,input_483101!L:R,7,FALSE),VLOOKUP(tables_483101!C144,input_483101!A:H,8,FALSE))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input_483101!A$2</f>
        <v>483101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IFERROR(VLOOKUP(B145,input_483101!L:R,7,FALSE),VLOOKUP(tables_483101!C145,input_483101!A:H,8,FALSE))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input_483101!A$2</f>
        <v>483101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IFERROR(VLOOKUP(B146,input_483101!L:R,7,FALSE),VLOOKUP(tables_483101!C146,input_483101!A:H,8,FALSE))</f>
        <v>199500</v>
      </c>
      <c r="P146" s="46">
        <f t="shared" ca="1" si="7"/>
        <v>5.1075268817348E-3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input_483101!A$2</f>
        <v>483101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IFERROR(VLOOKUP(B147,input_483101!L:R,7,FALSE),VLOOKUP(tables_483101!C147,input_483101!A:H,8,FALSE))</f>
        <v>164526.92308000001</v>
      </c>
      <c r="P147" s="46">
        <f t="shared" ca="1" si="7"/>
        <v>4.2121588090236282E-3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input_483101!A$2</f>
        <v>483101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IFERROR(VLOOKUP(B148,input_483101!L:R,7,FALSE),VLOOKUP(tables_483101!C148,input_483101!A:H,8,FALSE))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input_483101!A$2</f>
        <v>483101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IFERROR(VLOOKUP(B149,input_483101!L:R,7,FALSE),VLOOKUP(tables_483101!C149,input_483101!A:H,8,FALSE))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input_483101!A$2</f>
        <v>483101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IFERROR(VLOOKUP(B150,input_483101!L:R,7,FALSE),VLOOKUP(tables_483101!C150,input_483101!A:H,8,FALSE))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input_483101!A$2</f>
        <v>483101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IFERROR(VLOOKUP(B151,input_483101!L:R,7,FALSE),VLOOKUP(tables_483101!C151,input_483101!A:H,8,FALSE))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input_483101!A$2</f>
        <v>483101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IFERROR(VLOOKUP(B152,input_483101!L:R,7,FALSE),VLOOKUP(tables_483101!C152,input_483101!A:H,8,FALSE))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input_483101!A$2</f>
        <v>483101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IFERROR(VLOOKUP(B153,input_483101!L:R,7,FALSE),VLOOKUP(tables_483101!C153,input_483101!A:H,8,FALSE))</f>
        <v>199500</v>
      </c>
      <c r="P153" s="46">
        <f t="shared" ca="1" si="7"/>
        <v>5.1075268817348E-3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input_483101!A$2</f>
        <v>483101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IFERROR(VLOOKUP(B154,input_483101!L:R,7,FALSE),VLOOKUP(tables_483101!C154,input_483101!A:H,8,FALSE))</f>
        <v>164526.92308000001</v>
      </c>
      <c r="P154" s="46">
        <f t="shared" ca="1" si="7"/>
        <v>4.2121588090236282E-3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input_483101!A$2</f>
        <v>483101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IFERROR(VLOOKUP(B155,input_483101!L:R,7,FALSE),VLOOKUP(tables_483101!C155,input_483101!A:H,8,FALSE))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input_483101!A$2</f>
        <v>483101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IFERROR(VLOOKUP(B156,input_483101!L:R,7,FALSE),VLOOKUP(tables_483101!C156,input_483101!A:H,8,FALSE))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input_483101!A$2</f>
        <v>483101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IFERROR(VLOOKUP(B157,input_483101!L:R,7,FALSE),VLOOKUP(tables_483101!C157,input_483101!A:H,8,FALSE))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input_483101!A$2</f>
        <v>483101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IFERROR(VLOOKUP(B158,input_483101!L:R,7,FALSE),VLOOKUP(tables_483101!C158,input_483101!A:H,8,FALSE))</f>
        <v>199500</v>
      </c>
      <c r="P158" s="46">
        <f t="shared" ca="1" si="7"/>
        <v>5.1075268817348E-3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input_483101!A$2</f>
        <v>483101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IFERROR(VLOOKUP(B159,input_483101!L:R,7,FALSE),VLOOKUP(tables_483101!C159,input_483101!A:H,8,FALSE))</f>
        <v>164526.92308000001</v>
      </c>
      <c r="P159" s="46">
        <f t="shared" ca="1" si="7"/>
        <v>4.2121588090236282E-3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input_483101!A$2</f>
        <v>483101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IFERROR(VLOOKUP(B160,input_483101!L:R,7,FALSE),VLOOKUP(tables_483101!C160,input_483101!A:H,8,FALSE))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input_483101!A$2</f>
        <v>483101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IFERROR(VLOOKUP(B161,input_483101!L:R,7,FALSE),VLOOKUP(tables_483101!C161,input_483101!A:H,8,FALSE))</f>
        <v>199500</v>
      </c>
      <c r="P161" s="46">
        <f t="shared" ca="1" si="7"/>
        <v>5.1075268817348E-3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input_483101!A$2</f>
        <v>483101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IFERROR(VLOOKUP(B162,input_483101!L:R,7,FALSE),VLOOKUP(tables_483101!C162,input_483101!A:H,8,FALSE))</f>
        <v>164526.92308000001</v>
      </c>
      <c r="P162" s="46">
        <f t="shared" ca="1" si="7"/>
        <v>4.2121588090236282E-3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input_483101!A$2</f>
        <v>483101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IFERROR(VLOOKUP(B163,input_483101!L:R,7,FALSE),VLOOKUP(tables_483101!C163,input_483101!A:H,8,FALSE))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input_483101!A$2</f>
        <v>483101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IFERROR(VLOOKUP(B164,input_483101!L:R,7,FALSE),VLOOKUP(tables_483101!C164,input_483101!A:H,8,FALSE))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input_483101!A$2</f>
        <v>483101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IFERROR(VLOOKUP(B165,input_483101!L:R,7,FALSE),VLOOKUP(tables_483101!C165,input_483101!A:H,8,FALSE))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input_483101!A$2</f>
        <v>483101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IFERROR(VLOOKUP(B166,input_483101!L:R,7,FALSE),VLOOKUP(tables_483101!C166,input_483101!A:H,8,FALSE))</f>
        <v>199500</v>
      </c>
      <c r="P166" s="46">
        <f t="shared" ca="1" si="7"/>
        <v>5.1075268817348E-3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input_483101!A$2</f>
        <v>483101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IFERROR(VLOOKUP(B167,input_483101!L:R,7,FALSE),VLOOKUP(tables_483101!C167,input_483101!A:H,8,FALSE))</f>
        <v>164526.92308000001</v>
      </c>
      <c r="P167" s="46">
        <f t="shared" ca="1" si="7"/>
        <v>4.2121588090236282E-3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input_483101!A$2</f>
        <v>483101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IFERROR(VLOOKUP(B168,input_483101!L:R,7,FALSE),VLOOKUP(tables_483101!C168,input_483101!A:H,8,FALSE))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input_483101!A$2</f>
        <v>483101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IFERROR(VLOOKUP(B169,input_483101!L:R,7,FALSE),VLOOKUP(tables_483101!C169,input_483101!A:H,8,FALSE))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input_483101!A$2</f>
        <v>483101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IFERROR(VLOOKUP(B170,input_483101!L:R,7,FALSE),VLOOKUP(tables_483101!C170,input_483101!A:H,8,FALSE))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input_483101!A$2</f>
        <v>483101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IFERROR(VLOOKUP(B171,input_483101!L:R,7,FALSE),VLOOKUP(tables_483101!C171,input_483101!A:H,8,FALSE))</f>
        <v>199500</v>
      </c>
      <c r="P171" s="46">
        <f t="shared" ca="1" si="7"/>
        <v>5.1075268817348E-3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input_483101!A$2</f>
        <v>483101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IFERROR(VLOOKUP(B172,input_483101!L:R,7,FALSE),VLOOKUP(tables_483101!C172,input_483101!A:H,8,FALSE))</f>
        <v>164526.92308000001</v>
      </c>
      <c r="P172" s="46">
        <f t="shared" ca="1" si="7"/>
        <v>4.2121588090236282E-3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input_483101!A$2</f>
        <v>483101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IFERROR(VLOOKUP(B173,input_483101!L:R,7,FALSE),VLOOKUP(tables_483101!C173,input_483101!A:H,8,FALSE))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input_483101!A$2</f>
        <v>483101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IFERROR(VLOOKUP(B174,input_483101!L:R,7,FALSE),VLOOKUP(tables_483101!C174,input_483101!A:H,8,FALSE))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input_483101!A$2</f>
        <v>483101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IFERROR(VLOOKUP(B175,input_483101!L:R,7,FALSE),VLOOKUP(tables_483101!C175,input_483101!A:H,8,FALSE))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input_483101!A$2</f>
        <v>483101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IFERROR(VLOOKUP(B176,input_483101!L:R,7,FALSE),VLOOKUP(tables_483101!C176,input_483101!A:H,8,FALSE))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input_483101!A$2</f>
        <v>483101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IFERROR(VLOOKUP(B177,input_483101!L:R,7,FALSE),VLOOKUP(tables_483101!C177,input_483101!A:H,8,FALSE))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input_483101!A$2</f>
        <v>483101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IFERROR(VLOOKUP(B178,input_483101!L:R,7,FALSE),VLOOKUP(tables_483101!C178,input_483101!A:H,8,FALSE))</f>
        <v>199500</v>
      </c>
      <c r="P178" s="46">
        <f t="shared" ca="1" si="7"/>
        <v>5.1075268817348E-3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input_483101!A$2</f>
        <v>483101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IFERROR(VLOOKUP(B179,input_483101!L:R,7,FALSE),VLOOKUP(tables_483101!C179,input_483101!A:H,8,FALSE))</f>
        <v>164526.92308000001</v>
      </c>
      <c r="P179" s="46">
        <f t="shared" ca="1" si="7"/>
        <v>4.2121588090236282E-3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input_483101!A$2</f>
        <v>483101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IFERROR(VLOOKUP(B180,input_483101!L:R,7,FALSE),VLOOKUP(tables_483101!C180,input_483101!A:H,8,FALSE))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input_483101!A$2</f>
        <v>483101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IFERROR(VLOOKUP(B181,input_483101!L:R,7,FALSE),VLOOKUP(tables_483101!C181,input_483101!A:H,8,FALSE))</f>
        <v>199500</v>
      </c>
      <c r="P181" s="46">
        <f t="shared" ca="1" si="7"/>
        <v>5.1075268817348E-3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input_483101!A$2</f>
        <v>483101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IFERROR(VLOOKUP(B182,input_483101!L:R,7,FALSE),VLOOKUP(tables_483101!C182,input_483101!A:H,8,FALSE))</f>
        <v>164526.92308000001</v>
      </c>
      <c r="P182" s="46">
        <f t="shared" ca="1" si="7"/>
        <v>4.2121588090236282E-3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input_483101!A$2</f>
        <v>483101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IFERROR(VLOOKUP(B183,input_483101!L:R,7,FALSE),VLOOKUP(tables_483101!C183,input_483101!A:H,8,FALSE))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input_483101!A$2</f>
        <v>483101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IFERROR(VLOOKUP(B184,input_483101!L:R,7,FALSE),VLOOKUP(tables_483101!C184,input_483101!A:H,8,FALSE))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input_483101!A$2</f>
        <v>483101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IFERROR(VLOOKUP(B185,input_483101!L:R,7,FALSE),VLOOKUP(tables_483101!C185,input_483101!A:H,8,FALSE))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input_483101!A$2</f>
        <v>483101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IFERROR(VLOOKUP(B186,input_483101!L:R,7,FALSE),VLOOKUP(tables_483101!C186,input_483101!A:H,8,FALSE))</f>
        <v>199500</v>
      </c>
      <c r="P186" s="46">
        <f t="shared" ca="1" si="7"/>
        <v>5.1075268817348E-3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input_483101!A$2</f>
        <v>483101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IFERROR(VLOOKUP(B187,input_483101!L:R,7,FALSE),VLOOKUP(tables_483101!C187,input_483101!A:H,8,FALSE))</f>
        <v>164526.92308000001</v>
      </c>
      <c r="P187" s="46">
        <f t="shared" ca="1" si="7"/>
        <v>4.2121588090236282E-3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input_483101!A$2</f>
        <v>483101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IFERROR(VLOOKUP(B188,input_483101!L:R,7,FALSE),VLOOKUP(tables_483101!C188,input_483101!A:H,8,FALSE))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input_483101!A$2</f>
        <v>483101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IFERROR(VLOOKUP(B189,input_483101!L:R,7,FALSE),VLOOKUP(tables_483101!C189,input_483101!A:H,8,FALSE))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input_483101!A$2</f>
        <v>483101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IFERROR(VLOOKUP(B190,input_483101!L:R,7,FALSE),VLOOKUP(tables_483101!C190,input_483101!A:H,8,FALSE))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input_483101!A$2</f>
        <v>483101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IFERROR(VLOOKUP(B191,input_483101!L:R,7,FALSE),VLOOKUP(tables_483101!C191,input_483101!A:H,8,FALSE))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input_483101!A$2</f>
        <v>483101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IFERROR(VLOOKUP(B192,input_483101!L:R,7,FALSE),VLOOKUP(tables_483101!C192,input_483101!A:H,8,FALSE))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input_483101!A$2</f>
        <v>483101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IFERROR(VLOOKUP(B193,input_483101!L:R,7,FALSE),VLOOKUP(tables_483101!C193,input_483101!A:H,8,FALSE))</f>
        <v>199500</v>
      </c>
      <c r="P193" s="46">
        <f t="shared" ca="1" si="7"/>
        <v>5.1075268817348E-3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input_483101!A$2</f>
        <v>483101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IFERROR(VLOOKUP(B194,input_483101!L:R,7,FALSE),VLOOKUP(tables_483101!C194,input_483101!A:H,8,FALSE))</f>
        <v>164526.92308000001</v>
      </c>
      <c r="P194" s="46">
        <f t="shared" ref="P194:P257" ca="1" si="10">O194/SUM(O:O)</f>
        <v>4.2121588090236282E-3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input_483101!A$2</f>
        <v>483101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IFERROR(VLOOKUP(B195,input_483101!L:R,7,FALSE),VLOOKUP(tables_483101!C195,input_483101!A:H,8,FALSE))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input_483101!A$2</f>
        <v>483101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IFERROR(VLOOKUP(B196,input_483101!L:R,7,FALSE),VLOOKUP(tables_483101!C196,input_483101!A:H,8,FALSE))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input_483101!A$2</f>
        <v>483101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IFERROR(VLOOKUP(B197,input_483101!L:R,7,FALSE),VLOOKUP(tables_483101!C197,input_483101!A:H,8,FALSE))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input_483101!A$2</f>
        <v>483101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IFERROR(VLOOKUP(B198,input_483101!L:R,7,FALSE),VLOOKUP(tables_483101!C198,input_483101!A:H,8,FALSE))</f>
        <v>199500</v>
      </c>
      <c r="P198" s="46">
        <f t="shared" ca="1" si="10"/>
        <v>5.1075268817348E-3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input_483101!A$2</f>
        <v>483101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IFERROR(VLOOKUP(B199,input_483101!L:R,7,FALSE),VLOOKUP(tables_483101!C199,input_483101!A:H,8,FALSE))</f>
        <v>164526.92308000001</v>
      </c>
      <c r="P199" s="46">
        <f t="shared" ca="1" si="10"/>
        <v>4.2121588090236282E-3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input_483101!A$2</f>
        <v>483101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IFERROR(VLOOKUP(B200,input_483101!L:R,7,FALSE),VLOOKUP(tables_483101!C200,input_483101!A:H,8,FALSE))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input_483101!A$2</f>
        <v>483101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IFERROR(VLOOKUP(B201,input_483101!L:R,7,FALSE),VLOOKUP(tables_483101!C201,input_483101!A:H,8,FALSE))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input_483101!A$2</f>
        <v>483101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IFERROR(VLOOKUP(B202,input_483101!L:R,7,FALSE),VLOOKUP(tables_483101!C202,input_483101!A:H,8,FALSE))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input_483101!A$2</f>
        <v>483101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IFERROR(VLOOKUP(B203,input_483101!L:R,7,FALSE),VLOOKUP(tables_483101!C203,input_483101!A:H,8,FALSE))</f>
        <v>199500</v>
      </c>
      <c r="P203" s="46">
        <f t="shared" ca="1" si="10"/>
        <v>5.1075268817348E-3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input_483101!A$2</f>
        <v>483101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IFERROR(VLOOKUP(B204,input_483101!L:R,7,FALSE),VLOOKUP(tables_483101!C204,input_483101!A:H,8,FALSE))</f>
        <v>164526.92308000001</v>
      </c>
      <c r="P204" s="46">
        <f t="shared" ca="1" si="10"/>
        <v>4.2121588090236282E-3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input_483101!A$2</f>
        <v>483101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IFERROR(VLOOKUP(B205,input_483101!L:R,7,FALSE),VLOOKUP(tables_483101!C205,input_483101!A:H,8,FALSE))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input_483101!A$2</f>
        <v>483101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IFERROR(VLOOKUP(B206,input_483101!L:R,7,FALSE),VLOOKUP(tables_483101!C206,input_483101!A:H,8,FALSE))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input_483101!A$2</f>
        <v>483101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IFERROR(VLOOKUP(B207,input_483101!L:R,7,FALSE),VLOOKUP(tables_483101!C207,input_483101!A:H,8,FALSE))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input_483101!A$2</f>
        <v>483101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IFERROR(VLOOKUP(B208,input_483101!L:R,7,FALSE),VLOOKUP(tables_483101!C208,input_483101!A:H,8,FALSE))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input_483101!A$2</f>
        <v>483101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IFERROR(VLOOKUP(B209,input_483101!L:R,7,FALSE),VLOOKUP(tables_483101!C209,input_483101!A:H,8,FALSE))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input_483101!A$2</f>
        <v>483101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IFERROR(VLOOKUP(B210,input_483101!L:R,7,FALSE),VLOOKUP(tables_483101!C210,input_483101!A:H,8,FALSE))</f>
        <v>199500</v>
      </c>
      <c r="P210" s="46">
        <f t="shared" ca="1" si="10"/>
        <v>5.1075268817348E-3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input_483101!A$2</f>
        <v>483101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IFERROR(VLOOKUP(B211,input_483101!L:R,7,FALSE),VLOOKUP(tables_483101!C211,input_483101!A:H,8,FALSE))</f>
        <v>164526.92308000001</v>
      </c>
      <c r="P211" s="46">
        <f t="shared" ca="1" si="10"/>
        <v>4.2121588090236282E-3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input_483101!A$2</f>
        <v>483101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IFERROR(VLOOKUP(B212,input_483101!L:R,7,FALSE),VLOOKUP(tables_483101!C212,input_483101!A:H,8,FALSE))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input_483101!A$2</f>
        <v>483101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IFERROR(VLOOKUP(B213,input_483101!L:R,7,FALSE),VLOOKUP(tables_483101!C213,input_483101!A:H,8,FALSE))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input_483101!A$2</f>
        <v>483101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IFERROR(VLOOKUP(B214,input_483101!L:R,7,FALSE),VLOOKUP(tables_483101!C214,input_483101!A:H,8,FALSE))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input_483101!A$2</f>
        <v>483101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IFERROR(VLOOKUP(B215,input_483101!L:R,7,FALSE),VLOOKUP(tables_483101!C215,input_483101!A:H,8,FALSE))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input_483101!A$2</f>
        <v>483101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IFERROR(VLOOKUP(B216,input_483101!L:R,7,FALSE),VLOOKUP(tables_483101!C216,input_483101!A:H,8,FALSE))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input_483101!A$2</f>
        <v>483101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IFERROR(VLOOKUP(B217,input_483101!L:R,7,FALSE),VLOOKUP(tables_483101!C217,input_483101!A:H,8,FALSE))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input_483101!A$2</f>
        <v>483101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IFERROR(VLOOKUP(B218,input_483101!L:R,7,FALSE),VLOOKUP(tables_483101!C218,input_483101!A:H,8,FALSE))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input_483101!A$2</f>
        <v>483101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IFERROR(VLOOKUP(B219,input_483101!L:R,7,FALSE),VLOOKUP(tables_483101!C219,input_483101!A:H,8,FALSE))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input_483101!A$2</f>
        <v>483101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IFERROR(VLOOKUP(B220,input_483101!L:R,7,FALSE),VLOOKUP(tables_483101!C220,input_483101!A:H,8,FALSE))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input_483101!A$2</f>
        <v>483101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IFERROR(VLOOKUP(B221,input_483101!L:R,7,FALSE),VLOOKUP(tables_483101!C221,input_483101!A:H,8,FALSE))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input_483101!A$2</f>
        <v>483101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IFERROR(VLOOKUP(B222,input_483101!L:R,7,FALSE),VLOOKUP(tables_483101!C222,input_483101!A:H,8,FALSE))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input_483101!A$2</f>
        <v>483101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IFERROR(VLOOKUP(B223,input_483101!L:R,7,FALSE),VLOOKUP(tables_483101!C223,input_483101!A:H,8,FALSE))</f>
        <v>199500</v>
      </c>
      <c r="P223" s="46">
        <f t="shared" ca="1" si="10"/>
        <v>5.1075268817348E-3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input_483101!A$2</f>
        <v>483101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IFERROR(VLOOKUP(B224,input_483101!L:R,7,FALSE),VLOOKUP(tables_483101!C224,input_483101!A:H,8,FALSE))</f>
        <v>164526.92308000001</v>
      </c>
      <c r="P224" s="46">
        <f t="shared" ca="1" si="10"/>
        <v>4.2121588090236282E-3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input_483101!A$2</f>
        <v>483101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IFERROR(VLOOKUP(B225,input_483101!L:R,7,FALSE),VLOOKUP(tables_483101!C225,input_483101!A:H,8,FALSE))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input_483101!A$2</f>
        <v>483101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IFERROR(VLOOKUP(B226,input_483101!L:R,7,FALSE),VLOOKUP(tables_483101!C226,input_483101!A:H,8,FALSE))</f>
        <v>199500</v>
      </c>
      <c r="P226" s="46">
        <f t="shared" ca="1" si="10"/>
        <v>5.1075268817348E-3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input_483101!A$2</f>
        <v>483101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IFERROR(VLOOKUP(B227,input_483101!L:R,7,FALSE),VLOOKUP(tables_483101!C227,input_483101!A:H,8,FALSE))</f>
        <v>164526.92308000001</v>
      </c>
      <c r="P227" s="46">
        <f t="shared" ca="1" si="10"/>
        <v>4.2121588090236282E-3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input_483101!A$2</f>
        <v>483101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IFERROR(VLOOKUP(B228,input_483101!L:R,7,FALSE),VLOOKUP(tables_483101!C228,input_483101!A:H,8,FALSE))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input_483101!A$2</f>
        <v>483101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IFERROR(VLOOKUP(B229,input_483101!L:R,7,FALSE),VLOOKUP(tables_483101!C229,input_483101!A:H,8,FALSE))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input_483101!A$2</f>
        <v>483101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IFERROR(VLOOKUP(B230,input_483101!L:R,7,FALSE),VLOOKUP(tables_483101!C230,input_483101!A:H,8,FALSE))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input_483101!A$2</f>
        <v>483101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IFERROR(VLOOKUP(B231,input_483101!L:R,7,FALSE),VLOOKUP(tables_483101!C231,input_483101!A:H,8,FALSE))</f>
        <v>199500</v>
      </c>
      <c r="P231" s="46">
        <f t="shared" ca="1" si="10"/>
        <v>5.1075268817348E-3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input_483101!A$2</f>
        <v>483101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IFERROR(VLOOKUP(B232,input_483101!L:R,7,FALSE),VLOOKUP(tables_483101!C232,input_483101!A:H,8,FALSE))</f>
        <v>164526.92308000001</v>
      </c>
      <c r="P232" s="46">
        <f t="shared" ca="1" si="10"/>
        <v>4.2121588090236282E-3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input_483101!A$2</f>
        <v>483101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IFERROR(VLOOKUP(B233,input_483101!L:R,7,FALSE),VLOOKUP(tables_483101!C233,input_483101!A:H,8,FALSE))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input_483101!A$2</f>
        <v>483101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IFERROR(VLOOKUP(B234,input_483101!L:R,7,FALSE),VLOOKUP(tables_483101!C234,input_483101!A:H,8,FALSE))</f>
        <v>199500</v>
      </c>
      <c r="P234" s="46">
        <f t="shared" ca="1" si="10"/>
        <v>5.1075268817348E-3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input_483101!A$2</f>
        <v>483101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IFERROR(VLOOKUP(B235,input_483101!L:R,7,FALSE),VLOOKUP(tables_483101!C235,input_483101!A:H,8,FALSE))</f>
        <v>164526.92308000001</v>
      </c>
      <c r="P235" s="46">
        <f t="shared" ca="1" si="10"/>
        <v>4.2121588090236282E-3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input_483101!A$2</f>
        <v>483101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IFERROR(VLOOKUP(B236,input_483101!L:R,7,FALSE),VLOOKUP(tables_483101!C236,input_483101!A:H,8,FALSE))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input_483101!A$2</f>
        <v>483101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IFERROR(VLOOKUP(B237,input_483101!L:R,7,FALSE),VLOOKUP(tables_483101!C237,input_483101!A:H,8,FALSE))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input_483101!A$2</f>
        <v>483101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IFERROR(VLOOKUP(B238,input_483101!L:R,7,FALSE),VLOOKUP(tables_483101!C238,input_483101!A:H,8,FALSE))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input_483101!A$2</f>
        <v>483101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IFERROR(VLOOKUP(B239,input_483101!L:R,7,FALSE),VLOOKUP(tables_483101!C239,input_483101!A:H,8,FALSE))</f>
        <v>199500</v>
      </c>
      <c r="P239" s="46">
        <f t="shared" ca="1" si="10"/>
        <v>5.1075268817348E-3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input_483101!A$2</f>
        <v>483101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IFERROR(VLOOKUP(B240,input_483101!L:R,7,FALSE),VLOOKUP(tables_483101!C240,input_483101!A:H,8,FALSE))</f>
        <v>164526.92308000001</v>
      </c>
      <c r="P240" s="46">
        <f t="shared" ca="1" si="10"/>
        <v>4.2121588090236282E-3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input_483101!A$2</f>
        <v>483101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IFERROR(VLOOKUP(B241,input_483101!L:R,7,FALSE),VLOOKUP(tables_483101!C241,input_483101!A:H,8,FALSE))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input_483101!A$2</f>
        <v>483101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IFERROR(VLOOKUP(B242,input_483101!L:R,7,FALSE),VLOOKUP(tables_483101!C242,input_483101!A:H,8,FALSE))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input_483101!A$2</f>
        <v>483101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IFERROR(VLOOKUP(B243,input_483101!L:R,7,FALSE),VLOOKUP(tables_483101!C243,input_483101!A:H,8,FALSE))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input_483101!A$2</f>
        <v>483101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IFERROR(VLOOKUP(B244,input_483101!L:R,7,FALSE),VLOOKUP(tables_483101!C244,input_483101!A:H,8,FALSE))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input_483101!A$2</f>
        <v>483101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IFERROR(VLOOKUP(B245,input_483101!L:R,7,FALSE),VLOOKUP(tables_483101!C245,input_483101!A:H,8,FALSE))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input_483101!A$2</f>
        <v>483101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IFERROR(VLOOKUP(B246,input_483101!L:R,7,FALSE),VLOOKUP(tables_483101!C246,input_483101!A:H,8,FALSE))</f>
        <v>199500</v>
      </c>
      <c r="P246" s="46">
        <f t="shared" ca="1" si="10"/>
        <v>5.1075268817348E-3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input_483101!A$2</f>
        <v>483101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IFERROR(VLOOKUP(B247,input_483101!L:R,7,FALSE),VLOOKUP(tables_483101!C247,input_483101!A:H,8,FALSE))</f>
        <v>164526.92308000001</v>
      </c>
      <c r="P247" s="46">
        <f t="shared" ca="1" si="10"/>
        <v>4.2121588090236282E-3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input_483101!A$2</f>
        <v>483101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IFERROR(VLOOKUP(B248,input_483101!L:R,7,FALSE),VLOOKUP(tables_483101!C248,input_483101!A:H,8,FALSE))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input_483101!A$2</f>
        <v>483101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IFERROR(VLOOKUP(B249,input_483101!L:R,7,FALSE),VLOOKUP(tables_483101!C249,input_483101!A:H,8,FALSE))</f>
        <v>199500</v>
      </c>
      <c r="P249" s="46">
        <f t="shared" ca="1" si="10"/>
        <v>5.1075268817348E-3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input_483101!A$2</f>
        <v>483101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IFERROR(VLOOKUP(B250,input_483101!L:R,7,FALSE),VLOOKUP(tables_483101!C250,input_483101!A:H,8,FALSE))</f>
        <v>164526.92308000001</v>
      </c>
      <c r="P250" s="46">
        <f t="shared" ca="1" si="10"/>
        <v>4.2121588090236282E-3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input_483101!A$2</f>
        <v>483101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IFERROR(VLOOKUP(B251,input_483101!L:R,7,FALSE),VLOOKUP(tables_483101!C251,input_483101!A:H,8,FALSE))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input_483101!A$2</f>
        <v>483101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IFERROR(VLOOKUP(B252,input_483101!L:R,7,FALSE),VLOOKUP(tables_483101!C252,input_483101!A:H,8,FALSE))</f>
        <v>199500</v>
      </c>
      <c r="P252" s="46">
        <f t="shared" ca="1" si="10"/>
        <v>5.1075268817348E-3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input_483101!A$2</f>
        <v>483101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IFERROR(VLOOKUP(B253,input_483101!L:R,7,FALSE),VLOOKUP(tables_483101!C253,input_483101!A:H,8,FALSE))</f>
        <v>164526.92308000001</v>
      </c>
      <c r="P253" s="46">
        <f t="shared" ca="1" si="10"/>
        <v>4.2121588090236282E-3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input_483101!A$2</f>
        <v>483101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IFERROR(VLOOKUP(B254,input_483101!L:R,7,FALSE),VLOOKUP(tables_483101!C254,input_483101!A:H,8,FALSE))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input_483101!A$2</f>
        <v>483101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IFERROR(VLOOKUP(B255,input_483101!L:R,7,FALSE),VLOOKUP(tables_483101!C255,input_483101!A:H,8,FALSE))</f>
        <v>199500</v>
      </c>
      <c r="P255" s="46">
        <f t="shared" ca="1" si="10"/>
        <v>5.1075268817348E-3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input_483101!A$2</f>
        <v>483101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IFERROR(VLOOKUP(B256,input_483101!L:R,7,FALSE),VLOOKUP(tables_483101!C256,input_483101!A:H,8,FALSE))</f>
        <v>164526.92308000001</v>
      </c>
      <c r="P256" s="46">
        <f t="shared" ca="1" si="10"/>
        <v>4.2121588090236282E-3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input_483101!A$2</f>
        <v>483101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IFERROR(VLOOKUP(B257,input_483101!L:R,7,FALSE),VLOOKUP(tables_483101!C257,input_483101!A:H,8,FALSE))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input_483101!A$2</f>
        <v>483101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IFERROR(VLOOKUP(B258,input_483101!L:R,7,FALSE),VLOOKUP(tables_483101!C258,input_483101!A:H,8,FALSE))</f>
        <v>29450</v>
      </c>
      <c r="P258" s="46">
        <f t="shared" ref="P258:P321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input_483101!A$2</f>
        <v>483101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IFERROR(VLOOKUP(B259,input_483101!L:R,7,FALSE),VLOOKUP(tables_483101!C259,input_483101!A:H,8,FALSE))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input_483101!A$2</f>
        <v>483101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IFERROR(VLOOKUP(B260,input_483101!L:R,7,FALSE),VLOOKUP(tables_483101!C260,input_483101!A:H,8,FALSE))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input_483101!A$2</f>
        <v>483101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IFERROR(VLOOKUP(B261,input_483101!L:R,7,FALSE),VLOOKUP(tables_483101!C261,input_483101!A:H,8,FALSE))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input_483101!A$2</f>
        <v>483101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IFERROR(VLOOKUP(B262,input_483101!L:R,7,FALSE),VLOOKUP(tables_483101!C262,input_483101!A:H,8,FALSE))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input_483101!A$2</f>
        <v>483101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IFERROR(VLOOKUP(B263,input_483101!L:R,7,FALSE),VLOOKUP(tables_483101!C263,input_483101!A:H,8,FALSE))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input_483101!A$2</f>
        <v>483101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IFERROR(VLOOKUP(B264,input_483101!L:R,7,FALSE),VLOOKUP(tables_483101!C264,input_483101!A:H,8,FALSE))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input_483101!A$2</f>
        <v>483101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IFERROR(VLOOKUP(B265,input_483101!L:R,7,FALSE),VLOOKUP(tables_483101!C265,input_483101!A:H,8,FALSE))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input_483101!A$2</f>
        <v>483101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IFERROR(VLOOKUP(B266,input_483101!L:R,7,FALSE),VLOOKUP(tables_483101!C266,input_483101!A:H,8,FALSE))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input_483101!A$2</f>
        <v>483101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IFERROR(VLOOKUP(B267,input_483101!L:R,7,FALSE),VLOOKUP(tables_483101!C267,input_483101!A:H,8,FALSE))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input_483101!A$2</f>
        <v>483101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IFERROR(VLOOKUP(B268,input_483101!L:R,7,FALSE),VLOOKUP(tables_483101!C268,input_483101!A:H,8,FALSE))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input_483101!A$2</f>
        <v>483101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IFERROR(VLOOKUP(B269,input_483101!L:R,7,FALSE),VLOOKUP(tables_483101!C269,input_483101!A:H,8,FALSE))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input_483101!A$2</f>
        <v>483101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IFERROR(VLOOKUP(B270,input_483101!L:R,7,FALSE),VLOOKUP(tables_483101!C270,input_483101!A:H,8,FALSE))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input_483101!A$2</f>
        <v>483101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IFERROR(VLOOKUP(B271,input_483101!L:R,7,FALSE),VLOOKUP(tables_483101!C271,input_483101!A:H,8,FALSE))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input_483101!A$2</f>
        <v>483101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IFERROR(VLOOKUP(B272,input_483101!L:R,7,FALSE),VLOOKUP(tables_483101!C272,input_483101!A:H,8,FALSE))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input_483101!A$2</f>
        <v>483101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IFERROR(VLOOKUP(B273,input_483101!L:R,7,FALSE),VLOOKUP(tables_483101!C273,input_483101!A:H,8,FALSE))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input_483101!A$2</f>
        <v>483101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IFERROR(VLOOKUP(B274,input_483101!L:R,7,FALSE),VLOOKUP(tables_483101!C274,input_483101!A:H,8,FALSE))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input_483101!A$2</f>
        <v>483101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IFERROR(VLOOKUP(B275,input_483101!L:R,7,FALSE),VLOOKUP(tables_483101!C275,input_483101!A:H,8,FALSE))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input_483101!A$2</f>
        <v>483101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IFERROR(VLOOKUP(B276,input_483101!L:R,7,FALSE),VLOOKUP(tables_483101!C276,input_483101!A:H,8,FALSE))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input_483101!A$2</f>
        <v>483101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IFERROR(VLOOKUP(B277,input_483101!L:R,7,FALSE),VLOOKUP(tables_483101!C277,input_483101!A:H,8,FALSE))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input_483101!A$2</f>
        <v>483101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IFERROR(VLOOKUP(B278,input_483101!L:R,7,FALSE),VLOOKUP(tables_483101!C278,input_483101!A:H,8,FALSE))</f>
        <v>199500</v>
      </c>
      <c r="P278" s="46">
        <f t="shared" ca="1" si="13"/>
        <v>5.1075268817348E-3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input_483101!A$2</f>
        <v>483101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IFERROR(VLOOKUP(B279,input_483101!L:R,7,FALSE),VLOOKUP(tables_483101!C279,input_483101!A:H,8,FALSE))</f>
        <v>164526.92308000001</v>
      </c>
      <c r="P279" s="46">
        <f t="shared" ca="1" si="13"/>
        <v>4.2121588090236282E-3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input_483101!A$2</f>
        <v>483101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IFERROR(VLOOKUP(B280,input_483101!L:R,7,FALSE),VLOOKUP(tables_483101!C280,input_483101!A:H,8,FALSE))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input_483101!A$2</f>
        <v>483101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IFERROR(VLOOKUP(B281,input_483101!L:R,7,FALSE),VLOOKUP(tables_483101!C281,input_483101!A:H,8,FALSE))</f>
        <v>199500</v>
      </c>
      <c r="P281" s="46">
        <f t="shared" ca="1" si="13"/>
        <v>5.1075268817348E-3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input_483101!A$2</f>
        <v>483101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IFERROR(VLOOKUP(B282,input_483101!L:R,7,FALSE),VLOOKUP(tables_483101!C282,input_483101!A:H,8,FALSE))</f>
        <v>164526.92308000001</v>
      </c>
      <c r="P282" s="46">
        <f t="shared" ca="1" si="13"/>
        <v>4.2121588090236282E-3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input_483101!A$2</f>
        <v>483101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IFERROR(VLOOKUP(B283,input_483101!L:R,7,FALSE),VLOOKUP(tables_483101!C283,input_483101!A:H,8,FALSE))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input_483101!A$2</f>
        <v>483101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IFERROR(VLOOKUP(B284,input_483101!L:R,7,FALSE),VLOOKUP(tables_483101!C284,input_483101!A:H,8,FALSE))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input_483101!A$2</f>
        <v>483101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IFERROR(VLOOKUP(B285,input_483101!L:R,7,FALSE),VLOOKUP(tables_483101!C285,input_483101!A:H,8,FALSE))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input_483101!A$2</f>
        <v>483101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IFERROR(VLOOKUP(B286,input_483101!L:R,7,FALSE),VLOOKUP(tables_483101!C286,input_483101!A:H,8,FALSE))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input_483101!A$2</f>
        <v>483101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IFERROR(VLOOKUP(B287,input_483101!L:R,7,FALSE),VLOOKUP(tables_483101!C287,input_483101!A:H,8,FALSE))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input_483101!A$2</f>
        <v>483101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IFERROR(VLOOKUP(B288,input_483101!L:R,7,FALSE),VLOOKUP(tables_483101!C288,input_483101!A:H,8,FALSE))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input_483101!A$2</f>
        <v>483101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IFERROR(VLOOKUP(B289,input_483101!L:R,7,FALSE),VLOOKUP(tables_483101!C289,input_483101!A:H,8,FALSE))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input_483101!A$2</f>
        <v>483101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IFERROR(VLOOKUP(B290,input_483101!L:R,7,FALSE),VLOOKUP(tables_483101!C290,input_483101!A:H,8,FALSE))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input_483101!A$2</f>
        <v>483101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IFERROR(VLOOKUP(B291,input_483101!L:R,7,FALSE),VLOOKUP(tables_483101!C291,input_483101!A:H,8,FALSE))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input_483101!A$2</f>
        <v>483101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IFERROR(VLOOKUP(B292,input_483101!L:R,7,FALSE),VLOOKUP(tables_483101!C292,input_483101!A:H,8,FALSE))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input_483101!A$2</f>
        <v>483101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IFERROR(VLOOKUP(B293,input_483101!L:R,7,FALSE),VLOOKUP(tables_483101!C293,input_483101!A:H,8,FALSE))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input_483101!A$2</f>
        <v>483101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IFERROR(VLOOKUP(B294,input_483101!L:R,7,FALSE),VLOOKUP(tables_483101!C294,input_483101!A:H,8,FALSE))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input_483101!A$2</f>
        <v>483101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IFERROR(VLOOKUP(B295,input_483101!L:R,7,FALSE),VLOOKUP(tables_483101!C295,input_483101!A:H,8,FALSE))</f>
        <v>31000</v>
      </c>
      <c r="P295" s="46">
        <f t="shared" ca="1" si="13"/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input_483101!A$2</f>
        <v>483101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IFERROR(VLOOKUP(B296,input_483101!L:R,7,FALSE),VLOOKUP(tables_483101!C296,input_483101!A:H,8,FALSE))</f>
        <v>31000</v>
      </c>
      <c r="P296" s="46">
        <f t="shared" ca="1" si="13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input_483101!A$2</f>
        <v>483101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IFERROR(VLOOKUP(B297,input_483101!L:R,7,FALSE),VLOOKUP(tables_483101!C297,input_483101!A:H,8,FALSE))</f>
        <v>372008.82352999999</v>
      </c>
      <c r="P297" s="46">
        <f t="shared" ca="1" si="13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input_483101!A$2</f>
        <v>483101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IFERROR(VLOOKUP(B298,input_483101!L:R,7,FALSE),VLOOKUP(tables_483101!C298,input_483101!A:H,8,FALSE))</f>
        <v>19950</v>
      </c>
      <c r="P298" s="46">
        <f t="shared" ca="1" si="13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input_483101!A$2</f>
        <v>483101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IFERROR(VLOOKUP(B299,input_483101!L:R,7,FALSE),VLOOKUP(tables_483101!C299,input_483101!A:H,8,FALSE))</f>
        <v>31000</v>
      </c>
      <c r="P299" s="46">
        <f t="shared" ca="1" si="13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input_483101!A$2</f>
        <v>483101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IFERROR(VLOOKUP(B300,input_483101!L:R,7,FALSE),VLOOKUP(tables_483101!C300,input_483101!A:H,8,FALSE))</f>
        <v>31000</v>
      </c>
      <c r="P300" s="46">
        <f t="shared" ca="1" si="13"/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input_483101!A$2</f>
        <v>483101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IFERROR(VLOOKUP(B301,input_483101!L:R,7,FALSE),VLOOKUP(tables_483101!C301,input_483101!A:H,8,FALSE))</f>
        <v>31000</v>
      </c>
      <c r="P301" s="46">
        <f t="shared" ca="1" si="13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input_483101!A$2</f>
        <v>483101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IFERROR(VLOOKUP(B302,input_483101!L:R,7,FALSE),VLOOKUP(tables_483101!C302,input_483101!A:H,8,FALSE))</f>
        <v>31000</v>
      </c>
      <c r="P302" s="46">
        <f t="shared" ca="1" si="13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input_483101!A$2</f>
        <v>483101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IFERROR(VLOOKUP(B303,input_483101!L:R,7,FALSE),VLOOKUP(tables_483101!C303,input_483101!A:H,8,FALSE))</f>
        <v>372008.82352999999</v>
      </c>
      <c r="P303" s="46">
        <f t="shared" ca="1" si="13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input_483101!A$2</f>
        <v>483101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IFERROR(VLOOKUP(B304,input_483101!L:R,7,FALSE),VLOOKUP(tables_483101!C304,input_483101!A:H,8,FALSE))</f>
        <v>19950</v>
      </c>
      <c r="P304" s="46">
        <f t="shared" ca="1" si="13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input_483101!A$2</f>
        <v>483101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IFERROR(VLOOKUP(B305,input_483101!L:R,7,FALSE),VLOOKUP(tables_483101!C305,input_483101!A:H,8,FALSE))</f>
        <v>31000</v>
      </c>
      <c r="P305" s="46">
        <f t="shared" ca="1" si="13"/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input_483101!A$2</f>
        <v>483101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IFERROR(VLOOKUP(B306,input_483101!L:R,7,FALSE),VLOOKUP(tables_483101!C306,input_483101!A:H,8,FALSE))</f>
        <v>372008.82352999999</v>
      </c>
      <c r="P306" s="46">
        <f t="shared" ca="1" si="13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input_483101!A$2</f>
        <v>483101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IFERROR(VLOOKUP(B307,input_483101!L:R,7,FALSE),VLOOKUP(tables_483101!C307,input_483101!A:H,8,FALSE))</f>
        <v>19950</v>
      </c>
      <c r="P307" s="46">
        <f t="shared" ca="1" si="13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input_483101!A$2</f>
        <v>483101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IFERROR(VLOOKUP(B308,input_483101!L:R,7,FALSE),VLOOKUP(tables_483101!C308,input_483101!A:H,8,FALSE))</f>
        <v>31000</v>
      </c>
      <c r="P308" s="46">
        <f t="shared" ca="1" si="13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input_483101!A$2</f>
        <v>483101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IFERROR(VLOOKUP(B309,input_483101!L:R,7,FALSE),VLOOKUP(tables_483101!C309,input_483101!A:H,8,FALSE))</f>
        <v>31000</v>
      </c>
      <c r="P309" s="46">
        <f t="shared" ca="1" si="13"/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input_483101!A$2</f>
        <v>483101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IFERROR(VLOOKUP(B310,input_483101!L:R,7,FALSE),VLOOKUP(tables_483101!C310,input_483101!A:H,8,FALSE))</f>
        <v>31000</v>
      </c>
      <c r="P310" s="46">
        <f t="shared" ca="1" si="13"/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input_483101!A$2</f>
        <v>483101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IFERROR(VLOOKUP(B311,input_483101!L:R,7,FALSE),VLOOKUP(tables_483101!C311,input_483101!A:H,8,FALSE))</f>
        <v>372008.82352999999</v>
      </c>
      <c r="P311" s="46">
        <f t="shared" ca="1" si="13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input_483101!A$2</f>
        <v>483101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IFERROR(VLOOKUP(B312,input_483101!L:R,7,FALSE),VLOOKUP(tables_483101!C312,input_483101!A:H,8,FALSE))</f>
        <v>19950</v>
      </c>
      <c r="P312" s="46">
        <f t="shared" ca="1" si="13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input_483101!A$2</f>
        <v>483101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IFERROR(VLOOKUP(B313,input_483101!L:R,7,FALSE),VLOOKUP(tables_483101!C313,input_483101!A:H,8,FALSE))</f>
        <v>31000</v>
      </c>
      <c r="P313" s="46">
        <f t="shared" ca="1" si="13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input_483101!A$2</f>
        <v>483101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IFERROR(VLOOKUP(B314,input_483101!L:R,7,FALSE),VLOOKUP(tables_483101!C314,input_483101!A:H,8,FALSE))</f>
        <v>31000</v>
      </c>
      <c r="P314" s="46">
        <f t="shared" ca="1" si="13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input_483101!A$2</f>
        <v>483101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IFERROR(VLOOKUP(B315,input_483101!L:R,7,FALSE),VLOOKUP(tables_483101!C315,input_483101!A:H,8,FALSE))</f>
        <v>31000</v>
      </c>
      <c r="P315" s="46">
        <f t="shared" ca="1" si="13"/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input_483101!A$2</f>
        <v>483101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IFERROR(VLOOKUP(B316,input_483101!L:R,7,FALSE),VLOOKUP(tables_483101!C316,input_483101!A:H,8,FALSE))</f>
        <v>31000</v>
      </c>
      <c r="P316" s="46">
        <f t="shared" ca="1" si="13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input_483101!A$2</f>
        <v>483101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IFERROR(VLOOKUP(B317,input_483101!L:R,7,FALSE),VLOOKUP(tables_483101!C317,input_483101!A:H,8,FALSE))</f>
        <v>31000</v>
      </c>
      <c r="P317" s="46">
        <f t="shared" ca="1" si="13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input_483101!A$2</f>
        <v>483101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IFERROR(VLOOKUP(B318,input_483101!L:R,7,FALSE),VLOOKUP(tables_483101!C318,input_483101!A:H,8,FALSE))</f>
        <v>372008.82352999999</v>
      </c>
      <c r="P318" s="46">
        <f t="shared" ca="1" si="13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input_483101!A$2</f>
        <v>483101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IFERROR(VLOOKUP(B319,input_483101!L:R,7,FALSE),VLOOKUP(tables_483101!C319,input_483101!A:H,8,FALSE))</f>
        <v>19950</v>
      </c>
      <c r="P319" s="46">
        <f t="shared" ca="1" si="13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input_483101!A$2</f>
        <v>483101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IFERROR(VLOOKUP(B320,input_483101!L:R,7,FALSE),VLOOKUP(tables_483101!C320,input_483101!A:H,8,FALSE))</f>
        <v>31000</v>
      </c>
      <c r="P320" s="46">
        <f t="shared" ca="1" si="13"/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input_483101!A$2</f>
        <v>483101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IFERROR(VLOOKUP(B321,input_483101!L:R,7,FALSE),VLOOKUP(tables_483101!C321,input_483101!A:H,8,FALSE))</f>
        <v>31000</v>
      </c>
      <c r="P321" s="46">
        <f t="shared" ca="1" si="13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input_483101!A$2</f>
        <v>483101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IFERROR(VLOOKUP(B322,input_483101!L:R,7,FALSE),VLOOKUP(tables_483101!C322,input_483101!A:H,8,FALSE))</f>
        <v>31000</v>
      </c>
      <c r="P322" s="46">
        <f t="shared" ref="P322:P330" ca="1" si="23">O322/SUM(O:O)</f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input_483101!A$2</f>
        <v>483101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IFERROR(VLOOKUP(B323,input_483101!L:R,7,FALSE),VLOOKUP(tables_483101!C323,input_483101!A:H,8,FALSE))</f>
        <v>31000</v>
      </c>
      <c r="P323" s="46">
        <f t="shared" ca="1" si="23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input_483101!A$2</f>
        <v>483101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IFERROR(VLOOKUP(B324,input_483101!L:R,7,FALSE),VLOOKUP(tables_483101!C324,input_483101!A:H,8,FALSE))</f>
        <v>372008.82352999999</v>
      </c>
      <c r="P324" s="46">
        <f t="shared" ca="1" si="23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input_483101!A$2</f>
        <v>483101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IFERROR(VLOOKUP(B325,input_483101!L:R,7,FALSE),VLOOKUP(tables_483101!C325,input_483101!A:H,8,FALSE))</f>
        <v>19950</v>
      </c>
      <c r="P325" s="46">
        <f t="shared" ca="1" si="23"/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input_483101!A$2</f>
        <v>483101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IFERROR(VLOOKUP(B326,input_483101!L:R,7,FALSE),VLOOKUP(tables_483101!C326,input_483101!A:H,8,FALSE))</f>
        <v>372008.82352999999</v>
      </c>
      <c r="P326" s="46">
        <f t="shared" ca="1" si="23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input_483101!A$2</f>
        <v>483101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IFERROR(VLOOKUP(B327,input_483101!L:R,7,FALSE),VLOOKUP(tables_483101!C327,input_483101!A:H,8,FALSE))</f>
        <v>19950</v>
      </c>
      <c r="P327" s="46">
        <f t="shared" ca="1" si="23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input_483101!A$2</f>
        <v>483101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IFERROR(VLOOKUP(B328,input_483101!L:R,7,FALSE),VLOOKUP(tables_483101!C328,input_483101!A:H,8,FALSE))</f>
        <v>31000</v>
      </c>
      <c r="P328" s="46">
        <f t="shared" ca="1" si="23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input_483101!A$2</f>
        <v>483101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IFERROR(VLOOKUP(B329,input_483101!L:R,7,FALSE),VLOOKUP(tables_483101!C329,input_483101!A:H,8,FALSE))</f>
        <v>31000</v>
      </c>
      <c r="P329" s="46">
        <f t="shared" ca="1" si="23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input_483101!A$2</f>
        <v>483101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IFERROR(VLOOKUP(B330,input_483101!L:R,7,FALSE),VLOOKUP(tables_483101!C330,input_483101!A:H,8,FALSE))</f>
        <v>31000</v>
      </c>
      <c r="P330" s="46">
        <f t="shared" ca="1" si="23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input_483101!A$2</f>
        <v>483101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IFERROR(VLOOKUP(B331,input_483101!L:R,7,FALSE),VLOOKUP(tables_483101!C331,input_483101!A:H,8,FALSE))</f>
        <v>31000</v>
      </c>
      <c r="P331" s="46">
        <f t="shared" ref="P331:P335" ca="1" si="2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input_483101!A$2</f>
        <v>483101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IFERROR(VLOOKUP(B332,input_483101!L:R,7,FALSE),VLOOKUP(tables_483101!C332,input_483101!A:H,8,FALSE))</f>
        <v>31000</v>
      </c>
      <c r="P332" s="46">
        <f t="shared" ca="1" si="2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input_483101!A$2</f>
        <v>483101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IFERROR(VLOOKUP(B333,input_483101!L:R,7,FALSE),VLOOKUP(tables_483101!C333,input_483101!A:H,8,FALSE))</f>
        <v>31000</v>
      </c>
      <c r="P333" s="46">
        <f t="shared" ca="1" si="2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input_483101!A$2</f>
        <v>483101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IFERROR(VLOOKUP(B334,input_483101!L:R,7,FALSE),VLOOKUP(tables_483101!C334,input_483101!A:H,8,FALSE))</f>
        <v>372008.82352999999</v>
      </c>
      <c r="P334" s="46">
        <f t="shared" ca="1" si="2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input_483101!A$2</f>
        <v>483101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IFERROR(VLOOKUP(B335,input_483101!L:R,7,FALSE),VLOOKUP(tables_483101!C335,input_483101!A:H,8,FALSE))</f>
        <v>19950</v>
      </c>
      <c r="P335" s="46">
        <f t="shared" ca="1" si="2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input_483101!A$2</f>
        <v>483101</v>
      </c>
      <c r="B336" s="2">
        <v>1224</v>
      </c>
      <c r="C336" s="7" t="str">
        <f t="shared" ref="C336:C340" si="29">D336&amp;J336&amp;E336&amp;F336&amp;G336</f>
        <v>Premium4R3less</v>
      </c>
      <c r="D336" s="95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IFERROR(VLOOKUP(B336,input_483101!L:R,7,FALSE),VLOOKUP(tables_483101!C336,input_483101!A:H,8,FALSE))</f>
        <v>372008.82352999999</v>
      </c>
      <c r="P336" s="46">
        <f t="shared" ref="P336:P340" ca="1" si="3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input_483101!A$2</f>
        <v>483101</v>
      </c>
      <c r="B337" s="2">
        <v>1225</v>
      </c>
      <c r="C337" s="7" t="str">
        <f t="shared" si="29"/>
        <v>Premium5R3less</v>
      </c>
      <c r="D337" s="95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IFERROR(VLOOKUP(B337,input_483101!L:R,7,FALSE),VLOOKUP(tables_483101!C337,input_483101!A:H,8,FALSE))</f>
        <v>19950</v>
      </c>
      <c r="P337" s="46">
        <f t="shared" ca="1" si="3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input_483101!A$2</f>
        <v>483101</v>
      </c>
      <c r="B338" s="2">
        <v>1226</v>
      </c>
      <c r="C338" s="7" t="str">
        <f t="shared" si="29"/>
        <v>PremiumSS5R5only</v>
      </c>
      <c r="D338" s="95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IFERROR(VLOOKUP(B338,input_483101!L:R,7,FALSE),VLOOKUP(tables_483101!C338,input_483101!A:H,8,FALSE))</f>
        <v>31000</v>
      </c>
      <c r="P338" s="46">
        <f t="shared" ca="1" si="3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input_483101!A$2</f>
        <v>483101</v>
      </c>
      <c r="B339" s="2">
        <v>1228</v>
      </c>
      <c r="C339" s="7" t="str">
        <f t="shared" si="29"/>
        <v>PremiumSS5R5only</v>
      </c>
      <c r="D339" s="95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IFERROR(VLOOKUP(B339,input_483101!L:R,7,FALSE),VLOOKUP(tables_483101!C339,input_483101!A:H,8,FALSE))</f>
        <v>31000</v>
      </c>
      <c r="P339" s="46">
        <f t="shared" ca="1" si="3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input_483101!A$2</f>
        <v>483101</v>
      </c>
      <c r="B340" s="2">
        <v>1230</v>
      </c>
      <c r="C340" s="7" t="str">
        <f t="shared" si="29"/>
        <v>PremiumSS5R5only</v>
      </c>
      <c r="D340" s="95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IFERROR(VLOOKUP(B340,input_483101!L:R,7,FALSE),VLOOKUP(tables_483101!C340,input_483101!A:H,8,FALSE))</f>
        <v>31000</v>
      </c>
      <c r="P340" s="46">
        <f t="shared" ca="1" si="3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D36" sqref="D3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483100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VLOOKUP(L3,tables_483100!B:C,2,FALSE)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VLOOKUP(L4,tables_483100!B:C,2,FALSE)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7.9365079365079365E-4</v>
      </c>
      <c r="F5">
        <f>(COUNTIF(tables_483100!C:C,input_483100!A28)+COUNTIF(tables_483100!C:C,input_483100!A29))</f>
        <v>63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VLOOKUP(L5,tables_483100!B:C,2,FALSE)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1.0215053763440859E-2</v>
      </c>
      <c r="F6">
        <f>(COUNTIF(tables_483100!C:C,input_483100!A25)+COUNTIF(tables_483100!C:C,input_483100!A18)+COUNTIF(tables_483100!C:C,input_483100!A20)+COUNTIF(tables_483100!C:C,input_483100!A22))</f>
        <v>93</v>
      </c>
      <c r="H6" s="87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VLOOKUP(L6,tables_483100!B:C,2,FALSE)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VLOOKUP(L7,tables_483100!B:C,2,FALSE)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VLOOKUP(L8,tables_483100!B:C,2,FALSE)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VLOOKUP(L9,tables_483100!B:C,2,FALSE)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VLOOKUP(L10,tables_483100!B:C,2,FALSE)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VLOOKUP(L11,tables_483100!B:C,2,FALSE)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VLOOKUP(L12,tables_483100!B:C,2,FALSE)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VLOOKUP(L13,tables_483100!B:C,2,FALSE)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VLOOKUP(L14,tables_483100!B:C,2,FALSE)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VLOOKUP(L15,tables_483100!B:C,2,FALSE)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VLOOKUP(L16,tables_483100!B:C,2,FALSE)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COUNTIF(tables_483100!C:C,input_483100!A17)-COUNTIF(Q:Q,A17)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VLOOKUP(L17,tables_483100!B:C,2,FALSE)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0.24353942651894547</v>
      </c>
      <c r="C18" s="84">
        <f t="shared" si="2"/>
        <v>0</v>
      </c>
      <c r="D18" s="74">
        <f t="shared" si="3"/>
        <v>0.24353942651894547</v>
      </c>
      <c r="E18">
        <f>COUNTIF(tables_483100!C:C,input_483100!A18)-COUNTIF(Q:Q,A18)</f>
        <v>20</v>
      </c>
      <c r="F18" s="43">
        <f>IFERROR(B18/E18,0)</f>
        <v>1.2176971325947274E-2</v>
      </c>
      <c r="G18">
        <f t="shared" si="4"/>
        <v>9512649.9998300094</v>
      </c>
      <c r="H18">
        <f t="shared" si="5"/>
        <v>475632.49998999998</v>
      </c>
      <c r="I18">
        <f t="shared" si="6"/>
        <v>0.49998999998206273</v>
      </c>
      <c r="J18">
        <f t="shared" si="7"/>
        <v>2.0000400008717678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VLOOKUP(L18,tables_483100!B:C,2,FALSE)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COUNTIF(tables_483100!C:C,input_483100!A19)-COUNTIF(Q:Q,A19)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VLOOKUP(L19,tables_483100!B:C,2,FALSE)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0.48462365591397838</v>
      </c>
      <c r="C20" s="84">
        <f t="shared" si="2"/>
        <v>0</v>
      </c>
      <c r="D20" s="74">
        <f t="shared" si="3"/>
        <v>0.48462365591397838</v>
      </c>
      <c r="E20">
        <f>COUNTIF(tables_483100!C:C,input_483100!A20)-COUNTIF(Q:Q,A20)</f>
        <v>52</v>
      </c>
      <c r="F20" s="43">
        <f t="shared" si="8"/>
        <v>9.3196856906534297E-3</v>
      </c>
      <c r="G20">
        <f t="shared" si="4"/>
        <v>18929399.999999996</v>
      </c>
      <c r="H20">
        <f t="shared" si="5"/>
        <v>364026.92307999998</v>
      </c>
      <c r="I20">
        <f t="shared" si="6"/>
        <v>0.92307999997865409</v>
      </c>
      <c r="J20">
        <f t="shared" si="7"/>
        <v>1.0833297222593108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VLOOKUP(L20,tables_483100!B:C,2,FALSE)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7.3207885304659506E-3</v>
      </c>
      <c r="C21" s="84">
        <f t="shared" si="2"/>
        <v>0</v>
      </c>
      <c r="D21" s="74">
        <f t="shared" si="3"/>
        <v>7.3207885304659506E-3</v>
      </c>
      <c r="E21">
        <f>COUNTIF(tables_483100!C:C,input_483100!A21)-COUNTIF(Q:Q,A21)</f>
        <v>52</v>
      </c>
      <c r="F21" s="43">
        <f t="shared" si="8"/>
        <v>1.4078439481665289E-4</v>
      </c>
      <c r="G21">
        <f t="shared" si="4"/>
        <v>285950.00000000006</v>
      </c>
      <c r="H21">
        <f t="shared" si="5"/>
        <v>5499.0384599999998</v>
      </c>
      <c r="I21">
        <f t="shared" si="6"/>
        <v>3.845999999975902E-2</v>
      </c>
      <c r="J21">
        <f t="shared" si="7"/>
        <v>26.001040041764579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0.16190860215053762</v>
      </c>
      <c r="C22" s="84">
        <f t="shared" si="2"/>
        <v>0</v>
      </c>
      <c r="D22" s="74">
        <f t="shared" si="3"/>
        <v>0.16190860215053762</v>
      </c>
      <c r="E22">
        <f>COUNTIF(tables_483100!C:C,input_483100!A22)-COUNTIF(Q:Q,A22)</f>
        <v>17</v>
      </c>
      <c r="F22" s="43">
        <f t="shared" si="8"/>
        <v>9.5240354206198603E-3</v>
      </c>
      <c r="G22">
        <f t="shared" si="4"/>
        <v>6324150</v>
      </c>
      <c r="H22">
        <f t="shared" si="5"/>
        <v>372008.82352999999</v>
      </c>
      <c r="I22">
        <f t="shared" si="6"/>
        <v>0.82352999999420717</v>
      </c>
      <c r="J22">
        <f t="shared" si="7"/>
        <v>1.2142848469479366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1.1747311827956989E-2</v>
      </c>
      <c r="C23" s="84">
        <f t="shared" si="2"/>
        <v>0</v>
      </c>
      <c r="D23" s="74">
        <f t="shared" si="3"/>
        <v>1.1747311827956989E-2</v>
      </c>
      <c r="E23">
        <f>COUNTIF(tables_483100!C:C,input_483100!A23)-COUNTIF(Q:Q,A23)</f>
        <v>23</v>
      </c>
      <c r="F23" s="43">
        <f t="shared" si="8"/>
        <v>5.1075268817204306E-4</v>
      </c>
      <c r="G23">
        <f t="shared" si="4"/>
        <v>458850</v>
      </c>
      <c r="H23">
        <f t="shared" si="5"/>
        <v>19950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COUNTIF(tables_483100!C:C,input_483100!A24)-COUNTIF(Q:Q,A24)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3.8817204301075263E-2</v>
      </c>
      <c r="C25" s="84">
        <f t="shared" si="2"/>
        <v>0</v>
      </c>
      <c r="D25" s="74">
        <f t="shared" si="3"/>
        <v>3.8817204301075263E-2</v>
      </c>
      <c r="E25">
        <f>COUNTIF(tables_483100!C:C,input_483100!A25)-COUNTIF(Q:Q,A25)</f>
        <v>4</v>
      </c>
      <c r="F25" s="43">
        <f t="shared" si="8"/>
        <v>9.7043010752688157E-3</v>
      </c>
      <c r="G25">
        <f t="shared" si="4"/>
        <v>1516199.9999999998</v>
      </c>
      <c r="H25">
        <f t="shared" si="5"/>
        <v>379050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2.0430107526881718E-3</v>
      </c>
      <c r="C26" s="84">
        <f t="shared" si="2"/>
        <v>0</v>
      </c>
      <c r="D26" s="74">
        <f t="shared" si="3"/>
        <v>2.0430107526881718E-3</v>
      </c>
      <c r="E26">
        <f>COUNTIF(tables_483100!C:C,input_483100!A26)-COUNTIF(Q:Q,A26)</f>
        <v>4</v>
      </c>
      <c r="F26" s="43">
        <f t="shared" si="8"/>
        <v>5.1075268817204296E-4</v>
      </c>
      <c r="G26">
        <f t="shared" si="4"/>
        <v>79799.999999999985</v>
      </c>
      <c r="H26">
        <f t="shared" si="5"/>
        <v>19950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2.1111111111111112E-2</v>
      </c>
      <c r="C27" s="84">
        <f t="shared" si="2"/>
        <v>0</v>
      </c>
      <c r="D27" s="74">
        <f t="shared" si="3"/>
        <v>2.1111111111111112E-2</v>
      </c>
      <c r="E27">
        <f>COUNTIF(tables_483100!C:C,input_483100!A27)-COUNTIF(Q:Q,A27)</f>
        <v>28</v>
      </c>
      <c r="F27" s="43">
        <f>IFERROR(B27/E27,0)</f>
        <v>7.5396825396825402E-4</v>
      </c>
      <c r="G27">
        <f t="shared" si="4"/>
        <v>824600</v>
      </c>
      <c r="H27">
        <f t="shared" si="5"/>
        <v>29450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1.1111111111111111E-3</v>
      </c>
      <c r="C28" s="84">
        <f t="shared" si="2"/>
        <v>0</v>
      </c>
      <c r="D28" s="74">
        <f t="shared" si="3"/>
        <v>1.1111111111111111E-3</v>
      </c>
      <c r="E28">
        <f>COUNTIF(tables_483100!C:C,input_483100!A28)-COUNTIF(Q:Q,A28)</f>
        <v>28</v>
      </c>
      <c r="F28" s="43">
        <f t="shared" si="8"/>
        <v>3.9682539682539683E-5</v>
      </c>
      <c r="G28">
        <f t="shared" si="4"/>
        <v>43400</v>
      </c>
      <c r="H28">
        <f t="shared" si="5"/>
        <v>1550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2.7777777777777776E-2</v>
      </c>
      <c r="C29" s="84">
        <f t="shared" si="2"/>
        <v>0</v>
      </c>
      <c r="D29" s="74">
        <f t="shared" si="3"/>
        <v>2.7777777777777776E-2</v>
      </c>
      <c r="E29">
        <f>COUNTIF(tables_483100!C:C,input_483100!A29)-COUNTIF(Q:Q,A29)</f>
        <v>35</v>
      </c>
      <c r="F29" s="43">
        <f t="shared" si="8"/>
        <v>7.9365079365079365E-4</v>
      </c>
      <c r="G29">
        <f t="shared" si="4"/>
        <v>1085000</v>
      </c>
      <c r="H29">
        <f t="shared" si="5"/>
        <v>31000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COUNTIF(tables_483100!C:C,input_483100!A30)-COUNTIF(Q:Q,A30)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0</v>
      </c>
      <c r="D31" s="74">
        <f t="shared" si="3"/>
        <v>0</v>
      </c>
      <c r="E31">
        <f>COUNTIF(tables_483100!C:C,input_483100!A31)-COUNTIF(Q:Q,A31)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0.9999999999956477</v>
      </c>
      <c r="C32" s="41">
        <f>SUM(C19:C31)</f>
        <v>0</v>
      </c>
      <c r="D32" s="42">
        <f t="shared" si="3"/>
        <v>0.9999999999956477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1.9238351250128294E-2</v>
      </c>
      <c r="F34" s="55">
        <f ca="1">0.45-G41</f>
        <v>-0.49999999999923334</v>
      </c>
    </row>
    <row r="35" spans="1:7" x14ac:dyDescent="0.15">
      <c r="A35" t="s">
        <v>73</v>
      </c>
    </row>
    <row r="36" spans="1:7" x14ac:dyDescent="0.15">
      <c r="A36" s="31">
        <f>LCM(F5-I5,F6-I6)*1000*2*2*5</f>
        <v>39060000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SUMIF(tables_483100!C:C,input_483100!A40,tables_483100!O:O)</f>
        <v>0</v>
      </c>
      <c r="C40" s="54">
        <f t="shared" ref="C40:C46" ca="1" si="9">B40/B$47</f>
        <v>0</v>
      </c>
      <c r="E40">
        <v>3</v>
      </c>
      <c r="F40">
        <f ca="1">SUMIF(tables_483100!J:J,input_483100!E40,tables_483100!O:O)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SUMIF(tables_483100!C:C,input_483100!A41,tables_483100!O:O)</f>
        <v>18929400.000159986</v>
      </c>
      <c r="C41" s="54">
        <f t="shared" ca="1" si="9"/>
        <v>0.94254195640092897</v>
      </c>
      <c r="E41">
        <v>4</v>
      </c>
      <c r="F41">
        <f ca="1">SUMIF(tables_483100!J:J,input_483100!E41,tables_483100!O:O)</f>
        <v>37106999.999970056</v>
      </c>
      <c r="G41">
        <f ca="1">F41/A36</f>
        <v>0.94999999999923335</v>
      </c>
    </row>
    <row r="42" spans="1:7" x14ac:dyDescent="0.15">
      <c r="A42" s="33" t="s">
        <v>106</v>
      </c>
      <c r="B42">
        <f ca="1">SUMIF(tables_483100!C:C,input_483100!A42,tables_483100!O:O)</f>
        <v>824600</v>
      </c>
      <c r="C42" s="54">
        <f t="shared" ca="1" si="9"/>
        <v>4.1058887087896984E-2</v>
      </c>
      <c r="E42">
        <v>5</v>
      </c>
      <c r="F42">
        <f ca="1">SUMIF(tables_483100!J:J,input_483100!E42,tables_483100!O:O)</f>
        <v>1952999.9999200003</v>
      </c>
      <c r="G42">
        <f ca="1">F42/A36</f>
        <v>4.9999999997951877E-2</v>
      </c>
    </row>
    <row r="43" spans="1:7" x14ac:dyDescent="0.15">
      <c r="A43" s="33" t="s">
        <v>109</v>
      </c>
      <c r="B43">
        <f>SUMIF(tables_483100!C:C,input_483100!A43,tables_483100!O:O)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SUMIF(tables_483100!C:C,input_483100!A44,tables_483100!O:O)</f>
        <v>285949.99992000021</v>
      </c>
      <c r="C44" s="54">
        <f t="shared" ca="1" si="9"/>
        <v>1.4238162453916372E-2</v>
      </c>
      <c r="E44" t="s">
        <v>54</v>
      </c>
      <c r="F44" s="55"/>
    </row>
    <row r="45" spans="1:7" x14ac:dyDescent="0.15">
      <c r="A45" s="33" t="s">
        <v>107</v>
      </c>
      <c r="B45">
        <f ca="1">SUMIF(tables_483100!C:C,input_483100!A45,tables_483100!O:O)</f>
        <v>43400</v>
      </c>
      <c r="C45" s="54">
        <f t="shared" ca="1" si="9"/>
        <v>2.1609940572577362E-3</v>
      </c>
      <c r="E45" t="s">
        <v>204</v>
      </c>
      <c r="F45" s="55">
        <f ca="1">SUMIF(tables_483100!I:I,input_483100!E45,tables_483100!P:P)</f>
        <v>0.24660394264790328</v>
      </c>
    </row>
    <row r="46" spans="1:7" x14ac:dyDescent="0.15">
      <c r="A46" s="33" t="s">
        <v>108</v>
      </c>
      <c r="B46">
        <f>SUMIF(tables_483100!C:C,input_483100!A46,tables_483100!O:O)</f>
        <v>0</v>
      </c>
      <c r="C46" s="54">
        <f t="shared" ca="1" si="9"/>
        <v>0</v>
      </c>
      <c r="E46" t="s">
        <v>205</v>
      </c>
      <c r="F46" s="55">
        <f ca="1">SUMIF(tables_483100!I:I,input_483100!E46,tables_483100!P:P)</f>
        <v>0.19147315274452223</v>
      </c>
    </row>
    <row r="47" spans="1:7" x14ac:dyDescent="0.15">
      <c r="A47" s="39" t="s">
        <v>59</v>
      </c>
      <c r="B47">
        <f ca="1">SUM(B40:B46)</f>
        <v>20083350.000079986</v>
      </c>
      <c r="C47" s="55">
        <f ca="1">SUM(C40:C46)</f>
        <v>1</v>
      </c>
      <c r="E47" t="s">
        <v>206</v>
      </c>
      <c r="F47" s="55">
        <f ca="1">SUMIF(tables_483100!I:I,input_483100!E47,tables_483100!P:P)</f>
        <v>0.51192290460743051</v>
      </c>
    </row>
    <row r="48" spans="1:7" x14ac:dyDescent="0.15">
      <c r="E48" t="s">
        <v>207</v>
      </c>
      <c r="F48" s="55">
        <f ca="1">SUMIF(tables_483100!I:I,input_483100!E48,tables_483100!P:P)</f>
        <v>4.5238095238222496E-2</v>
      </c>
    </row>
    <row r="49" spans="5:6" x14ac:dyDescent="0.15">
      <c r="E49" t="s">
        <v>251</v>
      </c>
      <c r="F49" s="55">
        <f ca="1">SUMIF(tables_483100!I:I,input_483100!E49,tables_483100!P:P)</f>
        <v>4.7619047619181596E-3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0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H343" sqref="H34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input_483100!A$2</f>
        <v>483100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IFERROR(VLOOKUP(B2,input_483100!L:R,7,FALSE),VLOOKUP(tables_483100!C2,input_483100!A:H,8,FALSE))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input_483100!A$2</f>
        <v>483100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IFERROR(VLOOKUP(B3,input_483100!L:R,7,FALSE),VLOOKUP(tables_483100!C3,input_483100!A:H,8,FALSE))</f>
        <v>475632.49998999998</v>
      </c>
      <c r="P3" s="46">
        <f t="shared" ca="1" si="1"/>
        <v>1.2176971325943118E-2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input_483100!A$2</f>
        <v>483100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IFERROR(VLOOKUP(B4,input_483100!L:R,7,FALSE),VLOOKUP(tables_483100!C4,input_483100!A:H,8,FALSE))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input_483100!A$2</f>
        <v>483100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IFERROR(VLOOKUP(B5,input_483100!L:R,7,FALSE),VLOOKUP(tables_483100!C5,input_483100!A:H,8,FALSE))</f>
        <v>475632.49998999998</v>
      </c>
      <c r="P5" s="46">
        <f t="shared" ca="1" si="1"/>
        <v>1.2176971325943118E-2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input_483100!A$2</f>
        <v>483100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IFERROR(VLOOKUP(B6,input_483100!L:R,7,FALSE),VLOOKUP(tables_483100!C6,input_483100!A:H,8,FALSE))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input_483100!A$2</f>
        <v>483100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IFERROR(VLOOKUP(B7,input_483100!L:R,7,FALSE),VLOOKUP(tables_483100!C7,input_483100!A:H,8,FALSE))</f>
        <v>475632.49998999998</v>
      </c>
      <c r="P7" s="46">
        <f t="shared" ca="1" si="1"/>
        <v>1.2176971325943118E-2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input_483100!A$2</f>
        <v>483100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IFERROR(VLOOKUP(B8,input_483100!L:R,7,FALSE),VLOOKUP(tables_483100!C8,input_483100!A:H,8,FALSE))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input_483100!A$2</f>
        <v>483100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IFERROR(VLOOKUP(B9,input_483100!L:R,7,FALSE),VLOOKUP(tables_483100!C9,input_483100!A:H,8,FALSE))</f>
        <v>475632.49998999998</v>
      </c>
      <c r="P9" s="46">
        <f t="shared" ca="1" si="1"/>
        <v>1.2176971325943118E-2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input_483100!A$2</f>
        <v>483100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IFERROR(VLOOKUP(B10,input_483100!L:R,7,FALSE),VLOOKUP(tables_483100!C10,input_483100!A:H,8,FALSE))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input_483100!A$2</f>
        <v>483100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IFERROR(VLOOKUP(B11,input_483100!L:R,7,FALSE),VLOOKUP(tables_483100!C11,input_483100!A:H,8,FALSE))</f>
        <v>475632.49998999998</v>
      </c>
      <c r="P11" s="46">
        <f t="shared" ca="1" si="1"/>
        <v>1.2176971325943118E-2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input_483100!A$2</f>
        <v>483100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IFERROR(VLOOKUP(B12,input_483100!L:R,7,FALSE),VLOOKUP(tables_483100!C12,input_483100!A:H,8,FALSE))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input_483100!A$2</f>
        <v>483100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IFERROR(VLOOKUP(B13,input_483100!L:R,7,FALSE),VLOOKUP(tables_483100!C13,input_483100!A:H,8,FALSE))</f>
        <v>475632.49998999998</v>
      </c>
      <c r="P13" s="46">
        <f t="shared" ca="1" si="1"/>
        <v>1.2176971325943118E-2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input_483100!A$2</f>
        <v>483100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IFERROR(VLOOKUP(B14,input_483100!L:R,7,FALSE),VLOOKUP(tables_483100!C14,input_483100!A:H,8,FALSE))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input_483100!A$2</f>
        <v>483100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IFERROR(VLOOKUP(B15,input_483100!L:R,7,FALSE),VLOOKUP(tables_483100!C15,input_483100!A:H,8,FALSE))</f>
        <v>475632.49998999998</v>
      </c>
      <c r="P15" s="46">
        <f t="shared" ca="1" si="1"/>
        <v>1.2176971325943118E-2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input_483100!A$2</f>
        <v>483100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IFERROR(VLOOKUP(B16,input_483100!L:R,7,FALSE),VLOOKUP(tables_483100!C16,input_483100!A:H,8,FALSE))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input_483100!A$2</f>
        <v>483100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IFERROR(VLOOKUP(B17,input_483100!L:R,7,FALSE),VLOOKUP(tables_483100!C17,input_483100!A:H,8,FALSE))</f>
        <v>475632.49998999998</v>
      </c>
      <c r="P17" s="46">
        <f t="shared" ca="1" si="1"/>
        <v>1.2176971325943118E-2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input_483100!A$2</f>
        <v>483100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IFERROR(VLOOKUP(B18,input_483100!L:R,7,FALSE),VLOOKUP(tables_483100!C18,input_483100!A:H,8,FALSE))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input_483100!A$2</f>
        <v>483100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IFERROR(VLOOKUP(B19,input_483100!L:R,7,FALSE),VLOOKUP(tables_483100!C19,input_483100!A:H,8,FALSE))</f>
        <v>475632.49998999998</v>
      </c>
      <c r="P19" s="46">
        <f t="shared" ca="1" si="1"/>
        <v>1.2176971325943118E-2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input_483100!A$2</f>
        <v>483100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IFERROR(VLOOKUP(B20,input_483100!L:R,7,FALSE),VLOOKUP(tables_483100!C20,input_483100!A:H,8,FALSE))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input_483100!A$2</f>
        <v>483100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IFERROR(VLOOKUP(B21,input_483100!L:R,7,FALSE),VLOOKUP(tables_483100!C21,input_483100!A:H,8,FALSE))</f>
        <v>475632.49998999998</v>
      </c>
      <c r="P21" s="46">
        <f t="shared" ca="1" si="1"/>
        <v>1.2176971325943118E-2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input_483100!A$2</f>
        <v>483100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IFERROR(VLOOKUP(B22,input_483100!L:R,7,FALSE),VLOOKUP(tables_483100!C22,input_483100!A:H,8,FALSE))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input_483100!A$2</f>
        <v>483100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IFERROR(VLOOKUP(B23,input_483100!L:R,7,FALSE),VLOOKUP(tables_483100!C23,input_483100!A:H,8,FALSE))</f>
        <v>475632.49998999998</v>
      </c>
      <c r="P23" s="46">
        <f t="shared" ca="1" si="1"/>
        <v>1.2176971325943118E-2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input_483100!A$2</f>
        <v>483100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IFERROR(VLOOKUP(B24,input_483100!L:R,7,FALSE),VLOOKUP(tables_483100!C24,input_483100!A:H,8,FALSE))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input_483100!A$2</f>
        <v>483100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IFERROR(VLOOKUP(B25,input_483100!L:R,7,FALSE),VLOOKUP(tables_483100!C25,input_483100!A:H,8,FALSE))</f>
        <v>475632.49998999998</v>
      </c>
      <c r="P25" s="46">
        <f t="shared" ca="1" si="1"/>
        <v>1.2176971325943118E-2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input_483100!A$2</f>
        <v>483100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IFERROR(VLOOKUP(B26,input_483100!L:R,7,FALSE),VLOOKUP(tables_483100!C26,input_483100!A:H,8,FALSE))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input_483100!A$2</f>
        <v>483100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IFERROR(VLOOKUP(B27,input_483100!L:R,7,FALSE),VLOOKUP(tables_483100!C27,input_483100!A:H,8,FALSE))</f>
        <v>475632.49998999998</v>
      </c>
      <c r="P27" s="46">
        <f t="shared" ca="1" si="1"/>
        <v>1.2176971325943118E-2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input_483100!A$2</f>
        <v>483100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IFERROR(VLOOKUP(B28,input_483100!L:R,7,FALSE),VLOOKUP(tables_483100!C28,input_483100!A:H,8,FALSE))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input_483100!A$2</f>
        <v>483100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IFERROR(VLOOKUP(B29,input_483100!L:R,7,FALSE),VLOOKUP(tables_483100!C29,input_483100!A:H,8,FALSE))</f>
        <v>475632.49998999998</v>
      </c>
      <c r="P29" s="46">
        <f t="shared" ca="1" si="1"/>
        <v>1.2176971325943118E-2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input_483100!A$2</f>
        <v>483100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IFERROR(VLOOKUP(B30,input_483100!L:R,7,FALSE),VLOOKUP(tables_483100!C30,input_483100!A:H,8,FALSE))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input_483100!A$2</f>
        <v>483100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IFERROR(VLOOKUP(B31,input_483100!L:R,7,FALSE),VLOOKUP(tables_483100!C31,input_483100!A:H,8,FALSE))</f>
        <v>475632.49998999998</v>
      </c>
      <c r="P31" s="46">
        <f t="shared" ca="1" si="1"/>
        <v>1.2176971325943118E-2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input_483100!A$2</f>
        <v>483100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IFERROR(VLOOKUP(B32,input_483100!L:R,7,FALSE),VLOOKUP(tables_483100!C32,input_483100!A:H,8,FALSE))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input_483100!A$2</f>
        <v>483100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IFERROR(VLOOKUP(B33,input_483100!L:R,7,FALSE),VLOOKUP(tables_483100!C33,input_483100!A:H,8,FALSE))</f>
        <v>475632.49998999998</v>
      </c>
      <c r="P33" s="46">
        <f t="shared" ca="1" si="1"/>
        <v>1.2176971325943118E-2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input_483100!A$2</f>
        <v>483100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IFERROR(VLOOKUP(B34,input_483100!L:R,7,FALSE),VLOOKUP(tables_483100!C34,input_483100!A:H,8,FALSE))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input_483100!A$2</f>
        <v>483100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IFERROR(VLOOKUP(B35,input_483100!L:R,7,FALSE),VLOOKUP(tables_483100!C35,input_483100!A:H,8,FALSE))</f>
        <v>475632.49998999998</v>
      </c>
      <c r="P35" s="46">
        <f t="shared" ca="1" si="1"/>
        <v>1.2176971325943118E-2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input_483100!A$2</f>
        <v>483100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IFERROR(VLOOKUP(B36,input_483100!L:R,7,FALSE),VLOOKUP(tables_483100!C36,input_483100!A:H,8,FALSE))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input_483100!A$2</f>
        <v>483100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IFERROR(VLOOKUP(B37,input_483100!L:R,7,FALSE),VLOOKUP(tables_483100!C37,input_483100!A:H,8,FALSE))</f>
        <v>475632.49998999998</v>
      </c>
      <c r="P37" s="46">
        <f t="shared" ca="1" si="1"/>
        <v>1.2176971325943118E-2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input_483100!A$2</f>
        <v>483100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IFERROR(VLOOKUP(B38,input_483100!L:R,7,FALSE),VLOOKUP(tables_483100!C38,input_483100!A:H,8,FALSE))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input_483100!A$2</f>
        <v>483100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IFERROR(VLOOKUP(B39,input_483100!L:R,7,FALSE),VLOOKUP(tables_483100!C39,input_483100!A:H,8,FALSE))</f>
        <v>475632.49998999998</v>
      </c>
      <c r="P39" s="46">
        <f t="shared" ca="1" si="1"/>
        <v>1.2176971325943118E-2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input_483100!A$2</f>
        <v>483100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IFERROR(VLOOKUP(B40,input_483100!L:R,7,FALSE),VLOOKUP(tables_483100!C40,input_483100!A:H,8,FALSE))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input_483100!A$2</f>
        <v>483100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IFERROR(VLOOKUP(B41,input_483100!L:R,7,FALSE),VLOOKUP(tables_483100!C41,input_483100!A:H,8,FALSE))</f>
        <v>475632.49998999998</v>
      </c>
      <c r="P41" s="46">
        <f t="shared" ca="1" si="1"/>
        <v>1.2176971325943118E-2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input_483100!A$2</f>
        <v>483100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IFERROR(VLOOKUP(B42,input_483100!L:R,7,FALSE),VLOOKUP(tables_483100!C42,input_483100!A:H,8,FALSE))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input_483100!A$2</f>
        <v>483100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IFERROR(VLOOKUP(B43,input_483100!L:R,7,FALSE),VLOOKUP(tables_483100!C43,input_483100!A:H,8,FALSE))</f>
        <v>379050</v>
      </c>
      <c r="P43" s="46">
        <f t="shared" ca="1" si="1"/>
        <v>9.7043010752961203E-3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input_483100!A$2</f>
        <v>483100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IFERROR(VLOOKUP(B44,input_483100!L:R,7,FALSE),VLOOKUP(tables_483100!C44,input_483100!A:H,8,FALSE))</f>
        <v>19950</v>
      </c>
      <c r="P44" s="46">
        <f t="shared" ca="1" si="1"/>
        <v>5.1075268817348007E-4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input_483100!A$2</f>
        <v>483100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IFERROR(VLOOKUP(B45,input_483100!L:R,7,FALSE),VLOOKUP(tables_483100!C45,input_483100!A:H,8,FALSE))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input_483100!A$2</f>
        <v>483100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IFERROR(VLOOKUP(B46,input_483100!L:R,7,FALSE),VLOOKUP(tables_483100!C46,input_483100!A:H,8,FALSE))</f>
        <v>379050</v>
      </c>
      <c r="P46" s="46">
        <f t="shared" ca="1" si="1"/>
        <v>9.7043010752961203E-3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input_483100!A$2</f>
        <v>483100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IFERROR(VLOOKUP(B47,input_483100!L:R,7,FALSE),VLOOKUP(tables_483100!C47,input_483100!A:H,8,FALSE))</f>
        <v>19950</v>
      </c>
      <c r="P47" s="46">
        <f t="shared" ca="1" si="1"/>
        <v>5.1075268817348007E-4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input_483100!A$2</f>
        <v>483100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IFERROR(VLOOKUP(B48,input_483100!L:R,7,FALSE),VLOOKUP(tables_483100!C48,input_483100!A:H,8,FALSE))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input_483100!A$2</f>
        <v>483100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IFERROR(VLOOKUP(B49,input_483100!L:R,7,FALSE),VLOOKUP(tables_483100!C49,input_483100!A:H,8,FALSE))</f>
        <v>379050</v>
      </c>
      <c r="P49" s="46">
        <f t="shared" ca="1" si="1"/>
        <v>9.7043010752961203E-3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input_483100!A$2</f>
        <v>483100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IFERROR(VLOOKUP(B50,input_483100!L:R,7,FALSE),VLOOKUP(tables_483100!C50,input_483100!A:H,8,FALSE))</f>
        <v>19950</v>
      </c>
      <c r="P50" s="46">
        <f t="shared" ca="1" si="1"/>
        <v>5.1075268817348007E-4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input_483100!A$2</f>
        <v>483100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IFERROR(VLOOKUP(B51,input_483100!L:R,7,FALSE),VLOOKUP(tables_483100!C51,input_483100!A:H,8,FALSE))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input_483100!A$2</f>
        <v>483100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IFERROR(VLOOKUP(B52,input_483100!L:R,7,FALSE),VLOOKUP(tables_483100!C52,input_483100!A:H,8,FALSE))</f>
        <v>364026.92307999998</v>
      </c>
      <c r="P52" s="46">
        <f t="shared" ca="1" si="1"/>
        <v>9.3196856907584273E-3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input_483100!A$2</f>
        <v>483100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IFERROR(VLOOKUP(B53,input_483100!L:R,7,FALSE),VLOOKUP(tables_483100!C53,input_483100!A:H,8,FALSE))</f>
        <v>5499.0384599999998</v>
      </c>
      <c r="P53" s="46">
        <f t="shared" ca="1" si="1"/>
        <v>1.4078439477766184E-4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input_483100!A$2</f>
        <v>483100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IFERROR(VLOOKUP(B54,input_483100!L:R,7,FALSE),VLOOKUP(tables_483100!C54,input_483100!A:H,8,FALSE))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input_483100!A$2</f>
        <v>483100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IFERROR(VLOOKUP(B55,input_483100!L:R,7,FALSE),VLOOKUP(tables_483100!C55,input_483100!A:H,8,FALSE))</f>
        <v>364026.92307999998</v>
      </c>
      <c r="P55" s="46">
        <f t="shared" ca="1" si="1"/>
        <v>9.3196856907584273E-3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input_483100!A$2</f>
        <v>483100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IFERROR(VLOOKUP(B56,input_483100!L:R,7,FALSE),VLOOKUP(tables_483100!C56,input_483100!A:H,8,FALSE))</f>
        <v>5499.0384599999998</v>
      </c>
      <c r="P56" s="46">
        <f t="shared" ca="1" si="1"/>
        <v>1.4078439477766184E-4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input_483100!A$2</f>
        <v>483100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IFERROR(VLOOKUP(B57,input_483100!L:R,7,FALSE),VLOOKUP(tables_483100!C57,input_483100!A:H,8,FALSE))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input_483100!A$2</f>
        <v>483100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IFERROR(VLOOKUP(B58,input_483100!L:R,7,FALSE),VLOOKUP(tables_483100!C58,input_483100!A:H,8,FALSE))</f>
        <v>364026.92307999998</v>
      </c>
      <c r="P58" s="46">
        <f t="shared" ca="1" si="1"/>
        <v>9.3196856907584273E-3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input_483100!A$2</f>
        <v>483100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IFERROR(VLOOKUP(B59,input_483100!L:R,7,FALSE),VLOOKUP(tables_483100!C59,input_483100!A:H,8,FALSE))</f>
        <v>5499.0384599999998</v>
      </c>
      <c r="P59" s="46">
        <f t="shared" ca="1" si="1"/>
        <v>1.4078439477766184E-4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input_483100!A$2</f>
        <v>483100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IFERROR(VLOOKUP(B60,input_483100!L:R,7,FALSE),VLOOKUP(tables_483100!C60,input_483100!A:H,8,FALSE))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input_483100!A$2</f>
        <v>483100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IFERROR(VLOOKUP(B61,input_483100!L:R,7,FALSE),VLOOKUP(tables_483100!C61,input_483100!A:H,8,FALSE))</f>
        <v>364026.92307999998</v>
      </c>
      <c r="P61" s="46">
        <f t="shared" ca="1" si="1"/>
        <v>9.3196856907584273E-3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input_483100!A$2</f>
        <v>483100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IFERROR(VLOOKUP(B62,input_483100!L:R,7,FALSE),VLOOKUP(tables_483100!C62,input_483100!A:H,8,FALSE))</f>
        <v>5499.0384599999998</v>
      </c>
      <c r="P62" s="46">
        <f t="shared" ca="1" si="1"/>
        <v>1.4078439477766184E-4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input_483100!A$2</f>
        <v>483100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IFERROR(VLOOKUP(B63,input_483100!L:R,7,FALSE),VLOOKUP(tables_483100!C63,input_483100!A:H,8,FALSE))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input_483100!A$2</f>
        <v>483100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IFERROR(VLOOKUP(B64,input_483100!L:R,7,FALSE),VLOOKUP(tables_483100!C64,input_483100!A:H,8,FALSE))</f>
        <v>364026.92307999998</v>
      </c>
      <c r="P64" s="46">
        <f t="shared" ca="1" si="1"/>
        <v>9.3196856907584273E-3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input_483100!A$2</f>
        <v>483100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IFERROR(VLOOKUP(B65,input_483100!L:R,7,FALSE),VLOOKUP(tables_483100!C65,input_483100!A:H,8,FALSE))</f>
        <v>5499.0384599999998</v>
      </c>
      <c r="P65" s="46">
        <f t="shared" ca="1" si="1"/>
        <v>1.4078439477766184E-4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input_483100!A$2</f>
        <v>483100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IFERROR(VLOOKUP(B66,input_483100!L:R,7,FALSE),VLOOKUP(tables_483100!C66,input_483100!A:H,8,FALSE))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input_483100!A$2</f>
        <v>483100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IFERROR(VLOOKUP(B67,input_483100!L:R,7,FALSE),VLOOKUP(tables_483100!C67,input_483100!A:H,8,FALSE))</f>
        <v>364026.92307999998</v>
      </c>
      <c r="P67" s="46">
        <f t="shared" ca="1" si="4"/>
        <v>9.3196856907584273E-3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input_483100!A$2</f>
        <v>483100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IFERROR(VLOOKUP(B68,input_483100!L:R,7,FALSE),VLOOKUP(tables_483100!C68,input_483100!A:H,8,FALSE))</f>
        <v>5499.0384599999998</v>
      </c>
      <c r="P68" s="46">
        <f t="shared" ca="1" si="4"/>
        <v>1.4078439477766184E-4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input_483100!A$2</f>
        <v>483100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IFERROR(VLOOKUP(B69,input_483100!L:R,7,FALSE),VLOOKUP(tables_483100!C69,input_483100!A:H,8,FALSE))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input_483100!A$2</f>
        <v>483100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IFERROR(VLOOKUP(B70,input_483100!L:R,7,FALSE),VLOOKUP(tables_483100!C70,input_483100!A:H,8,FALSE))</f>
        <v>364026.92307999998</v>
      </c>
      <c r="P70" s="46">
        <f t="shared" ca="1" si="4"/>
        <v>9.3196856907584273E-3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input_483100!A$2</f>
        <v>483100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IFERROR(VLOOKUP(B71,input_483100!L:R,7,FALSE),VLOOKUP(tables_483100!C71,input_483100!A:H,8,FALSE))</f>
        <v>5499.0384599999998</v>
      </c>
      <c r="P71" s="46">
        <f t="shared" ca="1" si="4"/>
        <v>1.4078439477766184E-4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input_483100!A$2</f>
        <v>483100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IFERROR(VLOOKUP(B72,input_483100!L:R,7,FALSE),VLOOKUP(tables_483100!C72,input_483100!A:H,8,FALSE))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input_483100!A$2</f>
        <v>483100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IFERROR(VLOOKUP(B73,input_483100!L:R,7,FALSE),VLOOKUP(tables_483100!C73,input_483100!A:H,8,FALSE))</f>
        <v>364026.92307999998</v>
      </c>
      <c r="P73" s="46">
        <f t="shared" ca="1" si="4"/>
        <v>9.3196856907584273E-3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input_483100!A$2</f>
        <v>483100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IFERROR(VLOOKUP(B74,input_483100!L:R,7,FALSE),VLOOKUP(tables_483100!C74,input_483100!A:H,8,FALSE))</f>
        <v>5499.0384599999998</v>
      </c>
      <c r="P74" s="46">
        <f t="shared" ca="1" si="4"/>
        <v>1.4078439477766184E-4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input_483100!A$2</f>
        <v>483100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IFERROR(VLOOKUP(B75,input_483100!L:R,7,FALSE),VLOOKUP(tables_483100!C75,input_483100!A:H,8,FALSE))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input_483100!A$2</f>
        <v>483100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IFERROR(VLOOKUP(B76,input_483100!L:R,7,FALSE),VLOOKUP(tables_483100!C76,input_483100!A:H,8,FALSE))</f>
        <v>364026.92307999998</v>
      </c>
      <c r="P76" s="46">
        <f t="shared" ca="1" si="4"/>
        <v>9.3196856907584273E-3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input_483100!A$2</f>
        <v>483100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IFERROR(VLOOKUP(B77,input_483100!L:R,7,FALSE),VLOOKUP(tables_483100!C77,input_483100!A:H,8,FALSE))</f>
        <v>5499.0384599999998</v>
      </c>
      <c r="P77" s="46">
        <f t="shared" ca="1" si="4"/>
        <v>1.4078439477766184E-4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input_483100!A$2</f>
        <v>483100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IFERROR(VLOOKUP(B78,input_483100!L:R,7,FALSE),VLOOKUP(tables_483100!C78,input_483100!A:H,8,FALSE))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input_483100!A$2</f>
        <v>483100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IFERROR(VLOOKUP(B79,input_483100!L:R,7,FALSE),VLOOKUP(tables_483100!C79,input_483100!A:H,8,FALSE))</f>
        <v>364026.92307999998</v>
      </c>
      <c r="P79" s="46">
        <f t="shared" ca="1" si="4"/>
        <v>9.3196856907584273E-3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input_483100!A$2</f>
        <v>483100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IFERROR(VLOOKUP(B80,input_483100!L:R,7,FALSE),VLOOKUP(tables_483100!C80,input_483100!A:H,8,FALSE))</f>
        <v>5499.0384599999998</v>
      </c>
      <c r="P80" s="46">
        <f t="shared" ca="1" si="4"/>
        <v>1.4078439477766184E-4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input_483100!A$2</f>
        <v>483100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IFERROR(VLOOKUP(B81,input_483100!L:R,7,FALSE),VLOOKUP(tables_483100!C81,input_483100!A:H,8,FALSE))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input_483100!A$2</f>
        <v>483100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IFERROR(VLOOKUP(B82,input_483100!L:R,7,FALSE),VLOOKUP(tables_483100!C82,input_483100!A:H,8,FALSE))</f>
        <v>364026.92307999998</v>
      </c>
      <c r="P82" s="46">
        <f t="shared" ca="1" si="4"/>
        <v>9.3196856907584273E-3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input_483100!A$2</f>
        <v>483100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IFERROR(VLOOKUP(B83,input_483100!L:R,7,FALSE),VLOOKUP(tables_483100!C83,input_483100!A:H,8,FALSE))</f>
        <v>5499.0384599999998</v>
      </c>
      <c r="P83" s="46">
        <f t="shared" ca="1" si="4"/>
        <v>1.4078439477766184E-4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input_483100!A$2</f>
        <v>483100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IFERROR(VLOOKUP(B84,input_483100!L:R,7,FALSE),VLOOKUP(tables_483100!C84,input_483100!A:H,8,FALSE))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input_483100!A$2</f>
        <v>483100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IFERROR(VLOOKUP(B85,input_483100!L:R,7,FALSE),VLOOKUP(tables_483100!C85,input_483100!A:H,8,FALSE))</f>
        <v>364026.92307999998</v>
      </c>
      <c r="P85" s="46">
        <f t="shared" ca="1" si="4"/>
        <v>9.3196856907584273E-3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input_483100!A$2</f>
        <v>483100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IFERROR(VLOOKUP(B86,input_483100!L:R,7,FALSE),VLOOKUP(tables_483100!C86,input_483100!A:H,8,FALSE))</f>
        <v>5499.0384599999998</v>
      </c>
      <c r="P86" s="46">
        <f t="shared" ca="1" si="4"/>
        <v>1.4078439477766184E-4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input_483100!A$2</f>
        <v>483100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IFERROR(VLOOKUP(B87,input_483100!L:R,7,FALSE),VLOOKUP(tables_483100!C87,input_483100!A:H,8,FALSE))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input_483100!A$2</f>
        <v>483100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IFERROR(VLOOKUP(B88,input_483100!L:R,7,FALSE),VLOOKUP(tables_483100!C88,input_483100!A:H,8,FALSE))</f>
        <v>364026.92307999998</v>
      </c>
      <c r="P88" s="46">
        <f t="shared" ca="1" si="4"/>
        <v>9.3196856907584273E-3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input_483100!A$2</f>
        <v>483100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IFERROR(VLOOKUP(B89,input_483100!L:R,7,FALSE),VLOOKUP(tables_483100!C89,input_483100!A:H,8,FALSE))</f>
        <v>5499.0384599999998</v>
      </c>
      <c r="P89" s="46">
        <f t="shared" ca="1" si="4"/>
        <v>1.4078439477766184E-4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input_483100!A$2</f>
        <v>483100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IFERROR(VLOOKUP(B90,input_483100!L:R,7,FALSE),VLOOKUP(tables_483100!C90,input_483100!A:H,8,FALSE))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input_483100!A$2</f>
        <v>483100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IFERROR(VLOOKUP(B91,input_483100!L:R,7,FALSE),VLOOKUP(tables_483100!C91,input_483100!A:H,8,FALSE))</f>
        <v>364026.92307999998</v>
      </c>
      <c r="P91" s="46">
        <f t="shared" ca="1" si="4"/>
        <v>9.3196856907584273E-3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input_483100!A$2</f>
        <v>483100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IFERROR(VLOOKUP(B92,input_483100!L:R,7,FALSE),VLOOKUP(tables_483100!C92,input_483100!A:H,8,FALSE))</f>
        <v>5499.0384599999998</v>
      </c>
      <c r="P92" s="46">
        <f t="shared" ca="1" si="4"/>
        <v>1.4078439477766184E-4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input_483100!A$2</f>
        <v>483100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IFERROR(VLOOKUP(B93,input_483100!L:R,7,FALSE),VLOOKUP(tables_483100!C93,input_483100!A:H,8,FALSE))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input_483100!A$2</f>
        <v>483100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IFERROR(VLOOKUP(B94,input_483100!L:R,7,FALSE),VLOOKUP(tables_483100!C94,input_483100!A:H,8,FALSE))</f>
        <v>364026.92307999998</v>
      </c>
      <c r="P94" s="46">
        <f t="shared" ca="1" si="4"/>
        <v>9.3196856907584273E-3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input_483100!A$2</f>
        <v>483100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IFERROR(VLOOKUP(B95,input_483100!L:R,7,FALSE),VLOOKUP(tables_483100!C95,input_483100!A:H,8,FALSE))</f>
        <v>5499.0384599999998</v>
      </c>
      <c r="P95" s="46">
        <f t="shared" ca="1" si="4"/>
        <v>1.4078439477766184E-4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input_483100!A$2</f>
        <v>483100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IFERROR(VLOOKUP(B96,input_483100!L:R,7,FALSE),VLOOKUP(tables_483100!C96,input_483100!A:H,8,FALSE))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input_483100!A$2</f>
        <v>483100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IFERROR(VLOOKUP(B97,input_483100!L:R,7,FALSE),VLOOKUP(tables_483100!C97,input_483100!A:H,8,FALSE))</f>
        <v>364026.92307999998</v>
      </c>
      <c r="P97" s="46">
        <f t="shared" ca="1" si="4"/>
        <v>9.3196856907584273E-3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input_483100!A$2</f>
        <v>483100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IFERROR(VLOOKUP(B98,input_483100!L:R,7,FALSE),VLOOKUP(tables_483100!C98,input_483100!A:H,8,FALSE))</f>
        <v>5499.0384599999998</v>
      </c>
      <c r="P98" s="46">
        <f t="shared" ca="1" si="4"/>
        <v>1.4078439477766184E-4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input_483100!A$2</f>
        <v>483100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IFERROR(VLOOKUP(B99,input_483100!L:R,7,FALSE),VLOOKUP(tables_483100!C99,input_483100!A:H,8,FALSE))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input_483100!A$2</f>
        <v>483100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IFERROR(VLOOKUP(B100,input_483100!L:R,7,FALSE),VLOOKUP(tables_483100!C100,input_483100!A:H,8,FALSE))</f>
        <v>364026.92307999998</v>
      </c>
      <c r="P100" s="46">
        <f t="shared" ca="1" si="4"/>
        <v>9.3196856907584273E-3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input_483100!A$2</f>
        <v>483100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IFERROR(VLOOKUP(B101,input_483100!L:R,7,FALSE),VLOOKUP(tables_483100!C101,input_483100!A:H,8,FALSE))</f>
        <v>5499.0384599999998</v>
      </c>
      <c r="P101" s="46">
        <f t="shared" ca="1" si="4"/>
        <v>1.4078439477766184E-4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input_483100!A$2</f>
        <v>483100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IFERROR(VLOOKUP(B102,input_483100!L:R,7,FALSE),VLOOKUP(tables_483100!C102,input_483100!A:H,8,FALSE))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input_483100!A$2</f>
        <v>483100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IFERROR(VLOOKUP(B103,input_483100!L:R,7,FALSE),VLOOKUP(tables_483100!C103,input_483100!A:H,8,FALSE))</f>
        <v>364026.92307999998</v>
      </c>
      <c r="P103" s="46">
        <f t="shared" ca="1" si="4"/>
        <v>9.3196856907584273E-3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input_483100!A$2</f>
        <v>483100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IFERROR(VLOOKUP(B104,input_483100!L:R,7,FALSE),VLOOKUP(tables_483100!C104,input_483100!A:H,8,FALSE))</f>
        <v>5499.0384599999998</v>
      </c>
      <c r="P104" s="46">
        <f t="shared" ca="1" si="4"/>
        <v>1.4078439477766184E-4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input_483100!A$2</f>
        <v>483100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IFERROR(VLOOKUP(B105,input_483100!L:R,7,FALSE),VLOOKUP(tables_483100!C105,input_483100!A:H,8,FALSE))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input_483100!A$2</f>
        <v>483100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IFERROR(VLOOKUP(B106,input_483100!L:R,7,FALSE),VLOOKUP(tables_483100!C106,input_483100!A:H,8,FALSE))</f>
        <v>364026.92307999998</v>
      </c>
      <c r="P106" s="46">
        <f t="shared" ca="1" si="4"/>
        <v>9.3196856907584273E-3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input_483100!A$2</f>
        <v>483100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IFERROR(VLOOKUP(B107,input_483100!L:R,7,FALSE),VLOOKUP(tables_483100!C107,input_483100!A:H,8,FALSE))</f>
        <v>5499.0384599999998</v>
      </c>
      <c r="P107" s="46">
        <f t="shared" ca="1" si="4"/>
        <v>1.4078439477766184E-4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input_483100!A$2</f>
        <v>483100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IFERROR(VLOOKUP(B108,input_483100!L:R,7,FALSE),VLOOKUP(tables_483100!C108,input_483100!A:H,8,FALSE))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input_483100!A$2</f>
        <v>483100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IFERROR(VLOOKUP(B109,input_483100!L:R,7,FALSE),VLOOKUP(tables_483100!C109,input_483100!A:H,8,FALSE))</f>
        <v>364026.92307999998</v>
      </c>
      <c r="P109" s="46">
        <f t="shared" ca="1" si="4"/>
        <v>9.3196856907584273E-3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input_483100!A$2</f>
        <v>483100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IFERROR(VLOOKUP(B110,input_483100!L:R,7,FALSE),VLOOKUP(tables_483100!C110,input_483100!A:H,8,FALSE))</f>
        <v>5499.0384599999998</v>
      </c>
      <c r="P110" s="46">
        <f t="shared" ca="1" si="4"/>
        <v>1.4078439477766184E-4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input_483100!A$2</f>
        <v>483100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IFERROR(VLOOKUP(B111,input_483100!L:R,7,FALSE),VLOOKUP(tables_483100!C111,input_483100!A:H,8,FALSE))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input_483100!A$2</f>
        <v>483100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IFERROR(VLOOKUP(B112,input_483100!L:R,7,FALSE),VLOOKUP(tables_483100!C112,input_483100!A:H,8,FALSE))</f>
        <v>379050</v>
      </c>
      <c r="P112" s="46">
        <f t="shared" ca="1" si="4"/>
        <v>9.7043010752961203E-3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input_483100!A$2</f>
        <v>483100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IFERROR(VLOOKUP(B113,input_483100!L:R,7,FALSE),VLOOKUP(tables_483100!C113,input_483100!A:H,8,FALSE))</f>
        <v>19950</v>
      </c>
      <c r="P113" s="46">
        <f t="shared" ca="1" si="4"/>
        <v>5.1075268817348007E-4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input_483100!A$2</f>
        <v>483100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IFERROR(VLOOKUP(B114,input_483100!L:R,7,FALSE),VLOOKUP(tables_483100!C114,input_483100!A:H,8,FALSE))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input_483100!A$2</f>
        <v>483100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IFERROR(VLOOKUP(B115,input_483100!L:R,7,FALSE),VLOOKUP(tables_483100!C115,input_483100!A:H,8,FALSE))</f>
        <v>364026.92307999998</v>
      </c>
      <c r="P115" s="46">
        <f t="shared" ca="1" si="4"/>
        <v>9.3196856907584273E-3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input_483100!A$2</f>
        <v>483100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IFERROR(VLOOKUP(B116,input_483100!L:R,7,FALSE),VLOOKUP(tables_483100!C116,input_483100!A:H,8,FALSE))</f>
        <v>5499.0384599999998</v>
      </c>
      <c r="P116" s="46">
        <f t="shared" ca="1" si="4"/>
        <v>1.4078439477766184E-4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input_483100!A$2</f>
        <v>483100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IFERROR(VLOOKUP(B117,input_483100!L:R,7,FALSE),VLOOKUP(tables_483100!C117,input_483100!A:H,8,FALSE))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input_483100!A$2</f>
        <v>483100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IFERROR(VLOOKUP(B118,input_483100!L:R,7,FALSE),VLOOKUP(tables_483100!C118,input_483100!A:H,8,FALSE))</f>
        <v>364026.92307999998</v>
      </c>
      <c r="P118" s="46">
        <f t="shared" ca="1" si="4"/>
        <v>9.3196856907584273E-3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input_483100!A$2</f>
        <v>483100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IFERROR(VLOOKUP(B119,input_483100!L:R,7,FALSE),VLOOKUP(tables_483100!C119,input_483100!A:H,8,FALSE))</f>
        <v>5499.0384599999998</v>
      </c>
      <c r="P119" s="46">
        <f t="shared" ca="1" si="4"/>
        <v>1.4078439477766184E-4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input_483100!A$2</f>
        <v>483100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IFERROR(VLOOKUP(B120,input_483100!L:R,7,FALSE),VLOOKUP(tables_483100!C120,input_483100!A:H,8,FALSE))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input_483100!A$2</f>
        <v>483100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IFERROR(VLOOKUP(B121,input_483100!L:R,7,FALSE),VLOOKUP(tables_483100!C121,input_483100!A:H,8,FALSE))</f>
        <v>364026.92307999998</v>
      </c>
      <c r="P121" s="46">
        <f t="shared" ca="1" si="4"/>
        <v>9.3196856907584273E-3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input_483100!A$2</f>
        <v>483100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IFERROR(VLOOKUP(B122,input_483100!L:R,7,FALSE),VLOOKUP(tables_483100!C122,input_483100!A:H,8,FALSE))</f>
        <v>5499.0384599999998</v>
      </c>
      <c r="P122" s="46">
        <f t="shared" ca="1" si="4"/>
        <v>1.4078439477766184E-4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input_483100!A$2</f>
        <v>483100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IFERROR(VLOOKUP(B123,input_483100!L:R,7,FALSE),VLOOKUP(tables_483100!C123,input_483100!A:H,8,FALSE))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input_483100!A$2</f>
        <v>483100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IFERROR(VLOOKUP(B124,input_483100!L:R,7,FALSE),VLOOKUP(tables_483100!C124,input_483100!A:H,8,FALSE))</f>
        <v>364026.92307999998</v>
      </c>
      <c r="P124" s="46">
        <f t="shared" ca="1" si="4"/>
        <v>9.3196856907584273E-3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input_483100!A$2</f>
        <v>483100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IFERROR(VLOOKUP(B125,input_483100!L:R,7,FALSE),VLOOKUP(tables_483100!C125,input_483100!A:H,8,FALSE))</f>
        <v>5499.0384599999998</v>
      </c>
      <c r="P125" s="46">
        <f t="shared" ca="1" si="4"/>
        <v>1.4078439477766184E-4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input_483100!A$2</f>
        <v>483100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IFERROR(VLOOKUP(B126,input_483100!L:R,7,FALSE),VLOOKUP(tables_483100!C126,input_483100!A:H,8,FALSE))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input_483100!A$2</f>
        <v>483100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IFERROR(VLOOKUP(B127,input_483100!L:R,7,FALSE),VLOOKUP(tables_483100!C127,input_483100!A:H,8,FALSE))</f>
        <v>364026.92307999998</v>
      </c>
      <c r="P127" s="46">
        <f t="shared" ca="1" si="4"/>
        <v>9.3196856907584273E-3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input_483100!A$2</f>
        <v>483100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IFERROR(VLOOKUP(B128,input_483100!L:R,7,FALSE),VLOOKUP(tables_483100!C128,input_483100!A:H,8,FALSE))</f>
        <v>5499.0384599999998</v>
      </c>
      <c r="P128" s="46">
        <f t="shared" ca="1" si="4"/>
        <v>1.4078439477766184E-4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input_483100!A$2</f>
        <v>483100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IFERROR(VLOOKUP(B129,input_483100!L:R,7,FALSE),VLOOKUP(tables_483100!C129,input_483100!A:H,8,FALSE))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input_483100!A$2</f>
        <v>483100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IFERROR(VLOOKUP(B130,input_483100!L:R,7,FALSE),VLOOKUP(tables_483100!C130,input_483100!A:H,8,FALSE))</f>
        <v>364026.92307999998</v>
      </c>
      <c r="P130" s="46">
        <f t="shared" ref="P130:P193" ca="1" si="7">O130/SUM(O:O)</f>
        <v>9.3196856907584273E-3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input_483100!A$2</f>
        <v>483100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IFERROR(VLOOKUP(B131,input_483100!L:R,7,FALSE),VLOOKUP(tables_483100!C131,input_483100!A:H,8,FALSE))</f>
        <v>5499.0384599999998</v>
      </c>
      <c r="P131" s="46">
        <f t="shared" ca="1" si="7"/>
        <v>1.4078439477766184E-4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input_483100!A$2</f>
        <v>483100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IFERROR(VLOOKUP(B132,input_483100!L:R,7,FALSE),VLOOKUP(tables_483100!C132,input_483100!A:H,8,FALSE))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input_483100!A$2</f>
        <v>483100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IFERROR(VLOOKUP(B133,input_483100!L:R,7,FALSE),VLOOKUP(tables_483100!C133,input_483100!A:H,8,FALSE))</f>
        <v>364026.92307999998</v>
      </c>
      <c r="P133" s="46">
        <f t="shared" ca="1" si="7"/>
        <v>9.3196856907584273E-3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input_483100!A$2</f>
        <v>483100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IFERROR(VLOOKUP(B134,input_483100!L:R,7,FALSE),VLOOKUP(tables_483100!C134,input_483100!A:H,8,FALSE))</f>
        <v>5499.0384599999998</v>
      </c>
      <c r="P134" s="46">
        <f t="shared" ca="1" si="7"/>
        <v>1.4078439477766184E-4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input_483100!A$2</f>
        <v>483100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IFERROR(VLOOKUP(B135,input_483100!L:R,7,FALSE),VLOOKUP(tables_483100!C135,input_483100!A:H,8,FALSE))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input_483100!A$2</f>
        <v>483100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IFERROR(VLOOKUP(B136,input_483100!L:R,7,FALSE),VLOOKUP(tables_483100!C136,input_483100!A:H,8,FALSE))</f>
        <v>364026.92307999998</v>
      </c>
      <c r="P136" s="46">
        <f t="shared" ca="1" si="7"/>
        <v>9.3196856907584273E-3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input_483100!A$2</f>
        <v>483100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IFERROR(VLOOKUP(B137,input_483100!L:R,7,FALSE),VLOOKUP(tables_483100!C137,input_483100!A:H,8,FALSE))</f>
        <v>5499.0384599999998</v>
      </c>
      <c r="P137" s="46">
        <f t="shared" ca="1" si="7"/>
        <v>1.4078439477766184E-4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input_483100!A$2</f>
        <v>483100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IFERROR(VLOOKUP(B138,input_483100!L:R,7,FALSE),VLOOKUP(tables_483100!C138,input_483100!A:H,8,FALSE))</f>
        <v>29450</v>
      </c>
      <c r="P138" s="46">
        <f t="shared" ca="1" si="7"/>
        <v>7.5396825397037526E-4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input_483100!A$2</f>
        <v>483100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IFERROR(VLOOKUP(B139,input_483100!L:R,7,FALSE),VLOOKUP(tables_483100!C139,input_483100!A:H,8,FALSE))</f>
        <v>1550</v>
      </c>
      <c r="P139" s="46">
        <f t="shared" ca="1" si="7"/>
        <v>3.9682539682651328E-5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input_483100!A$2</f>
        <v>483100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IFERROR(VLOOKUP(B140,input_483100!L:R,7,FALSE),VLOOKUP(tables_483100!C140,input_483100!A:H,8,FALSE))</f>
        <v>29450</v>
      </c>
      <c r="P140" s="46">
        <f t="shared" ca="1" si="7"/>
        <v>7.5396825397037526E-4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input_483100!A$2</f>
        <v>483100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IFERROR(VLOOKUP(B141,input_483100!L:R,7,FALSE),VLOOKUP(tables_483100!C141,input_483100!A:H,8,FALSE))</f>
        <v>1550</v>
      </c>
      <c r="P141" s="46">
        <f t="shared" ca="1" si="7"/>
        <v>3.9682539682651328E-5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input_483100!A$2</f>
        <v>483100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IFERROR(VLOOKUP(B142,input_483100!L:R,7,FALSE),VLOOKUP(tables_483100!C142,input_483100!A:H,8,FALSE))</f>
        <v>29450</v>
      </c>
      <c r="P142" s="46">
        <f t="shared" ca="1" si="7"/>
        <v>7.5396825397037526E-4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input_483100!A$2</f>
        <v>483100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IFERROR(VLOOKUP(B143,input_483100!L:R,7,FALSE),VLOOKUP(tables_483100!C143,input_483100!A:H,8,FALSE))</f>
        <v>1550</v>
      </c>
      <c r="P143" s="46">
        <f t="shared" ca="1" si="7"/>
        <v>3.9682539682651328E-5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input_483100!A$2</f>
        <v>483100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IFERROR(VLOOKUP(B144,input_483100!L:R,7,FALSE),VLOOKUP(tables_483100!C144,input_483100!A:H,8,FALSE))</f>
        <v>29450</v>
      </c>
      <c r="P144" s="46">
        <f t="shared" ca="1" si="7"/>
        <v>7.5396825397037526E-4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input_483100!A$2</f>
        <v>483100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IFERROR(VLOOKUP(B145,input_483100!L:R,7,FALSE),VLOOKUP(tables_483100!C145,input_483100!A:H,8,FALSE))</f>
        <v>1550</v>
      </c>
      <c r="P145" s="46">
        <f t="shared" ca="1" si="7"/>
        <v>3.9682539682651328E-5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input_483100!A$2</f>
        <v>483100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IFERROR(VLOOKUP(B146,input_483100!L:R,7,FALSE),VLOOKUP(tables_483100!C146,input_483100!A:H,8,FALSE))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input_483100!A$2</f>
        <v>483100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IFERROR(VLOOKUP(B147,input_483100!L:R,7,FALSE),VLOOKUP(tables_483100!C147,input_483100!A:H,8,FALSE))</f>
        <v>364026.92307999998</v>
      </c>
      <c r="P147" s="46">
        <f t="shared" ca="1" si="7"/>
        <v>9.3196856907584273E-3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input_483100!A$2</f>
        <v>483100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IFERROR(VLOOKUP(B148,input_483100!L:R,7,FALSE),VLOOKUP(tables_483100!C148,input_483100!A:H,8,FALSE))</f>
        <v>5499.0384599999998</v>
      </c>
      <c r="P148" s="46">
        <f t="shared" ca="1" si="7"/>
        <v>1.4078439477766184E-4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input_483100!A$2</f>
        <v>483100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IFERROR(VLOOKUP(B149,input_483100!L:R,7,FALSE),VLOOKUP(tables_483100!C149,input_483100!A:H,8,FALSE))</f>
        <v>29450</v>
      </c>
      <c r="P149" s="46">
        <f t="shared" ca="1" si="7"/>
        <v>7.5396825397037526E-4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input_483100!A$2</f>
        <v>483100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IFERROR(VLOOKUP(B150,input_483100!L:R,7,FALSE),VLOOKUP(tables_483100!C150,input_483100!A:H,8,FALSE))</f>
        <v>1550</v>
      </c>
      <c r="P150" s="46">
        <f t="shared" ca="1" si="7"/>
        <v>3.9682539682651328E-5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input_483100!A$2</f>
        <v>483100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IFERROR(VLOOKUP(B151,input_483100!L:R,7,FALSE),VLOOKUP(tables_483100!C151,input_483100!A:H,8,FALSE))</f>
        <v>29450</v>
      </c>
      <c r="P151" s="46">
        <f t="shared" ca="1" si="7"/>
        <v>7.5396825397037526E-4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input_483100!A$2</f>
        <v>483100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IFERROR(VLOOKUP(B152,input_483100!L:R,7,FALSE),VLOOKUP(tables_483100!C152,input_483100!A:H,8,FALSE))</f>
        <v>1550</v>
      </c>
      <c r="P152" s="46">
        <f t="shared" ca="1" si="7"/>
        <v>3.9682539682651328E-5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input_483100!A$2</f>
        <v>483100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IFERROR(VLOOKUP(B153,input_483100!L:R,7,FALSE),VLOOKUP(tables_483100!C153,input_483100!A:H,8,FALSE))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input_483100!A$2</f>
        <v>483100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IFERROR(VLOOKUP(B154,input_483100!L:R,7,FALSE),VLOOKUP(tables_483100!C154,input_483100!A:H,8,FALSE))</f>
        <v>364026.92307999998</v>
      </c>
      <c r="P154" s="46">
        <f t="shared" ca="1" si="7"/>
        <v>9.3196856907584273E-3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input_483100!A$2</f>
        <v>483100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IFERROR(VLOOKUP(B155,input_483100!L:R,7,FALSE),VLOOKUP(tables_483100!C155,input_483100!A:H,8,FALSE))</f>
        <v>5499.0384599999998</v>
      </c>
      <c r="P155" s="46">
        <f t="shared" ca="1" si="7"/>
        <v>1.4078439477766184E-4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input_483100!A$2</f>
        <v>483100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IFERROR(VLOOKUP(B156,input_483100!L:R,7,FALSE),VLOOKUP(tables_483100!C156,input_483100!A:H,8,FALSE))</f>
        <v>29450</v>
      </c>
      <c r="P156" s="46">
        <f t="shared" ca="1" si="7"/>
        <v>7.5396825397037526E-4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input_483100!A$2</f>
        <v>483100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IFERROR(VLOOKUP(B157,input_483100!L:R,7,FALSE),VLOOKUP(tables_483100!C157,input_483100!A:H,8,FALSE))</f>
        <v>1550</v>
      </c>
      <c r="P157" s="46">
        <f t="shared" ca="1" si="7"/>
        <v>3.9682539682651328E-5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input_483100!A$2</f>
        <v>483100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IFERROR(VLOOKUP(B158,input_483100!L:R,7,FALSE),VLOOKUP(tables_483100!C158,input_483100!A:H,8,FALSE))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input_483100!A$2</f>
        <v>483100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IFERROR(VLOOKUP(B159,input_483100!L:R,7,FALSE),VLOOKUP(tables_483100!C159,input_483100!A:H,8,FALSE))</f>
        <v>364026.92307999998</v>
      </c>
      <c r="P159" s="46">
        <f t="shared" ca="1" si="7"/>
        <v>9.3196856907584273E-3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input_483100!A$2</f>
        <v>483100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IFERROR(VLOOKUP(B160,input_483100!L:R,7,FALSE),VLOOKUP(tables_483100!C160,input_483100!A:H,8,FALSE))</f>
        <v>5499.0384599999998</v>
      </c>
      <c r="P160" s="46">
        <f t="shared" ca="1" si="7"/>
        <v>1.4078439477766184E-4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input_483100!A$2</f>
        <v>483100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IFERROR(VLOOKUP(B161,input_483100!L:R,7,FALSE),VLOOKUP(tables_483100!C161,input_483100!A:H,8,FALSE))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input_483100!A$2</f>
        <v>483100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IFERROR(VLOOKUP(B162,input_483100!L:R,7,FALSE),VLOOKUP(tables_483100!C162,input_483100!A:H,8,FALSE))</f>
        <v>364026.92307999998</v>
      </c>
      <c r="P162" s="46">
        <f t="shared" ca="1" si="7"/>
        <v>9.3196856907584273E-3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input_483100!A$2</f>
        <v>483100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IFERROR(VLOOKUP(B163,input_483100!L:R,7,FALSE),VLOOKUP(tables_483100!C163,input_483100!A:H,8,FALSE))</f>
        <v>5499.0384599999998</v>
      </c>
      <c r="P163" s="46">
        <f t="shared" ca="1" si="7"/>
        <v>1.4078439477766184E-4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input_483100!A$2</f>
        <v>483100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IFERROR(VLOOKUP(B164,input_483100!L:R,7,FALSE),VLOOKUP(tables_483100!C164,input_483100!A:H,8,FALSE))</f>
        <v>29450</v>
      </c>
      <c r="P164" s="46">
        <f t="shared" ca="1" si="7"/>
        <v>7.5396825397037526E-4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input_483100!A$2</f>
        <v>483100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IFERROR(VLOOKUP(B165,input_483100!L:R,7,FALSE),VLOOKUP(tables_483100!C165,input_483100!A:H,8,FALSE))</f>
        <v>1550</v>
      </c>
      <c r="P165" s="46">
        <f t="shared" ca="1" si="7"/>
        <v>3.9682539682651328E-5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input_483100!A$2</f>
        <v>483100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IFERROR(VLOOKUP(B166,input_483100!L:R,7,FALSE),VLOOKUP(tables_483100!C166,input_483100!A:H,8,FALSE))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input_483100!A$2</f>
        <v>483100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IFERROR(VLOOKUP(B167,input_483100!L:R,7,FALSE),VLOOKUP(tables_483100!C167,input_483100!A:H,8,FALSE))</f>
        <v>364026.92307999998</v>
      </c>
      <c r="P167" s="46">
        <f t="shared" ca="1" si="7"/>
        <v>9.3196856907584273E-3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input_483100!A$2</f>
        <v>483100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IFERROR(VLOOKUP(B168,input_483100!L:R,7,FALSE),VLOOKUP(tables_483100!C168,input_483100!A:H,8,FALSE))</f>
        <v>5499.0384599999998</v>
      </c>
      <c r="P168" s="46">
        <f t="shared" ca="1" si="7"/>
        <v>1.4078439477766184E-4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input_483100!A$2</f>
        <v>483100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IFERROR(VLOOKUP(B169,input_483100!L:R,7,FALSE),VLOOKUP(tables_483100!C169,input_483100!A:H,8,FALSE))</f>
        <v>29450</v>
      </c>
      <c r="P169" s="46">
        <f t="shared" ca="1" si="7"/>
        <v>7.5396825397037526E-4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input_483100!A$2</f>
        <v>483100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IFERROR(VLOOKUP(B170,input_483100!L:R,7,FALSE),VLOOKUP(tables_483100!C170,input_483100!A:H,8,FALSE))</f>
        <v>1550</v>
      </c>
      <c r="P170" s="46">
        <f t="shared" ca="1" si="7"/>
        <v>3.9682539682651328E-5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input_483100!A$2</f>
        <v>483100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IFERROR(VLOOKUP(B171,input_483100!L:R,7,FALSE),VLOOKUP(tables_483100!C171,input_483100!A:H,8,FALSE))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input_483100!A$2</f>
        <v>483100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IFERROR(VLOOKUP(B172,input_483100!L:R,7,FALSE),VLOOKUP(tables_483100!C172,input_483100!A:H,8,FALSE))</f>
        <v>364026.92307999998</v>
      </c>
      <c r="P172" s="46">
        <f t="shared" ca="1" si="7"/>
        <v>9.3196856907584273E-3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input_483100!A$2</f>
        <v>483100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IFERROR(VLOOKUP(B173,input_483100!L:R,7,FALSE),VLOOKUP(tables_483100!C173,input_483100!A:H,8,FALSE))</f>
        <v>5499.0384599999998</v>
      </c>
      <c r="P173" s="46">
        <f t="shared" ca="1" si="7"/>
        <v>1.4078439477766184E-4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input_483100!A$2</f>
        <v>483100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IFERROR(VLOOKUP(B174,input_483100!L:R,7,FALSE),VLOOKUP(tables_483100!C174,input_483100!A:H,8,FALSE))</f>
        <v>29450</v>
      </c>
      <c r="P174" s="46">
        <f t="shared" ca="1" si="7"/>
        <v>7.5396825397037526E-4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input_483100!A$2</f>
        <v>483100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IFERROR(VLOOKUP(B175,input_483100!L:R,7,FALSE),VLOOKUP(tables_483100!C175,input_483100!A:H,8,FALSE))</f>
        <v>1550</v>
      </c>
      <c r="P175" s="46">
        <f t="shared" ca="1" si="7"/>
        <v>3.9682539682651328E-5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input_483100!A$2</f>
        <v>483100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IFERROR(VLOOKUP(B176,input_483100!L:R,7,FALSE),VLOOKUP(tables_483100!C176,input_483100!A:H,8,FALSE))</f>
        <v>29450</v>
      </c>
      <c r="P176" s="46">
        <f t="shared" ca="1" si="7"/>
        <v>7.5396825397037526E-4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input_483100!A$2</f>
        <v>483100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IFERROR(VLOOKUP(B177,input_483100!L:R,7,FALSE),VLOOKUP(tables_483100!C177,input_483100!A:H,8,FALSE))</f>
        <v>1550</v>
      </c>
      <c r="P177" s="46">
        <f t="shared" ca="1" si="7"/>
        <v>3.9682539682651328E-5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input_483100!A$2</f>
        <v>483100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IFERROR(VLOOKUP(B178,input_483100!L:R,7,FALSE),VLOOKUP(tables_483100!C178,input_483100!A:H,8,FALSE))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input_483100!A$2</f>
        <v>483100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IFERROR(VLOOKUP(B179,input_483100!L:R,7,FALSE),VLOOKUP(tables_483100!C179,input_483100!A:H,8,FALSE))</f>
        <v>364026.92307999998</v>
      </c>
      <c r="P179" s="46">
        <f t="shared" ca="1" si="7"/>
        <v>9.3196856907584273E-3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input_483100!A$2</f>
        <v>483100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IFERROR(VLOOKUP(B180,input_483100!L:R,7,FALSE),VLOOKUP(tables_483100!C180,input_483100!A:H,8,FALSE))</f>
        <v>5499.0384599999998</v>
      </c>
      <c r="P180" s="46">
        <f t="shared" ca="1" si="7"/>
        <v>1.4078439477766184E-4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input_483100!A$2</f>
        <v>483100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IFERROR(VLOOKUP(B181,input_483100!L:R,7,FALSE),VLOOKUP(tables_483100!C181,input_483100!A:H,8,FALSE))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input_483100!A$2</f>
        <v>483100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IFERROR(VLOOKUP(B182,input_483100!L:R,7,FALSE),VLOOKUP(tables_483100!C182,input_483100!A:H,8,FALSE))</f>
        <v>364026.92307999998</v>
      </c>
      <c r="P182" s="46">
        <f t="shared" ca="1" si="7"/>
        <v>9.3196856907584273E-3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input_483100!A$2</f>
        <v>483100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IFERROR(VLOOKUP(B183,input_483100!L:R,7,FALSE),VLOOKUP(tables_483100!C183,input_483100!A:H,8,FALSE))</f>
        <v>5499.0384599999998</v>
      </c>
      <c r="P183" s="46">
        <f t="shared" ca="1" si="7"/>
        <v>1.4078439477766184E-4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input_483100!A$2</f>
        <v>483100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IFERROR(VLOOKUP(B184,input_483100!L:R,7,FALSE),VLOOKUP(tables_483100!C184,input_483100!A:H,8,FALSE))</f>
        <v>29450</v>
      </c>
      <c r="P184" s="46">
        <f t="shared" ca="1" si="7"/>
        <v>7.5396825397037526E-4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input_483100!A$2</f>
        <v>483100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IFERROR(VLOOKUP(B185,input_483100!L:R,7,FALSE),VLOOKUP(tables_483100!C185,input_483100!A:H,8,FALSE))</f>
        <v>1550</v>
      </c>
      <c r="P185" s="46">
        <f t="shared" ca="1" si="7"/>
        <v>3.9682539682651328E-5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input_483100!A$2</f>
        <v>483100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IFERROR(VLOOKUP(B186,input_483100!L:R,7,FALSE),VLOOKUP(tables_483100!C186,input_483100!A:H,8,FALSE))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input_483100!A$2</f>
        <v>483100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IFERROR(VLOOKUP(B187,input_483100!L:R,7,FALSE),VLOOKUP(tables_483100!C187,input_483100!A:H,8,FALSE))</f>
        <v>364026.92307999998</v>
      </c>
      <c r="P187" s="46">
        <f t="shared" ca="1" si="7"/>
        <v>9.3196856907584273E-3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input_483100!A$2</f>
        <v>483100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IFERROR(VLOOKUP(B188,input_483100!L:R,7,FALSE),VLOOKUP(tables_483100!C188,input_483100!A:H,8,FALSE))</f>
        <v>5499.0384599999998</v>
      </c>
      <c r="P188" s="46">
        <f t="shared" ca="1" si="7"/>
        <v>1.4078439477766184E-4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input_483100!A$2</f>
        <v>483100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IFERROR(VLOOKUP(B189,input_483100!L:R,7,FALSE),VLOOKUP(tables_483100!C189,input_483100!A:H,8,FALSE))</f>
        <v>29450</v>
      </c>
      <c r="P189" s="46">
        <f t="shared" ca="1" si="7"/>
        <v>7.5396825397037526E-4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input_483100!A$2</f>
        <v>483100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IFERROR(VLOOKUP(B190,input_483100!L:R,7,FALSE),VLOOKUP(tables_483100!C190,input_483100!A:H,8,FALSE))</f>
        <v>1550</v>
      </c>
      <c r="P190" s="46">
        <f t="shared" ca="1" si="7"/>
        <v>3.9682539682651328E-5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input_483100!A$2</f>
        <v>483100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IFERROR(VLOOKUP(B191,input_483100!L:R,7,FALSE),VLOOKUP(tables_483100!C191,input_483100!A:H,8,FALSE))</f>
        <v>29450</v>
      </c>
      <c r="P191" s="46">
        <f t="shared" ca="1" si="7"/>
        <v>7.5396825397037526E-4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input_483100!A$2</f>
        <v>483100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IFERROR(VLOOKUP(B192,input_483100!L:R,7,FALSE),VLOOKUP(tables_483100!C192,input_483100!A:H,8,FALSE))</f>
        <v>1550</v>
      </c>
      <c r="P192" s="46">
        <f t="shared" ca="1" si="7"/>
        <v>3.9682539682651328E-5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input_483100!A$2</f>
        <v>483100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IFERROR(VLOOKUP(B193,input_483100!L:R,7,FALSE),VLOOKUP(tables_483100!C193,input_483100!A:H,8,FALSE))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input_483100!A$2</f>
        <v>483100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IFERROR(VLOOKUP(B194,input_483100!L:R,7,FALSE),VLOOKUP(tables_483100!C194,input_483100!A:H,8,FALSE))</f>
        <v>364026.92307999998</v>
      </c>
      <c r="P194" s="46">
        <f t="shared" ref="P194:P257" ca="1" si="10">O194/SUM(O:O)</f>
        <v>9.3196856907584273E-3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input_483100!A$2</f>
        <v>483100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IFERROR(VLOOKUP(B195,input_483100!L:R,7,FALSE),VLOOKUP(tables_483100!C195,input_483100!A:H,8,FALSE))</f>
        <v>5499.0384599999998</v>
      </c>
      <c r="P195" s="46">
        <f t="shared" ca="1" si="10"/>
        <v>1.4078439477766184E-4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input_483100!A$2</f>
        <v>483100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IFERROR(VLOOKUP(B196,input_483100!L:R,7,FALSE),VLOOKUP(tables_483100!C196,input_483100!A:H,8,FALSE))</f>
        <v>29450</v>
      </c>
      <c r="P196" s="46">
        <f t="shared" ca="1" si="10"/>
        <v>7.5396825397037526E-4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input_483100!A$2</f>
        <v>483100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IFERROR(VLOOKUP(B197,input_483100!L:R,7,FALSE),VLOOKUP(tables_483100!C197,input_483100!A:H,8,FALSE))</f>
        <v>1550</v>
      </c>
      <c r="P197" s="46">
        <f t="shared" ca="1" si="10"/>
        <v>3.9682539682651328E-5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input_483100!A$2</f>
        <v>483100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IFERROR(VLOOKUP(B198,input_483100!L:R,7,FALSE),VLOOKUP(tables_483100!C198,input_483100!A:H,8,FALSE))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input_483100!A$2</f>
        <v>483100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IFERROR(VLOOKUP(B199,input_483100!L:R,7,FALSE),VLOOKUP(tables_483100!C199,input_483100!A:H,8,FALSE))</f>
        <v>364026.92307999998</v>
      </c>
      <c r="P199" s="46">
        <f t="shared" ca="1" si="10"/>
        <v>9.3196856907584273E-3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input_483100!A$2</f>
        <v>483100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IFERROR(VLOOKUP(B200,input_483100!L:R,7,FALSE),VLOOKUP(tables_483100!C200,input_483100!A:H,8,FALSE))</f>
        <v>5499.0384599999998</v>
      </c>
      <c r="P200" s="46">
        <f t="shared" ca="1" si="10"/>
        <v>1.4078439477766184E-4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input_483100!A$2</f>
        <v>483100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IFERROR(VLOOKUP(B201,input_483100!L:R,7,FALSE),VLOOKUP(tables_483100!C201,input_483100!A:H,8,FALSE))</f>
        <v>29450</v>
      </c>
      <c r="P201" s="46">
        <f t="shared" ca="1" si="10"/>
        <v>7.5396825397037526E-4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input_483100!A$2</f>
        <v>483100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IFERROR(VLOOKUP(B202,input_483100!L:R,7,FALSE),VLOOKUP(tables_483100!C202,input_483100!A:H,8,FALSE))</f>
        <v>1550</v>
      </c>
      <c r="P202" s="46">
        <f t="shared" ca="1" si="10"/>
        <v>3.9682539682651328E-5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input_483100!A$2</f>
        <v>483100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IFERROR(VLOOKUP(B203,input_483100!L:R,7,FALSE),VLOOKUP(tables_483100!C203,input_483100!A:H,8,FALSE))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input_483100!A$2</f>
        <v>483100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IFERROR(VLOOKUP(B204,input_483100!L:R,7,FALSE),VLOOKUP(tables_483100!C204,input_483100!A:H,8,FALSE))</f>
        <v>364026.92307999998</v>
      </c>
      <c r="P204" s="46">
        <f t="shared" ca="1" si="10"/>
        <v>9.3196856907584273E-3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input_483100!A$2</f>
        <v>483100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IFERROR(VLOOKUP(B205,input_483100!L:R,7,FALSE),VLOOKUP(tables_483100!C205,input_483100!A:H,8,FALSE))</f>
        <v>5499.0384599999998</v>
      </c>
      <c r="P205" s="46">
        <f t="shared" ca="1" si="10"/>
        <v>1.4078439477766184E-4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input_483100!A$2</f>
        <v>483100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IFERROR(VLOOKUP(B206,input_483100!L:R,7,FALSE),VLOOKUP(tables_483100!C206,input_483100!A:H,8,FALSE))</f>
        <v>29450</v>
      </c>
      <c r="P206" s="46">
        <f t="shared" ca="1" si="10"/>
        <v>7.5396825397037526E-4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input_483100!A$2</f>
        <v>483100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IFERROR(VLOOKUP(B207,input_483100!L:R,7,FALSE),VLOOKUP(tables_483100!C207,input_483100!A:H,8,FALSE))</f>
        <v>1550</v>
      </c>
      <c r="P207" s="46">
        <f t="shared" ca="1" si="10"/>
        <v>3.9682539682651328E-5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input_483100!A$2</f>
        <v>483100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IFERROR(VLOOKUP(B208,input_483100!L:R,7,FALSE),VLOOKUP(tables_483100!C208,input_483100!A:H,8,FALSE))</f>
        <v>29450</v>
      </c>
      <c r="P208" s="46">
        <f t="shared" ca="1" si="10"/>
        <v>7.5396825397037526E-4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input_483100!A$2</f>
        <v>483100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IFERROR(VLOOKUP(B209,input_483100!L:R,7,FALSE),VLOOKUP(tables_483100!C209,input_483100!A:H,8,FALSE))</f>
        <v>1550</v>
      </c>
      <c r="P209" s="46">
        <f t="shared" ca="1" si="10"/>
        <v>3.9682539682651328E-5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input_483100!A$2</f>
        <v>483100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IFERROR(VLOOKUP(B210,input_483100!L:R,7,FALSE),VLOOKUP(tables_483100!C210,input_483100!A:H,8,FALSE))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input_483100!A$2</f>
        <v>483100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IFERROR(VLOOKUP(B211,input_483100!L:R,7,FALSE),VLOOKUP(tables_483100!C211,input_483100!A:H,8,FALSE))</f>
        <v>364026.92307999998</v>
      </c>
      <c r="P211" s="46">
        <f t="shared" ca="1" si="10"/>
        <v>9.3196856907584273E-3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input_483100!A$2</f>
        <v>483100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IFERROR(VLOOKUP(B212,input_483100!L:R,7,FALSE),VLOOKUP(tables_483100!C212,input_483100!A:H,8,FALSE))</f>
        <v>5499.0384599999998</v>
      </c>
      <c r="P212" s="46">
        <f t="shared" ca="1" si="10"/>
        <v>1.4078439477766184E-4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input_483100!A$2</f>
        <v>483100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IFERROR(VLOOKUP(B213,input_483100!L:R,7,FALSE),VLOOKUP(tables_483100!C213,input_483100!A:H,8,FALSE))</f>
        <v>29450</v>
      </c>
      <c r="P213" s="46">
        <f t="shared" ca="1" si="10"/>
        <v>7.5396825397037526E-4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input_483100!A$2</f>
        <v>483100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IFERROR(VLOOKUP(B214,input_483100!L:R,7,FALSE),VLOOKUP(tables_483100!C214,input_483100!A:H,8,FALSE))</f>
        <v>1550</v>
      </c>
      <c r="P214" s="46">
        <f t="shared" ca="1" si="10"/>
        <v>3.9682539682651328E-5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input_483100!A$2</f>
        <v>483100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IFERROR(VLOOKUP(B215,input_483100!L:R,7,FALSE),VLOOKUP(tables_483100!C215,input_483100!A:H,8,FALSE))</f>
        <v>19950</v>
      </c>
      <c r="P215" s="46">
        <f t="shared" ca="1" si="10"/>
        <v>5.1075268817348007E-4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input_483100!A$2</f>
        <v>483100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IFERROR(VLOOKUP(B216,input_483100!L:R,7,FALSE),VLOOKUP(tables_483100!C216,input_483100!A:H,8,FALSE))</f>
        <v>19950</v>
      </c>
      <c r="P216" s="46">
        <f t="shared" ca="1" si="10"/>
        <v>5.1075268817348007E-4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input_483100!A$2</f>
        <v>483100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IFERROR(VLOOKUP(B217,input_483100!L:R,7,FALSE),VLOOKUP(tables_483100!C217,input_483100!A:H,8,FALSE))</f>
        <v>19950</v>
      </c>
      <c r="P217" s="46">
        <f t="shared" ca="1" si="10"/>
        <v>5.1075268817348007E-4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input_483100!A$2</f>
        <v>483100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IFERROR(VLOOKUP(B218,input_483100!L:R,7,FALSE),VLOOKUP(tables_483100!C218,input_483100!A:H,8,FALSE))</f>
        <v>19950</v>
      </c>
      <c r="P218" s="46">
        <f t="shared" ca="1" si="10"/>
        <v>5.1075268817348007E-4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input_483100!A$2</f>
        <v>483100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IFERROR(VLOOKUP(B219,input_483100!L:R,7,FALSE),VLOOKUP(tables_483100!C219,input_483100!A:H,8,FALSE))</f>
        <v>19950</v>
      </c>
      <c r="P219" s="46">
        <f t="shared" ca="1" si="10"/>
        <v>5.1075268817348007E-4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input_483100!A$2</f>
        <v>483100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IFERROR(VLOOKUP(B220,input_483100!L:R,7,FALSE),VLOOKUP(tables_483100!C220,input_483100!A:H,8,FALSE))</f>
        <v>19950</v>
      </c>
      <c r="P220" s="46">
        <f t="shared" ca="1" si="10"/>
        <v>5.1075268817348007E-4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input_483100!A$2</f>
        <v>483100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IFERROR(VLOOKUP(B221,input_483100!L:R,7,FALSE),VLOOKUP(tables_483100!C221,input_483100!A:H,8,FALSE))</f>
        <v>29450</v>
      </c>
      <c r="P221" s="46">
        <f t="shared" ca="1" si="10"/>
        <v>7.5396825397037526E-4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input_483100!A$2</f>
        <v>483100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IFERROR(VLOOKUP(B222,input_483100!L:R,7,FALSE),VLOOKUP(tables_483100!C222,input_483100!A:H,8,FALSE))</f>
        <v>1550</v>
      </c>
      <c r="P222" s="46">
        <f t="shared" ca="1" si="10"/>
        <v>3.9682539682651328E-5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input_483100!A$2</f>
        <v>483100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IFERROR(VLOOKUP(B223,input_483100!L:R,7,FALSE),VLOOKUP(tables_483100!C223,input_483100!A:H,8,FALSE))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input_483100!A$2</f>
        <v>483100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IFERROR(VLOOKUP(B224,input_483100!L:R,7,FALSE),VLOOKUP(tables_483100!C224,input_483100!A:H,8,FALSE))</f>
        <v>364026.92307999998</v>
      </c>
      <c r="P224" s="46">
        <f t="shared" ca="1" si="10"/>
        <v>9.3196856907584273E-3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input_483100!A$2</f>
        <v>483100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IFERROR(VLOOKUP(B225,input_483100!L:R,7,FALSE),VLOOKUP(tables_483100!C225,input_483100!A:H,8,FALSE))</f>
        <v>5499.0384599999998</v>
      </c>
      <c r="P225" s="46">
        <f t="shared" ca="1" si="10"/>
        <v>1.4078439477766184E-4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input_483100!A$2</f>
        <v>483100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IFERROR(VLOOKUP(B226,input_483100!L:R,7,FALSE),VLOOKUP(tables_483100!C226,input_483100!A:H,8,FALSE))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input_483100!A$2</f>
        <v>483100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IFERROR(VLOOKUP(B227,input_483100!L:R,7,FALSE),VLOOKUP(tables_483100!C227,input_483100!A:H,8,FALSE))</f>
        <v>364026.92307999998</v>
      </c>
      <c r="P227" s="46">
        <f t="shared" ca="1" si="10"/>
        <v>9.3196856907584273E-3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input_483100!A$2</f>
        <v>483100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IFERROR(VLOOKUP(B228,input_483100!L:R,7,FALSE),VLOOKUP(tables_483100!C228,input_483100!A:H,8,FALSE))</f>
        <v>5499.0384599999998</v>
      </c>
      <c r="P228" s="46">
        <f t="shared" ca="1" si="10"/>
        <v>1.4078439477766184E-4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input_483100!A$2</f>
        <v>483100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IFERROR(VLOOKUP(B229,input_483100!L:R,7,FALSE),VLOOKUP(tables_483100!C229,input_483100!A:H,8,FALSE))</f>
        <v>29450</v>
      </c>
      <c r="P229" s="46">
        <f t="shared" ca="1" si="10"/>
        <v>7.5396825397037526E-4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input_483100!A$2</f>
        <v>483100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IFERROR(VLOOKUP(B230,input_483100!L:R,7,FALSE),VLOOKUP(tables_483100!C230,input_483100!A:H,8,FALSE))</f>
        <v>1550</v>
      </c>
      <c r="P230" s="46">
        <f t="shared" ca="1" si="10"/>
        <v>3.9682539682651328E-5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input_483100!A$2</f>
        <v>483100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IFERROR(VLOOKUP(B231,input_483100!L:R,7,FALSE),VLOOKUP(tables_483100!C231,input_483100!A:H,8,FALSE))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input_483100!A$2</f>
        <v>483100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IFERROR(VLOOKUP(B232,input_483100!L:R,7,FALSE),VLOOKUP(tables_483100!C232,input_483100!A:H,8,FALSE))</f>
        <v>364026.92307999998</v>
      </c>
      <c r="P232" s="46">
        <f t="shared" ca="1" si="10"/>
        <v>9.3196856907584273E-3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input_483100!A$2</f>
        <v>483100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IFERROR(VLOOKUP(B233,input_483100!L:R,7,FALSE),VLOOKUP(tables_483100!C233,input_483100!A:H,8,FALSE))</f>
        <v>5499.0384599999998</v>
      </c>
      <c r="P233" s="46">
        <f t="shared" ca="1" si="10"/>
        <v>1.4078439477766184E-4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input_483100!A$2</f>
        <v>483100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IFERROR(VLOOKUP(B234,input_483100!L:R,7,FALSE),VLOOKUP(tables_483100!C234,input_483100!A:H,8,FALSE))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input_483100!A$2</f>
        <v>483100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IFERROR(VLOOKUP(B235,input_483100!L:R,7,FALSE),VLOOKUP(tables_483100!C235,input_483100!A:H,8,FALSE))</f>
        <v>364026.92307999998</v>
      </c>
      <c r="P235" s="46">
        <f t="shared" ca="1" si="10"/>
        <v>9.3196856907584273E-3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input_483100!A$2</f>
        <v>483100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IFERROR(VLOOKUP(B236,input_483100!L:R,7,FALSE),VLOOKUP(tables_483100!C236,input_483100!A:H,8,FALSE))</f>
        <v>5499.0384599999998</v>
      </c>
      <c r="P236" s="46">
        <f t="shared" ca="1" si="10"/>
        <v>1.4078439477766184E-4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input_483100!A$2</f>
        <v>483100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IFERROR(VLOOKUP(B237,input_483100!L:R,7,FALSE),VLOOKUP(tables_483100!C237,input_483100!A:H,8,FALSE))</f>
        <v>29450</v>
      </c>
      <c r="P237" s="46">
        <f t="shared" ca="1" si="10"/>
        <v>7.5396825397037526E-4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input_483100!A$2</f>
        <v>483100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IFERROR(VLOOKUP(B238,input_483100!L:R,7,FALSE),VLOOKUP(tables_483100!C238,input_483100!A:H,8,FALSE))</f>
        <v>1550</v>
      </c>
      <c r="P238" s="46">
        <f t="shared" ca="1" si="10"/>
        <v>3.9682539682651328E-5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input_483100!A$2</f>
        <v>483100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IFERROR(VLOOKUP(B239,input_483100!L:R,7,FALSE),VLOOKUP(tables_483100!C239,input_483100!A:H,8,FALSE))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input_483100!A$2</f>
        <v>483100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IFERROR(VLOOKUP(B240,input_483100!L:R,7,FALSE),VLOOKUP(tables_483100!C240,input_483100!A:H,8,FALSE))</f>
        <v>364026.92307999998</v>
      </c>
      <c r="P240" s="46">
        <f t="shared" ca="1" si="10"/>
        <v>9.3196856907584273E-3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input_483100!A$2</f>
        <v>483100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IFERROR(VLOOKUP(B241,input_483100!L:R,7,FALSE),VLOOKUP(tables_483100!C241,input_483100!A:H,8,FALSE))</f>
        <v>5499.0384599999998</v>
      </c>
      <c r="P241" s="46">
        <f t="shared" ca="1" si="10"/>
        <v>1.4078439477766184E-4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input_483100!A$2</f>
        <v>483100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IFERROR(VLOOKUP(B242,input_483100!L:R,7,FALSE),VLOOKUP(tables_483100!C242,input_483100!A:H,8,FALSE))</f>
        <v>29450</v>
      </c>
      <c r="P242" s="46">
        <f t="shared" ca="1" si="10"/>
        <v>7.5396825397037526E-4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input_483100!A$2</f>
        <v>483100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IFERROR(VLOOKUP(B243,input_483100!L:R,7,FALSE),VLOOKUP(tables_483100!C243,input_483100!A:H,8,FALSE))</f>
        <v>1550</v>
      </c>
      <c r="P243" s="46">
        <f t="shared" ca="1" si="10"/>
        <v>3.9682539682651328E-5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input_483100!A$2</f>
        <v>483100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IFERROR(VLOOKUP(B244,input_483100!L:R,7,FALSE),VLOOKUP(tables_483100!C244,input_483100!A:H,8,FALSE))</f>
        <v>29450</v>
      </c>
      <c r="P244" s="46">
        <f t="shared" ca="1" si="10"/>
        <v>7.5396825397037526E-4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input_483100!A$2</f>
        <v>483100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IFERROR(VLOOKUP(B245,input_483100!L:R,7,FALSE),VLOOKUP(tables_483100!C245,input_483100!A:H,8,FALSE))</f>
        <v>1550</v>
      </c>
      <c r="P245" s="46">
        <f t="shared" ca="1" si="10"/>
        <v>3.9682539682651328E-5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input_483100!A$2</f>
        <v>483100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IFERROR(VLOOKUP(B246,input_483100!L:R,7,FALSE),VLOOKUP(tables_483100!C246,input_483100!A:H,8,FALSE))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input_483100!A$2</f>
        <v>483100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IFERROR(VLOOKUP(B247,input_483100!L:R,7,FALSE),VLOOKUP(tables_483100!C247,input_483100!A:H,8,FALSE))</f>
        <v>364026.92307999998</v>
      </c>
      <c r="P247" s="46">
        <f t="shared" ca="1" si="10"/>
        <v>9.3196856907584273E-3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input_483100!A$2</f>
        <v>483100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IFERROR(VLOOKUP(B248,input_483100!L:R,7,FALSE),VLOOKUP(tables_483100!C248,input_483100!A:H,8,FALSE))</f>
        <v>5499.0384599999998</v>
      </c>
      <c r="P248" s="46">
        <f t="shared" ca="1" si="10"/>
        <v>1.4078439477766184E-4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input_483100!A$2</f>
        <v>483100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IFERROR(VLOOKUP(B249,input_483100!L:R,7,FALSE),VLOOKUP(tables_483100!C249,input_483100!A:H,8,FALSE))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input_483100!A$2</f>
        <v>483100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IFERROR(VLOOKUP(B250,input_483100!L:R,7,FALSE),VLOOKUP(tables_483100!C250,input_483100!A:H,8,FALSE))</f>
        <v>364026.92307999998</v>
      </c>
      <c r="P250" s="46">
        <f t="shared" ca="1" si="10"/>
        <v>9.3196856907584273E-3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input_483100!A$2</f>
        <v>483100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IFERROR(VLOOKUP(B251,input_483100!L:R,7,FALSE),VLOOKUP(tables_483100!C251,input_483100!A:H,8,FALSE))</f>
        <v>5499.0384599999998</v>
      </c>
      <c r="P251" s="46">
        <f t="shared" ca="1" si="10"/>
        <v>1.4078439477766184E-4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input_483100!A$2</f>
        <v>483100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IFERROR(VLOOKUP(B252,input_483100!L:R,7,FALSE),VLOOKUP(tables_483100!C252,input_483100!A:H,8,FALSE))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input_483100!A$2</f>
        <v>483100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IFERROR(VLOOKUP(B253,input_483100!L:R,7,FALSE),VLOOKUP(tables_483100!C253,input_483100!A:H,8,FALSE))</f>
        <v>364026.92307999998</v>
      </c>
      <c r="P253" s="46">
        <f t="shared" ca="1" si="10"/>
        <v>9.3196856907584273E-3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input_483100!A$2</f>
        <v>483100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IFERROR(VLOOKUP(B254,input_483100!L:R,7,FALSE),VLOOKUP(tables_483100!C254,input_483100!A:H,8,FALSE))</f>
        <v>5499.0384599999998</v>
      </c>
      <c r="P254" s="46">
        <f t="shared" ca="1" si="10"/>
        <v>1.4078439477766184E-4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input_483100!A$2</f>
        <v>483100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IFERROR(VLOOKUP(B255,input_483100!L:R,7,FALSE),VLOOKUP(tables_483100!C255,input_483100!A:H,8,FALSE))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input_483100!A$2</f>
        <v>483100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IFERROR(VLOOKUP(B256,input_483100!L:R,7,FALSE),VLOOKUP(tables_483100!C256,input_483100!A:H,8,FALSE))</f>
        <v>364026.92307999998</v>
      </c>
      <c r="P256" s="46">
        <f t="shared" ca="1" si="10"/>
        <v>9.3196856907584273E-3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input_483100!A$2</f>
        <v>483100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IFERROR(VLOOKUP(B257,input_483100!L:R,7,FALSE),VLOOKUP(tables_483100!C257,input_483100!A:H,8,FALSE))</f>
        <v>5499.0384599999998</v>
      </c>
      <c r="P257" s="46">
        <f t="shared" ca="1" si="10"/>
        <v>1.4078439477766184E-4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input_483100!A$2</f>
        <v>483100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IFERROR(VLOOKUP(B258,input_483100!L:R,7,FALSE),VLOOKUP(tables_483100!C258,input_483100!A:H,8,FALSE))</f>
        <v>29450</v>
      </c>
      <c r="P258" s="46">
        <f t="shared" ref="P258:P294" ca="1" si="13">O258/SUM(O:O)</f>
        <v>7.5396825397037526E-4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input_483100!A$2</f>
        <v>483100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IFERROR(VLOOKUP(B259,input_483100!L:R,7,FALSE),VLOOKUP(tables_483100!C259,input_483100!A:H,8,FALSE))</f>
        <v>1550</v>
      </c>
      <c r="P259" s="46">
        <f t="shared" ca="1" si="13"/>
        <v>3.9682539682651328E-5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input_483100!A$2</f>
        <v>483100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IFERROR(VLOOKUP(B260,input_483100!L:R,7,FALSE),VLOOKUP(tables_483100!C260,input_483100!A:H,8,FALSE))</f>
        <v>29450</v>
      </c>
      <c r="P260" s="46">
        <f t="shared" ca="1" si="13"/>
        <v>7.5396825397037526E-4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input_483100!A$2</f>
        <v>483100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IFERROR(VLOOKUP(B261,input_483100!L:R,7,FALSE),VLOOKUP(tables_483100!C261,input_483100!A:H,8,FALSE))</f>
        <v>1550</v>
      </c>
      <c r="P261" s="46">
        <f t="shared" ca="1" si="13"/>
        <v>3.9682539682651328E-5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input_483100!A$2</f>
        <v>483100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IFERROR(VLOOKUP(B262,input_483100!L:R,7,FALSE),VLOOKUP(tables_483100!C262,input_483100!A:H,8,FALSE))</f>
        <v>372008.82352999999</v>
      </c>
      <c r="P262" s="46">
        <f t="shared" ca="1" si="13"/>
        <v>9.5240354206617174E-3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input_483100!A$2</f>
        <v>483100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IFERROR(VLOOKUP(B263,input_483100!L:R,7,FALSE),VLOOKUP(tables_483100!C263,input_483100!A:H,8,FALSE))</f>
        <v>19950</v>
      </c>
      <c r="P263" s="46">
        <f t="shared" ca="1" si="13"/>
        <v>5.1075268817348007E-4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input_483100!A$2</f>
        <v>483100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IFERROR(VLOOKUP(B264,input_483100!L:R,7,FALSE),VLOOKUP(tables_483100!C264,input_483100!A:H,8,FALSE))</f>
        <v>372008.82352999999</v>
      </c>
      <c r="P264" s="46">
        <f t="shared" ca="1" si="13"/>
        <v>9.5240354206617174E-3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input_483100!A$2</f>
        <v>483100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IFERROR(VLOOKUP(B265,input_483100!L:R,7,FALSE),VLOOKUP(tables_483100!C265,input_483100!A:H,8,FALSE))</f>
        <v>19950</v>
      </c>
      <c r="P265" s="46">
        <f t="shared" ca="1" si="13"/>
        <v>5.1075268817348007E-4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input_483100!A$2</f>
        <v>483100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IFERROR(VLOOKUP(B266,input_483100!L:R,7,FALSE),VLOOKUP(tables_483100!C266,input_483100!A:H,8,FALSE))</f>
        <v>31000</v>
      </c>
      <c r="P266" s="46">
        <f t="shared" ca="1" si="13"/>
        <v>7.9365079365302656E-4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input_483100!A$2</f>
        <v>483100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IFERROR(VLOOKUP(B267,input_483100!L:R,7,FALSE),VLOOKUP(tables_483100!C267,input_483100!A:H,8,FALSE))</f>
        <v>31000</v>
      </c>
      <c r="P267" s="46">
        <f t="shared" ca="1" si="13"/>
        <v>7.9365079365302656E-4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input_483100!A$2</f>
        <v>483100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IFERROR(VLOOKUP(B268,input_483100!L:R,7,FALSE),VLOOKUP(tables_483100!C268,input_483100!A:H,8,FALSE))</f>
        <v>31000</v>
      </c>
      <c r="P268" s="46">
        <f t="shared" ca="1" si="13"/>
        <v>7.9365079365302656E-4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input_483100!A$2</f>
        <v>483100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IFERROR(VLOOKUP(B269,input_483100!L:R,7,FALSE),VLOOKUP(tables_483100!C269,input_483100!A:H,8,FALSE))</f>
        <v>31000</v>
      </c>
      <c r="P269" s="46">
        <f t="shared" ca="1" si="13"/>
        <v>7.9365079365302656E-4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input_483100!A$2</f>
        <v>483100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IFERROR(VLOOKUP(B270,input_483100!L:R,7,FALSE),VLOOKUP(tables_483100!C270,input_483100!A:H,8,FALSE))</f>
        <v>372008.82352999999</v>
      </c>
      <c r="P270" s="46">
        <f t="shared" ca="1" si="13"/>
        <v>9.5240354206617174E-3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input_483100!A$2</f>
        <v>483100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IFERROR(VLOOKUP(B271,input_483100!L:R,7,FALSE),VLOOKUP(tables_483100!C271,input_483100!A:H,8,FALSE))</f>
        <v>19950</v>
      </c>
      <c r="P271" s="46">
        <f t="shared" ca="1" si="13"/>
        <v>5.1075268817348007E-4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input_483100!A$2</f>
        <v>483100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IFERROR(VLOOKUP(B272,input_483100!L:R,7,FALSE),VLOOKUP(tables_483100!C272,input_483100!A:H,8,FALSE))</f>
        <v>372008.82352999999</v>
      </c>
      <c r="P272" s="46">
        <f t="shared" ca="1" si="13"/>
        <v>9.5240354206617174E-3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input_483100!A$2</f>
        <v>483100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IFERROR(VLOOKUP(B273,input_483100!L:R,7,FALSE),VLOOKUP(tables_483100!C273,input_483100!A:H,8,FALSE))</f>
        <v>19950</v>
      </c>
      <c r="P273" s="46">
        <f t="shared" ca="1" si="13"/>
        <v>5.1075268817348007E-4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input_483100!A$2</f>
        <v>483100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IFERROR(VLOOKUP(B274,input_483100!L:R,7,FALSE),VLOOKUP(tables_483100!C274,input_483100!A:H,8,FALSE))</f>
        <v>29450</v>
      </c>
      <c r="P274" s="46">
        <f t="shared" ca="1" si="13"/>
        <v>7.5396825397037526E-4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input_483100!A$2</f>
        <v>483100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IFERROR(VLOOKUP(B275,input_483100!L:R,7,FALSE),VLOOKUP(tables_483100!C275,input_483100!A:H,8,FALSE))</f>
        <v>1550</v>
      </c>
      <c r="P275" s="46">
        <f t="shared" ca="1" si="13"/>
        <v>3.9682539682651328E-5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input_483100!A$2</f>
        <v>483100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IFERROR(VLOOKUP(B276,input_483100!L:R,7,FALSE),VLOOKUP(tables_483100!C276,input_483100!A:H,8,FALSE))</f>
        <v>29450</v>
      </c>
      <c r="P276" s="46">
        <f t="shared" ca="1" si="13"/>
        <v>7.5396825397037526E-4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input_483100!A$2</f>
        <v>483100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IFERROR(VLOOKUP(B277,input_483100!L:R,7,FALSE),VLOOKUP(tables_483100!C277,input_483100!A:H,8,FALSE))</f>
        <v>1550</v>
      </c>
      <c r="P277" s="46">
        <f t="shared" ca="1" si="13"/>
        <v>3.9682539682651328E-5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input_483100!A$2</f>
        <v>483100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IFERROR(VLOOKUP(B278,input_483100!L:R,7,FALSE),VLOOKUP(tables_483100!C278,input_483100!A:H,8,FALSE))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input_483100!A$2</f>
        <v>483100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IFERROR(VLOOKUP(B279,input_483100!L:R,7,FALSE),VLOOKUP(tables_483100!C279,input_483100!A:H,8,FALSE))</f>
        <v>364026.92307999998</v>
      </c>
      <c r="P279" s="46">
        <f t="shared" ca="1" si="13"/>
        <v>9.3196856907584273E-3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input_483100!A$2</f>
        <v>483100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IFERROR(VLOOKUP(B280,input_483100!L:R,7,FALSE),VLOOKUP(tables_483100!C280,input_483100!A:H,8,FALSE))</f>
        <v>5499.0384599999998</v>
      </c>
      <c r="P280" s="46">
        <f t="shared" ca="1" si="13"/>
        <v>1.4078439477766184E-4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input_483100!A$2</f>
        <v>483100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IFERROR(VLOOKUP(B281,input_483100!L:R,7,FALSE),VLOOKUP(tables_483100!C281,input_483100!A:H,8,FALSE))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input_483100!A$2</f>
        <v>483100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IFERROR(VLOOKUP(B282,input_483100!L:R,7,FALSE),VLOOKUP(tables_483100!C282,input_483100!A:H,8,FALSE))</f>
        <v>364026.92307999998</v>
      </c>
      <c r="P282" s="46">
        <f t="shared" ca="1" si="13"/>
        <v>9.3196856907584273E-3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input_483100!A$2</f>
        <v>483100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IFERROR(VLOOKUP(B283,input_483100!L:R,7,FALSE),VLOOKUP(tables_483100!C283,input_483100!A:H,8,FALSE))</f>
        <v>5499.0384599999998</v>
      </c>
      <c r="P283" s="46">
        <f t="shared" ca="1" si="13"/>
        <v>1.4078439477766184E-4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input_483100!A$2</f>
        <v>483100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IFERROR(VLOOKUP(B284,input_483100!L:R,7,FALSE),VLOOKUP(tables_483100!C284,input_483100!A:H,8,FALSE))</f>
        <v>31000</v>
      </c>
      <c r="P284" s="46">
        <f t="shared" ca="1" si="13"/>
        <v>7.9365079365302656E-4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input_483100!A$2</f>
        <v>483100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IFERROR(VLOOKUP(B285,input_483100!L:R,7,FALSE),VLOOKUP(tables_483100!C285,input_483100!A:H,8,FALSE))</f>
        <v>31000</v>
      </c>
      <c r="P285" s="46">
        <f t="shared" ca="1" si="13"/>
        <v>7.9365079365302656E-4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input_483100!A$2</f>
        <v>483100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IFERROR(VLOOKUP(B286,input_483100!L:R,7,FALSE),VLOOKUP(tables_483100!C286,input_483100!A:H,8,FALSE))</f>
        <v>372008.82352999999</v>
      </c>
      <c r="P286" s="46">
        <f t="shared" ca="1" si="13"/>
        <v>9.5240354206617174E-3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input_483100!A$2</f>
        <v>483100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IFERROR(VLOOKUP(B287,input_483100!L:R,7,FALSE),VLOOKUP(tables_483100!C287,input_483100!A:H,8,FALSE))</f>
        <v>19950</v>
      </c>
      <c r="P287" s="46">
        <f t="shared" ca="1" si="13"/>
        <v>5.1075268817348007E-4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input_483100!A$2</f>
        <v>483100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IFERROR(VLOOKUP(B288,input_483100!L:R,7,FALSE),VLOOKUP(tables_483100!C288,input_483100!A:H,8,FALSE))</f>
        <v>372008.82352999999</v>
      </c>
      <c r="P288" s="46">
        <f t="shared" ca="1" si="13"/>
        <v>9.5240354206617174E-3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input_483100!A$2</f>
        <v>483100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IFERROR(VLOOKUP(B289,input_483100!L:R,7,FALSE),VLOOKUP(tables_483100!C289,input_483100!A:H,8,FALSE))</f>
        <v>19950</v>
      </c>
      <c r="P289" s="46">
        <f t="shared" ca="1" si="13"/>
        <v>5.1075268817348007E-4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input_483100!A$2</f>
        <v>483100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IFERROR(VLOOKUP(B290,input_483100!L:R,7,FALSE),VLOOKUP(tables_483100!C290,input_483100!A:H,8,FALSE))</f>
        <v>372008.82352999999</v>
      </c>
      <c r="P290" s="46">
        <f t="shared" ca="1" si="13"/>
        <v>9.5240354206617174E-3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input_483100!A$2</f>
        <v>483100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IFERROR(VLOOKUP(B291,input_483100!L:R,7,FALSE),VLOOKUP(tables_483100!C291,input_483100!A:H,8,FALSE))</f>
        <v>19950</v>
      </c>
      <c r="P291" s="46">
        <f t="shared" ca="1" si="13"/>
        <v>5.1075268817348007E-4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input_483100!A$2</f>
        <v>483100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IFERROR(VLOOKUP(B292,input_483100!L:R,7,FALSE),VLOOKUP(tables_483100!C292,input_483100!A:H,8,FALSE))</f>
        <v>372008.82352999999</v>
      </c>
      <c r="P292" s="46">
        <f t="shared" ca="1" si="13"/>
        <v>9.5240354206617174E-3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input_483100!A$2</f>
        <v>483100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IFERROR(VLOOKUP(B293,input_483100!L:R,7,FALSE),VLOOKUP(tables_483100!C293,input_483100!A:H,8,FALSE))</f>
        <v>19950</v>
      </c>
      <c r="P293" s="46">
        <f t="shared" ca="1" si="13"/>
        <v>5.1075268817348007E-4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input_483100!A$2</f>
        <v>483100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IFERROR(VLOOKUP(B294,input_483100!L:R,7,FALSE),VLOOKUP(tables_483100!C294,input_483100!A:H,8,FALSE))</f>
        <v>31000</v>
      </c>
      <c r="P294" s="46">
        <f t="shared" ca="1" si="13"/>
        <v>7.9365079365302656E-4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input_483100!A$2</f>
        <v>483100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IFERROR(VLOOKUP(B295,input_483100!L:R,7,FALSE),VLOOKUP(tables_483100!C295,input_483100!A:H,8,FALSE))</f>
        <v>31000</v>
      </c>
      <c r="P295" s="46">
        <f t="shared" ref="P295:P299" ca="1" si="20">O295/SUM(O:O)</f>
        <v>7.9365079365302656E-4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input_483100!A$2</f>
        <v>483100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IFERROR(VLOOKUP(B296,input_483100!L:R,7,FALSE),VLOOKUP(tables_483100!C296,input_483100!A:H,8,FALSE))</f>
        <v>31000</v>
      </c>
      <c r="P296" s="46">
        <f t="shared" ca="1" si="20"/>
        <v>7.9365079365302656E-4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input_483100!A$2</f>
        <v>483100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IFERROR(VLOOKUP(B297,input_483100!L:R,7,FALSE),VLOOKUP(tables_483100!C297,input_483100!A:H,8,FALSE))</f>
        <v>372008.82352999999</v>
      </c>
      <c r="P297" s="46">
        <f t="shared" ca="1" si="20"/>
        <v>9.5240354206617174E-3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input_483100!A$2</f>
        <v>483100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IFERROR(VLOOKUP(B298,input_483100!L:R,7,FALSE),VLOOKUP(tables_483100!C298,input_483100!A:H,8,FALSE))</f>
        <v>19950</v>
      </c>
      <c r="P298" s="46">
        <f t="shared" ca="1" si="20"/>
        <v>5.1075268817348007E-4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input_483100!A$2</f>
        <v>483100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IFERROR(VLOOKUP(B299,input_483100!L:R,7,FALSE),VLOOKUP(tables_483100!C299,input_483100!A:H,8,FALSE))</f>
        <v>31000</v>
      </c>
      <c r="P299" s="46">
        <f t="shared" ca="1" si="20"/>
        <v>7.9365079365302656E-4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input_483100!A$2</f>
        <v>483100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IFERROR(VLOOKUP(B300,input_483100!L:R,7,FALSE),VLOOKUP(tables_483100!C300,input_483100!A:H,8,FALSE))</f>
        <v>31000</v>
      </c>
      <c r="P300" s="46">
        <f t="shared" ref="P300:P304" ca="1" si="22">O300/SUM(O:O)</f>
        <v>7.9365079365302656E-4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input_483100!A$2</f>
        <v>483100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IFERROR(VLOOKUP(B301,input_483100!L:R,7,FALSE),VLOOKUP(tables_483100!C301,input_483100!A:H,8,FALSE))</f>
        <v>31000</v>
      </c>
      <c r="P301" s="46">
        <f t="shared" ca="1" si="22"/>
        <v>7.9365079365302656E-4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input_483100!A$2</f>
        <v>483100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IFERROR(VLOOKUP(B302,input_483100!L:R,7,FALSE),VLOOKUP(tables_483100!C302,input_483100!A:H,8,FALSE))</f>
        <v>31000</v>
      </c>
      <c r="P302" s="46">
        <f t="shared" ca="1" si="22"/>
        <v>7.9365079365302656E-4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input_483100!A$2</f>
        <v>483100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IFERROR(VLOOKUP(B303,input_483100!L:R,7,FALSE),VLOOKUP(tables_483100!C303,input_483100!A:H,8,FALSE))</f>
        <v>372008.82352999999</v>
      </c>
      <c r="P303" s="46">
        <f t="shared" ca="1" si="22"/>
        <v>9.5240354206617174E-3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input_483100!A$2</f>
        <v>483100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IFERROR(VLOOKUP(B304,input_483100!L:R,7,FALSE),VLOOKUP(tables_483100!C304,input_483100!A:H,8,FALSE))</f>
        <v>19950</v>
      </c>
      <c r="P304" s="46">
        <f t="shared" ca="1" si="22"/>
        <v>5.1075268817348007E-4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input_483100!A$2</f>
        <v>483100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IFERROR(VLOOKUP(B305,input_483100!L:R,7,FALSE),VLOOKUP(tables_483100!C305,input_483100!A:H,8,FALSE))</f>
        <v>31000</v>
      </c>
      <c r="P305" s="46">
        <f t="shared" ref="P305:P308" ca="1" si="24">O305/SUM(O:O)</f>
        <v>7.9365079365302656E-4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input_483100!A$2</f>
        <v>483100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IFERROR(VLOOKUP(B306,input_483100!L:R,7,FALSE),VLOOKUP(tables_483100!C306,input_483100!A:H,8,FALSE))</f>
        <v>372008.82352999999</v>
      </c>
      <c r="P306" s="46">
        <f t="shared" ca="1" si="24"/>
        <v>9.5240354206617174E-3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input_483100!A$2</f>
        <v>483100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IFERROR(VLOOKUP(B307,input_483100!L:R,7,FALSE),VLOOKUP(tables_483100!C307,input_483100!A:H,8,FALSE))</f>
        <v>19950</v>
      </c>
      <c r="P307" s="46">
        <f t="shared" ca="1" si="24"/>
        <v>5.1075268817348007E-4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input_483100!A$2</f>
        <v>483100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IFERROR(VLOOKUP(B308,input_483100!L:R,7,FALSE),VLOOKUP(tables_483100!C308,input_483100!A:H,8,FALSE))</f>
        <v>31000</v>
      </c>
      <c r="P308" s="46">
        <f t="shared" ca="1" si="24"/>
        <v>7.9365079365302656E-4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input_483100!A$2</f>
        <v>483100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IFERROR(VLOOKUP(B309,input_483100!L:R,7,FALSE),VLOOKUP(tables_483100!C309,input_483100!A:H,8,FALSE))</f>
        <v>31000</v>
      </c>
      <c r="P309" s="46">
        <f t="shared" ref="P309" ca="1" si="26">O309/SUM(O:O)</f>
        <v>7.9365079365302656E-4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input_483100!A$2</f>
        <v>483100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IFERROR(VLOOKUP(B310,input_483100!L:R,7,FALSE),VLOOKUP(tables_483100!C310,input_483100!A:H,8,FALSE))</f>
        <v>31000</v>
      </c>
      <c r="P310" s="46">
        <f t="shared" ref="P310:P314" ca="1" si="28">O310/SUM(O:O)</f>
        <v>7.9365079365302656E-4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input_483100!A$2</f>
        <v>483100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IFERROR(VLOOKUP(B311,input_483100!L:R,7,FALSE),VLOOKUP(tables_483100!C311,input_483100!A:H,8,FALSE))</f>
        <v>372008.82352999999</v>
      </c>
      <c r="P311" s="46">
        <f t="shared" ca="1" si="28"/>
        <v>9.5240354206617174E-3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input_483100!A$2</f>
        <v>483100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IFERROR(VLOOKUP(B312,input_483100!L:R,7,FALSE),VLOOKUP(tables_483100!C312,input_483100!A:H,8,FALSE))</f>
        <v>19950</v>
      </c>
      <c r="P312" s="46">
        <f t="shared" ca="1" si="28"/>
        <v>5.1075268817348007E-4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input_483100!A$2</f>
        <v>483100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IFERROR(VLOOKUP(B313,input_483100!L:R,7,FALSE),VLOOKUP(tables_483100!C313,input_483100!A:H,8,FALSE))</f>
        <v>31000</v>
      </c>
      <c r="P313" s="46">
        <f t="shared" ca="1" si="28"/>
        <v>7.9365079365302656E-4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input_483100!A$2</f>
        <v>483100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IFERROR(VLOOKUP(B314,input_483100!L:R,7,FALSE),VLOOKUP(tables_483100!C314,input_483100!A:H,8,FALSE))</f>
        <v>31000</v>
      </c>
      <c r="P314" s="46">
        <f t="shared" ca="1" si="28"/>
        <v>7.9365079365302656E-4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input_483100!A$2</f>
        <v>483100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IFERROR(VLOOKUP(B315,input_483100!L:R,7,FALSE),VLOOKUP(tables_483100!C315,input_483100!A:H,8,FALSE))</f>
        <v>31000</v>
      </c>
      <c r="P315" s="46">
        <f t="shared" ref="P315:P319" ca="1" si="30">O315/SUM(O:O)</f>
        <v>7.9365079365302656E-4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input_483100!A$2</f>
        <v>483100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IFERROR(VLOOKUP(B316,input_483100!L:R,7,FALSE),VLOOKUP(tables_483100!C316,input_483100!A:H,8,FALSE))</f>
        <v>31000</v>
      </c>
      <c r="P316" s="46">
        <f t="shared" ca="1" si="30"/>
        <v>7.9365079365302656E-4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input_483100!A$2</f>
        <v>483100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IFERROR(VLOOKUP(B317,input_483100!L:R,7,FALSE),VLOOKUP(tables_483100!C317,input_483100!A:H,8,FALSE))</f>
        <v>31000</v>
      </c>
      <c r="P317" s="46">
        <f t="shared" ca="1" si="30"/>
        <v>7.9365079365302656E-4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input_483100!A$2</f>
        <v>483100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IFERROR(VLOOKUP(B318,input_483100!L:R,7,FALSE),VLOOKUP(tables_483100!C318,input_483100!A:H,8,FALSE))</f>
        <v>372008.82352999999</v>
      </c>
      <c r="P318" s="46">
        <f t="shared" ca="1" si="30"/>
        <v>9.5240354206617174E-3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input_483100!A$2</f>
        <v>483100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IFERROR(VLOOKUP(B319,input_483100!L:R,7,FALSE),VLOOKUP(tables_483100!C319,input_483100!A:H,8,FALSE))</f>
        <v>19950</v>
      </c>
      <c r="P319" s="46">
        <f t="shared" ca="1" si="30"/>
        <v>5.1075268817348007E-4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input_483100!A$2</f>
        <v>483100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IFERROR(VLOOKUP(B320,input_483100!L:R,7,FALSE),VLOOKUP(tables_483100!C320,input_483100!A:H,8,FALSE))</f>
        <v>31000</v>
      </c>
      <c r="P320" s="46">
        <f t="shared" ref="P320:P324" ca="1" si="32">O320/SUM(O:O)</f>
        <v>7.9365079365302656E-4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input_483100!A$2</f>
        <v>483100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IFERROR(VLOOKUP(B321,input_483100!L:R,7,FALSE),VLOOKUP(tables_483100!C321,input_483100!A:H,8,FALSE))</f>
        <v>31000</v>
      </c>
      <c r="P321" s="46">
        <f t="shared" ca="1" si="32"/>
        <v>7.9365079365302656E-4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input_483100!A$2</f>
        <v>483100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IFERROR(VLOOKUP(B322,input_483100!L:R,7,FALSE),VLOOKUP(tables_483100!C322,input_483100!A:H,8,FALSE))</f>
        <v>31000</v>
      </c>
      <c r="P322" s="46">
        <f t="shared" ca="1" si="32"/>
        <v>7.9365079365302656E-4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input_483100!A$2</f>
        <v>483100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IFERROR(VLOOKUP(B323,input_483100!L:R,7,FALSE),VLOOKUP(tables_483100!C323,input_483100!A:H,8,FALSE))</f>
        <v>31000</v>
      </c>
      <c r="P323" s="46">
        <f t="shared" ca="1" si="32"/>
        <v>7.9365079365302656E-4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input_483100!A$2</f>
        <v>483100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IFERROR(VLOOKUP(B324,input_483100!L:R,7,FALSE),VLOOKUP(tables_483100!C324,input_483100!A:H,8,FALSE))</f>
        <v>372008.82352999999</v>
      </c>
      <c r="P324" s="46">
        <f t="shared" ca="1" si="32"/>
        <v>9.5240354206617174E-3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input_483100!A$2</f>
        <v>483100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IFERROR(VLOOKUP(B325,input_483100!L:R,7,FALSE),VLOOKUP(tables_483100!C325,input_483100!A:H,8,FALSE))</f>
        <v>19950</v>
      </c>
      <c r="P325" s="46">
        <f t="shared" ref="P325:P330" ca="1" si="35">O325/SUM(O:O)</f>
        <v>5.1075268817348007E-4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input_483100!A$2</f>
        <v>483100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IFERROR(VLOOKUP(B326,input_483100!L:R,7,FALSE),VLOOKUP(tables_483100!C326,input_483100!A:H,8,FALSE))</f>
        <v>372008.82352999999</v>
      </c>
      <c r="P326" s="46">
        <f t="shared" ca="1" si="35"/>
        <v>9.5240354206617174E-3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input_483100!A$2</f>
        <v>483100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IFERROR(VLOOKUP(B327,input_483100!L:R,7,FALSE),VLOOKUP(tables_483100!C327,input_483100!A:H,8,FALSE))</f>
        <v>19950</v>
      </c>
      <c r="P327" s="46">
        <f t="shared" ca="1" si="35"/>
        <v>5.1075268817348007E-4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input_483100!A$2</f>
        <v>483100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IFERROR(VLOOKUP(B328,input_483100!L:R,7,FALSE),VLOOKUP(tables_483100!C328,input_483100!A:H,8,FALSE))</f>
        <v>31000</v>
      </c>
      <c r="P328" s="46">
        <f t="shared" ca="1" si="35"/>
        <v>7.9365079365302656E-4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input_483100!A$2</f>
        <v>483100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IFERROR(VLOOKUP(B329,input_483100!L:R,7,FALSE),VLOOKUP(tables_483100!C329,input_483100!A:H,8,FALSE))</f>
        <v>31000</v>
      </c>
      <c r="P329" s="46">
        <f t="shared" ca="1" si="35"/>
        <v>7.9365079365302656E-4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input_483100!A$2</f>
        <v>483100</v>
      </c>
      <c r="B330" s="2">
        <v>1157</v>
      </c>
      <c r="C330" s="7" t="str">
        <f t="shared" si="34"/>
        <v>PremiumSS5R5only</v>
      </c>
      <c r="D330" s="95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IFERROR(VLOOKUP(B330,input_483100!L:R,7,FALSE),VLOOKUP(tables_483100!C330,input_483100!A:H,8,FALSE))</f>
        <v>31000</v>
      </c>
      <c r="P330" s="46">
        <f t="shared" ca="1" si="35"/>
        <v>7.9365079365302656E-4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input_483100!A$2</f>
        <v>483100</v>
      </c>
      <c r="B331" s="60">
        <v>1214</v>
      </c>
      <c r="C331" s="7" t="str">
        <f t="shared" ref="C331:C335" si="36">D331&amp;J331&amp;E331&amp;F331&amp;G331</f>
        <v>PremiumSS5R5only</v>
      </c>
      <c r="D331" s="95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IFERROR(VLOOKUP(B331,input_483100!L:R,7,FALSE),VLOOKUP(tables_483100!C331,input_483100!A:H,8,FALSE))</f>
        <v>31000</v>
      </c>
      <c r="P331" s="46">
        <f t="shared" ref="P331:P335" ca="1" si="38">O331/SUM(O:O)</f>
        <v>7.9365079365302656E-4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input_483100!A$2</f>
        <v>483100</v>
      </c>
      <c r="B332" s="60">
        <v>1212</v>
      </c>
      <c r="C332" s="7" t="str">
        <f t="shared" si="36"/>
        <v>PremiumSS5R5only</v>
      </c>
      <c r="D332" s="95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IFERROR(VLOOKUP(B332,input_483100!L:R,7,FALSE),VLOOKUP(tables_483100!C332,input_483100!A:H,8,FALSE))</f>
        <v>31000</v>
      </c>
      <c r="P332" s="46">
        <f t="shared" ca="1" si="38"/>
        <v>7.9365079365302656E-4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input_483100!A$2</f>
        <v>483100</v>
      </c>
      <c r="B333" s="60">
        <v>1208</v>
      </c>
      <c r="C333" s="7" t="str">
        <f t="shared" si="36"/>
        <v>PremiumSS5R5only</v>
      </c>
      <c r="D333" s="95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IFERROR(VLOOKUP(B333,input_483100!L:R,7,FALSE),VLOOKUP(tables_483100!C333,input_483100!A:H,8,FALSE))</f>
        <v>31000</v>
      </c>
      <c r="P333" s="46">
        <f t="shared" ca="1" si="38"/>
        <v>7.9365079365302656E-4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input_483100!A$2</f>
        <v>483100</v>
      </c>
      <c r="B334" s="91">
        <v>1210</v>
      </c>
      <c r="C334" s="7" t="str">
        <f t="shared" si="36"/>
        <v>Premium4R3less</v>
      </c>
      <c r="D334" s="95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IFERROR(VLOOKUP(B334,input_483100!L:R,7,FALSE),VLOOKUP(tables_483100!C334,input_483100!A:H,8,FALSE))</f>
        <v>372008.82352999999</v>
      </c>
      <c r="P334" s="46">
        <f t="shared" ca="1" si="38"/>
        <v>9.5240354206617174E-3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input_483100!A$2</f>
        <v>483100</v>
      </c>
      <c r="B335" s="60">
        <v>1211</v>
      </c>
      <c r="C335" s="7" t="str">
        <f t="shared" si="36"/>
        <v>Premium5R3less</v>
      </c>
      <c r="D335" s="95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IFERROR(VLOOKUP(B335,input_483100!L:R,7,FALSE),VLOOKUP(tables_483100!C335,input_483100!A:H,8,FALSE))</f>
        <v>19950</v>
      </c>
      <c r="P335" s="46">
        <f t="shared" ca="1" si="38"/>
        <v>5.1075268817348007E-4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input_483100!A$2</f>
        <v>483100</v>
      </c>
      <c r="B336" s="2">
        <v>1224</v>
      </c>
      <c r="C336" s="7" t="str">
        <f t="shared" ref="C336:C340" si="39">D336&amp;J336&amp;E336&amp;F336&amp;G336</f>
        <v>Premium4R3less</v>
      </c>
      <c r="D336" s="95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IFERROR(VLOOKUP(B336,input_483100!L:R,7,FALSE),VLOOKUP(tables_483100!C336,input_483100!A:H,8,FALSE))</f>
        <v>372008.82352999999</v>
      </c>
      <c r="P336" s="46">
        <f t="shared" ref="P336:P340" ca="1" si="41">O336/SUM(O:O)</f>
        <v>9.5240354206617174E-3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input_483100!A$2</f>
        <v>483100</v>
      </c>
      <c r="B337" s="2">
        <v>1225</v>
      </c>
      <c r="C337" s="7" t="str">
        <f t="shared" si="39"/>
        <v>Premium5R3less</v>
      </c>
      <c r="D337" s="95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IFERROR(VLOOKUP(B337,input_483100!L:R,7,FALSE),VLOOKUP(tables_483100!C337,input_483100!A:H,8,FALSE))</f>
        <v>19950</v>
      </c>
      <c r="P337" s="46">
        <f t="shared" ca="1" si="41"/>
        <v>5.1075268817348007E-4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input_483100!A$2</f>
        <v>483100</v>
      </c>
      <c r="B338" s="2">
        <v>1226</v>
      </c>
      <c r="C338" s="7" t="str">
        <f t="shared" si="39"/>
        <v>PremiumSS5R5only</v>
      </c>
      <c r="D338" s="95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IFERROR(VLOOKUP(B338,input_483100!L:R,7,FALSE),VLOOKUP(tables_483100!C338,input_483100!A:H,8,FALSE))</f>
        <v>31000</v>
      </c>
      <c r="P338" s="46">
        <f t="shared" ca="1" si="41"/>
        <v>7.9365079365302656E-4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input_483100!A$2</f>
        <v>483100</v>
      </c>
      <c r="B339" s="2">
        <v>1228</v>
      </c>
      <c r="C339" s="7" t="str">
        <f t="shared" si="39"/>
        <v>PremiumSS5R5only</v>
      </c>
      <c r="D339" s="95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IFERROR(VLOOKUP(B339,input_483100!L:R,7,FALSE),VLOOKUP(tables_483100!C339,input_483100!A:H,8,FALSE))</f>
        <v>31000</v>
      </c>
      <c r="P339" s="46">
        <f t="shared" ca="1" si="41"/>
        <v>7.9365079365302656E-4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input_483100!A$2</f>
        <v>483100</v>
      </c>
      <c r="B340" s="2">
        <v>1230</v>
      </c>
      <c r="C340" s="7" t="str">
        <f t="shared" si="39"/>
        <v>PremiumSS5R5only</v>
      </c>
      <c r="D340" s="95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IFERROR(VLOOKUP(B340,input_483100!L:R,7,FALSE),VLOOKUP(tables_483100!C340,input_483100!A:H,8,FALSE))</f>
        <v>31000</v>
      </c>
      <c r="P340" s="46">
        <f t="shared" ca="1" si="41"/>
        <v>7.9365079365302656E-4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4"/>
  <sheetViews>
    <sheetView showGridLines="0" zoomScale="90" zoomScaleNormal="90" zoomScalePageLayoutView="90" workbookViewId="0">
      <pane ySplit="1" topLeftCell="A2" activePane="bottomLeft" state="frozen"/>
      <selection activeCell="D34" sqref="D34"/>
      <selection pane="bottomLeft" activeCell="O9" sqref="O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483105</v>
      </c>
      <c r="B2" s="6">
        <v>320</v>
      </c>
      <c r="C2" s="7" t="str">
        <f t="shared" ref="C2" si="0">D2&amp;J2&amp;E2&amp;F2&amp;G2</f>
        <v>PremiumSS4</v>
      </c>
      <c r="D2" s="7" t="str">
        <f t="shared" ref="D2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45">
        <v>19</v>
      </c>
      <c r="P2" s="46">
        <f t="shared" ref="P2:P7" si="2">O2/SUM(O:O)</f>
        <v>1.6101694915254237E-2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>
        <v>483105</v>
      </c>
      <c r="B3" s="6">
        <v>321</v>
      </c>
      <c r="C3" s="7" t="str">
        <f t="shared" ref="C3:C84" si="3">D3&amp;J3&amp;E3&amp;F3&amp;G3</f>
        <v>PremiumSS5</v>
      </c>
      <c r="D3" s="7" t="str">
        <f t="shared" ref="D3:D70" si="4">IF(OR(I3="PremiumSS",I3="PremiumSSw"),"PremiumSS",IF(I3="PremiumSSS",I3,IF(I3="PremiumW",IF(J3=5,"premium",I3),"Premium")))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1</v>
      </c>
      <c r="P3" s="46">
        <f t="shared" si="2"/>
        <v>8.4745762711864404E-4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>
        <v>483105</v>
      </c>
      <c r="B4" s="6">
        <v>322</v>
      </c>
      <c r="C4" s="7" t="str">
        <f t="shared" ref="C4:C5" si="5">D4&amp;J4&amp;E4&amp;F4&amp;G4</f>
        <v>PremiumSS4</v>
      </c>
      <c r="D4" s="7" t="str">
        <f t="shared" ref="D4:D5" si="6">IF(OR(I4="PremiumSS",I4="PremiumSSw"),"PremiumSS",IF(I4="PremiumSSS",I4,IF(I4="PremiumW",IF(J4=5,"premium",I4),"Premium")))</f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愛志士 土方歳三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v>19</v>
      </c>
      <c r="P4" s="46">
        <f t="shared" si="2"/>
        <v>1.6101694915254237E-2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>
        <v>483105</v>
      </c>
      <c r="B5" s="6">
        <v>323</v>
      </c>
      <c r="C5" s="7" t="str">
        <f t="shared" si="5"/>
        <v>PremiumSS5</v>
      </c>
      <c r="D5" s="7" t="str">
        <f t="shared" si="6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流麗の愛志士 土方歳三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v>1</v>
      </c>
      <c r="P5" s="46">
        <f t="shared" si="2"/>
        <v>8.4745762711864404E-4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>
        <v>483105</v>
      </c>
      <c r="B6" s="6">
        <v>324</v>
      </c>
      <c r="C6" s="7" t="str">
        <f t="shared" si="3"/>
        <v>PremiumSS4</v>
      </c>
      <c r="D6" s="7" t="str">
        <f t="shared" si="4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凛志士 沖田総司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blue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v>19</v>
      </c>
      <c r="P6" s="46">
        <f t="shared" si="2"/>
        <v>1.6101694915254237E-2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>
        <v>483105</v>
      </c>
      <c r="B7" s="6">
        <v>325</v>
      </c>
      <c r="C7" s="7" t="str">
        <f t="shared" si="3"/>
        <v>PremiumSS5</v>
      </c>
      <c r="D7" s="7" t="str">
        <f t="shared" si="4"/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天賦の凛志士 沖田総司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blue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女性</v>
      </c>
      <c r="O7" s="45">
        <v>1</v>
      </c>
      <c r="P7" s="46">
        <f t="shared" si="2"/>
        <v>8.4745762711864404E-4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>
        <v>483105</v>
      </c>
      <c r="B8" s="6">
        <v>326</v>
      </c>
      <c r="C8" s="7" t="str">
        <f t="shared" ref="C8:C9" si="7">D8&amp;J8&amp;E8&amp;F8&amp;G8</f>
        <v>PremiumSS4</v>
      </c>
      <c r="D8" s="7" t="str">
        <f t="shared" ref="D8:D9" si="8">IF(OR(I8="PremiumSS",I8="PremiumSSw"),"PremiumSS",IF(I8="PremiumSSS",I8,IF(I8="PremiumW",IF(J8=5,"premium",I8),"Premium")))</f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妖志士 斎藤一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yellow</v>
      </c>
      <c r="L8" s="7" t="str">
        <f>VLOOKUP(B8,[1]characters!$A:$K,11,FALSE)</f>
        <v>technical</v>
      </c>
      <c r="M8" s="7" t="str">
        <f>VLOOKUP(B8,[1]characters!$A:$M,13,FALSE)</f>
        <v>human</v>
      </c>
      <c r="N8" s="7" t="str">
        <f>VLOOKUP(B8,[1]characters!$A:$G,7,FALSE)</f>
        <v>女性</v>
      </c>
      <c r="O8" s="45">
        <v>19</v>
      </c>
      <c r="P8" s="46">
        <f t="shared" ref="P8:P9" si="9">O8/SUM(O:O)</f>
        <v>1.6101694915254237E-2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>
        <v>483105</v>
      </c>
      <c r="B9" s="6">
        <v>327</v>
      </c>
      <c r="C9" s="7" t="str">
        <f t="shared" si="7"/>
        <v>PremiumSS5</v>
      </c>
      <c r="D9" s="7" t="str">
        <f t="shared" si="8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千殺の妖志士 斎藤一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technical</v>
      </c>
      <c r="M9" s="7" t="str">
        <f>VLOOKUP(B9,[1]characters!$A:$M,13,FALSE)</f>
        <v>human</v>
      </c>
      <c r="N9" s="7" t="str">
        <f>VLOOKUP(B9,[1]characters!$A:$G,7,FALSE)</f>
        <v>女性</v>
      </c>
      <c r="O9" s="45">
        <v>1</v>
      </c>
      <c r="P9" s="46">
        <f t="shared" si="9"/>
        <v>8.4745762711864404E-4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>
        <v>483105</v>
      </c>
      <c r="B10" s="6">
        <v>383</v>
      </c>
      <c r="C10" s="7" t="str">
        <f t="shared" si="3"/>
        <v>PremiumSS4</v>
      </c>
      <c r="D10" s="7" t="str">
        <f t="shared" si="4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酒宴の蟒蛇 ヤマタノオロチ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green</v>
      </c>
      <c r="L10" s="7" t="str">
        <f>VLOOKUP(B10,[1]characters!$A:$K,11,FALSE)</f>
        <v>hp</v>
      </c>
      <c r="M10" s="7" t="str">
        <f>VLOOKUP(B10,[1]characters!$A:$M,13,FALSE)</f>
        <v>dragon</v>
      </c>
      <c r="N10" s="7" t="str">
        <f>VLOOKUP(B10,[1]characters!$A:$G,7,FALSE)</f>
        <v>女性</v>
      </c>
      <c r="O10" s="45">
        <v>19</v>
      </c>
      <c r="P10" s="46">
        <f t="shared" ref="P10:P41" si="10">O10/SUM(O:O)</f>
        <v>1.6101694915254237E-2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>
        <v>483105</v>
      </c>
      <c r="B11" s="6">
        <v>384</v>
      </c>
      <c r="C11" s="7" t="str">
        <f t="shared" si="3"/>
        <v>PremiumSS5</v>
      </c>
      <c r="D11" s="7" t="str">
        <f t="shared" si="4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v>1</v>
      </c>
      <c r="P11" s="46">
        <f t="shared" si="10"/>
        <v>8.4745762711864404E-4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>
        <v>483105</v>
      </c>
      <c r="B12" s="6">
        <v>385</v>
      </c>
      <c r="C12" s="7" t="str">
        <f t="shared" si="3"/>
        <v>PremiumSS4</v>
      </c>
      <c r="D12" s="7" t="str">
        <f t="shared" si="4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波烈の出奔 リヴァイアサン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blue</v>
      </c>
      <c r="L12" s="7" t="str">
        <f>VLOOKUP(B12,[1]characters!$A:$K,11,FALSE)</f>
        <v>balance</v>
      </c>
      <c r="M12" s="7" t="str">
        <f>VLOOKUP(B12,[1]characters!$A:$M,13,FALSE)</f>
        <v>dragon</v>
      </c>
      <c r="N12" s="7" t="str">
        <f>VLOOKUP(B12,[1]characters!$A:$G,7,FALSE)</f>
        <v>女性</v>
      </c>
      <c r="O12" s="45">
        <v>19</v>
      </c>
      <c r="P12" s="46">
        <f t="shared" si="10"/>
        <v>1.6101694915254237E-2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>
        <v>483105</v>
      </c>
      <c r="B13" s="6">
        <v>386</v>
      </c>
      <c r="C13" s="7" t="str">
        <f t="shared" si="3"/>
        <v>PremiumSS5</v>
      </c>
      <c r="D13" s="7" t="str">
        <f t="shared" si="4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氾乱の海龍 リヴァイアサン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dragon</v>
      </c>
      <c r="N13" s="7" t="str">
        <f>VLOOKUP(B13,[1]characters!$A:$G,7,FALSE)</f>
        <v>女性</v>
      </c>
      <c r="O13" s="45">
        <v>1</v>
      </c>
      <c r="P13" s="46">
        <f t="shared" si="10"/>
        <v>8.4745762711864404E-4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>
        <v>483105</v>
      </c>
      <c r="B14" s="6">
        <v>390</v>
      </c>
      <c r="C14" s="7" t="str">
        <f t="shared" si="3"/>
        <v>PremiumSS4</v>
      </c>
      <c r="D14" s="7" t="str">
        <f t="shared" si="4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華環の旅客 親指姫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red</v>
      </c>
      <c r="L14" s="7" t="str">
        <f>VLOOKUP(B14,[1]characters!$A:$K,11,FALSE)</f>
        <v>heal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v>19</v>
      </c>
      <c r="P14" s="46">
        <f t="shared" si="10"/>
        <v>1.6101694915254237E-2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>
        <v>483105</v>
      </c>
      <c r="B15" s="6">
        <v>391</v>
      </c>
      <c r="C15" s="7" t="str">
        <f t="shared" si="3"/>
        <v>PremiumSS5</v>
      </c>
      <c r="D15" s="7" t="str">
        <f t="shared" si="4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燕翼の旅人 親指姫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red</v>
      </c>
      <c r="L15" s="7" t="str">
        <f>VLOOKUP(B15,[1]characters!$A:$K,11,FALSE)</f>
        <v>heal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v>1</v>
      </c>
      <c r="P15" s="46">
        <f t="shared" si="10"/>
        <v>8.4745762711864404E-4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>
        <v>483105</v>
      </c>
      <c r="B16" s="6">
        <v>398</v>
      </c>
      <c r="C16" s="7" t="str">
        <f t="shared" si="3"/>
        <v>PremiumSS4</v>
      </c>
      <c r="D16" s="7" t="str">
        <f t="shared" si="4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ヘンゼル＆グレーテル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5">
        <v>19</v>
      </c>
      <c r="P16" s="46">
        <f t="shared" si="10"/>
        <v>1.6101694915254237E-2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>
        <v>483105</v>
      </c>
      <c r="B17" s="6">
        <v>399</v>
      </c>
      <c r="C17" s="7" t="str">
        <f t="shared" si="3"/>
        <v>PremiumSS5</v>
      </c>
      <c r="D17" s="7" t="str">
        <f t="shared" si="4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信愛の兄妹 ヘンゼル＆グレーテル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v>1</v>
      </c>
      <c r="P17" s="46">
        <f t="shared" si="10"/>
        <v>8.4745762711864404E-4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>
        <v>483105</v>
      </c>
      <c r="B18" s="6">
        <v>403</v>
      </c>
      <c r="C18" s="7" t="str">
        <f t="shared" si="3"/>
        <v>PremiumSS4</v>
      </c>
      <c r="D18" s="7" t="str">
        <f t="shared" si="4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静撃の翠眼 八咫烏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animal</v>
      </c>
      <c r="N18" s="7" t="str">
        <f>VLOOKUP(B18,[1]characters!$A:$G,7,FALSE)</f>
        <v>女性</v>
      </c>
      <c r="O18" s="45">
        <v>19</v>
      </c>
      <c r="P18" s="46">
        <f t="shared" si="10"/>
        <v>1.6101694915254237E-2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2">
        <v>483105</v>
      </c>
      <c r="B19" s="8">
        <v>404</v>
      </c>
      <c r="C19" s="7" t="str">
        <f t="shared" si="3"/>
        <v>PremiumSS5</v>
      </c>
      <c r="D19" s="7" t="str">
        <f t="shared" si="4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空襲の神眼 八咫烏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animal</v>
      </c>
      <c r="N19" s="7" t="str">
        <f>VLOOKUP(B19,[1]characters!$A:$G,7,FALSE)</f>
        <v>女性</v>
      </c>
      <c r="O19" s="45">
        <v>1</v>
      </c>
      <c r="P19" s="46">
        <f t="shared" si="10"/>
        <v>8.4745762711864404E-4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>
        <v>483105</v>
      </c>
      <c r="B20" s="8">
        <v>434</v>
      </c>
      <c r="C20" s="7" t="str">
        <f t="shared" si="3"/>
        <v>PremiumSS4</v>
      </c>
      <c r="D20" s="7" t="str">
        <f t="shared" si="4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D.R.T.H.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red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v>19</v>
      </c>
      <c r="P20" s="46">
        <f t="shared" si="10"/>
        <v>1.6101694915254237E-2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>
        <v>483105</v>
      </c>
      <c r="B21" s="8">
        <v>435</v>
      </c>
      <c r="C21" s="7" t="str">
        <f t="shared" si="3"/>
        <v>PremiumSS5</v>
      </c>
      <c r="D21" s="7" t="str">
        <f t="shared" si="4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曝弾の密偵 D.R.T.H.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red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v>1</v>
      </c>
      <c r="P21" s="46">
        <f t="shared" si="10"/>
        <v>8.4745762711864404E-4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>
        <v>483105</v>
      </c>
      <c r="B22" s="8">
        <v>465</v>
      </c>
      <c r="C22" s="7" t="str">
        <f t="shared" si="3"/>
        <v>PremiumSS4</v>
      </c>
      <c r="D22" s="7" t="str">
        <f t="shared" si="4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真撃 ランスロット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green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男性</v>
      </c>
      <c r="O22" s="45">
        <v>19</v>
      </c>
      <c r="P22" s="46">
        <f t="shared" si="10"/>
        <v>1.6101694915254237E-2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>
        <v>483105</v>
      </c>
      <c r="B23" s="6">
        <v>466</v>
      </c>
      <c r="C23" s="7" t="str">
        <f t="shared" si="3"/>
        <v>PremiumSS5</v>
      </c>
      <c r="D23" s="7" t="str">
        <f t="shared" si="4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真断の勇覇 ランスロット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balance</v>
      </c>
      <c r="M23" s="7" t="str">
        <f>VLOOKUP(B23,[1]characters!$A:$M,13,FALSE)</f>
        <v>human</v>
      </c>
      <c r="N23" s="7" t="str">
        <f>VLOOKUP(B23,[1]characters!$A:$G,7,FALSE)</f>
        <v>男性</v>
      </c>
      <c r="O23" s="45">
        <v>1</v>
      </c>
      <c r="P23" s="46">
        <f t="shared" si="10"/>
        <v>8.4745762711864404E-4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>
        <v>483105</v>
      </c>
      <c r="B24" s="6">
        <v>467</v>
      </c>
      <c r="C24" s="7" t="str">
        <f t="shared" si="3"/>
        <v>PremiumSS4</v>
      </c>
      <c r="D24" s="7" t="str">
        <f t="shared" si="4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報復 モルドレッド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v>19</v>
      </c>
      <c r="P24" s="46">
        <f t="shared" si="10"/>
        <v>1.6101694915254237E-2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>
        <v>483105</v>
      </c>
      <c r="B25" s="6">
        <v>468</v>
      </c>
      <c r="C25" s="7" t="str">
        <f t="shared" si="3"/>
        <v>PremiumSS5</v>
      </c>
      <c r="D25" s="7" t="str">
        <f t="shared" si="4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憎愛の尖鋒 モルドレッド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blue</v>
      </c>
      <c r="L25" s="7" t="str">
        <f>VLOOKUP(B25,[1]characters!$A:$K,11,FALSE)</f>
        <v>technical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v>1</v>
      </c>
      <c r="P25" s="46">
        <f t="shared" si="10"/>
        <v>8.4745762711864404E-4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>
        <v>483105</v>
      </c>
      <c r="B26" s="10">
        <v>474</v>
      </c>
      <c r="C26" s="7" t="str">
        <f t="shared" si="3"/>
        <v>PremiumSS4</v>
      </c>
      <c r="D26" s="7" t="str">
        <f t="shared" si="4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キング・ドライグ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red</v>
      </c>
      <c r="L26" s="7" t="str">
        <f>VLOOKUP(B26,[1]characters!$A:$K,11,FALSE)</f>
        <v>attack</v>
      </c>
      <c r="M26" s="7" t="str">
        <f>VLOOKUP(B26,[1]characters!$A:$M,13,FALSE)</f>
        <v>dragon</v>
      </c>
      <c r="N26" s="7" t="str">
        <f>VLOOKUP(B26,[1]characters!$A:$G,7,FALSE)</f>
        <v>不明</v>
      </c>
      <c r="O26" s="45">
        <v>19</v>
      </c>
      <c r="P26" s="46">
        <f t="shared" si="10"/>
        <v>1.6101694915254237E-2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>
        <v>483105</v>
      </c>
      <c r="B27" s="10">
        <v>475</v>
      </c>
      <c r="C27" s="7" t="str">
        <f t="shared" si="3"/>
        <v>PremiumSS5</v>
      </c>
      <c r="D27" s="7" t="str">
        <f t="shared" si="4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緋王 キング・ドライグ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red</v>
      </c>
      <c r="L27" s="7" t="str">
        <f>VLOOKUP(B27,[1]characters!$A:$K,11,FALSE)</f>
        <v>attack</v>
      </c>
      <c r="M27" s="7" t="str">
        <f>VLOOKUP(B27,[1]characters!$A:$M,13,FALSE)</f>
        <v>dragon</v>
      </c>
      <c r="N27" s="7" t="str">
        <f>VLOOKUP(B27,[1]characters!$A:$G,7,FALSE)</f>
        <v>不明</v>
      </c>
      <c r="O27" s="45">
        <v>1</v>
      </c>
      <c r="P27" s="46">
        <f t="shared" si="10"/>
        <v>8.4745762711864404E-4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>
        <v>483105</v>
      </c>
      <c r="B28" s="100">
        <v>492</v>
      </c>
      <c r="C28" s="7" t="str">
        <f t="shared" si="3"/>
        <v>PremiumSS4</v>
      </c>
      <c r="D28" s="7" t="str">
        <f t="shared" si="4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ブートレグ・ペロー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red</v>
      </c>
      <c r="L28" s="7" t="str">
        <f>VLOOKUP(B28,[1]characters!$A:$K,11,FALSE)</f>
        <v>hp</v>
      </c>
      <c r="M28" s="7" t="str">
        <f>VLOOKUP(B28,[1]characters!$A:$M,13,FALSE)</f>
        <v>animal</v>
      </c>
      <c r="N28" s="7" t="str">
        <f>VLOOKUP(B28,[1]characters!$A:$G,7,FALSE)</f>
        <v>不明</v>
      </c>
      <c r="O28" s="45">
        <v>19</v>
      </c>
      <c r="P28" s="46">
        <f t="shared" si="10"/>
        <v>1.6101694915254237E-2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>
        <v>483105</v>
      </c>
      <c r="B29" s="11">
        <v>493</v>
      </c>
      <c r="C29" s="7" t="str">
        <f t="shared" si="3"/>
        <v>PremiumSS5</v>
      </c>
      <c r="D29" s="7" t="str">
        <f t="shared" si="4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跋扈の機脚 ブートレグ・ペロー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animal</v>
      </c>
      <c r="N29" s="7" t="str">
        <f>VLOOKUP(B29,[1]characters!$A:$G,7,FALSE)</f>
        <v>不明</v>
      </c>
      <c r="O29" s="45">
        <v>1</v>
      </c>
      <c r="P29" s="46">
        <f t="shared" si="10"/>
        <v>8.4745762711864404E-4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>
        <v>483105</v>
      </c>
      <c r="B30" s="11">
        <v>494</v>
      </c>
      <c r="C30" s="7" t="str">
        <f t="shared" si="3"/>
        <v>PremiumSS4</v>
      </c>
      <c r="D30" s="7" t="str">
        <f t="shared" si="4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ハーメルン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green</v>
      </c>
      <c r="L30" s="7" t="str">
        <f>VLOOKUP(B30,[1]characters!$A:$K,11,FALSE)</f>
        <v>technical</v>
      </c>
      <c r="M30" s="7" t="str">
        <f>VLOOKUP(B30,[1]characters!$A:$M,13,FALSE)</f>
        <v>human</v>
      </c>
      <c r="N30" s="7" t="str">
        <f>VLOOKUP(B30,[1]characters!$A:$G,7,FALSE)</f>
        <v>男性</v>
      </c>
      <c r="O30" s="45">
        <v>19</v>
      </c>
      <c r="P30" s="46">
        <f t="shared" si="10"/>
        <v>1.6101694915254237E-2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>
        <v>483105</v>
      </c>
      <c r="B31" s="6">
        <v>495</v>
      </c>
      <c r="C31" s="7" t="str">
        <f t="shared" si="3"/>
        <v>PremiumSS5</v>
      </c>
      <c r="D31" s="7" t="str">
        <f t="shared" si="4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鼠災呼ぶ笛音 ハーメルン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v>1</v>
      </c>
      <c r="P31" s="46">
        <f t="shared" si="10"/>
        <v>8.4745762711864404E-4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>
        <v>483105</v>
      </c>
      <c r="B32" s="6">
        <v>499</v>
      </c>
      <c r="C32" s="7" t="str">
        <f t="shared" si="3"/>
        <v>PremiumSS4</v>
      </c>
      <c r="D32" s="7" t="str">
        <f t="shared" si="4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ラプンツェル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yellow</v>
      </c>
      <c r="L32" s="7" t="str">
        <f>VLOOKUP(B32,[1]characters!$A:$K,11,FALSE)</f>
        <v>balance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v>19</v>
      </c>
      <c r="P32" s="46">
        <f t="shared" si="10"/>
        <v>1.6101694915254237E-2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s="12" customFormat="1" ht="22" customHeight="1" thickBot="1" x14ac:dyDescent="0.2">
      <c r="A33" s="2">
        <v>483105</v>
      </c>
      <c r="B33" s="6">
        <v>500</v>
      </c>
      <c r="C33" s="7" t="str">
        <f t="shared" si="3"/>
        <v>PremiumSS5</v>
      </c>
      <c r="D33" s="7" t="str">
        <f t="shared" si="4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脈動の禁髪 ラプンツェル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v>1</v>
      </c>
      <c r="P33" s="46">
        <f t="shared" si="10"/>
        <v>8.4745762711864404E-4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s="101" customFormat="1" ht="22" customHeight="1" x14ac:dyDescent="0.15">
      <c r="A34" s="2">
        <v>483105</v>
      </c>
      <c r="B34" s="10">
        <v>594</v>
      </c>
      <c r="C34" s="7" t="str">
        <f t="shared" si="3"/>
        <v>PremiumSS4</v>
      </c>
      <c r="D34" s="7" t="str">
        <f t="shared" si="4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アルフヘイム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dragon</v>
      </c>
      <c r="N34" s="7" t="str">
        <f>VLOOKUP(B34,[1]characters!$A:$G,7,FALSE)</f>
        <v>不明</v>
      </c>
      <c r="O34" s="45">
        <v>19</v>
      </c>
      <c r="P34" s="46">
        <f t="shared" si="10"/>
        <v>1.6101694915254237E-2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>
        <v>483105</v>
      </c>
      <c r="B35" s="10">
        <v>595</v>
      </c>
      <c r="C35" s="7" t="str">
        <f t="shared" si="3"/>
        <v>PremiumSS5</v>
      </c>
      <c r="D35" s="7" t="str">
        <f t="shared" si="4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光華なる神域 アルフヘイム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yellow</v>
      </c>
      <c r="L35" s="7" t="str">
        <f>VLOOKUP(B35,[1]characters!$A:$K,11,FALSE)</f>
        <v>attack</v>
      </c>
      <c r="M35" s="7" t="str">
        <f>VLOOKUP(B35,[1]characters!$A:$M,13,FALSE)</f>
        <v>dragon</v>
      </c>
      <c r="N35" s="7" t="str">
        <f>VLOOKUP(B35,[1]characters!$A:$G,7,FALSE)</f>
        <v>不明</v>
      </c>
      <c r="O35" s="45">
        <v>1</v>
      </c>
      <c r="P35" s="46">
        <f t="shared" si="10"/>
        <v>8.4745762711864404E-4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>
        <v>483105</v>
      </c>
      <c r="B36" s="10">
        <v>602</v>
      </c>
      <c r="C36" s="7" t="str">
        <f t="shared" si="3"/>
        <v>PremiumSS4</v>
      </c>
      <c r="D36" s="7" t="str">
        <f t="shared" si="4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フレイヤ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blue</v>
      </c>
      <c r="L36" s="7" t="str">
        <f>VLOOKUP(B36,[1]characters!$A:$K,11,FALSE)</f>
        <v>heal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5">
        <v>19</v>
      </c>
      <c r="P36" s="46">
        <f t="shared" si="10"/>
        <v>1.6101694915254237E-2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>
        <v>483105</v>
      </c>
      <c r="B37" s="6">
        <v>603</v>
      </c>
      <c r="C37" s="7" t="str">
        <f t="shared" si="3"/>
        <v>PremiumSS5</v>
      </c>
      <c r="D37" s="7" t="str">
        <f t="shared" si="4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掌愛の豊穣女神 フレイヤ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blue</v>
      </c>
      <c r="L37" s="7" t="str">
        <f>VLOOKUP(B37,[1]characters!$A:$K,11,FALSE)</f>
        <v>heal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5">
        <v>1</v>
      </c>
      <c r="P37" s="46">
        <f t="shared" si="10"/>
        <v>8.4745762711864404E-4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>
        <v>483105</v>
      </c>
      <c r="B38" s="6">
        <v>658</v>
      </c>
      <c r="C38" s="7" t="str">
        <f t="shared" si="3"/>
        <v>PremiumSS4</v>
      </c>
      <c r="D38" s="7" t="str">
        <f t="shared" si="4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猫又 クルミ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red</v>
      </c>
      <c r="L38" s="7" t="str">
        <f>VLOOKUP(B38,[1]characters!$A:$K,11,FALSE)</f>
        <v>attack</v>
      </c>
      <c r="M38" s="7" t="str">
        <f>VLOOKUP(B38,[1]characters!$A:$M,13,FALSE)</f>
        <v>animal</v>
      </c>
      <c r="N38" s="7" t="str">
        <f>VLOOKUP(B38,[1]characters!$A:$G,7,FALSE)</f>
        <v>女性</v>
      </c>
      <c r="O38" s="45">
        <v>19</v>
      </c>
      <c r="P38" s="46">
        <f t="shared" si="10"/>
        <v>1.6101694915254237E-2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>
        <v>483105</v>
      </c>
      <c r="B39" s="6">
        <v>659</v>
      </c>
      <c r="C39" s="7" t="str">
        <f t="shared" si="3"/>
        <v>PremiumSS5</v>
      </c>
      <c r="D39" s="7" t="str">
        <f t="shared" si="4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跳梁する化猫 クルミ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red</v>
      </c>
      <c r="L39" s="7" t="str">
        <f>VLOOKUP(B39,[1]characters!$A:$K,11,FALSE)</f>
        <v>attack</v>
      </c>
      <c r="M39" s="7" t="str">
        <f>VLOOKUP(B39,[1]characters!$A:$M,13,FALSE)</f>
        <v>animal</v>
      </c>
      <c r="N39" s="7" t="str">
        <f>VLOOKUP(B39,[1]characters!$A:$G,7,FALSE)</f>
        <v>女性</v>
      </c>
      <c r="O39" s="45">
        <v>1</v>
      </c>
      <c r="P39" s="46">
        <f t="shared" si="10"/>
        <v>8.4745762711864404E-4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>
        <v>483105</v>
      </c>
      <c r="B40" s="6">
        <v>660</v>
      </c>
      <c r="C40" s="7" t="str">
        <f t="shared" si="3"/>
        <v>PremiumSS4</v>
      </c>
      <c r="D40" s="7" t="str">
        <f t="shared" si="4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烏天狗 フウガ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green</v>
      </c>
      <c r="L40" s="7" t="str">
        <f>VLOOKUP(B40,[1]characters!$A:$K,11,FALSE)</f>
        <v>balance</v>
      </c>
      <c r="M40" s="7" t="str">
        <f>VLOOKUP(B40,[1]characters!$A:$M,13,FALSE)</f>
        <v>animal</v>
      </c>
      <c r="N40" s="7" t="str">
        <f>VLOOKUP(B40,[1]characters!$A:$G,7,FALSE)</f>
        <v>男性</v>
      </c>
      <c r="O40" s="45">
        <v>19</v>
      </c>
      <c r="P40" s="46">
        <f t="shared" si="10"/>
        <v>1.6101694915254237E-2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>
        <v>483105</v>
      </c>
      <c r="B41" s="6">
        <v>661</v>
      </c>
      <c r="C41" s="7" t="str">
        <f t="shared" si="3"/>
        <v>PremiumSS5</v>
      </c>
      <c r="D41" s="7" t="str">
        <f t="shared" si="4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疾風の天狗礫 フウガ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balance</v>
      </c>
      <c r="M41" s="7" t="str">
        <f>VLOOKUP(B41,[1]characters!$A:$M,13,FALSE)</f>
        <v>animal</v>
      </c>
      <c r="N41" s="7" t="str">
        <f>VLOOKUP(B41,[1]characters!$A:$G,7,FALSE)</f>
        <v>男性</v>
      </c>
      <c r="O41" s="45">
        <v>1</v>
      </c>
      <c r="P41" s="46">
        <f t="shared" si="10"/>
        <v>8.4745762711864404E-4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>
        <v>483105</v>
      </c>
      <c r="B42" s="6">
        <v>674</v>
      </c>
      <c r="C42" s="7" t="str">
        <f t="shared" si="3"/>
        <v>PremiumSS4</v>
      </c>
      <c r="D42" s="7" t="str">
        <f t="shared" si="4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サラスヴァティ</v>
      </c>
      <c r="I42" s="7" t="str">
        <f>VLOOKUP(B42,[1]characters!$A:$J,10,FALSE)</f>
        <v>PremiumSS</v>
      </c>
      <c r="J42" s="7">
        <f>VLOOKUP(B42,[1]characters!$A:$I,9,FALSE)</f>
        <v>4</v>
      </c>
      <c r="K42" s="7" t="str">
        <f>VLOOKUP(B42,[1]characters!$A:$H,8,FALSE)</f>
        <v>blue</v>
      </c>
      <c r="L42" s="7" t="str">
        <f>VLOOKUP(B42,[1]characters!$A:$K,11,FALSE)</f>
        <v>balance</v>
      </c>
      <c r="M42" s="7" t="str">
        <f>VLOOKUP(B42,[1]characters!$A:$M,13,FALSE)</f>
        <v>god</v>
      </c>
      <c r="N42" s="7" t="str">
        <f>VLOOKUP(B42,[1]characters!$A:$G,7,FALSE)</f>
        <v>女性</v>
      </c>
      <c r="O42" s="45">
        <v>19</v>
      </c>
      <c r="P42" s="46">
        <f t="shared" ref="P42:P73" si="11">O42/SUM(O:O)</f>
        <v>1.6101694915254237E-2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>
        <v>483105</v>
      </c>
      <c r="B43" s="6">
        <v>675</v>
      </c>
      <c r="C43" s="7" t="str">
        <f t="shared" si="3"/>
        <v>PremiumSS5</v>
      </c>
      <c r="D43" s="7" t="str">
        <f t="shared" si="4"/>
        <v>PremiumSS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芸楽の奔流 サラスヴァティ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blue</v>
      </c>
      <c r="L43" s="7" t="str">
        <f>VLOOKUP(B43,[1]characters!$A:$K,11,FALSE)</f>
        <v>balance</v>
      </c>
      <c r="M43" s="7" t="str">
        <f>VLOOKUP(B43,[1]characters!$A:$M,13,FALSE)</f>
        <v>god</v>
      </c>
      <c r="N43" s="7" t="str">
        <f>VLOOKUP(B43,[1]characters!$A:$G,7,FALSE)</f>
        <v>女性</v>
      </c>
      <c r="O43" s="45">
        <v>1</v>
      </c>
      <c r="P43" s="46">
        <f t="shared" si="11"/>
        <v>8.4745762711864404E-4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>
        <v>483105</v>
      </c>
      <c r="B44" s="6">
        <v>676</v>
      </c>
      <c r="C44" s="7" t="str">
        <f t="shared" si="3"/>
        <v>PremiumSS4</v>
      </c>
      <c r="D44" s="7" t="str">
        <f t="shared" si="4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ヴィシュヌ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女性</v>
      </c>
      <c r="O44" s="45">
        <v>19</v>
      </c>
      <c r="P44" s="46">
        <f t="shared" si="11"/>
        <v>1.6101694915254237E-2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>
        <v>483105</v>
      </c>
      <c r="B45" s="6">
        <v>677</v>
      </c>
      <c r="C45" s="7" t="str">
        <f t="shared" si="3"/>
        <v>PremiumSS5</v>
      </c>
      <c r="D45" s="7" t="str">
        <f t="shared" si="4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武遊闊歩 ヴィシュヌ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v>1</v>
      </c>
      <c r="P45" s="46">
        <f t="shared" si="11"/>
        <v>8.4745762711864404E-4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>
        <v>483105</v>
      </c>
      <c r="B46" s="6">
        <v>732</v>
      </c>
      <c r="C46" s="7" t="str">
        <f t="shared" si="3"/>
        <v>PremiumSS5R5only</v>
      </c>
      <c r="D46" s="7" t="str">
        <f t="shared" si="4"/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上杉謙信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blue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女性</v>
      </c>
      <c r="O46" s="45">
        <v>20</v>
      </c>
      <c r="P46" s="46">
        <f t="shared" si="11"/>
        <v>1.6949152542372881E-2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>
        <v>483105</v>
      </c>
      <c r="B47" s="6">
        <v>734</v>
      </c>
      <c r="C47" s="7" t="str">
        <f t="shared" si="3"/>
        <v>PremiumSS5R5only</v>
      </c>
      <c r="D47" s="7" t="str">
        <f t="shared" si="4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伊達政宗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yellow</v>
      </c>
      <c r="L47" s="7" t="str">
        <f>VLOOKUP(B47,[1]characters!$A:$K,11,FALSE)</f>
        <v>balance</v>
      </c>
      <c r="M47" s="7" t="str">
        <f>VLOOKUP(B47,[1]characters!$A:$M,13,FALSE)</f>
        <v>human</v>
      </c>
      <c r="N47" s="7" t="str">
        <f>VLOOKUP(B47,[1]characters!$A:$G,7,FALSE)</f>
        <v>男性</v>
      </c>
      <c r="O47" s="45">
        <v>20</v>
      </c>
      <c r="P47" s="46">
        <f t="shared" si="11"/>
        <v>1.6949152542372881E-2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>
        <v>483105</v>
      </c>
      <c r="B48" s="6">
        <v>742</v>
      </c>
      <c r="C48" s="7" t="str">
        <f t="shared" si="3"/>
        <v>PremiumSS5R5only</v>
      </c>
      <c r="D48" s="7" t="str">
        <f t="shared" si="4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アポロン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男性</v>
      </c>
      <c r="O48" s="45">
        <v>20</v>
      </c>
      <c r="P48" s="46">
        <f t="shared" si="11"/>
        <v>1.6949152542372881E-2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>
        <v>483105</v>
      </c>
      <c r="B49" s="6">
        <v>744</v>
      </c>
      <c r="C49" s="7" t="str">
        <f t="shared" si="3"/>
        <v>PremiumSS5R5only</v>
      </c>
      <c r="D49" s="7" t="str">
        <f t="shared" si="4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ヘルメス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v>20</v>
      </c>
      <c r="P49" s="46">
        <f t="shared" si="11"/>
        <v>1.6949152542372881E-2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>
        <v>483105</v>
      </c>
      <c r="B50" s="6">
        <v>770</v>
      </c>
      <c r="C50" s="7" t="str">
        <f t="shared" si="3"/>
        <v>PremiumSS4</v>
      </c>
      <c r="D50" s="7" t="str">
        <f t="shared" si="4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ハヅル</v>
      </c>
      <c r="I50" s="7" t="str">
        <f>VLOOKUP(B50,[1]characters!$A:$J,10,FALSE)</f>
        <v>PremiumSS</v>
      </c>
      <c r="J50" s="7">
        <f>VLOOKUP(B50,[1]characters!$A:$I,9,FALSE)</f>
        <v>4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animal</v>
      </c>
      <c r="N50" s="7" t="str">
        <f>VLOOKUP(B50,[1]characters!$A:$G,7,FALSE)</f>
        <v>女性</v>
      </c>
      <c r="O50" s="45">
        <v>19</v>
      </c>
      <c r="P50" s="46">
        <f t="shared" si="11"/>
        <v>1.6101694915254237E-2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>
        <v>483105</v>
      </c>
      <c r="B51" s="6">
        <v>771</v>
      </c>
      <c r="C51" s="7" t="str">
        <f t="shared" si="3"/>
        <v>PremiumSS5</v>
      </c>
      <c r="D51" s="7" t="str">
        <f t="shared" si="4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天織羽鶴 ハヅル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red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女性</v>
      </c>
      <c r="O51" s="45">
        <v>1</v>
      </c>
      <c r="P51" s="46">
        <f t="shared" si="11"/>
        <v>8.4745762711864404E-4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>
        <v>483105</v>
      </c>
      <c r="B52" s="6">
        <v>772</v>
      </c>
      <c r="C52" s="7" t="str">
        <f t="shared" si="3"/>
        <v>PremiumSS4</v>
      </c>
      <c r="D52" s="7" t="str">
        <f t="shared" si="4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イナバ</v>
      </c>
      <c r="I52" s="7" t="str">
        <f>VLOOKUP(B52,[1]characters!$A:$J,10,FALSE)</f>
        <v>PremiumSS</v>
      </c>
      <c r="J52" s="7">
        <f>VLOOKUP(B52,[1]characters!$A:$I,9,FALSE)</f>
        <v>4</v>
      </c>
      <c r="K52" s="7" t="str">
        <f>VLOOKUP(B52,[1]characters!$A:$H,8,FALSE)</f>
        <v>green</v>
      </c>
      <c r="L52" s="7" t="str">
        <f>VLOOKUP(B52,[1]characters!$A:$K,11,FALSE)</f>
        <v>balance</v>
      </c>
      <c r="M52" s="7" t="str">
        <f>VLOOKUP(B52,[1]characters!$A:$M,13,FALSE)</f>
        <v>animal</v>
      </c>
      <c r="N52" s="7" t="str">
        <f>VLOOKUP(B52,[1]characters!$A:$G,7,FALSE)</f>
        <v>女性</v>
      </c>
      <c r="O52" s="45">
        <v>19</v>
      </c>
      <c r="P52" s="46">
        <f t="shared" si="11"/>
        <v>1.6101694915254237E-2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>
        <v>483105</v>
      </c>
      <c r="B53" s="6">
        <v>773</v>
      </c>
      <c r="C53" s="7" t="str">
        <f t="shared" si="3"/>
        <v>PremiumSS5</v>
      </c>
      <c r="D53" s="7" t="str">
        <f t="shared" si="4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浮跳天兎 イナバ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balance</v>
      </c>
      <c r="M53" s="7" t="str">
        <f>VLOOKUP(B53,[1]characters!$A:$M,13,FALSE)</f>
        <v>animal</v>
      </c>
      <c r="N53" s="7" t="str">
        <f>VLOOKUP(B53,[1]characters!$A:$G,7,FALSE)</f>
        <v>女性</v>
      </c>
      <c r="O53" s="45">
        <v>1</v>
      </c>
      <c r="P53" s="46">
        <f t="shared" si="11"/>
        <v>8.4745762711864404E-4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>
        <v>483105</v>
      </c>
      <c r="B54" s="6">
        <v>848</v>
      </c>
      <c r="C54" s="7" t="str">
        <f t="shared" si="3"/>
        <v>PremiumSS5R5only</v>
      </c>
      <c r="D54" s="7" t="str">
        <f t="shared" si="4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メタトロン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god</v>
      </c>
      <c r="N54" s="7" t="str">
        <f>VLOOKUP(B54,[1]characters!$A:$G,7,FALSE)</f>
        <v>男性</v>
      </c>
      <c r="O54" s="45">
        <v>20</v>
      </c>
      <c r="P54" s="46">
        <f t="shared" si="11"/>
        <v>1.6949152542372881E-2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>
        <v>483105</v>
      </c>
      <c r="B55" s="6">
        <v>850</v>
      </c>
      <c r="C55" s="7" t="str">
        <f t="shared" si="3"/>
        <v>PremiumSS5R5only</v>
      </c>
      <c r="D55" s="7" t="str">
        <f t="shared" si="4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バアル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technical</v>
      </c>
      <c r="M55" s="7" t="str">
        <f>VLOOKUP(B55,[1]characters!$A:$M,13,FALSE)</f>
        <v>god</v>
      </c>
      <c r="N55" s="7" t="str">
        <f>VLOOKUP(B55,[1]characters!$A:$G,7,FALSE)</f>
        <v>男性</v>
      </c>
      <c r="O55" s="45">
        <v>20</v>
      </c>
      <c r="P55" s="46">
        <f t="shared" si="11"/>
        <v>1.6949152542372881E-2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>
        <v>483105</v>
      </c>
      <c r="B56" s="6">
        <v>866</v>
      </c>
      <c r="C56" s="7" t="str">
        <f t="shared" si="3"/>
        <v>PremiumSS5R5only</v>
      </c>
      <c r="D56" s="7" t="str">
        <f t="shared" si="4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無敗の司令姫 白雪姫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balance</v>
      </c>
      <c r="M56" s="7" t="str">
        <f>VLOOKUP(B56,[1]characters!$A:$M,13,FALSE)</f>
        <v>human</v>
      </c>
      <c r="N56" s="7" t="str">
        <f>VLOOKUP(B56,[1]characters!$A:$G,7,FALSE)</f>
        <v>男性</v>
      </c>
      <c r="O56" s="45">
        <v>20</v>
      </c>
      <c r="P56" s="46">
        <f t="shared" si="11"/>
        <v>1.6949152542372881E-2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>
        <v>483105</v>
      </c>
      <c r="B57" s="6">
        <v>868</v>
      </c>
      <c r="C57" s="7" t="str">
        <f t="shared" si="3"/>
        <v>PremiumSS5R5only</v>
      </c>
      <c r="D57" s="7" t="str">
        <f t="shared" si="4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アラジンと殲滅機兵LAMP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hp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v>20</v>
      </c>
      <c r="P57" s="46">
        <f t="shared" si="11"/>
        <v>1.6949152542372881E-2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>
        <v>483105</v>
      </c>
      <c r="B58" s="6">
        <v>937</v>
      </c>
      <c r="C58" s="7" t="str">
        <f t="shared" si="3"/>
        <v>PremiumSS5R5only</v>
      </c>
      <c r="D58" s="7" t="str">
        <f t="shared" si="4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ナポレオン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balance</v>
      </c>
      <c r="M58" s="7" t="str">
        <f>VLOOKUP(B58,[1]characters!$A:$M,13,FALSE)</f>
        <v>human</v>
      </c>
      <c r="N58" s="7" t="str">
        <f>VLOOKUP(B58,[1]characters!$A:$G,7,FALSE)</f>
        <v>男性</v>
      </c>
      <c r="O58" s="45">
        <v>20</v>
      </c>
      <c r="P58" s="46">
        <f t="shared" si="11"/>
        <v>1.6949152542372881E-2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>
        <v>483105</v>
      </c>
      <c r="B59" s="6">
        <v>941</v>
      </c>
      <c r="C59" s="7" t="str">
        <f t="shared" si="3"/>
        <v>PremiumSS5R5only</v>
      </c>
      <c r="D59" s="7" t="str">
        <f t="shared" si="4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アントワネット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blue</v>
      </c>
      <c r="L59" s="7" t="str">
        <f>VLOOKUP(B59,[1]characters!$A:$K,11,FALSE)</f>
        <v>technical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v>20</v>
      </c>
      <c r="P59" s="46">
        <f t="shared" si="11"/>
        <v>1.6949152542372881E-2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>
        <v>483105</v>
      </c>
      <c r="B60" s="6">
        <v>943</v>
      </c>
      <c r="C60" s="7" t="str">
        <f t="shared" si="3"/>
        <v>PremiumSS5R5only</v>
      </c>
      <c r="D60" s="7" t="str">
        <f t="shared" si="4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サンソン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yellow</v>
      </c>
      <c r="L60" s="7" t="str">
        <f>VLOOKUP(B60,[1]characters!$A:$K,11,FALSE)</f>
        <v>attack</v>
      </c>
      <c r="M60" s="7" t="str">
        <f>VLOOKUP(B60,[1]characters!$A:$M,13,FALSE)</f>
        <v>human</v>
      </c>
      <c r="N60" s="7" t="str">
        <f>VLOOKUP(B60,[1]characters!$A:$G,7,FALSE)</f>
        <v>男性</v>
      </c>
      <c r="O60" s="45">
        <v>20</v>
      </c>
      <c r="P60" s="46">
        <f t="shared" si="11"/>
        <v>1.6949152542372881E-2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>
        <v>483105</v>
      </c>
      <c r="B61" s="6">
        <v>1012</v>
      </c>
      <c r="C61" s="7" t="str">
        <f t="shared" si="3"/>
        <v>PremiumSS5R5only</v>
      </c>
      <c r="D61" s="7" t="str">
        <f t="shared" si="4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ラー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red</v>
      </c>
      <c r="L61" s="7" t="str">
        <f>VLOOKUP(B61,[1]characters!$A:$K,11,FALSE)</f>
        <v>balance</v>
      </c>
      <c r="M61" s="7" t="str">
        <f>VLOOKUP(B61,[1]characters!$A:$M,13,FALSE)</f>
        <v>god</v>
      </c>
      <c r="N61" s="7" t="str">
        <f>VLOOKUP(B61,[1]characters!$A:$G,7,FALSE)</f>
        <v>男性</v>
      </c>
      <c r="O61" s="45">
        <v>20</v>
      </c>
      <c r="P61" s="46">
        <f t="shared" si="11"/>
        <v>1.6949152542372881E-2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>
        <v>483105</v>
      </c>
      <c r="B62" s="6">
        <v>1014</v>
      </c>
      <c r="C62" s="7" t="str">
        <f t="shared" si="3"/>
        <v>PremiumSS5R5only</v>
      </c>
      <c r="D62" s="7" t="str">
        <f t="shared" si="4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イシス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hp</v>
      </c>
      <c r="M62" s="7" t="str">
        <f>VLOOKUP(B62,[1]characters!$A:$M,13,FALSE)</f>
        <v>god</v>
      </c>
      <c r="N62" s="7" t="str">
        <f>VLOOKUP(B62,[1]characters!$A:$G,7,FALSE)</f>
        <v>男性</v>
      </c>
      <c r="O62" s="45">
        <v>20</v>
      </c>
      <c r="P62" s="46">
        <f t="shared" si="11"/>
        <v>1.6949152542372881E-2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>
        <v>483105</v>
      </c>
      <c r="B63" s="6">
        <v>1018</v>
      </c>
      <c r="C63" s="7" t="str">
        <f t="shared" si="3"/>
        <v>PremiumSS5R5only</v>
      </c>
      <c r="D63" s="7" t="str">
        <f t="shared" si="4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バステト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god</v>
      </c>
      <c r="N63" s="7" t="str">
        <f>VLOOKUP(B63,[1]characters!$A:$G,7,FALSE)</f>
        <v>男性</v>
      </c>
      <c r="O63" s="45">
        <v>20</v>
      </c>
      <c r="P63" s="46">
        <f t="shared" si="11"/>
        <v>1.6949152542372881E-2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>
        <v>483105</v>
      </c>
      <c r="B64" s="6">
        <v>1028</v>
      </c>
      <c r="C64" s="7" t="str">
        <f t="shared" si="3"/>
        <v>PremiumSS5R5only</v>
      </c>
      <c r="D64" s="7" t="str">
        <f t="shared" si="4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牛若丸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green</v>
      </c>
      <c r="L64" s="7" t="str">
        <f>VLOOKUP(B64,[1]characters!$A:$K,11,FALSE)</f>
        <v>balance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v>20</v>
      </c>
      <c r="P64" s="46">
        <f t="shared" si="11"/>
        <v>1.6949152542372881E-2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>
        <v>483105</v>
      </c>
      <c r="B65" s="6">
        <v>1031</v>
      </c>
      <c r="C65" s="7" t="str">
        <f t="shared" si="3"/>
        <v>PremiumSS5R5only</v>
      </c>
      <c r="D65" s="7" t="str">
        <f t="shared" si="4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紫式部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blue</v>
      </c>
      <c r="L65" s="7" t="str">
        <f>VLOOKUP(B65,[1]characters!$A:$K,11,FALSE)</f>
        <v>technical</v>
      </c>
      <c r="M65" s="7" t="str">
        <f>VLOOKUP(B65,[1]characters!$A:$M,13,FALSE)</f>
        <v>human</v>
      </c>
      <c r="N65" s="7" t="str">
        <f>VLOOKUP(B65,[1]characters!$A:$G,7,FALSE)</f>
        <v>男性</v>
      </c>
      <c r="O65" s="45">
        <v>20</v>
      </c>
      <c r="P65" s="46">
        <f t="shared" si="11"/>
        <v>1.6949152542372881E-2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>
        <v>483105</v>
      </c>
      <c r="B66" s="6">
        <v>1033</v>
      </c>
      <c r="C66" s="7" t="str">
        <f t="shared" si="3"/>
        <v>PremiumSS5R5only</v>
      </c>
      <c r="D66" s="7" t="str">
        <f t="shared" si="4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清少納言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yellow</v>
      </c>
      <c r="L66" s="7" t="str">
        <f>VLOOKUP(B66,[1]characters!$A:$K,11,FALSE)</f>
        <v>heal</v>
      </c>
      <c r="M66" s="7" t="str">
        <f>VLOOKUP(B66,[1]characters!$A:$M,13,FALSE)</f>
        <v>human</v>
      </c>
      <c r="N66" s="7" t="str">
        <f>VLOOKUP(B66,[1]characters!$A:$G,7,FALSE)</f>
        <v>男性</v>
      </c>
      <c r="O66" s="45">
        <v>20</v>
      </c>
      <c r="P66" s="46">
        <f t="shared" si="11"/>
        <v>1.6949152542372881E-2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>
        <v>483105</v>
      </c>
      <c r="B67" s="6">
        <v>1069</v>
      </c>
      <c r="C67" s="7" t="str">
        <f t="shared" si="3"/>
        <v>PremiumSS5R5only</v>
      </c>
      <c r="D67" s="7" t="str">
        <f t="shared" si="4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イシュタル</v>
      </c>
      <c r="I67" s="7" t="str">
        <f>VLOOKUP(B67,[1]characters!$A:$J,10,FALSE)</f>
        <v>PremiumSS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technical</v>
      </c>
      <c r="M67" s="7" t="str">
        <f>VLOOKUP(B67,[1]characters!$A:$M,13,FALSE)</f>
        <v>god</v>
      </c>
      <c r="N67" s="7" t="str">
        <f>VLOOKUP(B67,[1]characters!$A:$G,7,FALSE)</f>
        <v>男性</v>
      </c>
      <c r="O67" s="45">
        <v>20</v>
      </c>
      <c r="P67" s="46">
        <f t="shared" si="11"/>
        <v>1.6949152542372881E-2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>
        <v>483105</v>
      </c>
      <c r="B68" s="6">
        <v>1072</v>
      </c>
      <c r="C68" s="7" t="str">
        <f t="shared" si="3"/>
        <v>PremiumSS5R5only</v>
      </c>
      <c r="D68" s="7" t="str">
        <f t="shared" si="4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エンキドゥ</v>
      </c>
      <c r="I68" s="7" t="str">
        <f>VLOOKUP(B68,[1]characters!$A:$J,10,FALSE)</f>
        <v>PremiumSSw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男性</v>
      </c>
      <c r="O68" s="45">
        <v>20</v>
      </c>
      <c r="P68" s="46">
        <f t="shared" si="11"/>
        <v>1.6949152542372881E-2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>
        <v>483105</v>
      </c>
      <c r="B69" s="6">
        <v>1074</v>
      </c>
      <c r="C69" s="7" t="str">
        <f t="shared" si="3"/>
        <v>PremiumSS5R5only</v>
      </c>
      <c r="D69" s="7" t="str">
        <f t="shared" si="4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マルドゥク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technical</v>
      </c>
      <c r="M69" s="7" t="str">
        <f>VLOOKUP(B69,[1]characters!$A:$M,13,FALSE)</f>
        <v>god</v>
      </c>
      <c r="N69" s="7" t="str">
        <f>VLOOKUP(B69,[1]characters!$A:$G,7,FALSE)</f>
        <v>男性</v>
      </c>
      <c r="O69" s="45">
        <v>20</v>
      </c>
      <c r="P69" s="46">
        <f t="shared" si="11"/>
        <v>1.6949152542372881E-2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>
        <v>483105</v>
      </c>
      <c r="B70" s="6">
        <v>1100</v>
      </c>
      <c r="C70" s="7" t="str">
        <f t="shared" si="3"/>
        <v>PremiumSS5R5only</v>
      </c>
      <c r="D70" s="7" t="str">
        <f t="shared" si="4"/>
        <v>PremiumSS</v>
      </c>
      <c r="E70" s="7" t="str">
        <f>IF(COUNTIF('R6追加前'!A:A,B70)=0,IF(OR(I70="PremiumSS",I70="PremiumSSw"),"R5only","R3less"),"")</f>
        <v>R5only</v>
      </c>
      <c r="F70" s="7" t="str">
        <f>IF(COUNTIF('R6開放'!A:A,B70)&gt;0,"R6release","")</f>
        <v/>
      </c>
      <c r="G70" s="7"/>
      <c r="H70" s="7" t="str">
        <f>VLOOKUP(B70,[1]characters!$A:$C,3,FALSE)</f>
        <v>北斎</v>
      </c>
      <c r="I70" s="7" t="str">
        <f>VLOOKUP(B70,[1]characters!$A:$J,10,FALSE)</f>
        <v>PremiumSS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attack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v>20</v>
      </c>
      <c r="P70" s="46">
        <f t="shared" si="11"/>
        <v>1.6949152542372881E-2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>
        <v>483105</v>
      </c>
      <c r="B71" s="6">
        <v>1102</v>
      </c>
      <c r="C71" s="7" t="str">
        <f t="shared" si="3"/>
        <v>PremiumSS5R5only</v>
      </c>
      <c r="D71" s="7" t="str">
        <f t="shared" ref="D71:D84" si="12">IF(OR(I71="PremiumSS",I71="PremiumSSw"),"PremiumSS",IF(I71="PremiumSSS",I71,IF(I71="PremiumW",IF(J71=5,"premium",I71),"Premium")))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ドガ</v>
      </c>
      <c r="I71" s="7" t="str">
        <f>VLOOKUP(B71,[1]characters!$A:$J,10,FALSE)</f>
        <v>PremiumSSW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v>20</v>
      </c>
      <c r="P71" s="46">
        <f t="shared" si="11"/>
        <v>1.6949152542372881E-2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>
        <v>483105</v>
      </c>
      <c r="B72" s="6">
        <v>1106</v>
      </c>
      <c r="C72" s="7" t="str">
        <f t="shared" si="3"/>
        <v>PremiumSS5R5only</v>
      </c>
      <c r="D72" s="7" t="str">
        <f t="shared" si="12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ラファエロ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yellow</v>
      </c>
      <c r="L72" s="7" t="str">
        <f>VLOOKUP(B72,[1]characters!$A:$K,11,FALSE)</f>
        <v>attack</v>
      </c>
      <c r="M72" s="7" t="str">
        <f>VLOOKUP(B72,[1]characters!$A:$M,13,FALSE)</f>
        <v>human</v>
      </c>
      <c r="N72" s="7" t="str">
        <f>VLOOKUP(B72,[1]characters!$A:$G,7,FALSE)</f>
        <v>不明</v>
      </c>
      <c r="O72" s="45">
        <v>20</v>
      </c>
      <c r="P72" s="46">
        <f t="shared" si="11"/>
        <v>1.6949152542372881E-2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>
        <v>483105</v>
      </c>
      <c r="B73" s="6">
        <v>1137</v>
      </c>
      <c r="C73" s="7" t="str">
        <f t="shared" si="3"/>
        <v>PremiumSS5R5only</v>
      </c>
      <c r="D73" s="7" t="str">
        <f t="shared" si="12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諸葛亮</v>
      </c>
      <c r="I73" s="7" t="str">
        <f>VLOOKUP(B73,[1]characters!$A:$J,10,FALSE)</f>
        <v>PremiumSSW</v>
      </c>
      <c r="J73" s="7">
        <f>VLOOKUP(B73,[1]characters!$A:$I,9,FALSE)</f>
        <v>5</v>
      </c>
      <c r="K73" s="7" t="str">
        <f>VLOOKUP(B73,[1]characters!$A:$H,8,FALSE)</f>
        <v>red</v>
      </c>
      <c r="L73" s="7" t="str">
        <f>VLOOKUP(B73,[1]characters!$A:$K,11,FALSE)</f>
        <v>technical</v>
      </c>
      <c r="M73" s="7" t="str">
        <f>VLOOKUP(B73,[1]characters!$A:$M,13,FALSE)</f>
        <v>samurai</v>
      </c>
      <c r="N73" s="7" t="str">
        <f>VLOOKUP(B73,[1]characters!$A:$G,7,FALSE)</f>
        <v>不明</v>
      </c>
      <c r="O73" s="45">
        <v>20</v>
      </c>
      <c r="P73" s="46">
        <f t="shared" si="11"/>
        <v>1.6949152542372881E-2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>
        <v>483105</v>
      </c>
      <c r="B74" s="6">
        <v>1139</v>
      </c>
      <c r="C74" s="7" t="str">
        <f t="shared" si="3"/>
        <v>PremiumSS5R5only</v>
      </c>
      <c r="D74" s="7" t="str">
        <f t="shared" si="12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趙雲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balance</v>
      </c>
      <c r="M74" s="7" t="str">
        <f>VLOOKUP(B74,[1]characters!$A:$M,13,FALSE)</f>
        <v>samurai</v>
      </c>
      <c r="N74" s="7" t="str">
        <f>VLOOKUP(B74,[1]characters!$A:$G,7,FALSE)</f>
        <v>不明</v>
      </c>
      <c r="O74" s="45">
        <v>20</v>
      </c>
      <c r="P74" s="46">
        <f t="shared" ref="P74:P84" si="13">O74/SUM(O:O)</f>
        <v>1.6949152542372881E-2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>
        <v>483105</v>
      </c>
      <c r="B75" s="6">
        <v>1141</v>
      </c>
      <c r="C75" s="7" t="str">
        <f t="shared" si="3"/>
        <v>PremiumSS5R5only</v>
      </c>
      <c r="D75" s="7" t="str">
        <f t="shared" si="12"/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月英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不明</v>
      </c>
      <c r="O75" s="45">
        <v>20</v>
      </c>
      <c r="P75" s="46">
        <f t="shared" si="13"/>
        <v>1.6949152542372881E-2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>
        <v>483105</v>
      </c>
      <c r="B76" s="6">
        <v>1153</v>
      </c>
      <c r="C76" s="7" t="str">
        <f t="shared" si="3"/>
        <v>PremiumSS5R5only</v>
      </c>
      <c r="D76" s="7" t="str">
        <f t="shared" si="12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ラクシュミー</v>
      </c>
      <c r="I76" s="7" t="str">
        <f>VLOOKUP(B76,[1]characters!$A:$J,10,FALSE)</f>
        <v>PremiumSSW</v>
      </c>
      <c r="J76" s="7">
        <f>VLOOKUP(B76,[1]characters!$A:$I,9,FALSE)</f>
        <v>5</v>
      </c>
      <c r="K76" s="7" t="str">
        <f>VLOOKUP(B76,[1]characters!$A:$H,8,FALSE)</f>
        <v>green</v>
      </c>
      <c r="L76" s="7" t="str">
        <f>VLOOKUP(B76,[1]characters!$A:$K,11,FALSE)</f>
        <v>hp</v>
      </c>
      <c r="M76" s="7" t="str">
        <f>VLOOKUP(B76,[1]characters!$A:$M,13,FALSE)</f>
        <v>god</v>
      </c>
      <c r="N76" s="7" t="str">
        <f>VLOOKUP(B76,[1]characters!$A:$G,7,FALSE)</f>
        <v>不明</v>
      </c>
      <c r="O76" s="45">
        <v>20</v>
      </c>
      <c r="P76" s="46">
        <f t="shared" si="13"/>
        <v>1.6949152542372881E-2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>
        <v>483105</v>
      </c>
      <c r="B77" s="6">
        <v>1155</v>
      </c>
      <c r="C77" s="7" t="str">
        <f t="shared" si="3"/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ドゥルガー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god</v>
      </c>
      <c r="N77" s="7" t="str">
        <f>VLOOKUP(B77,[1]characters!$A:$G,7,FALSE)</f>
        <v>不明</v>
      </c>
      <c r="O77" s="45">
        <v>20</v>
      </c>
      <c r="P77" s="46">
        <f t="shared" si="13"/>
        <v>1.6949152542372881E-2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>
        <v>483105</v>
      </c>
      <c r="B78" s="6">
        <v>1157</v>
      </c>
      <c r="C78" s="7" t="str">
        <f t="shared" si="3"/>
        <v>PremiumSS5R5only</v>
      </c>
      <c r="D78" s="7" t="str">
        <f t="shared" si="12"/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インドラ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yellow</v>
      </c>
      <c r="L78" s="7" t="str">
        <f>VLOOKUP(B78,[1]characters!$A:$K,11,FALSE)</f>
        <v>attack</v>
      </c>
      <c r="M78" s="7" t="str">
        <f>VLOOKUP(B78,[1]characters!$A:$M,13,FALSE)</f>
        <v>god</v>
      </c>
      <c r="N78" s="7" t="str">
        <f>VLOOKUP(B78,[1]characters!$A:$G,7,FALSE)</f>
        <v>不明</v>
      </c>
      <c r="O78" s="45">
        <v>20</v>
      </c>
      <c r="P78" s="46">
        <f t="shared" si="13"/>
        <v>1.6949152542372881E-2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>
        <v>483105</v>
      </c>
      <c r="B79" s="6">
        <v>1208</v>
      </c>
      <c r="C79" s="7" t="str">
        <f t="shared" si="3"/>
        <v>PremiumSS5R5only</v>
      </c>
      <c r="D79" s="7" t="str">
        <f t="shared" si="12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ネメシス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>
        <f>VLOOKUP(B79,[1]characters!$A:$G,7,FALSE)</f>
        <v>0</v>
      </c>
      <c r="O79" s="45">
        <v>20</v>
      </c>
      <c r="P79" s="46">
        <f t="shared" si="13"/>
        <v>1.6949152542372881E-2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>
        <v>483105</v>
      </c>
      <c r="B80" s="6">
        <v>1212</v>
      </c>
      <c r="C80" s="7" t="str">
        <f t="shared" si="3"/>
        <v>PremiumSS5R5only</v>
      </c>
      <c r="D80" s="7" t="str">
        <f t="shared" si="12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クロノス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technical</v>
      </c>
      <c r="M80" s="7" t="str">
        <f>VLOOKUP(B80,[1]characters!$A:$M,13,FALSE)</f>
        <v>god</v>
      </c>
      <c r="N80" s="7">
        <f>VLOOKUP(B80,[1]characters!$A:$G,7,FALSE)</f>
        <v>0</v>
      </c>
      <c r="O80" s="45">
        <v>20</v>
      </c>
      <c r="P80" s="46">
        <f t="shared" si="13"/>
        <v>1.6949152542372881E-2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>
        <v>483105</v>
      </c>
      <c r="B81" s="6">
        <v>1214</v>
      </c>
      <c r="C81" s="7" t="str">
        <f t="shared" si="3"/>
        <v>PremiumSS5R5only</v>
      </c>
      <c r="D81" s="7" t="str">
        <f t="shared" si="12"/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アルテミス</v>
      </c>
      <c r="I81" s="7" t="str">
        <f>VLOOKUP(B81,[1]characters!$A:$J,10,FALSE)</f>
        <v>PremiumSSw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balance</v>
      </c>
      <c r="M81" s="7" t="str">
        <f>VLOOKUP(B81,[1]characters!$A:$M,13,FALSE)</f>
        <v>god</v>
      </c>
      <c r="N81" s="7">
        <f>VLOOKUP(B81,[1]characters!$A:$G,7,FALSE)</f>
        <v>0</v>
      </c>
      <c r="O81" s="45">
        <v>20</v>
      </c>
      <c r="P81" s="46">
        <f t="shared" si="13"/>
        <v>1.6949152542372881E-2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>
        <v>483105</v>
      </c>
      <c r="B82" s="6">
        <v>1226</v>
      </c>
      <c r="C82" s="7" t="str">
        <f t="shared" si="3"/>
        <v>PremiumSS5R5only</v>
      </c>
      <c r="D82" s="7" t="str">
        <f t="shared" si="12"/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トルストイ</v>
      </c>
      <c r="I82" s="7" t="str">
        <f>VLOOKUP(B82,[1]characters!$A:$J,10,FALSE)</f>
        <v>PremiumSS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attack</v>
      </c>
      <c r="M82" s="7" t="str">
        <f>VLOOKUP(B82,[1]characters!$A:$M,13,FALSE)</f>
        <v>human</v>
      </c>
      <c r="N82" s="7">
        <f>VLOOKUP(B82,[1]characters!$A:$G,7,FALSE)</f>
        <v>0</v>
      </c>
      <c r="O82" s="45">
        <v>20</v>
      </c>
      <c r="P82" s="46">
        <f t="shared" si="13"/>
        <v>1.6949152542372881E-2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>
        <v>483105</v>
      </c>
      <c r="B83" s="6">
        <v>1228</v>
      </c>
      <c r="C83" s="7" t="str">
        <f t="shared" si="3"/>
        <v>PremiumSS5R5only</v>
      </c>
      <c r="D83" s="7" t="str">
        <f t="shared" si="12"/>
        <v>PremiumSS</v>
      </c>
      <c r="E83" s="7" t="str">
        <f>IF(COUNTIF('R6追加前'!A:A,B83)=0,IF(OR(I83="PremiumSS",I83="PremiumSSw"),"R5only","R3less"),"")</f>
        <v>R5only</v>
      </c>
      <c r="F83" s="7" t="str">
        <f>IF(COUNTIF('R6開放'!A:A,B83)&gt;0,"R6release","")</f>
        <v/>
      </c>
      <c r="G83" s="7"/>
      <c r="H83" s="7" t="str">
        <f>VLOOKUP(B83,[1]characters!$A:$C,3,FALSE)</f>
        <v>芥川龍之介</v>
      </c>
      <c r="I83" s="7" t="str">
        <f>VLOOKUP(B83,[1]characters!$A:$J,10,FALSE)</f>
        <v>PremiumSSw</v>
      </c>
      <c r="J83" s="7">
        <f>VLOOKUP(B83,[1]characters!$A:$I,9,FALSE)</f>
        <v>5</v>
      </c>
      <c r="K83" s="7" t="str">
        <f>VLOOKUP(B83,[1]characters!$A:$H,8,FALSE)</f>
        <v>blue</v>
      </c>
      <c r="L83" s="7" t="str">
        <f>VLOOKUP(B83,[1]characters!$A:$K,11,FALSE)</f>
        <v>attack</v>
      </c>
      <c r="M83" s="7" t="str">
        <f>VLOOKUP(B83,[1]characters!$A:$M,13,FALSE)</f>
        <v>human</v>
      </c>
      <c r="N83" s="7">
        <f>VLOOKUP(B83,[1]characters!$A:$G,7,FALSE)</f>
        <v>0</v>
      </c>
      <c r="O83" s="45">
        <v>20</v>
      </c>
      <c r="P83" s="46">
        <f t="shared" si="13"/>
        <v>1.6949152542372881E-2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>
        <v>483105</v>
      </c>
      <c r="B84" s="8">
        <v>1230</v>
      </c>
      <c r="C84" s="7" t="str">
        <f t="shared" si="3"/>
        <v>PremiumSS5R5only</v>
      </c>
      <c r="D84" s="7" t="str">
        <f t="shared" si="12"/>
        <v>PremiumSS</v>
      </c>
      <c r="E84" s="7" t="str">
        <f>IF(COUNTIF('R6追加前'!A:A,B84)=0,IF(OR(I84="PremiumSS",I84="PremiumSSw"),"R5only","R3less"),"")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夏目漱石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yellow</v>
      </c>
      <c r="L84" s="7" t="str">
        <f>VLOOKUP(B84,[1]characters!$A:$K,11,FALSE)</f>
        <v>heal</v>
      </c>
      <c r="M84" s="7" t="str">
        <f>VLOOKUP(B84,[1]characters!$A:$M,13,FALSE)</f>
        <v>animal</v>
      </c>
      <c r="N84" s="7">
        <f>VLOOKUP(B84,[1]characters!$A:$G,7,FALSE)</f>
        <v>0</v>
      </c>
      <c r="O84" s="45">
        <v>20</v>
      </c>
      <c r="P84" s="46">
        <f t="shared" si="13"/>
        <v>1.6949152542372881E-2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</sheetData>
  <autoFilter ref="A1:V8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T7"/>
  <sheetViews>
    <sheetView showGridLines="0" tabSelected="1" workbookViewId="0">
      <pane ySplit="1" topLeftCell="A2" activePane="bottomLeft" state="frozen"/>
      <selection activeCell="M24" sqref="M24"/>
      <selection pane="bottomLeft" activeCell="E3" sqref="E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8" width="18.796875" style="1" customWidth="1"/>
    <col min="19" max="16384" width="13" style="1"/>
  </cols>
  <sheetData>
    <row r="1" spans="1:20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  <c r="R1" s="104"/>
    </row>
    <row r="2" spans="1:20" ht="22" customHeight="1" x14ac:dyDescent="0.15">
      <c r="A2" s="98">
        <v>483102</v>
      </c>
      <c r="B2" s="98">
        <v>4831021</v>
      </c>
      <c r="C2" s="2" t="s">
        <v>267</v>
      </c>
      <c r="D2" s="2">
        <v>2</v>
      </c>
      <c r="E2" s="2">
        <v>3</v>
      </c>
      <c r="F2" s="2">
        <v>1</v>
      </c>
      <c r="G2" s="97">
        <v>0</v>
      </c>
      <c r="H2" s="97">
        <v>0</v>
      </c>
      <c r="I2" s="97">
        <v>0</v>
      </c>
      <c r="J2" s="97">
        <v>0</v>
      </c>
      <c r="K2" s="97">
        <v>1</v>
      </c>
      <c r="L2" s="97">
        <v>1</v>
      </c>
      <c r="M2" s="97">
        <v>1</v>
      </c>
      <c r="N2" s="78" t="s">
        <v>253</v>
      </c>
      <c r="O2" s="78" t="s">
        <v>268</v>
      </c>
      <c r="P2" s="78" t="s">
        <v>254</v>
      </c>
      <c r="Q2" s="79" t="s">
        <v>269</v>
      </c>
      <c r="R2" s="1" t="b">
        <f>EXACT(S2,T2)</f>
        <v>1</v>
      </c>
      <c r="S2" s="1" t="str">
        <f>RIGHT(E2,1)</f>
        <v>3</v>
      </c>
      <c r="T2" s="1" t="str">
        <f>RIGHT(O2,1)</f>
        <v>3</v>
      </c>
    </row>
    <row r="3" spans="1:20" ht="21" customHeight="1" x14ac:dyDescent="0.15">
      <c r="A3" s="98">
        <v>483103</v>
      </c>
      <c r="B3" s="98">
        <v>4831031</v>
      </c>
      <c r="C3" s="2" t="s">
        <v>252</v>
      </c>
      <c r="D3" s="2">
        <v>335</v>
      </c>
      <c r="E3" s="2">
        <v>10</v>
      </c>
      <c r="F3" s="2">
        <v>1</v>
      </c>
      <c r="G3" s="97">
        <v>0</v>
      </c>
      <c r="H3" s="97">
        <v>0</v>
      </c>
      <c r="I3" s="97">
        <v>0</v>
      </c>
      <c r="J3" s="97">
        <v>0</v>
      </c>
      <c r="K3" s="97">
        <v>1</v>
      </c>
      <c r="L3" s="97">
        <v>1</v>
      </c>
      <c r="M3" s="97">
        <v>1</v>
      </c>
      <c r="N3" s="78" t="s">
        <v>253</v>
      </c>
      <c r="O3" s="78" t="s">
        <v>255</v>
      </c>
      <c r="P3" s="78" t="s">
        <v>254</v>
      </c>
      <c r="Q3" s="79" t="s">
        <v>256</v>
      </c>
      <c r="R3" s="1" t="b">
        <f>EXACT(S3,T3)</f>
        <v>1</v>
      </c>
      <c r="S3" s="1" t="str">
        <f t="shared" ref="S3:S7" si="0">RIGHT(E3,1)</f>
        <v>0</v>
      </c>
      <c r="T3" s="1" t="str">
        <f>RIGHT(O3,1)</f>
        <v>0</v>
      </c>
    </row>
    <row r="4" spans="1:20" ht="21" customHeight="1" x14ac:dyDescent="0.15">
      <c r="A4" s="98">
        <v>483103</v>
      </c>
      <c r="B4" s="98">
        <v>4831032</v>
      </c>
      <c r="C4" s="2" t="s">
        <v>252</v>
      </c>
      <c r="D4" s="2">
        <v>339</v>
      </c>
      <c r="E4" s="2">
        <v>10</v>
      </c>
      <c r="F4" s="2">
        <v>1</v>
      </c>
      <c r="G4" s="97">
        <v>0</v>
      </c>
      <c r="H4" s="97">
        <v>0</v>
      </c>
      <c r="I4" s="97">
        <v>0</v>
      </c>
      <c r="J4" s="97">
        <v>0</v>
      </c>
      <c r="K4" s="97">
        <v>1</v>
      </c>
      <c r="L4" s="97">
        <v>1</v>
      </c>
      <c r="M4" s="97">
        <v>1</v>
      </c>
      <c r="N4" s="78" t="s">
        <v>253</v>
      </c>
      <c r="O4" s="78" t="s">
        <v>257</v>
      </c>
      <c r="P4" s="78" t="s">
        <v>254</v>
      </c>
      <c r="Q4" s="79" t="s">
        <v>258</v>
      </c>
      <c r="R4" s="1" t="b">
        <f>EXACT(S4,T4)</f>
        <v>1</v>
      </c>
      <c r="S4" s="1" t="str">
        <f t="shared" si="0"/>
        <v>0</v>
      </c>
      <c r="T4" s="1" t="str">
        <f>RIGHT(O4,1)</f>
        <v>0</v>
      </c>
    </row>
    <row r="5" spans="1:20" ht="21" customHeight="1" x14ac:dyDescent="0.15">
      <c r="A5" s="99">
        <v>483103</v>
      </c>
      <c r="B5" s="99">
        <v>4831033</v>
      </c>
      <c r="C5" s="2" t="s">
        <v>252</v>
      </c>
      <c r="D5" s="2">
        <v>343</v>
      </c>
      <c r="E5" s="2">
        <v>10</v>
      </c>
      <c r="F5" s="2">
        <v>1</v>
      </c>
      <c r="G5" s="33">
        <v>0</v>
      </c>
      <c r="H5" s="33">
        <v>0</v>
      </c>
      <c r="I5" s="33">
        <v>0</v>
      </c>
      <c r="J5" s="33">
        <v>0</v>
      </c>
      <c r="K5" s="33">
        <v>1</v>
      </c>
      <c r="L5" s="33">
        <v>1</v>
      </c>
      <c r="M5" s="33">
        <v>1</v>
      </c>
      <c r="N5" s="2" t="s">
        <v>253</v>
      </c>
      <c r="O5" s="2" t="s">
        <v>259</v>
      </c>
      <c r="P5" s="2" t="s">
        <v>254</v>
      </c>
      <c r="Q5" s="79" t="s">
        <v>261</v>
      </c>
      <c r="R5" s="1" t="b">
        <f>EXACT(S5,T5)</f>
        <v>1</v>
      </c>
      <c r="S5" s="1" t="str">
        <f t="shared" si="0"/>
        <v>0</v>
      </c>
      <c r="T5" s="1" t="str">
        <f>RIGHT(O5,1)</f>
        <v>0</v>
      </c>
    </row>
    <row r="6" spans="1:20" ht="21" customHeight="1" x14ac:dyDescent="0.15">
      <c r="A6" s="99">
        <v>483103</v>
      </c>
      <c r="B6" s="99">
        <v>4831034</v>
      </c>
      <c r="C6" s="2" t="s">
        <v>252</v>
      </c>
      <c r="D6" s="2">
        <v>347</v>
      </c>
      <c r="E6" s="2">
        <v>10</v>
      </c>
      <c r="F6" s="2">
        <v>1</v>
      </c>
      <c r="G6" s="33">
        <v>0</v>
      </c>
      <c r="H6" s="33">
        <v>0</v>
      </c>
      <c r="I6" s="33">
        <v>0</v>
      </c>
      <c r="J6" s="33">
        <v>0</v>
      </c>
      <c r="K6" s="33">
        <v>1</v>
      </c>
      <c r="L6" s="33">
        <v>1</v>
      </c>
      <c r="M6" s="33">
        <v>1</v>
      </c>
      <c r="N6" s="2" t="s">
        <v>253</v>
      </c>
      <c r="O6" s="2" t="s">
        <v>260</v>
      </c>
      <c r="P6" s="2" t="s">
        <v>254</v>
      </c>
      <c r="Q6" s="79" t="s">
        <v>262</v>
      </c>
      <c r="R6" s="1" t="b">
        <f>EXACT(S6,T6)</f>
        <v>1</v>
      </c>
      <c r="S6" s="1" t="str">
        <f t="shared" si="0"/>
        <v>0</v>
      </c>
      <c r="T6" s="1" t="str">
        <f>RIGHT(O6,1)</f>
        <v>0</v>
      </c>
    </row>
    <row r="7" spans="1:20" ht="21" customHeight="1" x14ac:dyDescent="0.15">
      <c r="A7" s="99">
        <v>483104</v>
      </c>
      <c r="B7" s="99">
        <v>4831041</v>
      </c>
      <c r="C7" s="2" t="s">
        <v>252</v>
      </c>
      <c r="D7" s="2">
        <v>837</v>
      </c>
      <c r="E7" s="2">
        <v>1</v>
      </c>
      <c r="F7" s="2">
        <v>1</v>
      </c>
      <c r="G7" s="33">
        <v>0</v>
      </c>
      <c r="H7" s="33">
        <v>0</v>
      </c>
      <c r="I7" s="33">
        <v>0</v>
      </c>
      <c r="J7" s="33">
        <v>0</v>
      </c>
      <c r="K7" s="33">
        <v>1</v>
      </c>
      <c r="L7" s="33">
        <v>1</v>
      </c>
      <c r="M7" s="33">
        <v>1</v>
      </c>
      <c r="N7" s="2" t="s">
        <v>253</v>
      </c>
      <c r="O7" s="2" t="s">
        <v>270</v>
      </c>
      <c r="P7" s="2" t="s">
        <v>254</v>
      </c>
      <c r="Q7" s="79" t="s">
        <v>271</v>
      </c>
      <c r="R7" s="1" t="b">
        <f>EXACT(S7,T7)</f>
        <v>1</v>
      </c>
      <c r="S7" s="1" t="str">
        <f t="shared" si="0"/>
        <v>1</v>
      </c>
      <c r="T7" s="1" t="str">
        <f>RIGHT(O7,1)</f>
        <v>1</v>
      </c>
    </row>
  </sheetData>
  <autoFilter ref="A1:F1"/>
  <phoneticPr fontId="22"/>
  <conditionalFormatting sqref="R2:R7">
    <cfRule type="containsText" dxfId="0" priority="1" operator="containsText" text="FALSE">
      <formula>NOT(ISERROR(SEARCH("FALSE",R2)))</formula>
    </cfRule>
  </conditionalFormatting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input_483101</vt:lpstr>
      <vt:lpstr>tables_483101</vt:lpstr>
      <vt:lpstr>input_483100</vt:lpstr>
      <vt:lpstr>tables_483100</vt:lpstr>
      <vt:lpstr>tables_settle_483105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2016-12-16T08:24:08Z</dcterms:modified>
</cp:coreProperties>
</file>