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060" tabRatio="943" activeTab="9"/>
  </bookViews>
  <sheets>
    <sheet name="確率の考え方" sheetId="110" r:id="rId1"/>
    <sheet name="Sheet1" sheetId="107" r:id="rId2"/>
    <sheet name="output" sheetId="103" r:id="rId3"/>
    <sheet name="input_572101" sheetId="106" r:id="rId4"/>
    <sheet name="tables_572101" sheetId="82" r:id="rId5"/>
    <sheet name="input_572103" sheetId="147" r:id="rId6"/>
    <sheet name="tables_572103" sheetId="148" r:id="rId7"/>
    <sheet name="input_572104" sheetId="149" r:id="rId8"/>
    <sheet name="tables_572104" sheetId="150" r:id="rId9"/>
    <sheet name="tables_settle_572104" sheetId="157" r:id="rId10"/>
    <sheet name="input_572105" sheetId="158" r:id="rId11"/>
    <sheet name="tables_572105" sheetId="159" r:id="rId12"/>
    <sheet name="input_572106" sheetId="153" r:id="rId13"/>
    <sheet name="tables_572106" sheetId="154" r:id="rId14"/>
    <sheet name="input_572100" sheetId="162" r:id="rId15"/>
    <sheet name="tables_572100" sheetId="163" r:id="rId16"/>
    <sheet name="gacha_bonus_tables" sheetId="98" r:id="rId17"/>
    <sheet name="R6追加前" sheetId="111" r:id="rId18"/>
    <sheet name="R6開放" sheetId="112" r:id="rId19"/>
  </sheets>
  <externalReferences>
    <externalReference r:id="rId20"/>
  </externalReferences>
  <definedNames>
    <definedName name="_xlnm._FilterDatabase" localSheetId="16" hidden="1">gacha_bonus_tables!$A$1:$F$1</definedName>
    <definedName name="_xlnm._FilterDatabase" localSheetId="15" hidden="1">tables_572100!$A$1:$V$300</definedName>
    <definedName name="_xlnm._FilterDatabase" localSheetId="4" hidden="1">tables_572101!$A$1:$V$356</definedName>
    <definedName name="_xlnm._FilterDatabase" localSheetId="6" hidden="1">tables_572103!$A$1:$V$300</definedName>
    <definedName name="_xlnm._FilterDatabase" localSheetId="8" hidden="1">tables_572104!$A$1:$V$294</definedName>
    <definedName name="_xlnm._FilterDatabase" localSheetId="11" hidden="1">tables_572105!$A$1:$V$300</definedName>
    <definedName name="_xlnm._FilterDatabase" localSheetId="13" hidden="1">tables_572106!$A$1:$V$300</definedName>
    <definedName name="_xlnm._FilterDatabase" localSheetId="9" hidden="1">tables_settle_572104!$A$1:$V$3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63" l="1"/>
  <c r="J2" i="163"/>
  <c r="D2" i="163"/>
  <c r="E2" i="163"/>
  <c r="C2" i="163"/>
  <c r="I3" i="163"/>
  <c r="J3" i="163"/>
  <c r="D3" i="163"/>
  <c r="E3" i="163"/>
  <c r="C3" i="163"/>
  <c r="I4" i="163"/>
  <c r="J4" i="163"/>
  <c r="D4" i="163"/>
  <c r="E4" i="163"/>
  <c r="C4" i="163"/>
  <c r="I5" i="163"/>
  <c r="J5" i="163"/>
  <c r="D5" i="163"/>
  <c r="E5" i="163"/>
  <c r="C5" i="163"/>
  <c r="I6" i="163"/>
  <c r="J6" i="163"/>
  <c r="D6" i="163"/>
  <c r="E6" i="163"/>
  <c r="C6" i="163"/>
  <c r="I7" i="163"/>
  <c r="J7" i="163"/>
  <c r="D7" i="163"/>
  <c r="E7" i="163"/>
  <c r="C7" i="163"/>
  <c r="I8" i="163"/>
  <c r="J8" i="163"/>
  <c r="D8" i="163"/>
  <c r="E8" i="163"/>
  <c r="C8" i="163"/>
  <c r="I9" i="163"/>
  <c r="J9" i="163"/>
  <c r="D9" i="163"/>
  <c r="E9" i="163"/>
  <c r="C9" i="163"/>
  <c r="I10" i="163"/>
  <c r="J10" i="163"/>
  <c r="D10" i="163"/>
  <c r="E10" i="163"/>
  <c r="C10" i="163"/>
  <c r="I11" i="163"/>
  <c r="J11" i="163"/>
  <c r="D11" i="163"/>
  <c r="E11" i="163"/>
  <c r="C11" i="163"/>
  <c r="I12" i="163"/>
  <c r="J12" i="163"/>
  <c r="D12" i="163"/>
  <c r="E12" i="163"/>
  <c r="C12" i="163"/>
  <c r="I13" i="163"/>
  <c r="J13" i="163"/>
  <c r="D13" i="163"/>
  <c r="E13" i="163"/>
  <c r="C13" i="163"/>
  <c r="I14" i="163"/>
  <c r="J14" i="163"/>
  <c r="D14" i="163"/>
  <c r="E14" i="163"/>
  <c r="C14" i="163"/>
  <c r="I15" i="163"/>
  <c r="J15" i="163"/>
  <c r="D15" i="163"/>
  <c r="E15" i="163"/>
  <c r="C15" i="163"/>
  <c r="I16" i="163"/>
  <c r="J16" i="163"/>
  <c r="D16" i="163"/>
  <c r="E16" i="163"/>
  <c r="C16" i="163"/>
  <c r="I17" i="163"/>
  <c r="J17" i="163"/>
  <c r="D17" i="163"/>
  <c r="E17" i="163"/>
  <c r="C17" i="163"/>
  <c r="I18" i="163"/>
  <c r="J18" i="163"/>
  <c r="D18" i="163"/>
  <c r="E18" i="163"/>
  <c r="C18" i="163"/>
  <c r="I19" i="163"/>
  <c r="J19" i="163"/>
  <c r="D19" i="163"/>
  <c r="E19" i="163"/>
  <c r="C19" i="163"/>
  <c r="I20" i="163"/>
  <c r="J20" i="163"/>
  <c r="D20" i="163"/>
  <c r="E20" i="163"/>
  <c r="C20" i="163"/>
  <c r="I21" i="163"/>
  <c r="J21" i="163"/>
  <c r="D21" i="163"/>
  <c r="E21" i="163"/>
  <c r="C21" i="163"/>
  <c r="I22" i="163"/>
  <c r="J22" i="163"/>
  <c r="D22" i="163"/>
  <c r="E22" i="163"/>
  <c r="C22" i="163"/>
  <c r="I23" i="163"/>
  <c r="J23" i="163"/>
  <c r="D23" i="163"/>
  <c r="E23" i="163"/>
  <c r="C23" i="163"/>
  <c r="I24" i="163"/>
  <c r="J24" i="163"/>
  <c r="D24" i="163"/>
  <c r="E24" i="163"/>
  <c r="C24" i="163"/>
  <c r="I25" i="163"/>
  <c r="J25" i="163"/>
  <c r="D25" i="163"/>
  <c r="E25" i="163"/>
  <c r="C25" i="163"/>
  <c r="I26" i="163"/>
  <c r="J26" i="163"/>
  <c r="D26" i="163"/>
  <c r="E26" i="163"/>
  <c r="C26" i="163"/>
  <c r="I27" i="163"/>
  <c r="J27" i="163"/>
  <c r="D27" i="163"/>
  <c r="E27" i="163"/>
  <c r="C27" i="163"/>
  <c r="I28" i="163"/>
  <c r="J28" i="163"/>
  <c r="D28" i="163"/>
  <c r="E28" i="163"/>
  <c r="C28" i="163"/>
  <c r="I29" i="163"/>
  <c r="J29" i="163"/>
  <c r="D29" i="163"/>
  <c r="E29" i="163"/>
  <c r="C29" i="163"/>
  <c r="I30" i="163"/>
  <c r="J30" i="163"/>
  <c r="D30" i="163"/>
  <c r="E30" i="163"/>
  <c r="C30" i="163"/>
  <c r="I31" i="163"/>
  <c r="J31" i="163"/>
  <c r="D31" i="163"/>
  <c r="E31" i="163"/>
  <c r="C31" i="163"/>
  <c r="I32" i="163"/>
  <c r="J32" i="163"/>
  <c r="D32" i="163"/>
  <c r="E32" i="163"/>
  <c r="C32" i="163"/>
  <c r="I33" i="163"/>
  <c r="J33" i="163"/>
  <c r="D33" i="163"/>
  <c r="E33" i="163"/>
  <c r="C33" i="163"/>
  <c r="I34" i="163"/>
  <c r="J34" i="163"/>
  <c r="D34" i="163"/>
  <c r="E34" i="163"/>
  <c r="C34" i="163"/>
  <c r="I35" i="163"/>
  <c r="J35" i="163"/>
  <c r="D35" i="163"/>
  <c r="E35" i="163"/>
  <c r="C35" i="163"/>
  <c r="I36" i="163"/>
  <c r="J36" i="163"/>
  <c r="D36" i="163"/>
  <c r="E36" i="163"/>
  <c r="C36" i="163"/>
  <c r="I37" i="163"/>
  <c r="J37" i="163"/>
  <c r="D37" i="163"/>
  <c r="E37" i="163"/>
  <c r="C37" i="163"/>
  <c r="I38" i="163"/>
  <c r="J38" i="163"/>
  <c r="D38" i="163"/>
  <c r="E38" i="163"/>
  <c r="C38" i="163"/>
  <c r="I39" i="163"/>
  <c r="J39" i="163"/>
  <c r="D39" i="163"/>
  <c r="E39" i="163"/>
  <c r="C39" i="163"/>
  <c r="I40" i="163"/>
  <c r="J40" i="163"/>
  <c r="D40" i="163"/>
  <c r="E40" i="163"/>
  <c r="C40" i="163"/>
  <c r="I41" i="163"/>
  <c r="J41" i="163"/>
  <c r="D41" i="163"/>
  <c r="E41" i="163"/>
  <c r="C41" i="163"/>
  <c r="I42" i="163"/>
  <c r="D42" i="163"/>
  <c r="J42" i="163"/>
  <c r="E42" i="163"/>
  <c r="C42" i="163"/>
  <c r="I43" i="163"/>
  <c r="D43" i="163"/>
  <c r="J43" i="163"/>
  <c r="E43" i="163"/>
  <c r="C43" i="163"/>
  <c r="I44" i="163"/>
  <c r="D44" i="163"/>
  <c r="J44" i="163"/>
  <c r="E44" i="163"/>
  <c r="C44" i="163"/>
  <c r="I45" i="163"/>
  <c r="D45" i="163"/>
  <c r="J45" i="163"/>
  <c r="E45" i="163"/>
  <c r="C45" i="163"/>
  <c r="I46" i="163"/>
  <c r="D46" i="163"/>
  <c r="J46" i="163"/>
  <c r="E46" i="163"/>
  <c r="C46" i="163"/>
  <c r="I47" i="163"/>
  <c r="D47" i="163"/>
  <c r="J47" i="163"/>
  <c r="E47" i="163"/>
  <c r="C47" i="163"/>
  <c r="I48" i="163"/>
  <c r="D48" i="163"/>
  <c r="J48" i="163"/>
  <c r="E48" i="163"/>
  <c r="C48" i="163"/>
  <c r="I49" i="163"/>
  <c r="D49" i="163"/>
  <c r="J49" i="163"/>
  <c r="E49" i="163"/>
  <c r="C49" i="163"/>
  <c r="I50" i="163"/>
  <c r="D50" i="163"/>
  <c r="J50" i="163"/>
  <c r="E50" i="163"/>
  <c r="C50" i="163"/>
  <c r="I51" i="163"/>
  <c r="D51" i="163"/>
  <c r="J51" i="163"/>
  <c r="E51" i="163"/>
  <c r="C51" i="163"/>
  <c r="I52" i="163"/>
  <c r="D52" i="163"/>
  <c r="J52" i="163"/>
  <c r="E52" i="163"/>
  <c r="C52" i="163"/>
  <c r="I53" i="163"/>
  <c r="D53" i="163"/>
  <c r="J53" i="163"/>
  <c r="E53" i="163"/>
  <c r="C53" i="163"/>
  <c r="I54" i="163"/>
  <c r="D54" i="163"/>
  <c r="J54" i="163"/>
  <c r="E54" i="163"/>
  <c r="C54" i="163"/>
  <c r="I55" i="163"/>
  <c r="D55" i="163"/>
  <c r="J55" i="163"/>
  <c r="E55" i="163"/>
  <c r="C55" i="163"/>
  <c r="I56" i="163"/>
  <c r="D56" i="163"/>
  <c r="J56" i="163"/>
  <c r="E56" i="163"/>
  <c r="C56" i="163"/>
  <c r="I57" i="163"/>
  <c r="D57" i="163"/>
  <c r="J57" i="163"/>
  <c r="E57" i="163"/>
  <c r="C57" i="163"/>
  <c r="I58" i="163"/>
  <c r="D58" i="163"/>
  <c r="J58" i="163"/>
  <c r="E58" i="163"/>
  <c r="C58" i="163"/>
  <c r="I59" i="163"/>
  <c r="D59" i="163"/>
  <c r="J59" i="163"/>
  <c r="E59" i="163"/>
  <c r="C59" i="163"/>
  <c r="I60" i="163"/>
  <c r="D60" i="163"/>
  <c r="J60" i="163"/>
  <c r="E60" i="163"/>
  <c r="C60" i="163"/>
  <c r="I61" i="163"/>
  <c r="D61" i="163"/>
  <c r="J61" i="163"/>
  <c r="E61" i="163"/>
  <c r="C61" i="163"/>
  <c r="I62" i="163"/>
  <c r="D62" i="163"/>
  <c r="J62" i="163"/>
  <c r="E62" i="163"/>
  <c r="C62" i="163"/>
  <c r="I63" i="163"/>
  <c r="D63" i="163"/>
  <c r="J63" i="163"/>
  <c r="E63" i="163"/>
  <c r="C63" i="163"/>
  <c r="I64" i="163"/>
  <c r="D64" i="163"/>
  <c r="J64" i="163"/>
  <c r="E64" i="163"/>
  <c r="C64" i="163"/>
  <c r="I65" i="163"/>
  <c r="D65" i="163"/>
  <c r="J65" i="163"/>
  <c r="E65" i="163"/>
  <c r="C65" i="163"/>
  <c r="I66" i="163"/>
  <c r="D66" i="163"/>
  <c r="J66" i="163"/>
  <c r="E66" i="163"/>
  <c r="C66" i="163"/>
  <c r="I67" i="163"/>
  <c r="D67" i="163"/>
  <c r="J67" i="163"/>
  <c r="E67" i="163"/>
  <c r="C67" i="163"/>
  <c r="I68" i="163"/>
  <c r="D68" i="163"/>
  <c r="J68" i="163"/>
  <c r="E68" i="163"/>
  <c r="C68" i="163"/>
  <c r="I69" i="163"/>
  <c r="D69" i="163"/>
  <c r="J69" i="163"/>
  <c r="E69" i="163"/>
  <c r="C69" i="163"/>
  <c r="I70" i="163"/>
  <c r="D70" i="163"/>
  <c r="J70" i="163"/>
  <c r="E70" i="163"/>
  <c r="C70" i="163"/>
  <c r="I71" i="163"/>
  <c r="D71" i="163"/>
  <c r="J71" i="163"/>
  <c r="E71" i="163"/>
  <c r="C71" i="163"/>
  <c r="I72" i="163"/>
  <c r="D72" i="163"/>
  <c r="J72" i="163"/>
  <c r="E72" i="163"/>
  <c r="C72" i="163"/>
  <c r="I73" i="163"/>
  <c r="D73" i="163"/>
  <c r="J73" i="163"/>
  <c r="E73" i="163"/>
  <c r="C73" i="163"/>
  <c r="I74" i="163"/>
  <c r="D74" i="163"/>
  <c r="J74" i="163"/>
  <c r="E74" i="163"/>
  <c r="C74" i="163"/>
  <c r="I75" i="163"/>
  <c r="D75" i="163"/>
  <c r="J75" i="163"/>
  <c r="E75" i="163"/>
  <c r="C75" i="163"/>
  <c r="I76" i="163"/>
  <c r="D76" i="163"/>
  <c r="J76" i="163"/>
  <c r="E76" i="163"/>
  <c r="C76" i="163"/>
  <c r="I77" i="163"/>
  <c r="D77" i="163"/>
  <c r="J77" i="163"/>
  <c r="E77" i="163"/>
  <c r="C77" i="163"/>
  <c r="I78" i="163"/>
  <c r="D78" i="163"/>
  <c r="J78" i="163"/>
  <c r="E78" i="163"/>
  <c r="C78" i="163"/>
  <c r="I79" i="163"/>
  <c r="D79" i="163"/>
  <c r="J79" i="163"/>
  <c r="E79" i="163"/>
  <c r="C79" i="163"/>
  <c r="I80" i="163"/>
  <c r="D80" i="163"/>
  <c r="J80" i="163"/>
  <c r="E80" i="163"/>
  <c r="C80" i="163"/>
  <c r="I81" i="163"/>
  <c r="D81" i="163"/>
  <c r="J81" i="163"/>
  <c r="E81" i="163"/>
  <c r="C81" i="163"/>
  <c r="I82" i="163"/>
  <c r="D82" i="163"/>
  <c r="J82" i="163"/>
  <c r="E82" i="163"/>
  <c r="C82" i="163"/>
  <c r="I83" i="163"/>
  <c r="D83" i="163"/>
  <c r="J83" i="163"/>
  <c r="E83" i="163"/>
  <c r="C83" i="163"/>
  <c r="I84" i="163"/>
  <c r="D84" i="163"/>
  <c r="J84" i="163"/>
  <c r="E84" i="163"/>
  <c r="C84" i="163"/>
  <c r="I85" i="163"/>
  <c r="D85" i="163"/>
  <c r="J85" i="163"/>
  <c r="E85" i="163"/>
  <c r="C85" i="163"/>
  <c r="I86" i="163"/>
  <c r="D86" i="163"/>
  <c r="J86" i="163"/>
  <c r="E86" i="163"/>
  <c r="C86" i="163"/>
  <c r="I87" i="163"/>
  <c r="D87" i="163"/>
  <c r="J87" i="163"/>
  <c r="E87" i="163"/>
  <c r="C87" i="163"/>
  <c r="I88" i="163"/>
  <c r="D88" i="163"/>
  <c r="J88" i="163"/>
  <c r="E88" i="163"/>
  <c r="C88" i="163"/>
  <c r="I89" i="163"/>
  <c r="D89" i="163"/>
  <c r="J89" i="163"/>
  <c r="E89" i="163"/>
  <c r="C89" i="163"/>
  <c r="I90" i="163"/>
  <c r="D90" i="163"/>
  <c r="J90" i="163"/>
  <c r="E90" i="163"/>
  <c r="C90" i="163"/>
  <c r="I91" i="163"/>
  <c r="D91" i="163"/>
  <c r="J91" i="163"/>
  <c r="E91" i="163"/>
  <c r="C91" i="163"/>
  <c r="I92" i="163"/>
  <c r="D92" i="163"/>
  <c r="J92" i="163"/>
  <c r="E92" i="163"/>
  <c r="C92" i="163"/>
  <c r="I93" i="163"/>
  <c r="D93" i="163"/>
  <c r="J93" i="163"/>
  <c r="E93" i="163"/>
  <c r="C93" i="163"/>
  <c r="I94" i="163"/>
  <c r="D94" i="163"/>
  <c r="J94" i="163"/>
  <c r="E94" i="163"/>
  <c r="C94" i="163"/>
  <c r="I95" i="163"/>
  <c r="D95" i="163"/>
  <c r="J95" i="163"/>
  <c r="E95" i="163"/>
  <c r="C95" i="163"/>
  <c r="I96" i="163"/>
  <c r="D96" i="163"/>
  <c r="J96" i="163"/>
  <c r="E96" i="163"/>
  <c r="C96" i="163"/>
  <c r="I97" i="163"/>
  <c r="D97" i="163"/>
  <c r="J97" i="163"/>
  <c r="E97" i="163"/>
  <c r="C97" i="163"/>
  <c r="I98" i="163"/>
  <c r="D98" i="163"/>
  <c r="J98" i="163"/>
  <c r="E98" i="163"/>
  <c r="C98" i="163"/>
  <c r="I99" i="163"/>
  <c r="D99" i="163"/>
  <c r="J99" i="163"/>
  <c r="E99" i="163"/>
  <c r="C99" i="163"/>
  <c r="I100" i="163"/>
  <c r="D100" i="163"/>
  <c r="J100" i="163"/>
  <c r="E100" i="163"/>
  <c r="C100" i="163"/>
  <c r="I101" i="163"/>
  <c r="D101" i="163"/>
  <c r="J101" i="163"/>
  <c r="E101" i="163"/>
  <c r="C101" i="163"/>
  <c r="I102" i="163"/>
  <c r="D102" i="163"/>
  <c r="J102" i="163"/>
  <c r="E102" i="163"/>
  <c r="C102" i="163"/>
  <c r="I103" i="163"/>
  <c r="D103" i="163"/>
  <c r="J103" i="163"/>
  <c r="E103" i="163"/>
  <c r="C103" i="163"/>
  <c r="I104" i="163"/>
  <c r="D104" i="163"/>
  <c r="J104" i="163"/>
  <c r="E104" i="163"/>
  <c r="C104" i="163"/>
  <c r="I105" i="163"/>
  <c r="D105" i="163"/>
  <c r="J105" i="163"/>
  <c r="E105" i="163"/>
  <c r="C105" i="163"/>
  <c r="I106" i="163"/>
  <c r="D106" i="163"/>
  <c r="J106" i="163"/>
  <c r="E106" i="163"/>
  <c r="C106" i="163"/>
  <c r="I107" i="163"/>
  <c r="D107" i="163"/>
  <c r="J107" i="163"/>
  <c r="E107" i="163"/>
  <c r="C107" i="163"/>
  <c r="I108" i="163"/>
  <c r="D108" i="163"/>
  <c r="J108" i="163"/>
  <c r="E108" i="163"/>
  <c r="C108" i="163"/>
  <c r="I109" i="163"/>
  <c r="D109" i="163"/>
  <c r="J109" i="163"/>
  <c r="E109" i="163"/>
  <c r="C109" i="163"/>
  <c r="I110" i="163"/>
  <c r="D110" i="163"/>
  <c r="J110" i="163"/>
  <c r="E110" i="163"/>
  <c r="C110" i="163"/>
  <c r="I111" i="163"/>
  <c r="D111" i="163"/>
  <c r="J111" i="163"/>
  <c r="E111" i="163"/>
  <c r="C111" i="163"/>
  <c r="I112" i="163"/>
  <c r="D112" i="163"/>
  <c r="J112" i="163"/>
  <c r="E112" i="163"/>
  <c r="C112" i="163"/>
  <c r="I113" i="163"/>
  <c r="D113" i="163"/>
  <c r="J113" i="163"/>
  <c r="E113" i="163"/>
  <c r="C113" i="163"/>
  <c r="I114" i="163"/>
  <c r="D114" i="163"/>
  <c r="J114" i="163"/>
  <c r="E114" i="163"/>
  <c r="C114" i="163"/>
  <c r="I115" i="163"/>
  <c r="D115" i="163"/>
  <c r="J115" i="163"/>
  <c r="E115" i="163"/>
  <c r="C115" i="163"/>
  <c r="I116" i="163"/>
  <c r="D116" i="163"/>
  <c r="J116" i="163"/>
  <c r="E116" i="163"/>
  <c r="C116" i="163"/>
  <c r="I117" i="163"/>
  <c r="D117" i="163"/>
  <c r="J117" i="163"/>
  <c r="E117" i="163"/>
  <c r="C117" i="163"/>
  <c r="I118" i="163"/>
  <c r="D118" i="163"/>
  <c r="J118" i="163"/>
  <c r="E118" i="163"/>
  <c r="C118" i="163"/>
  <c r="I119" i="163"/>
  <c r="D119" i="163"/>
  <c r="J119" i="163"/>
  <c r="E119" i="163"/>
  <c r="C119" i="163"/>
  <c r="I120" i="163"/>
  <c r="D120" i="163"/>
  <c r="J120" i="163"/>
  <c r="E120" i="163"/>
  <c r="C120" i="163"/>
  <c r="I121" i="163"/>
  <c r="D121" i="163"/>
  <c r="J121" i="163"/>
  <c r="E121" i="163"/>
  <c r="C121" i="163"/>
  <c r="I122" i="163"/>
  <c r="D122" i="163"/>
  <c r="J122" i="163"/>
  <c r="E122" i="163"/>
  <c r="C122" i="163"/>
  <c r="I123" i="163"/>
  <c r="D123" i="163"/>
  <c r="J123" i="163"/>
  <c r="E123" i="163"/>
  <c r="C123" i="163"/>
  <c r="I124" i="163"/>
  <c r="D124" i="163"/>
  <c r="J124" i="163"/>
  <c r="E124" i="163"/>
  <c r="C124" i="163"/>
  <c r="I125" i="163"/>
  <c r="D125" i="163"/>
  <c r="J125" i="163"/>
  <c r="E125" i="163"/>
  <c r="C125" i="163"/>
  <c r="I126" i="163"/>
  <c r="D126" i="163"/>
  <c r="J126" i="163"/>
  <c r="E126" i="163"/>
  <c r="C126" i="163"/>
  <c r="I127" i="163"/>
  <c r="D127" i="163"/>
  <c r="J127" i="163"/>
  <c r="E127" i="163"/>
  <c r="C127" i="163"/>
  <c r="I128" i="163"/>
  <c r="D128" i="163"/>
  <c r="J128" i="163"/>
  <c r="E128" i="163"/>
  <c r="C128" i="163"/>
  <c r="I129" i="163"/>
  <c r="D129" i="163"/>
  <c r="J129" i="163"/>
  <c r="E129" i="163"/>
  <c r="C129" i="163"/>
  <c r="I130" i="163"/>
  <c r="D130" i="163"/>
  <c r="J130" i="163"/>
  <c r="E130" i="163"/>
  <c r="C130" i="163"/>
  <c r="I131" i="163"/>
  <c r="D131" i="163"/>
  <c r="J131" i="163"/>
  <c r="E131" i="163"/>
  <c r="C131" i="163"/>
  <c r="I132" i="163"/>
  <c r="D132" i="163"/>
  <c r="J132" i="163"/>
  <c r="E132" i="163"/>
  <c r="C132" i="163"/>
  <c r="I133" i="163"/>
  <c r="D133" i="163"/>
  <c r="J133" i="163"/>
  <c r="E133" i="163"/>
  <c r="C133" i="163"/>
  <c r="I134" i="163"/>
  <c r="D134" i="163"/>
  <c r="J134" i="163"/>
  <c r="E134" i="163"/>
  <c r="C134" i="163"/>
  <c r="I135" i="163"/>
  <c r="D135" i="163"/>
  <c r="J135" i="163"/>
  <c r="E135" i="163"/>
  <c r="C135" i="163"/>
  <c r="I136" i="163"/>
  <c r="D136" i="163"/>
  <c r="J136" i="163"/>
  <c r="E136" i="163"/>
  <c r="C136" i="163"/>
  <c r="I137" i="163"/>
  <c r="D137" i="163"/>
  <c r="J137" i="163"/>
  <c r="E137" i="163"/>
  <c r="C137" i="163"/>
  <c r="I138" i="163"/>
  <c r="D138" i="163"/>
  <c r="J138" i="163"/>
  <c r="E138" i="163"/>
  <c r="C138" i="163"/>
  <c r="I139" i="163"/>
  <c r="D139" i="163"/>
  <c r="J139" i="163"/>
  <c r="E139" i="163"/>
  <c r="C139" i="163"/>
  <c r="I140" i="163"/>
  <c r="D140" i="163"/>
  <c r="J140" i="163"/>
  <c r="E140" i="163"/>
  <c r="C140" i="163"/>
  <c r="I141" i="163"/>
  <c r="D141" i="163"/>
  <c r="J141" i="163"/>
  <c r="E141" i="163"/>
  <c r="C141" i="163"/>
  <c r="I142" i="163"/>
  <c r="D142" i="163"/>
  <c r="J142" i="163"/>
  <c r="E142" i="163"/>
  <c r="C142" i="163"/>
  <c r="I143" i="163"/>
  <c r="D143" i="163"/>
  <c r="J143" i="163"/>
  <c r="E143" i="163"/>
  <c r="C143" i="163"/>
  <c r="I144" i="163"/>
  <c r="D144" i="163"/>
  <c r="J144" i="163"/>
  <c r="E144" i="163"/>
  <c r="C144" i="163"/>
  <c r="I145" i="163"/>
  <c r="D145" i="163"/>
  <c r="J145" i="163"/>
  <c r="E145" i="163"/>
  <c r="C145" i="163"/>
  <c r="I146" i="163"/>
  <c r="D146" i="163"/>
  <c r="J146" i="163"/>
  <c r="E146" i="163"/>
  <c r="C146" i="163"/>
  <c r="I147" i="163"/>
  <c r="D147" i="163"/>
  <c r="J147" i="163"/>
  <c r="E147" i="163"/>
  <c r="C147" i="163"/>
  <c r="I148" i="163"/>
  <c r="D148" i="163"/>
  <c r="J148" i="163"/>
  <c r="E148" i="163"/>
  <c r="C148" i="163"/>
  <c r="I149" i="163"/>
  <c r="D149" i="163"/>
  <c r="J149" i="163"/>
  <c r="E149" i="163"/>
  <c r="C149" i="163"/>
  <c r="I150" i="163"/>
  <c r="D150" i="163"/>
  <c r="J150" i="163"/>
  <c r="E150" i="163"/>
  <c r="C150" i="163"/>
  <c r="I151" i="163"/>
  <c r="D151" i="163"/>
  <c r="J151" i="163"/>
  <c r="E151" i="163"/>
  <c r="C151" i="163"/>
  <c r="I152" i="163"/>
  <c r="D152" i="163"/>
  <c r="J152" i="163"/>
  <c r="E152" i="163"/>
  <c r="C152" i="163"/>
  <c r="I153" i="163"/>
  <c r="D153" i="163"/>
  <c r="J153" i="163"/>
  <c r="E153" i="163"/>
  <c r="C153" i="163"/>
  <c r="I154" i="163"/>
  <c r="D154" i="163"/>
  <c r="J154" i="163"/>
  <c r="E154" i="163"/>
  <c r="C154" i="163"/>
  <c r="I155" i="163"/>
  <c r="D155" i="163"/>
  <c r="J155" i="163"/>
  <c r="E155" i="163"/>
  <c r="C155" i="163"/>
  <c r="I156" i="163"/>
  <c r="D156" i="163"/>
  <c r="J156" i="163"/>
  <c r="E156" i="163"/>
  <c r="C156" i="163"/>
  <c r="I157" i="163"/>
  <c r="D157" i="163"/>
  <c r="J157" i="163"/>
  <c r="E157" i="163"/>
  <c r="C157" i="163"/>
  <c r="I158" i="163"/>
  <c r="D158" i="163"/>
  <c r="J158" i="163"/>
  <c r="E158" i="163"/>
  <c r="C158" i="163"/>
  <c r="I159" i="163"/>
  <c r="D159" i="163"/>
  <c r="J159" i="163"/>
  <c r="E159" i="163"/>
  <c r="C159" i="163"/>
  <c r="I160" i="163"/>
  <c r="D160" i="163"/>
  <c r="J160" i="163"/>
  <c r="E160" i="163"/>
  <c r="C160" i="163"/>
  <c r="I161" i="163"/>
  <c r="D161" i="163"/>
  <c r="J161" i="163"/>
  <c r="E161" i="163"/>
  <c r="C161" i="163"/>
  <c r="I162" i="163"/>
  <c r="D162" i="163"/>
  <c r="J162" i="163"/>
  <c r="E162" i="163"/>
  <c r="C162" i="163"/>
  <c r="I163" i="163"/>
  <c r="D163" i="163"/>
  <c r="J163" i="163"/>
  <c r="E163" i="163"/>
  <c r="C163" i="163"/>
  <c r="I164" i="163"/>
  <c r="D164" i="163"/>
  <c r="J164" i="163"/>
  <c r="E164" i="163"/>
  <c r="C164" i="163"/>
  <c r="I165" i="163"/>
  <c r="D165" i="163"/>
  <c r="J165" i="163"/>
  <c r="E165" i="163"/>
  <c r="C165" i="163"/>
  <c r="I166" i="163"/>
  <c r="D166" i="163"/>
  <c r="J166" i="163"/>
  <c r="E166" i="163"/>
  <c r="C166" i="163"/>
  <c r="I167" i="163"/>
  <c r="D167" i="163"/>
  <c r="J167" i="163"/>
  <c r="E167" i="163"/>
  <c r="C167" i="163"/>
  <c r="I168" i="163"/>
  <c r="D168" i="163"/>
  <c r="J168" i="163"/>
  <c r="E168" i="163"/>
  <c r="C168" i="163"/>
  <c r="I169" i="163"/>
  <c r="D169" i="163"/>
  <c r="J169" i="163"/>
  <c r="E169" i="163"/>
  <c r="C169" i="163"/>
  <c r="I170" i="163"/>
  <c r="D170" i="163"/>
  <c r="J170" i="163"/>
  <c r="E170" i="163"/>
  <c r="C170" i="163"/>
  <c r="I171" i="163"/>
  <c r="D171" i="163"/>
  <c r="J171" i="163"/>
  <c r="E171" i="163"/>
  <c r="C171" i="163"/>
  <c r="I172" i="163"/>
  <c r="D172" i="163"/>
  <c r="J172" i="163"/>
  <c r="E172" i="163"/>
  <c r="C172" i="163"/>
  <c r="I173" i="163"/>
  <c r="D173" i="163"/>
  <c r="J173" i="163"/>
  <c r="E173" i="163"/>
  <c r="C173" i="163"/>
  <c r="I174" i="163"/>
  <c r="D174" i="163"/>
  <c r="J174" i="163"/>
  <c r="E174" i="163"/>
  <c r="C174" i="163"/>
  <c r="I175" i="163"/>
  <c r="D175" i="163"/>
  <c r="J175" i="163"/>
  <c r="E175" i="163"/>
  <c r="C175" i="163"/>
  <c r="I176" i="163"/>
  <c r="D176" i="163"/>
  <c r="J176" i="163"/>
  <c r="E176" i="163"/>
  <c r="C176" i="163"/>
  <c r="I177" i="163"/>
  <c r="D177" i="163"/>
  <c r="J177" i="163"/>
  <c r="E177" i="163"/>
  <c r="C177" i="163"/>
  <c r="I178" i="163"/>
  <c r="D178" i="163"/>
  <c r="J178" i="163"/>
  <c r="E178" i="163"/>
  <c r="C178" i="163"/>
  <c r="I179" i="163"/>
  <c r="D179" i="163"/>
  <c r="J179" i="163"/>
  <c r="E179" i="163"/>
  <c r="C179" i="163"/>
  <c r="I180" i="163"/>
  <c r="D180" i="163"/>
  <c r="J180" i="163"/>
  <c r="E180" i="163"/>
  <c r="C180" i="163"/>
  <c r="I181" i="163"/>
  <c r="D181" i="163"/>
  <c r="J181" i="163"/>
  <c r="E181" i="163"/>
  <c r="C181" i="163"/>
  <c r="I182" i="163"/>
  <c r="D182" i="163"/>
  <c r="J182" i="163"/>
  <c r="E182" i="163"/>
  <c r="C182" i="163"/>
  <c r="I183" i="163"/>
  <c r="D183" i="163"/>
  <c r="J183" i="163"/>
  <c r="E183" i="163"/>
  <c r="C183" i="163"/>
  <c r="I184" i="163"/>
  <c r="D184" i="163"/>
  <c r="J184" i="163"/>
  <c r="E184" i="163"/>
  <c r="C184" i="163"/>
  <c r="I185" i="163"/>
  <c r="D185" i="163"/>
  <c r="J185" i="163"/>
  <c r="E185" i="163"/>
  <c r="C185" i="163"/>
  <c r="I186" i="163"/>
  <c r="D186" i="163"/>
  <c r="J186" i="163"/>
  <c r="E186" i="163"/>
  <c r="C186" i="163"/>
  <c r="I187" i="163"/>
  <c r="D187" i="163"/>
  <c r="J187" i="163"/>
  <c r="E187" i="163"/>
  <c r="C187" i="163"/>
  <c r="I188" i="163"/>
  <c r="D188" i="163"/>
  <c r="J188" i="163"/>
  <c r="E188" i="163"/>
  <c r="C188" i="163"/>
  <c r="I189" i="163"/>
  <c r="D189" i="163"/>
  <c r="J189" i="163"/>
  <c r="E189" i="163"/>
  <c r="C189" i="163"/>
  <c r="I190" i="163"/>
  <c r="D190" i="163"/>
  <c r="J190" i="163"/>
  <c r="E190" i="163"/>
  <c r="C190" i="163"/>
  <c r="I191" i="163"/>
  <c r="D191" i="163"/>
  <c r="J191" i="163"/>
  <c r="E191" i="163"/>
  <c r="C191" i="163"/>
  <c r="I192" i="163"/>
  <c r="D192" i="163"/>
  <c r="J192" i="163"/>
  <c r="E192" i="163"/>
  <c r="C192" i="163"/>
  <c r="I193" i="163"/>
  <c r="D193" i="163"/>
  <c r="J193" i="163"/>
  <c r="E193" i="163"/>
  <c r="C193" i="163"/>
  <c r="I194" i="163"/>
  <c r="D194" i="163"/>
  <c r="J194" i="163"/>
  <c r="E194" i="163"/>
  <c r="C194" i="163"/>
  <c r="I195" i="163"/>
  <c r="D195" i="163"/>
  <c r="J195" i="163"/>
  <c r="E195" i="163"/>
  <c r="C195" i="163"/>
  <c r="I196" i="163"/>
  <c r="D196" i="163"/>
  <c r="J196" i="163"/>
  <c r="E196" i="163"/>
  <c r="C196" i="163"/>
  <c r="I197" i="163"/>
  <c r="D197" i="163"/>
  <c r="J197" i="163"/>
  <c r="E197" i="163"/>
  <c r="C197" i="163"/>
  <c r="I198" i="163"/>
  <c r="D198" i="163"/>
  <c r="J198" i="163"/>
  <c r="E198" i="163"/>
  <c r="C198" i="163"/>
  <c r="I199" i="163"/>
  <c r="D199" i="163"/>
  <c r="J199" i="163"/>
  <c r="E199" i="163"/>
  <c r="C199" i="163"/>
  <c r="I200" i="163"/>
  <c r="D200" i="163"/>
  <c r="J200" i="163"/>
  <c r="E200" i="163"/>
  <c r="C200" i="163"/>
  <c r="I201" i="163"/>
  <c r="D201" i="163"/>
  <c r="J201" i="163"/>
  <c r="E201" i="163"/>
  <c r="C201" i="163"/>
  <c r="I202" i="163"/>
  <c r="D202" i="163"/>
  <c r="J202" i="163"/>
  <c r="E202" i="163"/>
  <c r="C202" i="163"/>
  <c r="I203" i="163"/>
  <c r="D203" i="163"/>
  <c r="J203" i="163"/>
  <c r="E203" i="163"/>
  <c r="C203" i="163"/>
  <c r="I204" i="163"/>
  <c r="D204" i="163"/>
  <c r="J204" i="163"/>
  <c r="E204" i="163"/>
  <c r="C204" i="163"/>
  <c r="I205" i="163"/>
  <c r="D205" i="163"/>
  <c r="J205" i="163"/>
  <c r="E205" i="163"/>
  <c r="C205" i="163"/>
  <c r="I206" i="163"/>
  <c r="D206" i="163"/>
  <c r="J206" i="163"/>
  <c r="E206" i="163"/>
  <c r="C206" i="163"/>
  <c r="I207" i="163"/>
  <c r="D207" i="163"/>
  <c r="J207" i="163"/>
  <c r="E207" i="163"/>
  <c r="C207" i="163"/>
  <c r="I208" i="163"/>
  <c r="D208" i="163"/>
  <c r="J208" i="163"/>
  <c r="E208" i="163"/>
  <c r="C208" i="163"/>
  <c r="I209" i="163"/>
  <c r="D209" i="163"/>
  <c r="J209" i="163"/>
  <c r="E209" i="163"/>
  <c r="C209" i="163"/>
  <c r="I210" i="163"/>
  <c r="D210" i="163"/>
  <c r="J210" i="163"/>
  <c r="E210" i="163"/>
  <c r="C210" i="163"/>
  <c r="I211" i="163"/>
  <c r="D211" i="163"/>
  <c r="J211" i="163"/>
  <c r="E211" i="163"/>
  <c r="C211" i="163"/>
  <c r="I212" i="163"/>
  <c r="D212" i="163"/>
  <c r="J212" i="163"/>
  <c r="E212" i="163"/>
  <c r="C212" i="163"/>
  <c r="I213" i="163"/>
  <c r="D213" i="163"/>
  <c r="J213" i="163"/>
  <c r="E213" i="163"/>
  <c r="C213" i="163"/>
  <c r="I214" i="163"/>
  <c r="D214" i="163"/>
  <c r="J214" i="163"/>
  <c r="E214" i="163"/>
  <c r="C214" i="163"/>
  <c r="I215" i="163"/>
  <c r="J215" i="163"/>
  <c r="D215" i="163"/>
  <c r="E215" i="163"/>
  <c r="C215" i="163"/>
  <c r="I216" i="163"/>
  <c r="J216" i="163"/>
  <c r="D216" i="163"/>
  <c r="E216" i="163"/>
  <c r="C216" i="163"/>
  <c r="I217" i="163"/>
  <c r="J217" i="163"/>
  <c r="D217" i="163"/>
  <c r="E217" i="163"/>
  <c r="C217" i="163"/>
  <c r="I218" i="163"/>
  <c r="J218" i="163"/>
  <c r="D218" i="163"/>
  <c r="E218" i="163"/>
  <c r="C218" i="163"/>
  <c r="I219" i="163"/>
  <c r="J219" i="163"/>
  <c r="D219" i="163"/>
  <c r="E219" i="163"/>
  <c r="C219" i="163"/>
  <c r="I220" i="163"/>
  <c r="J220" i="163"/>
  <c r="D220" i="163"/>
  <c r="E220" i="163"/>
  <c r="C220" i="163"/>
  <c r="I221" i="163"/>
  <c r="D221" i="163"/>
  <c r="J221" i="163"/>
  <c r="E221" i="163"/>
  <c r="C221" i="163"/>
  <c r="I222" i="163"/>
  <c r="D222" i="163"/>
  <c r="J222" i="163"/>
  <c r="E222" i="163"/>
  <c r="C222" i="163"/>
  <c r="I223" i="163"/>
  <c r="D223" i="163"/>
  <c r="J223" i="163"/>
  <c r="E223" i="163"/>
  <c r="C223" i="163"/>
  <c r="I224" i="163"/>
  <c r="D224" i="163"/>
  <c r="J224" i="163"/>
  <c r="E224" i="163"/>
  <c r="C224" i="163"/>
  <c r="I225" i="163"/>
  <c r="D225" i="163"/>
  <c r="J225" i="163"/>
  <c r="E225" i="163"/>
  <c r="C225" i="163"/>
  <c r="I226" i="163"/>
  <c r="D226" i="163"/>
  <c r="J226" i="163"/>
  <c r="E226" i="163"/>
  <c r="C226" i="163"/>
  <c r="I227" i="163"/>
  <c r="D227" i="163"/>
  <c r="J227" i="163"/>
  <c r="E227" i="163"/>
  <c r="C227" i="163"/>
  <c r="I228" i="163"/>
  <c r="D228" i="163"/>
  <c r="J228" i="163"/>
  <c r="E228" i="163"/>
  <c r="C228" i="163"/>
  <c r="I229" i="163"/>
  <c r="D229" i="163"/>
  <c r="J229" i="163"/>
  <c r="E229" i="163"/>
  <c r="C229" i="163"/>
  <c r="I230" i="163"/>
  <c r="D230" i="163"/>
  <c r="J230" i="163"/>
  <c r="E230" i="163"/>
  <c r="C230" i="163"/>
  <c r="I231" i="163"/>
  <c r="D231" i="163"/>
  <c r="J231" i="163"/>
  <c r="E231" i="163"/>
  <c r="C231" i="163"/>
  <c r="I232" i="163"/>
  <c r="D232" i="163"/>
  <c r="J232" i="163"/>
  <c r="E232" i="163"/>
  <c r="C232" i="163"/>
  <c r="I233" i="163"/>
  <c r="D233" i="163"/>
  <c r="J233" i="163"/>
  <c r="E233" i="163"/>
  <c r="C233" i="163"/>
  <c r="I234" i="163"/>
  <c r="D234" i="163"/>
  <c r="J234" i="163"/>
  <c r="E234" i="163"/>
  <c r="C234" i="163"/>
  <c r="I235" i="163"/>
  <c r="D235" i="163"/>
  <c r="J235" i="163"/>
  <c r="E235" i="163"/>
  <c r="C235" i="163"/>
  <c r="I236" i="163"/>
  <c r="D236" i="163"/>
  <c r="J236" i="163"/>
  <c r="E236" i="163"/>
  <c r="C236" i="163"/>
  <c r="I237" i="163"/>
  <c r="D237" i="163"/>
  <c r="J237" i="163"/>
  <c r="E237" i="163"/>
  <c r="C237" i="163"/>
  <c r="I238" i="163"/>
  <c r="D238" i="163"/>
  <c r="J238" i="163"/>
  <c r="E238" i="163"/>
  <c r="C238" i="163"/>
  <c r="I239" i="163"/>
  <c r="D239" i="163"/>
  <c r="J239" i="163"/>
  <c r="E239" i="163"/>
  <c r="C239" i="163"/>
  <c r="I240" i="163"/>
  <c r="D240" i="163"/>
  <c r="J240" i="163"/>
  <c r="E240" i="163"/>
  <c r="C240" i="163"/>
  <c r="I241" i="163"/>
  <c r="D241" i="163"/>
  <c r="J241" i="163"/>
  <c r="E241" i="163"/>
  <c r="C241" i="163"/>
  <c r="I242" i="163"/>
  <c r="D242" i="163"/>
  <c r="J242" i="163"/>
  <c r="E242" i="163"/>
  <c r="C242" i="163"/>
  <c r="I243" i="163"/>
  <c r="D243" i="163"/>
  <c r="J243" i="163"/>
  <c r="E243" i="163"/>
  <c r="C243" i="163"/>
  <c r="I244" i="163"/>
  <c r="D244" i="163"/>
  <c r="J244" i="163"/>
  <c r="E244" i="163"/>
  <c r="C244" i="163"/>
  <c r="I245" i="163"/>
  <c r="D245" i="163"/>
  <c r="J245" i="163"/>
  <c r="E245" i="163"/>
  <c r="C245" i="163"/>
  <c r="I246" i="163"/>
  <c r="D246" i="163"/>
  <c r="J246" i="163"/>
  <c r="E246" i="163"/>
  <c r="C246" i="163"/>
  <c r="I247" i="163"/>
  <c r="D247" i="163"/>
  <c r="J247" i="163"/>
  <c r="E247" i="163"/>
  <c r="C247" i="163"/>
  <c r="I248" i="163"/>
  <c r="D248" i="163"/>
  <c r="J248" i="163"/>
  <c r="E248" i="163"/>
  <c r="C248" i="163"/>
  <c r="I249" i="163"/>
  <c r="D249" i="163"/>
  <c r="J249" i="163"/>
  <c r="E249" i="163"/>
  <c r="C249" i="163"/>
  <c r="I250" i="163"/>
  <c r="D250" i="163"/>
  <c r="J250" i="163"/>
  <c r="E250" i="163"/>
  <c r="C250" i="163"/>
  <c r="I251" i="163"/>
  <c r="D251" i="163"/>
  <c r="J251" i="163"/>
  <c r="E251" i="163"/>
  <c r="C251" i="163"/>
  <c r="I252" i="163"/>
  <c r="D252" i="163"/>
  <c r="J252" i="163"/>
  <c r="E252" i="163"/>
  <c r="C252" i="163"/>
  <c r="I253" i="163"/>
  <c r="D253" i="163"/>
  <c r="J253" i="163"/>
  <c r="E253" i="163"/>
  <c r="C253" i="163"/>
  <c r="I254" i="163"/>
  <c r="D254" i="163"/>
  <c r="J254" i="163"/>
  <c r="E254" i="163"/>
  <c r="C254" i="163"/>
  <c r="I255" i="163"/>
  <c r="D255" i="163"/>
  <c r="J255" i="163"/>
  <c r="E255" i="163"/>
  <c r="C255" i="163"/>
  <c r="I256" i="163"/>
  <c r="D256" i="163"/>
  <c r="J256" i="163"/>
  <c r="E256" i="163"/>
  <c r="C256" i="163"/>
  <c r="I257" i="163"/>
  <c r="D257" i="163"/>
  <c r="J257" i="163"/>
  <c r="E257" i="163"/>
  <c r="C257" i="163"/>
  <c r="I258" i="163"/>
  <c r="D258" i="163"/>
  <c r="J258" i="163"/>
  <c r="E258" i="163"/>
  <c r="C258" i="163"/>
  <c r="I259" i="163"/>
  <c r="D259" i="163"/>
  <c r="J259" i="163"/>
  <c r="E259" i="163"/>
  <c r="C259" i="163"/>
  <c r="I260" i="163"/>
  <c r="D260" i="163"/>
  <c r="J260" i="163"/>
  <c r="E260" i="163"/>
  <c r="C260" i="163"/>
  <c r="I261" i="163"/>
  <c r="D261" i="163"/>
  <c r="J261" i="163"/>
  <c r="E261" i="163"/>
  <c r="C261" i="163"/>
  <c r="I262" i="163"/>
  <c r="D262" i="163"/>
  <c r="J262" i="163"/>
  <c r="E262" i="163"/>
  <c r="C262" i="163"/>
  <c r="I263" i="163"/>
  <c r="D263" i="163"/>
  <c r="J263" i="163"/>
  <c r="E263" i="163"/>
  <c r="C263" i="163"/>
  <c r="I264" i="163"/>
  <c r="D264" i="163"/>
  <c r="J264" i="163"/>
  <c r="E264" i="163"/>
  <c r="C264" i="163"/>
  <c r="I265" i="163"/>
  <c r="D265" i="163"/>
  <c r="J265" i="163"/>
  <c r="E265" i="163"/>
  <c r="C265" i="163"/>
  <c r="I266" i="163"/>
  <c r="D266" i="163"/>
  <c r="J266" i="163"/>
  <c r="E266" i="163"/>
  <c r="C266" i="163"/>
  <c r="I267" i="163"/>
  <c r="D267" i="163"/>
  <c r="J267" i="163"/>
  <c r="E267" i="163"/>
  <c r="C267" i="163"/>
  <c r="I268" i="163"/>
  <c r="D268" i="163"/>
  <c r="J268" i="163"/>
  <c r="E268" i="163"/>
  <c r="C268" i="163"/>
  <c r="I269" i="163"/>
  <c r="D269" i="163"/>
  <c r="J269" i="163"/>
  <c r="E269" i="163"/>
  <c r="C269" i="163"/>
  <c r="I270" i="163"/>
  <c r="D270" i="163"/>
  <c r="J270" i="163"/>
  <c r="E270" i="163"/>
  <c r="C270" i="163"/>
  <c r="I271" i="163"/>
  <c r="D271" i="163"/>
  <c r="J271" i="163"/>
  <c r="E271" i="163"/>
  <c r="C271" i="163"/>
  <c r="I272" i="163"/>
  <c r="D272" i="163"/>
  <c r="J272" i="163"/>
  <c r="E272" i="163"/>
  <c r="C272" i="163"/>
  <c r="I273" i="163"/>
  <c r="D273" i="163"/>
  <c r="J273" i="163"/>
  <c r="E273" i="163"/>
  <c r="C273" i="163"/>
  <c r="I274" i="163"/>
  <c r="D274" i="163"/>
  <c r="J274" i="163"/>
  <c r="E274" i="163"/>
  <c r="C274" i="163"/>
  <c r="I275" i="163"/>
  <c r="D275" i="163"/>
  <c r="J275" i="163"/>
  <c r="E275" i="163"/>
  <c r="C275" i="163"/>
  <c r="I276" i="163"/>
  <c r="D276" i="163"/>
  <c r="J276" i="163"/>
  <c r="E276" i="163"/>
  <c r="C276" i="163"/>
  <c r="I277" i="163"/>
  <c r="D277" i="163"/>
  <c r="J277" i="163"/>
  <c r="E277" i="163"/>
  <c r="C277" i="163"/>
  <c r="I278" i="163"/>
  <c r="D278" i="163"/>
  <c r="J278" i="163"/>
  <c r="E278" i="163"/>
  <c r="C278" i="163"/>
  <c r="I279" i="163"/>
  <c r="D279" i="163"/>
  <c r="J279" i="163"/>
  <c r="E279" i="163"/>
  <c r="C279" i="163"/>
  <c r="I280" i="163"/>
  <c r="D280" i="163"/>
  <c r="J280" i="163"/>
  <c r="E280" i="163"/>
  <c r="C280" i="163"/>
  <c r="I281" i="163"/>
  <c r="D281" i="163"/>
  <c r="J281" i="163"/>
  <c r="E281" i="163"/>
  <c r="C281" i="163"/>
  <c r="I282" i="163"/>
  <c r="D282" i="163"/>
  <c r="J282" i="163"/>
  <c r="E282" i="163"/>
  <c r="C282" i="163"/>
  <c r="I283" i="163"/>
  <c r="D283" i="163"/>
  <c r="J283" i="163"/>
  <c r="E283" i="163"/>
  <c r="C283" i="163"/>
  <c r="I284" i="163"/>
  <c r="D284" i="163"/>
  <c r="J284" i="163"/>
  <c r="E284" i="163"/>
  <c r="C284" i="163"/>
  <c r="I285" i="163"/>
  <c r="D285" i="163"/>
  <c r="J285" i="163"/>
  <c r="E285" i="163"/>
  <c r="C285" i="163"/>
  <c r="I286" i="163"/>
  <c r="D286" i="163"/>
  <c r="J286" i="163"/>
  <c r="E286" i="163"/>
  <c r="C286" i="163"/>
  <c r="I287" i="163"/>
  <c r="D287" i="163"/>
  <c r="J287" i="163"/>
  <c r="E287" i="163"/>
  <c r="C287" i="163"/>
  <c r="I288" i="163"/>
  <c r="D288" i="163"/>
  <c r="J288" i="163"/>
  <c r="E288" i="163"/>
  <c r="C288" i="163"/>
  <c r="I289" i="163"/>
  <c r="D289" i="163"/>
  <c r="J289" i="163"/>
  <c r="E289" i="163"/>
  <c r="C289" i="163"/>
  <c r="I290" i="163"/>
  <c r="D290" i="163"/>
  <c r="J290" i="163"/>
  <c r="E290" i="163"/>
  <c r="C290" i="163"/>
  <c r="I291" i="163"/>
  <c r="D291" i="163"/>
  <c r="J291" i="163"/>
  <c r="E291" i="163"/>
  <c r="C291" i="163"/>
  <c r="I292" i="163"/>
  <c r="D292" i="163"/>
  <c r="J292" i="163"/>
  <c r="E292" i="163"/>
  <c r="C292" i="163"/>
  <c r="I293" i="163"/>
  <c r="D293" i="163"/>
  <c r="J293" i="163"/>
  <c r="E293" i="163"/>
  <c r="C293" i="163"/>
  <c r="I294" i="163"/>
  <c r="D294" i="163"/>
  <c r="J294" i="163"/>
  <c r="E294" i="163"/>
  <c r="C294" i="163"/>
  <c r="I295" i="163"/>
  <c r="D295" i="163"/>
  <c r="J295" i="163"/>
  <c r="E295" i="163"/>
  <c r="C295" i="163"/>
  <c r="I296" i="163"/>
  <c r="D296" i="163"/>
  <c r="J296" i="163"/>
  <c r="E296" i="163"/>
  <c r="C296" i="163"/>
  <c r="I297" i="163"/>
  <c r="D297" i="163"/>
  <c r="J297" i="163"/>
  <c r="E297" i="163"/>
  <c r="C297" i="163"/>
  <c r="I298" i="163"/>
  <c r="D298" i="163"/>
  <c r="J298" i="163"/>
  <c r="E298" i="163"/>
  <c r="C298" i="163"/>
  <c r="I299" i="163"/>
  <c r="D299" i="163"/>
  <c r="J299" i="163"/>
  <c r="E299" i="163"/>
  <c r="C299" i="163"/>
  <c r="I300" i="163"/>
  <c r="D300" i="163"/>
  <c r="J300" i="163"/>
  <c r="E300" i="163"/>
  <c r="C300" i="163"/>
  <c r="I301" i="163"/>
  <c r="D301" i="163"/>
  <c r="J301" i="163"/>
  <c r="E301" i="163"/>
  <c r="C301" i="163"/>
  <c r="I302" i="163"/>
  <c r="D302" i="163"/>
  <c r="J302" i="163"/>
  <c r="E302" i="163"/>
  <c r="C302" i="163"/>
  <c r="I303" i="163"/>
  <c r="D303" i="163"/>
  <c r="J303" i="163"/>
  <c r="E303" i="163"/>
  <c r="C303" i="163"/>
  <c r="I304" i="163"/>
  <c r="D304" i="163"/>
  <c r="J304" i="163"/>
  <c r="E304" i="163"/>
  <c r="C304" i="163"/>
  <c r="I305" i="163"/>
  <c r="D305" i="163"/>
  <c r="J305" i="163"/>
  <c r="E305" i="163"/>
  <c r="C305" i="163"/>
  <c r="I306" i="163"/>
  <c r="D306" i="163"/>
  <c r="J306" i="163"/>
  <c r="E306" i="163"/>
  <c r="C306" i="163"/>
  <c r="I307" i="163"/>
  <c r="D307" i="163"/>
  <c r="J307" i="163"/>
  <c r="E307" i="163"/>
  <c r="C307" i="163"/>
  <c r="I308" i="163"/>
  <c r="D308" i="163"/>
  <c r="J308" i="163"/>
  <c r="E308" i="163"/>
  <c r="C308" i="163"/>
  <c r="I309" i="163"/>
  <c r="D309" i="163"/>
  <c r="J309" i="163"/>
  <c r="E309" i="163"/>
  <c r="C309" i="163"/>
  <c r="I310" i="163"/>
  <c r="D310" i="163"/>
  <c r="J310" i="163"/>
  <c r="E310" i="163"/>
  <c r="C310" i="163"/>
  <c r="I311" i="163"/>
  <c r="D311" i="163"/>
  <c r="J311" i="163"/>
  <c r="E311" i="163"/>
  <c r="C311" i="163"/>
  <c r="I312" i="163"/>
  <c r="D312" i="163"/>
  <c r="J312" i="163"/>
  <c r="E312" i="163"/>
  <c r="C312" i="163"/>
  <c r="I313" i="163"/>
  <c r="D313" i="163"/>
  <c r="J313" i="163"/>
  <c r="E313" i="163"/>
  <c r="C313" i="163"/>
  <c r="I314" i="163"/>
  <c r="D314" i="163"/>
  <c r="J314" i="163"/>
  <c r="E314" i="163"/>
  <c r="C314" i="163"/>
  <c r="I315" i="163"/>
  <c r="D315" i="163"/>
  <c r="J315" i="163"/>
  <c r="E315" i="163"/>
  <c r="C315" i="163"/>
  <c r="I316" i="163"/>
  <c r="D316" i="163"/>
  <c r="J316" i="163"/>
  <c r="E316" i="163"/>
  <c r="C316" i="163"/>
  <c r="I317" i="163"/>
  <c r="D317" i="163"/>
  <c r="J317" i="163"/>
  <c r="E317" i="163"/>
  <c r="C317" i="163"/>
  <c r="I318" i="163"/>
  <c r="D318" i="163"/>
  <c r="J318" i="163"/>
  <c r="E318" i="163"/>
  <c r="C318" i="163"/>
  <c r="I319" i="163"/>
  <c r="D319" i="163"/>
  <c r="J319" i="163"/>
  <c r="E319" i="163"/>
  <c r="C319" i="163"/>
  <c r="I320" i="163"/>
  <c r="D320" i="163"/>
  <c r="J320" i="163"/>
  <c r="E320" i="163"/>
  <c r="C320" i="163"/>
  <c r="I321" i="163"/>
  <c r="D321" i="163"/>
  <c r="J321" i="163"/>
  <c r="E321" i="163"/>
  <c r="C321" i="163"/>
  <c r="I322" i="163"/>
  <c r="D322" i="163"/>
  <c r="J322" i="163"/>
  <c r="E322" i="163"/>
  <c r="C322" i="163"/>
  <c r="I323" i="163"/>
  <c r="D323" i="163"/>
  <c r="J323" i="163"/>
  <c r="E323" i="163"/>
  <c r="C323" i="163"/>
  <c r="I324" i="163"/>
  <c r="D324" i="163"/>
  <c r="J324" i="163"/>
  <c r="E324" i="163"/>
  <c r="C324" i="163"/>
  <c r="I325" i="163"/>
  <c r="D325" i="163"/>
  <c r="J325" i="163"/>
  <c r="E325" i="163"/>
  <c r="C325" i="163"/>
  <c r="I326" i="163"/>
  <c r="D326" i="163"/>
  <c r="J326" i="163"/>
  <c r="E326" i="163"/>
  <c r="C326" i="163"/>
  <c r="I327" i="163"/>
  <c r="D327" i="163"/>
  <c r="J327" i="163"/>
  <c r="E327" i="163"/>
  <c r="C327" i="163"/>
  <c r="I328" i="163"/>
  <c r="D328" i="163"/>
  <c r="J328" i="163"/>
  <c r="E328" i="163"/>
  <c r="C328" i="163"/>
  <c r="I329" i="163"/>
  <c r="D329" i="163"/>
  <c r="J329" i="163"/>
  <c r="E329" i="163"/>
  <c r="C329" i="163"/>
  <c r="I330" i="163"/>
  <c r="D330" i="163"/>
  <c r="J330" i="163"/>
  <c r="E330" i="163"/>
  <c r="C330" i="163"/>
  <c r="I331" i="163"/>
  <c r="D331" i="163"/>
  <c r="J331" i="163"/>
  <c r="E331" i="163"/>
  <c r="C331" i="163"/>
  <c r="I332" i="163"/>
  <c r="D332" i="163"/>
  <c r="J332" i="163"/>
  <c r="E332" i="163"/>
  <c r="C332" i="163"/>
  <c r="I333" i="163"/>
  <c r="D333" i="163"/>
  <c r="J333" i="163"/>
  <c r="E333" i="163"/>
  <c r="C333" i="163"/>
  <c r="I334" i="163"/>
  <c r="D334" i="163"/>
  <c r="J334" i="163"/>
  <c r="E334" i="163"/>
  <c r="C334" i="163"/>
  <c r="I335" i="163"/>
  <c r="D335" i="163"/>
  <c r="J335" i="163"/>
  <c r="E335" i="163"/>
  <c r="C335" i="163"/>
  <c r="I336" i="163"/>
  <c r="D336" i="163"/>
  <c r="J336" i="163"/>
  <c r="E336" i="163"/>
  <c r="C336" i="163"/>
  <c r="I337" i="163"/>
  <c r="D337" i="163"/>
  <c r="J337" i="163"/>
  <c r="E337" i="163"/>
  <c r="C337" i="163"/>
  <c r="I338" i="163"/>
  <c r="D338" i="163"/>
  <c r="J338" i="163"/>
  <c r="E338" i="163"/>
  <c r="C338" i="163"/>
  <c r="I339" i="163"/>
  <c r="D339" i="163"/>
  <c r="J339" i="163"/>
  <c r="E339" i="163"/>
  <c r="C339" i="163"/>
  <c r="I340" i="163"/>
  <c r="D340" i="163"/>
  <c r="J340" i="163"/>
  <c r="E340" i="163"/>
  <c r="C340" i="163"/>
  <c r="I341" i="163"/>
  <c r="D341" i="163"/>
  <c r="J341" i="163"/>
  <c r="E341" i="163"/>
  <c r="C341" i="163"/>
  <c r="I342" i="163"/>
  <c r="D342" i="163"/>
  <c r="J342" i="163"/>
  <c r="E342" i="163"/>
  <c r="C342" i="163"/>
  <c r="I343" i="163"/>
  <c r="D343" i="163"/>
  <c r="J343" i="163"/>
  <c r="E343" i="163"/>
  <c r="C343" i="163"/>
  <c r="I344" i="163"/>
  <c r="D344" i="163"/>
  <c r="J344" i="163"/>
  <c r="E344" i="163"/>
  <c r="C344" i="163"/>
  <c r="I345" i="163"/>
  <c r="D345" i="163"/>
  <c r="J345" i="163"/>
  <c r="E345" i="163"/>
  <c r="C345" i="163"/>
  <c r="I346" i="163"/>
  <c r="D346" i="163"/>
  <c r="J346" i="163"/>
  <c r="E346" i="163"/>
  <c r="C346" i="163"/>
  <c r="I347" i="163"/>
  <c r="D347" i="163"/>
  <c r="J347" i="163"/>
  <c r="E347" i="163"/>
  <c r="C347" i="163"/>
  <c r="I348" i="163"/>
  <c r="D348" i="163"/>
  <c r="J348" i="163"/>
  <c r="E348" i="163"/>
  <c r="C348" i="163"/>
  <c r="I349" i="163"/>
  <c r="D349" i="163"/>
  <c r="J349" i="163"/>
  <c r="E349" i="163"/>
  <c r="C349" i="163"/>
  <c r="I350" i="163"/>
  <c r="D350" i="163"/>
  <c r="J350" i="163"/>
  <c r="E350" i="163"/>
  <c r="C350" i="163"/>
  <c r="I351" i="163"/>
  <c r="D351" i="163"/>
  <c r="J351" i="163"/>
  <c r="E351" i="163"/>
  <c r="C351" i="163"/>
  <c r="I352" i="163"/>
  <c r="D352" i="163"/>
  <c r="J352" i="163"/>
  <c r="E352" i="163"/>
  <c r="C352" i="163"/>
  <c r="I353" i="163"/>
  <c r="D353" i="163"/>
  <c r="J353" i="163"/>
  <c r="E353" i="163"/>
  <c r="C353" i="163"/>
  <c r="I354" i="163"/>
  <c r="D354" i="163"/>
  <c r="J354" i="163"/>
  <c r="E354" i="163"/>
  <c r="C354" i="163"/>
  <c r="I355" i="163"/>
  <c r="D355" i="163"/>
  <c r="J355" i="163"/>
  <c r="E355" i="163"/>
  <c r="C355" i="163"/>
  <c r="I356" i="163"/>
  <c r="D356" i="163"/>
  <c r="J356" i="163"/>
  <c r="E356" i="163"/>
  <c r="C356" i="163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38" i="162"/>
  <c r="F8" i="162"/>
  <c r="E8" i="162"/>
  <c r="C46" i="162"/>
  <c r="B38" i="162"/>
  <c r="E37" i="162"/>
  <c r="B37" i="162"/>
  <c r="E41" i="162"/>
  <c r="B41" i="162"/>
  <c r="F6" i="162"/>
  <c r="E6" i="162"/>
  <c r="E43" i="162"/>
  <c r="B43" i="162"/>
  <c r="E44" i="162"/>
  <c r="B44" i="162"/>
  <c r="B36" i="162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8" i="153"/>
  <c r="F8" i="153"/>
  <c r="E8" i="153"/>
  <c r="C46" i="153"/>
  <c r="B38" i="153"/>
  <c r="E37" i="153"/>
  <c r="B37" i="153"/>
  <c r="E41" i="153"/>
  <c r="B41" i="153"/>
  <c r="F6" i="153"/>
  <c r="E6" i="153"/>
  <c r="E43" i="153"/>
  <c r="B43" i="153"/>
  <c r="E44" i="153"/>
  <c r="B44" i="153"/>
  <c r="B36" i="153"/>
  <c r="I2" i="159"/>
  <c r="J2" i="159"/>
  <c r="D2" i="159"/>
  <c r="E2" i="159"/>
  <c r="C2" i="159"/>
  <c r="I3" i="159"/>
  <c r="J3" i="159"/>
  <c r="D3" i="159"/>
  <c r="E3" i="159"/>
  <c r="C3" i="159"/>
  <c r="I4" i="159"/>
  <c r="J4" i="159"/>
  <c r="D4" i="159"/>
  <c r="E4" i="159"/>
  <c r="C4" i="159"/>
  <c r="I5" i="159"/>
  <c r="J5" i="159"/>
  <c r="D5" i="159"/>
  <c r="E5" i="159"/>
  <c r="C5" i="159"/>
  <c r="I6" i="159"/>
  <c r="J6" i="159"/>
  <c r="D6" i="159"/>
  <c r="E6" i="159"/>
  <c r="C6" i="159"/>
  <c r="I7" i="159"/>
  <c r="J7" i="159"/>
  <c r="D7" i="159"/>
  <c r="E7" i="159"/>
  <c r="C7" i="159"/>
  <c r="I8" i="159"/>
  <c r="J8" i="159"/>
  <c r="D8" i="159"/>
  <c r="E8" i="159"/>
  <c r="C8" i="159"/>
  <c r="I9" i="159"/>
  <c r="J9" i="159"/>
  <c r="D9" i="159"/>
  <c r="E9" i="159"/>
  <c r="C9" i="159"/>
  <c r="I10" i="159"/>
  <c r="J10" i="159"/>
  <c r="D10" i="159"/>
  <c r="E10" i="159"/>
  <c r="C10" i="159"/>
  <c r="I11" i="159"/>
  <c r="J11" i="159"/>
  <c r="D11" i="159"/>
  <c r="E11" i="159"/>
  <c r="C11" i="159"/>
  <c r="I12" i="159"/>
  <c r="J12" i="159"/>
  <c r="D12" i="159"/>
  <c r="E12" i="159"/>
  <c r="C12" i="159"/>
  <c r="I13" i="159"/>
  <c r="J13" i="159"/>
  <c r="D13" i="159"/>
  <c r="E13" i="159"/>
  <c r="C13" i="159"/>
  <c r="I14" i="159"/>
  <c r="J14" i="159"/>
  <c r="D14" i="159"/>
  <c r="E14" i="159"/>
  <c r="C14" i="159"/>
  <c r="I15" i="159"/>
  <c r="J15" i="159"/>
  <c r="D15" i="159"/>
  <c r="E15" i="159"/>
  <c r="C15" i="159"/>
  <c r="I16" i="159"/>
  <c r="J16" i="159"/>
  <c r="D16" i="159"/>
  <c r="E16" i="159"/>
  <c r="C16" i="159"/>
  <c r="I17" i="159"/>
  <c r="J17" i="159"/>
  <c r="D17" i="159"/>
  <c r="E17" i="159"/>
  <c r="C17" i="159"/>
  <c r="I18" i="159"/>
  <c r="J18" i="159"/>
  <c r="D18" i="159"/>
  <c r="E18" i="159"/>
  <c r="C18" i="159"/>
  <c r="I19" i="159"/>
  <c r="J19" i="159"/>
  <c r="D19" i="159"/>
  <c r="E19" i="159"/>
  <c r="C19" i="159"/>
  <c r="I20" i="159"/>
  <c r="J20" i="159"/>
  <c r="D20" i="159"/>
  <c r="E20" i="159"/>
  <c r="C20" i="159"/>
  <c r="I21" i="159"/>
  <c r="J21" i="159"/>
  <c r="D21" i="159"/>
  <c r="E21" i="159"/>
  <c r="C21" i="159"/>
  <c r="I22" i="159"/>
  <c r="J22" i="159"/>
  <c r="D22" i="159"/>
  <c r="E22" i="159"/>
  <c r="C22" i="159"/>
  <c r="I23" i="159"/>
  <c r="J23" i="159"/>
  <c r="D23" i="159"/>
  <c r="E23" i="159"/>
  <c r="C23" i="159"/>
  <c r="I24" i="159"/>
  <c r="J24" i="159"/>
  <c r="D24" i="159"/>
  <c r="E24" i="159"/>
  <c r="C24" i="159"/>
  <c r="I25" i="159"/>
  <c r="J25" i="159"/>
  <c r="D25" i="159"/>
  <c r="E25" i="159"/>
  <c r="C25" i="159"/>
  <c r="I26" i="159"/>
  <c r="J26" i="159"/>
  <c r="D26" i="159"/>
  <c r="E26" i="159"/>
  <c r="C26" i="159"/>
  <c r="I27" i="159"/>
  <c r="J27" i="159"/>
  <c r="D27" i="159"/>
  <c r="E27" i="159"/>
  <c r="C27" i="159"/>
  <c r="I28" i="159"/>
  <c r="J28" i="159"/>
  <c r="D28" i="159"/>
  <c r="E28" i="159"/>
  <c r="C28" i="159"/>
  <c r="I29" i="159"/>
  <c r="J29" i="159"/>
  <c r="D29" i="159"/>
  <c r="E29" i="159"/>
  <c r="C29" i="159"/>
  <c r="I30" i="159"/>
  <c r="J30" i="159"/>
  <c r="D30" i="159"/>
  <c r="E30" i="159"/>
  <c r="C30" i="159"/>
  <c r="I31" i="159"/>
  <c r="J31" i="159"/>
  <c r="D31" i="159"/>
  <c r="E31" i="159"/>
  <c r="C31" i="159"/>
  <c r="I32" i="159"/>
  <c r="J32" i="159"/>
  <c r="D32" i="159"/>
  <c r="E32" i="159"/>
  <c r="C32" i="159"/>
  <c r="I33" i="159"/>
  <c r="J33" i="159"/>
  <c r="D33" i="159"/>
  <c r="E33" i="159"/>
  <c r="C33" i="159"/>
  <c r="I34" i="159"/>
  <c r="J34" i="159"/>
  <c r="D34" i="159"/>
  <c r="E34" i="159"/>
  <c r="C34" i="159"/>
  <c r="I35" i="159"/>
  <c r="J35" i="159"/>
  <c r="D35" i="159"/>
  <c r="E35" i="159"/>
  <c r="C35" i="159"/>
  <c r="I36" i="159"/>
  <c r="J36" i="159"/>
  <c r="D36" i="159"/>
  <c r="E36" i="159"/>
  <c r="C36" i="159"/>
  <c r="I37" i="159"/>
  <c r="J37" i="159"/>
  <c r="D37" i="159"/>
  <c r="E37" i="159"/>
  <c r="C37" i="159"/>
  <c r="I38" i="159"/>
  <c r="J38" i="159"/>
  <c r="D38" i="159"/>
  <c r="E38" i="159"/>
  <c r="C38" i="159"/>
  <c r="I39" i="159"/>
  <c r="J39" i="159"/>
  <c r="D39" i="159"/>
  <c r="E39" i="159"/>
  <c r="C39" i="159"/>
  <c r="I40" i="159"/>
  <c r="J40" i="159"/>
  <c r="D40" i="159"/>
  <c r="E40" i="159"/>
  <c r="C40" i="159"/>
  <c r="I41" i="159"/>
  <c r="J41" i="159"/>
  <c r="D41" i="159"/>
  <c r="E41" i="159"/>
  <c r="C41" i="159"/>
  <c r="I42" i="159"/>
  <c r="D42" i="159"/>
  <c r="J42" i="159"/>
  <c r="E42" i="159"/>
  <c r="C42" i="159"/>
  <c r="I43" i="159"/>
  <c r="D43" i="159"/>
  <c r="J43" i="159"/>
  <c r="E43" i="159"/>
  <c r="C43" i="159"/>
  <c r="I44" i="159"/>
  <c r="D44" i="159"/>
  <c r="J44" i="159"/>
  <c r="E44" i="159"/>
  <c r="C44" i="159"/>
  <c r="I45" i="159"/>
  <c r="D45" i="159"/>
  <c r="J45" i="159"/>
  <c r="E45" i="159"/>
  <c r="C45" i="159"/>
  <c r="I46" i="159"/>
  <c r="D46" i="159"/>
  <c r="J46" i="159"/>
  <c r="E46" i="159"/>
  <c r="C46" i="159"/>
  <c r="I47" i="159"/>
  <c r="D47" i="159"/>
  <c r="J47" i="159"/>
  <c r="E47" i="159"/>
  <c r="C47" i="159"/>
  <c r="I48" i="159"/>
  <c r="D48" i="159"/>
  <c r="J48" i="159"/>
  <c r="E48" i="159"/>
  <c r="C48" i="159"/>
  <c r="I49" i="159"/>
  <c r="D49" i="159"/>
  <c r="J49" i="159"/>
  <c r="E49" i="159"/>
  <c r="C49" i="159"/>
  <c r="I50" i="159"/>
  <c r="D50" i="159"/>
  <c r="J50" i="159"/>
  <c r="E50" i="159"/>
  <c r="C50" i="159"/>
  <c r="I51" i="159"/>
  <c r="D51" i="159"/>
  <c r="J51" i="159"/>
  <c r="E51" i="159"/>
  <c r="C51" i="159"/>
  <c r="I52" i="159"/>
  <c r="D52" i="159"/>
  <c r="J52" i="159"/>
  <c r="E52" i="159"/>
  <c r="C52" i="159"/>
  <c r="I53" i="159"/>
  <c r="D53" i="159"/>
  <c r="J53" i="159"/>
  <c r="E53" i="159"/>
  <c r="C53" i="159"/>
  <c r="I54" i="159"/>
  <c r="D54" i="159"/>
  <c r="J54" i="159"/>
  <c r="E54" i="159"/>
  <c r="C54" i="159"/>
  <c r="I55" i="159"/>
  <c r="D55" i="159"/>
  <c r="J55" i="159"/>
  <c r="E55" i="159"/>
  <c r="C55" i="159"/>
  <c r="I56" i="159"/>
  <c r="D56" i="159"/>
  <c r="J56" i="159"/>
  <c r="E56" i="159"/>
  <c r="C56" i="159"/>
  <c r="I57" i="159"/>
  <c r="D57" i="159"/>
  <c r="J57" i="159"/>
  <c r="E57" i="159"/>
  <c r="C57" i="159"/>
  <c r="I58" i="159"/>
  <c r="D58" i="159"/>
  <c r="J58" i="159"/>
  <c r="E58" i="159"/>
  <c r="C58" i="159"/>
  <c r="I59" i="159"/>
  <c r="D59" i="159"/>
  <c r="J59" i="159"/>
  <c r="E59" i="159"/>
  <c r="C59" i="159"/>
  <c r="I60" i="159"/>
  <c r="D60" i="159"/>
  <c r="J60" i="159"/>
  <c r="E60" i="159"/>
  <c r="C60" i="159"/>
  <c r="I61" i="159"/>
  <c r="D61" i="159"/>
  <c r="J61" i="159"/>
  <c r="E61" i="159"/>
  <c r="C61" i="159"/>
  <c r="I62" i="159"/>
  <c r="D62" i="159"/>
  <c r="J62" i="159"/>
  <c r="E62" i="159"/>
  <c r="C62" i="159"/>
  <c r="I63" i="159"/>
  <c r="D63" i="159"/>
  <c r="J63" i="159"/>
  <c r="E63" i="159"/>
  <c r="C63" i="159"/>
  <c r="I64" i="159"/>
  <c r="D64" i="159"/>
  <c r="J64" i="159"/>
  <c r="E64" i="159"/>
  <c r="C64" i="159"/>
  <c r="I65" i="159"/>
  <c r="D65" i="159"/>
  <c r="J65" i="159"/>
  <c r="E65" i="159"/>
  <c r="C65" i="159"/>
  <c r="I66" i="159"/>
  <c r="D66" i="159"/>
  <c r="J66" i="159"/>
  <c r="E66" i="159"/>
  <c r="C66" i="159"/>
  <c r="I67" i="159"/>
  <c r="D67" i="159"/>
  <c r="J67" i="159"/>
  <c r="E67" i="159"/>
  <c r="C67" i="159"/>
  <c r="I68" i="159"/>
  <c r="D68" i="159"/>
  <c r="J68" i="159"/>
  <c r="E68" i="159"/>
  <c r="C68" i="159"/>
  <c r="I69" i="159"/>
  <c r="D69" i="159"/>
  <c r="J69" i="159"/>
  <c r="E69" i="159"/>
  <c r="C69" i="159"/>
  <c r="I70" i="159"/>
  <c r="D70" i="159"/>
  <c r="J70" i="159"/>
  <c r="E70" i="159"/>
  <c r="C70" i="159"/>
  <c r="I71" i="159"/>
  <c r="D71" i="159"/>
  <c r="J71" i="159"/>
  <c r="E71" i="159"/>
  <c r="C71" i="159"/>
  <c r="I72" i="159"/>
  <c r="D72" i="159"/>
  <c r="J72" i="159"/>
  <c r="E72" i="159"/>
  <c r="C72" i="159"/>
  <c r="I73" i="159"/>
  <c r="D73" i="159"/>
  <c r="J73" i="159"/>
  <c r="E73" i="159"/>
  <c r="C73" i="159"/>
  <c r="I74" i="159"/>
  <c r="D74" i="159"/>
  <c r="J74" i="159"/>
  <c r="E74" i="159"/>
  <c r="C74" i="159"/>
  <c r="I75" i="159"/>
  <c r="D75" i="159"/>
  <c r="J75" i="159"/>
  <c r="E75" i="159"/>
  <c r="C75" i="159"/>
  <c r="I76" i="159"/>
  <c r="D76" i="159"/>
  <c r="J76" i="159"/>
  <c r="E76" i="159"/>
  <c r="C76" i="159"/>
  <c r="I77" i="159"/>
  <c r="D77" i="159"/>
  <c r="J77" i="159"/>
  <c r="E77" i="159"/>
  <c r="C77" i="159"/>
  <c r="I78" i="159"/>
  <c r="D78" i="159"/>
  <c r="J78" i="159"/>
  <c r="E78" i="159"/>
  <c r="C78" i="159"/>
  <c r="I79" i="159"/>
  <c r="D79" i="159"/>
  <c r="J79" i="159"/>
  <c r="E79" i="159"/>
  <c r="C79" i="159"/>
  <c r="I80" i="159"/>
  <c r="D80" i="159"/>
  <c r="J80" i="159"/>
  <c r="E80" i="159"/>
  <c r="C80" i="159"/>
  <c r="I81" i="159"/>
  <c r="D81" i="159"/>
  <c r="J81" i="159"/>
  <c r="E81" i="159"/>
  <c r="C81" i="159"/>
  <c r="I82" i="159"/>
  <c r="D82" i="159"/>
  <c r="J82" i="159"/>
  <c r="E82" i="159"/>
  <c r="C82" i="159"/>
  <c r="I83" i="159"/>
  <c r="D83" i="159"/>
  <c r="J83" i="159"/>
  <c r="E83" i="159"/>
  <c r="C83" i="159"/>
  <c r="I84" i="159"/>
  <c r="D84" i="159"/>
  <c r="J84" i="159"/>
  <c r="E84" i="159"/>
  <c r="C84" i="159"/>
  <c r="I85" i="159"/>
  <c r="D85" i="159"/>
  <c r="J85" i="159"/>
  <c r="E85" i="159"/>
  <c r="C85" i="159"/>
  <c r="I86" i="159"/>
  <c r="D86" i="159"/>
  <c r="J86" i="159"/>
  <c r="E86" i="159"/>
  <c r="C86" i="159"/>
  <c r="I87" i="159"/>
  <c r="D87" i="159"/>
  <c r="J87" i="159"/>
  <c r="E87" i="159"/>
  <c r="C87" i="159"/>
  <c r="I88" i="159"/>
  <c r="D88" i="159"/>
  <c r="J88" i="159"/>
  <c r="E88" i="159"/>
  <c r="C88" i="159"/>
  <c r="I89" i="159"/>
  <c r="D89" i="159"/>
  <c r="J89" i="159"/>
  <c r="E89" i="159"/>
  <c r="C89" i="159"/>
  <c r="I90" i="159"/>
  <c r="D90" i="159"/>
  <c r="J90" i="159"/>
  <c r="E90" i="159"/>
  <c r="C90" i="159"/>
  <c r="I91" i="159"/>
  <c r="D91" i="159"/>
  <c r="J91" i="159"/>
  <c r="E91" i="159"/>
  <c r="C91" i="159"/>
  <c r="I92" i="159"/>
  <c r="D92" i="159"/>
  <c r="J92" i="159"/>
  <c r="E92" i="159"/>
  <c r="C92" i="159"/>
  <c r="I93" i="159"/>
  <c r="D93" i="159"/>
  <c r="J93" i="159"/>
  <c r="E93" i="159"/>
  <c r="C93" i="159"/>
  <c r="I94" i="159"/>
  <c r="D94" i="159"/>
  <c r="J94" i="159"/>
  <c r="E94" i="159"/>
  <c r="C94" i="159"/>
  <c r="I95" i="159"/>
  <c r="D95" i="159"/>
  <c r="J95" i="159"/>
  <c r="E95" i="159"/>
  <c r="C95" i="159"/>
  <c r="I96" i="159"/>
  <c r="D96" i="159"/>
  <c r="J96" i="159"/>
  <c r="E96" i="159"/>
  <c r="C96" i="159"/>
  <c r="I97" i="159"/>
  <c r="D97" i="159"/>
  <c r="J97" i="159"/>
  <c r="E97" i="159"/>
  <c r="C97" i="159"/>
  <c r="I98" i="159"/>
  <c r="D98" i="159"/>
  <c r="J98" i="159"/>
  <c r="E98" i="159"/>
  <c r="C98" i="159"/>
  <c r="I99" i="159"/>
  <c r="D99" i="159"/>
  <c r="J99" i="159"/>
  <c r="E99" i="159"/>
  <c r="C99" i="159"/>
  <c r="I100" i="159"/>
  <c r="D100" i="159"/>
  <c r="J100" i="159"/>
  <c r="E100" i="159"/>
  <c r="C100" i="159"/>
  <c r="I101" i="159"/>
  <c r="D101" i="159"/>
  <c r="J101" i="159"/>
  <c r="E101" i="159"/>
  <c r="C101" i="159"/>
  <c r="I102" i="159"/>
  <c r="D102" i="159"/>
  <c r="J102" i="159"/>
  <c r="E102" i="159"/>
  <c r="C102" i="159"/>
  <c r="I103" i="159"/>
  <c r="D103" i="159"/>
  <c r="J103" i="159"/>
  <c r="E103" i="159"/>
  <c r="C103" i="159"/>
  <c r="I104" i="159"/>
  <c r="D104" i="159"/>
  <c r="J104" i="159"/>
  <c r="E104" i="159"/>
  <c r="C104" i="159"/>
  <c r="I105" i="159"/>
  <c r="D105" i="159"/>
  <c r="J105" i="159"/>
  <c r="E105" i="159"/>
  <c r="C105" i="159"/>
  <c r="I106" i="159"/>
  <c r="D106" i="159"/>
  <c r="J106" i="159"/>
  <c r="E106" i="159"/>
  <c r="C106" i="159"/>
  <c r="I107" i="159"/>
  <c r="D107" i="159"/>
  <c r="J107" i="159"/>
  <c r="E107" i="159"/>
  <c r="C107" i="159"/>
  <c r="I108" i="159"/>
  <c r="D108" i="159"/>
  <c r="J108" i="159"/>
  <c r="E108" i="159"/>
  <c r="C108" i="159"/>
  <c r="I109" i="159"/>
  <c r="D109" i="159"/>
  <c r="J109" i="159"/>
  <c r="E109" i="159"/>
  <c r="C109" i="159"/>
  <c r="I110" i="159"/>
  <c r="D110" i="159"/>
  <c r="J110" i="159"/>
  <c r="E110" i="159"/>
  <c r="C110" i="159"/>
  <c r="I111" i="159"/>
  <c r="D111" i="159"/>
  <c r="J111" i="159"/>
  <c r="E111" i="159"/>
  <c r="C111" i="159"/>
  <c r="I112" i="159"/>
  <c r="D112" i="159"/>
  <c r="J112" i="159"/>
  <c r="E112" i="159"/>
  <c r="C112" i="159"/>
  <c r="I113" i="159"/>
  <c r="D113" i="159"/>
  <c r="J113" i="159"/>
  <c r="E113" i="159"/>
  <c r="C113" i="159"/>
  <c r="I114" i="159"/>
  <c r="D114" i="159"/>
  <c r="J114" i="159"/>
  <c r="E114" i="159"/>
  <c r="C114" i="159"/>
  <c r="I115" i="159"/>
  <c r="D115" i="159"/>
  <c r="J115" i="159"/>
  <c r="E115" i="159"/>
  <c r="C115" i="159"/>
  <c r="I116" i="159"/>
  <c r="D116" i="159"/>
  <c r="J116" i="159"/>
  <c r="E116" i="159"/>
  <c r="C116" i="159"/>
  <c r="I117" i="159"/>
  <c r="D117" i="159"/>
  <c r="J117" i="159"/>
  <c r="E117" i="159"/>
  <c r="C117" i="159"/>
  <c r="I118" i="159"/>
  <c r="D118" i="159"/>
  <c r="J118" i="159"/>
  <c r="E118" i="159"/>
  <c r="C118" i="159"/>
  <c r="I119" i="159"/>
  <c r="D119" i="159"/>
  <c r="J119" i="159"/>
  <c r="E119" i="159"/>
  <c r="C119" i="159"/>
  <c r="I120" i="159"/>
  <c r="D120" i="159"/>
  <c r="J120" i="159"/>
  <c r="E120" i="159"/>
  <c r="C120" i="159"/>
  <c r="I121" i="159"/>
  <c r="D121" i="159"/>
  <c r="J121" i="159"/>
  <c r="E121" i="159"/>
  <c r="C121" i="159"/>
  <c r="I122" i="159"/>
  <c r="D122" i="159"/>
  <c r="J122" i="159"/>
  <c r="E122" i="159"/>
  <c r="C122" i="159"/>
  <c r="I123" i="159"/>
  <c r="D123" i="159"/>
  <c r="J123" i="159"/>
  <c r="E123" i="159"/>
  <c r="C123" i="159"/>
  <c r="I124" i="159"/>
  <c r="D124" i="159"/>
  <c r="J124" i="159"/>
  <c r="E124" i="159"/>
  <c r="C124" i="159"/>
  <c r="I125" i="159"/>
  <c r="D125" i="159"/>
  <c r="J125" i="159"/>
  <c r="E125" i="159"/>
  <c r="C125" i="159"/>
  <c r="I126" i="159"/>
  <c r="D126" i="159"/>
  <c r="J126" i="159"/>
  <c r="E126" i="159"/>
  <c r="C126" i="159"/>
  <c r="I127" i="159"/>
  <c r="D127" i="159"/>
  <c r="J127" i="159"/>
  <c r="E127" i="159"/>
  <c r="C127" i="159"/>
  <c r="I128" i="159"/>
  <c r="D128" i="159"/>
  <c r="J128" i="159"/>
  <c r="E128" i="159"/>
  <c r="C128" i="159"/>
  <c r="I129" i="159"/>
  <c r="D129" i="159"/>
  <c r="J129" i="159"/>
  <c r="E129" i="159"/>
  <c r="C129" i="159"/>
  <c r="I130" i="159"/>
  <c r="D130" i="159"/>
  <c r="J130" i="159"/>
  <c r="E130" i="159"/>
  <c r="C130" i="159"/>
  <c r="I131" i="159"/>
  <c r="D131" i="159"/>
  <c r="J131" i="159"/>
  <c r="E131" i="159"/>
  <c r="C131" i="159"/>
  <c r="I132" i="159"/>
  <c r="D132" i="159"/>
  <c r="J132" i="159"/>
  <c r="E132" i="159"/>
  <c r="C132" i="159"/>
  <c r="I133" i="159"/>
  <c r="D133" i="159"/>
  <c r="J133" i="159"/>
  <c r="E133" i="159"/>
  <c r="C133" i="159"/>
  <c r="I134" i="159"/>
  <c r="D134" i="159"/>
  <c r="J134" i="159"/>
  <c r="E134" i="159"/>
  <c r="C134" i="159"/>
  <c r="I135" i="159"/>
  <c r="D135" i="159"/>
  <c r="J135" i="159"/>
  <c r="E135" i="159"/>
  <c r="C135" i="159"/>
  <c r="I136" i="159"/>
  <c r="D136" i="159"/>
  <c r="J136" i="159"/>
  <c r="E136" i="159"/>
  <c r="C136" i="159"/>
  <c r="I137" i="159"/>
  <c r="D137" i="159"/>
  <c r="J137" i="159"/>
  <c r="E137" i="159"/>
  <c r="C137" i="159"/>
  <c r="I138" i="159"/>
  <c r="D138" i="159"/>
  <c r="J138" i="159"/>
  <c r="E138" i="159"/>
  <c r="C138" i="159"/>
  <c r="I139" i="159"/>
  <c r="D139" i="159"/>
  <c r="J139" i="159"/>
  <c r="E139" i="159"/>
  <c r="C139" i="159"/>
  <c r="I140" i="159"/>
  <c r="D140" i="159"/>
  <c r="J140" i="159"/>
  <c r="E140" i="159"/>
  <c r="C140" i="159"/>
  <c r="I141" i="159"/>
  <c r="D141" i="159"/>
  <c r="J141" i="159"/>
  <c r="E141" i="159"/>
  <c r="C141" i="159"/>
  <c r="I142" i="159"/>
  <c r="D142" i="159"/>
  <c r="J142" i="159"/>
  <c r="E142" i="159"/>
  <c r="C142" i="159"/>
  <c r="I143" i="159"/>
  <c r="D143" i="159"/>
  <c r="J143" i="159"/>
  <c r="E143" i="159"/>
  <c r="C143" i="159"/>
  <c r="I144" i="159"/>
  <c r="D144" i="159"/>
  <c r="J144" i="159"/>
  <c r="E144" i="159"/>
  <c r="C144" i="159"/>
  <c r="I145" i="159"/>
  <c r="D145" i="159"/>
  <c r="J145" i="159"/>
  <c r="E145" i="159"/>
  <c r="C145" i="159"/>
  <c r="I146" i="159"/>
  <c r="D146" i="159"/>
  <c r="J146" i="159"/>
  <c r="E146" i="159"/>
  <c r="C146" i="159"/>
  <c r="I147" i="159"/>
  <c r="D147" i="159"/>
  <c r="J147" i="159"/>
  <c r="E147" i="159"/>
  <c r="C147" i="159"/>
  <c r="I148" i="159"/>
  <c r="D148" i="159"/>
  <c r="J148" i="159"/>
  <c r="E148" i="159"/>
  <c r="C148" i="159"/>
  <c r="I149" i="159"/>
  <c r="D149" i="159"/>
  <c r="J149" i="159"/>
  <c r="E149" i="159"/>
  <c r="C149" i="159"/>
  <c r="I150" i="159"/>
  <c r="D150" i="159"/>
  <c r="J150" i="159"/>
  <c r="E150" i="159"/>
  <c r="C150" i="159"/>
  <c r="I151" i="159"/>
  <c r="D151" i="159"/>
  <c r="J151" i="159"/>
  <c r="E151" i="159"/>
  <c r="C151" i="159"/>
  <c r="I152" i="159"/>
  <c r="D152" i="159"/>
  <c r="J152" i="159"/>
  <c r="E152" i="159"/>
  <c r="C152" i="159"/>
  <c r="I153" i="159"/>
  <c r="D153" i="159"/>
  <c r="J153" i="159"/>
  <c r="E153" i="159"/>
  <c r="C153" i="159"/>
  <c r="I154" i="159"/>
  <c r="D154" i="159"/>
  <c r="J154" i="159"/>
  <c r="E154" i="159"/>
  <c r="C154" i="159"/>
  <c r="I155" i="159"/>
  <c r="D155" i="159"/>
  <c r="J155" i="159"/>
  <c r="E155" i="159"/>
  <c r="C155" i="159"/>
  <c r="I156" i="159"/>
  <c r="D156" i="159"/>
  <c r="J156" i="159"/>
  <c r="E156" i="159"/>
  <c r="C156" i="159"/>
  <c r="I157" i="159"/>
  <c r="D157" i="159"/>
  <c r="J157" i="159"/>
  <c r="E157" i="159"/>
  <c r="C157" i="159"/>
  <c r="I158" i="159"/>
  <c r="D158" i="159"/>
  <c r="J158" i="159"/>
  <c r="E158" i="159"/>
  <c r="C158" i="159"/>
  <c r="I159" i="159"/>
  <c r="D159" i="159"/>
  <c r="J159" i="159"/>
  <c r="E159" i="159"/>
  <c r="C159" i="159"/>
  <c r="I160" i="159"/>
  <c r="D160" i="159"/>
  <c r="J160" i="159"/>
  <c r="E160" i="159"/>
  <c r="C160" i="159"/>
  <c r="I161" i="159"/>
  <c r="D161" i="159"/>
  <c r="J161" i="159"/>
  <c r="E161" i="159"/>
  <c r="C161" i="159"/>
  <c r="I162" i="159"/>
  <c r="D162" i="159"/>
  <c r="J162" i="159"/>
  <c r="E162" i="159"/>
  <c r="C162" i="159"/>
  <c r="I163" i="159"/>
  <c r="D163" i="159"/>
  <c r="J163" i="159"/>
  <c r="E163" i="159"/>
  <c r="C163" i="159"/>
  <c r="I164" i="159"/>
  <c r="D164" i="159"/>
  <c r="J164" i="159"/>
  <c r="E164" i="159"/>
  <c r="C164" i="159"/>
  <c r="I165" i="159"/>
  <c r="D165" i="159"/>
  <c r="J165" i="159"/>
  <c r="E165" i="159"/>
  <c r="C165" i="159"/>
  <c r="I166" i="159"/>
  <c r="D166" i="159"/>
  <c r="J166" i="159"/>
  <c r="E166" i="159"/>
  <c r="C166" i="159"/>
  <c r="I167" i="159"/>
  <c r="D167" i="159"/>
  <c r="J167" i="159"/>
  <c r="E167" i="159"/>
  <c r="C167" i="159"/>
  <c r="I168" i="159"/>
  <c r="D168" i="159"/>
  <c r="J168" i="159"/>
  <c r="E168" i="159"/>
  <c r="C168" i="159"/>
  <c r="I169" i="159"/>
  <c r="D169" i="159"/>
  <c r="J169" i="159"/>
  <c r="E169" i="159"/>
  <c r="C169" i="159"/>
  <c r="I170" i="159"/>
  <c r="D170" i="159"/>
  <c r="J170" i="159"/>
  <c r="E170" i="159"/>
  <c r="C170" i="159"/>
  <c r="I171" i="159"/>
  <c r="D171" i="159"/>
  <c r="J171" i="159"/>
  <c r="E171" i="159"/>
  <c r="C171" i="159"/>
  <c r="I172" i="159"/>
  <c r="D172" i="159"/>
  <c r="J172" i="159"/>
  <c r="E172" i="159"/>
  <c r="C172" i="159"/>
  <c r="I173" i="159"/>
  <c r="D173" i="159"/>
  <c r="J173" i="159"/>
  <c r="E173" i="159"/>
  <c r="C173" i="159"/>
  <c r="I174" i="159"/>
  <c r="D174" i="159"/>
  <c r="J174" i="159"/>
  <c r="E174" i="159"/>
  <c r="C174" i="159"/>
  <c r="I175" i="159"/>
  <c r="D175" i="159"/>
  <c r="J175" i="159"/>
  <c r="E175" i="159"/>
  <c r="C175" i="159"/>
  <c r="I176" i="159"/>
  <c r="D176" i="159"/>
  <c r="J176" i="159"/>
  <c r="E176" i="159"/>
  <c r="C176" i="159"/>
  <c r="I177" i="159"/>
  <c r="D177" i="159"/>
  <c r="J177" i="159"/>
  <c r="E177" i="159"/>
  <c r="C177" i="159"/>
  <c r="I178" i="159"/>
  <c r="D178" i="159"/>
  <c r="J178" i="159"/>
  <c r="E178" i="159"/>
  <c r="C178" i="159"/>
  <c r="I179" i="159"/>
  <c r="D179" i="159"/>
  <c r="J179" i="159"/>
  <c r="E179" i="159"/>
  <c r="C179" i="159"/>
  <c r="I180" i="159"/>
  <c r="D180" i="159"/>
  <c r="J180" i="159"/>
  <c r="E180" i="159"/>
  <c r="C180" i="159"/>
  <c r="I181" i="159"/>
  <c r="D181" i="159"/>
  <c r="J181" i="159"/>
  <c r="E181" i="159"/>
  <c r="C181" i="159"/>
  <c r="I182" i="159"/>
  <c r="D182" i="159"/>
  <c r="J182" i="159"/>
  <c r="E182" i="159"/>
  <c r="C182" i="159"/>
  <c r="I183" i="159"/>
  <c r="D183" i="159"/>
  <c r="J183" i="159"/>
  <c r="E183" i="159"/>
  <c r="C183" i="159"/>
  <c r="I184" i="159"/>
  <c r="D184" i="159"/>
  <c r="J184" i="159"/>
  <c r="E184" i="159"/>
  <c r="C184" i="159"/>
  <c r="I185" i="159"/>
  <c r="D185" i="159"/>
  <c r="J185" i="159"/>
  <c r="E185" i="159"/>
  <c r="C185" i="159"/>
  <c r="I186" i="159"/>
  <c r="D186" i="159"/>
  <c r="J186" i="159"/>
  <c r="E186" i="159"/>
  <c r="C186" i="159"/>
  <c r="I187" i="159"/>
  <c r="D187" i="159"/>
  <c r="J187" i="159"/>
  <c r="E187" i="159"/>
  <c r="C187" i="159"/>
  <c r="I188" i="159"/>
  <c r="D188" i="159"/>
  <c r="J188" i="159"/>
  <c r="E188" i="159"/>
  <c r="C188" i="159"/>
  <c r="I189" i="159"/>
  <c r="D189" i="159"/>
  <c r="J189" i="159"/>
  <c r="E189" i="159"/>
  <c r="C189" i="159"/>
  <c r="I190" i="159"/>
  <c r="D190" i="159"/>
  <c r="J190" i="159"/>
  <c r="E190" i="159"/>
  <c r="C190" i="159"/>
  <c r="I191" i="159"/>
  <c r="D191" i="159"/>
  <c r="J191" i="159"/>
  <c r="E191" i="159"/>
  <c r="C191" i="159"/>
  <c r="I192" i="159"/>
  <c r="D192" i="159"/>
  <c r="J192" i="159"/>
  <c r="E192" i="159"/>
  <c r="C192" i="159"/>
  <c r="I193" i="159"/>
  <c r="D193" i="159"/>
  <c r="J193" i="159"/>
  <c r="E193" i="159"/>
  <c r="C193" i="159"/>
  <c r="I194" i="159"/>
  <c r="D194" i="159"/>
  <c r="J194" i="159"/>
  <c r="E194" i="159"/>
  <c r="C194" i="159"/>
  <c r="I195" i="159"/>
  <c r="D195" i="159"/>
  <c r="J195" i="159"/>
  <c r="E195" i="159"/>
  <c r="C195" i="159"/>
  <c r="I196" i="159"/>
  <c r="D196" i="159"/>
  <c r="J196" i="159"/>
  <c r="E196" i="159"/>
  <c r="C196" i="159"/>
  <c r="I197" i="159"/>
  <c r="D197" i="159"/>
  <c r="J197" i="159"/>
  <c r="E197" i="159"/>
  <c r="C197" i="159"/>
  <c r="I198" i="159"/>
  <c r="D198" i="159"/>
  <c r="J198" i="159"/>
  <c r="E198" i="159"/>
  <c r="C198" i="159"/>
  <c r="I199" i="159"/>
  <c r="D199" i="159"/>
  <c r="J199" i="159"/>
  <c r="E199" i="159"/>
  <c r="C199" i="159"/>
  <c r="I200" i="159"/>
  <c r="D200" i="159"/>
  <c r="J200" i="159"/>
  <c r="E200" i="159"/>
  <c r="C200" i="159"/>
  <c r="I201" i="159"/>
  <c r="D201" i="159"/>
  <c r="J201" i="159"/>
  <c r="E201" i="159"/>
  <c r="C201" i="159"/>
  <c r="I202" i="159"/>
  <c r="D202" i="159"/>
  <c r="J202" i="159"/>
  <c r="E202" i="159"/>
  <c r="C202" i="159"/>
  <c r="I203" i="159"/>
  <c r="D203" i="159"/>
  <c r="J203" i="159"/>
  <c r="E203" i="159"/>
  <c r="C203" i="159"/>
  <c r="I204" i="159"/>
  <c r="D204" i="159"/>
  <c r="J204" i="159"/>
  <c r="E204" i="159"/>
  <c r="C204" i="159"/>
  <c r="I205" i="159"/>
  <c r="D205" i="159"/>
  <c r="J205" i="159"/>
  <c r="E205" i="159"/>
  <c r="C205" i="159"/>
  <c r="I206" i="159"/>
  <c r="D206" i="159"/>
  <c r="J206" i="159"/>
  <c r="E206" i="159"/>
  <c r="C206" i="159"/>
  <c r="I207" i="159"/>
  <c r="D207" i="159"/>
  <c r="J207" i="159"/>
  <c r="E207" i="159"/>
  <c r="C207" i="159"/>
  <c r="I208" i="159"/>
  <c r="D208" i="159"/>
  <c r="J208" i="159"/>
  <c r="E208" i="159"/>
  <c r="C208" i="159"/>
  <c r="I209" i="159"/>
  <c r="D209" i="159"/>
  <c r="J209" i="159"/>
  <c r="E209" i="159"/>
  <c r="C209" i="159"/>
  <c r="I210" i="159"/>
  <c r="D210" i="159"/>
  <c r="J210" i="159"/>
  <c r="E210" i="159"/>
  <c r="C210" i="159"/>
  <c r="I211" i="159"/>
  <c r="D211" i="159"/>
  <c r="J211" i="159"/>
  <c r="E211" i="159"/>
  <c r="C211" i="159"/>
  <c r="I212" i="159"/>
  <c r="D212" i="159"/>
  <c r="J212" i="159"/>
  <c r="E212" i="159"/>
  <c r="C212" i="159"/>
  <c r="I213" i="159"/>
  <c r="D213" i="159"/>
  <c r="J213" i="159"/>
  <c r="E213" i="159"/>
  <c r="C213" i="159"/>
  <c r="I214" i="159"/>
  <c r="D214" i="159"/>
  <c r="J214" i="159"/>
  <c r="E214" i="159"/>
  <c r="C214" i="159"/>
  <c r="I215" i="159"/>
  <c r="J215" i="159"/>
  <c r="D215" i="159"/>
  <c r="E215" i="159"/>
  <c r="C215" i="159"/>
  <c r="I216" i="159"/>
  <c r="J216" i="159"/>
  <c r="D216" i="159"/>
  <c r="E216" i="159"/>
  <c r="C216" i="159"/>
  <c r="I217" i="159"/>
  <c r="J217" i="159"/>
  <c r="D217" i="159"/>
  <c r="E217" i="159"/>
  <c r="C217" i="159"/>
  <c r="I218" i="159"/>
  <c r="J218" i="159"/>
  <c r="D218" i="159"/>
  <c r="E218" i="159"/>
  <c r="C218" i="159"/>
  <c r="I219" i="159"/>
  <c r="J219" i="159"/>
  <c r="D219" i="159"/>
  <c r="E219" i="159"/>
  <c r="C219" i="159"/>
  <c r="I220" i="159"/>
  <c r="J220" i="159"/>
  <c r="D220" i="159"/>
  <c r="E220" i="159"/>
  <c r="C220" i="159"/>
  <c r="I221" i="159"/>
  <c r="D221" i="159"/>
  <c r="J221" i="159"/>
  <c r="E221" i="159"/>
  <c r="C221" i="159"/>
  <c r="I222" i="159"/>
  <c r="D222" i="159"/>
  <c r="J222" i="159"/>
  <c r="E222" i="159"/>
  <c r="C222" i="159"/>
  <c r="I223" i="159"/>
  <c r="D223" i="159"/>
  <c r="J223" i="159"/>
  <c r="E223" i="159"/>
  <c r="C223" i="159"/>
  <c r="I224" i="159"/>
  <c r="D224" i="159"/>
  <c r="J224" i="159"/>
  <c r="E224" i="159"/>
  <c r="C224" i="159"/>
  <c r="I225" i="159"/>
  <c r="D225" i="159"/>
  <c r="J225" i="159"/>
  <c r="E225" i="159"/>
  <c r="C225" i="159"/>
  <c r="I226" i="159"/>
  <c r="D226" i="159"/>
  <c r="J226" i="159"/>
  <c r="E226" i="159"/>
  <c r="C226" i="159"/>
  <c r="I227" i="159"/>
  <c r="D227" i="159"/>
  <c r="J227" i="159"/>
  <c r="E227" i="159"/>
  <c r="C227" i="159"/>
  <c r="I228" i="159"/>
  <c r="D228" i="159"/>
  <c r="J228" i="159"/>
  <c r="E228" i="159"/>
  <c r="C228" i="159"/>
  <c r="I229" i="159"/>
  <c r="D229" i="159"/>
  <c r="J229" i="159"/>
  <c r="E229" i="159"/>
  <c r="C229" i="159"/>
  <c r="I230" i="159"/>
  <c r="D230" i="159"/>
  <c r="J230" i="159"/>
  <c r="E230" i="159"/>
  <c r="C230" i="159"/>
  <c r="I231" i="159"/>
  <c r="D231" i="159"/>
  <c r="J231" i="159"/>
  <c r="E231" i="159"/>
  <c r="C231" i="159"/>
  <c r="I232" i="159"/>
  <c r="D232" i="159"/>
  <c r="J232" i="159"/>
  <c r="E232" i="159"/>
  <c r="C232" i="159"/>
  <c r="I233" i="159"/>
  <c r="D233" i="159"/>
  <c r="J233" i="159"/>
  <c r="E233" i="159"/>
  <c r="C233" i="159"/>
  <c r="I234" i="159"/>
  <c r="D234" i="159"/>
  <c r="J234" i="159"/>
  <c r="E234" i="159"/>
  <c r="C234" i="159"/>
  <c r="I235" i="159"/>
  <c r="D235" i="159"/>
  <c r="J235" i="159"/>
  <c r="E235" i="159"/>
  <c r="C235" i="159"/>
  <c r="I236" i="159"/>
  <c r="D236" i="159"/>
  <c r="J236" i="159"/>
  <c r="E236" i="159"/>
  <c r="C236" i="159"/>
  <c r="I237" i="159"/>
  <c r="D237" i="159"/>
  <c r="J237" i="159"/>
  <c r="E237" i="159"/>
  <c r="C237" i="159"/>
  <c r="I238" i="159"/>
  <c r="D238" i="159"/>
  <c r="J238" i="159"/>
  <c r="E238" i="159"/>
  <c r="C238" i="159"/>
  <c r="I239" i="159"/>
  <c r="D239" i="159"/>
  <c r="J239" i="159"/>
  <c r="E239" i="159"/>
  <c r="C239" i="159"/>
  <c r="I240" i="159"/>
  <c r="D240" i="159"/>
  <c r="J240" i="159"/>
  <c r="E240" i="159"/>
  <c r="C240" i="159"/>
  <c r="I241" i="159"/>
  <c r="D241" i="159"/>
  <c r="J241" i="159"/>
  <c r="E241" i="159"/>
  <c r="C241" i="159"/>
  <c r="I242" i="159"/>
  <c r="D242" i="159"/>
  <c r="J242" i="159"/>
  <c r="E242" i="159"/>
  <c r="C242" i="159"/>
  <c r="I243" i="159"/>
  <c r="D243" i="159"/>
  <c r="J243" i="159"/>
  <c r="E243" i="159"/>
  <c r="C243" i="159"/>
  <c r="I244" i="159"/>
  <c r="D244" i="159"/>
  <c r="J244" i="159"/>
  <c r="E244" i="159"/>
  <c r="C244" i="159"/>
  <c r="I245" i="159"/>
  <c r="D245" i="159"/>
  <c r="J245" i="159"/>
  <c r="E245" i="159"/>
  <c r="C245" i="159"/>
  <c r="I246" i="159"/>
  <c r="D246" i="159"/>
  <c r="J246" i="159"/>
  <c r="E246" i="159"/>
  <c r="C246" i="159"/>
  <c r="I247" i="159"/>
  <c r="D247" i="159"/>
  <c r="J247" i="159"/>
  <c r="E247" i="159"/>
  <c r="C247" i="159"/>
  <c r="I248" i="159"/>
  <c r="D248" i="159"/>
  <c r="J248" i="159"/>
  <c r="E248" i="159"/>
  <c r="C248" i="159"/>
  <c r="I249" i="159"/>
  <c r="D249" i="159"/>
  <c r="J249" i="159"/>
  <c r="E249" i="159"/>
  <c r="C249" i="159"/>
  <c r="I250" i="159"/>
  <c r="D250" i="159"/>
  <c r="J250" i="159"/>
  <c r="E250" i="159"/>
  <c r="C250" i="159"/>
  <c r="I251" i="159"/>
  <c r="D251" i="159"/>
  <c r="J251" i="159"/>
  <c r="E251" i="159"/>
  <c r="C251" i="159"/>
  <c r="I252" i="159"/>
  <c r="D252" i="159"/>
  <c r="J252" i="159"/>
  <c r="E252" i="159"/>
  <c r="C252" i="159"/>
  <c r="I253" i="159"/>
  <c r="D253" i="159"/>
  <c r="J253" i="159"/>
  <c r="E253" i="159"/>
  <c r="C253" i="159"/>
  <c r="I254" i="159"/>
  <c r="D254" i="159"/>
  <c r="J254" i="159"/>
  <c r="E254" i="159"/>
  <c r="C254" i="159"/>
  <c r="I255" i="159"/>
  <c r="D255" i="159"/>
  <c r="J255" i="159"/>
  <c r="E255" i="159"/>
  <c r="C255" i="159"/>
  <c r="I256" i="159"/>
  <c r="D256" i="159"/>
  <c r="J256" i="159"/>
  <c r="E256" i="159"/>
  <c r="C256" i="159"/>
  <c r="I257" i="159"/>
  <c r="D257" i="159"/>
  <c r="J257" i="159"/>
  <c r="E257" i="159"/>
  <c r="C257" i="159"/>
  <c r="I258" i="159"/>
  <c r="D258" i="159"/>
  <c r="J258" i="159"/>
  <c r="E258" i="159"/>
  <c r="C258" i="159"/>
  <c r="I259" i="159"/>
  <c r="D259" i="159"/>
  <c r="J259" i="159"/>
  <c r="E259" i="159"/>
  <c r="C259" i="159"/>
  <c r="I260" i="159"/>
  <c r="D260" i="159"/>
  <c r="J260" i="159"/>
  <c r="E260" i="159"/>
  <c r="C260" i="159"/>
  <c r="I261" i="159"/>
  <c r="D261" i="159"/>
  <c r="J261" i="159"/>
  <c r="E261" i="159"/>
  <c r="C261" i="159"/>
  <c r="I262" i="159"/>
  <c r="D262" i="159"/>
  <c r="J262" i="159"/>
  <c r="E262" i="159"/>
  <c r="C262" i="159"/>
  <c r="I263" i="159"/>
  <c r="D263" i="159"/>
  <c r="J263" i="159"/>
  <c r="E263" i="159"/>
  <c r="C263" i="159"/>
  <c r="I264" i="159"/>
  <c r="D264" i="159"/>
  <c r="J264" i="159"/>
  <c r="E264" i="159"/>
  <c r="C264" i="159"/>
  <c r="I265" i="159"/>
  <c r="D265" i="159"/>
  <c r="J265" i="159"/>
  <c r="E265" i="159"/>
  <c r="C265" i="159"/>
  <c r="I266" i="159"/>
  <c r="D266" i="159"/>
  <c r="J266" i="159"/>
  <c r="E266" i="159"/>
  <c r="C266" i="159"/>
  <c r="I267" i="159"/>
  <c r="D267" i="159"/>
  <c r="J267" i="159"/>
  <c r="E267" i="159"/>
  <c r="C267" i="159"/>
  <c r="I268" i="159"/>
  <c r="D268" i="159"/>
  <c r="J268" i="159"/>
  <c r="E268" i="159"/>
  <c r="C268" i="159"/>
  <c r="I269" i="159"/>
  <c r="D269" i="159"/>
  <c r="J269" i="159"/>
  <c r="E269" i="159"/>
  <c r="C269" i="159"/>
  <c r="I270" i="159"/>
  <c r="D270" i="159"/>
  <c r="J270" i="159"/>
  <c r="E270" i="159"/>
  <c r="C270" i="159"/>
  <c r="I271" i="159"/>
  <c r="D271" i="159"/>
  <c r="J271" i="159"/>
  <c r="E271" i="159"/>
  <c r="C271" i="159"/>
  <c r="I272" i="159"/>
  <c r="D272" i="159"/>
  <c r="J272" i="159"/>
  <c r="E272" i="159"/>
  <c r="C272" i="159"/>
  <c r="I273" i="159"/>
  <c r="D273" i="159"/>
  <c r="J273" i="159"/>
  <c r="E273" i="159"/>
  <c r="C273" i="159"/>
  <c r="I274" i="159"/>
  <c r="D274" i="159"/>
  <c r="J274" i="159"/>
  <c r="E274" i="159"/>
  <c r="C274" i="159"/>
  <c r="I275" i="159"/>
  <c r="D275" i="159"/>
  <c r="J275" i="159"/>
  <c r="E275" i="159"/>
  <c r="C275" i="159"/>
  <c r="I276" i="159"/>
  <c r="D276" i="159"/>
  <c r="J276" i="159"/>
  <c r="E276" i="159"/>
  <c r="C276" i="159"/>
  <c r="I277" i="159"/>
  <c r="D277" i="159"/>
  <c r="J277" i="159"/>
  <c r="E277" i="159"/>
  <c r="C277" i="159"/>
  <c r="I278" i="159"/>
  <c r="D278" i="159"/>
  <c r="J278" i="159"/>
  <c r="E278" i="159"/>
  <c r="C278" i="159"/>
  <c r="I279" i="159"/>
  <c r="D279" i="159"/>
  <c r="J279" i="159"/>
  <c r="E279" i="159"/>
  <c r="C279" i="159"/>
  <c r="I280" i="159"/>
  <c r="D280" i="159"/>
  <c r="J280" i="159"/>
  <c r="E280" i="159"/>
  <c r="C280" i="159"/>
  <c r="I281" i="159"/>
  <c r="D281" i="159"/>
  <c r="J281" i="159"/>
  <c r="E281" i="159"/>
  <c r="C281" i="159"/>
  <c r="I282" i="159"/>
  <c r="D282" i="159"/>
  <c r="J282" i="159"/>
  <c r="E282" i="159"/>
  <c r="C282" i="159"/>
  <c r="I283" i="159"/>
  <c r="D283" i="159"/>
  <c r="J283" i="159"/>
  <c r="E283" i="159"/>
  <c r="C283" i="159"/>
  <c r="I284" i="159"/>
  <c r="D284" i="159"/>
  <c r="J284" i="159"/>
  <c r="E284" i="159"/>
  <c r="C284" i="159"/>
  <c r="I285" i="159"/>
  <c r="D285" i="159"/>
  <c r="J285" i="159"/>
  <c r="E285" i="159"/>
  <c r="C285" i="159"/>
  <c r="I286" i="159"/>
  <c r="D286" i="159"/>
  <c r="J286" i="159"/>
  <c r="E286" i="159"/>
  <c r="C286" i="159"/>
  <c r="I287" i="159"/>
  <c r="D287" i="159"/>
  <c r="J287" i="159"/>
  <c r="E287" i="159"/>
  <c r="C287" i="159"/>
  <c r="I288" i="159"/>
  <c r="D288" i="159"/>
  <c r="J288" i="159"/>
  <c r="E288" i="159"/>
  <c r="C288" i="159"/>
  <c r="I289" i="159"/>
  <c r="D289" i="159"/>
  <c r="J289" i="159"/>
  <c r="E289" i="159"/>
  <c r="C289" i="159"/>
  <c r="I290" i="159"/>
  <c r="D290" i="159"/>
  <c r="J290" i="159"/>
  <c r="E290" i="159"/>
  <c r="C290" i="159"/>
  <c r="I291" i="159"/>
  <c r="D291" i="159"/>
  <c r="J291" i="159"/>
  <c r="E291" i="159"/>
  <c r="C291" i="159"/>
  <c r="I292" i="159"/>
  <c r="D292" i="159"/>
  <c r="J292" i="159"/>
  <c r="E292" i="159"/>
  <c r="C292" i="159"/>
  <c r="I293" i="159"/>
  <c r="D293" i="159"/>
  <c r="J293" i="159"/>
  <c r="E293" i="159"/>
  <c r="C293" i="159"/>
  <c r="I294" i="159"/>
  <c r="D294" i="159"/>
  <c r="J294" i="159"/>
  <c r="E294" i="159"/>
  <c r="C294" i="159"/>
  <c r="I295" i="159"/>
  <c r="D295" i="159"/>
  <c r="J295" i="159"/>
  <c r="E295" i="159"/>
  <c r="C295" i="159"/>
  <c r="I296" i="159"/>
  <c r="D296" i="159"/>
  <c r="J296" i="159"/>
  <c r="E296" i="159"/>
  <c r="C296" i="159"/>
  <c r="I297" i="159"/>
  <c r="D297" i="159"/>
  <c r="J297" i="159"/>
  <c r="E297" i="159"/>
  <c r="C297" i="159"/>
  <c r="I298" i="159"/>
  <c r="D298" i="159"/>
  <c r="J298" i="159"/>
  <c r="E298" i="159"/>
  <c r="C298" i="159"/>
  <c r="I299" i="159"/>
  <c r="D299" i="159"/>
  <c r="J299" i="159"/>
  <c r="E299" i="159"/>
  <c r="C299" i="159"/>
  <c r="I300" i="159"/>
  <c r="D300" i="159"/>
  <c r="J300" i="159"/>
  <c r="E300" i="159"/>
  <c r="C300" i="159"/>
  <c r="I301" i="159"/>
  <c r="D301" i="159"/>
  <c r="J301" i="159"/>
  <c r="E301" i="159"/>
  <c r="C301" i="159"/>
  <c r="I302" i="159"/>
  <c r="D302" i="159"/>
  <c r="J302" i="159"/>
  <c r="E302" i="159"/>
  <c r="C302" i="159"/>
  <c r="I303" i="159"/>
  <c r="D303" i="159"/>
  <c r="J303" i="159"/>
  <c r="E303" i="159"/>
  <c r="C303" i="159"/>
  <c r="I304" i="159"/>
  <c r="D304" i="159"/>
  <c r="J304" i="159"/>
  <c r="E304" i="159"/>
  <c r="C304" i="159"/>
  <c r="I305" i="159"/>
  <c r="D305" i="159"/>
  <c r="J305" i="159"/>
  <c r="E305" i="159"/>
  <c r="C305" i="159"/>
  <c r="I306" i="159"/>
  <c r="D306" i="159"/>
  <c r="J306" i="159"/>
  <c r="E306" i="159"/>
  <c r="C306" i="159"/>
  <c r="I307" i="159"/>
  <c r="D307" i="159"/>
  <c r="J307" i="159"/>
  <c r="E307" i="159"/>
  <c r="C307" i="159"/>
  <c r="I308" i="159"/>
  <c r="D308" i="159"/>
  <c r="J308" i="159"/>
  <c r="E308" i="159"/>
  <c r="C308" i="159"/>
  <c r="I309" i="159"/>
  <c r="D309" i="159"/>
  <c r="J309" i="159"/>
  <c r="E309" i="159"/>
  <c r="C309" i="159"/>
  <c r="I310" i="159"/>
  <c r="D310" i="159"/>
  <c r="J310" i="159"/>
  <c r="E310" i="159"/>
  <c r="C310" i="159"/>
  <c r="I311" i="159"/>
  <c r="D311" i="159"/>
  <c r="J311" i="159"/>
  <c r="E311" i="159"/>
  <c r="C311" i="159"/>
  <c r="I312" i="159"/>
  <c r="D312" i="159"/>
  <c r="J312" i="159"/>
  <c r="E312" i="159"/>
  <c r="C312" i="159"/>
  <c r="I313" i="159"/>
  <c r="D313" i="159"/>
  <c r="J313" i="159"/>
  <c r="E313" i="159"/>
  <c r="C313" i="159"/>
  <c r="I314" i="159"/>
  <c r="D314" i="159"/>
  <c r="J314" i="159"/>
  <c r="E314" i="159"/>
  <c r="C314" i="159"/>
  <c r="I315" i="159"/>
  <c r="D315" i="159"/>
  <c r="J315" i="159"/>
  <c r="E315" i="159"/>
  <c r="C315" i="159"/>
  <c r="I316" i="159"/>
  <c r="D316" i="159"/>
  <c r="J316" i="159"/>
  <c r="E316" i="159"/>
  <c r="C316" i="159"/>
  <c r="I317" i="159"/>
  <c r="D317" i="159"/>
  <c r="J317" i="159"/>
  <c r="E317" i="159"/>
  <c r="C317" i="159"/>
  <c r="I318" i="159"/>
  <c r="D318" i="159"/>
  <c r="J318" i="159"/>
  <c r="E318" i="159"/>
  <c r="C318" i="159"/>
  <c r="I319" i="159"/>
  <c r="D319" i="159"/>
  <c r="J319" i="159"/>
  <c r="E319" i="159"/>
  <c r="C319" i="159"/>
  <c r="I320" i="159"/>
  <c r="D320" i="159"/>
  <c r="J320" i="159"/>
  <c r="E320" i="159"/>
  <c r="C320" i="159"/>
  <c r="I321" i="159"/>
  <c r="D321" i="159"/>
  <c r="J321" i="159"/>
  <c r="E321" i="159"/>
  <c r="C321" i="159"/>
  <c r="I322" i="159"/>
  <c r="D322" i="159"/>
  <c r="J322" i="159"/>
  <c r="E322" i="159"/>
  <c r="C322" i="159"/>
  <c r="I323" i="159"/>
  <c r="D323" i="159"/>
  <c r="J323" i="159"/>
  <c r="E323" i="159"/>
  <c r="C323" i="159"/>
  <c r="I324" i="159"/>
  <c r="D324" i="159"/>
  <c r="J324" i="159"/>
  <c r="E324" i="159"/>
  <c r="C324" i="159"/>
  <c r="I325" i="159"/>
  <c r="D325" i="159"/>
  <c r="J325" i="159"/>
  <c r="E325" i="159"/>
  <c r="C325" i="159"/>
  <c r="I326" i="159"/>
  <c r="D326" i="159"/>
  <c r="J326" i="159"/>
  <c r="E326" i="159"/>
  <c r="C326" i="159"/>
  <c r="I327" i="159"/>
  <c r="D327" i="159"/>
  <c r="J327" i="159"/>
  <c r="E327" i="159"/>
  <c r="C327" i="159"/>
  <c r="I328" i="159"/>
  <c r="D328" i="159"/>
  <c r="J328" i="159"/>
  <c r="E328" i="159"/>
  <c r="C328" i="159"/>
  <c r="I329" i="159"/>
  <c r="D329" i="159"/>
  <c r="J329" i="159"/>
  <c r="E329" i="159"/>
  <c r="C329" i="159"/>
  <c r="I330" i="159"/>
  <c r="D330" i="159"/>
  <c r="J330" i="159"/>
  <c r="E330" i="159"/>
  <c r="C330" i="159"/>
  <c r="I331" i="159"/>
  <c r="D331" i="159"/>
  <c r="J331" i="159"/>
  <c r="E331" i="159"/>
  <c r="C331" i="159"/>
  <c r="I332" i="159"/>
  <c r="D332" i="159"/>
  <c r="J332" i="159"/>
  <c r="E332" i="159"/>
  <c r="C332" i="159"/>
  <c r="I333" i="159"/>
  <c r="D333" i="159"/>
  <c r="J333" i="159"/>
  <c r="E333" i="159"/>
  <c r="C333" i="159"/>
  <c r="I334" i="159"/>
  <c r="D334" i="159"/>
  <c r="J334" i="159"/>
  <c r="E334" i="159"/>
  <c r="C334" i="159"/>
  <c r="I335" i="159"/>
  <c r="D335" i="159"/>
  <c r="J335" i="159"/>
  <c r="E335" i="159"/>
  <c r="C335" i="159"/>
  <c r="I336" i="159"/>
  <c r="D336" i="159"/>
  <c r="J336" i="159"/>
  <c r="E336" i="159"/>
  <c r="C336" i="159"/>
  <c r="I337" i="159"/>
  <c r="D337" i="159"/>
  <c r="J337" i="159"/>
  <c r="E337" i="159"/>
  <c r="C337" i="159"/>
  <c r="I338" i="159"/>
  <c r="D338" i="159"/>
  <c r="J338" i="159"/>
  <c r="E338" i="159"/>
  <c r="C338" i="159"/>
  <c r="I339" i="159"/>
  <c r="D339" i="159"/>
  <c r="J339" i="159"/>
  <c r="E339" i="159"/>
  <c r="C339" i="159"/>
  <c r="I340" i="159"/>
  <c r="D340" i="159"/>
  <c r="J340" i="159"/>
  <c r="E340" i="159"/>
  <c r="C340" i="159"/>
  <c r="I341" i="159"/>
  <c r="D341" i="159"/>
  <c r="J341" i="159"/>
  <c r="E341" i="159"/>
  <c r="C341" i="159"/>
  <c r="I342" i="159"/>
  <c r="D342" i="159"/>
  <c r="J342" i="159"/>
  <c r="E342" i="159"/>
  <c r="C342" i="159"/>
  <c r="I343" i="159"/>
  <c r="D343" i="159"/>
  <c r="J343" i="159"/>
  <c r="E343" i="159"/>
  <c r="C343" i="159"/>
  <c r="I344" i="159"/>
  <c r="D344" i="159"/>
  <c r="J344" i="159"/>
  <c r="E344" i="159"/>
  <c r="C344" i="159"/>
  <c r="I345" i="159"/>
  <c r="D345" i="159"/>
  <c r="J345" i="159"/>
  <c r="E345" i="159"/>
  <c r="C345" i="159"/>
  <c r="I346" i="159"/>
  <c r="D346" i="159"/>
  <c r="J346" i="159"/>
  <c r="E346" i="159"/>
  <c r="C346" i="159"/>
  <c r="I347" i="159"/>
  <c r="D347" i="159"/>
  <c r="J347" i="159"/>
  <c r="E347" i="159"/>
  <c r="C347" i="159"/>
  <c r="I348" i="159"/>
  <c r="D348" i="159"/>
  <c r="J348" i="159"/>
  <c r="E348" i="159"/>
  <c r="C348" i="159"/>
  <c r="I349" i="159"/>
  <c r="D349" i="159"/>
  <c r="J349" i="159"/>
  <c r="E349" i="159"/>
  <c r="C349" i="159"/>
  <c r="I350" i="159"/>
  <c r="D350" i="159"/>
  <c r="J350" i="159"/>
  <c r="E350" i="159"/>
  <c r="C350" i="159"/>
  <c r="I351" i="159"/>
  <c r="D351" i="159"/>
  <c r="J351" i="159"/>
  <c r="E351" i="159"/>
  <c r="C351" i="159"/>
  <c r="I352" i="159"/>
  <c r="D352" i="159"/>
  <c r="J352" i="159"/>
  <c r="E352" i="159"/>
  <c r="C352" i="159"/>
  <c r="I353" i="159"/>
  <c r="D353" i="159"/>
  <c r="J353" i="159"/>
  <c r="E353" i="159"/>
  <c r="C353" i="159"/>
  <c r="I354" i="159"/>
  <c r="D354" i="159"/>
  <c r="J354" i="159"/>
  <c r="E354" i="159"/>
  <c r="C354" i="159"/>
  <c r="I355" i="159"/>
  <c r="D355" i="159"/>
  <c r="J355" i="159"/>
  <c r="E355" i="159"/>
  <c r="C355" i="159"/>
  <c r="I356" i="159"/>
  <c r="D356" i="159"/>
  <c r="J356" i="159"/>
  <c r="E356" i="159"/>
  <c r="C356" i="159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38" i="158"/>
  <c r="F8" i="158"/>
  <c r="E8" i="158"/>
  <c r="C46" i="158"/>
  <c r="B38" i="158"/>
  <c r="E37" i="158"/>
  <c r="B37" i="158"/>
  <c r="E41" i="158"/>
  <c r="B41" i="158"/>
  <c r="F6" i="158"/>
  <c r="E6" i="158"/>
  <c r="E43" i="158"/>
  <c r="B43" i="158"/>
  <c r="E44" i="158"/>
  <c r="B44" i="158"/>
  <c r="B36" i="158"/>
  <c r="I2" i="150"/>
  <c r="J2" i="150"/>
  <c r="D2" i="150"/>
  <c r="E2" i="150"/>
  <c r="C2" i="150"/>
  <c r="I3" i="150"/>
  <c r="J3" i="150"/>
  <c r="D3" i="150"/>
  <c r="E3" i="150"/>
  <c r="C3" i="150"/>
  <c r="I4" i="150"/>
  <c r="J4" i="150"/>
  <c r="D4" i="150"/>
  <c r="E4" i="150"/>
  <c r="C4" i="150"/>
  <c r="I5" i="150"/>
  <c r="J5" i="150"/>
  <c r="D5" i="150"/>
  <c r="E5" i="150"/>
  <c r="C5" i="150"/>
  <c r="I6" i="150"/>
  <c r="J6" i="150"/>
  <c r="D6" i="150"/>
  <c r="E6" i="150"/>
  <c r="C6" i="150"/>
  <c r="I7" i="150"/>
  <c r="J7" i="150"/>
  <c r="D7" i="150"/>
  <c r="E7" i="150"/>
  <c r="C7" i="150"/>
  <c r="I8" i="150"/>
  <c r="J8" i="150"/>
  <c r="D8" i="150"/>
  <c r="E8" i="150"/>
  <c r="C8" i="150"/>
  <c r="I9" i="150"/>
  <c r="J9" i="150"/>
  <c r="D9" i="150"/>
  <c r="E9" i="150"/>
  <c r="C9" i="150"/>
  <c r="I10" i="150"/>
  <c r="J10" i="150"/>
  <c r="D10" i="150"/>
  <c r="E10" i="150"/>
  <c r="C10" i="150"/>
  <c r="I11" i="150"/>
  <c r="J11" i="150"/>
  <c r="D11" i="150"/>
  <c r="E11" i="150"/>
  <c r="C11" i="150"/>
  <c r="I12" i="150"/>
  <c r="J12" i="150"/>
  <c r="D12" i="150"/>
  <c r="E12" i="150"/>
  <c r="C12" i="150"/>
  <c r="I13" i="150"/>
  <c r="J13" i="150"/>
  <c r="D13" i="150"/>
  <c r="E13" i="150"/>
  <c r="C13" i="150"/>
  <c r="I14" i="150"/>
  <c r="J14" i="150"/>
  <c r="D14" i="150"/>
  <c r="E14" i="150"/>
  <c r="C14" i="150"/>
  <c r="I15" i="150"/>
  <c r="J15" i="150"/>
  <c r="D15" i="150"/>
  <c r="E15" i="150"/>
  <c r="C15" i="150"/>
  <c r="I16" i="150"/>
  <c r="J16" i="150"/>
  <c r="D16" i="150"/>
  <c r="E16" i="150"/>
  <c r="C16" i="150"/>
  <c r="I17" i="150"/>
  <c r="J17" i="150"/>
  <c r="D17" i="150"/>
  <c r="E17" i="150"/>
  <c r="C17" i="150"/>
  <c r="I18" i="150"/>
  <c r="J18" i="150"/>
  <c r="D18" i="150"/>
  <c r="E18" i="150"/>
  <c r="C18" i="150"/>
  <c r="I19" i="150"/>
  <c r="J19" i="150"/>
  <c r="D19" i="150"/>
  <c r="E19" i="150"/>
  <c r="C19" i="150"/>
  <c r="I20" i="150"/>
  <c r="J20" i="150"/>
  <c r="D20" i="150"/>
  <c r="E20" i="150"/>
  <c r="C20" i="150"/>
  <c r="I21" i="150"/>
  <c r="J21" i="150"/>
  <c r="D21" i="150"/>
  <c r="E21" i="150"/>
  <c r="C21" i="150"/>
  <c r="I22" i="150"/>
  <c r="J22" i="150"/>
  <c r="D22" i="150"/>
  <c r="E22" i="150"/>
  <c r="C22" i="150"/>
  <c r="I23" i="150"/>
  <c r="J23" i="150"/>
  <c r="D23" i="150"/>
  <c r="E23" i="150"/>
  <c r="C23" i="150"/>
  <c r="I24" i="150"/>
  <c r="J24" i="150"/>
  <c r="D24" i="150"/>
  <c r="E24" i="150"/>
  <c r="C24" i="150"/>
  <c r="I25" i="150"/>
  <c r="J25" i="150"/>
  <c r="D25" i="150"/>
  <c r="E25" i="150"/>
  <c r="C25" i="150"/>
  <c r="I26" i="150"/>
  <c r="J26" i="150"/>
  <c r="D26" i="150"/>
  <c r="E26" i="150"/>
  <c r="C26" i="150"/>
  <c r="I27" i="150"/>
  <c r="J27" i="150"/>
  <c r="D27" i="150"/>
  <c r="E27" i="150"/>
  <c r="C27" i="150"/>
  <c r="I28" i="150"/>
  <c r="J28" i="150"/>
  <c r="D28" i="150"/>
  <c r="E28" i="150"/>
  <c r="C28" i="150"/>
  <c r="I29" i="150"/>
  <c r="J29" i="150"/>
  <c r="D29" i="150"/>
  <c r="E29" i="150"/>
  <c r="C29" i="150"/>
  <c r="I30" i="150"/>
  <c r="J30" i="150"/>
  <c r="D30" i="150"/>
  <c r="E30" i="150"/>
  <c r="C30" i="150"/>
  <c r="I31" i="150"/>
  <c r="J31" i="150"/>
  <c r="D31" i="150"/>
  <c r="E31" i="150"/>
  <c r="C31" i="150"/>
  <c r="I32" i="150"/>
  <c r="J32" i="150"/>
  <c r="D32" i="150"/>
  <c r="E32" i="150"/>
  <c r="C32" i="150"/>
  <c r="I33" i="150"/>
  <c r="J33" i="150"/>
  <c r="D33" i="150"/>
  <c r="E33" i="150"/>
  <c r="C33" i="150"/>
  <c r="I34" i="150"/>
  <c r="J34" i="150"/>
  <c r="D34" i="150"/>
  <c r="E34" i="150"/>
  <c r="C34" i="150"/>
  <c r="I35" i="150"/>
  <c r="J35" i="150"/>
  <c r="D35" i="150"/>
  <c r="E35" i="150"/>
  <c r="C35" i="150"/>
  <c r="I36" i="150"/>
  <c r="J36" i="150"/>
  <c r="D36" i="150"/>
  <c r="E36" i="150"/>
  <c r="C36" i="150"/>
  <c r="I37" i="150"/>
  <c r="J37" i="150"/>
  <c r="D37" i="150"/>
  <c r="E37" i="150"/>
  <c r="C37" i="150"/>
  <c r="I38" i="150"/>
  <c r="J38" i="150"/>
  <c r="D38" i="150"/>
  <c r="E38" i="150"/>
  <c r="C38" i="150"/>
  <c r="I39" i="150"/>
  <c r="J39" i="150"/>
  <c r="D39" i="150"/>
  <c r="E39" i="150"/>
  <c r="C39" i="150"/>
  <c r="I40" i="150"/>
  <c r="J40" i="150"/>
  <c r="D40" i="150"/>
  <c r="E40" i="150"/>
  <c r="C40" i="150"/>
  <c r="I41" i="150"/>
  <c r="J41" i="150"/>
  <c r="D41" i="150"/>
  <c r="E41" i="150"/>
  <c r="C41" i="150"/>
  <c r="I42" i="150"/>
  <c r="D42" i="150"/>
  <c r="J42" i="150"/>
  <c r="E42" i="150"/>
  <c r="C42" i="150"/>
  <c r="I43" i="150"/>
  <c r="D43" i="150"/>
  <c r="J43" i="150"/>
  <c r="E43" i="150"/>
  <c r="C43" i="150"/>
  <c r="I44" i="150"/>
  <c r="D44" i="150"/>
  <c r="J44" i="150"/>
  <c r="E44" i="150"/>
  <c r="C44" i="150"/>
  <c r="I45" i="150"/>
  <c r="D45" i="150"/>
  <c r="J45" i="150"/>
  <c r="E45" i="150"/>
  <c r="C45" i="150"/>
  <c r="I46" i="150"/>
  <c r="D46" i="150"/>
  <c r="J46" i="150"/>
  <c r="E46" i="150"/>
  <c r="C46" i="150"/>
  <c r="I47" i="150"/>
  <c r="D47" i="150"/>
  <c r="J47" i="150"/>
  <c r="E47" i="150"/>
  <c r="C47" i="150"/>
  <c r="I48" i="150"/>
  <c r="D48" i="150"/>
  <c r="J48" i="150"/>
  <c r="E48" i="150"/>
  <c r="C48" i="150"/>
  <c r="I49" i="150"/>
  <c r="D49" i="150"/>
  <c r="J49" i="150"/>
  <c r="E49" i="150"/>
  <c r="C49" i="150"/>
  <c r="I50" i="150"/>
  <c r="D50" i="150"/>
  <c r="J50" i="150"/>
  <c r="E50" i="150"/>
  <c r="C50" i="150"/>
  <c r="I51" i="150"/>
  <c r="D51" i="150"/>
  <c r="J51" i="150"/>
  <c r="E51" i="150"/>
  <c r="C51" i="150"/>
  <c r="I52" i="150"/>
  <c r="D52" i="150"/>
  <c r="J52" i="150"/>
  <c r="E52" i="150"/>
  <c r="C52" i="150"/>
  <c r="I53" i="150"/>
  <c r="D53" i="150"/>
  <c r="J53" i="150"/>
  <c r="E53" i="150"/>
  <c r="C53" i="150"/>
  <c r="I54" i="150"/>
  <c r="D54" i="150"/>
  <c r="J54" i="150"/>
  <c r="E54" i="150"/>
  <c r="C54" i="150"/>
  <c r="I55" i="150"/>
  <c r="D55" i="150"/>
  <c r="J55" i="150"/>
  <c r="E55" i="150"/>
  <c r="C55" i="150"/>
  <c r="I56" i="150"/>
  <c r="D56" i="150"/>
  <c r="J56" i="150"/>
  <c r="E56" i="150"/>
  <c r="C56" i="150"/>
  <c r="I57" i="150"/>
  <c r="D57" i="150"/>
  <c r="J57" i="150"/>
  <c r="E57" i="150"/>
  <c r="C57" i="150"/>
  <c r="I58" i="150"/>
  <c r="D58" i="150"/>
  <c r="J58" i="150"/>
  <c r="E58" i="150"/>
  <c r="C58" i="150"/>
  <c r="I59" i="150"/>
  <c r="D59" i="150"/>
  <c r="J59" i="150"/>
  <c r="E59" i="150"/>
  <c r="C59" i="150"/>
  <c r="I60" i="150"/>
  <c r="D60" i="150"/>
  <c r="J60" i="150"/>
  <c r="E60" i="150"/>
  <c r="C60" i="150"/>
  <c r="I61" i="150"/>
  <c r="D61" i="150"/>
  <c r="J61" i="150"/>
  <c r="E61" i="150"/>
  <c r="C61" i="150"/>
  <c r="I62" i="150"/>
  <c r="D62" i="150"/>
  <c r="J62" i="150"/>
  <c r="E62" i="150"/>
  <c r="C62" i="150"/>
  <c r="I63" i="150"/>
  <c r="D63" i="150"/>
  <c r="J63" i="150"/>
  <c r="E63" i="150"/>
  <c r="C63" i="150"/>
  <c r="I64" i="150"/>
  <c r="D64" i="150"/>
  <c r="J64" i="150"/>
  <c r="E64" i="150"/>
  <c r="C64" i="150"/>
  <c r="I65" i="150"/>
  <c r="D65" i="150"/>
  <c r="J65" i="150"/>
  <c r="E65" i="150"/>
  <c r="C65" i="150"/>
  <c r="I66" i="150"/>
  <c r="D66" i="150"/>
  <c r="J66" i="150"/>
  <c r="E66" i="150"/>
  <c r="C66" i="150"/>
  <c r="I67" i="150"/>
  <c r="D67" i="150"/>
  <c r="J67" i="150"/>
  <c r="E67" i="150"/>
  <c r="C67" i="150"/>
  <c r="I68" i="150"/>
  <c r="D68" i="150"/>
  <c r="J68" i="150"/>
  <c r="E68" i="150"/>
  <c r="C68" i="150"/>
  <c r="I69" i="150"/>
  <c r="D69" i="150"/>
  <c r="J69" i="150"/>
  <c r="E69" i="150"/>
  <c r="C69" i="150"/>
  <c r="I70" i="150"/>
  <c r="D70" i="150"/>
  <c r="J70" i="150"/>
  <c r="E70" i="150"/>
  <c r="C70" i="150"/>
  <c r="I71" i="150"/>
  <c r="D71" i="150"/>
  <c r="J71" i="150"/>
  <c r="E71" i="150"/>
  <c r="C71" i="150"/>
  <c r="I72" i="150"/>
  <c r="D72" i="150"/>
  <c r="J72" i="150"/>
  <c r="E72" i="150"/>
  <c r="C72" i="150"/>
  <c r="I73" i="150"/>
  <c r="D73" i="150"/>
  <c r="J73" i="150"/>
  <c r="E73" i="150"/>
  <c r="C73" i="150"/>
  <c r="I74" i="150"/>
  <c r="D74" i="150"/>
  <c r="J74" i="150"/>
  <c r="E74" i="150"/>
  <c r="C74" i="150"/>
  <c r="I75" i="150"/>
  <c r="D75" i="150"/>
  <c r="J75" i="150"/>
  <c r="E75" i="150"/>
  <c r="C75" i="150"/>
  <c r="I76" i="150"/>
  <c r="D76" i="150"/>
  <c r="J76" i="150"/>
  <c r="E76" i="150"/>
  <c r="C76" i="150"/>
  <c r="I77" i="150"/>
  <c r="D77" i="150"/>
  <c r="J77" i="150"/>
  <c r="E77" i="150"/>
  <c r="C77" i="150"/>
  <c r="I78" i="150"/>
  <c r="D78" i="150"/>
  <c r="J78" i="150"/>
  <c r="E78" i="150"/>
  <c r="C78" i="150"/>
  <c r="I79" i="150"/>
  <c r="D79" i="150"/>
  <c r="J79" i="150"/>
  <c r="E79" i="150"/>
  <c r="C79" i="150"/>
  <c r="I80" i="150"/>
  <c r="D80" i="150"/>
  <c r="J80" i="150"/>
  <c r="E80" i="150"/>
  <c r="C80" i="150"/>
  <c r="I81" i="150"/>
  <c r="D81" i="150"/>
  <c r="J81" i="150"/>
  <c r="E81" i="150"/>
  <c r="C81" i="150"/>
  <c r="I82" i="150"/>
  <c r="D82" i="150"/>
  <c r="J82" i="150"/>
  <c r="E82" i="150"/>
  <c r="C82" i="150"/>
  <c r="I83" i="150"/>
  <c r="D83" i="150"/>
  <c r="J83" i="150"/>
  <c r="E83" i="150"/>
  <c r="C83" i="150"/>
  <c r="I84" i="150"/>
  <c r="D84" i="150"/>
  <c r="J84" i="150"/>
  <c r="E84" i="150"/>
  <c r="C84" i="150"/>
  <c r="I85" i="150"/>
  <c r="D85" i="150"/>
  <c r="J85" i="150"/>
  <c r="E85" i="150"/>
  <c r="C85" i="150"/>
  <c r="I86" i="150"/>
  <c r="D86" i="150"/>
  <c r="J86" i="150"/>
  <c r="E86" i="150"/>
  <c r="C86" i="150"/>
  <c r="I87" i="150"/>
  <c r="D87" i="150"/>
  <c r="J87" i="150"/>
  <c r="E87" i="150"/>
  <c r="C87" i="150"/>
  <c r="I88" i="150"/>
  <c r="D88" i="150"/>
  <c r="J88" i="150"/>
  <c r="E88" i="150"/>
  <c r="C88" i="150"/>
  <c r="I89" i="150"/>
  <c r="D89" i="150"/>
  <c r="J89" i="150"/>
  <c r="E89" i="150"/>
  <c r="C89" i="150"/>
  <c r="I90" i="150"/>
  <c r="D90" i="150"/>
  <c r="J90" i="150"/>
  <c r="E90" i="150"/>
  <c r="C90" i="150"/>
  <c r="I91" i="150"/>
  <c r="D91" i="150"/>
  <c r="J91" i="150"/>
  <c r="E91" i="150"/>
  <c r="C91" i="150"/>
  <c r="I92" i="150"/>
  <c r="D92" i="150"/>
  <c r="J92" i="150"/>
  <c r="E92" i="150"/>
  <c r="C92" i="150"/>
  <c r="I93" i="150"/>
  <c r="D93" i="150"/>
  <c r="J93" i="150"/>
  <c r="E93" i="150"/>
  <c r="C93" i="150"/>
  <c r="I94" i="150"/>
  <c r="D94" i="150"/>
  <c r="J94" i="150"/>
  <c r="E94" i="150"/>
  <c r="C94" i="150"/>
  <c r="I95" i="150"/>
  <c r="D95" i="150"/>
  <c r="J95" i="150"/>
  <c r="E95" i="150"/>
  <c r="C95" i="150"/>
  <c r="I96" i="150"/>
  <c r="D96" i="150"/>
  <c r="J96" i="150"/>
  <c r="E96" i="150"/>
  <c r="C96" i="150"/>
  <c r="I97" i="150"/>
  <c r="D97" i="150"/>
  <c r="J97" i="150"/>
  <c r="E97" i="150"/>
  <c r="C97" i="150"/>
  <c r="I98" i="150"/>
  <c r="D98" i="150"/>
  <c r="J98" i="150"/>
  <c r="E98" i="150"/>
  <c r="C98" i="150"/>
  <c r="I99" i="150"/>
  <c r="D99" i="150"/>
  <c r="J99" i="150"/>
  <c r="E99" i="150"/>
  <c r="C99" i="150"/>
  <c r="I100" i="150"/>
  <c r="D100" i="150"/>
  <c r="J100" i="150"/>
  <c r="E100" i="150"/>
  <c r="C100" i="150"/>
  <c r="I101" i="150"/>
  <c r="D101" i="150"/>
  <c r="J101" i="150"/>
  <c r="E101" i="150"/>
  <c r="C101" i="150"/>
  <c r="I102" i="150"/>
  <c r="D102" i="150"/>
  <c r="J102" i="150"/>
  <c r="E102" i="150"/>
  <c r="C102" i="150"/>
  <c r="I103" i="150"/>
  <c r="D103" i="150"/>
  <c r="J103" i="150"/>
  <c r="E103" i="150"/>
  <c r="C103" i="150"/>
  <c r="I104" i="150"/>
  <c r="D104" i="150"/>
  <c r="J104" i="150"/>
  <c r="E104" i="150"/>
  <c r="C104" i="150"/>
  <c r="I105" i="150"/>
  <c r="D105" i="150"/>
  <c r="J105" i="150"/>
  <c r="E105" i="150"/>
  <c r="C105" i="150"/>
  <c r="I106" i="150"/>
  <c r="D106" i="150"/>
  <c r="J106" i="150"/>
  <c r="E106" i="150"/>
  <c r="C106" i="150"/>
  <c r="I107" i="150"/>
  <c r="D107" i="150"/>
  <c r="J107" i="150"/>
  <c r="E107" i="150"/>
  <c r="C107" i="150"/>
  <c r="I108" i="150"/>
  <c r="D108" i="150"/>
  <c r="J108" i="150"/>
  <c r="E108" i="150"/>
  <c r="C108" i="150"/>
  <c r="I109" i="150"/>
  <c r="D109" i="150"/>
  <c r="J109" i="150"/>
  <c r="E109" i="150"/>
  <c r="C109" i="150"/>
  <c r="I110" i="150"/>
  <c r="D110" i="150"/>
  <c r="J110" i="150"/>
  <c r="E110" i="150"/>
  <c r="C110" i="150"/>
  <c r="I111" i="150"/>
  <c r="D111" i="150"/>
  <c r="J111" i="150"/>
  <c r="E111" i="150"/>
  <c r="C111" i="150"/>
  <c r="I112" i="150"/>
  <c r="D112" i="150"/>
  <c r="J112" i="150"/>
  <c r="E112" i="150"/>
  <c r="C112" i="150"/>
  <c r="I113" i="150"/>
  <c r="D113" i="150"/>
  <c r="J113" i="150"/>
  <c r="E113" i="150"/>
  <c r="C113" i="150"/>
  <c r="I114" i="150"/>
  <c r="D114" i="150"/>
  <c r="J114" i="150"/>
  <c r="E114" i="150"/>
  <c r="C114" i="150"/>
  <c r="I115" i="150"/>
  <c r="D115" i="150"/>
  <c r="J115" i="150"/>
  <c r="E115" i="150"/>
  <c r="C115" i="150"/>
  <c r="I116" i="150"/>
  <c r="D116" i="150"/>
  <c r="J116" i="150"/>
  <c r="E116" i="150"/>
  <c r="C116" i="150"/>
  <c r="I117" i="150"/>
  <c r="D117" i="150"/>
  <c r="J117" i="150"/>
  <c r="E117" i="150"/>
  <c r="C117" i="150"/>
  <c r="I118" i="150"/>
  <c r="D118" i="150"/>
  <c r="J118" i="150"/>
  <c r="E118" i="150"/>
  <c r="C118" i="150"/>
  <c r="I119" i="150"/>
  <c r="D119" i="150"/>
  <c r="J119" i="150"/>
  <c r="E119" i="150"/>
  <c r="C119" i="150"/>
  <c r="I120" i="150"/>
  <c r="D120" i="150"/>
  <c r="J120" i="150"/>
  <c r="E120" i="150"/>
  <c r="C120" i="150"/>
  <c r="I121" i="150"/>
  <c r="D121" i="150"/>
  <c r="J121" i="150"/>
  <c r="E121" i="150"/>
  <c r="C121" i="150"/>
  <c r="I122" i="150"/>
  <c r="D122" i="150"/>
  <c r="J122" i="150"/>
  <c r="E122" i="150"/>
  <c r="C122" i="150"/>
  <c r="I123" i="150"/>
  <c r="D123" i="150"/>
  <c r="J123" i="150"/>
  <c r="E123" i="150"/>
  <c r="C123" i="150"/>
  <c r="I124" i="150"/>
  <c r="D124" i="150"/>
  <c r="J124" i="150"/>
  <c r="E124" i="150"/>
  <c r="C124" i="150"/>
  <c r="I125" i="150"/>
  <c r="D125" i="150"/>
  <c r="J125" i="150"/>
  <c r="E125" i="150"/>
  <c r="C125" i="150"/>
  <c r="I126" i="150"/>
  <c r="D126" i="150"/>
  <c r="J126" i="150"/>
  <c r="E126" i="150"/>
  <c r="C126" i="150"/>
  <c r="I127" i="150"/>
  <c r="D127" i="150"/>
  <c r="J127" i="150"/>
  <c r="E127" i="150"/>
  <c r="C127" i="150"/>
  <c r="I128" i="150"/>
  <c r="D128" i="150"/>
  <c r="J128" i="150"/>
  <c r="E128" i="150"/>
  <c r="C128" i="150"/>
  <c r="I129" i="150"/>
  <c r="D129" i="150"/>
  <c r="J129" i="150"/>
  <c r="E129" i="150"/>
  <c r="C129" i="150"/>
  <c r="I130" i="150"/>
  <c r="D130" i="150"/>
  <c r="J130" i="150"/>
  <c r="E130" i="150"/>
  <c r="C130" i="150"/>
  <c r="I131" i="150"/>
  <c r="D131" i="150"/>
  <c r="J131" i="150"/>
  <c r="E131" i="150"/>
  <c r="C131" i="150"/>
  <c r="I132" i="150"/>
  <c r="D132" i="150"/>
  <c r="J132" i="150"/>
  <c r="E132" i="150"/>
  <c r="C132" i="150"/>
  <c r="I133" i="150"/>
  <c r="D133" i="150"/>
  <c r="J133" i="150"/>
  <c r="E133" i="150"/>
  <c r="C133" i="150"/>
  <c r="I134" i="150"/>
  <c r="D134" i="150"/>
  <c r="J134" i="150"/>
  <c r="E134" i="150"/>
  <c r="C134" i="150"/>
  <c r="I135" i="150"/>
  <c r="D135" i="150"/>
  <c r="J135" i="150"/>
  <c r="E135" i="150"/>
  <c r="C135" i="150"/>
  <c r="I136" i="150"/>
  <c r="D136" i="150"/>
  <c r="J136" i="150"/>
  <c r="E136" i="150"/>
  <c r="C136" i="150"/>
  <c r="I137" i="150"/>
  <c r="D137" i="150"/>
  <c r="J137" i="150"/>
  <c r="E137" i="150"/>
  <c r="C137" i="150"/>
  <c r="I138" i="150"/>
  <c r="D138" i="150"/>
  <c r="J138" i="150"/>
  <c r="E138" i="150"/>
  <c r="C138" i="150"/>
  <c r="I139" i="150"/>
  <c r="D139" i="150"/>
  <c r="J139" i="150"/>
  <c r="E139" i="150"/>
  <c r="C139" i="150"/>
  <c r="I140" i="150"/>
  <c r="D140" i="150"/>
  <c r="J140" i="150"/>
  <c r="E140" i="150"/>
  <c r="C140" i="150"/>
  <c r="I141" i="150"/>
  <c r="D141" i="150"/>
  <c r="J141" i="150"/>
  <c r="E141" i="150"/>
  <c r="C141" i="150"/>
  <c r="I142" i="150"/>
  <c r="D142" i="150"/>
  <c r="J142" i="150"/>
  <c r="E142" i="150"/>
  <c r="C142" i="150"/>
  <c r="I143" i="150"/>
  <c r="D143" i="150"/>
  <c r="J143" i="150"/>
  <c r="E143" i="150"/>
  <c r="C143" i="150"/>
  <c r="I144" i="150"/>
  <c r="D144" i="150"/>
  <c r="J144" i="150"/>
  <c r="E144" i="150"/>
  <c r="C144" i="150"/>
  <c r="I145" i="150"/>
  <c r="D145" i="150"/>
  <c r="J145" i="150"/>
  <c r="E145" i="150"/>
  <c r="C145" i="150"/>
  <c r="I146" i="150"/>
  <c r="D146" i="150"/>
  <c r="J146" i="150"/>
  <c r="E146" i="150"/>
  <c r="C146" i="150"/>
  <c r="I147" i="150"/>
  <c r="D147" i="150"/>
  <c r="J147" i="150"/>
  <c r="E147" i="150"/>
  <c r="C147" i="150"/>
  <c r="I148" i="150"/>
  <c r="D148" i="150"/>
  <c r="J148" i="150"/>
  <c r="E148" i="150"/>
  <c r="C148" i="150"/>
  <c r="I149" i="150"/>
  <c r="D149" i="150"/>
  <c r="J149" i="150"/>
  <c r="E149" i="150"/>
  <c r="C149" i="150"/>
  <c r="I150" i="150"/>
  <c r="D150" i="150"/>
  <c r="J150" i="150"/>
  <c r="E150" i="150"/>
  <c r="C150" i="150"/>
  <c r="I151" i="150"/>
  <c r="D151" i="150"/>
  <c r="J151" i="150"/>
  <c r="E151" i="150"/>
  <c r="C151" i="150"/>
  <c r="I152" i="150"/>
  <c r="D152" i="150"/>
  <c r="J152" i="150"/>
  <c r="E152" i="150"/>
  <c r="C152" i="150"/>
  <c r="I153" i="150"/>
  <c r="D153" i="150"/>
  <c r="J153" i="150"/>
  <c r="E153" i="150"/>
  <c r="C153" i="150"/>
  <c r="I154" i="150"/>
  <c r="D154" i="150"/>
  <c r="J154" i="150"/>
  <c r="E154" i="150"/>
  <c r="C154" i="150"/>
  <c r="I155" i="150"/>
  <c r="D155" i="150"/>
  <c r="J155" i="150"/>
  <c r="E155" i="150"/>
  <c r="C155" i="150"/>
  <c r="I156" i="150"/>
  <c r="D156" i="150"/>
  <c r="J156" i="150"/>
  <c r="E156" i="150"/>
  <c r="C156" i="150"/>
  <c r="I157" i="150"/>
  <c r="D157" i="150"/>
  <c r="J157" i="150"/>
  <c r="E157" i="150"/>
  <c r="C157" i="150"/>
  <c r="I158" i="150"/>
  <c r="D158" i="150"/>
  <c r="J158" i="150"/>
  <c r="E158" i="150"/>
  <c r="C158" i="150"/>
  <c r="I159" i="150"/>
  <c r="D159" i="150"/>
  <c r="J159" i="150"/>
  <c r="E159" i="150"/>
  <c r="C159" i="150"/>
  <c r="I160" i="150"/>
  <c r="D160" i="150"/>
  <c r="J160" i="150"/>
  <c r="E160" i="150"/>
  <c r="C160" i="150"/>
  <c r="I161" i="150"/>
  <c r="D161" i="150"/>
  <c r="J161" i="150"/>
  <c r="E161" i="150"/>
  <c r="C161" i="150"/>
  <c r="I162" i="150"/>
  <c r="D162" i="150"/>
  <c r="J162" i="150"/>
  <c r="E162" i="150"/>
  <c r="C162" i="150"/>
  <c r="I163" i="150"/>
  <c r="D163" i="150"/>
  <c r="J163" i="150"/>
  <c r="E163" i="150"/>
  <c r="C163" i="150"/>
  <c r="I164" i="150"/>
  <c r="D164" i="150"/>
  <c r="J164" i="150"/>
  <c r="E164" i="150"/>
  <c r="C164" i="150"/>
  <c r="I165" i="150"/>
  <c r="D165" i="150"/>
  <c r="J165" i="150"/>
  <c r="E165" i="150"/>
  <c r="C165" i="150"/>
  <c r="I166" i="150"/>
  <c r="D166" i="150"/>
  <c r="J166" i="150"/>
  <c r="E166" i="150"/>
  <c r="C166" i="150"/>
  <c r="I167" i="150"/>
  <c r="D167" i="150"/>
  <c r="J167" i="150"/>
  <c r="E167" i="150"/>
  <c r="C167" i="150"/>
  <c r="I168" i="150"/>
  <c r="D168" i="150"/>
  <c r="J168" i="150"/>
  <c r="E168" i="150"/>
  <c r="C168" i="150"/>
  <c r="I169" i="150"/>
  <c r="D169" i="150"/>
  <c r="J169" i="150"/>
  <c r="E169" i="150"/>
  <c r="C169" i="150"/>
  <c r="I170" i="150"/>
  <c r="D170" i="150"/>
  <c r="J170" i="150"/>
  <c r="E170" i="150"/>
  <c r="C170" i="150"/>
  <c r="I171" i="150"/>
  <c r="D171" i="150"/>
  <c r="J171" i="150"/>
  <c r="E171" i="150"/>
  <c r="C171" i="150"/>
  <c r="I172" i="150"/>
  <c r="D172" i="150"/>
  <c r="J172" i="150"/>
  <c r="E172" i="150"/>
  <c r="C172" i="150"/>
  <c r="I173" i="150"/>
  <c r="D173" i="150"/>
  <c r="J173" i="150"/>
  <c r="E173" i="150"/>
  <c r="C173" i="150"/>
  <c r="I174" i="150"/>
  <c r="D174" i="150"/>
  <c r="J174" i="150"/>
  <c r="E174" i="150"/>
  <c r="C174" i="150"/>
  <c r="I175" i="150"/>
  <c r="D175" i="150"/>
  <c r="J175" i="150"/>
  <c r="E175" i="150"/>
  <c r="C175" i="150"/>
  <c r="I176" i="150"/>
  <c r="D176" i="150"/>
  <c r="J176" i="150"/>
  <c r="E176" i="150"/>
  <c r="C176" i="150"/>
  <c r="I177" i="150"/>
  <c r="D177" i="150"/>
  <c r="J177" i="150"/>
  <c r="E177" i="150"/>
  <c r="C177" i="150"/>
  <c r="I178" i="150"/>
  <c r="D178" i="150"/>
  <c r="J178" i="150"/>
  <c r="E178" i="150"/>
  <c r="C178" i="150"/>
  <c r="I179" i="150"/>
  <c r="D179" i="150"/>
  <c r="J179" i="150"/>
  <c r="E179" i="150"/>
  <c r="C179" i="150"/>
  <c r="I180" i="150"/>
  <c r="D180" i="150"/>
  <c r="J180" i="150"/>
  <c r="E180" i="150"/>
  <c r="C180" i="150"/>
  <c r="I181" i="150"/>
  <c r="D181" i="150"/>
  <c r="J181" i="150"/>
  <c r="E181" i="150"/>
  <c r="C181" i="150"/>
  <c r="I182" i="150"/>
  <c r="D182" i="150"/>
  <c r="J182" i="150"/>
  <c r="E182" i="150"/>
  <c r="C182" i="150"/>
  <c r="I183" i="150"/>
  <c r="D183" i="150"/>
  <c r="J183" i="150"/>
  <c r="E183" i="150"/>
  <c r="C183" i="150"/>
  <c r="I184" i="150"/>
  <c r="D184" i="150"/>
  <c r="J184" i="150"/>
  <c r="E184" i="150"/>
  <c r="C184" i="150"/>
  <c r="I185" i="150"/>
  <c r="D185" i="150"/>
  <c r="J185" i="150"/>
  <c r="E185" i="150"/>
  <c r="C185" i="150"/>
  <c r="I186" i="150"/>
  <c r="D186" i="150"/>
  <c r="J186" i="150"/>
  <c r="E186" i="150"/>
  <c r="C186" i="150"/>
  <c r="I187" i="150"/>
  <c r="D187" i="150"/>
  <c r="J187" i="150"/>
  <c r="E187" i="150"/>
  <c r="C187" i="150"/>
  <c r="I188" i="150"/>
  <c r="D188" i="150"/>
  <c r="J188" i="150"/>
  <c r="E188" i="150"/>
  <c r="C188" i="150"/>
  <c r="I189" i="150"/>
  <c r="D189" i="150"/>
  <c r="J189" i="150"/>
  <c r="E189" i="150"/>
  <c r="C189" i="150"/>
  <c r="I190" i="150"/>
  <c r="D190" i="150"/>
  <c r="J190" i="150"/>
  <c r="E190" i="150"/>
  <c r="C190" i="150"/>
  <c r="I191" i="150"/>
  <c r="D191" i="150"/>
  <c r="J191" i="150"/>
  <c r="E191" i="150"/>
  <c r="C191" i="150"/>
  <c r="I192" i="150"/>
  <c r="D192" i="150"/>
  <c r="J192" i="150"/>
  <c r="E192" i="150"/>
  <c r="C192" i="150"/>
  <c r="I193" i="150"/>
  <c r="D193" i="150"/>
  <c r="J193" i="150"/>
  <c r="E193" i="150"/>
  <c r="C193" i="150"/>
  <c r="I194" i="150"/>
  <c r="D194" i="150"/>
  <c r="J194" i="150"/>
  <c r="E194" i="150"/>
  <c r="C194" i="150"/>
  <c r="I195" i="150"/>
  <c r="D195" i="150"/>
  <c r="J195" i="150"/>
  <c r="E195" i="150"/>
  <c r="C195" i="150"/>
  <c r="I196" i="150"/>
  <c r="D196" i="150"/>
  <c r="J196" i="150"/>
  <c r="E196" i="150"/>
  <c r="C196" i="150"/>
  <c r="I197" i="150"/>
  <c r="D197" i="150"/>
  <c r="J197" i="150"/>
  <c r="E197" i="150"/>
  <c r="C197" i="150"/>
  <c r="I198" i="150"/>
  <c r="D198" i="150"/>
  <c r="J198" i="150"/>
  <c r="E198" i="150"/>
  <c r="C198" i="150"/>
  <c r="I199" i="150"/>
  <c r="D199" i="150"/>
  <c r="J199" i="150"/>
  <c r="E199" i="150"/>
  <c r="C199" i="150"/>
  <c r="I200" i="150"/>
  <c r="D200" i="150"/>
  <c r="J200" i="150"/>
  <c r="E200" i="150"/>
  <c r="C200" i="150"/>
  <c r="I201" i="150"/>
  <c r="D201" i="150"/>
  <c r="J201" i="150"/>
  <c r="E201" i="150"/>
  <c r="C201" i="150"/>
  <c r="I202" i="150"/>
  <c r="D202" i="150"/>
  <c r="J202" i="150"/>
  <c r="E202" i="150"/>
  <c r="C202" i="150"/>
  <c r="I203" i="150"/>
  <c r="D203" i="150"/>
  <c r="J203" i="150"/>
  <c r="E203" i="150"/>
  <c r="C203" i="150"/>
  <c r="I204" i="150"/>
  <c r="D204" i="150"/>
  <c r="J204" i="150"/>
  <c r="E204" i="150"/>
  <c r="C204" i="150"/>
  <c r="I205" i="150"/>
  <c r="D205" i="150"/>
  <c r="J205" i="150"/>
  <c r="E205" i="150"/>
  <c r="C205" i="150"/>
  <c r="I206" i="150"/>
  <c r="D206" i="150"/>
  <c r="J206" i="150"/>
  <c r="E206" i="150"/>
  <c r="C206" i="150"/>
  <c r="I207" i="150"/>
  <c r="D207" i="150"/>
  <c r="J207" i="150"/>
  <c r="E207" i="150"/>
  <c r="C207" i="150"/>
  <c r="I208" i="150"/>
  <c r="D208" i="150"/>
  <c r="J208" i="150"/>
  <c r="E208" i="150"/>
  <c r="C208" i="150"/>
  <c r="I209" i="150"/>
  <c r="D209" i="150"/>
  <c r="J209" i="150"/>
  <c r="E209" i="150"/>
  <c r="C209" i="150"/>
  <c r="I210" i="150"/>
  <c r="D210" i="150"/>
  <c r="J210" i="150"/>
  <c r="E210" i="150"/>
  <c r="C210" i="150"/>
  <c r="I211" i="150"/>
  <c r="D211" i="150"/>
  <c r="J211" i="150"/>
  <c r="E211" i="150"/>
  <c r="C211" i="150"/>
  <c r="I212" i="150"/>
  <c r="D212" i="150"/>
  <c r="J212" i="150"/>
  <c r="E212" i="150"/>
  <c r="C212" i="150"/>
  <c r="I213" i="150"/>
  <c r="D213" i="150"/>
  <c r="J213" i="150"/>
  <c r="E213" i="150"/>
  <c r="C213" i="150"/>
  <c r="I214" i="150"/>
  <c r="D214" i="150"/>
  <c r="J214" i="150"/>
  <c r="E214" i="150"/>
  <c r="C214" i="150"/>
  <c r="I215" i="150"/>
  <c r="J215" i="150"/>
  <c r="D215" i="150"/>
  <c r="E215" i="150"/>
  <c r="C215" i="150"/>
  <c r="I216" i="150"/>
  <c r="J216" i="150"/>
  <c r="D216" i="150"/>
  <c r="E216" i="150"/>
  <c r="C216" i="150"/>
  <c r="I217" i="150"/>
  <c r="J217" i="150"/>
  <c r="D217" i="150"/>
  <c r="E217" i="150"/>
  <c r="C217" i="150"/>
  <c r="I218" i="150"/>
  <c r="J218" i="150"/>
  <c r="D218" i="150"/>
  <c r="E218" i="150"/>
  <c r="C218" i="150"/>
  <c r="I219" i="150"/>
  <c r="J219" i="150"/>
  <c r="D219" i="150"/>
  <c r="E219" i="150"/>
  <c r="C219" i="150"/>
  <c r="I220" i="150"/>
  <c r="J220" i="150"/>
  <c r="D220" i="150"/>
  <c r="E220" i="150"/>
  <c r="C220" i="150"/>
  <c r="I221" i="150"/>
  <c r="D221" i="150"/>
  <c r="J221" i="150"/>
  <c r="E221" i="150"/>
  <c r="C221" i="150"/>
  <c r="I222" i="150"/>
  <c r="D222" i="150"/>
  <c r="J222" i="150"/>
  <c r="E222" i="150"/>
  <c r="C222" i="150"/>
  <c r="I223" i="150"/>
  <c r="D223" i="150"/>
  <c r="J223" i="150"/>
  <c r="E223" i="150"/>
  <c r="C223" i="150"/>
  <c r="I224" i="150"/>
  <c r="D224" i="150"/>
  <c r="J224" i="150"/>
  <c r="E224" i="150"/>
  <c r="C224" i="150"/>
  <c r="I225" i="150"/>
  <c r="D225" i="150"/>
  <c r="J225" i="150"/>
  <c r="E225" i="150"/>
  <c r="C225" i="150"/>
  <c r="I226" i="150"/>
  <c r="D226" i="150"/>
  <c r="J226" i="150"/>
  <c r="E226" i="150"/>
  <c r="C226" i="150"/>
  <c r="I227" i="150"/>
  <c r="D227" i="150"/>
  <c r="J227" i="150"/>
  <c r="E227" i="150"/>
  <c r="C227" i="150"/>
  <c r="I228" i="150"/>
  <c r="D228" i="150"/>
  <c r="J228" i="150"/>
  <c r="E228" i="150"/>
  <c r="C228" i="150"/>
  <c r="I229" i="150"/>
  <c r="D229" i="150"/>
  <c r="J229" i="150"/>
  <c r="E229" i="150"/>
  <c r="C229" i="150"/>
  <c r="I230" i="150"/>
  <c r="D230" i="150"/>
  <c r="J230" i="150"/>
  <c r="E230" i="150"/>
  <c r="C230" i="150"/>
  <c r="I231" i="150"/>
  <c r="D231" i="150"/>
  <c r="J231" i="150"/>
  <c r="E231" i="150"/>
  <c r="C231" i="150"/>
  <c r="I232" i="150"/>
  <c r="D232" i="150"/>
  <c r="J232" i="150"/>
  <c r="E232" i="150"/>
  <c r="C232" i="150"/>
  <c r="I233" i="150"/>
  <c r="D233" i="150"/>
  <c r="J233" i="150"/>
  <c r="E233" i="150"/>
  <c r="C233" i="150"/>
  <c r="I234" i="150"/>
  <c r="D234" i="150"/>
  <c r="J234" i="150"/>
  <c r="E234" i="150"/>
  <c r="C234" i="150"/>
  <c r="I235" i="150"/>
  <c r="D235" i="150"/>
  <c r="J235" i="150"/>
  <c r="E235" i="150"/>
  <c r="C235" i="150"/>
  <c r="I236" i="150"/>
  <c r="D236" i="150"/>
  <c r="J236" i="150"/>
  <c r="E236" i="150"/>
  <c r="C236" i="150"/>
  <c r="I237" i="150"/>
  <c r="D237" i="150"/>
  <c r="J237" i="150"/>
  <c r="E237" i="150"/>
  <c r="C237" i="150"/>
  <c r="I238" i="150"/>
  <c r="D238" i="150"/>
  <c r="J238" i="150"/>
  <c r="E238" i="150"/>
  <c r="C238" i="150"/>
  <c r="I239" i="150"/>
  <c r="D239" i="150"/>
  <c r="J239" i="150"/>
  <c r="E239" i="150"/>
  <c r="C239" i="150"/>
  <c r="I240" i="150"/>
  <c r="D240" i="150"/>
  <c r="J240" i="150"/>
  <c r="E240" i="150"/>
  <c r="C240" i="150"/>
  <c r="I241" i="150"/>
  <c r="D241" i="150"/>
  <c r="J241" i="150"/>
  <c r="E241" i="150"/>
  <c r="C241" i="150"/>
  <c r="I242" i="150"/>
  <c r="D242" i="150"/>
  <c r="J242" i="150"/>
  <c r="E242" i="150"/>
  <c r="C242" i="150"/>
  <c r="I243" i="150"/>
  <c r="D243" i="150"/>
  <c r="J243" i="150"/>
  <c r="E243" i="150"/>
  <c r="C243" i="150"/>
  <c r="I244" i="150"/>
  <c r="D244" i="150"/>
  <c r="J244" i="150"/>
  <c r="E244" i="150"/>
  <c r="C244" i="150"/>
  <c r="I245" i="150"/>
  <c r="D245" i="150"/>
  <c r="J245" i="150"/>
  <c r="E245" i="150"/>
  <c r="C245" i="150"/>
  <c r="I246" i="150"/>
  <c r="D246" i="150"/>
  <c r="J246" i="150"/>
  <c r="E246" i="150"/>
  <c r="C246" i="150"/>
  <c r="I247" i="150"/>
  <c r="D247" i="150"/>
  <c r="J247" i="150"/>
  <c r="E247" i="150"/>
  <c r="C247" i="150"/>
  <c r="I248" i="150"/>
  <c r="D248" i="150"/>
  <c r="J248" i="150"/>
  <c r="E248" i="150"/>
  <c r="C248" i="150"/>
  <c r="I249" i="150"/>
  <c r="D249" i="150"/>
  <c r="J249" i="150"/>
  <c r="E249" i="150"/>
  <c r="C249" i="150"/>
  <c r="I250" i="150"/>
  <c r="D250" i="150"/>
  <c r="J250" i="150"/>
  <c r="E250" i="150"/>
  <c r="C250" i="150"/>
  <c r="I251" i="150"/>
  <c r="D251" i="150"/>
  <c r="J251" i="150"/>
  <c r="E251" i="150"/>
  <c r="C251" i="150"/>
  <c r="I252" i="150"/>
  <c r="D252" i="150"/>
  <c r="J252" i="150"/>
  <c r="E252" i="150"/>
  <c r="C252" i="150"/>
  <c r="I253" i="150"/>
  <c r="D253" i="150"/>
  <c r="J253" i="150"/>
  <c r="E253" i="150"/>
  <c r="C253" i="150"/>
  <c r="I254" i="150"/>
  <c r="D254" i="150"/>
  <c r="J254" i="150"/>
  <c r="E254" i="150"/>
  <c r="C254" i="150"/>
  <c r="I255" i="150"/>
  <c r="D255" i="150"/>
  <c r="J255" i="150"/>
  <c r="E255" i="150"/>
  <c r="C255" i="150"/>
  <c r="I256" i="150"/>
  <c r="D256" i="150"/>
  <c r="J256" i="150"/>
  <c r="E256" i="150"/>
  <c r="C256" i="150"/>
  <c r="I257" i="150"/>
  <c r="D257" i="150"/>
  <c r="J257" i="150"/>
  <c r="E257" i="150"/>
  <c r="C257" i="150"/>
  <c r="I258" i="150"/>
  <c r="D258" i="150"/>
  <c r="J258" i="150"/>
  <c r="E258" i="150"/>
  <c r="C258" i="150"/>
  <c r="I259" i="150"/>
  <c r="D259" i="150"/>
  <c r="J259" i="150"/>
  <c r="E259" i="150"/>
  <c r="C259" i="150"/>
  <c r="I260" i="150"/>
  <c r="D260" i="150"/>
  <c r="J260" i="150"/>
  <c r="E260" i="150"/>
  <c r="C260" i="150"/>
  <c r="I261" i="150"/>
  <c r="D261" i="150"/>
  <c r="J261" i="150"/>
  <c r="E261" i="150"/>
  <c r="C261" i="150"/>
  <c r="I262" i="150"/>
  <c r="D262" i="150"/>
  <c r="J262" i="150"/>
  <c r="E262" i="150"/>
  <c r="C262" i="150"/>
  <c r="I263" i="150"/>
  <c r="D263" i="150"/>
  <c r="J263" i="150"/>
  <c r="E263" i="150"/>
  <c r="C263" i="150"/>
  <c r="I264" i="150"/>
  <c r="D264" i="150"/>
  <c r="J264" i="150"/>
  <c r="E264" i="150"/>
  <c r="C264" i="150"/>
  <c r="I265" i="150"/>
  <c r="D265" i="150"/>
  <c r="J265" i="150"/>
  <c r="E265" i="150"/>
  <c r="C265" i="150"/>
  <c r="I266" i="150"/>
  <c r="D266" i="150"/>
  <c r="J266" i="150"/>
  <c r="E266" i="150"/>
  <c r="C266" i="150"/>
  <c r="I267" i="150"/>
  <c r="D267" i="150"/>
  <c r="J267" i="150"/>
  <c r="E267" i="150"/>
  <c r="C267" i="150"/>
  <c r="I268" i="150"/>
  <c r="D268" i="150"/>
  <c r="J268" i="150"/>
  <c r="E268" i="150"/>
  <c r="C268" i="150"/>
  <c r="I269" i="150"/>
  <c r="D269" i="150"/>
  <c r="J269" i="150"/>
  <c r="E269" i="150"/>
  <c r="C269" i="150"/>
  <c r="I270" i="150"/>
  <c r="D270" i="150"/>
  <c r="J270" i="150"/>
  <c r="E270" i="150"/>
  <c r="C270" i="150"/>
  <c r="I271" i="150"/>
  <c r="D271" i="150"/>
  <c r="J271" i="150"/>
  <c r="E271" i="150"/>
  <c r="C271" i="150"/>
  <c r="I272" i="150"/>
  <c r="D272" i="150"/>
  <c r="J272" i="150"/>
  <c r="E272" i="150"/>
  <c r="C272" i="150"/>
  <c r="I273" i="150"/>
  <c r="D273" i="150"/>
  <c r="J273" i="150"/>
  <c r="E273" i="150"/>
  <c r="C273" i="150"/>
  <c r="I274" i="150"/>
  <c r="D274" i="150"/>
  <c r="J274" i="150"/>
  <c r="E274" i="150"/>
  <c r="C274" i="150"/>
  <c r="I275" i="150"/>
  <c r="D275" i="150"/>
  <c r="J275" i="150"/>
  <c r="E275" i="150"/>
  <c r="C275" i="150"/>
  <c r="I276" i="150"/>
  <c r="D276" i="150"/>
  <c r="J276" i="150"/>
  <c r="E276" i="150"/>
  <c r="C276" i="150"/>
  <c r="I277" i="150"/>
  <c r="D277" i="150"/>
  <c r="J277" i="150"/>
  <c r="E277" i="150"/>
  <c r="C277" i="150"/>
  <c r="I278" i="150"/>
  <c r="D278" i="150"/>
  <c r="J278" i="150"/>
  <c r="E278" i="150"/>
  <c r="C278" i="150"/>
  <c r="I279" i="150"/>
  <c r="D279" i="150"/>
  <c r="J279" i="150"/>
  <c r="E279" i="150"/>
  <c r="C279" i="150"/>
  <c r="I280" i="150"/>
  <c r="D280" i="150"/>
  <c r="J280" i="150"/>
  <c r="E280" i="150"/>
  <c r="C280" i="150"/>
  <c r="I281" i="150"/>
  <c r="D281" i="150"/>
  <c r="J281" i="150"/>
  <c r="E281" i="150"/>
  <c r="C281" i="150"/>
  <c r="I282" i="150"/>
  <c r="D282" i="150"/>
  <c r="J282" i="150"/>
  <c r="E282" i="150"/>
  <c r="C282" i="150"/>
  <c r="I283" i="150"/>
  <c r="D283" i="150"/>
  <c r="J283" i="150"/>
  <c r="E283" i="150"/>
  <c r="C283" i="150"/>
  <c r="I284" i="150"/>
  <c r="D284" i="150"/>
  <c r="J284" i="150"/>
  <c r="E284" i="150"/>
  <c r="C284" i="150"/>
  <c r="I285" i="150"/>
  <c r="D285" i="150"/>
  <c r="J285" i="150"/>
  <c r="E285" i="150"/>
  <c r="C285" i="150"/>
  <c r="I286" i="150"/>
  <c r="D286" i="150"/>
  <c r="J286" i="150"/>
  <c r="E286" i="150"/>
  <c r="C286" i="150"/>
  <c r="I287" i="150"/>
  <c r="D287" i="150"/>
  <c r="J287" i="150"/>
  <c r="E287" i="150"/>
  <c r="C287" i="150"/>
  <c r="I288" i="150"/>
  <c r="D288" i="150"/>
  <c r="J288" i="150"/>
  <c r="E288" i="150"/>
  <c r="C288" i="150"/>
  <c r="I289" i="150"/>
  <c r="D289" i="150"/>
  <c r="J289" i="150"/>
  <c r="E289" i="150"/>
  <c r="C289" i="150"/>
  <c r="I290" i="150"/>
  <c r="D290" i="150"/>
  <c r="J290" i="150"/>
  <c r="E290" i="150"/>
  <c r="C290" i="150"/>
  <c r="I291" i="150"/>
  <c r="D291" i="150"/>
  <c r="J291" i="150"/>
  <c r="E291" i="150"/>
  <c r="C291" i="150"/>
  <c r="I292" i="150"/>
  <c r="D292" i="150"/>
  <c r="J292" i="150"/>
  <c r="E292" i="150"/>
  <c r="C292" i="150"/>
  <c r="I293" i="150"/>
  <c r="D293" i="150"/>
  <c r="J293" i="150"/>
  <c r="E293" i="150"/>
  <c r="C293" i="150"/>
  <c r="I294" i="150"/>
  <c r="D294" i="150"/>
  <c r="J294" i="150"/>
  <c r="E294" i="150"/>
  <c r="C294" i="150"/>
  <c r="I295" i="150"/>
  <c r="D295" i="150"/>
  <c r="J295" i="150"/>
  <c r="E295" i="150"/>
  <c r="C295" i="150"/>
  <c r="I296" i="150"/>
  <c r="D296" i="150"/>
  <c r="J296" i="150"/>
  <c r="E296" i="150"/>
  <c r="C296" i="150"/>
  <c r="I297" i="150"/>
  <c r="D297" i="150"/>
  <c r="J297" i="150"/>
  <c r="E297" i="150"/>
  <c r="C297" i="150"/>
  <c r="I298" i="150"/>
  <c r="D298" i="150"/>
  <c r="J298" i="150"/>
  <c r="E298" i="150"/>
  <c r="C298" i="150"/>
  <c r="I299" i="150"/>
  <c r="D299" i="150"/>
  <c r="J299" i="150"/>
  <c r="E299" i="150"/>
  <c r="C299" i="150"/>
  <c r="I300" i="150"/>
  <c r="D300" i="150"/>
  <c r="J300" i="150"/>
  <c r="E300" i="150"/>
  <c r="C300" i="150"/>
  <c r="I301" i="150"/>
  <c r="D301" i="150"/>
  <c r="J301" i="150"/>
  <c r="E301" i="150"/>
  <c r="C301" i="150"/>
  <c r="I302" i="150"/>
  <c r="D302" i="150"/>
  <c r="J302" i="150"/>
  <c r="E302" i="150"/>
  <c r="C302" i="150"/>
  <c r="I303" i="150"/>
  <c r="D303" i="150"/>
  <c r="J303" i="150"/>
  <c r="E303" i="150"/>
  <c r="C303" i="150"/>
  <c r="I304" i="150"/>
  <c r="D304" i="150"/>
  <c r="J304" i="150"/>
  <c r="E304" i="150"/>
  <c r="C304" i="150"/>
  <c r="I305" i="150"/>
  <c r="D305" i="150"/>
  <c r="J305" i="150"/>
  <c r="E305" i="150"/>
  <c r="C305" i="150"/>
  <c r="I306" i="150"/>
  <c r="D306" i="150"/>
  <c r="J306" i="150"/>
  <c r="E306" i="150"/>
  <c r="C306" i="150"/>
  <c r="I307" i="150"/>
  <c r="D307" i="150"/>
  <c r="J307" i="150"/>
  <c r="E307" i="150"/>
  <c r="C307" i="150"/>
  <c r="I308" i="150"/>
  <c r="D308" i="150"/>
  <c r="J308" i="150"/>
  <c r="E308" i="150"/>
  <c r="C308" i="150"/>
  <c r="I309" i="150"/>
  <c r="D309" i="150"/>
  <c r="J309" i="150"/>
  <c r="E309" i="150"/>
  <c r="C309" i="150"/>
  <c r="I310" i="150"/>
  <c r="D310" i="150"/>
  <c r="J310" i="150"/>
  <c r="E310" i="150"/>
  <c r="C310" i="150"/>
  <c r="I311" i="150"/>
  <c r="D311" i="150"/>
  <c r="J311" i="150"/>
  <c r="E311" i="150"/>
  <c r="C311" i="150"/>
  <c r="I312" i="150"/>
  <c r="D312" i="150"/>
  <c r="J312" i="150"/>
  <c r="E312" i="150"/>
  <c r="C312" i="150"/>
  <c r="I313" i="150"/>
  <c r="D313" i="150"/>
  <c r="J313" i="150"/>
  <c r="E313" i="150"/>
  <c r="C313" i="150"/>
  <c r="I314" i="150"/>
  <c r="D314" i="150"/>
  <c r="J314" i="150"/>
  <c r="E314" i="150"/>
  <c r="C314" i="150"/>
  <c r="I315" i="150"/>
  <c r="D315" i="150"/>
  <c r="J315" i="150"/>
  <c r="E315" i="150"/>
  <c r="C315" i="150"/>
  <c r="I316" i="150"/>
  <c r="D316" i="150"/>
  <c r="J316" i="150"/>
  <c r="E316" i="150"/>
  <c r="C316" i="150"/>
  <c r="I317" i="150"/>
  <c r="D317" i="150"/>
  <c r="J317" i="150"/>
  <c r="E317" i="150"/>
  <c r="C317" i="150"/>
  <c r="I318" i="150"/>
  <c r="D318" i="150"/>
  <c r="J318" i="150"/>
  <c r="E318" i="150"/>
  <c r="C318" i="150"/>
  <c r="I319" i="150"/>
  <c r="D319" i="150"/>
  <c r="J319" i="150"/>
  <c r="E319" i="150"/>
  <c r="C319" i="150"/>
  <c r="I320" i="150"/>
  <c r="D320" i="150"/>
  <c r="J320" i="150"/>
  <c r="E320" i="150"/>
  <c r="C320" i="150"/>
  <c r="I321" i="150"/>
  <c r="D321" i="150"/>
  <c r="J321" i="150"/>
  <c r="E321" i="150"/>
  <c r="C321" i="150"/>
  <c r="I322" i="150"/>
  <c r="D322" i="150"/>
  <c r="J322" i="150"/>
  <c r="E322" i="150"/>
  <c r="C322" i="150"/>
  <c r="I323" i="150"/>
  <c r="D323" i="150"/>
  <c r="J323" i="150"/>
  <c r="E323" i="150"/>
  <c r="C323" i="150"/>
  <c r="I324" i="150"/>
  <c r="D324" i="150"/>
  <c r="J324" i="150"/>
  <c r="E324" i="150"/>
  <c r="C324" i="150"/>
  <c r="I325" i="150"/>
  <c r="D325" i="150"/>
  <c r="J325" i="150"/>
  <c r="E325" i="150"/>
  <c r="C325" i="150"/>
  <c r="I326" i="150"/>
  <c r="D326" i="150"/>
  <c r="J326" i="150"/>
  <c r="E326" i="150"/>
  <c r="C326" i="150"/>
  <c r="I327" i="150"/>
  <c r="D327" i="150"/>
  <c r="J327" i="150"/>
  <c r="E327" i="150"/>
  <c r="C327" i="150"/>
  <c r="I328" i="150"/>
  <c r="D328" i="150"/>
  <c r="J328" i="150"/>
  <c r="E328" i="150"/>
  <c r="C328" i="150"/>
  <c r="I329" i="150"/>
  <c r="D329" i="150"/>
  <c r="J329" i="150"/>
  <c r="E329" i="150"/>
  <c r="C329" i="150"/>
  <c r="I330" i="150"/>
  <c r="D330" i="150"/>
  <c r="J330" i="150"/>
  <c r="E330" i="150"/>
  <c r="C330" i="150"/>
  <c r="I331" i="150"/>
  <c r="D331" i="150"/>
  <c r="J331" i="150"/>
  <c r="E331" i="150"/>
  <c r="C331" i="150"/>
  <c r="I332" i="150"/>
  <c r="D332" i="150"/>
  <c r="J332" i="150"/>
  <c r="E332" i="150"/>
  <c r="C332" i="150"/>
  <c r="I333" i="150"/>
  <c r="D333" i="150"/>
  <c r="J333" i="150"/>
  <c r="E333" i="150"/>
  <c r="C333" i="150"/>
  <c r="I334" i="150"/>
  <c r="D334" i="150"/>
  <c r="J334" i="150"/>
  <c r="E334" i="150"/>
  <c r="C334" i="150"/>
  <c r="I335" i="150"/>
  <c r="D335" i="150"/>
  <c r="J335" i="150"/>
  <c r="E335" i="150"/>
  <c r="C335" i="150"/>
  <c r="I336" i="150"/>
  <c r="D336" i="150"/>
  <c r="J336" i="150"/>
  <c r="E336" i="150"/>
  <c r="C336" i="150"/>
  <c r="I337" i="150"/>
  <c r="D337" i="150"/>
  <c r="J337" i="150"/>
  <c r="E337" i="150"/>
  <c r="C337" i="150"/>
  <c r="I338" i="150"/>
  <c r="D338" i="150"/>
  <c r="J338" i="150"/>
  <c r="E338" i="150"/>
  <c r="C338" i="150"/>
  <c r="I339" i="150"/>
  <c r="D339" i="150"/>
  <c r="J339" i="150"/>
  <c r="E339" i="150"/>
  <c r="C339" i="150"/>
  <c r="I340" i="150"/>
  <c r="D340" i="150"/>
  <c r="J340" i="150"/>
  <c r="E340" i="150"/>
  <c r="C340" i="150"/>
  <c r="I341" i="150"/>
  <c r="D341" i="150"/>
  <c r="J341" i="150"/>
  <c r="E341" i="150"/>
  <c r="C341" i="150"/>
  <c r="I342" i="150"/>
  <c r="D342" i="150"/>
  <c r="J342" i="150"/>
  <c r="E342" i="150"/>
  <c r="C342" i="150"/>
  <c r="I343" i="150"/>
  <c r="D343" i="150"/>
  <c r="J343" i="150"/>
  <c r="E343" i="150"/>
  <c r="C343" i="150"/>
  <c r="I344" i="150"/>
  <c r="D344" i="150"/>
  <c r="J344" i="150"/>
  <c r="E344" i="150"/>
  <c r="C344" i="150"/>
  <c r="I345" i="150"/>
  <c r="D345" i="150"/>
  <c r="J345" i="150"/>
  <c r="E345" i="150"/>
  <c r="C345" i="150"/>
  <c r="I346" i="150"/>
  <c r="D346" i="150"/>
  <c r="J346" i="150"/>
  <c r="E346" i="150"/>
  <c r="C346" i="150"/>
  <c r="I347" i="150"/>
  <c r="D347" i="150"/>
  <c r="J347" i="150"/>
  <c r="E347" i="150"/>
  <c r="C347" i="150"/>
  <c r="I348" i="150"/>
  <c r="D348" i="150"/>
  <c r="J348" i="150"/>
  <c r="E348" i="150"/>
  <c r="C348" i="150"/>
  <c r="I349" i="150"/>
  <c r="D349" i="150"/>
  <c r="J349" i="150"/>
  <c r="E349" i="150"/>
  <c r="C349" i="150"/>
  <c r="I350" i="150"/>
  <c r="D350" i="150"/>
  <c r="J350" i="150"/>
  <c r="E350" i="150"/>
  <c r="C350" i="150"/>
  <c r="I351" i="150"/>
  <c r="D351" i="150"/>
  <c r="J351" i="150"/>
  <c r="E351" i="150"/>
  <c r="C351" i="150"/>
  <c r="I352" i="150"/>
  <c r="D352" i="150"/>
  <c r="J352" i="150"/>
  <c r="E352" i="150"/>
  <c r="C352" i="150"/>
  <c r="I353" i="150"/>
  <c r="D353" i="150"/>
  <c r="J353" i="150"/>
  <c r="E353" i="150"/>
  <c r="C353" i="150"/>
  <c r="I354" i="150"/>
  <c r="D354" i="150"/>
  <c r="J354" i="150"/>
  <c r="E354" i="150"/>
  <c r="C354" i="150"/>
  <c r="I355" i="150"/>
  <c r="D355" i="150"/>
  <c r="J355" i="150"/>
  <c r="E355" i="150"/>
  <c r="C355" i="150"/>
  <c r="I356" i="150"/>
  <c r="D356" i="150"/>
  <c r="J356" i="150"/>
  <c r="E356" i="150"/>
  <c r="C356" i="150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38" i="149"/>
  <c r="F8" i="149"/>
  <c r="E8" i="149"/>
  <c r="C46" i="149"/>
  <c r="B38" i="149"/>
  <c r="E37" i="149"/>
  <c r="B37" i="149"/>
  <c r="E41" i="149"/>
  <c r="B41" i="149"/>
  <c r="F6" i="149"/>
  <c r="E6" i="149"/>
  <c r="E43" i="149"/>
  <c r="B43" i="149"/>
  <c r="E44" i="149"/>
  <c r="B44" i="149"/>
  <c r="B36" i="149"/>
  <c r="I2" i="148"/>
  <c r="J2" i="148"/>
  <c r="D2" i="148"/>
  <c r="E2" i="148"/>
  <c r="C2" i="148"/>
  <c r="I3" i="148"/>
  <c r="J3" i="148"/>
  <c r="D3" i="148"/>
  <c r="E3" i="148"/>
  <c r="C3" i="148"/>
  <c r="I4" i="148"/>
  <c r="J4" i="148"/>
  <c r="D4" i="148"/>
  <c r="E4" i="148"/>
  <c r="C4" i="148"/>
  <c r="I5" i="148"/>
  <c r="J5" i="148"/>
  <c r="D5" i="148"/>
  <c r="E5" i="148"/>
  <c r="C5" i="148"/>
  <c r="I6" i="148"/>
  <c r="J6" i="148"/>
  <c r="D6" i="148"/>
  <c r="E6" i="148"/>
  <c r="C6" i="148"/>
  <c r="I7" i="148"/>
  <c r="J7" i="148"/>
  <c r="D7" i="148"/>
  <c r="E7" i="148"/>
  <c r="C7" i="148"/>
  <c r="I8" i="148"/>
  <c r="J8" i="148"/>
  <c r="D8" i="148"/>
  <c r="E8" i="148"/>
  <c r="C8" i="148"/>
  <c r="I9" i="148"/>
  <c r="J9" i="148"/>
  <c r="D9" i="148"/>
  <c r="E9" i="148"/>
  <c r="C9" i="148"/>
  <c r="I10" i="148"/>
  <c r="J10" i="148"/>
  <c r="D10" i="148"/>
  <c r="E10" i="148"/>
  <c r="C10" i="148"/>
  <c r="I11" i="148"/>
  <c r="J11" i="148"/>
  <c r="D11" i="148"/>
  <c r="E11" i="148"/>
  <c r="C11" i="148"/>
  <c r="I12" i="148"/>
  <c r="J12" i="148"/>
  <c r="D12" i="148"/>
  <c r="E12" i="148"/>
  <c r="C12" i="148"/>
  <c r="I13" i="148"/>
  <c r="J13" i="148"/>
  <c r="D13" i="148"/>
  <c r="E13" i="148"/>
  <c r="C13" i="148"/>
  <c r="I14" i="148"/>
  <c r="J14" i="148"/>
  <c r="D14" i="148"/>
  <c r="E14" i="148"/>
  <c r="C14" i="148"/>
  <c r="I15" i="148"/>
  <c r="J15" i="148"/>
  <c r="D15" i="148"/>
  <c r="E15" i="148"/>
  <c r="C15" i="148"/>
  <c r="I16" i="148"/>
  <c r="J16" i="148"/>
  <c r="D16" i="148"/>
  <c r="E16" i="148"/>
  <c r="C16" i="148"/>
  <c r="I17" i="148"/>
  <c r="J17" i="148"/>
  <c r="D17" i="148"/>
  <c r="E17" i="148"/>
  <c r="C17" i="148"/>
  <c r="I18" i="148"/>
  <c r="J18" i="148"/>
  <c r="D18" i="148"/>
  <c r="E18" i="148"/>
  <c r="C18" i="148"/>
  <c r="I19" i="148"/>
  <c r="J19" i="148"/>
  <c r="D19" i="148"/>
  <c r="E19" i="148"/>
  <c r="C19" i="148"/>
  <c r="I20" i="148"/>
  <c r="J20" i="148"/>
  <c r="D20" i="148"/>
  <c r="E20" i="148"/>
  <c r="C20" i="148"/>
  <c r="I21" i="148"/>
  <c r="J21" i="148"/>
  <c r="D21" i="148"/>
  <c r="E21" i="148"/>
  <c r="C21" i="148"/>
  <c r="I22" i="148"/>
  <c r="J22" i="148"/>
  <c r="D22" i="148"/>
  <c r="E22" i="148"/>
  <c r="C22" i="148"/>
  <c r="I23" i="148"/>
  <c r="J23" i="148"/>
  <c r="D23" i="148"/>
  <c r="E23" i="148"/>
  <c r="C23" i="148"/>
  <c r="I24" i="148"/>
  <c r="J24" i="148"/>
  <c r="D24" i="148"/>
  <c r="E24" i="148"/>
  <c r="C24" i="148"/>
  <c r="I25" i="148"/>
  <c r="J25" i="148"/>
  <c r="D25" i="148"/>
  <c r="E25" i="148"/>
  <c r="C25" i="148"/>
  <c r="I26" i="148"/>
  <c r="J26" i="148"/>
  <c r="D26" i="148"/>
  <c r="E26" i="148"/>
  <c r="C26" i="148"/>
  <c r="I27" i="148"/>
  <c r="J27" i="148"/>
  <c r="D27" i="148"/>
  <c r="E27" i="148"/>
  <c r="C27" i="148"/>
  <c r="I28" i="148"/>
  <c r="J28" i="148"/>
  <c r="D28" i="148"/>
  <c r="E28" i="148"/>
  <c r="C28" i="148"/>
  <c r="I29" i="148"/>
  <c r="J29" i="148"/>
  <c r="D29" i="148"/>
  <c r="E29" i="148"/>
  <c r="C29" i="148"/>
  <c r="I30" i="148"/>
  <c r="J30" i="148"/>
  <c r="D30" i="148"/>
  <c r="E30" i="148"/>
  <c r="C30" i="148"/>
  <c r="I31" i="148"/>
  <c r="J31" i="148"/>
  <c r="D31" i="148"/>
  <c r="E31" i="148"/>
  <c r="C31" i="148"/>
  <c r="I32" i="148"/>
  <c r="J32" i="148"/>
  <c r="D32" i="148"/>
  <c r="E32" i="148"/>
  <c r="C32" i="148"/>
  <c r="I33" i="148"/>
  <c r="J33" i="148"/>
  <c r="D33" i="148"/>
  <c r="E33" i="148"/>
  <c r="C33" i="148"/>
  <c r="I34" i="148"/>
  <c r="J34" i="148"/>
  <c r="D34" i="148"/>
  <c r="E34" i="148"/>
  <c r="C34" i="148"/>
  <c r="I35" i="148"/>
  <c r="J35" i="148"/>
  <c r="D35" i="148"/>
  <c r="E35" i="148"/>
  <c r="C35" i="148"/>
  <c r="I36" i="148"/>
  <c r="J36" i="148"/>
  <c r="D36" i="148"/>
  <c r="E36" i="148"/>
  <c r="C36" i="148"/>
  <c r="I37" i="148"/>
  <c r="J37" i="148"/>
  <c r="D37" i="148"/>
  <c r="E37" i="148"/>
  <c r="C37" i="148"/>
  <c r="I38" i="148"/>
  <c r="J38" i="148"/>
  <c r="D38" i="148"/>
  <c r="E38" i="148"/>
  <c r="C38" i="148"/>
  <c r="I39" i="148"/>
  <c r="J39" i="148"/>
  <c r="D39" i="148"/>
  <c r="E39" i="148"/>
  <c r="C39" i="148"/>
  <c r="I40" i="148"/>
  <c r="J40" i="148"/>
  <c r="D40" i="148"/>
  <c r="E40" i="148"/>
  <c r="C40" i="148"/>
  <c r="I41" i="148"/>
  <c r="J41" i="148"/>
  <c r="D41" i="148"/>
  <c r="E41" i="148"/>
  <c r="C41" i="148"/>
  <c r="I42" i="148"/>
  <c r="D42" i="148"/>
  <c r="J42" i="148"/>
  <c r="E42" i="148"/>
  <c r="C42" i="148"/>
  <c r="I43" i="148"/>
  <c r="D43" i="148"/>
  <c r="J43" i="148"/>
  <c r="E43" i="148"/>
  <c r="C43" i="148"/>
  <c r="I44" i="148"/>
  <c r="D44" i="148"/>
  <c r="J44" i="148"/>
  <c r="E44" i="148"/>
  <c r="C44" i="148"/>
  <c r="I45" i="148"/>
  <c r="D45" i="148"/>
  <c r="J45" i="148"/>
  <c r="E45" i="148"/>
  <c r="C45" i="148"/>
  <c r="I46" i="148"/>
  <c r="D46" i="148"/>
  <c r="J46" i="148"/>
  <c r="E46" i="148"/>
  <c r="C46" i="148"/>
  <c r="I47" i="148"/>
  <c r="D47" i="148"/>
  <c r="J47" i="148"/>
  <c r="E47" i="148"/>
  <c r="C47" i="148"/>
  <c r="I48" i="148"/>
  <c r="D48" i="148"/>
  <c r="J48" i="148"/>
  <c r="E48" i="148"/>
  <c r="C48" i="148"/>
  <c r="I49" i="148"/>
  <c r="D49" i="148"/>
  <c r="J49" i="148"/>
  <c r="E49" i="148"/>
  <c r="C49" i="148"/>
  <c r="I50" i="148"/>
  <c r="D50" i="148"/>
  <c r="J50" i="148"/>
  <c r="E50" i="148"/>
  <c r="C50" i="148"/>
  <c r="I51" i="148"/>
  <c r="D51" i="148"/>
  <c r="J51" i="148"/>
  <c r="E51" i="148"/>
  <c r="C51" i="148"/>
  <c r="I52" i="148"/>
  <c r="D52" i="148"/>
  <c r="J52" i="148"/>
  <c r="E52" i="148"/>
  <c r="C52" i="148"/>
  <c r="I53" i="148"/>
  <c r="D53" i="148"/>
  <c r="J53" i="148"/>
  <c r="E53" i="148"/>
  <c r="C53" i="148"/>
  <c r="I54" i="148"/>
  <c r="D54" i="148"/>
  <c r="J54" i="148"/>
  <c r="E54" i="148"/>
  <c r="C54" i="148"/>
  <c r="I55" i="148"/>
  <c r="D55" i="148"/>
  <c r="J55" i="148"/>
  <c r="E55" i="148"/>
  <c r="C55" i="148"/>
  <c r="I56" i="148"/>
  <c r="D56" i="148"/>
  <c r="J56" i="148"/>
  <c r="E56" i="148"/>
  <c r="C56" i="148"/>
  <c r="I57" i="148"/>
  <c r="D57" i="148"/>
  <c r="J57" i="148"/>
  <c r="E57" i="148"/>
  <c r="C57" i="148"/>
  <c r="I58" i="148"/>
  <c r="D58" i="148"/>
  <c r="J58" i="148"/>
  <c r="E58" i="148"/>
  <c r="C58" i="148"/>
  <c r="I59" i="148"/>
  <c r="D59" i="148"/>
  <c r="J59" i="148"/>
  <c r="E59" i="148"/>
  <c r="C59" i="148"/>
  <c r="I60" i="148"/>
  <c r="D60" i="148"/>
  <c r="J60" i="148"/>
  <c r="E60" i="148"/>
  <c r="C60" i="148"/>
  <c r="I61" i="148"/>
  <c r="D61" i="148"/>
  <c r="J61" i="148"/>
  <c r="E61" i="148"/>
  <c r="C61" i="148"/>
  <c r="I62" i="148"/>
  <c r="D62" i="148"/>
  <c r="J62" i="148"/>
  <c r="E62" i="148"/>
  <c r="C62" i="148"/>
  <c r="I63" i="148"/>
  <c r="D63" i="148"/>
  <c r="J63" i="148"/>
  <c r="E63" i="148"/>
  <c r="C63" i="148"/>
  <c r="I64" i="148"/>
  <c r="D64" i="148"/>
  <c r="J64" i="148"/>
  <c r="E64" i="148"/>
  <c r="C64" i="148"/>
  <c r="I65" i="148"/>
  <c r="D65" i="148"/>
  <c r="J65" i="148"/>
  <c r="E65" i="148"/>
  <c r="C65" i="148"/>
  <c r="I66" i="148"/>
  <c r="D66" i="148"/>
  <c r="J66" i="148"/>
  <c r="E66" i="148"/>
  <c r="C66" i="148"/>
  <c r="I67" i="148"/>
  <c r="D67" i="148"/>
  <c r="J67" i="148"/>
  <c r="E67" i="148"/>
  <c r="C67" i="148"/>
  <c r="I68" i="148"/>
  <c r="D68" i="148"/>
  <c r="J68" i="148"/>
  <c r="E68" i="148"/>
  <c r="C68" i="148"/>
  <c r="I69" i="148"/>
  <c r="D69" i="148"/>
  <c r="J69" i="148"/>
  <c r="E69" i="148"/>
  <c r="C69" i="148"/>
  <c r="I70" i="148"/>
  <c r="D70" i="148"/>
  <c r="J70" i="148"/>
  <c r="E70" i="148"/>
  <c r="C70" i="148"/>
  <c r="I71" i="148"/>
  <c r="D71" i="148"/>
  <c r="J71" i="148"/>
  <c r="E71" i="148"/>
  <c r="C71" i="148"/>
  <c r="I72" i="148"/>
  <c r="D72" i="148"/>
  <c r="J72" i="148"/>
  <c r="E72" i="148"/>
  <c r="C72" i="148"/>
  <c r="I73" i="148"/>
  <c r="D73" i="148"/>
  <c r="J73" i="148"/>
  <c r="E73" i="148"/>
  <c r="C73" i="148"/>
  <c r="I74" i="148"/>
  <c r="D74" i="148"/>
  <c r="J74" i="148"/>
  <c r="E74" i="148"/>
  <c r="C74" i="148"/>
  <c r="I75" i="148"/>
  <c r="D75" i="148"/>
  <c r="J75" i="148"/>
  <c r="E75" i="148"/>
  <c r="C75" i="148"/>
  <c r="I76" i="148"/>
  <c r="D76" i="148"/>
  <c r="J76" i="148"/>
  <c r="E76" i="148"/>
  <c r="C76" i="148"/>
  <c r="I77" i="148"/>
  <c r="D77" i="148"/>
  <c r="J77" i="148"/>
  <c r="E77" i="148"/>
  <c r="C77" i="148"/>
  <c r="I78" i="148"/>
  <c r="D78" i="148"/>
  <c r="J78" i="148"/>
  <c r="E78" i="148"/>
  <c r="C78" i="148"/>
  <c r="I79" i="148"/>
  <c r="D79" i="148"/>
  <c r="J79" i="148"/>
  <c r="E79" i="148"/>
  <c r="C79" i="148"/>
  <c r="I80" i="148"/>
  <c r="D80" i="148"/>
  <c r="J80" i="148"/>
  <c r="E80" i="148"/>
  <c r="C80" i="148"/>
  <c r="I81" i="148"/>
  <c r="D81" i="148"/>
  <c r="J81" i="148"/>
  <c r="E81" i="148"/>
  <c r="C81" i="148"/>
  <c r="I82" i="148"/>
  <c r="D82" i="148"/>
  <c r="J82" i="148"/>
  <c r="E82" i="148"/>
  <c r="C82" i="148"/>
  <c r="I83" i="148"/>
  <c r="D83" i="148"/>
  <c r="J83" i="148"/>
  <c r="E83" i="148"/>
  <c r="C83" i="148"/>
  <c r="I84" i="148"/>
  <c r="D84" i="148"/>
  <c r="J84" i="148"/>
  <c r="E84" i="148"/>
  <c r="C84" i="148"/>
  <c r="I85" i="148"/>
  <c r="D85" i="148"/>
  <c r="J85" i="148"/>
  <c r="E85" i="148"/>
  <c r="C85" i="148"/>
  <c r="I86" i="148"/>
  <c r="D86" i="148"/>
  <c r="J86" i="148"/>
  <c r="E86" i="148"/>
  <c r="C86" i="148"/>
  <c r="I87" i="148"/>
  <c r="D87" i="148"/>
  <c r="J87" i="148"/>
  <c r="E87" i="148"/>
  <c r="C87" i="148"/>
  <c r="I88" i="148"/>
  <c r="D88" i="148"/>
  <c r="J88" i="148"/>
  <c r="E88" i="148"/>
  <c r="C88" i="148"/>
  <c r="I89" i="148"/>
  <c r="D89" i="148"/>
  <c r="J89" i="148"/>
  <c r="E89" i="148"/>
  <c r="C89" i="148"/>
  <c r="I90" i="148"/>
  <c r="D90" i="148"/>
  <c r="J90" i="148"/>
  <c r="E90" i="148"/>
  <c r="C90" i="148"/>
  <c r="I91" i="148"/>
  <c r="D91" i="148"/>
  <c r="J91" i="148"/>
  <c r="E91" i="148"/>
  <c r="C91" i="148"/>
  <c r="I92" i="148"/>
  <c r="D92" i="148"/>
  <c r="J92" i="148"/>
  <c r="E92" i="148"/>
  <c r="C92" i="148"/>
  <c r="I93" i="148"/>
  <c r="D93" i="148"/>
  <c r="J93" i="148"/>
  <c r="E93" i="148"/>
  <c r="C93" i="148"/>
  <c r="I94" i="148"/>
  <c r="D94" i="148"/>
  <c r="J94" i="148"/>
  <c r="E94" i="148"/>
  <c r="C94" i="148"/>
  <c r="I95" i="148"/>
  <c r="D95" i="148"/>
  <c r="J95" i="148"/>
  <c r="E95" i="148"/>
  <c r="C95" i="148"/>
  <c r="I96" i="148"/>
  <c r="D96" i="148"/>
  <c r="J96" i="148"/>
  <c r="E96" i="148"/>
  <c r="C96" i="148"/>
  <c r="I97" i="148"/>
  <c r="D97" i="148"/>
  <c r="J97" i="148"/>
  <c r="E97" i="148"/>
  <c r="C97" i="148"/>
  <c r="I98" i="148"/>
  <c r="D98" i="148"/>
  <c r="J98" i="148"/>
  <c r="E98" i="148"/>
  <c r="C98" i="148"/>
  <c r="I99" i="148"/>
  <c r="D99" i="148"/>
  <c r="J99" i="148"/>
  <c r="E99" i="148"/>
  <c r="C99" i="148"/>
  <c r="I100" i="148"/>
  <c r="D100" i="148"/>
  <c r="J100" i="148"/>
  <c r="E100" i="148"/>
  <c r="C100" i="148"/>
  <c r="I101" i="148"/>
  <c r="D101" i="148"/>
  <c r="J101" i="148"/>
  <c r="E101" i="148"/>
  <c r="C101" i="148"/>
  <c r="I102" i="148"/>
  <c r="D102" i="148"/>
  <c r="J102" i="148"/>
  <c r="E102" i="148"/>
  <c r="C102" i="148"/>
  <c r="I103" i="148"/>
  <c r="D103" i="148"/>
  <c r="J103" i="148"/>
  <c r="E103" i="148"/>
  <c r="C103" i="148"/>
  <c r="I104" i="148"/>
  <c r="D104" i="148"/>
  <c r="J104" i="148"/>
  <c r="E104" i="148"/>
  <c r="C104" i="148"/>
  <c r="I105" i="148"/>
  <c r="D105" i="148"/>
  <c r="J105" i="148"/>
  <c r="E105" i="148"/>
  <c r="C105" i="148"/>
  <c r="I106" i="148"/>
  <c r="D106" i="148"/>
  <c r="J106" i="148"/>
  <c r="E106" i="148"/>
  <c r="C106" i="148"/>
  <c r="I107" i="148"/>
  <c r="D107" i="148"/>
  <c r="J107" i="148"/>
  <c r="E107" i="148"/>
  <c r="C107" i="148"/>
  <c r="I108" i="148"/>
  <c r="D108" i="148"/>
  <c r="J108" i="148"/>
  <c r="E108" i="148"/>
  <c r="C108" i="148"/>
  <c r="I109" i="148"/>
  <c r="D109" i="148"/>
  <c r="J109" i="148"/>
  <c r="E109" i="148"/>
  <c r="C109" i="148"/>
  <c r="I110" i="148"/>
  <c r="D110" i="148"/>
  <c r="J110" i="148"/>
  <c r="E110" i="148"/>
  <c r="C110" i="148"/>
  <c r="I111" i="148"/>
  <c r="D111" i="148"/>
  <c r="J111" i="148"/>
  <c r="E111" i="148"/>
  <c r="C111" i="148"/>
  <c r="I112" i="148"/>
  <c r="D112" i="148"/>
  <c r="J112" i="148"/>
  <c r="E112" i="148"/>
  <c r="C112" i="148"/>
  <c r="I113" i="148"/>
  <c r="D113" i="148"/>
  <c r="J113" i="148"/>
  <c r="E113" i="148"/>
  <c r="C113" i="148"/>
  <c r="I114" i="148"/>
  <c r="D114" i="148"/>
  <c r="J114" i="148"/>
  <c r="E114" i="148"/>
  <c r="C114" i="148"/>
  <c r="I115" i="148"/>
  <c r="D115" i="148"/>
  <c r="J115" i="148"/>
  <c r="E115" i="148"/>
  <c r="C115" i="148"/>
  <c r="I116" i="148"/>
  <c r="D116" i="148"/>
  <c r="J116" i="148"/>
  <c r="E116" i="148"/>
  <c r="C116" i="148"/>
  <c r="I117" i="148"/>
  <c r="D117" i="148"/>
  <c r="J117" i="148"/>
  <c r="E117" i="148"/>
  <c r="C117" i="148"/>
  <c r="I118" i="148"/>
  <c r="D118" i="148"/>
  <c r="J118" i="148"/>
  <c r="E118" i="148"/>
  <c r="C118" i="148"/>
  <c r="I119" i="148"/>
  <c r="D119" i="148"/>
  <c r="J119" i="148"/>
  <c r="E119" i="148"/>
  <c r="C119" i="148"/>
  <c r="I120" i="148"/>
  <c r="D120" i="148"/>
  <c r="J120" i="148"/>
  <c r="E120" i="148"/>
  <c r="C120" i="148"/>
  <c r="I121" i="148"/>
  <c r="D121" i="148"/>
  <c r="J121" i="148"/>
  <c r="E121" i="148"/>
  <c r="C121" i="148"/>
  <c r="I122" i="148"/>
  <c r="D122" i="148"/>
  <c r="J122" i="148"/>
  <c r="E122" i="148"/>
  <c r="C122" i="148"/>
  <c r="I123" i="148"/>
  <c r="D123" i="148"/>
  <c r="J123" i="148"/>
  <c r="E123" i="148"/>
  <c r="C123" i="148"/>
  <c r="I124" i="148"/>
  <c r="D124" i="148"/>
  <c r="J124" i="148"/>
  <c r="E124" i="148"/>
  <c r="C124" i="148"/>
  <c r="I125" i="148"/>
  <c r="D125" i="148"/>
  <c r="J125" i="148"/>
  <c r="E125" i="148"/>
  <c r="C125" i="148"/>
  <c r="I126" i="148"/>
  <c r="D126" i="148"/>
  <c r="J126" i="148"/>
  <c r="E126" i="148"/>
  <c r="C126" i="148"/>
  <c r="I127" i="148"/>
  <c r="D127" i="148"/>
  <c r="J127" i="148"/>
  <c r="E127" i="148"/>
  <c r="C127" i="148"/>
  <c r="I128" i="148"/>
  <c r="D128" i="148"/>
  <c r="J128" i="148"/>
  <c r="E128" i="148"/>
  <c r="C128" i="148"/>
  <c r="I129" i="148"/>
  <c r="D129" i="148"/>
  <c r="J129" i="148"/>
  <c r="E129" i="148"/>
  <c r="C129" i="148"/>
  <c r="I130" i="148"/>
  <c r="D130" i="148"/>
  <c r="J130" i="148"/>
  <c r="E130" i="148"/>
  <c r="C130" i="148"/>
  <c r="I131" i="148"/>
  <c r="D131" i="148"/>
  <c r="J131" i="148"/>
  <c r="E131" i="148"/>
  <c r="C131" i="148"/>
  <c r="I132" i="148"/>
  <c r="D132" i="148"/>
  <c r="J132" i="148"/>
  <c r="E132" i="148"/>
  <c r="C132" i="148"/>
  <c r="I133" i="148"/>
  <c r="D133" i="148"/>
  <c r="J133" i="148"/>
  <c r="E133" i="148"/>
  <c r="C133" i="148"/>
  <c r="I134" i="148"/>
  <c r="D134" i="148"/>
  <c r="J134" i="148"/>
  <c r="E134" i="148"/>
  <c r="C134" i="148"/>
  <c r="I135" i="148"/>
  <c r="D135" i="148"/>
  <c r="J135" i="148"/>
  <c r="E135" i="148"/>
  <c r="C135" i="148"/>
  <c r="I136" i="148"/>
  <c r="D136" i="148"/>
  <c r="J136" i="148"/>
  <c r="E136" i="148"/>
  <c r="C136" i="148"/>
  <c r="I137" i="148"/>
  <c r="D137" i="148"/>
  <c r="J137" i="148"/>
  <c r="E137" i="148"/>
  <c r="C137" i="148"/>
  <c r="I138" i="148"/>
  <c r="D138" i="148"/>
  <c r="J138" i="148"/>
  <c r="E138" i="148"/>
  <c r="C138" i="148"/>
  <c r="I139" i="148"/>
  <c r="D139" i="148"/>
  <c r="J139" i="148"/>
  <c r="E139" i="148"/>
  <c r="C139" i="148"/>
  <c r="I140" i="148"/>
  <c r="D140" i="148"/>
  <c r="J140" i="148"/>
  <c r="E140" i="148"/>
  <c r="C140" i="148"/>
  <c r="I141" i="148"/>
  <c r="D141" i="148"/>
  <c r="J141" i="148"/>
  <c r="E141" i="148"/>
  <c r="C141" i="148"/>
  <c r="I142" i="148"/>
  <c r="D142" i="148"/>
  <c r="J142" i="148"/>
  <c r="E142" i="148"/>
  <c r="C142" i="148"/>
  <c r="I143" i="148"/>
  <c r="D143" i="148"/>
  <c r="J143" i="148"/>
  <c r="E143" i="148"/>
  <c r="C143" i="148"/>
  <c r="I144" i="148"/>
  <c r="D144" i="148"/>
  <c r="J144" i="148"/>
  <c r="E144" i="148"/>
  <c r="C144" i="148"/>
  <c r="I145" i="148"/>
  <c r="D145" i="148"/>
  <c r="J145" i="148"/>
  <c r="E145" i="148"/>
  <c r="C145" i="148"/>
  <c r="I146" i="148"/>
  <c r="D146" i="148"/>
  <c r="J146" i="148"/>
  <c r="E146" i="148"/>
  <c r="C146" i="148"/>
  <c r="I147" i="148"/>
  <c r="D147" i="148"/>
  <c r="J147" i="148"/>
  <c r="E147" i="148"/>
  <c r="C147" i="148"/>
  <c r="I148" i="148"/>
  <c r="D148" i="148"/>
  <c r="J148" i="148"/>
  <c r="E148" i="148"/>
  <c r="C148" i="148"/>
  <c r="I149" i="148"/>
  <c r="D149" i="148"/>
  <c r="J149" i="148"/>
  <c r="E149" i="148"/>
  <c r="C149" i="148"/>
  <c r="I150" i="148"/>
  <c r="D150" i="148"/>
  <c r="J150" i="148"/>
  <c r="E150" i="148"/>
  <c r="C150" i="148"/>
  <c r="I151" i="148"/>
  <c r="D151" i="148"/>
  <c r="J151" i="148"/>
  <c r="E151" i="148"/>
  <c r="C151" i="148"/>
  <c r="I152" i="148"/>
  <c r="D152" i="148"/>
  <c r="J152" i="148"/>
  <c r="E152" i="148"/>
  <c r="C152" i="148"/>
  <c r="I153" i="148"/>
  <c r="D153" i="148"/>
  <c r="J153" i="148"/>
  <c r="E153" i="148"/>
  <c r="C153" i="148"/>
  <c r="I154" i="148"/>
  <c r="D154" i="148"/>
  <c r="J154" i="148"/>
  <c r="E154" i="148"/>
  <c r="C154" i="148"/>
  <c r="I155" i="148"/>
  <c r="D155" i="148"/>
  <c r="J155" i="148"/>
  <c r="E155" i="148"/>
  <c r="C155" i="148"/>
  <c r="I156" i="148"/>
  <c r="D156" i="148"/>
  <c r="J156" i="148"/>
  <c r="E156" i="148"/>
  <c r="C156" i="148"/>
  <c r="I157" i="148"/>
  <c r="D157" i="148"/>
  <c r="J157" i="148"/>
  <c r="E157" i="148"/>
  <c r="C157" i="148"/>
  <c r="I158" i="148"/>
  <c r="D158" i="148"/>
  <c r="J158" i="148"/>
  <c r="E158" i="148"/>
  <c r="C158" i="148"/>
  <c r="I159" i="148"/>
  <c r="D159" i="148"/>
  <c r="J159" i="148"/>
  <c r="E159" i="148"/>
  <c r="C159" i="148"/>
  <c r="I160" i="148"/>
  <c r="D160" i="148"/>
  <c r="J160" i="148"/>
  <c r="E160" i="148"/>
  <c r="C160" i="148"/>
  <c r="I161" i="148"/>
  <c r="D161" i="148"/>
  <c r="J161" i="148"/>
  <c r="E161" i="148"/>
  <c r="C161" i="148"/>
  <c r="I162" i="148"/>
  <c r="D162" i="148"/>
  <c r="J162" i="148"/>
  <c r="E162" i="148"/>
  <c r="C162" i="148"/>
  <c r="I163" i="148"/>
  <c r="D163" i="148"/>
  <c r="J163" i="148"/>
  <c r="E163" i="148"/>
  <c r="C163" i="148"/>
  <c r="I164" i="148"/>
  <c r="D164" i="148"/>
  <c r="J164" i="148"/>
  <c r="E164" i="148"/>
  <c r="C164" i="148"/>
  <c r="I165" i="148"/>
  <c r="D165" i="148"/>
  <c r="J165" i="148"/>
  <c r="E165" i="148"/>
  <c r="C165" i="148"/>
  <c r="I166" i="148"/>
  <c r="D166" i="148"/>
  <c r="J166" i="148"/>
  <c r="E166" i="148"/>
  <c r="C166" i="148"/>
  <c r="I167" i="148"/>
  <c r="D167" i="148"/>
  <c r="J167" i="148"/>
  <c r="E167" i="148"/>
  <c r="C167" i="148"/>
  <c r="I168" i="148"/>
  <c r="D168" i="148"/>
  <c r="J168" i="148"/>
  <c r="E168" i="148"/>
  <c r="C168" i="148"/>
  <c r="I169" i="148"/>
  <c r="D169" i="148"/>
  <c r="J169" i="148"/>
  <c r="E169" i="148"/>
  <c r="C169" i="148"/>
  <c r="I170" i="148"/>
  <c r="D170" i="148"/>
  <c r="J170" i="148"/>
  <c r="E170" i="148"/>
  <c r="C170" i="148"/>
  <c r="I171" i="148"/>
  <c r="D171" i="148"/>
  <c r="J171" i="148"/>
  <c r="E171" i="148"/>
  <c r="C171" i="148"/>
  <c r="I172" i="148"/>
  <c r="D172" i="148"/>
  <c r="J172" i="148"/>
  <c r="E172" i="148"/>
  <c r="C172" i="148"/>
  <c r="I173" i="148"/>
  <c r="D173" i="148"/>
  <c r="J173" i="148"/>
  <c r="E173" i="148"/>
  <c r="C173" i="148"/>
  <c r="I174" i="148"/>
  <c r="D174" i="148"/>
  <c r="J174" i="148"/>
  <c r="E174" i="148"/>
  <c r="C174" i="148"/>
  <c r="I175" i="148"/>
  <c r="D175" i="148"/>
  <c r="J175" i="148"/>
  <c r="E175" i="148"/>
  <c r="C175" i="148"/>
  <c r="I176" i="148"/>
  <c r="D176" i="148"/>
  <c r="J176" i="148"/>
  <c r="E176" i="148"/>
  <c r="C176" i="148"/>
  <c r="I177" i="148"/>
  <c r="D177" i="148"/>
  <c r="J177" i="148"/>
  <c r="E177" i="148"/>
  <c r="C177" i="148"/>
  <c r="I178" i="148"/>
  <c r="D178" i="148"/>
  <c r="J178" i="148"/>
  <c r="E178" i="148"/>
  <c r="C178" i="148"/>
  <c r="I179" i="148"/>
  <c r="D179" i="148"/>
  <c r="J179" i="148"/>
  <c r="E179" i="148"/>
  <c r="C179" i="148"/>
  <c r="I180" i="148"/>
  <c r="D180" i="148"/>
  <c r="J180" i="148"/>
  <c r="E180" i="148"/>
  <c r="C180" i="148"/>
  <c r="I181" i="148"/>
  <c r="D181" i="148"/>
  <c r="J181" i="148"/>
  <c r="E181" i="148"/>
  <c r="C181" i="148"/>
  <c r="I182" i="148"/>
  <c r="D182" i="148"/>
  <c r="J182" i="148"/>
  <c r="E182" i="148"/>
  <c r="C182" i="148"/>
  <c r="I183" i="148"/>
  <c r="D183" i="148"/>
  <c r="J183" i="148"/>
  <c r="E183" i="148"/>
  <c r="C183" i="148"/>
  <c r="I184" i="148"/>
  <c r="D184" i="148"/>
  <c r="J184" i="148"/>
  <c r="E184" i="148"/>
  <c r="C184" i="148"/>
  <c r="I185" i="148"/>
  <c r="D185" i="148"/>
  <c r="J185" i="148"/>
  <c r="E185" i="148"/>
  <c r="C185" i="148"/>
  <c r="I186" i="148"/>
  <c r="D186" i="148"/>
  <c r="J186" i="148"/>
  <c r="E186" i="148"/>
  <c r="C186" i="148"/>
  <c r="I187" i="148"/>
  <c r="D187" i="148"/>
  <c r="J187" i="148"/>
  <c r="E187" i="148"/>
  <c r="C187" i="148"/>
  <c r="I188" i="148"/>
  <c r="D188" i="148"/>
  <c r="J188" i="148"/>
  <c r="E188" i="148"/>
  <c r="C188" i="148"/>
  <c r="I189" i="148"/>
  <c r="D189" i="148"/>
  <c r="J189" i="148"/>
  <c r="E189" i="148"/>
  <c r="C189" i="148"/>
  <c r="I190" i="148"/>
  <c r="D190" i="148"/>
  <c r="J190" i="148"/>
  <c r="E190" i="148"/>
  <c r="C190" i="148"/>
  <c r="I191" i="148"/>
  <c r="D191" i="148"/>
  <c r="J191" i="148"/>
  <c r="E191" i="148"/>
  <c r="C191" i="148"/>
  <c r="I192" i="148"/>
  <c r="D192" i="148"/>
  <c r="J192" i="148"/>
  <c r="E192" i="148"/>
  <c r="C192" i="148"/>
  <c r="I193" i="148"/>
  <c r="D193" i="148"/>
  <c r="J193" i="148"/>
  <c r="E193" i="148"/>
  <c r="C193" i="148"/>
  <c r="I194" i="148"/>
  <c r="D194" i="148"/>
  <c r="J194" i="148"/>
  <c r="E194" i="148"/>
  <c r="C194" i="148"/>
  <c r="I195" i="148"/>
  <c r="D195" i="148"/>
  <c r="J195" i="148"/>
  <c r="E195" i="148"/>
  <c r="C195" i="148"/>
  <c r="I196" i="148"/>
  <c r="D196" i="148"/>
  <c r="J196" i="148"/>
  <c r="E196" i="148"/>
  <c r="C196" i="148"/>
  <c r="I197" i="148"/>
  <c r="D197" i="148"/>
  <c r="J197" i="148"/>
  <c r="E197" i="148"/>
  <c r="C197" i="148"/>
  <c r="I198" i="148"/>
  <c r="D198" i="148"/>
  <c r="J198" i="148"/>
  <c r="E198" i="148"/>
  <c r="C198" i="148"/>
  <c r="I199" i="148"/>
  <c r="D199" i="148"/>
  <c r="J199" i="148"/>
  <c r="E199" i="148"/>
  <c r="C199" i="148"/>
  <c r="I200" i="148"/>
  <c r="D200" i="148"/>
  <c r="J200" i="148"/>
  <c r="E200" i="148"/>
  <c r="C200" i="148"/>
  <c r="I201" i="148"/>
  <c r="D201" i="148"/>
  <c r="J201" i="148"/>
  <c r="E201" i="148"/>
  <c r="C201" i="148"/>
  <c r="I202" i="148"/>
  <c r="D202" i="148"/>
  <c r="J202" i="148"/>
  <c r="E202" i="148"/>
  <c r="C202" i="148"/>
  <c r="I203" i="148"/>
  <c r="D203" i="148"/>
  <c r="J203" i="148"/>
  <c r="E203" i="148"/>
  <c r="C203" i="148"/>
  <c r="I204" i="148"/>
  <c r="D204" i="148"/>
  <c r="J204" i="148"/>
  <c r="E204" i="148"/>
  <c r="C204" i="148"/>
  <c r="I205" i="148"/>
  <c r="D205" i="148"/>
  <c r="J205" i="148"/>
  <c r="E205" i="148"/>
  <c r="C205" i="148"/>
  <c r="I206" i="148"/>
  <c r="D206" i="148"/>
  <c r="J206" i="148"/>
  <c r="E206" i="148"/>
  <c r="C206" i="148"/>
  <c r="I207" i="148"/>
  <c r="D207" i="148"/>
  <c r="J207" i="148"/>
  <c r="E207" i="148"/>
  <c r="C207" i="148"/>
  <c r="I208" i="148"/>
  <c r="D208" i="148"/>
  <c r="J208" i="148"/>
  <c r="E208" i="148"/>
  <c r="C208" i="148"/>
  <c r="I209" i="148"/>
  <c r="D209" i="148"/>
  <c r="J209" i="148"/>
  <c r="E209" i="148"/>
  <c r="C209" i="148"/>
  <c r="I210" i="148"/>
  <c r="D210" i="148"/>
  <c r="J210" i="148"/>
  <c r="E210" i="148"/>
  <c r="C210" i="148"/>
  <c r="I211" i="148"/>
  <c r="D211" i="148"/>
  <c r="J211" i="148"/>
  <c r="E211" i="148"/>
  <c r="C211" i="148"/>
  <c r="I212" i="148"/>
  <c r="D212" i="148"/>
  <c r="J212" i="148"/>
  <c r="E212" i="148"/>
  <c r="C212" i="148"/>
  <c r="I213" i="148"/>
  <c r="D213" i="148"/>
  <c r="J213" i="148"/>
  <c r="E213" i="148"/>
  <c r="C213" i="148"/>
  <c r="I214" i="148"/>
  <c r="D214" i="148"/>
  <c r="J214" i="148"/>
  <c r="E214" i="148"/>
  <c r="C214" i="148"/>
  <c r="I215" i="148"/>
  <c r="J215" i="148"/>
  <c r="D215" i="148"/>
  <c r="E215" i="148"/>
  <c r="C215" i="148"/>
  <c r="I216" i="148"/>
  <c r="J216" i="148"/>
  <c r="D216" i="148"/>
  <c r="E216" i="148"/>
  <c r="C216" i="148"/>
  <c r="I217" i="148"/>
  <c r="J217" i="148"/>
  <c r="D217" i="148"/>
  <c r="E217" i="148"/>
  <c r="C217" i="148"/>
  <c r="I218" i="148"/>
  <c r="J218" i="148"/>
  <c r="D218" i="148"/>
  <c r="E218" i="148"/>
  <c r="C218" i="148"/>
  <c r="I219" i="148"/>
  <c r="J219" i="148"/>
  <c r="D219" i="148"/>
  <c r="E219" i="148"/>
  <c r="C219" i="148"/>
  <c r="I220" i="148"/>
  <c r="J220" i="148"/>
  <c r="D220" i="148"/>
  <c r="E220" i="148"/>
  <c r="C220" i="148"/>
  <c r="I221" i="148"/>
  <c r="D221" i="148"/>
  <c r="J221" i="148"/>
  <c r="E221" i="148"/>
  <c r="C221" i="148"/>
  <c r="I222" i="148"/>
  <c r="D222" i="148"/>
  <c r="J222" i="148"/>
  <c r="E222" i="148"/>
  <c r="C222" i="148"/>
  <c r="I223" i="148"/>
  <c r="D223" i="148"/>
  <c r="J223" i="148"/>
  <c r="E223" i="148"/>
  <c r="C223" i="148"/>
  <c r="I224" i="148"/>
  <c r="D224" i="148"/>
  <c r="J224" i="148"/>
  <c r="E224" i="148"/>
  <c r="C224" i="148"/>
  <c r="I225" i="148"/>
  <c r="D225" i="148"/>
  <c r="J225" i="148"/>
  <c r="E225" i="148"/>
  <c r="C225" i="148"/>
  <c r="I226" i="148"/>
  <c r="D226" i="148"/>
  <c r="J226" i="148"/>
  <c r="E226" i="148"/>
  <c r="C226" i="148"/>
  <c r="I227" i="148"/>
  <c r="D227" i="148"/>
  <c r="J227" i="148"/>
  <c r="E227" i="148"/>
  <c r="C227" i="148"/>
  <c r="I228" i="148"/>
  <c r="D228" i="148"/>
  <c r="J228" i="148"/>
  <c r="E228" i="148"/>
  <c r="C228" i="148"/>
  <c r="I229" i="148"/>
  <c r="D229" i="148"/>
  <c r="J229" i="148"/>
  <c r="E229" i="148"/>
  <c r="C229" i="148"/>
  <c r="I230" i="148"/>
  <c r="D230" i="148"/>
  <c r="J230" i="148"/>
  <c r="E230" i="148"/>
  <c r="C230" i="148"/>
  <c r="I231" i="148"/>
  <c r="D231" i="148"/>
  <c r="J231" i="148"/>
  <c r="E231" i="148"/>
  <c r="C231" i="148"/>
  <c r="I232" i="148"/>
  <c r="D232" i="148"/>
  <c r="J232" i="148"/>
  <c r="E232" i="148"/>
  <c r="C232" i="148"/>
  <c r="I233" i="148"/>
  <c r="D233" i="148"/>
  <c r="J233" i="148"/>
  <c r="E233" i="148"/>
  <c r="C233" i="148"/>
  <c r="I234" i="148"/>
  <c r="D234" i="148"/>
  <c r="J234" i="148"/>
  <c r="E234" i="148"/>
  <c r="C234" i="148"/>
  <c r="I235" i="148"/>
  <c r="D235" i="148"/>
  <c r="J235" i="148"/>
  <c r="E235" i="148"/>
  <c r="C235" i="148"/>
  <c r="I236" i="148"/>
  <c r="D236" i="148"/>
  <c r="J236" i="148"/>
  <c r="E236" i="148"/>
  <c r="C236" i="148"/>
  <c r="I237" i="148"/>
  <c r="D237" i="148"/>
  <c r="J237" i="148"/>
  <c r="E237" i="148"/>
  <c r="C237" i="148"/>
  <c r="I238" i="148"/>
  <c r="D238" i="148"/>
  <c r="J238" i="148"/>
  <c r="E238" i="148"/>
  <c r="C238" i="148"/>
  <c r="I239" i="148"/>
  <c r="D239" i="148"/>
  <c r="J239" i="148"/>
  <c r="E239" i="148"/>
  <c r="C239" i="148"/>
  <c r="I240" i="148"/>
  <c r="D240" i="148"/>
  <c r="J240" i="148"/>
  <c r="E240" i="148"/>
  <c r="C240" i="148"/>
  <c r="I241" i="148"/>
  <c r="D241" i="148"/>
  <c r="J241" i="148"/>
  <c r="E241" i="148"/>
  <c r="C241" i="148"/>
  <c r="I242" i="148"/>
  <c r="D242" i="148"/>
  <c r="J242" i="148"/>
  <c r="E242" i="148"/>
  <c r="C242" i="148"/>
  <c r="I243" i="148"/>
  <c r="D243" i="148"/>
  <c r="J243" i="148"/>
  <c r="E243" i="148"/>
  <c r="C243" i="148"/>
  <c r="I244" i="148"/>
  <c r="D244" i="148"/>
  <c r="J244" i="148"/>
  <c r="E244" i="148"/>
  <c r="C244" i="148"/>
  <c r="I245" i="148"/>
  <c r="D245" i="148"/>
  <c r="J245" i="148"/>
  <c r="E245" i="148"/>
  <c r="C245" i="148"/>
  <c r="I246" i="148"/>
  <c r="D246" i="148"/>
  <c r="J246" i="148"/>
  <c r="E246" i="148"/>
  <c r="C246" i="148"/>
  <c r="I247" i="148"/>
  <c r="D247" i="148"/>
  <c r="J247" i="148"/>
  <c r="E247" i="148"/>
  <c r="C247" i="148"/>
  <c r="I248" i="148"/>
  <c r="D248" i="148"/>
  <c r="J248" i="148"/>
  <c r="E248" i="148"/>
  <c r="C248" i="148"/>
  <c r="I249" i="148"/>
  <c r="D249" i="148"/>
  <c r="J249" i="148"/>
  <c r="E249" i="148"/>
  <c r="C249" i="148"/>
  <c r="I250" i="148"/>
  <c r="D250" i="148"/>
  <c r="J250" i="148"/>
  <c r="E250" i="148"/>
  <c r="C250" i="148"/>
  <c r="I251" i="148"/>
  <c r="D251" i="148"/>
  <c r="J251" i="148"/>
  <c r="E251" i="148"/>
  <c r="C251" i="148"/>
  <c r="I252" i="148"/>
  <c r="D252" i="148"/>
  <c r="J252" i="148"/>
  <c r="E252" i="148"/>
  <c r="C252" i="148"/>
  <c r="I253" i="148"/>
  <c r="D253" i="148"/>
  <c r="J253" i="148"/>
  <c r="E253" i="148"/>
  <c r="C253" i="148"/>
  <c r="I254" i="148"/>
  <c r="D254" i="148"/>
  <c r="J254" i="148"/>
  <c r="E254" i="148"/>
  <c r="C254" i="148"/>
  <c r="I255" i="148"/>
  <c r="D255" i="148"/>
  <c r="J255" i="148"/>
  <c r="E255" i="148"/>
  <c r="C255" i="148"/>
  <c r="I256" i="148"/>
  <c r="D256" i="148"/>
  <c r="J256" i="148"/>
  <c r="E256" i="148"/>
  <c r="C256" i="148"/>
  <c r="I257" i="148"/>
  <c r="D257" i="148"/>
  <c r="J257" i="148"/>
  <c r="E257" i="148"/>
  <c r="C257" i="148"/>
  <c r="I258" i="148"/>
  <c r="D258" i="148"/>
  <c r="J258" i="148"/>
  <c r="E258" i="148"/>
  <c r="C258" i="148"/>
  <c r="I259" i="148"/>
  <c r="D259" i="148"/>
  <c r="J259" i="148"/>
  <c r="E259" i="148"/>
  <c r="C259" i="148"/>
  <c r="I260" i="148"/>
  <c r="D260" i="148"/>
  <c r="J260" i="148"/>
  <c r="E260" i="148"/>
  <c r="C260" i="148"/>
  <c r="I261" i="148"/>
  <c r="D261" i="148"/>
  <c r="J261" i="148"/>
  <c r="E261" i="148"/>
  <c r="C261" i="148"/>
  <c r="I262" i="148"/>
  <c r="D262" i="148"/>
  <c r="J262" i="148"/>
  <c r="E262" i="148"/>
  <c r="C262" i="148"/>
  <c r="I263" i="148"/>
  <c r="D263" i="148"/>
  <c r="J263" i="148"/>
  <c r="E263" i="148"/>
  <c r="C263" i="148"/>
  <c r="I264" i="148"/>
  <c r="D264" i="148"/>
  <c r="J264" i="148"/>
  <c r="E264" i="148"/>
  <c r="C264" i="148"/>
  <c r="I265" i="148"/>
  <c r="D265" i="148"/>
  <c r="J265" i="148"/>
  <c r="E265" i="148"/>
  <c r="C265" i="148"/>
  <c r="I266" i="148"/>
  <c r="D266" i="148"/>
  <c r="J266" i="148"/>
  <c r="E266" i="148"/>
  <c r="C266" i="148"/>
  <c r="I267" i="148"/>
  <c r="D267" i="148"/>
  <c r="J267" i="148"/>
  <c r="E267" i="148"/>
  <c r="C267" i="148"/>
  <c r="I268" i="148"/>
  <c r="D268" i="148"/>
  <c r="J268" i="148"/>
  <c r="E268" i="148"/>
  <c r="C268" i="148"/>
  <c r="I269" i="148"/>
  <c r="D269" i="148"/>
  <c r="J269" i="148"/>
  <c r="E269" i="148"/>
  <c r="C269" i="148"/>
  <c r="I270" i="148"/>
  <c r="D270" i="148"/>
  <c r="J270" i="148"/>
  <c r="E270" i="148"/>
  <c r="C270" i="148"/>
  <c r="I271" i="148"/>
  <c r="D271" i="148"/>
  <c r="J271" i="148"/>
  <c r="E271" i="148"/>
  <c r="C271" i="148"/>
  <c r="I272" i="148"/>
  <c r="D272" i="148"/>
  <c r="J272" i="148"/>
  <c r="E272" i="148"/>
  <c r="C272" i="148"/>
  <c r="I273" i="148"/>
  <c r="D273" i="148"/>
  <c r="J273" i="148"/>
  <c r="E273" i="148"/>
  <c r="C273" i="148"/>
  <c r="I274" i="148"/>
  <c r="D274" i="148"/>
  <c r="J274" i="148"/>
  <c r="E274" i="148"/>
  <c r="C274" i="148"/>
  <c r="I275" i="148"/>
  <c r="D275" i="148"/>
  <c r="J275" i="148"/>
  <c r="E275" i="148"/>
  <c r="C275" i="148"/>
  <c r="I276" i="148"/>
  <c r="D276" i="148"/>
  <c r="J276" i="148"/>
  <c r="E276" i="148"/>
  <c r="C276" i="148"/>
  <c r="I277" i="148"/>
  <c r="D277" i="148"/>
  <c r="J277" i="148"/>
  <c r="E277" i="148"/>
  <c r="C277" i="148"/>
  <c r="I278" i="148"/>
  <c r="D278" i="148"/>
  <c r="J278" i="148"/>
  <c r="E278" i="148"/>
  <c r="C278" i="148"/>
  <c r="I279" i="148"/>
  <c r="D279" i="148"/>
  <c r="J279" i="148"/>
  <c r="E279" i="148"/>
  <c r="C279" i="148"/>
  <c r="I280" i="148"/>
  <c r="D280" i="148"/>
  <c r="J280" i="148"/>
  <c r="E280" i="148"/>
  <c r="C280" i="148"/>
  <c r="I281" i="148"/>
  <c r="D281" i="148"/>
  <c r="J281" i="148"/>
  <c r="E281" i="148"/>
  <c r="C281" i="148"/>
  <c r="I282" i="148"/>
  <c r="D282" i="148"/>
  <c r="J282" i="148"/>
  <c r="E282" i="148"/>
  <c r="C282" i="148"/>
  <c r="I283" i="148"/>
  <c r="D283" i="148"/>
  <c r="J283" i="148"/>
  <c r="E283" i="148"/>
  <c r="C283" i="148"/>
  <c r="I284" i="148"/>
  <c r="D284" i="148"/>
  <c r="J284" i="148"/>
  <c r="E284" i="148"/>
  <c r="C284" i="148"/>
  <c r="I285" i="148"/>
  <c r="D285" i="148"/>
  <c r="J285" i="148"/>
  <c r="E285" i="148"/>
  <c r="C285" i="148"/>
  <c r="I286" i="148"/>
  <c r="D286" i="148"/>
  <c r="J286" i="148"/>
  <c r="E286" i="148"/>
  <c r="C286" i="148"/>
  <c r="I287" i="148"/>
  <c r="D287" i="148"/>
  <c r="J287" i="148"/>
  <c r="E287" i="148"/>
  <c r="C287" i="148"/>
  <c r="I288" i="148"/>
  <c r="D288" i="148"/>
  <c r="J288" i="148"/>
  <c r="E288" i="148"/>
  <c r="C288" i="148"/>
  <c r="I289" i="148"/>
  <c r="D289" i="148"/>
  <c r="J289" i="148"/>
  <c r="E289" i="148"/>
  <c r="C289" i="148"/>
  <c r="I290" i="148"/>
  <c r="D290" i="148"/>
  <c r="J290" i="148"/>
  <c r="E290" i="148"/>
  <c r="C290" i="148"/>
  <c r="I291" i="148"/>
  <c r="D291" i="148"/>
  <c r="J291" i="148"/>
  <c r="E291" i="148"/>
  <c r="C291" i="148"/>
  <c r="I292" i="148"/>
  <c r="D292" i="148"/>
  <c r="J292" i="148"/>
  <c r="E292" i="148"/>
  <c r="C292" i="148"/>
  <c r="I293" i="148"/>
  <c r="D293" i="148"/>
  <c r="J293" i="148"/>
  <c r="E293" i="148"/>
  <c r="C293" i="148"/>
  <c r="I294" i="148"/>
  <c r="D294" i="148"/>
  <c r="J294" i="148"/>
  <c r="E294" i="148"/>
  <c r="C294" i="148"/>
  <c r="I295" i="148"/>
  <c r="D295" i="148"/>
  <c r="J295" i="148"/>
  <c r="E295" i="148"/>
  <c r="C295" i="148"/>
  <c r="I296" i="148"/>
  <c r="D296" i="148"/>
  <c r="J296" i="148"/>
  <c r="E296" i="148"/>
  <c r="C296" i="148"/>
  <c r="I297" i="148"/>
  <c r="D297" i="148"/>
  <c r="J297" i="148"/>
  <c r="E297" i="148"/>
  <c r="C297" i="148"/>
  <c r="I298" i="148"/>
  <c r="D298" i="148"/>
  <c r="J298" i="148"/>
  <c r="E298" i="148"/>
  <c r="C298" i="148"/>
  <c r="I299" i="148"/>
  <c r="D299" i="148"/>
  <c r="J299" i="148"/>
  <c r="E299" i="148"/>
  <c r="C299" i="148"/>
  <c r="I300" i="148"/>
  <c r="D300" i="148"/>
  <c r="J300" i="148"/>
  <c r="E300" i="148"/>
  <c r="C300" i="148"/>
  <c r="I301" i="148"/>
  <c r="D301" i="148"/>
  <c r="J301" i="148"/>
  <c r="E301" i="148"/>
  <c r="C301" i="148"/>
  <c r="I302" i="148"/>
  <c r="D302" i="148"/>
  <c r="J302" i="148"/>
  <c r="E302" i="148"/>
  <c r="C302" i="148"/>
  <c r="I303" i="148"/>
  <c r="D303" i="148"/>
  <c r="J303" i="148"/>
  <c r="E303" i="148"/>
  <c r="C303" i="148"/>
  <c r="I304" i="148"/>
  <c r="D304" i="148"/>
  <c r="J304" i="148"/>
  <c r="E304" i="148"/>
  <c r="C304" i="148"/>
  <c r="I305" i="148"/>
  <c r="D305" i="148"/>
  <c r="J305" i="148"/>
  <c r="E305" i="148"/>
  <c r="C305" i="148"/>
  <c r="I306" i="148"/>
  <c r="D306" i="148"/>
  <c r="J306" i="148"/>
  <c r="E306" i="148"/>
  <c r="C306" i="148"/>
  <c r="I307" i="148"/>
  <c r="D307" i="148"/>
  <c r="J307" i="148"/>
  <c r="E307" i="148"/>
  <c r="C307" i="148"/>
  <c r="I308" i="148"/>
  <c r="D308" i="148"/>
  <c r="J308" i="148"/>
  <c r="E308" i="148"/>
  <c r="C308" i="148"/>
  <c r="I309" i="148"/>
  <c r="D309" i="148"/>
  <c r="J309" i="148"/>
  <c r="E309" i="148"/>
  <c r="C309" i="148"/>
  <c r="I310" i="148"/>
  <c r="D310" i="148"/>
  <c r="J310" i="148"/>
  <c r="E310" i="148"/>
  <c r="C310" i="148"/>
  <c r="I311" i="148"/>
  <c r="D311" i="148"/>
  <c r="J311" i="148"/>
  <c r="E311" i="148"/>
  <c r="C311" i="148"/>
  <c r="I312" i="148"/>
  <c r="D312" i="148"/>
  <c r="J312" i="148"/>
  <c r="E312" i="148"/>
  <c r="C312" i="148"/>
  <c r="I313" i="148"/>
  <c r="D313" i="148"/>
  <c r="J313" i="148"/>
  <c r="E313" i="148"/>
  <c r="C313" i="148"/>
  <c r="I314" i="148"/>
  <c r="D314" i="148"/>
  <c r="J314" i="148"/>
  <c r="E314" i="148"/>
  <c r="C314" i="148"/>
  <c r="I315" i="148"/>
  <c r="D315" i="148"/>
  <c r="J315" i="148"/>
  <c r="E315" i="148"/>
  <c r="C315" i="148"/>
  <c r="I316" i="148"/>
  <c r="D316" i="148"/>
  <c r="J316" i="148"/>
  <c r="E316" i="148"/>
  <c r="C316" i="148"/>
  <c r="I317" i="148"/>
  <c r="D317" i="148"/>
  <c r="J317" i="148"/>
  <c r="E317" i="148"/>
  <c r="C317" i="148"/>
  <c r="I318" i="148"/>
  <c r="D318" i="148"/>
  <c r="J318" i="148"/>
  <c r="E318" i="148"/>
  <c r="C318" i="148"/>
  <c r="I319" i="148"/>
  <c r="D319" i="148"/>
  <c r="J319" i="148"/>
  <c r="E319" i="148"/>
  <c r="C319" i="148"/>
  <c r="I320" i="148"/>
  <c r="D320" i="148"/>
  <c r="J320" i="148"/>
  <c r="E320" i="148"/>
  <c r="C320" i="148"/>
  <c r="I321" i="148"/>
  <c r="D321" i="148"/>
  <c r="J321" i="148"/>
  <c r="E321" i="148"/>
  <c r="C321" i="148"/>
  <c r="I322" i="148"/>
  <c r="D322" i="148"/>
  <c r="J322" i="148"/>
  <c r="E322" i="148"/>
  <c r="C322" i="148"/>
  <c r="I323" i="148"/>
  <c r="D323" i="148"/>
  <c r="J323" i="148"/>
  <c r="E323" i="148"/>
  <c r="C323" i="148"/>
  <c r="I324" i="148"/>
  <c r="D324" i="148"/>
  <c r="J324" i="148"/>
  <c r="E324" i="148"/>
  <c r="C324" i="148"/>
  <c r="I325" i="148"/>
  <c r="D325" i="148"/>
  <c r="J325" i="148"/>
  <c r="E325" i="148"/>
  <c r="C325" i="148"/>
  <c r="I326" i="148"/>
  <c r="D326" i="148"/>
  <c r="J326" i="148"/>
  <c r="E326" i="148"/>
  <c r="C326" i="148"/>
  <c r="I327" i="148"/>
  <c r="D327" i="148"/>
  <c r="J327" i="148"/>
  <c r="E327" i="148"/>
  <c r="C327" i="148"/>
  <c r="I328" i="148"/>
  <c r="D328" i="148"/>
  <c r="J328" i="148"/>
  <c r="E328" i="148"/>
  <c r="C328" i="148"/>
  <c r="I329" i="148"/>
  <c r="D329" i="148"/>
  <c r="J329" i="148"/>
  <c r="E329" i="148"/>
  <c r="C329" i="148"/>
  <c r="I330" i="148"/>
  <c r="D330" i="148"/>
  <c r="J330" i="148"/>
  <c r="E330" i="148"/>
  <c r="C330" i="148"/>
  <c r="I331" i="148"/>
  <c r="D331" i="148"/>
  <c r="J331" i="148"/>
  <c r="E331" i="148"/>
  <c r="C331" i="148"/>
  <c r="I332" i="148"/>
  <c r="D332" i="148"/>
  <c r="J332" i="148"/>
  <c r="E332" i="148"/>
  <c r="C332" i="148"/>
  <c r="I333" i="148"/>
  <c r="D333" i="148"/>
  <c r="J333" i="148"/>
  <c r="E333" i="148"/>
  <c r="C333" i="148"/>
  <c r="I334" i="148"/>
  <c r="D334" i="148"/>
  <c r="J334" i="148"/>
  <c r="E334" i="148"/>
  <c r="C334" i="148"/>
  <c r="I335" i="148"/>
  <c r="D335" i="148"/>
  <c r="J335" i="148"/>
  <c r="E335" i="148"/>
  <c r="C335" i="148"/>
  <c r="I336" i="148"/>
  <c r="D336" i="148"/>
  <c r="J336" i="148"/>
  <c r="E336" i="148"/>
  <c r="C336" i="148"/>
  <c r="I337" i="148"/>
  <c r="D337" i="148"/>
  <c r="J337" i="148"/>
  <c r="E337" i="148"/>
  <c r="C337" i="148"/>
  <c r="I338" i="148"/>
  <c r="D338" i="148"/>
  <c r="J338" i="148"/>
  <c r="E338" i="148"/>
  <c r="C338" i="148"/>
  <c r="I339" i="148"/>
  <c r="D339" i="148"/>
  <c r="J339" i="148"/>
  <c r="E339" i="148"/>
  <c r="C339" i="148"/>
  <c r="I340" i="148"/>
  <c r="D340" i="148"/>
  <c r="J340" i="148"/>
  <c r="E340" i="148"/>
  <c r="C340" i="148"/>
  <c r="I341" i="148"/>
  <c r="D341" i="148"/>
  <c r="J341" i="148"/>
  <c r="E341" i="148"/>
  <c r="C341" i="148"/>
  <c r="I342" i="148"/>
  <c r="D342" i="148"/>
  <c r="J342" i="148"/>
  <c r="E342" i="148"/>
  <c r="C342" i="148"/>
  <c r="I343" i="148"/>
  <c r="D343" i="148"/>
  <c r="J343" i="148"/>
  <c r="E343" i="148"/>
  <c r="C343" i="148"/>
  <c r="I344" i="148"/>
  <c r="D344" i="148"/>
  <c r="J344" i="148"/>
  <c r="E344" i="148"/>
  <c r="C344" i="148"/>
  <c r="I345" i="148"/>
  <c r="D345" i="148"/>
  <c r="J345" i="148"/>
  <c r="E345" i="148"/>
  <c r="C345" i="148"/>
  <c r="I346" i="148"/>
  <c r="D346" i="148"/>
  <c r="J346" i="148"/>
  <c r="E346" i="148"/>
  <c r="C346" i="148"/>
  <c r="I347" i="148"/>
  <c r="D347" i="148"/>
  <c r="J347" i="148"/>
  <c r="E347" i="148"/>
  <c r="C347" i="148"/>
  <c r="I348" i="148"/>
  <c r="D348" i="148"/>
  <c r="J348" i="148"/>
  <c r="E348" i="148"/>
  <c r="C348" i="148"/>
  <c r="I349" i="148"/>
  <c r="D349" i="148"/>
  <c r="J349" i="148"/>
  <c r="E349" i="148"/>
  <c r="C349" i="148"/>
  <c r="I350" i="148"/>
  <c r="D350" i="148"/>
  <c r="J350" i="148"/>
  <c r="E350" i="148"/>
  <c r="C350" i="148"/>
  <c r="I351" i="148"/>
  <c r="D351" i="148"/>
  <c r="J351" i="148"/>
  <c r="E351" i="148"/>
  <c r="C351" i="148"/>
  <c r="I352" i="148"/>
  <c r="D352" i="148"/>
  <c r="J352" i="148"/>
  <c r="E352" i="148"/>
  <c r="C352" i="148"/>
  <c r="I353" i="148"/>
  <c r="D353" i="148"/>
  <c r="J353" i="148"/>
  <c r="E353" i="148"/>
  <c r="C353" i="148"/>
  <c r="I354" i="148"/>
  <c r="D354" i="148"/>
  <c r="J354" i="148"/>
  <c r="E354" i="148"/>
  <c r="C354" i="148"/>
  <c r="I355" i="148"/>
  <c r="D355" i="148"/>
  <c r="J355" i="148"/>
  <c r="E355" i="148"/>
  <c r="C355" i="148"/>
  <c r="I356" i="148"/>
  <c r="D356" i="148"/>
  <c r="J356" i="148"/>
  <c r="E356" i="148"/>
  <c r="C356" i="148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38" i="147"/>
  <c r="F8" i="147"/>
  <c r="E8" i="147"/>
  <c r="C46" i="147"/>
  <c r="B38" i="147"/>
  <c r="E37" i="147"/>
  <c r="B37" i="147"/>
  <c r="E41" i="147"/>
  <c r="B41" i="147"/>
  <c r="F6" i="147"/>
  <c r="E6" i="147"/>
  <c r="E43" i="147"/>
  <c r="B43" i="147"/>
  <c r="E44" i="147"/>
  <c r="B44" i="147"/>
  <c r="B36" i="147"/>
  <c r="I2" i="82"/>
  <c r="J2" i="82"/>
  <c r="D2" i="82"/>
  <c r="E2" i="82"/>
  <c r="C2" i="82"/>
  <c r="I3" i="82"/>
  <c r="J3" i="82"/>
  <c r="D3" i="82"/>
  <c r="E3" i="82"/>
  <c r="C3" i="82"/>
  <c r="I4" i="82"/>
  <c r="J4" i="82"/>
  <c r="D4" i="82"/>
  <c r="E4" i="82"/>
  <c r="C4" i="82"/>
  <c r="I5" i="82"/>
  <c r="J5" i="82"/>
  <c r="D5" i="82"/>
  <c r="E5" i="82"/>
  <c r="C5" i="82"/>
  <c r="I6" i="82"/>
  <c r="J6" i="82"/>
  <c r="D6" i="82"/>
  <c r="E6" i="82"/>
  <c r="C6" i="82"/>
  <c r="I7" i="82"/>
  <c r="J7" i="82"/>
  <c r="D7" i="82"/>
  <c r="E7" i="82"/>
  <c r="C7" i="82"/>
  <c r="I8" i="82"/>
  <c r="J8" i="82"/>
  <c r="D8" i="82"/>
  <c r="E8" i="82"/>
  <c r="C8" i="82"/>
  <c r="I9" i="82"/>
  <c r="J9" i="82"/>
  <c r="D9" i="82"/>
  <c r="E9" i="82"/>
  <c r="C9" i="82"/>
  <c r="I10" i="82"/>
  <c r="J10" i="82"/>
  <c r="D10" i="82"/>
  <c r="E10" i="82"/>
  <c r="C10" i="82"/>
  <c r="I11" i="82"/>
  <c r="J11" i="82"/>
  <c r="D11" i="82"/>
  <c r="E11" i="82"/>
  <c r="C11" i="82"/>
  <c r="I12" i="82"/>
  <c r="J12" i="82"/>
  <c r="D12" i="82"/>
  <c r="E12" i="82"/>
  <c r="C12" i="82"/>
  <c r="I13" i="82"/>
  <c r="J13" i="82"/>
  <c r="D13" i="82"/>
  <c r="E13" i="82"/>
  <c r="C13" i="82"/>
  <c r="I14" i="82"/>
  <c r="J14" i="82"/>
  <c r="D14" i="82"/>
  <c r="E14" i="82"/>
  <c r="C14" i="82"/>
  <c r="I15" i="82"/>
  <c r="J15" i="82"/>
  <c r="D15" i="82"/>
  <c r="E15" i="82"/>
  <c r="C15" i="82"/>
  <c r="I16" i="82"/>
  <c r="J16" i="82"/>
  <c r="D16" i="82"/>
  <c r="E16" i="82"/>
  <c r="C16" i="82"/>
  <c r="I17" i="82"/>
  <c r="J17" i="82"/>
  <c r="D17" i="82"/>
  <c r="E17" i="82"/>
  <c r="C17" i="82"/>
  <c r="I18" i="82"/>
  <c r="J18" i="82"/>
  <c r="D18" i="82"/>
  <c r="E18" i="82"/>
  <c r="C18" i="82"/>
  <c r="I19" i="82"/>
  <c r="J19" i="82"/>
  <c r="D19" i="82"/>
  <c r="E19" i="82"/>
  <c r="C19" i="82"/>
  <c r="I20" i="82"/>
  <c r="J20" i="82"/>
  <c r="D20" i="82"/>
  <c r="E20" i="82"/>
  <c r="C20" i="82"/>
  <c r="I21" i="82"/>
  <c r="J21" i="82"/>
  <c r="D21" i="82"/>
  <c r="E21" i="82"/>
  <c r="C21" i="82"/>
  <c r="I22" i="82"/>
  <c r="J22" i="82"/>
  <c r="D22" i="82"/>
  <c r="E22" i="82"/>
  <c r="C22" i="82"/>
  <c r="I23" i="82"/>
  <c r="J23" i="82"/>
  <c r="D23" i="82"/>
  <c r="E23" i="82"/>
  <c r="C23" i="82"/>
  <c r="I24" i="82"/>
  <c r="J24" i="82"/>
  <c r="D24" i="82"/>
  <c r="E24" i="82"/>
  <c r="C24" i="82"/>
  <c r="I25" i="82"/>
  <c r="J25" i="82"/>
  <c r="D25" i="82"/>
  <c r="E25" i="82"/>
  <c r="C25" i="82"/>
  <c r="I26" i="82"/>
  <c r="J26" i="82"/>
  <c r="D26" i="82"/>
  <c r="E26" i="82"/>
  <c r="C26" i="82"/>
  <c r="I27" i="82"/>
  <c r="J27" i="82"/>
  <c r="D27" i="82"/>
  <c r="E27" i="82"/>
  <c r="C27" i="82"/>
  <c r="I28" i="82"/>
  <c r="J28" i="82"/>
  <c r="D28" i="82"/>
  <c r="E28" i="82"/>
  <c r="C28" i="82"/>
  <c r="I29" i="82"/>
  <c r="J29" i="82"/>
  <c r="D29" i="82"/>
  <c r="E29" i="82"/>
  <c r="C29" i="82"/>
  <c r="I30" i="82"/>
  <c r="J30" i="82"/>
  <c r="D30" i="82"/>
  <c r="E30" i="82"/>
  <c r="C30" i="82"/>
  <c r="I31" i="82"/>
  <c r="J31" i="82"/>
  <c r="D31" i="82"/>
  <c r="E31" i="82"/>
  <c r="C31" i="82"/>
  <c r="I32" i="82"/>
  <c r="J32" i="82"/>
  <c r="D32" i="82"/>
  <c r="E32" i="82"/>
  <c r="C32" i="82"/>
  <c r="I33" i="82"/>
  <c r="J33" i="82"/>
  <c r="D33" i="82"/>
  <c r="E33" i="82"/>
  <c r="C33" i="82"/>
  <c r="I34" i="82"/>
  <c r="J34" i="82"/>
  <c r="D34" i="82"/>
  <c r="E34" i="82"/>
  <c r="C34" i="82"/>
  <c r="I35" i="82"/>
  <c r="J35" i="82"/>
  <c r="D35" i="82"/>
  <c r="E35" i="82"/>
  <c r="C35" i="82"/>
  <c r="I36" i="82"/>
  <c r="J36" i="82"/>
  <c r="D36" i="82"/>
  <c r="E36" i="82"/>
  <c r="C36" i="82"/>
  <c r="I37" i="82"/>
  <c r="J37" i="82"/>
  <c r="D37" i="82"/>
  <c r="E37" i="82"/>
  <c r="C37" i="82"/>
  <c r="I38" i="82"/>
  <c r="J38" i="82"/>
  <c r="D38" i="82"/>
  <c r="E38" i="82"/>
  <c r="C38" i="82"/>
  <c r="I39" i="82"/>
  <c r="J39" i="82"/>
  <c r="D39" i="82"/>
  <c r="E39" i="82"/>
  <c r="C39" i="82"/>
  <c r="I40" i="82"/>
  <c r="J40" i="82"/>
  <c r="D40" i="82"/>
  <c r="E40" i="82"/>
  <c r="C40" i="82"/>
  <c r="I41" i="82"/>
  <c r="J41" i="82"/>
  <c r="D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J215" i="82"/>
  <c r="D215" i="82"/>
  <c r="E215" i="82"/>
  <c r="C215" i="82"/>
  <c r="I216" i="82"/>
  <c r="J216" i="82"/>
  <c r="D216" i="82"/>
  <c r="E216" i="82"/>
  <c r="C216" i="82"/>
  <c r="I217" i="82"/>
  <c r="J217" i="82"/>
  <c r="D217" i="82"/>
  <c r="E217" i="82"/>
  <c r="C217" i="82"/>
  <c r="I218" i="82"/>
  <c r="J218" i="82"/>
  <c r="D218" i="82"/>
  <c r="E218" i="82"/>
  <c r="C218" i="82"/>
  <c r="I219" i="82"/>
  <c r="J219" i="82"/>
  <c r="D219" i="82"/>
  <c r="E219" i="82"/>
  <c r="C219" i="82"/>
  <c r="I220" i="82"/>
  <c r="J220" i="82"/>
  <c r="D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I285" i="82"/>
  <c r="D285" i="82"/>
  <c r="J285" i="82"/>
  <c r="E285" i="82"/>
  <c r="C285" i="82"/>
  <c r="I286" i="82"/>
  <c r="D286" i="82"/>
  <c r="J286" i="82"/>
  <c r="E286" i="82"/>
  <c r="C286" i="82"/>
  <c r="I287" i="82"/>
  <c r="D287" i="82"/>
  <c r="J287" i="82"/>
  <c r="E287" i="82"/>
  <c r="C287" i="82"/>
  <c r="I288" i="82"/>
  <c r="D288" i="82"/>
  <c r="J288" i="82"/>
  <c r="E288" i="82"/>
  <c r="C288" i="82"/>
  <c r="I289" i="82"/>
  <c r="D289" i="82"/>
  <c r="J289" i="82"/>
  <c r="E289" i="82"/>
  <c r="C289" i="82"/>
  <c r="I290" i="82"/>
  <c r="D290" i="82"/>
  <c r="J290" i="82"/>
  <c r="E290" i="82"/>
  <c r="C290" i="82"/>
  <c r="I291" i="82"/>
  <c r="D291" i="82"/>
  <c r="J291" i="82"/>
  <c r="E291" i="82"/>
  <c r="C291" i="82"/>
  <c r="I292" i="82"/>
  <c r="D292" i="82"/>
  <c r="J292" i="82"/>
  <c r="E292" i="82"/>
  <c r="C292" i="82"/>
  <c r="I293" i="82"/>
  <c r="D293" i="82"/>
  <c r="J293" i="82"/>
  <c r="E293" i="82"/>
  <c r="C293" i="82"/>
  <c r="I294" i="82"/>
  <c r="D294" i="82"/>
  <c r="J294" i="82"/>
  <c r="E294" i="82"/>
  <c r="C294" i="82"/>
  <c r="I295" i="82"/>
  <c r="D295" i="82"/>
  <c r="J295" i="82"/>
  <c r="E295" i="82"/>
  <c r="C295" i="82"/>
  <c r="I296" i="82"/>
  <c r="D296" i="82"/>
  <c r="J296" i="82"/>
  <c r="E296" i="82"/>
  <c r="C296" i="82"/>
  <c r="I297" i="82"/>
  <c r="D297" i="82"/>
  <c r="J297" i="82"/>
  <c r="E297" i="82"/>
  <c r="C297" i="82"/>
  <c r="I298" i="82"/>
  <c r="D298" i="82"/>
  <c r="J298" i="82"/>
  <c r="E298" i="82"/>
  <c r="C298" i="82"/>
  <c r="I299" i="82"/>
  <c r="D299" i="82"/>
  <c r="J299" i="82"/>
  <c r="E299" i="82"/>
  <c r="C299" i="82"/>
  <c r="I300" i="82"/>
  <c r="D300" i="82"/>
  <c r="J300" i="82"/>
  <c r="E300" i="82"/>
  <c r="C300" i="82"/>
  <c r="I301" i="82"/>
  <c r="D301" i="82"/>
  <c r="J301" i="82"/>
  <c r="E301" i="82"/>
  <c r="C301" i="82"/>
  <c r="I302" i="82"/>
  <c r="D302" i="82"/>
  <c r="J302" i="82"/>
  <c r="E302" i="82"/>
  <c r="C302" i="82"/>
  <c r="I303" i="82"/>
  <c r="D303" i="82"/>
  <c r="J303" i="82"/>
  <c r="E303" i="82"/>
  <c r="C303" i="82"/>
  <c r="I304" i="82"/>
  <c r="D304" i="82"/>
  <c r="J304" i="82"/>
  <c r="E304" i="82"/>
  <c r="C304" i="82"/>
  <c r="I305" i="82"/>
  <c r="D305" i="82"/>
  <c r="J305" i="82"/>
  <c r="E305" i="82"/>
  <c r="C305" i="82"/>
  <c r="I306" i="82"/>
  <c r="D306" i="82"/>
  <c r="J306" i="82"/>
  <c r="E306" i="82"/>
  <c r="C306" i="82"/>
  <c r="I307" i="82"/>
  <c r="D307" i="82"/>
  <c r="J307" i="82"/>
  <c r="E307" i="82"/>
  <c r="C307" i="82"/>
  <c r="I308" i="82"/>
  <c r="D308" i="82"/>
  <c r="J308" i="82"/>
  <c r="E308" i="82"/>
  <c r="C308" i="82"/>
  <c r="I309" i="82"/>
  <c r="D309" i="82"/>
  <c r="J309" i="82"/>
  <c r="E309" i="82"/>
  <c r="C309" i="82"/>
  <c r="I310" i="82"/>
  <c r="D310" i="82"/>
  <c r="J310" i="82"/>
  <c r="E310" i="82"/>
  <c r="C310" i="82"/>
  <c r="I311" i="82"/>
  <c r="D311" i="82"/>
  <c r="J311" i="82"/>
  <c r="E311" i="82"/>
  <c r="C311" i="82"/>
  <c r="I312" i="82"/>
  <c r="D312" i="82"/>
  <c r="J312" i="82"/>
  <c r="E312" i="82"/>
  <c r="C312" i="82"/>
  <c r="I313" i="82"/>
  <c r="D313" i="82"/>
  <c r="J313" i="82"/>
  <c r="E313" i="82"/>
  <c r="C313" i="82"/>
  <c r="I314" i="82"/>
  <c r="D314" i="82"/>
  <c r="J314" i="82"/>
  <c r="E314" i="82"/>
  <c r="C314" i="82"/>
  <c r="I315" i="82"/>
  <c r="D315" i="82"/>
  <c r="J315" i="82"/>
  <c r="E315" i="82"/>
  <c r="C315" i="82"/>
  <c r="I316" i="82"/>
  <c r="D316" i="82"/>
  <c r="J316" i="82"/>
  <c r="E316" i="82"/>
  <c r="C316" i="82"/>
  <c r="I317" i="82"/>
  <c r="D317" i="82"/>
  <c r="J317" i="82"/>
  <c r="E317" i="82"/>
  <c r="C317" i="82"/>
  <c r="I318" i="82"/>
  <c r="D318" i="82"/>
  <c r="J318" i="82"/>
  <c r="E318" i="82"/>
  <c r="C318" i="82"/>
  <c r="I319" i="82"/>
  <c r="D319" i="82"/>
  <c r="J319" i="82"/>
  <c r="E319" i="82"/>
  <c r="C319" i="82"/>
  <c r="I320" i="82"/>
  <c r="D320" i="82"/>
  <c r="J320" i="82"/>
  <c r="E320" i="82"/>
  <c r="C320" i="82"/>
  <c r="I321" i="82"/>
  <c r="D321" i="82"/>
  <c r="J321" i="82"/>
  <c r="E321" i="82"/>
  <c r="C321" i="82"/>
  <c r="I322" i="82"/>
  <c r="D322" i="82"/>
  <c r="J322" i="82"/>
  <c r="E322" i="82"/>
  <c r="C322" i="82"/>
  <c r="I323" i="82"/>
  <c r="D323" i="82"/>
  <c r="J323" i="82"/>
  <c r="E323" i="82"/>
  <c r="C323" i="82"/>
  <c r="I324" i="82"/>
  <c r="D324" i="82"/>
  <c r="J324" i="82"/>
  <c r="E324" i="82"/>
  <c r="C324" i="82"/>
  <c r="I325" i="82"/>
  <c r="D325" i="82"/>
  <c r="J325" i="82"/>
  <c r="E325" i="82"/>
  <c r="C325" i="82"/>
  <c r="I326" i="82"/>
  <c r="D326" i="82"/>
  <c r="J326" i="82"/>
  <c r="E326" i="82"/>
  <c r="C326" i="82"/>
  <c r="I327" i="82"/>
  <c r="D327" i="82"/>
  <c r="J327" i="82"/>
  <c r="E327" i="82"/>
  <c r="C327" i="82"/>
  <c r="I328" i="82"/>
  <c r="D328" i="82"/>
  <c r="J328" i="82"/>
  <c r="E328" i="82"/>
  <c r="C328" i="82"/>
  <c r="I329" i="82"/>
  <c r="D329" i="82"/>
  <c r="J329" i="82"/>
  <c r="E329" i="82"/>
  <c r="C329" i="82"/>
  <c r="I330" i="82"/>
  <c r="D330" i="82"/>
  <c r="J330" i="82"/>
  <c r="E330" i="82"/>
  <c r="C330" i="82"/>
  <c r="I331" i="82"/>
  <c r="D331" i="82"/>
  <c r="J331" i="82"/>
  <c r="E331" i="82"/>
  <c r="C331" i="82"/>
  <c r="I332" i="82"/>
  <c r="D332" i="82"/>
  <c r="J332" i="82"/>
  <c r="E332" i="82"/>
  <c r="C332" i="82"/>
  <c r="I333" i="82"/>
  <c r="D333" i="82"/>
  <c r="J333" i="82"/>
  <c r="E333" i="82"/>
  <c r="C333" i="82"/>
  <c r="I334" i="82"/>
  <c r="D334" i="82"/>
  <c r="J334" i="82"/>
  <c r="E334" i="82"/>
  <c r="C334" i="82"/>
  <c r="I335" i="82"/>
  <c r="D335" i="82"/>
  <c r="J335" i="82"/>
  <c r="E335" i="82"/>
  <c r="C335" i="82"/>
  <c r="I336" i="82"/>
  <c r="D336" i="82"/>
  <c r="J336" i="82"/>
  <c r="E336" i="82"/>
  <c r="C336" i="82"/>
  <c r="I337" i="82"/>
  <c r="D337" i="82"/>
  <c r="J337" i="82"/>
  <c r="E337" i="82"/>
  <c r="C337" i="82"/>
  <c r="I338" i="82"/>
  <c r="D338" i="82"/>
  <c r="J338" i="82"/>
  <c r="E338" i="82"/>
  <c r="C338" i="82"/>
  <c r="I339" i="82"/>
  <c r="D339" i="82"/>
  <c r="J339" i="82"/>
  <c r="E339" i="82"/>
  <c r="C339" i="82"/>
  <c r="I340" i="82"/>
  <c r="D340" i="82"/>
  <c r="J340" i="82"/>
  <c r="E340" i="82"/>
  <c r="C340" i="82"/>
  <c r="I341" i="82"/>
  <c r="D341" i="82"/>
  <c r="J341" i="82"/>
  <c r="E341" i="82"/>
  <c r="C341" i="82"/>
  <c r="I342" i="82"/>
  <c r="D342" i="82"/>
  <c r="J342" i="82"/>
  <c r="E342" i="82"/>
  <c r="C342" i="82"/>
  <c r="I343" i="82"/>
  <c r="D343" i="82"/>
  <c r="J343" i="82"/>
  <c r="E343" i="82"/>
  <c r="C343" i="82"/>
  <c r="I344" i="82"/>
  <c r="D344" i="82"/>
  <c r="J344" i="82"/>
  <c r="E344" i="82"/>
  <c r="C344" i="82"/>
  <c r="I345" i="82"/>
  <c r="D345" i="82"/>
  <c r="J345" i="82"/>
  <c r="E345" i="82"/>
  <c r="C345" i="82"/>
  <c r="I346" i="82"/>
  <c r="D346" i="82"/>
  <c r="J346" i="82"/>
  <c r="E346" i="82"/>
  <c r="C346" i="82"/>
  <c r="I347" i="82"/>
  <c r="D347" i="82"/>
  <c r="J347" i="82"/>
  <c r="E347" i="82"/>
  <c r="C347" i="82"/>
  <c r="I348" i="82"/>
  <c r="D348" i="82"/>
  <c r="J348" i="82"/>
  <c r="E348" i="82"/>
  <c r="C348" i="82"/>
  <c r="I349" i="82"/>
  <c r="D349" i="82"/>
  <c r="J349" i="82"/>
  <c r="E349" i="82"/>
  <c r="C349" i="82"/>
  <c r="I350" i="82"/>
  <c r="D350" i="82"/>
  <c r="J350" i="82"/>
  <c r="E350" i="82"/>
  <c r="C350" i="82"/>
  <c r="I351" i="82"/>
  <c r="D351" i="82"/>
  <c r="J351" i="82"/>
  <c r="E351" i="82"/>
  <c r="C351" i="82"/>
  <c r="I352" i="82"/>
  <c r="D352" i="82"/>
  <c r="J352" i="82"/>
  <c r="E352" i="82"/>
  <c r="C352" i="82"/>
  <c r="I353" i="82"/>
  <c r="D353" i="82"/>
  <c r="J353" i="82"/>
  <c r="E353" i="82"/>
  <c r="C353" i="82"/>
  <c r="I354" i="82"/>
  <c r="D354" i="82"/>
  <c r="J354" i="82"/>
  <c r="E354" i="82"/>
  <c r="C354" i="82"/>
  <c r="I355" i="82"/>
  <c r="D355" i="82"/>
  <c r="J355" i="82"/>
  <c r="E355" i="82"/>
  <c r="C355" i="82"/>
  <c r="I356" i="82"/>
  <c r="D356" i="82"/>
  <c r="J356" i="82"/>
  <c r="E356" i="82"/>
  <c r="C356" i="82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38" i="106"/>
  <c r="F8" i="106"/>
  <c r="E8" i="106"/>
  <c r="C46" i="106"/>
  <c r="B38" i="106"/>
  <c r="E37" i="106"/>
  <c r="B37" i="106"/>
  <c r="E41" i="106"/>
  <c r="B41" i="106"/>
  <c r="F6" i="106"/>
  <c r="E6" i="106"/>
  <c r="E43" i="106"/>
  <c r="B43" i="106"/>
  <c r="E44" i="106"/>
  <c r="B44" i="106"/>
  <c r="B36" i="106"/>
  <c r="B46" i="106"/>
  <c r="B46" i="162"/>
  <c r="K2" i="82"/>
  <c r="B4" i="98"/>
  <c r="B3" i="98"/>
  <c r="B2" i="98"/>
  <c r="F356" i="82"/>
  <c r="F354" i="82"/>
  <c r="F355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84" i="82"/>
  <c r="F285" i="82"/>
  <c r="F286" i="82"/>
  <c r="F287" i="82"/>
  <c r="F288" i="82"/>
  <c r="F289" i="82"/>
  <c r="F290" i="82"/>
  <c r="F291" i="82"/>
  <c r="F292" i="82"/>
  <c r="F293" i="82"/>
  <c r="F294" i="82"/>
  <c r="F295" i="82"/>
  <c r="F296" i="82"/>
  <c r="F297" i="82"/>
  <c r="F298" i="82"/>
  <c r="F299" i="82"/>
  <c r="F300" i="82"/>
  <c r="F301" i="82"/>
  <c r="F302" i="82"/>
  <c r="F303" i="82"/>
  <c r="F304" i="82"/>
  <c r="F305" i="82"/>
  <c r="F306" i="82"/>
  <c r="F307" i="82"/>
  <c r="F308" i="82"/>
  <c r="F309" i="82"/>
  <c r="F310" i="82"/>
  <c r="F311" i="82"/>
  <c r="F312" i="82"/>
  <c r="F313" i="82"/>
  <c r="F314" i="82"/>
  <c r="F315" i="82"/>
  <c r="F316" i="82"/>
  <c r="F317" i="82"/>
  <c r="F318" i="82"/>
  <c r="F319" i="82"/>
  <c r="F320" i="82"/>
  <c r="F321" i="82"/>
  <c r="F322" i="82"/>
  <c r="F323" i="82"/>
  <c r="F324" i="82"/>
  <c r="F325" i="82"/>
  <c r="F326" i="82"/>
  <c r="F327" i="82"/>
  <c r="F328" i="82"/>
  <c r="F329" i="82"/>
  <c r="F330" i="82"/>
  <c r="F331" i="82"/>
  <c r="F332" i="82"/>
  <c r="F333" i="82"/>
  <c r="F334" i="82"/>
  <c r="F335" i="82"/>
  <c r="F336" i="82"/>
  <c r="F337" i="82"/>
  <c r="F338" i="82"/>
  <c r="F339" i="82"/>
  <c r="F340" i="82"/>
  <c r="F341" i="82"/>
  <c r="F342" i="82"/>
  <c r="F343" i="82"/>
  <c r="F344" i="82"/>
  <c r="F345" i="82"/>
  <c r="F346" i="82"/>
  <c r="F347" i="82"/>
  <c r="F348" i="82"/>
  <c r="F349" i="82"/>
  <c r="F350" i="82"/>
  <c r="F351" i="82"/>
  <c r="F352" i="82"/>
  <c r="F353" i="82"/>
  <c r="E34" i="106"/>
  <c r="B34" i="106"/>
  <c r="K2" i="148"/>
  <c r="K3" i="148"/>
  <c r="K4" i="148"/>
  <c r="K5" i="148"/>
  <c r="K6" i="148"/>
  <c r="K7" i="148"/>
  <c r="K8" i="148"/>
  <c r="K9" i="148"/>
  <c r="K10" i="148"/>
  <c r="K11" i="148"/>
  <c r="K12" i="148"/>
  <c r="K13" i="148"/>
  <c r="K14" i="148"/>
  <c r="K15" i="148"/>
  <c r="K16" i="148"/>
  <c r="K17" i="148"/>
  <c r="K18" i="148"/>
  <c r="K19" i="148"/>
  <c r="K20" i="148"/>
  <c r="K21" i="148"/>
  <c r="K22" i="148"/>
  <c r="K23" i="148"/>
  <c r="K24" i="148"/>
  <c r="K25" i="148"/>
  <c r="K26" i="148"/>
  <c r="K27" i="148"/>
  <c r="K28" i="148"/>
  <c r="K29" i="148"/>
  <c r="K30" i="148"/>
  <c r="K31" i="148"/>
  <c r="K32" i="148"/>
  <c r="K33" i="148"/>
  <c r="K34" i="148"/>
  <c r="K35" i="148"/>
  <c r="K36" i="148"/>
  <c r="K37" i="148"/>
  <c r="K38" i="148"/>
  <c r="K39" i="148"/>
  <c r="K40" i="148"/>
  <c r="K41" i="148"/>
  <c r="K42" i="148"/>
  <c r="K43" i="148"/>
  <c r="K44" i="148"/>
  <c r="K45" i="148"/>
  <c r="K46" i="148"/>
  <c r="K47" i="148"/>
  <c r="K48" i="148"/>
  <c r="K49" i="148"/>
  <c r="K50" i="148"/>
  <c r="K51" i="148"/>
  <c r="K52" i="148"/>
  <c r="K53" i="148"/>
  <c r="K54" i="148"/>
  <c r="K55" i="148"/>
  <c r="K56" i="148"/>
  <c r="K57" i="148"/>
  <c r="K58" i="148"/>
  <c r="K59" i="148"/>
  <c r="K60" i="148"/>
  <c r="K61" i="148"/>
  <c r="K62" i="148"/>
  <c r="K63" i="148"/>
  <c r="K64" i="148"/>
  <c r="K65" i="148"/>
  <c r="K66" i="148"/>
  <c r="K67" i="148"/>
  <c r="K68" i="148"/>
  <c r="K69" i="148"/>
  <c r="K70" i="148"/>
  <c r="K71" i="148"/>
  <c r="K72" i="148"/>
  <c r="K73" i="148"/>
  <c r="K74" i="148"/>
  <c r="K75" i="148"/>
  <c r="K76" i="148"/>
  <c r="K77" i="148"/>
  <c r="K78" i="148"/>
  <c r="K79" i="148"/>
  <c r="K80" i="148"/>
  <c r="K81" i="148"/>
  <c r="K82" i="148"/>
  <c r="K83" i="148"/>
  <c r="K84" i="148"/>
  <c r="K85" i="148"/>
  <c r="K86" i="148"/>
  <c r="K87" i="148"/>
  <c r="K88" i="148"/>
  <c r="K89" i="148"/>
  <c r="K90" i="148"/>
  <c r="K91" i="148"/>
  <c r="K92" i="148"/>
  <c r="K93" i="148"/>
  <c r="K94" i="148"/>
  <c r="K95" i="148"/>
  <c r="K96" i="148"/>
  <c r="K97" i="148"/>
  <c r="K98" i="148"/>
  <c r="K99" i="148"/>
  <c r="K100" i="148"/>
  <c r="K101" i="148"/>
  <c r="K102" i="148"/>
  <c r="K103" i="148"/>
  <c r="K104" i="148"/>
  <c r="K105" i="148"/>
  <c r="K106" i="148"/>
  <c r="K107" i="148"/>
  <c r="K108" i="148"/>
  <c r="K109" i="148"/>
  <c r="K110" i="148"/>
  <c r="K111" i="148"/>
  <c r="K112" i="148"/>
  <c r="K113" i="148"/>
  <c r="K114" i="148"/>
  <c r="K115" i="148"/>
  <c r="K116" i="148"/>
  <c r="K117" i="148"/>
  <c r="K118" i="148"/>
  <c r="K119" i="148"/>
  <c r="K120" i="148"/>
  <c r="K121" i="148"/>
  <c r="K122" i="148"/>
  <c r="K123" i="148"/>
  <c r="K124" i="148"/>
  <c r="K125" i="148"/>
  <c r="K126" i="148"/>
  <c r="K127" i="148"/>
  <c r="K128" i="148"/>
  <c r="K129" i="148"/>
  <c r="K130" i="148"/>
  <c r="K131" i="148"/>
  <c r="K132" i="148"/>
  <c r="K133" i="148"/>
  <c r="K134" i="148"/>
  <c r="K135" i="148"/>
  <c r="K136" i="148"/>
  <c r="K137" i="148"/>
  <c r="K138" i="148"/>
  <c r="K139" i="148"/>
  <c r="K140" i="148"/>
  <c r="K141" i="148"/>
  <c r="K142" i="148"/>
  <c r="K143" i="148"/>
  <c r="K144" i="148"/>
  <c r="K145" i="148"/>
  <c r="K146" i="148"/>
  <c r="K147" i="148"/>
  <c r="K148" i="148"/>
  <c r="K149" i="148"/>
  <c r="K150" i="148"/>
  <c r="K151" i="148"/>
  <c r="K152" i="148"/>
  <c r="K153" i="148"/>
  <c r="K154" i="148"/>
  <c r="K155" i="148"/>
  <c r="K156" i="148"/>
  <c r="K157" i="148"/>
  <c r="K158" i="148"/>
  <c r="K159" i="148"/>
  <c r="K160" i="148"/>
  <c r="K161" i="148"/>
  <c r="K162" i="148"/>
  <c r="K163" i="148"/>
  <c r="K164" i="148"/>
  <c r="K165" i="148"/>
  <c r="K166" i="148"/>
  <c r="K167" i="148"/>
  <c r="K168" i="148"/>
  <c r="K169" i="148"/>
  <c r="K170" i="148"/>
  <c r="K171" i="148"/>
  <c r="K172" i="148"/>
  <c r="K173" i="148"/>
  <c r="K174" i="148"/>
  <c r="K175" i="148"/>
  <c r="K176" i="148"/>
  <c r="K177" i="148"/>
  <c r="K178" i="148"/>
  <c r="K179" i="148"/>
  <c r="K180" i="148"/>
  <c r="K181" i="148"/>
  <c r="K182" i="148"/>
  <c r="K183" i="148"/>
  <c r="K184" i="148"/>
  <c r="K185" i="148"/>
  <c r="K186" i="148"/>
  <c r="K187" i="148"/>
  <c r="K188" i="148"/>
  <c r="K189" i="148"/>
  <c r="K190" i="148"/>
  <c r="K191" i="148"/>
  <c r="K192" i="148"/>
  <c r="K193" i="148"/>
  <c r="K194" i="148"/>
  <c r="K195" i="148"/>
  <c r="K196" i="148"/>
  <c r="K197" i="148"/>
  <c r="K198" i="148"/>
  <c r="K199" i="148"/>
  <c r="K200" i="148"/>
  <c r="K201" i="148"/>
  <c r="K202" i="148"/>
  <c r="K203" i="148"/>
  <c r="K204" i="148"/>
  <c r="K205" i="148"/>
  <c r="K206" i="148"/>
  <c r="K207" i="148"/>
  <c r="K208" i="148"/>
  <c r="K209" i="148"/>
  <c r="K210" i="148"/>
  <c r="K211" i="148"/>
  <c r="K212" i="148"/>
  <c r="K213" i="148"/>
  <c r="K214" i="148"/>
  <c r="K215" i="148"/>
  <c r="K216" i="148"/>
  <c r="K217" i="148"/>
  <c r="K218" i="148"/>
  <c r="K219" i="148"/>
  <c r="K220" i="148"/>
  <c r="K221" i="148"/>
  <c r="K222" i="148"/>
  <c r="K223" i="148"/>
  <c r="K224" i="148"/>
  <c r="K225" i="148"/>
  <c r="K226" i="148"/>
  <c r="K227" i="148"/>
  <c r="K228" i="148"/>
  <c r="K229" i="148"/>
  <c r="K230" i="148"/>
  <c r="K231" i="148"/>
  <c r="K232" i="148"/>
  <c r="K233" i="148"/>
  <c r="K234" i="148"/>
  <c r="K235" i="148"/>
  <c r="K236" i="148"/>
  <c r="K237" i="148"/>
  <c r="K238" i="148"/>
  <c r="K239" i="148"/>
  <c r="K240" i="148"/>
  <c r="K241" i="148"/>
  <c r="K242" i="148"/>
  <c r="K243" i="148"/>
  <c r="K244" i="148"/>
  <c r="K245" i="148"/>
  <c r="K246" i="148"/>
  <c r="K247" i="148"/>
  <c r="K248" i="148"/>
  <c r="K249" i="148"/>
  <c r="K250" i="148"/>
  <c r="K251" i="148"/>
  <c r="K252" i="148"/>
  <c r="K253" i="148"/>
  <c r="K254" i="148"/>
  <c r="K255" i="148"/>
  <c r="K256" i="148"/>
  <c r="K257" i="148"/>
  <c r="K258" i="148"/>
  <c r="K259" i="148"/>
  <c r="K260" i="148"/>
  <c r="K261" i="148"/>
  <c r="K262" i="148"/>
  <c r="K263" i="148"/>
  <c r="K264" i="148"/>
  <c r="K265" i="148"/>
  <c r="K266" i="148"/>
  <c r="K267" i="148"/>
  <c r="K268" i="148"/>
  <c r="K269" i="148"/>
  <c r="K270" i="148"/>
  <c r="K271" i="148"/>
  <c r="K272" i="148"/>
  <c r="K273" i="148"/>
  <c r="K274" i="148"/>
  <c r="K275" i="148"/>
  <c r="K276" i="148"/>
  <c r="K277" i="148"/>
  <c r="K278" i="148"/>
  <c r="K279" i="148"/>
  <c r="K280" i="148"/>
  <c r="K281" i="148"/>
  <c r="K282" i="148"/>
  <c r="K283" i="148"/>
  <c r="K284" i="148"/>
  <c r="K285" i="148"/>
  <c r="K286" i="148"/>
  <c r="K287" i="148"/>
  <c r="K288" i="148"/>
  <c r="K289" i="148"/>
  <c r="K290" i="148"/>
  <c r="K291" i="148"/>
  <c r="K292" i="148"/>
  <c r="K293" i="148"/>
  <c r="K294" i="148"/>
  <c r="K295" i="148"/>
  <c r="K296" i="148"/>
  <c r="K297" i="148"/>
  <c r="K298" i="148"/>
  <c r="K299" i="148"/>
  <c r="K300" i="148"/>
  <c r="K301" i="148"/>
  <c r="K302" i="148"/>
  <c r="K303" i="148"/>
  <c r="K304" i="148"/>
  <c r="K305" i="148"/>
  <c r="K306" i="148"/>
  <c r="K307" i="148"/>
  <c r="K308" i="148"/>
  <c r="K309" i="148"/>
  <c r="K310" i="148"/>
  <c r="K311" i="148"/>
  <c r="K312" i="148"/>
  <c r="K313" i="148"/>
  <c r="K314" i="148"/>
  <c r="K315" i="148"/>
  <c r="K316" i="148"/>
  <c r="K317" i="148"/>
  <c r="K318" i="148"/>
  <c r="K319" i="148"/>
  <c r="K320" i="148"/>
  <c r="K321" i="148"/>
  <c r="K322" i="148"/>
  <c r="K323" i="148"/>
  <c r="K324" i="148"/>
  <c r="K325" i="148"/>
  <c r="K326" i="148"/>
  <c r="K327" i="148"/>
  <c r="K328" i="148"/>
  <c r="K329" i="148"/>
  <c r="K330" i="148"/>
  <c r="K331" i="148"/>
  <c r="K332" i="148"/>
  <c r="K333" i="148"/>
  <c r="K334" i="148"/>
  <c r="K335" i="148"/>
  <c r="K336" i="148"/>
  <c r="K337" i="148"/>
  <c r="K338" i="148"/>
  <c r="K339" i="148"/>
  <c r="K340" i="148"/>
  <c r="K341" i="148"/>
  <c r="K342" i="148"/>
  <c r="K343" i="148"/>
  <c r="K344" i="148"/>
  <c r="K345" i="148"/>
  <c r="K346" i="148"/>
  <c r="K347" i="148"/>
  <c r="K348" i="148"/>
  <c r="K349" i="148"/>
  <c r="K350" i="148"/>
  <c r="F356" i="148"/>
  <c r="F5" i="147"/>
  <c r="F7" i="147"/>
  <c r="A51" i="147"/>
  <c r="R3" i="147"/>
  <c r="A2" i="147"/>
  <c r="B46" i="147"/>
  <c r="G46" i="147"/>
  <c r="E46" i="147"/>
  <c r="H46" i="147"/>
  <c r="O356" i="148"/>
  <c r="E7" i="147"/>
  <c r="E21" i="147"/>
  <c r="B21" i="147"/>
  <c r="E26" i="147"/>
  <c r="B26" i="147"/>
  <c r="E5" i="147"/>
  <c r="E28" i="147"/>
  <c r="B28" i="147"/>
  <c r="E29" i="147"/>
  <c r="B29" i="147"/>
  <c r="B23" i="147"/>
  <c r="G23" i="147"/>
  <c r="E23" i="147"/>
  <c r="H23" i="147"/>
  <c r="G38" i="147"/>
  <c r="H38" i="147"/>
  <c r="O355" i="148"/>
  <c r="E22" i="147"/>
  <c r="B22" i="147"/>
  <c r="G22" i="147"/>
  <c r="H22" i="147"/>
  <c r="G37" i="147"/>
  <c r="H37" i="147"/>
  <c r="O354" i="148"/>
  <c r="G29" i="147"/>
  <c r="H29" i="147"/>
  <c r="O353" i="148"/>
  <c r="O352" i="148"/>
  <c r="G44" i="147"/>
  <c r="H44" i="147"/>
  <c r="O351" i="148"/>
  <c r="K2" i="150"/>
  <c r="K3" i="150"/>
  <c r="K4" i="150"/>
  <c r="K5" i="150"/>
  <c r="K6" i="150"/>
  <c r="K7" i="150"/>
  <c r="K8" i="150"/>
  <c r="K9" i="150"/>
  <c r="K10" i="150"/>
  <c r="K11" i="150"/>
  <c r="K12" i="150"/>
  <c r="K13" i="150"/>
  <c r="K14" i="150"/>
  <c r="K15" i="150"/>
  <c r="K16" i="150"/>
  <c r="K17" i="150"/>
  <c r="K18" i="150"/>
  <c r="K19" i="150"/>
  <c r="K20" i="150"/>
  <c r="K21" i="150"/>
  <c r="K22" i="150"/>
  <c r="K23" i="150"/>
  <c r="K24" i="150"/>
  <c r="K25" i="150"/>
  <c r="K26" i="150"/>
  <c r="K27" i="150"/>
  <c r="K28" i="150"/>
  <c r="K29" i="150"/>
  <c r="K30" i="150"/>
  <c r="K31" i="150"/>
  <c r="K32" i="150"/>
  <c r="K33" i="150"/>
  <c r="K34" i="150"/>
  <c r="K35" i="150"/>
  <c r="K36" i="150"/>
  <c r="K37" i="150"/>
  <c r="K38" i="150"/>
  <c r="K39" i="150"/>
  <c r="K40" i="150"/>
  <c r="K41" i="150"/>
  <c r="K42" i="150"/>
  <c r="K43" i="150"/>
  <c r="K44" i="150"/>
  <c r="K45" i="150"/>
  <c r="K46" i="150"/>
  <c r="K47" i="150"/>
  <c r="K48" i="150"/>
  <c r="K49" i="150"/>
  <c r="K50" i="150"/>
  <c r="K51" i="150"/>
  <c r="K52" i="150"/>
  <c r="K53" i="150"/>
  <c r="K54" i="150"/>
  <c r="K55" i="150"/>
  <c r="K56" i="150"/>
  <c r="K57" i="150"/>
  <c r="K58" i="150"/>
  <c r="K59" i="150"/>
  <c r="K60" i="150"/>
  <c r="K61" i="150"/>
  <c r="K62" i="150"/>
  <c r="K63" i="150"/>
  <c r="K64" i="150"/>
  <c r="K65" i="150"/>
  <c r="K66" i="150"/>
  <c r="K67" i="150"/>
  <c r="K68" i="150"/>
  <c r="K69" i="150"/>
  <c r="K70" i="150"/>
  <c r="K71" i="150"/>
  <c r="K72" i="150"/>
  <c r="K73" i="150"/>
  <c r="K74" i="150"/>
  <c r="K75" i="150"/>
  <c r="K76" i="150"/>
  <c r="K77" i="150"/>
  <c r="K78" i="150"/>
  <c r="K79" i="150"/>
  <c r="K80" i="150"/>
  <c r="K81" i="150"/>
  <c r="K82" i="150"/>
  <c r="K83" i="150"/>
  <c r="K84" i="150"/>
  <c r="K85" i="150"/>
  <c r="K86" i="150"/>
  <c r="K87" i="150"/>
  <c r="K88" i="150"/>
  <c r="K89" i="150"/>
  <c r="K90" i="150"/>
  <c r="K91" i="150"/>
  <c r="K92" i="150"/>
  <c r="K93" i="150"/>
  <c r="K94" i="150"/>
  <c r="K95" i="150"/>
  <c r="K96" i="150"/>
  <c r="K97" i="150"/>
  <c r="K98" i="150"/>
  <c r="K99" i="150"/>
  <c r="K100" i="150"/>
  <c r="K101" i="150"/>
  <c r="K102" i="150"/>
  <c r="K103" i="150"/>
  <c r="K104" i="150"/>
  <c r="K105" i="150"/>
  <c r="K106" i="150"/>
  <c r="K107" i="150"/>
  <c r="K108" i="150"/>
  <c r="K109" i="150"/>
  <c r="K110" i="150"/>
  <c r="K111" i="150"/>
  <c r="K112" i="150"/>
  <c r="K113" i="150"/>
  <c r="K114" i="150"/>
  <c r="K115" i="150"/>
  <c r="K116" i="150"/>
  <c r="K117" i="150"/>
  <c r="K118" i="150"/>
  <c r="K119" i="150"/>
  <c r="K120" i="150"/>
  <c r="K121" i="150"/>
  <c r="K122" i="150"/>
  <c r="K123" i="150"/>
  <c r="K124" i="150"/>
  <c r="K125" i="150"/>
  <c r="K126" i="150"/>
  <c r="K127" i="150"/>
  <c r="K128" i="150"/>
  <c r="K129" i="150"/>
  <c r="K130" i="150"/>
  <c r="K131" i="150"/>
  <c r="K132" i="150"/>
  <c r="K133" i="150"/>
  <c r="K134" i="150"/>
  <c r="K135" i="150"/>
  <c r="K136" i="150"/>
  <c r="K137" i="150"/>
  <c r="K138" i="150"/>
  <c r="K139" i="150"/>
  <c r="K140" i="150"/>
  <c r="K141" i="150"/>
  <c r="K142" i="150"/>
  <c r="K143" i="150"/>
  <c r="K144" i="150"/>
  <c r="K145" i="150"/>
  <c r="K146" i="150"/>
  <c r="K147" i="150"/>
  <c r="K148" i="150"/>
  <c r="K149" i="150"/>
  <c r="K150" i="150"/>
  <c r="K151" i="150"/>
  <c r="K152" i="150"/>
  <c r="K153" i="150"/>
  <c r="K154" i="150"/>
  <c r="K155" i="150"/>
  <c r="K156" i="150"/>
  <c r="K157" i="150"/>
  <c r="K158" i="150"/>
  <c r="K159" i="150"/>
  <c r="K160" i="150"/>
  <c r="K161" i="150"/>
  <c r="K162" i="150"/>
  <c r="K163" i="150"/>
  <c r="K164" i="150"/>
  <c r="K165" i="150"/>
  <c r="K166" i="150"/>
  <c r="K167" i="150"/>
  <c r="K168" i="150"/>
  <c r="K169" i="150"/>
  <c r="K170" i="150"/>
  <c r="K171" i="150"/>
  <c r="K172" i="150"/>
  <c r="K173" i="150"/>
  <c r="K174" i="150"/>
  <c r="K175" i="150"/>
  <c r="K176" i="150"/>
  <c r="K177" i="150"/>
  <c r="K178" i="150"/>
  <c r="K179" i="150"/>
  <c r="K180" i="150"/>
  <c r="K181" i="150"/>
  <c r="K182" i="150"/>
  <c r="K183" i="150"/>
  <c r="K184" i="150"/>
  <c r="K185" i="150"/>
  <c r="K186" i="150"/>
  <c r="K187" i="150"/>
  <c r="K188" i="150"/>
  <c r="K189" i="150"/>
  <c r="K190" i="150"/>
  <c r="K191" i="150"/>
  <c r="K192" i="150"/>
  <c r="K193" i="150"/>
  <c r="K194" i="150"/>
  <c r="K195" i="150"/>
  <c r="K196" i="150"/>
  <c r="K197" i="150"/>
  <c r="K198" i="150"/>
  <c r="K199" i="150"/>
  <c r="K200" i="150"/>
  <c r="K201" i="150"/>
  <c r="K202" i="150"/>
  <c r="K203" i="150"/>
  <c r="K204" i="150"/>
  <c r="K205" i="150"/>
  <c r="K206" i="150"/>
  <c r="K207" i="150"/>
  <c r="K208" i="150"/>
  <c r="K209" i="150"/>
  <c r="K210" i="150"/>
  <c r="K211" i="150"/>
  <c r="K212" i="150"/>
  <c r="K213" i="150"/>
  <c r="K214" i="150"/>
  <c r="K215" i="150"/>
  <c r="K216" i="150"/>
  <c r="K217" i="150"/>
  <c r="K218" i="150"/>
  <c r="K219" i="150"/>
  <c r="K220" i="150"/>
  <c r="K221" i="150"/>
  <c r="K222" i="150"/>
  <c r="K223" i="150"/>
  <c r="K224" i="150"/>
  <c r="K225" i="150"/>
  <c r="K226" i="150"/>
  <c r="K227" i="150"/>
  <c r="K228" i="150"/>
  <c r="K229" i="150"/>
  <c r="K230" i="150"/>
  <c r="K231" i="150"/>
  <c r="K232" i="150"/>
  <c r="K233" i="150"/>
  <c r="K234" i="150"/>
  <c r="K235" i="150"/>
  <c r="K236" i="150"/>
  <c r="K237" i="150"/>
  <c r="K238" i="150"/>
  <c r="K239" i="150"/>
  <c r="K240" i="150"/>
  <c r="K241" i="150"/>
  <c r="K242" i="150"/>
  <c r="K243" i="150"/>
  <c r="K244" i="150"/>
  <c r="K245" i="150"/>
  <c r="K246" i="150"/>
  <c r="K247" i="150"/>
  <c r="K248" i="150"/>
  <c r="K249" i="150"/>
  <c r="K250" i="150"/>
  <c r="K251" i="150"/>
  <c r="K252" i="150"/>
  <c r="K253" i="150"/>
  <c r="K254" i="150"/>
  <c r="K255" i="150"/>
  <c r="K256" i="150"/>
  <c r="K257" i="150"/>
  <c r="K258" i="150"/>
  <c r="K259" i="150"/>
  <c r="K260" i="150"/>
  <c r="K261" i="150"/>
  <c r="K262" i="150"/>
  <c r="K263" i="150"/>
  <c r="K264" i="150"/>
  <c r="K265" i="150"/>
  <c r="K266" i="150"/>
  <c r="K267" i="150"/>
  <c r="K268" i="150"/>
  <c r="K269" i="150"/>
  <c r="K270" i="150"/>
  <c r="K271" i="150"/>
  <c r="K272" i="150"/>
  <c r="K273" i="150"/>
  <c r="K274" i="150"/>
  <c r="K275" i="150"/>
  <c r="K276" i="150"/>
  <c r="K277" i="150"/>
  <c r="K278" i="150"/>
  <c r="K279" i="150"/>
  <c r="K280" i="150"/>
  <c r="K281" i="150"/>
  <c r="K282" i="150"/>
  <c r="K283" i="150"/>
  <c r="K284" i="150"/>
  <c r="K285" i="150"/>
  <c r="K286" i="150"/>
  <c r="K287" i="150"/>
  <c r="K288" i="150"/>
  <c r="K289" i="150"/>
  <c r="K290" i="150"/>
  <c r="K291" i="150"/>
  <c r="K292" i="150"/>
  <c r="K293" i="150"/>
  <c r="K294" i="150"/>
  <c r="K295" i="150"/>
  <c r="K296" i="150"/>
  <c r="K297" i="150"/>
  <c r="K298" i="150"/>
  <c r="K299" i="150"/>
  <c r="K300" i="150"/>
  <c r="K301" i="150"/>
  <c r="K302" i="150"/>
  <c r="K303" i="150"/>
  <c r="K304" i="150"/>
  <c r="K305" i="150"/>
  <c r="K306" i="150"/>
  <c r="K307" i="150"/>
  <c r="K308" i="150"/>
  <c r="K309" i="150"/>
  <c r="K310" i="150"/>
  <c r="K311" i="150"/>
  <c r="K312" i="150"/>
  <c r="K313" i="150"/>
  <c r="K314" i="150"/>
  <c r="K315" i="150"/>
  <c r="K316" i="150"/>
  <c r="K317" i="150"/>
  <c r="K318" i="150"/>
  <c r="K319" i="150"/>
  <c r="K320" i="150"/>
  <c r="K321" i="150"/>
  <c r="K322" i="150"/>
  <c r="K323" i="150"/>
  <c r="K324" i="150"/>
  <c r="K325" i="150"/>
  <c r="K326" i="150"/>
  <c r="K327" i="150"/>
  <c r="K328" i="150"/>
  <c r="K329" i="150"/>
  <c r="K330" i="150"/>
  <c r="K331" i="150"/>
  <c r="K332" i="150"/>
  <c r="K333" i="150"/>
  <c r="K334" i="150"/>
  <c r="K335" i="150"/>
  <c r="K336" i="150"/>
  <c r="K337" i="150"/>
  <c r="K338" i="150"/>
  <c r="K339" i="150"/>
  <c r="K340" i="150"/>
  <c r="K341" i="150"/>
  <c r="K342" i="150"/>
  <c r="K343" i="150"/>
  <c r="K344" i="150"/>
  <c r="K345" i="150"/>
  <c r="K346" i="150"/>
  <c r="K347" i="150"/>
  <c r="K348" i="150"/>
  <c r="K349" i="150"/>
  <c r="K350" i="150"/>
  <c r="F356" i="150"/>
  <c r="F5" i="149"/>
  <c r="F7" i="149"/>
  <c r="A51" i="149"/>
  <c r="R3" i="149"/>
  <c r="A2" i="149"/>
  <c r="B46" i="149"/>
  <c r="G46" i="149"/>
  <c r="E46" i="149"/>
  <c r="H46" i="149"/>
  <c r="O356" i="150"/>
  <c r="E7" i="149"/>
  <c r="E21" i="149"/>
  <c r="B21" i="149"/>
  <c r="E26" i="149"/>
  <c r="B26" i="149"/>
  <c r="E5" i="149"/>
  <c r="E28" i="149"/>
  <c r="B28" i="149"/>
  <c r="E29" i="149"/>
  <c r="B29" i="149"/>
  <c r="B23" i="149"/>
  <c r="G23" i="149"/>
  <c r="E23" i="149"/>
  <c r="H23" i="149"/>
  <c r="G38" i="149"/>
  <c r="H38" i="149"/>
  <c r="O355" i="150"/>
  <c r="E22" i="149"/>
  <c r="B22" i="149"/>
  <c r="G22" i="149"/>
  <c r="H22" i="149"/>
  <c r="G37" i="149"/>
  <c r="H37" i="149"/>
  <c r="O354" i="150"/>
  <c r="G29" i="149"/>
  <c r="H29" i="149"/>
  <c r="O353" i="150"/>
  <c r="O352" i="150"/>
  <c r="G44" i="149"/>
  <c r="H44" i="149"/>
  <c r="O351" i="150"/>
  <c r="K2" i="159"/>
  <c r="K3" i="159"/>
  <c r="K4" i="159"/>
  <c r="K5" i="159"/>
  <c r="K6" i="159"/>
  <c r="K7" i="159"/>
  <c r="K8" i="159"/>
  <c r="K9" i="159"/>
  <c r="K10" i="159"/>
  <c r="K11" i="159"/>
  <c r="K12" i="159"/>
  <c r="K13" i="159"/>
  <c r="K14" i="159"/>
  <c r="K15" i="159"/>
  <c r="K16" i="159"/>
  <c r="K17" i="159"/>
  <c r="K18" i="159"/>
  <c r="K19" i="159"/>
  <c r="K20" i="159"/>
  <c r="K21" i="159"/>
  <c r="K22" i="159"/>
  <c r="K23" i="159"/>
  <c r="K24" i="159"/>
  <c r="K25" i="159"/>
  <c r="K26" i="159"/>
  <c r="K27" i="159"/>
  <c r="K28" i="159"/>
  <c r="K29" i="159"/>
  <c r="K30" i="159"/>
  <c r="K31" i="159"/>
  <c r="K32" i="159"/>
  <c r="K33" i="159"/>
  <c r="K34" i="159"/>
  <c r="K35" i="159"/>
  <c r="K36" i="159"/>
  <c r="K37" i="159"/>
  <c r="K38" i="159"/>
  <c r="K39" i="159"/>
  <c r="K40" i="159"/>
  <c r="K41" i="159"/>
  <c r="K42" i="159"/>
  <c r="K43" i="159"/>
  <c r="K44" i="159"/>
  <c r="K45" i="159"/>
  <c r="K46" i="159"/>
  <c r="K47" i="159"/>
  <c r="K48" i="159"/>
  <c r="K49" i="159"/>
  <c r="K50" i="159"/>
  <c r="K51" i="159"/>
  <c r="K52" i="159"/>
  <c r="K53" i="159"/>
  <c r="K54" i="159"/>
  <c r="K55" i="159"/>
  <c r="K56" i="159"/>
  <c r="K57" i="159"/>
  <c r="K58" i="159"/>
  <c r="K59" i="159"/>
  <c r="K60" i="159"/>
  <c r="K61" i="159"/>
  <c r="K62" i="159"/>
  <c r="K63" i="159"/>
  <c r="K64" i="159"/>
  <c r="K65" i="159"/>
  <c r="K66" i="159"/>
  <c r="K67" i="159"/>
  <c r="K68" i="159"/>
  <c r="K69" i="159"/>
  <c r="K70" i="159"/>
  <c r="K71" i="159"/>
  <c r="K72" i="159"/>
  <c r="K73" i="159"/>
  <c r="K74" i="159"/>
  <c r="K75" i="159"/>
  <c r="K76" i="159"/>
  <c r="K77" i="159"/>
  <c r="K78" i="159"/>
  <c r="K79" i="159"/>
  <c r="K80" i="159"/>
  <c r="K81" i="159"/>
  <c r="K82" i="159"/>
  <c r="K83" i="159"/>
  <c r="K84" i="159"/>
  <c r="K85" i="159"/>
  <c r="K86" i="159"/>
  <c r="K87" i="159"/>
  <c r="K88" i="159"/>
  <c r="K89" i="159"/>
  <c r="K90" i="159"/>
  <c r="K91" i="159"/>
  <c r="K92" i="159"/>
  <c r="K93" i="159"/>
  <c r="K94" i="159"/>
  <c r="K95" i="159"/>
  <c r="K96" i="159"/>
  <c r="K97" i="159"/>
  <c r="K98" i="159"/>
  <c r="K99" i="159"/>
  <c r="K100" i="159"/>
  <c r="K101" i="159"/>
  <c r="K102" i="159"/>
  <c r="K103" i="159"/>
  <c r="K104" i="159"/>
  <c r="K105" i="159"/>
  <c r="K106" i="159"/>
  <c r="K107" i="159"/>
  <c r="K108" i="159"/>
  <c r="K109" i="159"/>
  <c r="K110" i="159"/>
  <c r="K111" i="159"/>
  <c r="K112" i="159"/>
  <c r="K113" i="159"/>
  <c r="K114" i="159"/>
  <c r="K115" i="159"/>
  <c r="K116" i="159"/>
  <c r="K117" i="159"/>
  <c r="K118" i="159"/>
  <c r="K119" i="159"/>
  <c r="K120" i="159"/>
  <c r="K121" i="159"/>
  <c r="K122" i="159"/>
  <c r="K123" i="159"/>
  <c r="K124" i="159"/>
  <c r="K125" i="159"/>
  <c r="K126" i="159"/>
  <c r="K127" i="159"/>
  <c r="K128" i="159"/>
  <c r="K129" i="159"/>
  <c r="K130" i="159"/>
  <c r="K131" i="159"/>
  <c r="K132" i="159"/>
  <c r="K133" i="159"/>
  <c r="K134" i="159"/>
  <c r="K135" i="159"/>
  <c r="K136" i="159"/>
  <c r="K137" i="159"/>
  <c r="K138" i="159"/>
  <c r="K139" i="159"/>
  <c r="K140" i="159"/>
  <c r="K141" i="159"/>
  <c r="K142" i="159"/>
  <c r="K143" i="159"/>
  <c r="K144" i="159"/>
  <c r="K145" i="159"/>
  <c r="K146" i="159"/>
  <c r="K147" i="159"/>
  <c r="K148" i="159"/>
  <c r="K149" i="159"/>
  <c r="K150" i="159"/>
  <c r="K151" i="159"/>
  <c r="K152" i="159"/>
  <c r="K153" i="159"/>
  <c r="K154" i="159"/>
  <c r="K155" i="159"/>
  <c r="K156" i="159"/>
  <c r="K157" i="159"/>
  <c r="K158" i="159"/>
  <c r="K159" i="159"/>
  <c r="K160" i="159"/>
  <c r="K161" i="159"/>
  <c r="K162" i="159"/>
  <c r="K163" i="159"/>
  <c r="K164" i="159"/>
  <c r="K165" i="159"/>
  <c r="K166" i="159"/>
  <c r="K167" i="159"/>
  <c r="K168" i="159"/>
  <c r="K169" i="159"/>
  <c r="K170" i="159"/>
  <c r="K171" i="159"/>
  <c r="K172" i="159"/>
  <c r="K173" i="159"/>
  <c r="K174" i="159"/>
  <c r="K175" i="159"/>
  <c r="K176" i="159"/>
  <c r="K177" i="159"/>
  <c r="K178" i="159"/>
  <c r="K179" i="159"/>
  <c r="K180" i="159"/>
  <c r="K181" i="159"/>
  <c r="K182" i="159"/>
  <c r="K183" i="159"/>
  <c r="K184" i="159"/>
  <c r="K185" i="159"/>
  <c r="K186" i="159"/>
  <c r="K187" i="159"/>
  <c r="K188" i="159"/>
  <c r="K189" i="159"/>
  <c r="K190" i="159"/>
  <c r="K191" i="159"/>
  <c r="K192" i="159"/>
  <c r="K193" i="159"/>
  <c r="K194" i="159"/>
  <c r="K195" i="159"/>
  <c r="K196" i="159"/>
  <c r="K197" i="159"/>
  <c r="K198" i="159"/>
  <c r="K199" i="159"/>
  <c r="K200" i="159"/>
  <c r="K201" i="159"/>
  <c r="K202" i="159"/>
  <c r="K203" i="159"/>
  <c r="K204" i="159"/>
  <c r="K205" i="159"/>
  <c r="K206" i="159"/>
  <c r="K207" i="159"/>
  <c r="K208" i="159"/>
  <c r="K209" i="159"/>
  <c r="K210" i="159"/>
  <c r="K211" i="159"/>
  <c r="K212" i="159"/>
  <c r="K213" i="159"/>
  <c r="K214" i="159"/>
  <c r="K215" i="159"/>
  <c r="K216" i="159"/>
  <c r="K217" i="159"/>
  <c r="K218" i="159"/>
  <c r="K219" i="159"/>
  <c r="K220" i="159"/>
  <c r="K221" i="159"/>
  <c r="K222" i="159"/>
  <c r="K223" i="159"/>
  <c r="K224" i="159"/>
  <c r="K225" i="159"/>
  <c r="K226" i="159"/>
  <c r="K227" i="159"/>
  <c r="K228" i="159"/>
  <c r="K229" i="159"/>
  <c r="K230" i="159"/>
  <c r="K231" i="159"/>
  <c r="K232" i="159"/>
  <c r="K233" i="159"/>
  <c r="K234" i="159"/>
  <c r="K235" i="159"/>
  <c r="K236" i="159"/>
  <c r="K237" i="159"/>
  <c r="K238" i="159"/>
  <c r="K239" i="159"/>
  <c r="K240" i="159"/>
  <c r="K241" i="159"/>
  <c r="K242" i="159"/>
  <c r="K243" i="159"/>
  <c r="K244" i="159"/>
  <c r="K245" i="159"/>
  <c r="K246" i="159"/>
  <c r="K247" i="159"/>
  <c r="K248" i="159"/>
  <c r="K249" i="159"/>
  <c r="K250" i="159"/>
  <c r="K251" i="159"/>
  <c r="K252" i="159"/>
  <c r="K253" i="159"/>
  <c r="K254" i="159"/>
  <c r="K255" i="159"/>
  <c r="K256" i="159"/>
  <c r="K257" i="159"/>
  <c r="K258" i="159"/>
  <c r="K259" i="159"/>
  <c r="K260" i="159"/>
  <c r="K261" i="159"/>
  <c r="K262" i="159"/>
  <c r="K263" i="159"/>
  <c r="K264" i="159"/>
  <c r="K265" i="159"/>
  <c r="K266" i="159"/>
  <c r="K267" i="159"/>
  <c r="K268" i="159"/>
  <c r="K269" i="159"/>
  <c r="K270" i="159"/>
  <c r="K271" i="159"/>
  <c r="K272" i="159"/>
  <c r="K273" i="159"/>
  <c r="K274" i="159"/>
  <c r="K275" i="159"/>
  <c r="K276" i="159"/>
  <c r="K277" i="159"/>
  <c r="K278" i="159"/>
  <c r="K279" i="159"/>
  <c r="K280" i="159"/>
  <c r="K281" i="159"/>
  <c r="K282" i="159"/>
  <c r="K283" i="159"/>
  <c r="K284" i="159"/>
  <c r="K285" i="159"/>
  <c r="K286" i="159"/>
  <c r="K287" i="159"/>
  <c r="K288" i="159"/>
  <c r="K289" i="159"/>
  <c r="K290" i="159"/>
  <c r="K291" i="159"/>
  <c r="K292" i="159"/>
  <c r="K293" i="159"/>
  <c r="K294" i="159"/>
  <c r="K295" i="159"/>
  <c r="K296" i="159"/>
  <c r="K297" i="159"/>
  <c r="K298" i="159"/>
  <c r="K299" i="159"/>
  <c r="K300" i="159"/>
  <c r="K301" i="159"/>
  <c r="K302" i="159"/>
  <c r="K303" i="159"/>
  <c r="K304" i="159"/>
  <c r="K305" i="159"/>
  <c r="K306" i="159"/>
  <c r="K307" i="159"/>
  <c r="K308" i="159"/>
  <c r="K309" i="159"/>
  <c r="K310" i="159"/>
  <c r="K311" i="159"/>
  <c r="K312" i="159"/>
  <c r="K313" i="159"/>
  <c r="K314" i="159"/>
  <c r="K315" i="159"/>
  <c r="K316" i="159"/>
  <c r="K317" i="159"/>
  <c r="K318" i="159"/>
  <c r="K319" i="159"/>
  <c r="K320" i="159"/>
  <c r="K321" i="159"/>
  <c r="K322" i="159"/>
  <c r="K323" i="159"/>
  <c r="K324" i="159"/>
  <c r="K325" i="159"/>
  <c r="K326" i="159"/>
  <c r="K327" i="159"/>
  <c r="K328" i="159"/>
  <c r="K329" i="159"/>
  <c r="K330" i="159"/>
  <c r="K331" i="159"/>
  <c r="K332" i="159"/>
  <c r="K333" i="159"/>
  <c r="K334" i="159"/>
  <c r="K335" i="159"/>
  <c r="K336" i="159"/>
  <c r="K337" i="159"/>
  <c r="K338" i="159"/>
  <c r="K339" i="159"/>
  <c r="K340" i="159"/>
  <c r="K341" i="159"/>
  <c r="K342" i="159"/>
  <c r="K343" i="159"/>
  <c r="K344" i="159"/>
  <c r="K345" i="159"/>
  <c r="K346" i="159"/>
  <c r="K347" i="159"/>
  <c r="K348" i="159"/>
  <c r="K349" i="159"/>
  <c r="K350" i="159"/>
  <c r="F356" i="159"/>
  <c r="F5" i="158"/>
  <c r="F7" i="158"/>
  <c r="A51" i="158"/>
  <c r="R3" i="158"/>
  <c r="A2" i="158"/>
  <c r="B46" i="158"/>
  <c r="G46" i="158"/>
  <c r="E46" i="158"/>
  <c r="H46" i="158"/>
  <c r="O356" i="159"/>
  <c r="E7" i="158"/>
  <c r="E21" i="158"/>
  <c r="B21" i="158"/>
  <c r="E26" i="158"/>
  <c r="B26" i="158"/>
  <c r="E5" i="158"/>
  <c r="E28" i="158"/>
  <c r="B28" i="158"/>
  <c r="E29" i="158"/>
  <c r="B29" i="158"/>
  <c r="B23" i="158"/>
  <c r="G23" i="158"/>
  <c r="E23" i="158"/>
  <c r="H23" i="158"/>
  <c r="G38" i="158"/>
  <c r="H38" i="158"/>
  <c r="O355" i="159"/>
  <c r="E22" i="158"/>
  <c r="B22" i="158"/>
  <c r="G22" i="158"/>
  <c r="H22" i="158"/>
  <c r="G37" i="158"/>
  <c r="H37" i="158"/>
  <c r="O354" i="159"/>
  <c r="G29" i="158"/>
  <c r="H29" i="158"/>
  <c r="O353" i="159"/>
  <c r="O352" i="159"/>
  <c r="G44" i="158"/>
  <c r="H44" i="158"/>
  <c r="O351" i="159"/>
  <c r="K2" i="154"/>
  <c r="K3" i="154"/>
  <c r="K4" i="154"/>
  <c r="K5" i="154"/>
  <c r="K6" i="154"/>
  <c r="K7" i="154"/>
  <c r="K8" i="154"/>
  <c r="K9" i="154"/>
  <c r="K10" i="154"/>
  <c r="K11" i="154"/>
  <c r="K12" i="154"/>
  <c r="K13" i="154"/>
  <c r="K14" i="154"/>
  <c r="K15" i="154"/>
  <c r="K16" i="154"/>
  <c r="K17" i="154"/>
  <c r="K18" i="154"/>
  <c r="K19" i="154"/>
  <c r="K20" i="154"/>
  <c r="K21" i="154"/>
  <c r="K22" i="154"/>
  <c r="K23" i="154"/>
  <c r="K24" i="154"/>
  <c r="K25" i="154"/>
  <c r="K26" i="154"/>
  <c r="K27" i="154"/>
  <c r="K28" i="154"/>
  <c r="K29" i="154"/>
  <c r="K30" i="154"/>
  <c r="K31" i="154"/>
  <c r="K32" i="154"/>
  <c r="K33" i="154"/>
  <c r="K34" i="154"/>
  <c r="K35" i="154"/>
  <c r="K36" i="154"/>
  <c r="K37" i="154"/>
  <c r="K38" i="154"/>
  <c r="K39" i="154"/>
  <c r="K40" i="154"/>
  <c r="K41" i="154"/>
  <c r="K42" i="154"/>
  <c r="K43" i="154"/>
  <c r="K44" i="154"/>
  <c r="K45" i="154"/>
  <c r="K46" i="154"/>
  <c r="K47" i="154"/>
  <c r="K48" i="154"/>
  <c r="K49" i="154"/>
  <c r="K50" i="154"/>
  <c r="K51" i="154"/>
  <c r="K52" i="154"/>
  <c r="K53" i="154"/>
  <c r="K54" i="154"/>
  <c r="K55" i="154"/>
  <c r="K56" i="154"/>
  <c r="K57" i="154"/>
  <c r="K58" i="154"/>
  <c r="K59" i="154"/>
  <c r="K60" i="154"/>
  <c r="K61" i="154"/>
  <c r="K62" i="154"/>
  <c r="K63" i="154"/>
  <c r="K64" i="154"/>
  <c r="K65" i="154"/>
  <c r="K66" i="154"/>
  <c r="K67" i="154"/>
  <c r="K68" i="154"/>
  <c r="K69" i="154"/>
  <c r="K70" i="154"/>
  <c r="K71" i="154"/>
  <c r="K72" i="154"/>
  <c r="K73" i="154"/>
  <c r="K74" i="154"/>
  <c r="K75" i="154"/>
  <c r="K76" i="154"/>
  <c r="K77" i="154"/>
  <c r="K78" i="154"/>
  <c r="K79" i="154"/>
  <c r="K80" i="154"/>
  <c r="K81" i="154"/>
  <c r="K82" i="154"/>
  <c r="K83" i="154"/>
  <c r="K84" i="154"/>
  <c r="K85" i="154"/>
  <c r="K86" i="154"/>
  <c r="K87" i="154"/>
  <c r="K88" i="154"/>
  <c r="K89" i="154"/>
  <c r="K90" i="154"/>
  <c r="K91" i="154"/>
  <c r="K92" i="154"/>
  <c r="K93" i="154"/>
  <c r="K94" i="154"/>
  <c r="K95" i="154"/>
  <c r="K96" i="154"/>
  <c r="K97" i="154"/>
  <c r="K98" i="154"/>
  <c r="K99" i="154"/>
  <c r="K100" i="154"/>
  <c r="K101" i="154"/>
  <c r="K102" i="154"/>
  <c r="K103" i="154"/>
  <c r="K104" i="154"/>
  <c r="K105" i="154"/>
  <c r="K106" i="154"/>
  <c r="K107" i="154"/>
  <c r="K108" i="154"/>
  <c r="K109" i="154"/>
  <c r="K110" i="154"/>
  <c r="K111" i="154"/>
  <c r="K112" i="154"/>
  <c r="K113" i="154"/>
  <c r="K114" i="154"/>
  <c r="K115" i="154"/>
  <c r="K116" i="154"/>
  <c r="K117" i="154"/>
  <c r="K118" i="154"/>
  <c r="K119" i="154"/>
  <c r="K120" i="154"/>
  <c r="K121" i="154"/>
  <c r="K122" i="154"/>
  <c r="K123" i="154"/>
  <c r="K124" i="154"/>
  <c r="K125" i="154"/>
  <c r="K126" i="154"/>
  <c r="K127" i="154"/>
  <c r="K128" i="154"/>
  <c r="K129" i="154"/>
  <c r="K130" i="154"/>
  <c r="K131" i="154"/>
  <c r="K132" i="154"/>
  <c r="K133" i="154"/>
  <c r="K134" i="154"/>
  <c r="K135" i="154"/>
  <c r="K136" i="154"/>
  <c r="K137" i="154"/>
  <c r="K138" i="154"/>
  <c r="K139" i="154"/>
  <c r="K140" i="154"/>
  <c r="K141" i="154"/>
  <c r="K142" i="154"/>
  <c r="K143" i="154"/>
  <c r="K144" i="154"/>
  <c r="K145" i="154"/>
  <c r="K146" i="154"/>
  <c r="K147" i="154"/>
  <c r="K148" i="154"/>
  <c r="K149" i="154"/>
  <c r="K150" i="154"/>
  <c r="K151" i="154"/>
  <c r="K152" i="154"/>
  <c r="K153" i="154"/>
  <c r="K154" i="154"/>
  <c r="K155" i="154"/>
  <c r="K156" i="154"/>
  <c r="K157" i="154"/>
  <c r="K158" i="154"/>
  <c r="K159" i="154"/>
  <c r="K160" i="154"/>
  <c r="K161" i="154"/>
  <c r="K162" i="154"/>
  <c r="K163" i="154"/>
  <c r="K164" i="154"/>
  <c r="K165" i="154"/>
  <c r="K166" i="154"/>
  <c r="K167" i="154"/>
  <c r="K168" i="154"/>
  <c r="K169" i="154"/>
  <c r="K170" i="154"/>
  <c r="K171" i="154"/>
  <c r="K172" i="154"/>
  <c r="K173" i="154"/>
  <c r="K174" i="154"/>
  <c r="K175" i="154"/>
  <c r="K176" i="154"/>
  <c r="K177" i="154"/>
  <c r="K178" i="154"/>
  <c r="K179" i="154"/>
  <c r="K180" i="154"/>
  <c r="K181" i="154"/>
  <c r="K182" i="154"/>
  <c r="K183" i="154"/>
  <c r="K184" i="154"/>
  <c r="K185" i="154"/>
  <c r="K186" i="154"/>
  <c r="K187" i="154"/>
  <c r="K188" i="154"/>
  <c r="K189" i="154"/>
  <c r="K190" i="154"/>
  <c r="K191" i="154"/>
  <c r="K192" i="154"/>
  <c r="K193" i="154"/>
  <c r="K194" i="154"/>
  <c r="K195" i="154"/>
  <c r="K196" i="154"/>
  <c r="K197" i="154"/>
  <c r="K198" i="154"/>
  <c r="K199" i="154"/>
  <c r="K200" i="154"/>
  <c r="K201" i="154"/>
  <c r="K202" i="154"/>
  <c r="K203" i="154"/>
  <c r="K204" i="154"/>
  <c r="K205" i="154"/>
  <c r="K206" i="154"/>
  <c r="K207" i="154"/>
  <c r="K208" i="154"/>
  <c r="K209" i="154"/>
  <c r="K210" i="154"/>
  <c r="K211" i="154"/>
  <c r="K212" i="154"/>
  <c r="K213" i="154"/>
  <c r="K214" i="154"/>
  <c r="K215" i="154"/>
  <c r="K216" i="154"/>
  <c r="K217" i="154"/>
  <c r="K218" i="154"/>
  <c r="K219" i="154"/>
  <c r="K220" i="154"/>
  <c r="K221" i="154"/>
  <c r="K222" i="154"/>
  <c r="K223" i="154"/>
  <c r="K224" i="154"/>
  <c r="K225" i="154"/>
  <c r="K226" i="154"/>
  <c r="K227" i="154"/>
  <c r="K228" i="154"/>
  <c r="K229" i="154"/>
  <c r="K230" i="154"/>
  <c r="K231" i="154"/>
  <c r="K232" i="154"/>
  <c r="K233" i="154"/>
  <c r="K234" i="154"/>
  <c r="K235" i="154"/>
  <c r="K236" i="154"/>
  <c r="K237" i="154"/>
  <c r="K238" i="154"/>
  <c r="K239" i="154"/>
  <c r="K240" i="154"/>
  <c r="K241" i="154"/>
  <c r="K242" i="154"/>
  <c r="K243" i="154"/>
  <c r="K244" i="154"/>
  <c r="K245" i="154"/>
  <c r="K246" i="154"/>
  <c r="K247" i="154"/>
  <c r="K248" i="154"/>
  <c r="K249" i="154"/>
  <c r="K250" i="154"/>
  <c r="K251" i="154"/>
  <c r="K252" i="154"/>
  <c r="K253" i="154"/>
  <c r="K254" i="154"/>
  <c r="K255" i="154"/>
  <c r="K256" i="154"/>
  <c r="K257" i="154"/>
  <c r="K258" i="154"/>
  <c r="K259" i="154"/>
  <c r="K260" i="154"/>
  <c r="K261" i="154"/>
  <c r="K262" i="154"/>
  <c r="K263" i="154"/>
  <c r="K264" i="154"/>
  <c r="K265" i="154"/>
  <c r="K266" i="154"/>
  <c r="K267" i="154"/>
  <c r="K268" i="154"/>
  <c r="K269" i="154"/>
  <c r="K270" i="154"/>
  <c r="K271" i="154"/>
  <c r="K272" i="154"/>
  <c r="K273" i="154"/>
  <c r="K274" i="154"/>
  <c r="K275" i="154"/>
  <c r="K276" i="154"/>
  <c r="K277" i="154"/>
  <c r="K278" i="154"/>
  <c r="K279" i="154"/>
  <c r="K280" i="154"/>
  <c r="K281" i="154"/>
  <c r="K282" i="154"/>
  <c r="K283" i="154"/>
  <c r="K284" i="154"/>
  <c r="K285" i="154"/>
  <c r="K286" i="154"/>
  <c r="K287" i="154"/>
  <c r="K288" i="154"/>
  <c r="K289" i="154"/>
  <c r="K290" i="154"/>
  <c r="K291" i="154"/>
  <c r="K292" i="154"/>
  <c r="K293" i="154"/>
  <c r="K294" i="154"/>
  <c r="K295" i="154"/>
  <c r="K296" i="154"/>
  <c r="K297" i="154"/>
  <c r="K298" i="154"/>
  <c r="K299" i="154"/>
  <c r="K300" i="154"/>
  <c r="K301" i="154"/>
  <c r="K302" i="154"/>
  <c r="K303" i="154"/>
  <c r="K304" i="154"/>
  <c r="K305" i="154"/>
  <c r="K306" i="154"/>
  <c r="K307" i="154"/>
  <c r="K308" i="154"/>
  <c r="K309" i="154"/>
  <c r="K310" i="154"/>
  <c r="K311" i="154"/>
  <c r="K312" i="154"/>
  <c r="K313" i="154"/>
  <c r="K314" i="154"/>
  <c r="K315" i="154"/>
  <c r="K316" i="154"/>
  <c r="K317" i="154"/>
  <c r="K318" i="154"/>
  <c r="K319" i="154"/>
  <c r="K320" i="154"/>
  <c r="K321" i="154"/>
  <c r="K322" i="154"/>
  <c r="K323" i="154"/>
  <c r="K324" i="154"/>
  <c r="K325" i="154"/>
  <c r="K326" i="154"/>
  <c r="K327" i="154"/>
  <c r="K328" i="154"/>
  <c r="K329" i="154"/>
  <c r="K330" i="154"/>
  <c r="K331" i="154"/>
  <c r="K332" i="154"/>
  <c r="K333" i="154"/>
  <c r="K334" i="154"/>
  <c r="K335" i="154"/>
  <c r="K336" i="154"/>
  <c r="K337" i="154"/>
  <c r="K338" i="154"/>
  <c r="K339" i="154"/>
  <c r="K340" i="154"/>
  <c r="K341" i="154"/>
  <c r="K342" i="154"/>
  <c r="K343" i="154"/>
  <c r="K344" i="154"/>
  <c r="K345" i="154"/>
  <c r="K346" i="154"/>
  <c r="K347" i="154"/>
  <c r="K348" i="154"/>
  <c r="K349" i="154"/>
  <c r="K350" i="154"/>
  <c r="F356" i="154"/>
  <c r="F5" i="153"/>
  <c r="F7" i="153"/>
  <c r="A51" i="153"/>
  <c r="R3" i="153"/>
  <c r="A2" i="153"/>
  <c r="B46" i="153"/>
  <c r="G46" i="153"/>
  <c r="E46" i="153"/>
  <c r="H46" i="153"/>
  <c r="O356" i="154"/>
  <c r="E7" i="153"/>
  <c r="E21" i="153"/>
  <c r="B21" i="153"/>
  <c r="E26" i="153"/>
  <c r="B26" i="153"/>
  <c r="E5" i="153"/>
  <c r="E28" i="153"/>
  <c r="B28" i="153"/>
  <c r="E29" i="153"/>
  <c r="B29" i="153"/>
  <c r="B23" i="153"/>
  <c r="G23" i="153"/>
  <c r="E23" i="153"/>
  <c r="H23" i="153"/>
  <c r="G38" i="153"/>
  <c r="H38" i="153"/>
  <c r="O355" i="154"/>
  <c r="E22" i="153"/>
  <c r="B22" i="153"/>
  <c r="G22" i="153"/>
  <c r="H22" i="153"/>
  <c r="G37" i="153"/>
  <c r="H37" i="153"/>
  <c r="O354" i="154"/>
  <c r="G29" i="153"/>
  <c r="H29" i="153"/>
  <c r="O353" i="154"/>
  <c r="O352" i="154"/>
  <c r="G44" i="153"/>
  <c r="H44" i="153"/>
  <c r="O351" i="154"/>
  <c r="K2" i="163"/>
  <c r="K3" i="163"/>
  <c r="K4" i="163"/>
  <c r="K5" i="163"/>
  <c r="K6" i="163"/>
  <c r="K7" i="163"/>
  <c r="K8" i="163"/>
  <c r="K9" i="163"/>
  <c r="K10" i="163"/>
  <c r="K11" i="163"/>
  <c r="K12" i="163"/>
  <c r="K13" i="163"/>
  <c r="K14" i="163"/>
  <c r="K15" i="163"/>
  <c r="K16" i="163"/>
  <c r="K17" i="163"/>
  <c r="K18" i="163"/>
  <c r="K19" i="163"/>
  <c r="K20" i="163"/>
  <c r="K21" i="163"/>
  <c r="K22" i="163"/>
  <c r="K23" i="163"/>
  <c r="K24" i="163"/>
  <c r="K25" i="163"/>
  <c r="K26" i="163"/>
  <c r="K27" i="163"/>
  <c r="K28" i="163"/>
  <c r="K29" i="163"/>
  <c r="K30" i="163"/>
  <c r="K31" i="163"/>
  <c r="K32" i="163"/>
  <c r="K33" i="163"/>
  <c r="K34" i="163"/>
  <c r="K35" i="163"/>
  <c r="K36" i="163"/>
  <c r="K37" i="163"/>
  <c r="K38" i="163"/>
  <c r="K39" i="163"/>
  <c r="K40" i="163"/>
  <c r="K41" i="163"/>
  <c r="K42" i="163"/>
  <c r="K43" i="163"/>
  <c r="K44" i="163"/>
  <c r="K45" i="163"/>
  <c r="K46" i="163"/>
  <c r="K47" i="163"/>
  <c r="K48" i="163"/>
  <c r="K49" i="163"/>
  <c r="K50" i="163"/>
  <c r="K51" i="163"/>
  <c r="K52" i="163"/>
  <c r="K53" i="163"/>
  <c r="K54" i="163"/>
  <c r="K55" i="163"/>
  <c r="K56" i="163"/>
  <c r="K57" i="163"/>
  <c r="K58" i="163"/>
  <c r="K59" i="163"/>
  <c r="K60" i="163"/>
  <c r="K61" i="163"/>
  <c r="K62" i="163"/>
  <c r="K63" i="163"/>
  <c r="K64" i="163"/>
  <c r="K65" i="163"/>
  <c r="K66" i="163"/>
  <c r="K67" i="163"/>
  <c r="K68" i="163"/>
  <c r="K69" i="163"/>
  <c r="K70" i="163"/>
  <c r="K71" i="163"/>
  <c r="K72" i="163"/>
  <c r="K73" i="163"/>
  <c r="K74" i="163"/>
  <c r="K75" i="163"/>
  <c r="K76" i="163"/>
  <c r="K77" i="163"/>
  <c r="K78" i="163"/>
  <c r="K79" i="163"/>
  <c r="K80" i="163"/>
  <c r="K81" i="163"/>
  <c r="K82" i="163"/>
  <c r="K83" i="163"/>
  <c r="K84" i="163"/>
  <c r="K85" i="163"/>
  <c r="K86" i="163"/>
  <c r="K87" i="163"/>
  <c r="K88" i="163"/>
  <c r="K89" i="163"/>
  <c r="K90" i="163"/>
  <c r="K91" i="163"/>
  <c r="K92" i="163"/>
  <c r="K93" i="163"/>
  <c r="K94" i="163"/>
  <c r="K95" i="163"/>
  <c r="K96" i="163"/>
  <c r="K97" i="163"/>
  <c r="K98" i="163"/>
  <c r="K99" i="163"/>
  <c r="K100" i="163"/>
  <c r="K101" i="163"/>
  <c r="K102" i="163"/>
  <c r="K103" i="163"/>
  <c r="K104" i="163"/>
  <c r="K105" i="163"/>
  <c r="K106" i="163"/>
  <c r="K107" i="163"/>
  <c r="K108" i="163"/>
  <c r="K109" i="163"/>
  <c r="K110" i="163"/>
  <c r="K111" i="163"/>
  <c r="K112" i="163"/>
  <c r="K113" i="163"/>
  <c r="K114" i="163"/>
  <c r="K115" i="163"/>
  <c r="K116" i="163"/>
  <c r="K117" i="163"/>
  <c r="K118" i="163"/>
  <c r="K119" i="163"/>
  <c r="K120" i="163"/>
  <c r="K121" i="163"/>
  <c r="K122" i="163"/>
  <c r="K123" i="163"/>
  <c r="K124" i="163"/>
  <c r="K125" i="163"/>
  <c r="K126" i="163"/>
  <c r="K127" i="163"/>
  <c r="K128" i="163"/>
  <c r="K129" i="163"/>
  <c r="K130" i="163"/>
  <c r="K131" i="163"/>
  <c r="K132" i="163"/>
  <c r="K133" i="163"/>
  <c r="K134" i="163"/>
  <c r="K135" i="163"/>
  <c r="K136" i="163"/>
  <c r="K137" i="163"/>
  <c r="K138" i="163"/>
  <c r="K139" i="163"/>
  <c r="K140" i="163"/>
  <c r="K141" i="163"/>
  <c r="K142" i="163"/>
  <c r="K143" i="163"/>
  <c r="K144" i="163"/>
  <c r="K145" i="163"/>
  <c r="K146" i="163"/>
  <c r="K147" i="163"/>
  <c r="K148" i="163"/>
  <c r="K149" i="163"/>
  <c r="K150" i="163"/>
  <c r="K151" i="163"/>
  <c r="K152" i="163"/>
  <c r="K153" i="163"/>
  <c r="K154" i="163"/>
  <c r="K155" i="163"/>
  <c r="K156" i="163"/>
  <c r="K157" i="163"/>
  <c r="K158" i="163"/>
  <c r="K159" i="163"/>
  <c r="K160" i="163"/>
  <c r="K161" i="163"/>
  <c r="K162" i="163"/>
  <c r="K163" i="163"/>
  <c r="K164" i="163"/>
  <c r="K165" i="163"/>
  <c r="K166" i="163"/>
  <c r="K167" i="163"/>
  <c r="K168" i="163"/>
  <c r="K169" i="163"/>
  <c r="K170" i="163"/>
  <c r="K171" i="163"/>
  <c r="K172" i="163"/>
  <c r="K173" i="163"/>
  <c r="K174" i="163"/>
  <c r="K175" i="163"/>
  <c r="K176" i="163"/>
  <c r="K177" i="163"/>
  <c r="K178" i="163"/>
  <c r="K179" i="163"/>
  <c r="K180" i="163"/>
  <c r="K181" i="163"/>
  <c r="K182" i="163"/>
  <c r="K183" i="163"/>
  <c r="K184" i="163"/>
  <c r="K185" i="163"/>
  <c r="K186" i="163"/>
  <c r="K187" i="163"/>
  <c r="K188" i="163"/>
  <c r="K189" i="163"/>
  <c r="K190" i="163"/>
  <c r="K191" i="163"/>
  <c r="K192" i="163"/>
  <c r="K193" i="163"/>
  <c r="K194" i="163"/>
  <c r="K195" i="163"/>
  <c r="K196" i="163"/>
  <c r="K197" i="163"/>
  <c r="K198" i="163"/>
  <c r="K199" i="163"/>
  <c r="K200" i="163"/>
  <c r="K201" i="163"/>
  <c r="K202" i="163"/>
  <c r="K203" i="163"/>
  <c r="K204" i="163"/>
  <c r="K205" i="163"/>
  <c r="K206" i="163"/>
  <c r="K207" i="163"/>
  <c r="K208" i="163"/>
  <c r="K209" i="163"/>
  <c r="K210" i="163"/>
  <c r="K211" i="163"/>
  <c r="K212" i="163"/>
  <c r="K213" i="163"/>
  <c r="K214" i="163"/>
  <c r="K215" i="163"/>
  <c r="K216" i="163"/>
  <c r="K217" i="163"/>
  <c r="K218" i="163"/>
  <c r="K219" i="163"/>
  <c r="K220" i="163"/>
  <c r="K221" i="163"/>
  <c r="K222" i="163"/>
  <c r="K223" i="163"/>
  <c r="K224" i="163"/>
  <c r="K225" i="163"/>
  <c r="K226" i="163"/>
  <c r="K227" i="163"/>
  <c r="K228" i="163"/>
  <c r="K229" i="163"/>
  <c r="K230" i="163"/>
  <c r="K231" i="163"/>
  <c r="K232" i="163"/>
  <c r="K233" i="163"/>
  <c r="K234" i="163"/>
  <c r="K235" i="163"/>
  <c r="K236" i="163"/>
  <c r="K237" i="163"/>
  <c r="K238" i="163"/>
  <c r="K239" i="163"/>
  <c r="K240" i="163"/>
  <c r="K241" i="163"/>
  <c r="K242" i="163"/>
  <c r="K243" i="163"/>
  <c r="K244" i="163"/>
  <c r="K245" i="163"/>
  <c r="K246" i="163"/>
  <c r="K247" i="163"/>
  <c r="K248" i="163"/>
  <c r="K249" i="163"/>
  <c r="K250" i="163"/>
  <c r="K251" i="163"/>
  <c r="K252" i="163"/>
  <c r="K253" i="163"/>
  <c r="K254" i="163"/>
  <c r="K255" i="163"/>
  <c r="K256" i="163"/>
  <c r="K257" i="163"/>
  <c r="K258" i="163"/>
  <c r="K259" i="163"/>
  <c r="K260" i="163"/>
  <c r="K261" i="163"/>
  <c r="K262" i="163"/>
  <c r="K263" i="163"/>
  <c r="K264" i="163"/>
  <c r="K265" i="163"/>
  <c r="K266" i="163"/>
  <c r="K267" i="163"/>
  <c r="K268" i="163"/>
  <c r="K269" i="163"/>
  <c r="K270" i="163"/>
  <c r="K271" i="163"/>
  <c r="K272" i="163"/>
  <c r="K273" i="163"/>
  <c r="K274" i="163"/>
  <c r="K275" i="163"/>
  <c r="K276" i="163"/>
  <c r="K277" i="163"/>
  <c r="K278" i="163"/>
  <c r="K279" i="163"/>
  <c r="K280" i="163"/>
  <c r="K281" i="163"/>
  <c r="K282" i="163"/>
  <c r="K283" i="163"/>
  <c r="K284" i="163"/>
  <c r="K285" i="163"/>
  <c r="K286" i="163"/>
  <c r="K287" i="163"/>
  <c r="K288" i="163"/>
  <c r="K289" i="163"/>
  <c r="K290" i="163"/>
  <c r="K291" i="163"/>
  <c r="K292" i="163"/>
  <c r="K293" i="163"/>
  <c r="K294" i="163"/>
  <c r="K295" i="163"/>
  <c r="K296" i="163"/>
  <c r="K297" i="163"/>
  <c r="K298" i="163"/>
  <c r="K299" i="163"/>
  <c r="K300" i="163"/>
  <c r="K301" i="163"/>
  <c r="K302" i="163"/>
  <c r="K303" i="163"/>
  <c r="K304" i="163"/>
  <c r="K305" i="163"/>
  <c r="K306" i="163"/>
  <c r="K307" i="163"/>
  <c r="K308" i="163"/>
  <c r="K309" i="163"/>
  <c r="K310" i="163"/>
  <c r="K311" i="163"/>
  <c r="K312" i="163"/>
  <c r="K313" i="163"/>
  <c r="K314" i="163"/>
  <c r="K315" i="163"/>
  <c r="K316" i="163"/>
  <c r="K317" i="163"/>
  <c r="K318" i="163"/>
  <c r="K319" i="163"/>
  <c r="K320" i="163"/>
  <c r="K321" i="163"/>
  <c r="K322" i="163"/>
  <c r="K323" i="163"/>
  <c r="K324" i="163"/>
  <c r="K325" i="163"/>
  <c r="K326" i="163"/>
  <c r="K327" i="163"/>
  <c r="K328" i="163"/>
  <c r="K329" i="163"/>
  <c r="K330" i="163"/>
  <c r="K331" i="163"/>
  <c r="K332" i="163"/>
  <c r="K333" i="163"/>
  <c r="K334" i="163"/>
  <c r="K335" i="163"/>
  <c r="K336" i="163"/>
  <c r="K337" i="163"/>
  <c r="K338" i="163"/>
  <c r="K339" i="163"/>
  <c r="K340" i="163"/>
  <c r="K341" i="163"/>
  <c r="K342" i="163"/>
  <c r="K343" i="163"/>
  <c r="K344" i="163"/>
  <c r="K345" i="163"/>
  <c r="K346" i="163"/>
  <c r="K347" i="163"/>
  <c r="K348" i="163"/>
  <c r="K349" i="163"/>
  <c r="K350" i="163"/>
  <c r="F356" i="163"/>
  <c r="F5" i="162"/>
  <c r="F7" i="162"/>
  <c r="A51" i="162"/>
  <c r="R3" i="162"/>
  <c r="A2" i="162"/>
  <c r="G46" i="162"/>
  <c r="E46" i="162"/>
  <c r="H46" i="162"/>
  <c r="O356" i="163"/>
  <c r="E7" i="162"/>
  <c r="E21" i="162"/>
  <c r="B21" i="162"/>
  <c r="E26" i="162"/>
  <c r="B26" i="162"/>
  <c r="E5" i="162"/>
  <c r="E28" i="162"/>
  <c r="B28" i="162"/>
  <c r="E29" i="162"/>
  <c r="B29" i="162"/>
  <c r="B23" i="162"/>
  <c r="G23" i="162"/>
  <c r="E23" i="162"/>
  <c r="H23" i="162"/>
  <c r="G38" i="162"/>
  <c r="H38" i="162"/>
  <c r="O355" i="163"/>
  <c r="E22" i="162"/>
  <c r="B22" i="162"/>
  <c r="G22" i="162"/>
  <c r="H22" i="162"/>
  <c r="G37" i="162"/>
  <c r="H37" i="162"/>
  <c r="O354" i="163"/>
  <c r="G29" i="162"/>
  <c r="H29" i="162"/>
  <c r="O353" i="163"/>
  <c r="O352" i="163"/>
  <c r="G44" i="162"/>
  <c r="H44" i="162"/>
  <c r="O351" i="163"/>
  <c r="E19" i="162"/>
  <c r="B19" i="162"/>
  <c r="E24" i="162"/>
  <c r="B24" i="162"/>
  <c r="B17" i="162"/>
  <c r="G17" i="162"/>
  <c r="E17" i="162"/>
  <c r="H17" i="162"/>
  <c r="E34" i="162"/>
  <c r="B34" i="162"/>
  <c r="E39" i="162"/>
  <c r="B39" i="162"/>
  <c r="B32" i="162"/>
  <c r="G32" i="162"/>
  <c r="E32" i="162"/>
  <c r="H32" i="162"/>
  <c r="O2" i="163"/>
  <c r="E20" i="162"/>
  <c r="B20" i="162"/>
  <c r="E25" i="162"/>
  <c r="B25" i="162"/>
  <c r="E27" i="162"/>
  <c r="B27" i="162"/>
  <c r="B18" i="162"/>
  <c r="G18" i="162"/>
  <c r="E18" i="162"/>
  <c r="H18" i="162"/>
  <c r="E35" i="162"/>
  <c r="B35" i="162"/>
  <c r="E40" i="162"/>
  <c r="B40" i="162"/>
  <c r="E42" i="162"/>
  <c r="B42" i="162"/>
  <c r="B33" i="162"/>
  <c r="G33" i="162"/>
  <c r="E33" i="162"/>
  <c r="H33" i="162"/>
  <c r="O3" i="163"/>
  <c r="O4" i="163"/>
  <c r="O5" i="163"/>
  <c r="O6" i="163"/>
  <c r="O7" i="163"/>
  <c r="O8" i="163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G24" i="162"/>
  <c r="H24" i="162"/>
  <c r="G39" i="162"/>
  <c r="H39" i="162"/>
  <c r="O42" i="163"/>
  <c r="G25" i="162"/>
  <c r="H25" i="162"/>
  <c r="G40" i="162"/>
  <c r="H40" i="162"/>
  <c r="O43" i="163"/>
  <c r="G26" i="162"/>
  <c r="H26" i="162"/>
  <c r="G41" i="162"/>
  <c r="H41" i="162"/>
  <c r="O44" i="163"/>
  <c r="O45" i="163"/>
  <c r="O46" i="163"/>
  <c r="O47" i="163"/>
  <c r="O48" i="163"/>
  <c r="O49" i="163"/>
  <c r="O50" i="163"/>
  <c r="G19" i="162"/>
  <c r="H19" i="162"/>
  <c r="O51" i="163"/>
  <c r="G20" i="162"/>
  <c r="H20" i="162"/>
  <c r="O52" i="163"/>
  <c r="G21" i="162"/>
  <c r="H21" i="162"/>
  <c r="O53" i="163"/>
  <c r="G34" i="162"/>
  <c r="H34" i="162"/>
  <c r="O54" i="163"/>
  <c r="G35" i="162"/>
  <c r="H35" i="162"/>
  <c r="O55" i="163"/>
  <c r="G36" i="162"/>
  <c r="E36" i="162"/>
  <c r="H36" i="162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G27" i="162"/>
  <c r="H27" i="162"/>
  <c r="G42" i="162"/>
  <c r="H42" i="162"/>
  <c r="O138" i="163"/>
  <c r="G28" i="162"/>
  <c r="H28" i="162"/>
  <c r="G43" i="162"/>
  <c r="H43" i="162"/>
  <c r="O139" i="163"/>
  <c r="O140" i="163"/>
  <c r="O141" i="163"/>
  <c r="O142" i="163"/>
  <c r="O143" i="163"/>
  <c r="O144" i="163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O215" i="163"/>
  <c r="O216" i="163"/>
  <c r="O217" i="163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O256" i="163"/>
  <c r="O257" i="163"/>
  <c r="O258" i="163"/>
  <c r="O259" i="163"/>
  <c r="O260" i="163"/>
  <c r="O261" i="163"/>
  <c r="O262" i="163"/>
  <c r="O263" i="163"/>
  <c r="O264" i="163"/>
  <c r="O265" i="163"/>
  <c r="O266" i="163"/>
  <c r="O267" i="163"/>
  <c r="O268" i="163"/>
  <c r="O269" i="163"/>
  <c r="O270" i="163"/>
  <c r="O271" i="163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O300" i="163"/>
  <c r="O301" i="163"/>
  <c r="O302" i="163"/>
  <c r="O303" i="163"/>
  <c r="O304" i="163"/>
  <c r="O305" i="163"/>
  <c r="O306" i="163"/>
  <c r="O307" i="163"/>
  <c r="O308" i="163"/>
  <c r="O309" i="163"/>
  <c r="O310" i="163"/>
  <c r="O311" i="163"/>
  <c r="O312" i="163"/>
  <c r="O313" i="163"/>
  <c r="O314" i="163"/>
  <c r="O315" i="163"/>
  <c r="O316" i="163"/>
  <c r="O317" i="163"/>
  <c r="O318" i="163"/>
  <c r="O319" i="163"/>
  <c r="O320" i="163"/>
  <c r="O321" i="163"/>
  <c r="O322" i="163"/>
  <c r="O323" i="163"/>
  <c r="O324" i="163"/>
  <c r="O325" i="163"/>
  <c r="O326" i="163"/>
  <c r="O327" i="163"/>
  <c r="O328" i="163"/>
  <c r="O329" i="163"/>
  <c r="O330" i="163"/>
  <c r="O331" i="163"/>
  <c r="O332" i="163"/>
  <c r="O333" i="163"/>
  <c r="O334" i="163"/>
  <c r="O335" i="163"/>
  <c r="O336" i="163"/>
  <c r="O337" i="163"/>
  <c r="O338" i="163"/>
  <c r="O339" i="163"/>
  <c r="O340" i="163"/>
  <c r="O341" i="163"/>
  <c r="O342" i="163"/>
  <c r="O343" i="163"/>
  <c r="O344" i="163"/>
  <c r="O345" i="163"/>
  <c r="O346" i="163"/>
  <c r="O347" i="163"/>
  <c r="O348" i="163"/>
  <c r="O349" i="163"/>
  <c r="O350" i="163"/>
  <c r="A2" i="106"/>
  <c r="P356" i="163"/>
  <c r="H57" i="162"/>
  <c r="H57" i="149"/>
  <c r="E20" i="149"/>
  <c r="B20" i="149"/>
  <c r="E25" i="149"/>
  <c r="B25" i="149"/>
  <c r="E27" i="149"/>
  <c r="B27" i="149"/>
  <c r="B18" i="149"/>
  <c r="E35" i="149"/>
  <c r="B35" i="149"/>
  <c r="E40" i="149"/>
  <c r="B40" i="149"/>
  <c r="E42" i="149"/>
  <c r="B42" i="149"/>
  <c r="B33" i="149"/>
  <c r="H56" i="149"/>
  <c r="E19" i="149"/>
  <c r="B19" i="149"/>
  <c r="E24" i="149"/>
  <c r="B24" i="149"/>
  <c r="B17" i="149"/>
  <c r="G17" i="149"/>
  <c r="E17" i="149"/>
  <c r="H17" i="149"/>
  <c r="E34" i="149"/>
  <c r="B34" i="149"/>
  <c r="E39" i="149"/>
  <c r="B39" i="149"/>
  <c r="B32" i="149"/>
  <c r="G32" i="149"/>
  <c r="E32" i="149"/>
  <c r="H32" i="149"/>
  <c r="O2" i="150"/>
  <c r="G18" i="149"/>
  <c r="E18" i="149"/>
  <c r="H18" i="149"/>
  <c r="G33" i="149"/>
  <c r="E33" i="149"/>
  <c r="H33" i="149"/>
  <c r="O3" i="150"/>
  <c r="O4" i="150"/>
  <c r="O5" i="150"/>
  <c r="O6" i="150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G39" i="149"/>
  <c r="H39" i="149"/>
  <c r="O42" i="150"/>
  <c r="G25" i="149"/>
  <c r="H25" i="149"/>
  <c r="G40" i="149"/>
  <c r="H40" i="149"/>
  <c r="O43" i="150"/>
  <c r="G26" i="149"/>
  <c r="H26" i="149"/>
  <c r="G41" i="149"/>
  <c r="H41" i="149"/>
  <c r="O44" i="150"/>
  <c r="O45" i="150"/>
  <c r="O46" i="150"/>
  <c r="O47" i="150"/>
  <c r="O48" i="150"/>
  <c r="O49" i="150"/>
  <c r="O50" i="150"/>
  <c r="G19" i="149"/>
  <c r="H19" i="149"/>
  <c r="O51" i="150"/>
  <c r="G20" i="149"/>
  <c r="H20" i="149"/>
  <c r="O52" i="150"/>
  <c r="G21" i="149"/>
  <c r="H21" i="149"/>
  <c r="O53" i="150"/>
  <c r="G34" i="149"/>
  <c r="H34" i="149"/>
  <c r="O54" i="150"/>
  <c r="G35" i="149"/>
  <c r="H35" i="149"/>
  <c r="O55" i="150"/>
  <c r="G36" i="149"/>
  <c r="E36" i="149"/>
  <c r="H36" i="149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G27" i="149"/>
  <c r="H27" i="149"/>
  <c r="G42" i="149"/>
  <c r="H42" i="149"/>
  <c r="O138" i="150"/>
  <c r="G28" i="149"/>
  <c r="H28" i="149"/>
  <c r="G43" i="149"/>
  <c r="H43" i="149"/>
  <c r="O139" i="150"/>
  <c r="O140" i="150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O256" i="150"/>
  <c r="O257" i="150"/>
  <c r="O258" i="150"/>
  <c r="O259" i="150"/>
  <c r="O260" i="150"/>
  <c r="O261" i="150"/>
  <c r="O262" i="150"/>
  <c r="O263" i="150"/>
  <c r="O264" i="150"/>
  <c r="O265" i="150"/>
  <c r="O266" i="150"/>
  <c r="O267" i="150"/>
  <c r="O268" i="150"/>
  <c r="O269" i="150"/>
  <c r="O270" i="150"/>
  <c r="O271" i="150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O310" i="150"/>
  <c r="O311" i="150"/>
  <c r="O312" i="150"/>
  <c r="O313" i="150"/>
  <c r="O314" i="150"/>
  <c r="O315" i="150"/>
  <c r="O316" i="150"/>
  <c r="O317" i="150"/>
  <c r="O318" i="150"/>
  <c r="O319" i="150"/>
  <c r="O320" i="150"/>
  <c r="O321" i="150"/>
  <c r="O322" i="150"/>
  <c r="O323" i="150"/>
  <c r="O324" i="150"/>
  <c r="O325" i="150"/>
  <c r="O326" i="150"/>
  <c r="O327" i="150"/>
  <c r="O328" i="150"/>
  <c r="O329" i="150"/>
  <c r="O330" i="150"/>
  <c r="O331" i="150"/>
  <c r="O332" i="150"/>
  <c r="O333" i="150"/>
  <c r="O334" i="150"/>
  <c r="O335" i="150"/>
  <c r="O336" i="150"/>
  <c r="O337" i="150"/>
  <c r="O338" i="150"/>
  <c r="O339" i="150"/>
  <c r="O340" i="150"/>
  <c r="O341" i="150"/>
  <c r="O342" i="150"/>
  <c r="O343" i="150"/>
  <c r="O344" i="150"/>
  <c r="O345" i="150"/>
  <c r="O346" i="150"/>
  <c r="O347" i="150"/>
  <c r="O348" i="150"/>
  <c r="O349" i="150"/>
  <c r="O350" i="150"/>
  <c r="F5" i="106"/>
  <c r="F7" i="106"/>
  <c r="A51" i="106"/>
  <c r="E5" i="106"/>
  <c r="E29" i="106"/>
  <c r="B29" i="106"/>
  <c r="G29" i="106"/>
  <c r="H29" i="106"/>
  <c r="E7" i="106"/>
  <c r="E22" i="106"/>
  <c r="E21" i="106"/>
  <c r="B21" i="106"/>
  <c r="E26" i="106"/>
  <c r="B26" i="106"/>
  <c r="E28" i="106"/>
  <c r="B28" i="106"/>
  <c r="B23" i="106"/>
  <c r="B22" i="106"/>
  <c r="G22" i="106"/>
  <c r="H22" i="106"/>
  <c r="G23" i="106"/>
  <c r="E23" i="106"/>
  <c r="H23" i="106"/>
  <c r="R3" i="106"/>
  <c r="P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38" i="150"/>
  <c r="P139" i="150"/>
  <c r="P140" i="150"/>
  <c r="P141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311" i="150"/>
  <c r="P312" i="150"/>
  <c r="P313" i="150"/>
  <c r="P314" i="150"/>
  <c r="P315" i="150"/>
  <c r="P316" i="150"/>
  <c r="P317" i="150"/>
  <c r="P318" i="150"/>
  <c r="P319" i="150"/>
  <c r="P320" i="150"/>
  <c r="P321" i="150"/>
  <c r="P322" i="150"/>
  <c r="P323" i="150"/>
  <c r="P324" i="150"/>
  <c r="P325" i="150"/>
  <c r="P326" i="150"/>
  <c r="P327" i="150"/>
  <c r="P328" i="150"/>
  <c r="P329" i="150"/>
  <c r="P330" i="150"/>
  <c r="P331" i="150"/>
  <c r="P332" i="150"/>
  <c r="P333" i="150"/>
  <c r="P334" i="150"/>
  <c r="P335" i="150"/>
  <c r="P336" i="150"/>
  <c r="P337" i="150"/>
  <c r="P338" i="150"/>
  <c r="P339" i="150"/>
  <c r="P340" i="150"/>
  <c r="P341" i="150"/>
  <c r="P342" i="150"/>
  <c r="P343" i="150"/>
  <c r="P344" i="150"/>
  <c r="P345" i="150"/>
  <c r="P346" i="150"/>
  <c r="P347" i="150"/>
  <c r="P348" i="150"/>
  <c r="P349" i="150"/>
  <c r="P350" i="150"/>
  <c r="P351" i="150"/>
  <c r="P352" i="150"/>
  <c r="P353" i="150"/>
  <c r="P354" i="150"/>
  <c r="P355" i="150"/>
  <c r="P356" i="150"/>
  <c r="F60" i="149"/>
  <c r="F57" i="149"/>
  <c r="G57" i="149"/>
  <c r="F56" i="149"/>
  <c r="G56" i="149"/>
  <c r="G26" i="153"/>
  <c r="H26" i="153"/>
  <c r="G41" i="153"/>
  <c r="H41" i="153"/>
  <c r="O44" i="154"/>
  <c r="O47" i="154"/>
  <c r="O50" i="154"/>
  <c r="G21" i="153"/>
  <c r="H21" i="153"/>
  <c r="O53" i="154"/>
  <c r="E19" i="153"/>
  <c r="B19" i="153"/>
  <c r="E24" i="153"/>
  <c r="B24" i="153"/>
  <c r="B17" i="153"/>
  <c r="G17" i="153"/>
  <c r="E17" i="153"/>
  <c r="H17" i="153"/>
  <c r="E34" i="153"/>
  <c r="B34" i="153"/>
  <c r="E39" i="153"/>
  <c r="B39" i="153"/>
  <c r="B32" i="153"/>
  <c r="G32" i="153"/>
  <c r="E32" i="153"/>
  <c r="H32" i="153"/>
  <c r="O2" i="154"/>
  <c r="E20" i="153"/>
  <c r="B20" i="153"/>
  <c r="E25" i="153"/>
  <c r="B25" i="153"/>
  <c r="E27" i="153"/>
  <c r="B27" i="153"/>
  <c r="B18" i="153"/>
  <c r="G18" i="153"/>
  <c r="E18" i="153"/>
  <c r="H18" i="153"/>
  <c r="E35" i="153"/>
  <c r="B35" i="153"/>
  <c r="E40" i="153"/>
  <c r="B40" i="153"/>
  <c r="E42" i="153"/>
  <c r="B42" i="153"/>
  <c r="B33" i="153"/>
  <c r="G33" i="153"/>
  <c r="E33" i="153"/>
  <c r="H33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G39" i="153"/>
  <c r="H39" i="153"/>
  <c r="O42" i="154"/>
  <c r="G25" i="153"/>
  <c r="H25" i="153"/>
  <c r="G40" i="153"/>
  <c r="H40" i="153"/>
  <c r="O43" i="154"/>
  <c r="O45" i="154"/>
  <c r="O46" i="154"/>
  <c r="O48" i="154"/>
  <c r="O49" i="154"/>
  <c r="G19" i="153"/>
  <c r="H19" i="153"/>
  <c r="O51" i="154"/>
  <c r="G20" i="153"/>
  <c r="H20" i="153"/>
  <c r="O52" i="154"/>
  <c r="G34" i="153"/>
  <c r="H34" i="153"/>
  <c r="O54" i="154"/>
  <c r="G35" i="153"/>
  <c r="H35" i="153"/>
  <c r="O55" i="154"/>
  <c r="G36" i="153"/>
  <c r="E36" i="153"/>
  <c r="H36" i="153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G42" i="153"/>
  <c r="H42" i="153"/>
  <c r="O138" i="154"/>
  <c r="G28" i="153"/>
  <c r="H28" i="153"/>
  <c r="G43" i="153"/>
  <c r="H43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F57" i="153"/>
  <c r="G57" i="153"/>
  <c r="F56" i="162"/>
  <c r="G56" i="162"/>
  <c r="P4" i="157"/>
  <c r="N4" i="157"/>
  <c r="M4" i="157"/>
  <c r="L4" i="157"/>
  <c r="K4" i="157"/>
  <c r="J4" i="157"/>
  <c r="I4" i="157"/>
  <c r="H4" i="157"/>
  <c r="G4" i="157"/>
  <c r="F4" i="157"/>
  <c r="E4" i="157"/>
  <c r="D4" i="157"/>
  <c r="C4" i="157"/>
  <c r="A356" i="163"/>
  <c r="A355" i="163"/>
  <c r="A354" i="163"/>
  <c r="A353" i="163"/>
  <c r="A352" i="163"/>
  <c r="A351" i="163"/>
  <c r="A356" i="154"/>
  <c r="A355" i="154"/>
  <c r="A354" i="154"/>
  <c r="A353" i="154"/>
  <c r="A352" i="154"/>
  <c r="A351" i="154"/>
  <c r="A356" i="159"/>
  <c r="A355" i="159"/>
  <c r="A354" i="159"/>
  <c r="A353" i="159"/>
  <c r="A352" i="159"/>
  <c r="A351" i="159"/>
  <c r="A356" i="150"/>
  <c r="A355" i="150"/>
  <c r="A354" i="150"/>
  <c r="A353" i="150"/>
  <c r="A352" i="150"/>
  <c r="A351" i="150"/>
  <c r="A356" i="148"/>
  <c r="A355" i="148"/>
  <c r="A354" i="148"/>
  <c r="A353" i="148"/>
  <c r="A352" i="148"/>
  <c r="A351" i="148"/>
  <c r="F351" i="163"/>
  <c r="F352" i="163"/>
  <c r="F353" i="163"/>
  <c r="F354" i="163"/>
  <c r="F355" i="163"/>
  <c r="N356" i="163"/>
  <c r="M356" i="163"/>
  <c r="L356" i="163"/>
  <c r="K356" i="163"/>
  <c r="H356" i="163"/>
  <c r="P355" i="163"/>
  <c r="N355" i="163"/>
  <c r="M355" i="163"/>
  <c r="L355" i="163"/>
  <c r="K355" i="163"/>
  <c r="H355" i="163"/>
  <c r="P354" i="163"/>
  <c r="N354" i="163"/>
  <c r="M354" i="163"/>
  <c r="L354" i="163"/>
  <c r="K354" i="163"/>
  <c r="H354" i="163"/>
  <c r="P353" i="163"/>
  <c r="N353" i="163"/>
  <c r="M353" i="163"/>
  <c r="L353" i="163"/>
  <c r="K353" i="163"/>
  <c r="H353" i="163"/>
  <c r="P352" i="163"/>
  <c r="N352" i="163"/>
  <c r="M352" i="163"/>
  <c r="L352" i="163"/>
  <c r="K352" i="163"/>
  <c r="H352" i="163"/>
  <c r="P351" i="163"/>
  <c r="N351" i="163"/>
  <c r="M351" i="163"/>
  <c r="L351" i="163"/>
  <c r="K351" i="163"/>
  <c r="H351" i="163"/>
  <c r="F351" i="154"/>
  <c r="F352" i="154"/>
  <c r="F353" i="154"/>
  <c r="F354" i="154"/>
  <c r="F355" i="154"/>
  <c r="P356" i="154"/>
  <c r="N356" i="154"/>
  <c r="M356" i="154"/>
  <c r="L356" i="154"/>
  <c r="K356" i="154"/>
  <c r="H356" i="154"/>
  <c r="P355" i="154"/>
  <c r="N355" i="154"/>
  <c r="M355" i="154"/>
  <c r="L355" i="154"/>
  <c r="K355" i="154"/>
  <c r="H355" i="154"/>
  <c r="P354" i="154"/>
  <c r="N354" i="154"/>
  <c r="M354" i="154"/>
  <c r="L354" i="154"/>
  <c r="K354" i="154"/>
  <c r="H354" i="154"/>
  <c r="P353" i="154"/>
  <c r="N353" i="154"/>
  <c r="M353" i="154"/>
  <c r="L353" i="154"/>
  <c r="K353" i="154"/>
  <c r="H353" i="154"/>
  <c r="P352" i="154"/>
  <c r="N352" i="154"/>
  <c r="M352" i="154"/>
  <c r="L352" i="154"/>
  <c r="K352" i="154"/>
  <c r="H352" i="154"/>
  <c r="P351" i="154"/>
  <c r="N351" i="154"/>
  <c r="M351" i="154"/>
  <c r="L351" i="154"/>
  <c r="K351" i="154"/>
  <c r="H351" i="154"/>
  <c r="F351" i="159"/>
  <c r="F352" i="159"/>
  <c r="F353" i="159"/>
  <c r="F354" i="159"/>
  <c r="F355" i="159"/>
  <c r="E19" i="158"/>
  <c r="B19" i="158"/>
  <c r="E24" i="158"/>
  <c r="B24" i="158"/>
  <c r="B17" i="158"/>
  <c r="G17" i="158"/>
  <c r="E17" i="158"/>
  <c r="H17" i="158"/>
  <c r="E34" i="158"/>
  <c r="B34" i="158"/>
  <c r="E39" i="158"/>
  <c r="B39" i="158"/>
  <c r="B32" i="158"/>
  <c r="G32" i="158"/>
  <c r="E32" i="158"/>
  <c r="H32" i="158"/>
  <c r="O2" i="159"/>
  <c r="E20" i="158"/>
  <c r="B20" i="158"/>
  <c r="E25" i="158"/>
  <c r="B25" i="158"/>
  <c r="E27" i="158"/>
  <c r="B27" i="158"/>
  <c r="B18" i="158"/>
  <c r="G18" i="158"/>
  <c r="E18" i="158"/>
  <c r="H18" i="158"/>
  <c r="E35" i="158"/>
  <c r="B35" i="158"/>
  <c r="E40" i="158"/>
  <c r="B40" i="158"/>
  <c r="E42" i="158"/>
  <c r="B42" i="158"/>
  <c r="B33" i="158"/>
  <c r="G33" i="158"/>
  <c r="E33" i="158"/>
  <c r="H33" i="158"/>
  <c r="O3" i="159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24" i="158"/>
  <c r="H24" i="158"/>
  <c r="G39" i="158"/>
  <c r="H39" i="158"/>
  <c r="O42" i="159"/>
  <c r="G25" i="158"/>
  <c r="H25" i="158"/>
  <c r="G40" i="158"/>
  <c r="H40" i="158"/>
  <c r="O43" i="159"/>
  <c r="G26" i="158"/>
  <c r="H26" i="158"/>
  <c r="G41" i="158"/>
  <c r="H41" i="158"/>
  <c r="O44" i="159"/>
  <c r="O45" i="159"/>
  <c r="O46" i="159"/>
  <c r="O47" i="159"/>
  <c r="O48" i="159"/>
  <c r="O49" i="159"/>
  <c r="O50" i="159"/>
  <c r="G19" i="158"/>
  <c r="H19" i="158"/>
  <c r="O51" i="159"/>
  <c r="G20" i="158"/>
  <c r="H20" i="158"/>
  <c r="O52" i="159"/>
  <c r="G21" i="158"/>
  <c r="H21" i="158"/>
  <c r="O53" i="159"/>
  <c r="G34" i="158"/>
  <c r="H34" i="158"/>
  <c r="O54" i="159"/>
  <c r="G35" i="158"/>
  <c r="H35" i="158"/>
  <c r="O55" i="159"/>
  <c r="G36" i="158"/>
  <c r="E36" i="158"/>
  <c r="H36" i="158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G27" i="158"/>
  <c r="H27" i="158"/>
  <c r="G42" i="158"/>
  <c r="H42" i="158"/>
  <c r="O138" i="159"/>
  <c r="G28" i="158"/>
  <c r="H28" i="158"/>
  <c r="G43" i="158"/>
  <c r="H43" i="158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O215" i="159"/>
  <c r="O216" i="159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O256" i="159"/>
  <c r="O257" i="159"/>
  <c r="O258" i="159"/>
  <c r="O259" i="159"/>
  <c r="O260" i="159"/>
  <c r="O261" i="159"/>
  <c r="O262" i="159"/>
  <c r="O263" i="159"/>
  <c r="O264" i="159"/>
  <c r="O265" i="159"/>
  <c r="O266" i="159"/>
  <c r="O267" i="159"/>
  <c r="O268" i="159"/>
  <c r="O269" i="159"/>
  <c r="O270" i="159"/>
  <c r="O271" i="159"/>
  <c r="O272" i="159"/>
  <c r="O273" i="159"/>
  <c r="O274" i="159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O310" i="159"/>
  <c r="O311" i="159"/>
  <c r="O312" i="159"/>
  <c r="O313" i="159"/>
  <c r="O314" i="159"/>
  <c r="O315" i="159"/>
  <c r="O316" i="159"/>
  <c r="O317" i="159"/>
  <c r="O318" i="159"/>
  <c r="O319" i="159"/>
  <c r="O320" i="159"/>
  <c r="O321" i="159"/>
  <c r="O322" i="159"/>
  <c r="O323" i="159"/>
  <c r="O324" i="159"/>
  <c r="O325" i="159"/>
  <c r="O326" i="159"/>
  <c r="O327" i="159"/>
  <c r="O328" i="159"/>
  <c r="O329" i="159"/>
  <c r="O330" i="159"/>
  <c r="O331" i="159"/>
  <c r="O332" i="159"/>
  <c r="O333" i="159"/>
  <c r="O334" i="159"/>
  <c r="O335" i="159"/>
  <c r="O336" i="159"/>
  <c r="O337" i="159"/>
  <c r="O338" i="159"/>
  <c r="O339" i="159"/>
  <c r="O340" i="159"/>
  <c r="O341" i="159"/>
  <c r="O342" i="159"/>
  <c r="O343" i="159"/>
  <c r="O344" i="159"/>
  <c r="O345" i="159"/>
  <c r="O346" i="159"/>
  <c r="O347" i="159"/>
  <c r="O348" i="159"/>
  <c r="O349" i="159"/>
  <c r="O350" i="159"/>
  <c r="P356" i="159"/>
  <c r="N356" i="159"/>
  <c r="M356" i="159"/>
  <c r="L356" i="159"/>
  <c r="K356" i="159"/>
  <c r="H356" i="159"/>
  <c r="P355" i="159"/>
  <c r="N355" i="159"/>
  <c r="M355" i="159"/>
  <c r="L355" i="159"/>
  <c r="K355" i="159"/>
  <c r="H355" i="159"/>
  <c r="P354" i="159"/>
  <c r="N354" i="159"/>
  <c r="M354" i="159"/>
  <c r="L354" i="159"/>
  <c r="K354" i="159"/>
  <c r="H354" i="159"/>
  <c r="P353" i="159"/>
  <c r="N353" i="159"/>
  <c r="M353" i="159"/>
  <c r="L353" i="159"/>
  <c r="K353" i="159"/>
  <c r="H353" i="159"/>
  <c r="P352" i="159"/>
  <c r="N352" i="159"/>
  <c r="M352" i="159"/>
  <c r="L352" i="159"/>
  <c r="K352" i="159"/>
  <c r="H352" i="159"/>
  <c r="P351" i="159"/>
  <c r="N351" i="159"/>
  <c r="M351" i="159"/>
  <c r="L351" i="159"/>
  <c r="K351" i="159"/>
  <c r="H351" i="159"/>
  <c r="F351" i="150"/>
  <c r="F352" i="150"/>
  <c r="F353" i="150"/>
  <c r="F354" i="150"/>
  <c r="F355" i="150"/>
  <c r="N356" i="150"/>
  <c r="M356" i="150"/>
  <c r="L356" i="150"/>
  <c r="K356" i="150"/>
  <c r="H356" i="150"/>
  <c r="N355" i="150"/>
  <c r="M355" i="150"/>
  <c r="L355" i="150"/>
  <c r="K355" i="150"/>
  <c r="H355" i="150"/>
  <c r="N354" i="150"/>
  <c r="M354" i="150"/>
  <c r="L354" i="150"/>
  <c r="K354" i="150"/>
  <c r="H354" i="150"/>
  <c r="N353" i="150"/>
  <c r="M353" i="150"/>
  <c r="L353" i="150"/>
  <c r="K353" i="150"/>
  <c r="H353" i="150"/>
  <c r="N352" i="150"/>
  <c r="M352" i="150"/>
  <c r="L352" i="150"/>
  <c r="K352" i="150"/>
  <c r="H352" i="150"/>
  <c r="N351" i="150"/>
  <c r="M351" i="150"/>
  <c r="L351" i="150"/>
  <c r="K351" i="150"/>
  <c r="H351" i="150"/>
  <c r="E19" i="106"/>
  <c r="E27" i="147"/>
  <c r="B27" i="147"/>
  <c r="F351" i="148"/>
  <c r="F352" i="148"/>
  <c r="F353" i="148"/>
  <c r="F354" i="148"/>
  <c r="F355" i="148"/>
  <c r="E19" i="147"/>
  <c r="B19" i="147"/>
  <c r="E24" i="147"/>
  <c r="B24" i="147"/>
  <c r="B17" i="147"/>
  <c r="G17" i="147"/>
  <c r="E17" i="147"/>
  <c r="H17" i="147"/>
  <c r="E34" i="147"/>
  <c r="B34" i="147"/>
  <c r="E39" i="147"/>
  <c r="B39" i="147"/>
  <c r="B32" i="147"/>
  <c r="G32" i="147"/>
  <c r="E32" i="147"/>
  <c r="H32" i="147"/>
  <c r="O2" i="148"/>
  <c r="E20" i="147"/>
  <c r="B20" i="147"/>
  <c r="E25" i="147"/>
  <c r="B25" i="147"/>
  <c r="B18" i="147"/>
  <c r="G18" i="147"/>
  <c r="E18" i="147"/>
  <c r="H18" i="147"/>
  <c r="E35" i="147"/>
  <c r="B35" i="147"/>
  <c r="E40" i="147"/>
  <c r="B40" i="147"/>
  <c r="E42" i="147"/>
  <c r="B42" i="147"/>
  <c r="B33" i="147"/>
  <c r="G33" i="147"/>
  <c r="E33" i="147"/>
  <c r="H33" i="147"/>
  <c r="O3" i="148"/>
  <c r="O4" i="148"/>
  <c r="O5" i="148"/>
  <c r="O6" i="148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G39" i="147"/>
  <c r="H39" i="147"/>
  <c r="O42" i="148"/>
  <c r="G25" i="147"/>
  <c r="H25" i="147"/>
  <c r="G40" i="147"/>
  <c r="H40" i="147"/>
  <c r="O43" i="148"/>
  <c r="G26" i="147"/>
  <c r="H26" i="147"/>
  <c r="G41" i="147"/>
  <c r="H41" i="147"/>
  <c r="O44" i="148"/>
  <c r="O45" i="148"/>
  <c r="O46" i="148"/>
  <c r="O47" i="148"/>
  <c r="O48" i="148"/>
  <c r="O49" i="148"/>
  <c r="O50" i="148"/>
  <c r="G19" i="147"/>
  <c r="H19" i="147"/>
  <c r="O51" i="148"/>
  <c r="G20" i="147"/>
  <c r="H20" i="147"/>
  <c r="O52" i="148"/>
  <c r="G21" i="147"/>
  <c r="H21" i="147"/>
  <c r="O53" i="148"/>
  <c r="G34" i="147"/>
  <c r="H34" i="147"/>
  <c r="O54" i="148"/>
  <c r="G35" i="147"/>
  <c r="H35" i="147"/>
  <c r="O55" i="148"/>
  <c r="G36" i="147"/>
  <c r="E36" i="147"/>
  <c r="H36" i="147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G27" i="147"/>
  <c r="H27" i="147"/>
  <c r="G42" i="147"/>
  <c r="H42" i="147"/>
  <c r="O138" i="148"/>
  <c r="G28" i="147"/>
  <c r="H28" i="147"/>
  <c r="G43" i="147"/>
  <c r="H43" i="147"/>
  <c r="O139" i="148"/>
  <c r="O140" i="148"/>
  <c r="O141" i="148"/>
  <c r="O142" i="148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O256" i="148"/>
  <c r="O257" i="148"/>
  <c r="O258" i="148"/>
  <c r="O259" i="148"/>
  <c r="O260" i="148"/>
  <c r="O261" i="148"/>
  <c r="O262" i="148"/>
  <c r="O263" i="148"/>
  <c r="O264" i="148"/>
  <c r="O265" i="148"/>
  <c r="O266" i="148"/>
  <c r="O267" i="148"/>
  <c r="O268" i="148"/>
  <c r="O269" i="148"/>
  <c r="O270" i="148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6" i="148"/>
  <c r="O307" i="148"/>
  <c r="O308" i="148"/>
  <c r="O309" i="148"/>
  <c r="O310" i="148"/>
  <c r="O311" i="148"/>
  <c r="O312" i="148"/>
  <c r="O313" i="148"/>
  <c r="O314" i="148"/>
  <c r="O315" i="148"/>
  <c r="O316" i="148"/>
  <c r="O317" i="148"/>
  <c r="O318" i="148"/>
  <c r="O319" i="148"/>
  <c r="O320" i="148"/>
  <c r="O321" i="148"/>
  <c r="O322" i="148"/>
  <c r="O323" i="148"/>
  <c r="O324" i="148"/>
  <c r="O325" i="148"/>
  <c r="O326" i="148"/>
  <c r="O327" i="148"/>
  <c r="O328" i="148"/>
  <c r="O329" i="148"/>
  <c r="O330" i="148"/>
  <c r="O331" i="148"/>
  <c r="O332" i="148"/>
  <c r="O333" i="148"/>
  <c r="O334" i="148"/>
  <c r="O335" i="148"/>
  <c r="O336" i="148"/>
  <c r="O337" i="148"/>
  <c r="O338" i="148"/>
  <c r="O339" i="148"/>
  <c r="O340" i="148"/>
  <c r="O341" i="148"/>
  <c r="O342" i="148"/>
  <c r="O343" i="148"/>
  <c r="O344" i="148"/>
  <c r="O345" i="148"/>
  <c r="O346" i="148"/>
  <c r="O347" i="148"/>
  <c r="O348" i="148"/>
  <c r="O349" i="148"/>
  <c r="O350" i="148"/>
  <c r="P356" i="148"/>
  <c r="N356" i="148"/>
  <c r="M356" i="148"/>
  <c r="L356" i="148"/>
  <c r="K356" i="148"/>
  <c r="H356" i="148"/>
  <c r="P355" i="148"/>
  <c r="N355" i="148"/>
  <c r="M355" i="148"/>
  <c r="L355" i="148"/>
  <c r="K355" i="148"/>
  <c r="H355" i="148"/>
  <c r="P354" i="148"/>
  <c r="N354" i="148"/>
  <c r="M354" i="148"/>
  <c r="L354" i="148"/>
  <c r="K354" i="148"/>
  <c r="H354" i="148"/>
  <c r="P353" i="148"/>
  <c r="N353" i="148"/>
  <c r="M353" i="148"/>
  <c r="L353" i="148"/>
  <c r="K353" i="148"/>
  <c r="H353" i="148"/>
  <c r="P352" i="148"/>
  <c r="N352" i="148"/>
  <c r="M352" i="148"/>
  <c r="L352" i="148"/>
  <c r="K352" i="148"/>
  <c r="H352" i="148"/>
  <c r="P351" i="148"/>
  <c r="N351" i="148"/>
  <c r="M351" i="148"/>
  <c r="L351" i="148"/>
  <c r="K351" i="148"/>
  <c r="H351" i="148"/>
  <c r="G38" i="106"/>
  <c r="H38" i="106"/>
  <c r="O355" i="82"/>
  <c r="B19" i="106"/>
  <c r="E24" i="106"/>
  <c r="B24" i="106"/>
  <c r="B17" i="106"/>
  <c r="G17" i="106"/>
  <c r="E17" i="106"/>
  <c r="H17" i="106"/>
  <c r="E39" i="106"/>
  <c r="B39" i="106"/>
  <c r="B32" i="106"/>
  <c r="G32" i="106"/>
  <c r="E32" i="106"/>
  <c r="H32" i="106"/>
  <c r="O2" i="82"/>
  <c r="E20" i="106"/>
  <c r="B20" i="106"/>
  <c r="E25" i="106"/>
  <c r="B25" i="106"/>
  <c r="E27" i="106"/>
  <c r="B27" i="106"/>
  <c r="B18" i="106"/>
  <c r="G18" i="106"/>
  <c r="E18" i="106"/>
  <c r="H18" i="106"/>
  <c r="E35" i="106"/>
  <c r="B35" i="106"/>
  <c r="E40" i="106"/>
  <c r="B40" i="106"/>
  <c r="E42" i="106"/>
  <c r="B42" i="106"/>
  <c r="B33" i="106"/>
  <c r="G33" i="106"/>
  <c r="E33" i="106"/>
  <c r="H33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G39" i="106"/>
  <c r="H39" i="106"/>
  <c r="O42" i="82"/>
  <c r="G25" i="106"/>
  <c r="H25" i="106"/>
  <c r="G40" i="106"/>
  <c r="H40" i="106"/>
  <c r="O43" i="82"/>
  <c r="G26" i="106"/>
  <c r="H26" i="106"/>
  <c r="G41" i="106"/>
  <c r="H41" i="106"/>
  <c r="O44" i="82"/>
  <c r="O45" i="82"/>
  <c r="O46" i="82"/>
  <c r="O47" i="82"/>
  <c r="O48" i="82"/>
  <c r="O49" i="82"/>
  <c r="O50" i="82"/>
  <c r="G19" i="106"/>
  <c r="H19" i="106"/>
  <c r="G34" i="106"/>
  <c r="H34" i="106"/>
  <c r="O51" i="82"/>
  <c r="G20" i="106"/>
  <c r="H20" i="106"/>
  <c r="G35" i="106"/>
  <c r="H35" i="106"/>
  <c r="O52" i="82"/>
  <c r="G21" i="106"/>
  <c r="H21" i="106"/>
  <c r="G36" i="106"/>
  <c r="E36" i="106"/>
  <c r="H36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G42" i="106"/>
  <c r="H42" i="106"/>
  <c r="O138" i="82"/>
  <c r="G28" i="106"/>
  <c r="H28" i="106"/>
  <c r="G43" i="106"/>
  <c r="H43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G37" i="106"/>
  <c r="H37" i="106"/>
  <c r="O262" i="82"/>
  <c r="O263" i="82"/>
  <c r="O264" i="82"/>
  <c r="O265" i="82"/>
  <c r="G44" i="106"/>
  <c r="H44" i="106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O331" i="82"/>
  <c r="O332" i="82"/>
  <c r="O333" i="82"/>
  <c r="O334" i="82"/>
  <c r="O335" i="82"/>
  <c r="O336" i="82"/>
  <c r="O337" i="82"/>
  <c r="O338" i="82"/>
  <c r="O339" i="82"/>
  <c r="O340" i="82"/>
  <c r="O341" i="82"/>
  <c r="O342" i="82"/>
  <c r="O343" i="82"/>
  <c r="O344" i="82"/>
  <c r="O345" i="82"/>
  <c r="O346" i="82"/>
  <c r="O347" i="82"/>
  <c r="O348" i="82"/>
  <c r="O349" i="82"/>
  <c r="O350" i="82"/>
  <c r="O351" i="82"/>
  <c r="O352" i="82"/>
  <c r="O353" i="82"/>
  <c r="O354" i="82"/>
  <c r="G46" i="106"/>
  <c r="E46" i="106"/>
  <c r="H46" i="106"/>
  <c r="O356" i="82"/>
  <c r="P355" i="82"/>
  <c r="N355" i="82"/>
  <c r="M355" i="82"/>
  <c r="L355" i="82"/>
  <c r="K355" i="82"/>
  <c r="H355" i="82"/>
  <c r="P354" i="82"/>
  <c r="N354" i="82"/>
  <c r="M354" i="82"/>
  <c r="L354" i="82"/>
  <c r="K354" i="82"/>
  <c r="H354" i="82"/>
  <c r="P353" i="82"/>
  <c r="N353" i="82"/>
  <c r="M353" i="82"/>
  <c r="L353" i="82"/>
  <c r="K353" i="82"/>
  <c r="H353" i="82"/>
  <c r="P352" i="82"/>
  <c r="N352" i="82"/>
  <c r="M352" i="82"/>
  <c r="L352" i="82"/>
  <c r="K352" i="82"/>
  <c r="H352" i="82"/>
  <c r="P351" i="82"/>
  <c r="N351" i="82"/>
  <c r="M351" i="82"/>
  <c r="L351" i="82"/>
  <c r="K351" i="82"/>
  <c r="H351" i="82"/>
  <c r="A355" i="82"/>
  <c r="A354" i="82"/>
  <c r="A353" i="82"/>
  <c r="A352" i="82"/>
  <c r="A351" i="82"/>
  <c r="P356" i="82"/>
  <c r="N356" i="82"/>
  <c r="M356" i="82"/>
  <c r="L356" i="82"/>
  <c r="K356" i="82"/>
  <c r="H356" i="82"/>
  <c r="A356" i="82"/>
  <c r="B11" i="162"/>
  <c r="F2" i="163"/>
  <c r="F3" i="163"/>
  <c r="F4" i="163"/>
  <c r="F5" i="163"/>
  <c r="F6" i="163"/>
  <c r="F7" i="163"/>
  <c r="F8" i="163"/>
  <c r="F9" i="163"/>
  <c r="F10" i="163"/>
  <c r="F11" i="163"/>
  <c r="F12" i="163"/>
  <c r="F13" i="163"/>
  <c r="F14" i="163"/>
  <c r="F15" i="163"/>
  <c r="F16" i="163"/>
  <c r="F17" i="163"/>
  <c r="F18" i="163"/>
  <c r="F19" i="163"/>
  <c r="F20" i="163"/>
  <c r="F21" i="163"/>
  <c r="F22" i="163"/>
  <c r="F23" i="163"/>
  <c r="F24" i="163"/>
  <c r="F25" i="163"/>
  <c r="F26" i="163"/>
  <c r="F27" i="163"/>
  <c r="F28" i="163"/>
  <c r="F29" i="163"/>
  <c r="F30" i="163"/>
  <c r="F31" i="163"/>
  <c r="F32" i="163"/>
  <c r="F33" i="163"/>
  <c r="F34" i="163"/>
  <c r="F35" i="163"/>
  <c r="F36" i="163"/>
  <c r="F37" i="163"/>
  <c r="F38" i="163"/>
  <c r="F39" i="163"/>
  <c r="F40" i="163"/>
  <c r="F41" i="163"/>
  <c r="F42" i="163"/>
  <c r="F43" i="163"/>
  <c r="F44" i="163"/>
  <c r="F45" i="163"/>
  <c r="F46" i="163"/>
  <c r="F47" i="163"/>
  <c r="F48" i="163"/>
  <c r="F49" i="163"/>
  <c r="F50" i="163"/>
  <c r="F51" i="163"/>
  <c r="F52" i="163"/>
  <c r="F53" i="163"/>
  <c r="F54" i="163"/>
  <c r="F55" i="163"/>
  <c r="F56" i="163"/>
  <c r="F57" i="163"/>
  <c r="F58" i="163"/>
  <c r="F59" i="163"/>
  <c r="F60" i="163"/>
  <c r="F61" i="163"/>
  <c r="F62" i="163"/>
  <c r="F63" i="163"/>
  <c r="F64" i="163"/>
  <c r="F65" i="163"/>
  <c r="F66" i="163"/>
  <c r="F67" i="163"/>
  <c r="F68" i="163"/>
  <c r="F69" i="163"/>
  <c r="F70" i="163"/>
  <c r="F71" i="163"/>
  <c r="F72" i="163"/>
  <c r="F73" i="163"/>
  <c r="F74" i="163"/>
  <c r="F75" i="163"/>
  <c r="F76" i="163"/>
  <c r="F77" i="163"/>
  <c r="F78" i="163"/>
  <c r="F79" i="163"/>
  <c r="F80" i="163"/>
  <c r="F81" i="163"/>
  <c r="F82" i="163"/>
  <c r="F83" i="163"/>
  <c r="F84" i="163"/>
  <c r="F85" i="163"/>
  <c r="F86" i="163"/>
  <c r="F87" i="163"/>
  <c r="F88" i="163"/>
  <c r="F89" i="163"/>
  <c r="F90" i="163"/>
  <c r="F91" i="163"/>
  <c r="F92" i="163"/>
  <c r="F93" i="163"/>
  <c r="F94" i="163"/>
  <c r="F95" i="163"/>
  <c r="F96" i="163"/>
  <c r="F97" i="163"/>
  <c r="F98" i="163"/>
  <c r="F99" i="163"/>
  <c r="F100" i="163"/>
  <c r="F101" i="163"/>
  <c r="F102" i="163"/>
  <c r="F103" i="163"/>
  <c r="F104" i="163"/>
  <c r="F105" i="163"/>
  <c r="F106" i="163"/>
  <c r="F107" i="163"/>
  <c r="F108" i="163"/>
  <c r="F109" i="163"/>
  <c r="F110" i="163"/>
  <c r="F111" i="163"/>
  <c r="F112" i="163"/>
  <c r="F113" i="163"/>
  <c r="F114" i="163"/>
  <c r="F115" i="163"/>
  <c r="F116" i="163"/>
  <c r="F117" i="163"/>
  <c r="F118" i="163"/>
  <c r="F119" i="163"/>
  <c r="F120" i="163"/>
  <c r="F121" i="163"/>
  <c r="F122" i="163"/>
  <c r="F123" i="163"/>
  <c r="F124" i="163"/>
  <c r="F125" i="163"/>
  <c r="F126" i="163"/>
  <c r="F127" i="163"/>
  <c r="F128" i="163"/>
  <c r="F129" i="163"/>
  <c r="F130" i="163"/>
  <c r="F131" i="163"/>
  <c r="F132" i="163"/>
  <c r="F133" i="163"/>
  <c r="F134" i="163"/>
  <c r="F135" i="163"/>
  <c r="F136" i="163"/>
  <c r="F137" i="163"/>
  <c r="F138" i="163"/>
  <c r="F139" i="163"/>
  <c r="F140" i="163"/>
  <c r="F141" i="163"/>
  <c r="F142" i="163"/>
  <c r="F143" i="163"/>
  <c r="F144" i="163"/>
  <c r="F145" i="163"/>
  <c r="F146" i="163"/>
  <c r="F147" i="163"/>
  <c r="F148" i="163"/>
  <c r="F149" i="163"/>
  <c r="F150" i="163"/>
  <c r="F151" i="163"/>
  <c r="F152" i="163"/>
  <c r="F153" i="163"/>
  <c r="F154" i="163"/>
  <c r="F155" i="163"/>
  <c r="F156" i="163"/>
  <c r="F157" i="163"/>
  <c r="F158" i="163"/>
  <c r="F159" i="163"/>
  <c r="F160" i="163"/>
  <c r="F161" i="163"/>
  <c r="F162" i="163"/>
  <c r="F163" i="163"/>
  <c r="F164" i="163"/>
  <c r="F165" i="163"/>
  <c r="F166" i="163"/>
  <c r="F167" i="163"/>
  <c r="F168" i="163"/>
  <c r="F169" i="163"/>
  <c r="F170" i="163"/>
  <c r="F171" i="163"/>
  <c r="F172" i="163"/>
  <c r="F173" i="163"/>
  <c r="F174" i="163"/>
  <c r="F175" i="163"/>
  <c r="F176" i="163"/>
  <c r="F177" i="163"/>
  <c r="F178" i="163"/>
  <c r="F179" i="163"/>
  <c r="F180" i="163"/>
  <c r="F181" i="163"/>
  <c r="F182" i="163"/>
  <c r="F183" i="163"/>
  <c r="F184" i="163"/>
  <c r="F185" i="163"/>
  <c r="F186" i="163"/>
  <c r="F187" i="163"/>
  <c r="F188" i="163"/>
  <c r="F189" i="163"/>
  <c r="F190" i="163"/>
  <c r="F191" i="163"/>
  <c r="F192" i="163"/>
  <c r="F193" i="163"/>
  <c r="F194" i="163"/>
  <c r="F195" i="163"/>
  <c r="F196" i="163"/>
  <c r="F197" i="163"/>
  <c r="F198" i="163"/>
  <c r="F199" i="163"/>
  <c r="F200" i="163"/>
  <c r="F201" i="163"/>
  <c r="F202" i="163"/>
  <c r="F203" i="163"/>
  <c r="F204" i="163"/>
  <c r="F205" i="163"/>
  <c r="F206" i="163"/>
  <c r="F207" i="163"/>
  <c r="F208" i="163"/>
  <c r="F209" i="163"/>
  <c r="F210" i="163"/>
  <c r="F211" i="163"/>
  <c r="F212" i="163"/>
  <c r="F213" i="163"/>
  <c r="F214" i="163"/>
  <c r="F215" i="163"/>
  <c r="F216" i="163"/>
  <c r="F217" i="163"/>
  <c r="F218" i="163"/>
  <c r="F219" i="163"/>
  <c r="F220" i="163"/>
  <c r="F221" i="163"/>
  <c r="F222" i="163"/>
  <c r="F223" i="163"/>
  <c r="F224" i="163"/>
  <c r="F225" i="163"/>
  <c r="F226" i="163"/>
  <c r="F227" i="163"/>
  <c r="F228" i="163"/>
  <c r="F229" i="163"/>
  <c r="F230" i="163"/>
  <c r="F231" i="163"/>
  <c r="F232" i="163"/>
  <c r="F233" i="163"/>
  <c r="F234" i="163"/>
  <c r="F235" i="163"/>
  <c r="F236" i="163"/>
  <c r="F237" i="163"/>
  <c r="F238" i="163"/>
  <c r="F239" i="163"/>
  <c r="F240" i="163"/>
  <c r="F241" i="163"/>
  <c r="F242" i="163"/>
  <c r="F243" i="163"/>
  <c r="F244" i="163"/>
  <c r="F245" i="163"/>
  <c r="F246" i="163"/>
  <c r="F247" i="163"/>
  <c r="F248" i="163"/>
  <c r="F249" i="163"/>
  <c r="F250" i="163"/>
  <c r="F251" i="163"/>
  <c r="F252" i="163"/>
  <c r="F253" i="163"/>
  <c r="F254" i="163"/>
  <c r="F255" i="163"/>
  <c r="F256" i="163"/>
  <c r="F257" i="163"/>
  <c r="F258" i="163"/>
  <c r="F259" i="163"/>
  <c r="F260" i="163"/>
  <c r="F261" i="163"/>
  <c r="F262" i="163"/>
  <c r="F263" i="163"/>
  <c r="F264" i="163"/>
  <c r="F265" i="163"/>
  <c r="F266" i="163"/>
  <c r="F267" i="163"/>
  <c r="F268" i="163"/>
  <c r="F269" i="163"/>
  <c r="F270" i="163"/>
  <c r="F271" i="163"/>
  <c r="F272" i="163"/>
  <c r="F273" i="163"/>
  <c r="F274" i="163"/>
  <c r="F275" i="163"/>
  <c r="F276" i="163"/>
  <c r="F277" i="163"/>
  <c r="F278" i="163"/>
  <c r="F279" i="163"/>
  <c r="F280" i="163"/>
  <c r="F281" i="163"/>
  <c r="F282" i="163"/>
  <c r="F283" i="163"/>
  <c r="F284" i="163"/>
  <c r="F285" i="163"/>
  <c r="F286" i="163"/>
  <c r="F287" i="163"/>
  <c r="F288" i="163"/>
  <c r="F289" i="163"/>
  <c r="F290" i="163"/>
  <c r="F291" i="163"/>
  <c r="F292" i="163"/>
  <c r="F293" i="163"/>
  <c r="F294" i="163"/>
  <c r="F295" i="163"/>
  <c r="F296" i="163"/>
  <c r="F297" i="163"/>
  <c r="F298" i="163"/>
  <c r="F299" i="163"/>
  <c r="F300" i="163"/>
  <c r="F301" i="163"/>
  <c r="F302" i="163"/>
  <c r="F303" i="163"/>
  <c r="F304" i="163"/>
  <c r="F305" i="163"/>
  <c r="F306" i="163"/>
  <c r="F307" i="163"/>
  <c r="F308" i="163"/>
  <c r="F309" i="163"/>
  <c r="F310" i="163"/>
  <c r="F311" i="163"/>
  <c r="F312" i="163"/>
  <c r="F313" i="163"/>
  <c r="F314" i="163"/>
  <c r="F315" i="163"/>
  <c r="F316" i="163"/>
  <c r="F317" i="163"/>
  <c r="F318" i="163"/>
  <c r="F319" i="163"/>
  <c r="F320" i="163"/>
  <c r="F321" i="163"/>
  <c r="F322" i="163"/>
  <c r="F323" i="163"/>
  <c r="F324" i="163"/>
  <c r="F325" i="163"/>
  <c r="F326" i="163"/>
  <c r="F327" i="163"/>
  <c r="F328" i="163"/>
  <c r="F329" i="163"/>
  <c r="F330" i="163"/>
  <c r="F331" i="163"/>
  <c r="F332" i="163"/>
  <c r="F333" i="163"/>
  <c r="F334" i="163"/>
  <c r="F335" i="163"/>
  <c r="F336" i="163"/>
  <c r="F337" i="163"/>
  <c r="F338" i="163"/>
  <c r="F339" i="163"/>
  <c r="F340" i="163"/>
  <c r="F341" i="163"/>
  <c r="F342" i="163"/>
  <c r="F343" i="163"/>
  <c r="F344" i="163"/>
  <c r="F345" i="163"/>
  <c r="F346" i="163"/>
  <c r="F347" i="163"/>
  <c r="F348" i="163"/>
  <c r="F349" i="163"/>
  <c r="F350" i="163"/>
  <c r="B11" i="106"/>
  <c r="B10" i="106"/>
  <c r="B11" i="147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166" i="148"/>
  <c r="F167" i="148"/>
  <c r="F168" i="148"/>
  <c r="F169" i="148"/>
  <c r="F170" i="148"/>
  <c r="F171" i="148"/>
  <c r="F172" i="148"/>
  <c r="F173" i="148"/>
  <c r="F174" i="148"/>
  <c r="F175" i="148"/>
  <c r="F176" i="148"/>
  <c r="F177" i="148"/>
  <c r="F178" i="148"/>
  <c r="F179" i="148"/>
  <c r="F180" i="148"/>
  <c r="F181" i="148"/>
  <c r="F182" i="148"/>
  <c r="F183" i="148"/>
  <c r="F184" i="148"/>
  <c r="F185" i="148"/>
  <c r="F186" i="148"/>
  <c r="F187" i="148"/>
  <c r="F188" i="148"/>
  <c r="F189" i="148"/>
  <c r="F190" i="148"/>
  <c r="F191" i="148"/>
  <c r="F192" i="148"/>
  <c r="F193" i="148"/>
  <c r="F194" i="148"/>
  <c r="F195" i="148"/>
  <c r="F196" i="148"/>
  <c r="F197" i="148"/>
  <c r="F198" i="148"/>
  <c r="F199" i="148"/>
  <c r="F200" i="148"/>
  <c r="F201" i="148"/>
  <c r="F202" i="148"/>
  <c r="F203" i="148"/>
  <c r="F204" i="148"/>
  <c r="F205" i="148"/>
  <c r="F206" i="148"/>
  <c r="F207" i="148"/>
  <c r="F208" i="148"/>
  <c r="F209" i="148"/>
  <c r="F210" i="148"/>
  <c r="F211" i="148"/>
  <c r="F212" i="148"/>
  <c r="F213" i="148"/>
  <c r="F214" i="148"/>
  <c r="F215" i="148"/>
  <c r="F216" i="148"/>
  <c r="F217" i="148"/>
  <c r="F218" i="148"/>
  <c r="F219" i="148"/>
  <c r="F220" i="148"/>
  <c r="F221" i="148"/>
  <c r="F222" i="148"/>
  <c r="F223" i="148"/>
  <c r="F224" i="148"/>
  <c r="F225" i="148"/>
  <c r="F226" i="148"/>
  <c r="F227" i="148"/>
  <c r="F228" i="148"/>
  <c r="F229" i="148"/>
  <c r="F230" i="148"/>
  <c r="F231" i="148"/>
  <c r="F232" i="148"/>
  <c r="F233" i="148"/>
  <c r="F234" i="148"/>
  <c r="F235" i="148"/>
  <c r="F236" i="148"/>
  <c r="F237" i="148"/>
  <c r="F238" i="148"/>
  <c r="F239" i="148"/>
  <c r="F240" i="148"/>
  <c r="F241" i="148"/>
  <c r="F242" i="148"/>
  <c r="F243" i="148"/>
  <c r="F244" i="148"/>
  <c r="F245" i="148"/>
  <c r="F246" i="148"/>
  <c r="F247" i="148"/>
  <c r="F248" i="148"/>
  <c r="F249" i="148"/>
  <c r="F250" i="148"/>
  <c r="F251" i="148"/>
  <c r="F252" i="148"/>
  <c r="F253" i="148"/>
  <c r="F254" i="148"/>
  <c r="F255" i="148"/>
  <c r="F256" i="148"/>
  <c r="F257" i="148"/>
  <c r="F258" i="148"/>
  <c r="F259" i="148"/>
  <c r="F260" i="148"/>
  <c r="F261" i="148"/>
  <c r="F262" i="148"/>
  <c r="F263" i="148"/>
  <c r="F264" i="148"/>
  <c r="F265" i="148"/>
  <c r="F266" i="148"/>
  <c r="F267" i="148"/>
  <c r="F268" i="148"/>
  <c r="F269" i="148"/>
  <c r="F270" i="148"/>
  <c r="F271" i="148"/>
  <c r="F272" i="148"/>
  <c r="F273" i="148"/>
  <c r="F274" i="148"/>
  <c r="F275" i="148"/>
  <c r="F276" i="148"/>
  <c r="F277" i="148"/>
  <c r="F278" i="148"/>
  <c r="F279" i="148"/>
  <c r="F280" i="148"/>
  <c r="F281" i="148"/>
  <c r="F282" i="148"/>
  <c r="F283" i="148"/>
  <c r="F284" i="148"/>
  <c r="F285" i="148"/>
  <c r="F286" i="148"/>
  <c r="F287" i="148"/>
  <c r="F288" i="148"/>
  <c r="F289" i="148"/>
  <c r="F290" i="148"/>
  <c r="F291" i="148"/>
  <c r="F292" i="148"/>
  <c r="F293" i="148"/>
  <c r="F294" i="148"/>
  <c r="F295" i="148"/>
  <c r="F296" i="148"/>
  <c r="F297" i="148"/>
  <c r="F298" i="148"/>
  <c r="F299" i="148"/>
  <c r="F300" i="148"/>
  <c r="F301" i="148"/>
  <c r="F302" i="148"/>
  <c r="F303" i="148"/>
  <c r="F304" i="148"/>
  <c r="F305" i="148"/>
  <c r="F306" i="148"/>
  <c r="F307" i="148"/>
  <c r="F308" i="148"/>
  <c r="F309" i="148"/>
  <c r="F310" i="148"/>
  <c r="F311" i="148"/>
  <c r="F312" i="148"/>
  <c r="F313" i="148"/>
  <c r="F314" i="148"/>
  <c r="F315" i="148"/>
  <c r="F316" i="148"/>
  <c r="F317" i="148"/>
  <c r="F318" i="148"/>
  <c r="F319" i="148"/>
  <c r="F320" i="148"/>
  <c r="F321" i="148"/>
  <c r="F322" i="148"/>
  <c r="F323" i="148"/>
  <c r="F324" i="148"/>
  <c r="F325" i="148"/>
  <c r="F326" i="148"/>
  <c r="F327" i="148"/>
  <c r="F328" i="148"/>
  <c r="F329" i="148"/>
  <c r="F330" i="148"/>
  <c r="F331" i="148"/>
  <c r="F332" i="148"/>
  <c r="F333" i="148"/>
  <c r="F334" i="148"/>
  <c r="F335" i="148"/>
  <c r="F336" i="148"/>
  <c r="F337" i="148"/>
  <c r="F338" i="148"/>
  <c r="F339" i="148"/>
  <c r="F340" i="148"/>
  <c r="F341" i="148"/>
  <c r="F342" i="148"/>
  <c r="F343" i="148"/>
  <c r="F344" i="148"/>
  <c r="F345" i="148"/>
  <c r="F346" i="148"/>
  <c r="F347" i="148"/>
  <c r="F348" i="148"/>
  <c r="F349" i="148"/>
  <c r="F350" i="148"/>
  <c r="B10" i="147"/>
  <c r="B11" i="149"/>
  <c r="F2" i="150"/>
  <c r="F3" i="150"/>
  <c r="F4" i="150"/>
  <c r="F5" i="150"/>
  <c r="F6" i="150"/>
  <c r="F7" i="150"/>
  <c r="F8" i="150"/>
  <c r="F9" i="150"/>
  <c r="F10" i="150"/>
  <c r="F11" i="150"/>
  <c r="F12" i="150"/>
  <c r="F13" i="150"/>
  <c r="F14" i="150"/>
  <c r="F15" i="150"/>
  <c r="F16" i="150"/>
  <c r="F17" i="150"/>
  <c r="F18" i="150"/>
  <c r="F19" i="150"/>
  <c r="F20" i="150"/>
  <c r="F21" i="150"/>
  <c r="F22" i="150"/>
  <c r="F23" i="150"/>
  <c r="F24" i="150"/>
  <c r="F25" i="150"/>
  <c r="F26" i="150"/>
  <c r="F27" i="150"/>
  <c r="F28" i="150"/>
  <c r="F29" i="150"/>
  <c r="F30" i="150"/>
  <c r="F31" i="150"/>
  <c r="F32" i="150"/>
  <c r="F33" i="150"/>
  <c r="F34" i="150"/>
  <c r="F35" i="150"/>
  <c r="F36" i="150"/>
  <c r="F37" i="150"/>
  <c r="F38" i="150"/>
  <c r="F39" i="150"/>
  <c r="F40" i="150"/>
  <c r="F41" i="150"/>
  <c r="F42" i="150"/>
  <c r="F43" i="150"/>
  <c r="F44" i="150"/>
  <c r="F45" i="150"/>
  <c r="F46" i="150"/>
  <c r="F47" i="150"/>
  <c r="F48" i="150"/>
  <c r="F49" i="150"/>
  <c r="F50" i="150"/>
  <c r="F51" i="150"/>
  <c r="F52" i="150"/>
  <c r="F53" i="150"/>
  <c r="F54" i="150"/>
  <c r="F55" i="150"/>
  <c r="F56" i="150"/>
  <c r="F57" i="150"/>
  <c r="F58" i="150"/>
  <c r="F59" i="150"/>
  <c r="F60" i="150"/>
  <c r="F61" i="150"/>
  <c r="F62" i="150"/>
  <c r="F63" i="150"/>
  <c r="F64" i="150"/>
  <c r="F65" i="150"/>
  <c r="F66" i="150"/>
  <c r="F67" i="150"/>
  <c r="F68" i="150"/>
  <c r="F69" i="150"/>
  <c r="F70" i="150"/>
  <c r="F71" i="150"/>
  <c r="F72" i="150"/>
  <c r="F73" i="150"/>
  <c r="F74" i="150"/>
  <c r="F75" i="150"/>
  <c r="F76" i="150"/>
  <c r="F77" i="150"/>
  <c r="F78" i="150"/>
  <c r="F79" i="150"/>
  <c r="F80" i="150"/>
  <c r="F81" i="150"/>
  <c r="F82" i="150"/>
  <c r="F83" i="150"/>
  <c r="F84" i="150"/>
  <c r="F85" i="150"/>
  <c r="F86" i="150"/>
  <c r="F87" i="150"/>
  <c r="F88" i="150"/>
  <c r="F89" i="150"/>
  <c r="F90" i="150"/>
  <c r="F91" i="150"/>
  <c r="F92" i="150"/>
  <c r="F93" i="150"/>
  <c r="F94" i="150"/>
  <c r="F95" i="150"/>
  <c r="F96" i="150"/>
  <c r="F97" i="150"/>
  <c r="F98" i="150"/>
  <c r="F99" i="150"/>
  <c r="F100" i="150"/>
  <c r="F101" i="150"/>
  <c r="F102" i="150"/>
  <c r="F103" i="150"/>
  <c r="F104" i="150"/>
  <c r="F105" i="150"/>
  <c r="F106" i="150"/>
  <c r="F107" i="150"/>
  <c r="F108" i="150"/>
  <c r="F109" i="150"/>
  <c r="F110" i="150"/>
  <c r="F111" i="150"/>
  <c r="F112" i="150"/>
  <c r="F113" i="150"/>
  <c r="F114" i="150"/>
  <c r="F115" i="150"/>
  <c r="F116" i="150"/>
  <c r="F117" i="150"/>
  <c r="F118" i="150"/>
  <c r="F119" i="150"/>
  <c r="F120" i="150"/>
  <c r="F121" i="150"/>
  <c r="F122" i="150"/>
  <c r="F123" i="150"/>
  <c r="F124" i="150"/>
  <c r="F125" i="150"/>
  <c r="F126" i="150"/>
  <c r="F127" i="150"/>
  <c r="F128" i="150"/>
  <c r="F129" i="150"/>
  <c r="F130" i="150"/>
  <c r="F131" i="150"/>
  <c r="F132" i="150"/>
  <c r="F133" i="150"/>
  <c r="F134" i="150"/>
  <c r="F135" i="150"/>
  <c r="F136" i="150"/>
  <c r="F137" i="150"/>
  <c r="F138" i="150"/>
  <c r="F139" i="150"/>
  <c r="F140" i="150"/>
  <c r="F141" i="150"/>
  <c r="F142" i="150"/>
  <c r="F143" i="150"/>
  <c r="F144" i="150"/>
  <c r="F145" i="150"/>
  <c r="F146" i="150"/>
  <c r="F147" i="150"/>
  <c r="F148" i="150"/>
  <c r="F149" i="150"/>
  <c r="F150" i="150"/>
  <c r="F151" i="150"/>
  <c r="F152" i="150"/>
  <c r="F153" i="150"/>
  <c r="F154" i="150"/>
  <c r="F155" i="150"/>
  <c r="F156" i="150"/>
  <c r="F157" i="150"/>
  <c r="F158" i="150"/>
  <c r="F159" i="150"/>
  <c r="F160" i="150"/>
  <c r="F161" i="150"/>
  <c r="F162" i="150"/>
  <c r="F163" i="150"/>
  <c r="F164" i="150"/>
  <c r="F165" i="150"/>
  <c r="F166" i="150"/>
  <c r="F167" i="150"/>
  <c r="F168" i="150"/>
  <c r="F169" i="150"/>
  <c r="F170" i="150"/>
  <c r="F171" i="150"/>
  <c r="F172" i="150"/>
  <c r="F173" i="150"/>
  <c r="F174" i="150"/>
  <c r="F175" i="150"/>
  <c r="F176" i="150"/>
  <c r="F177" i="150"/>
  <c r="F178" i="150"/>
  <c r="F179" i="150"/>
  <c r="F180" i="150"/>
  <c r="F181" i="150"/>
  <c r="F182" i="150"/>
  <c r="F183" i="150"/>
  <c r="F184" i="150"/>
  <c r="F185" i="150"/>
  <c r="F186" i="150"/>
  <c r="F187" i="150"/>
  <c r="F188" i="150"/>
  <c r="F189" i="150"/>
  <c r="F190" i="150"/>
  <c r="F191" i="150"/>
  <c r="F192" i="150"/>
  <c r="F193" i="150"/>
  <c r="F194" i="150"/>
  <c r="F195" i="150"/>
  <c r="F196" i="150"/>
  <c r="F197" i="150"/>
  <c r="F198" i="150"/>
  <c r="F199" i="150"/>
  <c r="F200" i="150"/>
  <c r="F201" i="150"/>
  <c r="F202" i="150"/>
  <c r="F203" i="150"/>
  <c r="F204" i="150"/>
  <c r="F205" i="150"/>
  <c r="F206" i="150"/>
  <c r="F207" i="150"/>
  <c r="F208" i="150"/>
  <c r="F209" i="150"/>
  <c r="F210" i="150"/>
  <c r="F211" i="150"/>
  <c r="F212" i="150"/>
  <c r="F213" i="150"/>
  <c r="F214" i="150"/>
  <c r="F215" i="150"/>
  <c r="F216" i="150"/>
  <c r="F217" i="150"/>
  <c r="F218" i="150"/>
  <c r="F219" i="150"/>
  <c r="F220" i="150"/>
  <c r="F221" i="150"/>
  <c r="F222" i="150"/>
  <c r="F223" i="150"/>
  <c r="F224" i="150"/>
  <c r="F225" i="150"/>
  <c r="F226" i="150"/>
  <c r="F227" i="150"/>
  <c r="F228" i="150"/>
  <c r="F229" i="150"/>
  <c r="F230" i="150"/>
  <c r="F231" i="150"/>
  <c r="F232" i="150"/>
  <c r="F233" i="150"/>
  <c r="F234" i="150"/>
  <c r="F235" i="150"/>
  <c r="F236" i="150"/>
  <c r="F237" i="150"/>
  <c r="F238" i="150"/>
  <c r="F239" i="150"/>
  <c r="F240" i="150"/>
  <c r="F241" i="150"/>
  <c r="F242" i="150"/>
  <c r="F243" i="150"/>
  <c r="F244" i="150"/>
  <c r="F245" i="150"/>
  <c r="F246" i="150"/>
  <c r="F247" i="150"/>
  <c r="F248" i="150"/>
  <c r="F249" i="150"/>
  <c r="F250" i="150"/>
  <c r="F251" i="150"/>
  <c r="F252" i="150"/>
  <c r="F253" i="150"/>
  <c r="F254" i="150"/>
  <c r="F255" i="150"/>
  <c r="F256" i="150"/>
  <c r="F257" i="150"/>
  <c r="F258" i="150"/>
  <c r="F259" i="150"/>
  <c r="F260" i="150"/>
  <c r="F261" i="150"/>
  <c r="F262" i="150"/>
  <c r="F263" i="150"/>
  <c r="F264" i="150"/>
  <c r="F265" i="150"/>
  <c r="F266" i="150"/>
  <c r="F267" i="150"/>
  <c r="F268" i="150"/>
  <c r="F269" i="150"/>
  <c r="F270" i="150"/>
  <c r="F271" i="150"/>
  <c r="F272" i="150"/>
  <c r="F273" i="150"/>
  <c r="F274" i="150"/>
  <c r="F275" i="150"/>
  <c r="F276" i="150"/>
  <c r="F277" i="150"/>
  <c r="F278" i="150"/>
  <c r="F279" i="150"/>
  <c r="F280" i="150"/>
  <c r="F281" i="150"/>
  <c r="F282" i="150"/>
  <c r="F283" i="150"/>
  <c r="F284" i="150"/>
  <c r="F285" i="150"/>
  <c r="F286" i="150"/>
  <c r="F287" i="150"/>
  <c r="F288" i="150"/>
  <c r="F289" i="150"/>
  <c r="F290" i="150"/>
  <c r="F291" i="150"/>
  <c r="F292" i="150"/>
  <c r="F293" i="150"/>
  <c r="F294" i="150"/>
  <c r="F295" i="150"/>
  <c r="F296" i="150"/>
  <c r="F297" i="150"/>
  <c r="F298" i="150"/>
  <c r="F299" i="150"/>
  <c r="F300" i="150"/>
  <c r="F301" i="150"/>
  <c r="F302" i="150"/>
  <c r="F303" i="150"/>
  <c r="F304" i="150"/>
  <c r="F305" i="150"/>
  <c r="F306" i="150"/>
  <c r="F307" i="150"/>
  <c r="F308" i="150"/>
  <c r="F309" i="150"/>
  <c r="F310" i="150"/>
  <c r="F311" i="150"/>
  <c r="F312" i="150"/>
  <c r="F313" i="150"/>
  <c r="F314" i="150"/>
  <c r="F315" i="150"/>
  <c r="F316" i="150"/>
  <c r="F317" i="150"/>
  <c r="F318" i="150"/>
  <c r="F319" i="150"/>
  <c r="F320" i="150"/>
  <c r="F321" i="150"/>
  <c r="F322" i="150"/>
  <c r="F323" i="150"/>
  <c r="F324" i="150"/>
  <c r="F325" i="150"/>
  <c r="F326" i="150"/>
  <c r="F327" i="150"/>
  <c r="F328" i="150"/>
  <c r="F329" i="150"/>
  <c r="F330" i="150"/>
  <c r="F331" i="150"/>
  <c r="F332" i="150"/>
  <c r="F333" i="150"/>
  <c r="F334" i="150"/>
  <c r="F335" i="150"/>
  <c r="F336" i="150"/>
  <c r="F337" i="150"/>
  <c r="F338" i="150"/>
  <c r="F339" i="150"/>
  <c r="F340" i="150"/>
  <c r="F341" i="150"/>
  <c r="F342" i="150"/>
  <c r="F343" i="150"/>
  <c r="F344" i="150"/>
  <c r="F345" i="150"/>
  <c r="F346" i="150"/>
  <c r="F347" i="150"/>
  <c r="F348" i="150"/>
  <c r="F349" i="150"/>
  <c r="F350" i="150"/>
  <c r="B10" i="149"/>
  <c r="B10" i="162"/>
  <c r="B11" i="153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B10" i="153"/>
  <c r="F2" i="159"/>
  <c r="F3" i="159"/>
  <c r="F4" i="159"/>
  <c r="F5" i="159"/>
  <c r="F6" i="159"/>
  <c r="F7" i="159"/>
  <c r="F8" i="159"/>
  <c r="F9" i="159"/>
  <c r="F10" i="159"/>
  <c r="F11" i="159"/>
  <c r="F12" i="159"/>
  <c r="F13" i="159"/>
  <c r="F14" i="159"/>
  <c r="F15" i="159"/>
  <c r="F16" i="159"/>
  <c r="F17" i="159"/>
  <c r="F18" i="159"/>
  <c r="F19" i="159"/>
  <c r="F20" i="159"/>
  <c r="F21" i="159"/>
  <c r="F22" i="159"/>
  <c r="F23" i="159"/>
  <c r="F24" i="159"/>
  <c r="F25" i="159"/>
  <c r="F26" i="159"/>
  <c r="F27" i="159"/>
  <c r="F28" i="159"/>
  <c r="F29" i="159"/>
  <c r="F30" i="159"/>
  <c r="F31" i="159"/>
  <c r="F32" i="159"/>
  <c r="F33" i="159"/>
  <c r="F34" i="159"/>
  <c r="F35" i="159"/>
  <c r="F36" i="159"/>
  <c r="F37" i="159"/>
  <c r="F38" i="159"/>
  <c r="F39" i="159"/>
  <c r="F40" i="159"/>
  <c r="F41" i="159"/>
  <c r="F42" i="159"/>
  <c r="F43" i="159"/>
  <c r="F44" i="159"/>
  <c r="F45" i="159"/>
  <c r="F46" i="159"/>
  <c r="F47" i="159"/>
  <c r="F48" i="159"/>
  <c r="F49" i="159"/>
  <c r="F50" i="159"/>
  <c r="F51" i="159"/>
  <c r="F52" i="159"/>
  <c r="F53" i="159"/>
  <c r="F54" i="159"/>
  <c r="F55" i="159"/>
  <c r="F56" i="159"/>
  <c r="F57" i="159"/>
  <c r="F58" i="159"/>
  <c r="F59" i="159"/>
  <c r="F60" i="159"/>
  <c r="F61" i="159"/>
  <c r="F62" i="159"/>
  <c r="F63" i="159"/>
  <c r="F64" i="159"/>
  <c r="F65" i="159"/>
  <c r="F66" i="159"/>
  <c r="F67" i="159"/>
  <c r="F68" i="159"/>
  <c r="F69" i="159"/>
  <c r="F70" i="159"/>
  <c r="F71" i="159"/>
  <c r="F72" i="159"/>
  <c r="F73" i="159"/>
  <c r="F74" i="159"/>
  <c r="F75" i="159"/>
  <c r="F76" i="159"/>
  <c r="F77" i="159"/>
  <c r="F78" i="159"/>
  <c r="F79" i="159"/>
  <c r="F80" i="159"/>
  <c r="F81" i="159"/>
  <c r="F82" i="159"/>
  <c r="F83" i="159"/>
  <c r="F84" i="159"/>
  <c r="F85" i="159"/>
  <c r="F86" i="159"/>
  <c r="F87" i="159"/>
  <c r="F88" i="159"/>
  <c r="F89" i="159"/>
  <c r="F90" i="159"/>
  <c r="F91" i="159"/>
  <c r="F92" i="159"/>
  <c r="F93" i="159"/>
  <c r="F94" i="159"/>
  <c r="F95" i="159"/>
  <c r="F96" i="159"/>
  <c r="F97" i="159"/>
  <c r="F98" i="159"/>
  <c r="F99" i="159"/>
  <c r="F100" i="159"/>
  <c r="F101" i="159"/>
  <c r="F102" i="159"/>
  <c r="F103" i="159"/>
  <c r="F104" i="159"/>
  <c r="F105" i="159"/>
  <c r="F106" i="159"/>
  <c r="F107" i="159"/>
  <c r="F108" i="159"/>
  <c r="F109" i="159"/>
  <c r="F110" i="159"/>
  <c r="F111" i="159"/>
  <c r="F112" i="159"/>
  <c r="F113" i="159"/>
  <c r="F114" i="159"/>
  <c r="F115" i="159"/>
  <c r="F116" i="159"/>
  <c r="F117" i="159"/>
  <c r="F118" i="159"/>
  <c r="F119" i="159"/>
  <c r="F120" i="159"/>
  <c r="F121" i="159"/>
  <c r="F122" i="159"/>
  <c r="F123" i="159"/>
  <c r="F124" i="159"/>
  <c r="F125" i="159"/>
  <c r="F126" i="159"/>
  <c r="F127" i="159"/>
  <c r="F128" i="159"/>
  <c r="F129" i="159"/>
  <c r="F130" i="159"/>
  <c r="F131" i="159"/>
  <c r="F132" i="159"/>
  <c r="F133" i="159"/>
  <c r="F134" i="159"/>
  <c r="F135" i="159"/>
  <c r="F136" i="159"/>
  <c r="F137" i="159"/>
  <c r="F138" i="159"/>
  <c r="F139" i="159"/>
  <c r="F140" i="159"/>
  <c r="F141" i="159"/>
  <c r="F142" i="159"/>
  <c r="F143" i="159"/>
  <c r="F144" i="159"/>
  <c r="F145" i="159"/>
  <c r="F146" i="159"/>
  <c r="F147" i="159"/>
  <c r="F148" i="159"/>
  <c r="F149" i="159"/>
  <c r="F150" i="159"/>
  <c r="F151" i="159"/>
  <c r="F152" i="159"/>
  <c r="F153" i="159"/>
  <c r="F154" i="159"/>
  <c r="F155" i="159"/>
  <c r="F156" i="159"/>
  <c r="F157" i="159"/>
  <c r="F158" i="159"/>
  <c r="F159" i="159"/>
  <c r="F160" i="159"/>
  <c r="F161" i="159"/>
  <c r="F162" i="159"/>
  <c r="F163" i="159"/>
  <c r="F164" i="159"/>
  <c r="F165" i="159"/>
  <c r="F166" i="159"/>
  <c r="F167" i="159"/>
  <c r="F168" i="159"/>
  <c r="F169" i="159"/>
  <c r="F170" i="159"/>
  <c r="F171" i="159"/>
  <c r="F172" i="159"/>
  <c r="F173" i="159"/>
  <c r="F174" i="159"/>
  <c r="F175" i="159"/>
  <c r="F176" i="159"/>
  <c r="F177" i="159"/>
  <c r="F178" i="159"/>
  <c r="F179" i="159"/>
  <c r="F180" i="159"/>
  <c r="F181" i="159"/>
  <c r="F182" i="159"/>
  <c r="F183" i="159"/>
  <c r="F184" i="159"/>
  <c r="F185" i="159"/>
  <c r="F186" i="159"/>
  <c r="F187" i="159"/>
  <c r="F188" i="159"/>
  <c r="F189" i="159"/>
  <c r="F190" i="159"/>
  <c r="F191" i="159"/>
  <c r="F192" i="159"/>
  <c r="F193" i="159"/>
  <c r="F194" i="159"/>
  <c r="F195" i="159"/>
  <c r="F196" i="159"/>
  <c r="F197" i="159"/>
  <c r="F198" i="159"/>
  <c r="F199" i="159"/>
  <c r="F200" i="159"/>
  <c r="F201" i="159"/>
  <c r="F202" i="159"/>
  <c r="F203" i="159"/>
  <c r="F204" i="159"/>
  <c r="F205" i="159"/>
  <c r="F206" i="159"/>
  <c r="F207" i="159"/>
  <c r="F208" i="159"/>
  <c r="F209" i="159"/>
  <c r="F210" i="159"/>
  <c r="F211" i="159"/>
  <c r="F212" i="159"/>
  <c r="F213" i="159"/>
  <c r="F214" i="159"/>
  <c r="F215" i="159"/>
  <c r="F216" i="159"/>
  <c r="F217" i="159"/>
  <c r="F218" i="159"/>
  <c r="F219" i="159"/>
  <c r="F220" i="159"/>
  <c r="F221" i="159"/>
  <c r="F222" i="159"/>
  <c r="F223" i="159"/>
  <c r="F224" i="159"/>
  <c r="F225" i="159"/>
  <c r="F226" i="159"/>
  <c r="F227" i="159"/>
  <c r="F228" i="159"/>
  <c r="F229" i="159"/>
  <c r="F230" i="159"/>
  <c r="F231" i="159"/>
  <c r="F232" i="159"/>
  <c r="F233" i="159"/>
  <c r="F234" i="159"/>
  <c r="F235" i="159"/>
  <c r="F236" i="159"/>
  <c r="F237" i="159"/>
  <c r="F238" i="159"/>
  <c r="F239" i="159"/>
  <c r="F240" i="159"/>
  <c r="F241" i="159"/>
  <c r="F242" i="159"/>
  <c r="F243" i="159"/>
  <c r="F244" i="159"/>
  <c r="F245" i="159"/>
  <c r="F246" i="159"/>
  <c r="F247" i="159"/>
  <c r="F248" i="159"/>
  <c r="F249" i="159"/>
  <c r="F250" i="159"/>
  <c r="F251" i="159"/>
  <c r="F252" i="159"/>
  <c r="F253" i="159"/>
  <c r="F254" i="159"/>
  <c r="F255" i="159"/>
  <c r="F256" i="159"/>
  <c r="F257" i="159"/>
  <c r="F258" i="159"/>
  <c r="F259" i="159"/>
  <c r="F260" i="159"/>
  <c r="F261" i="159"/>
  <c r="F262" i="159"/>
  <c r="F263" i="159"/>
  <c r="F264" i="159"/>
  <c r="F265" i="159"/>
  <c r="F266" i="159"/>
  <c r="F267" i="159"/>
  <c r="F268" i="159"/>
  <c r="F269" i="159"/>
  <c r="F270" i="159"/>
  <c r="F271" i="159"/>
  <c r="F272" i="159"/>
  <c r="F273" i="159"/>
  <c r="F274" i="159"/>
  <c r="F275" i="159"/>
  <c r="F276" i="159"/>
  <c r="F277" i="159"/>
  <c r="F278" i="159"/>
  <c r="F279" i="159"/>
  <c r="F280" i="159"/>
  <c r="F281" i="159"/>
  <c r="F282" i="159"/>
  <c r="F283" i="159"/>
  <c r="F284" i="159"/>
  <c r="F285" i="159"/>
  <c r="F286" i="159"/>
  <c r="F287" i="159"/>
  <c r="F288" i="159"/>
  <c r="F289" i="159"/>
  <c r="F290" i="159"/>
  <c r="F291" i="159"/>
  <c r="F292" i="159"/>
  <c r="F293" i="159"/>
  <c r="F294" i="159"/>
  <c r="F295" i="159"/>
  <c r="F296" i="159"/>
  <c r="F297" i="159"/>
  <c r="F298" i="159"/>
  <c r="F299" i="159"/>
  <c r="F300" i="159"/>
  <c r="F301" i="159"/>
  <c r="F302" i="159"/>
  <c r="F303" i="159"/>
  <c r="F304" i="159"/>
  <c r="F305" i="159"/>
  <c r="F306" i="159"/>
  <c r="F307" i="159"/>
  <c r="F308" i="159"/>
  <c r="F309" i="159"/>
  <c r="F310" i="159"/>
  <c r="F311" i="159"/>
  <c r="F312" i="159"/>
  <c r="F313" i="159"/>
  <c r="F314" i="159"/>
  <c r="F315" i="159"/>
  <c r="F316" i="159"/>
  <c r="F317" i="159"/>
  <c r="F318" i="159"/>
  <c r="F319" i="159"/>
  <c r="F320" i="159"/>
  <c r="F321" i="159"/>
  <c r="F322" i="159"/>
  <c r="F323" i="159"/>
  <c r="F324" i="159"/>
  <c r="F325" i="159"/>
  <c r="F326" i="159"/>
  <c r="F327" i="159"/>
  <c r="F328" i="159"/>
  <c r="F329" i="159"/>
  <c r="F330" i="159"/>
  <c r="F331" i="159"/>
  <c r="F332" i="159"/>
  <c r="F333" i="159"/>
  <c r="F334" i="159"/>
  <c r="F335" i="159"/>
  <c r="F336" i="159"/>
  <c r="F337" i="159"/>
  <c r="F338" i="159"/>
  <c r="F339" i="159"/>
  <c r="F340" i="159"/>
  <c r="F341" i="159"/>
  <c r="F342" i="159"/>
  <c r="F343" i="159"/>
  <c r="F344" i="159"/>
  <c r="F345" i="159"/>
  <c r="F346" i="159"/>
  <c r="F347" i="159"/>
  <c r="F348" i="159"/>
  <c r="F349" i="159"/>
  <c r="F350" i="159"/>
  <c r="B11" i="158"/>
  <c r="B10" i="158"/>
  <c r="A347" i="163"/>
  <c r="H347" i="163"/>
  <c r="L347" i="163"/>
  <c r="M347" i="163"/>
  <c r="N347" i="163"/>
  <c r="P347" i="163"/>
  <c r="A348" i="163"/>
  <c r="H348" i="163"/>
  <c r="L348" i="163"/>
  <c r="M348" i="163"/>
  <c r="N348" i="163"/>
  <c r="P348" i="163"/>
  <c r="A349" i="163"/>
  <c r="H349" i="163"/>
  <c r="L349" i="163"/>
  <c r="M349" i="163"/>
  <c r="N349" i="163"/>
  <c r="P349" i="163"/>
  <c r="A350" i="163"/>
  <c r="H350" i="163"/>
  <c r="L350" i="163"/>
  <c r="M350" i="163"/>
  <c r="N350" i="163"/>
  <c r="P350" i="163"/>
  <c r="C17" i="162"/>
  <c r="C18" i="162"/>
  <c r="C19" i="162"/>
  <c r="C20" i="162"/>
  <c r="C21" i="162"/>
  <c r="C22" i="162"/>
  <c r="C23" i="162"/>
  <c r="C24" i="162"/>
  <c r="C25" i="162"/>
  <c r="C26" i="162"/>
  <c r="C27" i="162"/>
  <c r="C28" i="162"/>
  <c r="C29" i="162"/>
  <c r="C30" i="162"/>
  <c r="C31" i="162"/>
  <c r="C32" i="162"/>
  <c r="C33" i="162"/>
  <c r="C34" i="162"/>
  <c r="C35" i="162"/>
  <c r="C36" i="162"/>
  <c r="C37" i="162"/>
  <c r="C38" i="162"/>
  <c r="C39" i="162"/>
  <c r="C40" i="162"/>
  <c r="C41" i="162"/>
  <c r="C42" i="162"/>
  <c r="C43" i="162"/>
  <c r="C44" i="162"/>
  <c r="C45" i="162"/>
  <c r="C47" i="162"/>
  <c r="A347" i="154"/>
  <c r="H347" i="154"/>
  <c r="L347" i="154"/>
  <c r="M347" i="154"/>
  <c r="N347" i="154"/>
  <c r="G31" i="153"/>
  <c r="E31" i="153"/>
  <c r="H31" i="153"/>
  <c r="P347" i="154"/>
  <c r="A348" i="154"/>
  <c r="H348" i="154"/>
  <c r="L348" i="154"/>
  <c r="M348" i="154"/>
  <c r="N348" i="154"/>
  <c r="P348" i="154"/>
  <c r="A349" i="154"/>
  <c r="H349" i="154"/>
  <c r="L349" i="154"/>
  <c r="M349" i="154"/>
  <c r="N349" i="154"/>
  <c r="P349" i="154"/>
  <c r="A350" i="154"/>
  <c r="H350" i="154"/>
  <c r="L350" i="154"/>
  <c r="M350" i="154"/>
  <c r="N350" i="154"/>
  <c r="P350" i="154"/>
  <c r="C17" i="153"/>
  <c r="C18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C33" i="153"/>
  <c r="C34" i="153"/>
  <c r="C35" i="153"/>
  <c r="C36" i="153"/>
  <c r="C37" i="153"/>
  <c r="C38" i="153"/>
  <c r="C39" i="153"/>
  <c r="C40" i="153"/>
  <c r="C41" i="153"/>
  <c r="C42" i="153"/>
  <c r="C43" i="153"/>
  <c r="C44" i="153"/>
  <c r="C45" i="153"/>
  <c r="C47" i="153"/>
  <c r="C17" i="158"/>
  <c r="C18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32" i="158"/>
  <c r="C33" i="158"/>
  <c r="C34" i="158"/>
  <c r="C35" i="158"/>
  <c r="C36" i="158"/>
  <c r="C37" i="158"/>
  <c r="C38" i="158"/>
  <c r="C39" i="158"/>
  <c r="C40" i="158"/>
  <c r="C41" i="158"/>
  <c r="C42" i="158"/>
  <c r="C43" i="158"/>
  <c r="C44" i="158"/>
  <c r="C45" i="158"/>
  <c r="C47" i="158"/>
  <c r="C17" i="149"/>
  <c r="C18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32" i="149"/>
  <c r="C33" i="149"/>
  <c r="C34" i="149"/>
  <c r="C35" i="149"/>
  <c r="C36" i="149"/>
  <c r="C37" i="149"/>
  <c r="C38" i="149"/>
  <c r="C39" i="149"/>
  <c r="C40" i="149"/>
  <c r="C41" i="149"/>
  <c r="C42" i="149"/>
  <c r="C43" i="149"/>
  <c r="C44" i="149"/>
  <c r="C45" i="149"/>
  <c r="C47" i="149"/>
  <c r="C17" i="147"/>
  <c r="C18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32" i="147"/>
  <c r="C33" i="147"/>
  <c r="C34" i="147"/>
  <c r="C35" i="147"/>
  <c r="C36" i="147"/>
  <c r="C37" i="147"/>
  <c r="C38" i="147"/>
  <c r="C39" i="147"/>
  <c r="C40" i="147"/>
  <c r="C41" i="147"/>
  <c r="C42" i="147"/>
  <c r="C43" i="147"/>
  <c r="C44" i="147"/>
  <c r="C45" i="147"/>
  <c r="C47" i="147"/>
  <c r="A347" i="159"/>
  <c r="H347" i="159"/>
  <c r="L347" i="159"/>
  <c r="M347" i="159"/>
  <c r="N347" i="159"/>
  <c r="P347" i="159"/>
  <c r="A348" i="159"/>
  <c r="H348" i="159"/>
  <c r="L348" i="159"/>
  <c r="M348" i="159"/>
  <c r="N348" i="159"/>
  <c r="P348" i="159"/>
  <c r="A349" i="159"/>
  <c r="H349" i="159"/>
  <c r="L349" i="159"/>
  <c r="M349" i="159"/>
  <c r="N349" i="159"/>
  <c r="P349" i="159"/>
  <c r="A350" i="159"/>
  <c r="H350" i="159"/>
  <c r="L350" i="159"/>
  <c r="M350" i="159"/>
  <c r="N350" i="159"/>
  <c r="P350" i="159"/>
  <c r="A347" i="150"/>
  <c r="H347" i="150"/>
  <c r="L347" i="150"/>
  <c r="M347" i="150"/>
  <c r="N347" i="150"/>
  <c r="A348" i="150"/>
  <c r="H348" i="150"/>
  <c r="L348" i="150"/>
  <c r="M348" i="150"/>
  <c r="N348" i="150"/>
  <c r="A349" i="150"/>
  <c r="H349" i="150"/>
  <c r="L349" i="150"/>
  <c r="M349" i="150"/>
  <c r="N349" i="150"/>
  <c r="A350" i="150"/>
  <c r="H350" i="150"/>
  <c r="L350" i="150"/>
  <c r="M350" i="150"/>
  <c r="N350" i="150"/>
  <c r="A347" i="148"/>
  <c r="H347" i="148"/>
  <c r="L347" i="148"/>
  <c r="M347" i="148"/>
  <c r="N347" i="148"/>
  <c r="G31" i="147"/>
  <c r="E31" i="147"/>
  <c r="H31" i="147"/>
  <c r="P347" i="148"/>
  <c r="A348" i="148"/>
  <c r="H348" i="148"/>
  <c r="L348" i="148"/>
  <c r="M348" i="148"/>
  <c r="N348" i="148"/>
  <c r="P348" i="148"/>
  <c r="A349" i="148"/>
  <c r="H349" i="148"/>
  <c r="L349" i="148"/>
  <c r="M349" i="148"/>
  <c r="N349" i="148"/>
  <c r="P349" i="148"/>
  <c r="A350" i="148"/>
  <c r="H350" i="148"/>
  <c r="L350" i="148"/>
  <c r="M350" i="148"/>
  <c r="N350" i="148"/>
  <c r="P350" i="148"/>
  <c r="K6" i="82"/>
  <c r="K7" i="82"/>
  <c r="K8" i="82"/>
  <c r="K9" i="82"/>
  <c r="K14" i="82"/>
  <c r="K15" i="82"/>
  <c r="K16" i="82"/>
  <c r="K17" i="82"/>
  <c r="K22" i="82"/>
  <c r="K23" i="82"/>
  <c r="K24" i="82"/>
  <c r="K25" i="82"/>
  <c r="K30" i="82"/>
  <c r="K31" i="82"/>
  <c r="K32" i="82"/>
  <c r="K33" i="82"/>
  <c r="K38" i="82"/>
  <c r="K39" i="82"/>
  <c r="K40" i="82"/>
  <c r="K41" i="82"/>
  <c r="K48" i="82"/>
  <c r="K49" i="82"/>
  <c r="K50" i="82"/>
  <c r="K51" i="82"/>
  <c r="K52" i="82"/>
  <c r="K53" i="82"/>
  <c r="K60" i="82"/>
  <c r="K61" i="82"/>
  <c r="K62" i="82"/>
  <c r="K63" i="82"/>
  <c r="K64" i="82"/>
  <c r="K65" i="82"/>
  <c r="K72" i="82"/>
  <c r="K73" i="82"/>
  <c r="K74" i="82"/>
  <c r="K75" i="82"/>
  <c r="K76" i="82"/>
  <c r="K77" i="82"/>
  <c r="K84" i="82"/>
  <c r="K85" i="82"/>
  <c r="K86" i="82"/>
  <c r="K87" i="82"/>
  <c r="K88" i="82"/>
  <c r="K89" i="82"/>
  <c r="K96" i="82"/>
  <c r="K97" i="82"/>
  <c r="K98" i="82"/>
  <c r="K99" i="82"/>
  <c r="K100" i="82"/>
  <c r="K101" i="82"/>
  <c r="K108" i="82"/>
  <c r="K109" i="82"/>
  <c r="K110" i="82"/>
  <c r="K111" i="82"/>
  <c r="K112" i="82"/>
  <c r="K113" i="82"/>
  <c r="K120" i="82"/>
  <c r="K121" i="82"/>
  <c r="K122" i="82"/>
  <c r="K123" i="82"/>
  <c r="K124" i="82"/>
  <c r="K125" i="82"/>
  <c r="K132" i="82"/>
  <c r="K133" i="82"/>
  <c r="K134" i="82"/>
  <c r="K135" i="82"/>
  <c r="K136" i="82"/>
  <c r="K137" i="82"/>
  <c r="K142" i="82"/>
  <c r="K143" i="82"/>
  <c r="K144" i="82"/>
  <c r="K145" i="82"/>
  <c r="K151" i="82"/>
  <c r="K152" i="82"/>
  <c r="K153" i="82"/>
  <c r="K154" i="82"/>
  <c r="K155" i="82"/>
  <c r="K161" i="82"/>
  <c r="K162" i="82"/>
  <c r="K163" i="82"/>
  <c r="K164" i="82"/>
  <c r="K165" i="82"/>
  <c r="K171" i="82"/>
  <c r="K172" i="82"/>
  <c r="K173" i="82"/>
  <c r="K174" i="82"/>
  <c r="K175" i="82"/>
  <c r="K181" i="82"/>
  <c r="K182" i="82"/>
  <c r="K183" i="82"/>
  <c r="K184" i="82"/>
  <c r="K185" i="82"/>
  <c r="K191" i="82"/>
  <c r="K192" i="82"/>
  <c r="K193" i="82"/>
  <c r="K194" i="82"/>
  <c r="K195" i="82"/>
  <c r="K201" i="82"/>
  <c r="K202" i="82"/>
  <c r="K203" i="82"/>
  <c r="K204" i="82"/>
  <c r="K205" i="82"/>
  <c r="K210" i="82"/>
  <c r="K211" i="82"/>
  <c r="K212" i="82"/>
  <c r="K213" i="82"/>
  <c r="K214" i="82"/>
  <c r="K217" i="82"/>
  <c r="K218" i="82"/>
  <c r="K219" i="82"/>
  <c r="K220" i="82"/>
  <c r="K226" i="82"/>
  <c r="K227" i="82"/>
  <c r="K228" i="82"/>
  <c r="K229" i="82"/>
  <c r="K230" i="82"/>
  <c r="K237" i="82"/>
  <c r="K238" i="82"/>
  <c r="K239" i="82"/>
  <c r="K240" i="82"/>
  <c r="K241" i="82"/>
  <c r="K246" i="82"/>
  <c r="K247" i="82"/>
  <c r="K248" i="82"/>
  <c r="K249" i="82"/>
  <c r="K250" i="82"/>
  <c r="K251" i="82"/>
  <c r="K258" i="82"/>
  <c r="K259" i="82"/>
  <c r="K260" i="82"/>
  <c r="K261" i="82"/>
  <c r="K266" i="82"/>
  <c r="K267" i="82"/>
  <c r="K270" i="82"/>
  <c r="K271" i="82"/>
  <c r="K272" i="82"/>
  <c r="K273" i="82"/>
  <c r="K278" i="82"/>
  <c r="K279" i="82"/>
  <c r="K280" i="82"/>
  <c r="K281" i="82"/>
  <c r="K282" i="82"/>
  <c r="K283" i="82"/>
  <c r="K286" i="82"/>
  <c r="K287" i="82"/>
  <c r="K288" i="82"/>
  <c r="K289" i="82"/>
  <c r="K294" i="82"/>
  <c r="K295" i="82"/>
  <c r="K299" i="82"/>
  <c r="K300" i="82"/>
  <c r="K303" i="82"/>
  <c r="K304" i="82"/>
  <c r="K305" i="82"/>
  <c r="K309" i="82"/>
  <c r="K310" i="82"/>
  <c r="K314" i="82"/>
  <c r="K315" i="82"/>
  <c r="K318" i="82"/>
  <c r="K319" i="82"/>
  <c r="K320" i="82"/>
  <c r="K323" i="82"/>
  <c r="K324" i="82"/>
  <c r="K325" i="82"/>
  <c r="K329" i="82"/>
  <c r="K330" i="82"/>
  <c r="K331" i="82"/>
  <c r="K332" i="82"/>
  <c r="K339" i="82"/>
  <c r="K340" i="82"/>
  <c r="K343" i="82"/>
  <c r="K344" i="82"/>
  <c r="K345" i="82"/>
  <c r="C17" i="106"/>
  <c r="C18" i="106"/>
  <c r="C19" i="106"/>
  <c r="C20" i="106"/>
  <c r="C21" i="106"/>
  <c r="C22" i="106"/>
  <c r="C23" i="106"/>
  <c r="C24" i="106"/>
  <c r="C25" i="106"/>
  <c r="C26" i="106"/>
  <c r="C27" i="106"/>
  <c r="C28" i="106"/>
  <c r="C29" i="106"/>
  <c r="C30" i="106"/>
  <c r="C31" i="106"/>
  <c r="C32" i="106"/>
  <c r="C33" i="106"/>
  <c r="C34" i="106"/>
  <c r="C35" i="106"/>
  <c r="C36" i="106"/>
  <c r="C37" i="106"/>
  <c r="C38" i="106"/>
  <c r="C39" i="106"/>
  <c r="C40" i="106"/>
  <c r="C41" i="106"/>
  <c r="C42" i="106"/>
  <c r="C43" i="106"/>
  <c r="C44" i="106"/>
  <c r="C45" i="106"/>
  <c r="C47" i="106"/>
  <c r="B47" i="106"/>
  <c r="G31" i="106"/>
  <c r="E31" i="106"/>
  <c r="H31" i="106"/>
  <c r="A347" i="82"/>
  <c r="H347" i="82"/>
  <c r="K347" i="82"/>
  <c r="L347" i="82"/>
  <c r="M347" i="82"/>
  <c r="N347" i="82"/>
  <c r="P347" i="82"/>
  <c r="A348" i="82"/>
  <c r="H348" i="82"/>
  <c r="K348" i="82"/>
  <c r="L348" i="82"/>
  <c r="M348" i="82"/>
  <c r="N348" i="82"/>
  <c r="P348" i="82"/>
  <c r="A349" i="82"/>
  <c r="H349" i="82"/>
  <c r="K349" i="82"/>
  <c r="L349" i="82"/>
  <c r="M349" i="82"/>
  <c r="N349" i="82"/>
  <c r="P349" i="82"/>
  <c r="A350" i="82"/>
  <c r="H350" i="82"/>
  <c r="K350" i="82"/>
  <c r="L350" i="82"/>
  <c r="M350" i="82"/>
  <c r="N350" i="82"/>
  <c r="P350" i="82"/>
  <c r="E11" i="103"/>
  <c r="E10" i="103"/>
  <c r="E9" i="103"/>
  <c r="C8" i="103"/>
  <c r="E8" i="103"/>
  <c r="C7" i="103"/>
  <c r="E7" i="103"/>
  <c r="C6" i="103"/>
  <c r="E6" i="103"/>
  <c r="C5" i="103"/>
  <c r="E5" i="103"/>
  <c r="C4" i="103"/>
  <c r="E4" i="103"/>
  <c r="C3" i="103"/>
  <c r="E3" i="103"/>
  <c r="C2" i="103"/>
  <c r="E2" i="103"/>
  <c r="F57" i="162"/>
  <c r="G57" i="162"/>
  <c r="H342" i="163"/>
  <c r="L342" i="163"/>
  <c r="M342" i="163"/>
  <c r="N342" i="163"/>
  <c r="P342" i="163"/>
  <c r="H343" i="163"/>
  <c r="L343" i="163"/>
  <c r="M343" i="163"/>
  <c r="N343" i="163"/>
  <c r="P343" i="163"/>
  <c r="H344" i="163"/>
  <c r="L344" i="163"/>
  <c r="M344" i="163"/>
  <c r="N344" i="163"/>
  <c r="P344" i="163"/>
  <c r="H345" i="163"/>
  <c r="L345" i="163"/>
  <c r="M345" i="163"/>
  <c r="N345" i="163"/>
  <c r="P345" i="163"/>
  <c r="H346" i="163"/>
  <c r="L346" i="163"/>
  <c r="M346" i="163"/>
  <c r="N346" i="163"/>
  <c r="P346" i="163"/>
  <c r="A342" i="163"/>
  <c r="A343" i="163"/>
  <c r="A344" i="163"/>
  <c r="A345" i="163"/>
  <c r="A346" i="163"/>
  <c r="F56" i="153"/>
  <c r="G56" i="153"/>
  <c r="H342" i="154"/>
  <c r="L342" i="154"/>
  <c r="M342" i="154"/>
  <c r="N342" i="154"/>
  <c r="P342" i="154"/>
  <c r="H343" i="154"/>
  <c r="L343" i="154"/>
  <c r="M343" i="154"/>
  <c r="N343" i="154"/>
  <c r="P343" i="154"/>
  <c r="H344" i="154"/>
  <c r="L344" i="154"/>
  <c r="M344" i="154"/>
  <c r="N344" i="154"/>
  <c r="P344" i="154"/>
  <c r="H345" i="154"/>
  <c r="L345" i="154"/>
  <c r="M345" i="154"/>
  <c r="N345" i="154"/>
  <c r="P345" i="154"/>
  <c r="H346" i="154"/>
  <c r="L346" i="154"/>
  <c r="M346" i="154"/>
  <c r="N346" i="154"/>
  <c r="P346" i="154"/>
  <c r="A342" i="154"/>
  <c r="A343" i="154"/>
  <c r="A344" i="154"/>
  <c r="A345" i="154"/>
  <c r="A346" i="154"/>
  <c r="F57" i="158"/>
  <c r="G57" i="158"/>
  <c r="F56" i="158"/>
  <c r="G56" i="158"/>
  <c r="H342" i="159"/>
  <c r="L342" i="159"/>
  <c r="M342" i="159"/>
  <c r="N342" i="159"/>
  <c r="P342" i="159"/>
  <c r="H343" i="159"/>
  <c r="L343" i="159"/>
  <c r="M343" i="159"/>
  <c r="N343" i="159"/>
  <c r="P343" i="159"/>
  <c r="H344" i="159"/>
  <c r="L344" i="159"/>
  <c r="M344" i="159"/>
  <c r="N344" i="159"/>
  <c r="P344" i="159"/>
  <c r="H345" i="159"/>
  <c r="L345" i="159"/>
  <c r="M345" i="159"/>
  <c r="N345" i="159"/>
  <c r="P345" i="159"/>
  <c r="H346" i="159"/>
  <c r="L346" i="159"/>
  <c r="M346" i="159"/>
  <c r="N346" i="159"/>
  <c r="P346" i="159"/>
  <c r="A342" i="159"/>
  <c r="A343" i="159"/>
  <c r="A344" i="159"/>
  <c r="A345" i="159"/>
  <c r="A346" i="159"/>
  <c r="H342" i="150"/>
  <c r="L342" i="150"/>
  <c r="M342" i="150"/>
  <c r="N342" i="150"/>
  <c r="H343" i="150"/>
  <c r="L343" i="150"/>
  <c r="M343" i="150"/>
  <c r="N343" i="150"/>
  <c r="H344" i="150"/>
  <c r="L344" i="150"/>
  <c r="M344" i="150"/>
  <c r="N344" i="150"/>
  <c r="H345" i="150"/>
  <c r="L345" i="150"/>
  <c r="M345" i="150"/>
  <c r="N345" i="150"/>
  <c r="H346" i="150"/>
  <c r="L346" i="150"/>
  <c r="M346" i="150"/>
  <c r="N346" i="150"/>
  <c r="A342" i="150"/>
  <c r="A343" i="150"/>
  <c r="A344" i="150"/>
  <c r="A345" i="150"/>
  <c r="A346" i="150"/>
  <c r="F56" i="147"/>
  <c r="G56" i="147"/>
  <c r="A341" i="148"/>
  <c r="H341" i="148"/>
  <c r="L341" i="148"/>
  <c r="M341" i="148"/>
  <c r="N341" i="148"/>
  <c r="P341" i="148"/>
  <c r="A342" i="148"/>
  <c r="H342" i="148"/>
  <c r="L342" i="148"/>
  <c r="M342" i="148"/>
  <c r="N342" i="148"/>
  <c r="P342" i="148"/>
  <c r="A343" i="148"/>
  <c r="H343" i="148"/>
  <c r="L343" i="148"/>
  <c r="M343" i="148"/>
  <c r="N343" i="148"/>
  <c r="P343" i="148"/>
  <c r="A344" i="148"/>
  <c r="H344" i="148"/>
  <c r="L344" i="148"/>
  <c r="M344" i="148"/>
  <c r="N344" i="148"/>
  <c r="P344" i="148"/>
  <c r="A345" i="148"/>
  <c r="H345" i="148"/>
  <c r="L345" i="148"/>
  <c r="M345" i="148"/>
  <c r="N345" i="148"/>
  <c r="P345" i="148"/>
  <c r="F57" i="147"/>
  <c r="G57" i="147"/>
  <c r="A341" i="82"/>
  <c r="K341" i="82"/>
  <c r="H341" i="82"/>
  <c r="L341" i="82"/>
  <c r="M341" i="82"/>
  <c r="N341" i="82"/>
  <c r="K342" i="82"/>
  <c r="K3" i="82"/>
  <c r="K4" i="82"/>
  <c r="K5" i="82"/>
  <c r="K10" i="82"/>
  <c r="K11" i="82"/>
  <c r="K12" i="82"/>
  <c r="K13" i="82"/>
  <c r="K18" i="82"/>
  <c r="K19" i="82"/>
  <c r="K20" i="82"/>
  <c r="K21" i="82"/>
  <c r="K26" i="82"/>
  <c r="K27" i="82"/>
  <c r="K28" i="82"/>
  <c r="K29" i="82"/>
  <c r="K34" i="82"/>
  <c r="K35" i="82"/>
  <c r="K36" i="82"/>
  <c r="K37" i="82"/>
  <c r="K42" i="82"/>
  <c r="K43" i="82"/>
  <c r="K44" i="82"/>
  <c r="K45" i="82"/>
  <c r="K46" i="82"/>
  <c r="K47" i="82"/>
  <c r="K54" i="82"/>
  <c r="K55" i="82"/>
  <c r="K56" i="82"/>
  <c r="K57" i="82"/>
  <c r="K58" i="82"/>
  <c r="K59" i="82"/>
  <c r="K66" i="82"/>
  <c r="K67" i="82"/>
  <c r="K68" i="82"/>
  <c r="K69" i="82"/>
  <c r="K70" i="82"/>
  <c r="K71" i="82"/>
  <c r="K78" i="82"/>
  <c r="K79" i="82"/>
  <c r="K80" i="82"/>
  <c r="K81" i="82"/>
  <c r="K82" i="82"/>
  <c r="K83" i="82"/>
  <c r="K90" i="82"/>
  <c r="K91" i="82"/>
  <c r="K92" i="82"/>
  <c r="K93" i="82"/>
  <c r="K94" i="82"/>
  <c r="K95" i="82"/>
  <c r="K102" i="82"/>
  <c r="K103" i="82"/>
  <c r="K104" i="82"/>
  <c r="K105" i="82"/>
  <c r="K106" i="82"/>
  <c r="K107" i="82"/>
  <c r="K114" i="82"/>
  <c r="K115" i="82"/>
  <c r="K116" i="82"/>
  <c r="K117" i="82"/>
  <c r="K118" i="82"/>
  <c r="K119" i="82"/>
  <c r="K126" i="82"/>
  <c r="K127" i="82"/>
  <c r="K128" i="82"/>
  <c r="K129" i="82"/>
  <c r="K130" i="82"/>
  <c r="K131" i="82"/>
  <c r="K138" i="82"/>
  <c r="K139" i="82"/>
  <c r="K140" i="82"/>
  <c r="K141" i="82"/>
  <c r="K146" i="82"/>
  <c r="K147" i="82"/>
  <c r="K148" i="82"/>
  <c r="K149" i="82"/>
  <c r="K150" i="82"/>
  <c r="K156" i="82"/>
  <c r="K157" i="82"/>
  <c r="K158" i="82"/>
  <c r="K159" i="82"/>
  <c r="K160" i="82"/>
  <c r="K166" i="82"/>
  <c r="K167" i="82"/>
  <c r="K168" i="82"/>
  <c r="K169" i="82"/>
  <c r="K170" i="82"/>
  <c r="K176" i="82"/>
  <c r="K177" i="82"/>
  <c r="K178" i="82"/>
  <c r="K179" i="82"/>
  <c r="K180" i="82"/>
  <c r="K186" i="82"/>
  <c r="K187" i="82"/>
  <c r="K188" i="82"/>
  <c r="K189" i="82"/>
  <c r="K190" i="82"/>
  <c r="K196" i="82"/>
  <c r="K197" i="82"/>
  <c r="K198" i="82"/>
  <c r="K199" i="82"/>
  <c r="K200" i="82"/>
  <c r="K206" i="82"/>
  <c r="K207" i="82"/>
  <c r="K208" i="82"/>
  <c r="K209" i="82"/>
  <c r="K215" i="82"/>
  <c r="K216" i="82"/>
  <c r="K221" i="82"/>
  <c r="K222" i="82"/>
  <c r="K223" i="82"/>
  <c r="K224" i="82"/>
  <c r="K225" i="82"/>
  <c r="K231" i="82"/>
  <c r="K232" i="82"/>
  <c r="K233" i="82"/>
  <c r="K234" i="82"/>
  <c r="K235" i="82"/>
  <c r="K236" i="82"/>
  <c r="K242" i="82"/>
  <c r="K243" i="82"/>
  <c r="K244" i="82"/>
  <c r="K245" i="82"/>
  <c r="K252" i="82"/>
  <c r="K253" i="82"/>
  <c r="K254" i="82"/>
  <c r="K255" i="82"/>
  <c r="K256" i="82"/>
  <c r="K257" i="82"/>
  <c r="K262" i="82"/>
  <c r="K263" i="82"/>
  <c r="K264" i="82"/>
  <c r="K265" i="82"/>
  <c r="K268" i="82"/>
  <c r="K269" i="82"/>
  <c r="K274" i="82"/>
  <c r="K275" i="82"/>
  <c r="K276" i="82"/>
  <c r="K277" i="82"/>
  <c r="K284" i="82"/>
  <c r="K285" i="82"/>
  <c r="K290" i="82"/>
  <c r="K291" i="82"/>
  <c r="K292" i="82"/>
  <c r="K293" i="82"/>
  <c r="K296" i="82"/>
  <c r="K297" i="82"/>
  <c r="K298" i="82"/>
  <c r="K301" i="82"/>
  <c r="K302" i="82"/>
  <c r="K306" i="82"/>
  <c r="K307" i="82"/>
  <c r="K308" i="82"/>
  <c r="K311" i="82"/>
  <c r="K312" i="82"/>
  <c r="K313" i="82"/>
  <c r="K316" i="82"/>
  <c r="K317" i="82"/>
  <c r="K321" i="82"/>
  <c r="K322" i="82"/>
  <c r="K326" i="82"/>
  <c r="K327" i="82"/>
  <c r="K328" i="82"/>
  <c r="K333" i="82"/>
  <c r="K334" i="82"/>
  <c r="K335" i="82"/>
  <c r="K336" i="82"/>
  <c r="K337" i="82"/>
  <c r="K338" i="82"/>
  <c r="K346" i="82"/>
  <c r="P341" i="82"/>
  <c r="A342" i="82"/>
  <c r="H342" i="82"/>
  <c r="L342" i="82"/>
  <c r="M342" i="82"/>
  <c r="N342" i="82"/>
  <c r="P342" i="82"/>
  <c r="A343" i="82"/>
  <c r="H343" i="82"/>
  <c r="L343" i="82"/>
  <c r="M343" i="82"/>
  <c r="N343" i="82"/>
  <c r="P343" i="82"/>
  <c r="A344" i="82"/>
  <c r="H344" i="82"/>
  <c r="L344" i="82"/>
  <c r="M344" i="82"/>
  <c r="N344" i="82"/>
  <c r="P344" i="82"/>
  <c r="A345" i="82"/>
  <c r="H345" i="82"/>
  <c r="L345" i="82"/>
  <c r="M345" i="82"/>
  <c r="N345" i="82"/>
  <c r="P345" i="82"/>
  <c r="P138" i="82"/>
  <c r="P139" i="82"/>
  <c r="P140" i="82"/>
  <c r="P141" i="82"/>
  <c r="P2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P304" i="82"/>
  <c r="P305" i="82"/>
  <c r="P306" i="82"/>
  <c r="P307" i="82"/>
  <c r="P308" i="82"/>
  <c r="P309" i="82"/>
  <c r="P310" i="82"/>
  <c r="P311" i="82"/>
  <c r="P312" i="82"/>
  <c r="P313" i="82"/>
  <c r="P314" i="82"/>
  <c r="P315" i="82"/>
  <c r="P316" i="82"/>
  <c r="P317" i="82"/>
  <c r="P318" i="82"/>
  <c r="P319" i="82"/>
  <c r="P320" i="82"/>
  <c r="P321" i="82"/>
  <c r="P322" i="82"/>
  <c r="P323" i="82"/>
  <c r="P324" i="82"/>
  <c r="P325" i="82"/>
  <c r="P326" i="82"/>
  <c r="P327" i="82"/>
  <c r="P328" i="82"/>
  <c r="P329" i="82"/>
  <c r="P330" i="82"/>
  <c r="P331" i="82"/>
  <c r="P332" i="82"/>
  <c r="P333" i="82"/>
  <c r="P334" i="82"/>
  <c r="P335" i="82"/>
  <c r="P336" i="82"/>
  <c r="P337" i="82"/>
  <c r="P338" i="82"/>
  <c r="P339" i="82"/>
  <c r="P340" i="82"/>
  <c r="P346" i="82"/>
  <c r="F63" i="106"/>
  <c r="F64" i="106"/>
  <c r="F56" i="106"/>
  <c r="G56" i="106"/>
  <c r="F57" i="106"/>
  <c r="G57" i="106"/>
  <c r="M3" i="106"/>
  <c r="I3" i="157"/>
  <c r="D3" i="157"/>
  <c r="I2" i="157"/>
  <c r="D2" i="157"/>
  <c r="G31" i="162"/>
  <c r="E31" i="162"/>
  <c r="H31" i="162"/>
  <c r="P341" i="163"/>
  <c r="N341" i="163"/>
  <c r="M341" i="163"/>
  <c r="L341" i="163"/>
  <c r="H341" i="163"/>
  <c r="A341" i="163"/>
  <c r="P340" i="163"/>
  <c r="N340" i="163"/>
  <c r="M340" i="163"/>
  <c r="L340" i="163"/>
  <c r="H340" i="163"/>
  <c r="A340" i="163"/>
  <c r="P339" i="163"/>
  <c r="N339" i="163"/>
  <c r="M339" i="163"/>
  <c r="L339" i="163"/>
  <c r="H339" i="163"/>
  <c r="A339" i="163"/>
  <c r="P338" i="163"/>
  <c r="N338" i="163"/>
  <c r="M338" i="163"/>
  <c r="L338" i="163"/>
  <c r="H338" i="163"/>
  <c r="A338" i="163"/>
  <c r="P337" i="163"/>
  <c r="N337" i="163"/>
  <c r="M337" i="163"/>
  <c r="L337" i="163"/>
  <c r="H337" i="163"/>
  <c r="A337" i="163"/>
  <c r="P336" i="163"/>
  <c r="N336" i="163"/>
  <c r="M336" i="163"/>
  <c r="L336" i="163"/>
  <c r="H336" i="163"/>
  <c r="A336" i="163"/>
  <c r="P335" i="163"/>
  <c r="N335" i="163"/>
  <c r="M335" i="163"/>
  <c r="L335" i="163"/>
  <c r="H335" i="163"/>
  <c r="A335" i="163"/>
  <c r="P334" i="163"/>
  <c r="N334" i="163"/>
  <c r="M334" i="163"/>
  <c r="L334" i="163"/>
  <c r="H334" i="163"/>
  <c r="A334" i="163"/>
  <c r="P333" i="163"/>
  <c r="N333" i="163"/>
  <c r="M333" i="163"/>
  <c r="L333" i="163"/>
  <c r="H333" i="163"/>
  <c r="A333" i="163"/>
  <c r="P332" i="163"/>
  <c r="N332" i="163"/>
  <c r="M332" i="163"/>
  <c r="L332" i="163"/>
  <c r="H332" i="163"/>
  <c r="A332" i="163"/>
  <c r="P331" i="163"/>
  <c r="N331" i="163"/>
  <c r="M331" i="163"/>
  <c r="L331" i="163"/>
  <c r="H331" i="163"/>
  <c r="A331" i="163"/>
  <c r="P330" i="163"/>
  <c r="N330" i="163"/>
  <c r="M330" i="163"/>
  <c r="L330" i="163"/>
  <c r="H330" i="163"/>
  <c r="A330" i="163"/>
  <c r="P329" i="163"/>
  <c r="N329" i="163"/>
  <c r="M329" i="163"/>
  <c r="L329" i="163"/>
  <c r="H329" i="163"/>
  <c r="A329" i="163"/>
  <c r="P328" i="163"/>
  <c r="N328" i="163"/>
  <c r="M328" i="163"/>
  <c r="L328" i="163"/>
  <c r="H328" i="163"/>
  <c r="A328" i="163"/>
  <c r="P327" i="163"/>
  <c r="N327" i="163"/>
  <c r="M327" i="163"/>
  <c r="L327" i="163"/>
  <c r="H327" i="163"/>
  <c r="A327" i="163"/>
  <c r="P326" i="163"/>
  <c r="N326" i="163"/>
  <c r="M326" i="163"/>
  <c r="L326" i="163"/>
  <c r="H326" i="163"/>
  <c r="A326" i="163"/>
  <c r="P325" i="163"/>
  <c r="N325" i="163"/>
  <c r="M325" i="163"/>
  <c r="L325" i="163"/>
  <c r="H325" i="163"/>
  <c r="A325" i="163"/>
  <c r="P324" i="163"/>
  <c r="N324" i="163"/>
  <c r="M324" i="163"/>
  <c r="L324" i="163"/>
  <c r="H324" i="163"/>
  <c r="A324" i="163"/>
  <c r="P323" i="163"/>
  <c r="N323" i="163"/>
  <c r="M323" i="163"/>
  <c r="L323" i="163"/>
  <c r="H323" i="163"/>
  <c r="A323" i="163"/>
  <c r="P322" i="163"/>
  <c r="N322" i="163"/>
  <c r="M322" i="163"/>
  <c r="L322" i="163"/>
  <c r="H322" i="163"/>
  <c r="A322" i="163"/>
  <c r="P321" i="163"/>
  <c r="N321" i="163"/>
  <c r="M321" i="163"/>
  <c r="L321" i="163"/>
  <c r="H321" i="163"/>
  <c r="A321" i="163"/>
  <c r="P320" i="163"/>
  <c r="N320" i="163"/>
  <c r="M320" i="163"/>
  <c r="L320" i="163"/>
  <c r="H320" i="163"/>
  <c r="A320" i="163"/>
  <c r="P319" i="163"/>
  <c r="N319" i="163"/>
  <c r="M319" i="163"/>
  <c r="L319" i="163"/>
  <c r="H319" i="163"/>
  <c r="A319" i="163"/>
  <c r="P318" i="163"/>
  <c r="N318" i="163"/>
  <c r="M318" i="163"/>
  <c r="L318" i="163"/>
  <c r="H318" i="163"/>
  <c r="A318" i="163"/>
  <c r="P317" i="163"/>
  <c r="N317" i="163"/>
  <c r="M317" i="163"/>
  <c r="L317" i="163"/>
  <c r="H317" i="163"/>
  <c r="A317" i="163"/>
  <c r="P316" i="163"/>
  <c r="N316" i="163"/>
  <c r="M316" i="163"/>
  <c r="L316" i="163"/>
  <c r="H316" i="163"/>
  <c r="A316" i="163"/>
  <c r="P315" i="163"/>
  <c r="N315" i="163"/>
  <c r="M315" i="163"/>
  <c r="L315" i="163"/>
  <c r="H315" i="163"/>
  <c r="A315" i="163"/>
  <c r="P314" i="163"/>
  <c r="N314" i="163"/>
  <c r="M314" i="163"/>
  <c r="L314" i="163"/>
  <c r="H314" i="163"/>
  <c r="A314" i="163"/>
  <c r="P313" i="163"/>
  <c r="N313" i="163"/>
  <c r="M313" i="163"/>
  <c r="L313" i="163"/>
  <c r="H313" i="163"/>
  <c r="A313" i="163"/>
  <c r="P312" i="163"/>
  <c r="N312" i="163"/>
  <c r="M312" i="163"/>
  <c r="L312" i="163"/>
  <c r="H312" i="163"/>
  <c r="A312" i="163"/>
  <c r="P311" i="163"/>
  <c r="N311" i="163"/>
  <c r="M311" i="163"/>
  <c r="L311" i="163"/>
  <c r="H311" i="163"/>
  <c r="A311" i="163"/>
  <c r="P310" i="163"/>
  <c r="N310" i="163"/>
  <c r="M310" i="163"/>
  <c r="L310" i="163"/>
  <c r="H310" i="163"/>
  <c r="A310" i="163"/>
  <c r="P309" i="163"/>
  <c r="N309" i="163"/>
  <c r="M309" i="163"/>
  <c r="L309" i="163"/>
  <c r="H309" i="163"/>
  <c r="A309" i="163"/>
  <c r="P308" i="163"/>
  <c r="N308" i="163"/>
  <c r="M308" i="163"/>
  <c r="L308" i="163"/>
  <c r="H308" i="163"/>
  <c r="A308" i="163"/>
  <c r="P307" i="163"/>
  <c r="N307" i="163"/>
  <c r="M307" i="163"/>
  <c r="L307" i="163"/>
  <c r="H307" i="163"/>
  <c r="A307" i="163"/>
  <c r="P306" i="163"/>
  <c r="N306" i="163"/>
  <c r="M306" i="163"/>
  <c r="L306" i="163"/>
  <c r="H306" i="163"/>
  <c r="A306" i="163"/>
  <c r="P305" i="163"/>
  <c r="N305" i="163"/>
  <c r="M305" i="163"/>
  <c r="L305" i="163"/>
  <c r="H305" i="163"/>
  <c r="A305" i="163"/>
  <c r="P304" i="163"/>
  <c r="N304" i="163"/>
  <c r="M304" i="163"/>
  <c r="L304" i="163"/>
  <c r="H304" i="163"/>
  <c r="A304" i="163"/>
  <c r="P303" i="163"/>
  <c r="N303" i="163"/>
  <c r="M303" i="163"/>
  <c r="L303" i="163"/>
  <c r="H303" i="163"/>
  <c r="A303" i="163"/>
  <c r="P302" i="163"/>
  <c r="N302" i="163"/>
  <c r="M302" i="163"/>
  <c r="L302" i="163"/>
  <c r="H302" i="163"/>
  <c r="A302" i="163"/>
  <c r="P301" i="163"/>
  <c r="N301" i="163"/>
  <c r="M301" i="163"/>
  <c r="L301" i="163"/>
  <c r="H301" i="163"/>
  <c r="A301" i="163"/>
  <c r="P300" i="163"/>
  <c r="N300" i="163"/>
  <c r="M300" i="163"/>
  <c r="L300" i="163"/>
  <c r="H300" i="163"/>
  <c r="A300" i="163"/>
  <c r="P299" i="163"/>
  <c r="N299" i="163"/>
  <c r="M299" i="163"/>
  <c r="L299" i="163"/>
  <c r="H299" i="163"/>
  <c r="A299" i="163"/>
  <c r="P298" i="163"/>
  <c r="N298" i="163"/>
  <c r="M298" i="163"/>
  <c r="L298" i="163"/>
  <c r="H298" i="163"/>
  <c r="A298" i="163"/>
  <c r="P297" i="163"/>
  <c r="N297" i="163"/>
  <c r="M297" i="163"/>
  <c r="L297" i="163"/>
  <c r="H297" i="163"/>
  <c r="A297" i="163"/>
  <c r="P296" i="163"/>
  <c r="N296" i="163"/>
  <c r="M296" i="163"/>
  <c r="L296" i="163"/>
  <c r="H296" i="163"/>
  <c r="A296" i="163"/>
  <c r="P295" i="163"/>
  <c r="N295" i="163"/>
  <c r="M295" i="163"/>
  <c r="L295" i="163"/>
  <c r="H295" i="163"/>
  <c r="A295" i="163"/>
  <c r="P294" i="163"/>
  <c r="N294" i="163"/>
  <c r="M294" i="163"/>
  <c r="L294" i="163"/>
  <c r="H294" i="163"/>
  <c r="A294" i="163"/>
  <c r="P293" i="163"/>
  <c r="N293" i="163"/>
  <c r="M293" i="163"/>
  <c r="L293" i="163"/>
  <c r="H293" i="163"/>
  <c r="A293" i="163"/>
  <c r="P292" i="163"/>
  <c r="N292" i="163"/>
  <c r="M292" i="163"/>
  <c r="L292" i="163"/>
  <c r="H292" i="163"/>
  <c r="A292" i="163"/>
  <c r="P291" i="163"/>
  <c r="N291" i="163"/>
  <c r="M291" i="163"/>
  <c r="L291" i="163"/>
  <c r="H291" i="163"/>
  <c r="A291" i="163"/>
  <c r="P290" i="163"/>
  <c r="N290" i="163"/>
  <c r="M290" i="163"/>
  <c r="L290" i="163"/>
  <c r="H290" i="163"/>
  <c r="A290" i="163"/>
  <c r="P289" i="163"/>
  <c r="N289" i="163"/>
  <c r="M289" i="163"/>
  <c r="L289" i="163"/>
  <c r="H289" i="163"/>
  <c r="A289" i="163"/>
  <c r="P288" i="163"/>
  <c r="N288" i="163"/>
  <c r="M288" i="163"/>
  <c r="L288" i="163"/>
  <c r="H288" i="163"/>
  <c r="A288" i="163"/>
  <c r="P287" i="163"/>
  <c r="N287" i="163"/>
  <c r="M287" i="163"/>
  <c r="L287" i="163"/>
  <c r="H287" i="163"/>
  <c r="A287" i="163"/>
  <c r="P286" i="163"/>
  <c r="N286" i="163"/>
  <c r="M286" i="163"/>
  <c r="L286" i="163"/>
  <c r="H286" i="163"/>
  <c r="A286" i="163"/>
  <c r="P285" i="163"/>
  <c r="N285" i="163"/>
  <c r="M285" i="163"/>
  <c r="L285" i="163"/>
  <c r="H285" i="163"/>
  <c r="A285" i="163"/>
  <c r="P284" i="163"/>
  <c r="N284" i="163"/>
  <c r="M284" i="163"/>
  <c r="L284" i="163"/>
  <c r="H284" i="163"/>
  <c r="A284" i="163"/>
  <c r="P283" i="163"/>
  <c r="N283" i="163"/>
  <c r="M283" i="163"/>
  <c r="L283" i="163"/>
  <c r="H283" i="163"/>
  <c r="A283" i="163"/>
  <c r="P282" i="163"/>
  <c r="N282" i="163"/>
  <c r="M282" i="163"/>
  <c r="L282" i="163"/>
  <c r="H282" i="163"/>
  <c r="A282" i="163"/>
  <c r="P281" i="163"/>
  <c r="N281" i="163"/>
  <c r="M281" i="163"/>
  <c r="L281" i="163"/>
  <c r="H281" i="163"/>
  <c r="A281" i="163"/>
  <c r="P280" i="163"/>
  <c r="N280" i="163"/>
  <c r="M280" i="163"/>
  <c r="L280" i="163"/>
  <c r="H280" i="163"/>
  <c r="A280" i="163"/>
  <c r="P279" i="163"/>
  <c r="N279" i="163"/>
  <c r="M279" i="163"/>
  <c r="L279" i="163"/>
  <c r="H279" i="163"/>
  <c r="A279" i="163"/>
  <c r="P278" i="163"/>
  <c r="N278" i="163"/>
  <c r="M278" i="163"/>
  <c r="L278" i="163"/>
  <c r="H278" i="163"/>
  <c r="A278" i="163"/>
  <c r="P277" i="163"/>
  <c r="N277" i="163"/>
  <c r="M277" i="163"/>
  <c r="L277" i="163"/>
  <c r="H277" i="163"/>
  <c r="A277" i="163"/>
  <c r="P276" i="163"/>
  <c r="N276" i="163"/>
  <c r="M276" i="163"/>
  <c r="L276" i="163"/>
  <c r="H276" i="163"/>
  <c r="A276" i="163"/>
  <c r="P275" i="163"/>
  <c r="N275" i="163"/>
  <c r="M275" i="163"/>
  <c r="L275" i="163"/>
  <c r="H275" i="163"/>
  <c r="A275" i="163"/>
  <c r="P274" i="163"/>
  <c r="N274" i="163"/>
  <c r="M274" i="163"/>
  <c r="L274" i="163"/>
  <c r="H274" i="163"/>
  <c r="A274" i="163"/>
  <c r="P273" i="163"/>
  <c r="N273" i="163"/>
  <c r="M273" i="163"/>
  <c r="L273" i="163"/>
  <c r="H273" i="163"/>
  <c r="A273" i="163"/>
  <c r="P272" i="163"/>
  <c r="N272" i="163"/>
  <c r="M272" i="163"/>
  <c r="L272" i="163"/>
  <c r="H272" i="163"/>
  <c r="A272" i="163"/>
  <c r="P271" i="163"/>
  <c r="N271" i="163"/>
  <c r="M271" i="163"/>
  <c r="L271" i="163"/>
  <c r="H271" i="163"/>
  <c r="A271" i="163"/>
  <c r="P270" i="163"/>
  <c r="N270" i="163"/>
  <c r="M270" i="163"/>
  <c r="L270" i="163"/>
  <c r="H270" i="163"/>
  <c r="A270" i="163"/>
  <c r="P269" i="163"/>
  <c r="N269" i="163"/>
  <c r="M269" i="163"/>
  <c r="L269" i="163"/>
  <c r="H269" i="163"/>
  <c r="A269" i="163"/>
  <c r="P268" i="163"/>
  <c r="N268" i="163"/>
  <c r="M268" i="163"/>
  <c r="L268" i="163"/>
  <c r="H268" i="163"/>
  <c r="A268" i="163"/>
  <c r="P267" i="163"/>
  <c r="N267" i="163"/>
  <c r="M267" i="163"/>
  <c r="L267" i="163"/>
  <c r="H267" i="163"/>
  <c r="A267" i="163"/>
  <c r="P266" i="163"/>
  <c r="N266" i="163"/>
  <c r="M266" i="163"/>
  <c r="L266" i="163"/>
  <c r="H266" i="163"/>
  <c r="A266" i="163"/>
  <c r="P265" i="163"/>
  <c r="N265" i="163"/>
  <c r="M265" i="163"/>
  <c r="L265" i="163"/>
  <c r="H265" i="163"/>
  <c r="A265" i="163"/>
  <c r="P264" i="163"/>
  <c r="N264" i="163"/>
  <c r="M264" i="163"/>
  <c r="L264" i="163"/>
  <c r="H264" i="163"/>
  <c r="A264" i="163"/>
  <c r="P263" i="163"/>
  <c r="N263" i="163"/>
  <c r="M263" i="163"/>
  <c r="L263" i="163"/>
  <c r="H263" i="163"/>
  <c r="A263" i="163"/>
  <c r="P262" i="163"/>
  <c r="N262" i="163"/>
  <c r="M262" i="163"/>
  <c r="L262" i="163"/>
  <c r="H262" i="163"/>
  <c r="A262" i="163"/>
  <c r="P261" i="163"/>
  <c r="N261" i="163"/>
  <c r="M261" i="163"/>
  <c r="L261" i="163"/>
  <c r="H261" i="163"/>
  <c r="A261" i="163"/>
  <c r="P260" i="163"/>
  <c r="N260" i="163"/>
  <c r="M260" i="163"/>
  <c r="L260" i="163"/>
  <c r="H260" i="163"/>
  <c r="A260" i="163"/>
  <c r="P259" i="163"/>
  <c r="N259" i="163"/>
  <c r="M259" i="163"/>
  <c r="L259" i="163"/>
  <c r="H259" i="163"/>
  <c r="A259" i="163"/>
  <c r="P258" i="163"/>
  <c r="N258" i="163"/>
  <c r="M258" i="163"/>
  <c r="L258" i="163"/>
  <c r="H258" i="163"/>
  <c r="A258" i="163"/>
  <c r="P257" i="163"/>
  <c r="N257" i="163"/>
  <c r="M257" i="163"/>
  <c r="L257" i="163"/>
  <c r="H257" i="163"/>
  <c r="A257" i="163"/>
  <c r="P256" i="163"/>
  <c r="N256" i="163"/>
  <c r="M256" i="163"/>
  <c r="L256" i="163"/>
  <c r="H256" i="163"/>
  <c r="A256" i="163"/>
  <c r="P255" i="163"/>
  <c r="N255" i="163"/>
  <c r="M255" i="163"/>
  <c r="L255" i="163"/>
  <c r="H255" i="163"/>
  <c r="A255" i="163"/>
  <c r="P254" i="163"/>
  <c r="N254" i="163"/>
  <c r="M254" i="163"/>
  <c r="L254" i="163"/>
  <c r="H254" i="163"/>
  <c r="A254" i="163"/>
  <c r="P253" i="163"/>
  <c r="N253" i="163"/>
  <c r="M253" i="163"/>
  <c r="L253" i="163"/>
  <c r="H253" i="163"/>
  <c r="A253" i="163"/>
  <c r="P252" i="163"/>
  <c r="N252" i="163"/>
  <c r="M252" i="163"/>
  <c r="L252" i="163"/>
  <c r="H252" i="163"/>
  <c r="A252" i="163"/>
  <c r="P251" i="163"/>
  <c r="N251" i="163"/>
  <c r="M251" i="163"/>
  <c r="L251" i="163"/>
  <c r="H251" i="163"/>
  <c r="A251" i="163"/>
  <c r="P250" i="163"/>
  <c r="N250" i="163"/>
  <c r="M250" i="163"/>
  <c r="L250" i="163"/>
  <c r="H250" i="163"/>
  <c r="A250" i="163"/>
  <c r="P249" i="163"/>
  <c r="N249" i="163"/>
  <c r="M249" i="163"/>
  <c r="L249" i="163"/>
  <c r="H249" i="163"/>
  <c r="A249" i="163"/>
  <c r="P248" i="163"/>
  <c r="N248" i="163"/>
  <c r="M248" i="163"/>
  <c r="L248" i="163"/>
  <c r="H248" i="163"/>
  <c r="A248" i="163"/>
  <c r="P247" i="163"/>
  <c r="N247" i="163"/>
  <c r="M247" i="163"/>
  <c r="L247" i="163"/>
  <c r="H247" i="163"/>
  <c r="A247" i="163"/>
  <c r="P246" i="163"/>
  <c r="N246" i="163"/>
  <c r="M246" i="163"/>
  <c r="L246" i="163"/>
  <c r="H246" i="163"/>
  <c r="A246" i="163"/>
  <c r="P245" i="163"/>
  <c r="N245" i="163"/>
  <c r="M245" i="163"/>
  <c r="L245" i="163"/>
  <c r="H245" i="163"/>
  <c r="A245" i="163"/>
  <c r="P244" i="163"/>
  <c r="N244" i="163"/>
  <c r="M244" i="163"/>
  <c r="L244" i="163"/>
  <c r="H244" i="163"/>
  <c r="A244" i="163"/>
  <c r="P243" i="163"/>
  <c r="N243" i="163"/>
  <c r="M243" i="163"/>
  <c r="L243" i="163"/>
  <c r="H243" i="163"/>
  <c r="A243" i="163"/>
  <c r="P242" i="163"/>
  <c r="N242" i="163"/>
  <c r="M242" i="163"/>
  <c r="L242" i="163"/>
  <c r="H242" i="163"/>
  <c r="A242" i="163"/>
  <c r="P241" i="163"/>
  <c r="N241" i="163"/>
  <c r="M241" i="163"/>
  <c r="L241" i="163"/>
  <c r="H241" i="163"/>
  <c r="A241" i="163"/>
  <c r="P240" i="163"/>
  <c r="N240" i="163"/>
  <c r="M240" i="163"/>
  <c r="L240" i="163"/>
  <c r="H240" i="163"/>
  <c r="A240" i="163"/>
  <c r="P239" i="163"/>
  <c r="N239" i="163"/>
  <c r="M239" i="163"/>
  <c r="L239" i="163"/>
  <c r="H239" i="163"/>
  <c r="A239" i="163"/>
  <c r="P238" i="163"/>
  <c r="N238" i="163"/>
  <c r="M238" i="163"/>
  <c r="L238" i="163"/>
  <c r="H238" i="163"/>
  <c r="A238" i="163"/>
  <c r="P237" i="163"/>
  <c r="N237" i="163"/>
  <c r="M237" i="163"/>
  <c r="L237" i="163"/>
  <c r="H237" i="163"/>
  <c r="A237" i="163"/>
  <c r="P236" i="163"/>
  <c r="N236" i="163"/>
  <c r="M236" i="163"/>
  <c r="L236" i="163"/>
  <c r="H236" i="163"/>
  <c r="A236" i="163"/>
  <c r="P235" i="163"/>
  <c r="N235" i="163"/>
  <c r="M235" i="163"/>
  <c r="L235" i="163"/>
  <c r="H235" i="163"/>
  <c r="A235" i="163"/>
  <c r="P234" i="163"/>
  <c r="N234" i="163"/>
  <c r="M234" i="163"/>
  <c r="L234" i="163"/>
  <c r="H234" i="163"/>
  <c r="A234" i="163"/>
  <c r="P233" i="163"/>
  <c r="N233" i="163"/>
  <c r="M233" i="163"/>
  <c r="L233" i="163"/>
  <c r="H233" i="163"/>
  <c r="A233" i="163"/>
  <c r="P232" i="163"/>
  <c r="N232" i="163"/>
  <c r="M232" i="163"/>
  <c r="L232" i="163"/>
  <c r="H232" i="163"/>
  <c r="A232" i="163"/>
  <c r="P231" i="163"/>
  <c r="N231" i="163"/>
  <c r="M231" i="163"/>
  <c r="L231" i="163"/>
  <c r="H231" i="163"/>
  <c r="A231" i="163"/>
  <c r="P230" i="163"/>
  <c r="N230" i="163"/>
  <c r="M230" i="163"/>
  <c r="L230" i="163"/>
  <c r="H230" i="163"/>
  <c r="A230" i="163"/>
  <c r="P229" i="163"/>
  <c r="N229" i="163"/>
  <c r="M229" i="163"/>
  <c r="L229" i="163"/>
  <c r="H229" i="163"/>
  <c r="A229" i="163"/>
  <c r="P228" i="163"/>
  <c r="N228" i="163"/>
  <c r="M228" i="163"/>
  <c r="L228" i="163"/>
  <c r="H228" i="163"/>
  <c r="A228" i="163"/>
  <c r="P227" i="163"/>
  <c r="N227" i="163"/>
  <c r="M227" i="163"/>
  <c r="L227" i="163"/>
  <c r="H227" i="163"/>
  <c r="A227" i="163"/>
  <c r="P226" i="163"/>
  <c r="N226" i="163"/>
  <c r="M226" i="163"/>
  <c r="L226" i="163"/>
  <c r="H226" i="163"/>
  <c r="A226" i="163"/>
  <c r="P225" i="163"/>
  <c r="N225" i="163"/>
  <c r="M225" i="163"/>
  <c r="L225" i="163"/>
  <c r="H225" i="163"/>
  <c r="A225" i="163"/>
  <c r="P224" i="163"/>
  <c r="N224" i="163"/>
  <c r="M224" i="163"/>
  <c r="L224" i="163"/>
  <c r="H224" i="163"/>
  <c r="A224" i="163"/>
  <c r="P223" i="163"/>
  <c r="N223" i="163"/>
  <c r="M223" i="163"/>
  <c r="L223" i="163"/>
  <c r="H223" i="163"/>
  <c r="A223" i="163"/>
  <c r="P222" i="163"/>
  <c r="N222" i="163"/>
  <c r="M222" i="163"/>
  <c r="L222" i="163"/>
  <c r="H222" i="163"/>
  <c r="A222" i="163"/>
  <c r="P221" i="163"/>
  <c r="N221" i="163"/>
  <c r="M221" i="163"/>
  <c r="L221" i="163"/>
  <c r="H221" i="163"/>
  <c r="A221" i="163"/>
  <c r="P220" i="163"/>
  <c r="N220" i="163"/>
  <c r="M220" i="163"/>
  <c r="L220" i="163"/>
  <c r="H220" i="163"/>
  <c r="A220" i="163"/>
  <c r="P219" i="163"/>
  <c r="N219" i="163"/>
  <c r="M219" i="163"/>
  <c r="L219" i="163"/>
  <c r="H219" i="163"/>
  <c r="A219" i="163"/>
  <c r="P218" i="163"/>
  <c r="N218" i="163"/>
  <c r="M218" i="163"/>
  <c r="L218" i="163"/>
  <c r="H218" i="163"/>
  <c r="A218" i="163"/>
  <c r="P217" i="163"/>
  <c r="N217" i="163"/>
  <c r="M217" i="163"/>
  <c r="L217" i="163"/>
  <c r="H217" i="163"/>
  <c r="A217" i="163"/>
  <c r="P216" i="163"/>
  <c r="N216" i="163"/>
  <c r="M216" i="163"/>
  <c r="L216" i="163"/>
  <c r="H216" i="163"/>
  <c r="A216" i="163"/>
  <c r="P215" i="163"/>
  <c r="N215" i="163"/>
  <c r="M215" i="163"/>
  <c r="L215" i="163"/>
  <c r="H215" i="163"/>
  <c r="A215" i="163"/>
  <c r="P214" i="163"/>
  <c r="N214" i="163"/>
  <c r="M214" i="163"/>
  <c r="L214" i="163"/>
  <c r="H214" i="163"/>
  <c r="A214" i="163"/>
  <c r="P213" i="163"/>
  <c r="N213" i="163"/>
  <c r="M213" i="163"/>
  <c r="L213" i="163"/>
  <c r="H213" i="163"/>
  <c r="A213" i="163"/>
  <c r="P212" i="163"/>
  <c r="N212" i="163"/>
  <c r="M212" i="163"/>
  <c r="L212" i="163"/>
  <c r="H212" i="163"/>
  <c r="A212" i="163"/>
  <c r="P211" i="163"/>
  <c r="N211" i="163"/>
  <c r="M211" i="163"/>
  <c r="L211" i="163"/>
  <c r="H211" i="163"/>
  <c r="A211" i="163"/>
  <c r="P210" i="163"/>
  <c r="N210" i="163"/>
  <c r="M210" i="163"/>
  <c r="L210" i="163"/>
  <c r="H210" i="163"/>
  <c r="A210" i="163"/>
  <c r="P209" i="163"/>
  <c r="N209" i="163"/>
  <c r="M209" i="163"/>
  <c r="L209" i="163"/>
  <c r="H209" i="163"/>
  <c r="A209" i="163"/>
  <c r="P208" i="163"/>
  <c r="N208" i="163"/>
  <c r="M208" i="163"/>
  <c r="L208" i="163"/>
  <c r="H208" i="163"/>
  <c r="A208" i="163"/>
  <c r="P207" i="163"/>
  <c r="N207" i="163"/>
  <c r="M207" i="163"/>
  <c r="L207" i="163"/>
  <c r="H207" i="163"/>
  <c r="A207" i="163"/>
  <c r="P206" i="163"/>
  <c r="N206" i="163"/>
  <c r="M206" i="163"/>
  <c r="L206" i="163"/>
  <c r="H206" i="163"/>
  <c r="A206" i="163"/>
  <c r="P205" i="163"/>
  <c r="N205" i="163"/>
  <c r="M205" i="163"/>
  <c r="L205" i="163"/>
  <c r="H205" i="163"/>
  <c r="A205" i="163"/>
  <c r="P204" i="163"/>
  <c r="N204" i="163"/>
  <c r="M204" i="163"/>
  <c r="L204" i="163"/>
  <c r="H204" i="163"/>
  <c r="A204" i="163"/>
  <c r="P203" i="163"/>
  <c r="N203" i="163"/>
  <c r="M203" i="163"/>
  <c r="L203" i="163"/>
  <c r="H203" i="163"/>
  <c r="A203" i="163"/>
  <c r="P202" i="163"/>
  <c r="N202" i="163"/>
  <c r="M202" i="163"/>
  <c r="L202" i="163"/>
  <c r="H202" i="163"/>
  <c r="A202" i="163"/>
  <c r="P201" i="163"/>
  <c r="N201" i="163"/>
  <c r="M201" i="163"/>
  <c r="L201" i="163"/>
  <c r="H201" i="163"/>
  <c r="A201" i="163"/>
  <c r="P200" i="163"/>
  <c r="N200" i="163"/>
  <c r="M200" i="163"/>
  <c r="L200" i="163"/>
  <c r="H200" i="163"/>
  <c r="A200" i="163"/>
  <c r="P199" i="163"/>
  <c r="N199" i="163"/>
  <c r="M199" i="163"/>
  <c r="L199" i="163"/>
  <c r="H199" i="163"/>
  <c r="A199" i="163"/>
  <c r="P198" i="163"/>
  <c r="N198" i="163"/>
  <c r="M198" i="163"/>
  <c r="L198" i="163"/>
  <c r="H198" i="163"/>
  <c r="A198" i="163"/>
  <c r="P197" i="163"/>
  <c r="N197" i="163"/>
  <c r="M197" i="163"/>
  <c r="L197" i="163"/>
  <c r="H197" i="163"/>
  <c r="A197" i="163"/>
  <c r="P196" i="163"/>
  <c r="N196" i="163"/>
  <c r="M196" i="163"/>
  <c r="L196" i="163"/>
  <c r="H196" i="163"/>
  <c r="A196" i="163"/>
  <c r="P195" i="163"/>
  <c r="N195" i="163"/>
  <c r="M195" i="163"/>
  <c r="L195" i="163"/>
  <c r="H195" i="163"/>
  <c r="A195" i="163"/>
  <c r="P194" i="163"/>
  <c r="N194" i="163"/>
  <c r="M194" i="163"/>
  <c r="L194" i="163"/>
  <c r="H194" i="163"/>
  <c r="A194" i="163"/>
  <c r="P193" i="163"/>
  <c r="N193" i="163"/>
  <c r="M193" i="163"/>
  <c r="L193" i="163"/>
  <c r="H193" i="163"/>
  <c r="A193" i="163"/>
  <c r="P192" i="163"/>
  <c r="N192" i="163"/>
  <c r="M192" i="163"/>
  <c r="L192" i="163"/>
  <c r="H192" i="163"/>
  <c r="A192" i="163"/>
  <c r="P191" i="163"/>
  <c r="N191" i="163"/>
  <c r="M191" i="163"/>
  <c r="L191" i="163"/>
  <c r="H191" i="163"/>
  <c r="A191" i="163"/>
  <c r="P190" i="163"/>
  <c r="N190" i="163"/>
  <c r="M190" i="163"/>
  <c r="L190" i="163"/>
  <c r="H190" i="163"/>
  <c r="A190" i="163"/>
  <c r="P189" i="163"/>
  <c r="N189" i="163"/>
  <c r="M189" i="163"/>
  <c r="L189" i="163"/>
  <c r="H189" i="163"/>
  <c r="A189" i="163"/>
  <c r="P188" i="163"/>
  <c r="N188" i="163"/>
  <c r="M188" i="163"/>
  <c r="L188" i="163"/>
  <c r="H188" i="163"/>
  <c r="A188" i="163"/>
  <c r="P187" i="163"/>
  <c r="N187" i="163"/>
  <c r="M187" i="163"/>
  <c r="L187" i="163"/>
  <c r="H187" i="163"/>
  <c r="A187" i="163"/>
  <c r="P186" i="163"/>
  <c r="N186" i="163"/>
  <c r="M186" i="163"/>
  <c r="L186" i="163"/>
  <c r="H186" i="163"/>
  <c r="A186" i="163"/>
  <c r="P185" i="163"/>
  <c r="N185" i="163"/>
  <c r="M185" i="163"/>
  <c r="L185" i="163"/>
  <c r="H185" i="163"/>
  <c r="A185" i="163"/>
  <c r="P184" i="163"/>
  <c r="N184" i="163"/>
  <c r="M184" i="163"/>
  <c r="L184" i="163"/>
  <c r="H184" i="163"/>
  <c r="A184" i="163"/>
  <c r="P183" i="163"/>
  <c r="N183" i="163"/>
  <c r="M183" i="163"/>
  <c r="L183" i="163"/>
  <c r="H183" i="163"/>
  <c r="A183" i="163"/>
  <c r="P182" i="163"/>
  <c r="N182" i="163"/>
  <c r="M182" i="163"/>
  <c r="L182" i="163"/>
  <c r="H182" i="163"/>
  <c r="A182" i="163"/>
  <c r="P181" i="163"/>
  <c r="N181" i="163"/>
  <c r="M181" i="163"/>
  <c r="L181" i="163"/>
  <c r="H181" i="163"/>
  <c r="A181" i="163"/>
  <c r="P180" i="163"/>
  <c r="N180" i="163"/>
  <c r="M180" i="163"/>
  <c r="L180" i="163"/>
  <c r="H180" i="163"/>
  <c r="A180" i="163"/>
  <c r="P179" i="163"/>
  <c r="N179" i="163"/>
  <c r="M179" i="163"/>
  <c r="L179" i="163"/>
  <c r="H179" i="163"/>
  <c r="A179" i="163"/>
  <c r="P178" i="163"/>
  <c r="N178" i="163"/>
  <c r="M178" i="163"/>
  <c r="L178" i="163"/>
  <c r="H178" i="163"/>
  <c r="A178" i="163"/>
  <c r="P177" i="163"/>
  <c r="N177" i="163"/>
  <c r="M177" i="163"/>
  <c r="L177" i="163"/>
  <c r="H177" i="163"/>
  <c r="A177" i="163"/>
  <c r="P176" i="163"/>
  <c r="N176" i="163"/>
  <c r="M176" i="163"/>
  <c r="L176" i="163"/>
  <c r="H176" i="163"/>
  <c r="A176" i="163"/>
  <c r="P175" i="163"/>
  <c r="N175" i="163"/>
  <c r="M175" i="163"/>
  <c r="L175" i="163"/>
  <c r="H175" i="163"/>
  <c r="A175" i="163"/>
  <c r="P174" i="163"/>
  <c r="N174" i="163"/>
  <c r="M174" i="163"/>
  <c r="L174" i="163"/>
  <c r="H174" i="163"/>
  <c r="A174" i="163"/>
  <c r="P173" i="163"/>
  <c r="N173" i="163"/>
  <c r="M173" i="163"/>
  <c r="L173" i="163"/>
  <c r="H173" i="163"/>
  <c r="A173" i="163"/>
  <c r="P172" i="163"/>
  <c r="N172" i="163"/>
  <c r="M172" i="163"/>
  <c r="L172" i="163"/>
  <c r="H172" i="163"/>
  <c r="A172" i="163"/>
  <c r="P171" i="163"/>
  <c r="N171" i="163"/>
  <c r="M171" i="163"/>
  <c r="L171" i="163"/>
  <c r="H171" i="163"/>
  <c r="A171" i="163"/>
  <c r="P170" i="163"/>
  <c r="N170" i="163"/>
  <c r="M170" i="163"/>
  <c r="L170" i="163"/>
  <c r="H170" i="163"/>
  <c r="A170" i="163"/>
  <c r="P169" i="163"/>
  <c r="N169" i="163"/>
  <c r="M169" i="163"/>
  <c r="L169" i="163"/>
  <c r="H169" i="163"/>
  <c r="A169" i="163"/>
  <c r="P168" i="163"/>
  <c r="N168" i="163"/>
  <c r="M168" i="163"/>
  <c r="L168" i="163"/>
  <c r="H168" i="163"/>
  <c r="A168" i="163"/>
  <c r="P167" i="163"/>
  <c r="N167" i="163"/>
  <c r="M167" i="163"/>
  <c r="L167" i="163"/>
  <c r="H167" i="163"/>
  <c r="A167" i="163"/>
  <c r="P166" i="163"/>
  <c r="N166" i="163"/>
  <c r="M166" i="163"/>
  <c r="L166" i="163"/>
  <c r="H166" i="163"/>
  <c r="A166" i="163"/>
  <c r="P165" i="163"/>
  <c r="N165" i="163"/>
  <c r="M165" i="163"/>
  <c r="L165" i="163"/>
  <c r="H165" i="163"/>
  <c r="A165" i="163"/>
  <c r="P164" i="163"/>
  <c r="N164" i="163"/>
  <c r="M164" i="163"/>
  <c r="L164" i="163"/>
  <c r="H164" i="163"/>
  <c r="A164" i="163"/>
  <c r="P163" i="163"/>
  <c r="N163" i="163"/>
  <c r="M163" i="163"/>
  <c r="L163" i="163"/>
  <c r="H163" i="163"/>
  <c r="A163" i="163"/>
  <c r="P162" i="163"/>
  <c r="N162" i="163"/>
  <c r="M162" i="163"/>
  <c r="L162" i="163"/>
  <c r="H162" i="163"/>
  <c r="A162" i="163"/>
  <c r="P161" i="163"/>
  <c r="N161" i="163"/>
  <c r="M161" i="163"/>
  <c r="L161" i="163"/>
  <c r="H161" i="163"/>
  <c r="A161" i="163"/>
  <c r="P160" i="163"/>
  <c r="N160" i="163"/>
  <c r="M160" i="163"/>
  <c r="L160" i="163"/>
  <c r="H160" i="163"/>
  <c r="A160" i="163"/>
  <c r="P159" i="163"/>
  <c r="N159" i="163"/>
  <c r="M159" i="163"/>
  <c r="L159" i="163"/>
  <c r="H159" i="163"/>
  <c r="A159" i="163"/>
  <c r="P158" i="163"/>
  <c r="N158" i="163"/>
  <c r="M158" i="163"/>
  <c r="L158" i="163"/>
  <c r="H158" i="163"/>
  <c r="A158" i="163"/>
  <c r="P157" i="163"/>
  <c r="N157" i="163"/>
  <c r="M157" i="163"/>
  <c r="L157" i="163"/>
  <c r="H157" i="163"/>
  <c r="A157" i="163"/>
  <c r="P156" i="163"/>
  <c r="N156" i="163"/>
  <c r="M156" i="163"/>
  <c r="L156" i="163"/>
  <c r="H156" i="163"/>
  <c r="A156" i="163"/>
  <c r="P155" i="163"/>
  <c r="N155" i="163"/>
  <c r="M155" i="163"/>
  <c r="L155" i="163"/>
  <c r="H155" i="163"/>
  <c r="A155" i="163"/>
  <c r="P154" i="163"/>
  <c r="N154" i="163"/>
  <c r="M154" i="163"/>
  <c r="L154" i="163"/>
  <c r="H154" i="163"/>
  <c r="A154" i="163"/>
  <c r="P153" i="163"/>
  <c r="N153" i="163"/>
  <c r="M153" i="163"/>
  <c r="L153" i="163"/>
  <c r="H153" i="163"/>
  <c r="A153" i="163"/>
  <c r="P152" i="163"/>
  <c r="N152" i="163"/>
  <c r="M152" i="163"/>
  <c r="L152" i="163"/>
  <c r="H152" i="163"/>
  <c r="A152" i="163"/>
  <c r="P151" i="163"/>
  <c r="N151" i="163"/>
  <c r="M151" i="163"/>
  <c r="L151" i="163"/>
  <c r="H151" i="163"/>
  <c r="A151" i="163"/>
  <c r="P150" i="163"/>
  <c r="N150" i="163"/>
  <c r="M150" i="163"/>
  <c r="L150" i="163"/>
  <c r="H150" i="163"/>
  <c r="A150" i="163"/>
  <c r="P149" i="163"/>
  <c r="N149" i="163"/>
  <c r="M149" i="163"/>
  <c r="L149" i="163"/>
  <c r="H149" i="163"/>
  <c r="A149" i="163"/>
  <c r="P148" i="163"/>
  <c r="N148" i="163"/>
  <c r="M148" i="163"/>
  <c r="L148" i="163"/>
  <c r="H148" i="163"/>
  <c r="A148" i="163"/>
  <c r="P147" i="163"/>
  <c r="N147" i="163"/>
  <c r="M147" i="163"/>
  <c r="L147" i="163"/>
  <c r="H147" i="163"/>
  <c r="A147" i="163"/>
  <c r="P146" i="163"/>
  <c r="N146" i="163"/>
  <c r="M146" i="163"/>
  <c r="L146" i="163"/>
  <c r="H146" i="163"/>
  <c r="A146" i="163"/>
  <c r="P145" i="163"/>
  <c r="N145" i="163"/>
  <c r="M145" i="163"/>
  <c r="L145" i="163"/>
  <c r="H145" i="163"/>
  <c r="A145" i="163"/>
  <c r="P144" i="163"/>
  <c r="N144" i="163"/>
  <c r="M144" i="163"/>
  <c r="L144" i="163"/>
  <c r="H144" i="163"/>
  <c r="A144" i="163"/>
  <c r="P143" i="163"/>
  <c r="N143" i="163"/>
  <c r="M143" i="163"/>
  <c r="L143" i="163"/>
  <c r="H143" i="163"/>
  <c r="A143" i="163"/>
  <c r="P142" i="163"/>
  <c r="N142" i="163"/>
  <c r="M142" i="163"/>
  <c r="L142" i="163"/>
  <c r="H142" i="163"/>
  <c r="A142" i="163"/>
  <c r="P141" i="163"/>
  <c r="N141" i="163"/>
  <c r="M141" i="163"/>
  <c r="L141" i="163"/>
  <c r="H141" i="163"/>
  <c r="A141" i="163"/>
  <c r="P140" i="163"/>
  <c r="N140" i="163"/>
  <c r="M140" i="163"/>
  <c r="L140" i="163"/>
  <c r="H140" i="163"/>
  <c r="A140" i="163"/>
  <c r="P139" i="163"/>
  <c r="N139" i="163"/>
  <c r="M139" i="163"/>
  <c r="L139" i="163"/>
  <c r="H139" i="163"/>
  <c r="A139" i="163"/>
  <c r="P138" i="163"/>
  <c r="N138" i="163"/>
  <c r="M138" i="163"/>
  <c r="L138" i="163"/>
  <c r="H138" i="163"/>
  <c r="A138" i="163"/>
  <c r="P137" i="163"/>
  <c r="N137" i="163"/>
  <c r="M137" i="163"/>
  <c r="L137" i="163"/>
  <c r="H137" i="163"/>
  <c r="A137" i="163"/>
  <c r="P136" i="163"/>
  <c r="N136" i="163"/>
  <c r="M136" i="163"/>
  <c r="L136" i="163"/>
  <c r="H136" i="163"/>
  <c r="A136" i="163"/>
  <c r="P135" i="163"/>
  <c r="N135" i="163"/>
  <c r="M135" i="163"/>
  <c r="L135" i="163"/>
  <c r="H135" i="163"/>
  <c r="A135" i="163"/>
  <c r="P134" i="163"/>
  <c r="N134" i="163"/>
  <c r="M134" i="163"/>
  <c r="L134" i="163"/>
  <c r="H134" i="163"/>
  <c r="A134" i="163"/>
  <c r="P133" i="163"/>
  <c r="N133" i="163"/>
  <c r="M133" i="163"/>
  <c r="L133" i="163"/>
  <c r="H133" i="163"/>
  <c r="A133" i="163"/>
  <c r="P132" i="163"/>
  <c r="N132" i="163"/>
  <c r="M132" i="163"/>
  <c r="L132" i="163"/>
  <c r="H132" i="163"/>
  <c r="A132" i="163"/>
  <c r="P131" i="163"/>
  <c r="N131" i="163"/>
  <c r="M131" i="163"/>
  <c r="L131" i="163"/>
  <c r="H131" i="163"/>
  <c r="A131" i="163"/>
  <c r="P130" i="163"/>
  <c r="N130" i="163"/>
  <c r="M130" i="163"/>
  <c r="L130" i="163"/>
  <c r="H130" i="163"/>
  <c r="A130" i="163"/>
  <c r="P129" i="163"/>
  <c r="N129" i="163"/>
  <c r="M129" i="163"/>
  <c r="L129" i="163"/>
  <c r="H129" i="163"/>
  <c r="A129" i="163"/>
  <c r="P128" i="163"/>
  <c r="N128" i="163"/>
  <c r="M128" i="163"/>
  <c r="L128" i="163"/>
  <c r="H128" i="163"/>
  <c r="A128" i="163"/>
  <c r="P127" i="163"/>
  <c r="N127" i="163"/>
  <c r="M127" i="163"/>
  <c r="L127" i="163"/>
  <c r="H127" i="163"/>
  <c r="A127" i="163"/>
  <c r="P126" i="163"/>
  <c r="N126" i="163"/>
  <c r="M126" i="163"/>
  <c r="L126" i="163"/>
  <c r="H126" i="163"/>
  <c r="A126" i="163"/>
  <c r="P125" i="163"/>
  <c r="N125" i="163"/>
  <c r="M125" i="163"/>
  <c r="L125" i="163"/>
  <c r="H125" i="163"/>
  <c r="A125" i="163"/>
  <c r="P124" i="163"/>
  <c r="N124" i="163"/>
  <c r="M124" i="163"/>
  <c r="L124" i="163"/>
  <c r="H124" i="163"/>
  <c r="A124" i="163"/>
  <c r="P123" i="163"/>
  <c r="N123" i="163"/>
  <c r="M123" i="163"/>
  <c r="L123" i="163"/>
  <c r="H123" i="163"/>
  <c r="A123" i="163"/>
  <c r="P122" i="163"/>
  <c r="N122" i="163"/>
  <c r="M122" i="163"/>
  <c r="L122" i="163"/>
  <c r="H122" i="163"/>
  <c r="A122" i="163"/>
  <c r="P121" i="163"/>
  <c r="N121" i="163"/>
  <c r="M121" i="163"/>
  <c r="L121" i="163"/>
  <c r="H121" i="163"/>
  <c r="A121" i="163"/>
  <c r="P120" i="163"/>
  <c r="N120" i="163"/>
  <c r="M120" i="163"/>
  <c r="L120" i="163"/>
  <c r="H120" i="163"/>
  <c r="A120" i="163"/>
  <c r="P119" i="163"/>
  <c r="N119" i="163"/>
  <c r="M119" i="163"/>
  <c r="L119" i="163"/>
  <c r="H119" i="163"/>
  <c r="A119" i="163"/>
  <c r="P118" i="163"/>
  <c r="N118" i="163"/>
  <c r="M118" i="163"/>
  <c r="L118" i="163"/>
  <c r="H118" i="163"/>
  <c r="A118" i="163"/>
  <c r="P117" i="163"/>
  <c r="N117" i="163"/>
  <c r="M117" i="163"/>
  <c r="L117" i="163"/>
  <c r="H117" i="163"/>
  <c r="A117" i="163"/>
  <c r="P116" i="163"/>
  <c r="N116" i="163"/>
  <c r="M116" i="163"/>
  <c r="L116" i="163"/>
  <c r="H116" i="163"/>
  <c r="A116" i="163"/>
  <c r="P115" i="163"/>
  <c r="N115" i="163"/>
  <c r="M115" i="163"/>
  <c r="L115" i="163"/>
  <c r="H115" i="163"/>
  <c r="A115" i="163"/>
  <c r="P114" i="163"/>
  <c r="N114" i="163"/>
  <c r="M114" i="163"/>
  <c r="L114" i="163"/>
  <c r="H114" i="163"/>
  <c r="A114" i="163"/>
  <c r="P113" i="163"/>
  <c r="N113" i="163"/>
  <c r="M113" i="163"/>
  <c r="L113" i="163"/>
  <c r="H113" i="163"/>
  <c r="A113" i="163"/>
  <c r="P112" i="163"/>
  <c r="N112" i="163"/>
  <c r="M112" i="163"/>
  <c r="L112" i="163"/>
  <c r="H112" i="163"/>
  <c r="A112" i="163"/>
  <c r="P111" i="163"/>
  <c r="N111" i="163"/>
  <c r="M111" i="163"/>
  <c r="L111" i="163"/>
  <c r="H111" i="163"/>
  <c r="A111" i="163"/>
  <c r="P110" i="163"/>
  <c r="N110" i="163"/>
  <c r="M110" i="163"/>
  <c r="L110" i="163"/>
  <c r="H110" i="163"/>
  <c r="A110" i="163"/>
  <c r="P109" i="163"/>
  <c r="N109" i="163"/>
  <c r="M109" i="163"/>
  <c r="L109" i="163"/>
  <c r="H109" i="163"/>
  <c r="A109" i="163"/>
  <c r="P108" i="163"/>
  <c r="N108" i="163"/>
  <c r="M108" i="163"/>
  <c r="L108" i="163"/>
  <c r="H108" i="163"/>
  <c r="A108" i="163"/>
  <c r="P107" i="163"/>
  <c r="N107" i="163"/>
  <c r="M107" i="163"/>
  <c r="L107" i="163"/>
  <c r="H107" i="163"/>
  <c r="A107" i="163"/>
  <c r="P106" i="163"/>
  <c r="N106" i="163"/>
  <c r="M106" i="163"/>
  <c r="L106" i="163"/>
  <c r="H106" i="163"/>
  <c r="A106" i="163"/>
  <c r="P105" i="163"/>
  <c r="N105" i="163"/>
  <c r="M105" i="163"/>
  <c r="L105" i="163"/>
  <c r="H105" i="163"/>
  <c r="A105" i="163"/>
  <c r="P104" i="163"/>
  <c r="N104" i="163"/>
  <c r="M104" i="163"/>
  <c r="L104" i="163"/>
  <c r="H104" i="163"/>
  <c r="A104" i="163"/>
  <c r="P103" i="163"/>
  <c r="N103" i="163"/>
  <c r="M103" i="163"/>
  <c r="L103" i="163"/>
  <c r="H103" i="163"/>
  <c r="A103" i="163"/>
  <c r="P102" i="163"/>
  <c r="N102" i="163"/>
  <c r="M102" i="163"/>
  <c r="L102" i="163"/>
  <c r="H102" i="163"/>
  <c r="A102" i="163"/>
  <c r="P101" i="163"/>
  <c r="N101" i="163"/>
  <c r="M101" i="163"/>
  <c r="L101" i="163"/>
  <c r="H101" i="163"/>
  <c r="A101" i="163"/>
  <c r="P100" i="163"/>
  <c r="N100" i="163"/>
  <c r="M100" i="163"/>
  <c r="L100" i="163"/>
  <c r="H100" i="163"/>
  <c r="A100" i="163"/>
  <c r="P99" i="163"/>
  <c r="N99" i="163"/>
  <c r="M99" i="163"/>
  <c r="L99" i="163"/>
  <c r="H99" i="163"/>
  <c r="A99" i="163"/>
  <c r="P98" i="163"/>
  <c r="N98" i="163"/>
  <c r="M98" i="163"/>
  <c r="L98" i="163"/>
  <c r="H98" i="163"/>
  <c r="A98" i="163"/>
  <c r="P97" i="163"/>
  <c r="N97" i="163"/>
  <c r="M97" i="163"/>
  <c r="L97" i="163"/>
  <c r="H97" i="163"/>
  <c r="A97" i="163"/>
  <c r="P96" i="163"/>
  <c r="N96" i="163"/>
  <c r="M96" i="163"/>
  <c r="L96" i="163"/>
  <c r="H96" i="163"/>
  <c r="A96" i="163"/>
  <c r="P95" i="163"/>
  <c r="N95" i="163"/>
  <c r="M95" i="163"/>
  <c r="L95" i="163"/>
  <c r="H95" i="163"/>
  <c r="A95" i="163"/>
  <c r="P94" i="163"/>
  <c r="N94" i="163"/>
  <c r="M94" i="163"/>
  <c r="L94" i="163"/>
  <c r="H94" i="163"/>
  <c r="A94" i="163"/>
  <c r="P93" i="163"/>
  <c r="N93" i="163"/>
  <c r="M93" i="163"/>
  <c r="L93" i="163"/>
  <c r="H93" i="163"/>
  <c r="A93" i="163"/>
  <c r="P92" i="163"/>
  <c r="N92" i="163"/>
  <c r="M92" i="163"/>
  <c r="L92" i="163"/>
  <c r="H92" i="163"/>
  <c r="A92" i="163"/>
  <c r="P91" i="163"/>
  <c r="N91" i="163"/>
  <c r="M91" i="163"/>
  <c r="L91" i="163"/>
  <c r="H91" i="163"/>
  <c r="A91" i="163"/>
  <c r="P90" i="163"/>
  <c r="N90" i="163"/>
  <c r="M90" i="163"/>
  <c r="L90" i="163"/>
  <c r="H90" i="163"/>
  <c r="A90" i="163"/>
  <c r="P89" i="163"/>
  <c r="N89" i="163"/>
  <c r="M89" i="163"/>
  <c r="L89" i="163"/>
  <c r="H89" i="163"/>
  <c r="A89" i="163"/>
  <c r="P88" i="163"/>
  <c r="N88" i="163"/>
  <c r="M88" i="163"/>
  <c r="L88" i="163"/>
  <c r="H88" i="163"/>
  <c r="A88" i="163"/>
  <c r="P87" i="163"/>
  <c r="N87" i="163"/>
  <c r="M87" i="163"/>
  <c r="L87" i="163"/>
  <c r="H87" i="163"/>
  <c r="A87" i="163"/>
  <c r="P86" i="163"/>
  <c r="N86" i="163"/>
  <c r="M86" i="163"/>
  <c r="L86" i="163"/>
  <c r="H86" i="163"/>
  <c r="A86" i="163"/>
  <c r="P85" i="163"/>
  <c r="N85" i="163"/>
  <c r="M85" i="163"/>
  <c r="L85" i="163"/>
  <c r="H85" i="163"/>
  <c r="A85" i="163"/>
  <c r="P84" i="163"/>
  <c r="N84" i="163"/>
  <c r="M84" i="163"/>
  <c r="L84" i="163"/>
  <c r="H84" i="163"/>
  <c r="A84" i="163"/>
  <c r="P83" i="163"/>
  <c r="N83" i="163"/>
  <c r="M83" i="163"/>
  <c r="L83" i="163"/>
  <c r="H83" i="163"/>
  <c r="A83" i="163"/>
  <c r="P82" i="163"/>
  <c r="N82" i="163"/>
  <c r="M82" i="163"/>
  <c r="L82" i="163"/>
  <c r="H82" i="163"/>
  <c r="A82" i="163"/>
  <c r="P81" i="163"/>
  <c r="N81" i="163"/>
  <c r="M81" i="163"/>
  <c r="L81" i="163"/>
  <c r="H81" i="163"/>
  <c r="A81" i="163"/>
  <c r="P80" i="163"/>
  <c r="N80" i="163"/>
  <c r="M80" i="163"/>
  <c r="L80" i="163"/>
  <c r="H80" i="163"/>
  <c r="A80" i="163"/>
  <c r="P79" i="163"/>
  <c r="N79" i="163"/>
  <c r="M79" i="163"/>
  <c r="L79" i="163"/>
  <c r="H79" i="163"/>
  <c r="A79" i="163"/>
  <c r="P78" i="163"/>
  <c r="N78" i="163"/>
  <c r="M78" i="163"/>
  <c r="L78" i="163"/>
  <c r="H78" i="163"/>
  <c r="A78" i="163"/>
  <c r="P77" i="163"/>
  <c r="N77" i="163"/>
  <c r="M77" i="163"/>
  <c r="L77" i="163"/>
  <c r="H77" i="163"/>
  <c r="A77" i="163"/>
  <c r="P76" i="163"/>
  <c r="N76" i="163"/>
  <c r="M76" i="163"/>
  <c r="L76" i="163"/>
  <c r="H76" i="163"/>
  <c r="A76" i="163"/>
  <c r="P75" i="163"/>
  <c r="N75" i="163"/>
  <c r="M75" i="163"/>
  <c r="L75" i="163"/>
  <c r="H75" i="163"/>
  <c r="A75" i="163"/>
  <c r="P74" i="163"/>
  <c r="N74" i="163"/>
  <c r="M74" i="163"/>
  <c r="L74" i="163"/>
  <c r="H74" i="163"/>
  <c r="A74" i="163"/>
  <c r="P73" i="163"/>
  <c r="N73" i="163"/>
  <c r="M73" i="163"/>
  <c r="L73" i="163"/>
  <c r="H73" i="163"/>
  <c r="A73" i="163"/>
  <c r="P72" i="163"/>
  <c r="N72" i="163"/>
  <c r="M72" i="163"/>
  <c r="L72" i="163"/>
  <c r="H72" i="163"/>
  <c r="A72" i="163"/>
  <c r="P71" i="163"/>
  <c r="N71" i="163"/>
  <c r="M71" i="163"/>
  <c r="L71" i="163"/>
  <c r="H71" i="163"/>
  <c r="A71" i="163"/>
  <c r="P70" i="163"/>
  <c r="N70" i="163"/>
  <c r="M70" i="163"/>
  <c r="L70" i="163"/>
  <c r="H70" i="163"/>
  <c r="A70" i="163"/>
  <c r="P69" i="163"/>
  <c r="N69" i="163"/>
  <c r="M69" i="163"/>
  <c r="L69" i="163"/>
  <c r="H69" i="163"/>
  <c r="A69" i="163"/>
  <c r="P68" i="163"/>
  <c r="N68" i="163"/>
  <c r="M68" i="163"/>
  <c r="L68" i="163"/>
  <c r="H68" i="163"/>
  <c r="A68" i="163"/>
  <c r="P67" i="163"/>
  <c r="N67" i="163"/>
  <c r="M67" i="163"/>
  <c r="L67" i="163"/>
  <c r="H67" i="163"/>
  <c r="A67" i="163"/>
  <c r="P66" i="163"/>
  <c r="N66" i="163"/>
  <c r="M66" i="163"/>
  <c r="L66" i="163"/>
  <c r="H66" i="163"/>
  <c r="A66" i="163"/>
  <c r="P65" i="163"/>
  <c r="N65" i="163"/>
  <c r="M65" i="163"/>
  <c r="L65" i="163"/>
  <c r="H65" i="163"/>
  <c r="A65" i="163"/>
  <c r="P64" i="163"/>
  <c r="N64" i="163"/>
  <c r="M64" i="163"/>
  <c r="L64" i="163"/>
  <c r="H64" i="163"/>
  <c r="A64" i="163"/>
  <c r="P63" i="163"/>
  <c r="N63" i="163"/>
  <c r="M63" i="163"/>
  <c r="L63" i="163"/>
  <c r="H63" i="163"/>
  <c r="A63" i="163"/>
  <c r="P62" i="163"/>
  <c r="N62" i="163"/>
  <c r="M62" i="163"/>
  <c r="L62" i="163"/>
  <c r="H62" i="163"/>
  <c r="A62" i="163"/>
  <c r="P61" i="163"/>
  <c r="N61" i="163"/>
  <c r="M61" i="163"/>
  <c r="L61" i="163"/>
  <c r="H61" i="163"/>
  <c r="A61" i="163"/>
  <c r="P60" i="163"/>
  <c r="N60" i="163"/>
  <c r="M60" i="163"/>
  <c r="L60" i="163"/>
  <c r="H60" i="163"/>
  <c r="A60" i="163"/>
  <c r="P59" i="163"/>
  <c r="N59" i="163"/>
  <c r="M59" i="163"/>
  <c r="L59" i="163"/>
  <c r="H59" i="163"/>
  <c r="A59" i="163"/>
  <c r="P58" i="163"/>
  <c r="N58" i="163"/>
  <c r="M58" i="163"/>
  <c r="L58" i="163"/>
  <c r="H58" i="163"/>
  <c r="A58" i="163"/>
  <c r="P57" i="163"/>
  <c r="N57" i="163"/>
  <c r="M57" i="163"/>
  <c r="L57" i="163"/>
  <c r="H57" i="163"/>
  <c r="A57" i="163"/>
  <c r="P56" i="163"/>
  <c r="N56" i="163"/>
  <c r="M56" i="163"/>
  <c r="L56" i="163"/>
  <c r="H56" i="163"/>
  <c r="A56" i="163"/>
  <c r="P55" i="163"/>
  <c r="N55" i="163"/>
  <c r="M55" i="163"/>
  <c r="L55" i="163"/>
  <c r="H55" i="163"/>
  <c r="A55" i="163"/>
  <c r="P54" i="163"/>
  <c r="N54" i="163"/>
  <c r="M54" i="163"/>
  <c r="L54" i="163"/>
  <c r="H54" i="163"/>
  <c r="A54" i="163"/>
  <c r="P53" i="163"/>
  <c r="N53" i="163"/>
  <c r="M53" i="163"/>
  <c r="L53" i="163"/>
  <c r="H53" i="163"/>
  <c r="A53" i="163"/>
  <c r="P52" i="163"/>
  <c r="N52" i="163"/>
  <c r="M52" i="163"/>
  <c r="L52" i="163"/>
  <c r="H52" i="163"/>
  <c r="A52" i="163"/>
  <c r="P51" i="163"/>
  <c r="N51" i="163"/>
  <c r="M51" i="163"/>
  <c r="L51" i="163"/>
  <c r="H51" i="163"/>
  <c r="A51" i="163"/>
  <c r="P50" i="163"/>
  <c r="N50" i="163"/>
  <c r="M50" i="163"/>
  <c r="L50" i="163"/>
  <c r="H50" i="163"/>
  <c r="A50" i="163"/>
  <c r="P49" i="163"/>
  <c r="N49" i="163"/>
  <c r="M49" i="163"/>
  <c r="L49" i="163"/>
  <c r="H49" i="163"/>
  <c r="A49" i="163"/>
  <c r="P48" i="163"/>
  <c r="N48" i="163"/>
  <c r="M48" i="163"/>
  <c r="L48" i="163"/>
  <c r="H48" i="163"/>
  <c r="A48" i="163"/>
  <c r="P47" i="163"/>
  <c r="N47" i="163"/>
  <c r="M47" i="163"/>
  <c r="L47" i="163"/>
  <c r="H47" i="163"/>
  <c r="A47" i="163"/>
  <c r="P46" i="163"/>
  <c r="N46" i="163"/>
  <c r="M46" i="163"/>
  <c r="L46" i="163"/>
  <c r="H46" i="163"/>
  <c r="A46" i="163"/>
  <c r="P45" i="163"/>
  <c r="N45" i="163"/>
  <c r="M45" i="163"/>
  <c r="L45" i="163"/>
  <c r="H45" i="163"/>
  <c r="A45" i="163"/>
  <c r="P44" i="163"/>
  <c r="N44" i="163"/>
  <c r="M44" i="163"/>
  <c r="L44" i="163"/>
  <c r="H44" i="163"/>
  <c r="A44" i="163"/>
  <c r="P43" i="163"/>
  <c r="N43" i="163"/>
  <c r="M43" i="163"/>
  <c r="L43" i="163"/>
  <c r="H43" i="163"/>
  <c r="A43" i="163"/>
  <c r="P42" i="163"/>
  <c r="N42" i="163"/>
  <c r="M42" i="163"/>
  <c r="L42" i="163"/>
  <c r="H42" i="163"/>
  <c r="A42" i="163"/>
  <c r="P41" i="163"/>
  <c r="N41" i="163"/>
  <c r="M41" i="163"/>
  <c r="L41" i="163"/>
  <c r="H41" i="163"/>
  <c r="A41" i="163"/>
  <c r="P40" i="163"/>
  <c r="N40" i="163"/>
  <c r="M40" i="163"/>
  <c r="L40" i="163"/>
  <c r="H40" i="163"/>
  <c r="A40" i="163"/>
  <c r="P39" i="163"/>
  <c r="N39" i="163"/>
  <c r="M39" i="163"/>
  <c r="L39" i="163"/>
  <c r="H39" i="163"/>
  <c r="A39" i="163"/>
  <c r="P38" i="163"/>
  <c r="N38" i="163"/>
  <c r="M38" i="163"/>
  <c r="L38" i="163"/>
  <c r="H38" i="163"/>
  <c r="A38" i="163"/>
  <c r="P37" i="163"/>
  <c r="N37" i="163"/>
  <c r="M37" i="163"/>
  <c r="L37" i="163"/>
  <c r="H37" i="163"/>
  <c r="A37" i="163"/>
  <c r="P36" i="163"/>
  <c r="N36" i="163"/>
  <c r="M36" i="163"/>
  <c r="L36" i="163"/>
  <c r="H36" i="163"/>
  <c r="A36" i="163"/>
  <c r="P35" i="163"/>
  <c r="N35" i="163"/>
  <c r="M35" i="163"/>
  <c r="L35" i="163"/>
  <c r="H35" i="163"/>
  <c r="A35" i="163"/>
  <c r="P34" i="163"/>
  <c r="N34" i="163"/>
  <c r="M34" i="163"/>
  <c r="L34" i="163"/>
  <c r="H34" i="163"/>
  <c r="A34" i="163"/>
  <c r="P33" i="163"/>
  <c r="N33" i="163"/>
  <c r="M33" i="163"/>
  <c r="L33" i="163"/>
  <c r="H33" i="163"/>
  <c r="A33" i="163"/>
  <c r="P32" i="163"/>
  <c r="N32" i="163"/>
  <c r="M32" i="163"/>
  <c r="L32" i="163"/>
  <c r="H32" i="163"/>
  <c r="A32" i="163"/>
  <c r="P31" i="163"/>
  <c r="N31" i="163"/>
  <c r="M31" i="163"/>
  <c r="L31" i="163"/>
  <c r="H31" i="163"/>
  <c r="A31" i="163"/>
  <c r="P30" i="163"/>
  <c r="N30" i="163"/>
  <c r="M30" i="163"/>
  <c r="L30" i="163"/>
  <c r="H30" i="163"/>
  <c r="A30" i="163"/>
  <c r="P29" i="163"/>
  <c r="N29" i="163"/>
  <c r="M29" i="163"/>
  <c r="L29" i="163"/>
  <c r="H29" i="163"/>
  <c r="A29" i="163"/>
  <c r="P28" i="163"/>
  <c r="N28" i="163"/>
  <c r="M28" i="163"/>
  <c r="L28" i="163"/>
  <c r="H28" i="163"/>
  <c r="A28" i="163"/>
  <c r="P27" i="163"/>
  <c r="N27" i="163"/>
  <c r="M27" i="163"/>
  <c r="L27" i="163"/>
  <c r="H27" i="163"/>
  <c r="A27" i="163"/>
  <c r="P26" i="163"/>
  <c r="N26" i="163"/>
  <c r="M26" i="163"/>
  <c r="L26" i="163"/>
  <c r="H26" i="163"/>
  <c r="A26" i="163"/>
  <c r="P25" i="163"/>
  <c r="N25" i="163"/>
  <c r="M25" i="163"/>
  <c r="L25" i="163"/>
  <c r="H25" i="163"/>
  <c r="A25" i="163"/>
  <c r="P24" i="163"/>
  <c r="N24" i="163"/>
  <c r="M24" i="163"/>
  <c r="L24" i="163"/>
  <c r="H24" i="163"/>
  <c r="A24" i="163"/>
  <c r="P23" i="163"/>
  <c r="N23" i="163"/>
  <c r="M23" i="163"/>
  <c r="L23" i="163"/>
  <c r="H23" i="163"/>
  <c r="A23" i="163"/>
  <c r="P22" i="163"/>
  <c r="N22" i="163"/>
  <c r="M22" i="163"/>
  <c r="L22" i="163"/>
  <c r="H22" i="163"/>
  <c r="A22" i="163"/>
  <c r="P21" i="163"/>
  <c r="N21" i="163"/>
  <c r="M21" i="163"/>
  <c r="L21" i="163"/>
  <c r="H21" i="163"/>
  <c r="A21" i="163"/>
  <c r="P20" i="163"/>
  <c r="N20" i="163"/>
  <c r="M20" i="163"/>
  <c r="L20" i="163"/>
  <c r="H20" i="163"/>
  <c r="A20" i="163"/>
  <c r="P19" i="163"/>
  <c r="N19" i="163"/>
  <c r="M19" i="163"/>
  <c r="L19" i="163"/>
  <c r="H19" i="163"/>
  <c r="A19" i="163"/>
  <c r="P18" i="163"/>
  <c r="N18" i="163"/>
  <c r="M18" i="163"/>
  <c r="L18" i="163"/>
  <c r="H18" i="163"/>
  <c r="A18" i="163"/>
  <c r="P17" i="163"/>
  <c r="N17" i="163"/>
  <c r="M17" i="163"/>
  <c r="L17" i="163"/>
  <c r="H17" i="163"/>
  <c r="A17" i="163"/>
  <c r="P16" i="163"/>
  <c r="N16" i="163"/>
  <c r="M16" i="163"/>
  <c r="L16" i="163"/>
  <c r="H16" i="163"/>
  <c r="A16" i="163"/>
  <c r="P15" i="163"/>
  <c r="N15" i="163"/>
  <c r="M15" i="163"/>
  <c r="L15" i="163"/>
  <c r="H15" i="163"/>
  <c r="A15" i="163"/>
  <c r="P14" i="163"/>
  <c r="N14" i="163"/>
  <c r="M14" i="163"/>
  <c r="L14" i="163"/>
  <c r="H14" i="163"/>
  <c r="A14" i="163"/>
  <c r="P13" i="163"/>
  <c r="N13" i="163"/>
  <c r="M13" i="163"/>
  <c r="L13" i="163"/>
  <c r="H13" i="163"/>
  <c r="A13" i="163"/>
  <c r="P12" i="163"/>
  <c r="N12" i="163"/>
  <c r="M12" i="163"/>
  <c r="L12" i="163"/>
  <c r="H12" i="163"/>
  <c r="A12" i="163"/>
  <c r="P11" i="163"/>
  <c r="N11" i="163"/>
  <c r="M11" i="163"/>
  <c r="L11" i="163"/>
  <c r="H11" i="163"/>
  <c r="A11" i="163"/>
  <c r="P10" i="163"/>
  <c r="N10" i="163"/>
  <c r="M10" i="163"/>
  <c r="L10" i="163"/>
  <c r="H10" i="163"/>
  <c r="A10" i="163"/>
  <c r="P9" i="163"/>
  <c r="N9" i="163"/>
  <c r="M9" i="163"/>
  <c r="L9" i="163"/>
  <c r="H9" i="163"/>
  <c r="A9" i="163"/>
  <c r="P8" i="163"/>
  <c r="N8" i="163"/>
  <c r="M8" i="163"/>
  <c r="L8" i="163"/>
  <c r="H8" i="163"/>
  <c r="A8" i="163"/>
  <c r="P7" i="163"/>
  <c r="N7" i="163"/>
  <c r="M7" i="163"/>
  <c r="L7" i="163"/>
  <c r="H7" i="163"/>
  <c r="A7" i="163"/>
  <c r="P6" i="163"/>
  <c r="N6" i="163"/>
  <c r="M6" i="163"/>
  <c r="L6" i="163"/>
  <c r="H6" i="163"/>
  <c r="A6" i="163"/>
  <c r="P5" i="163"/>
  <c r="N5" i="163"/>
  <c r="M5" i="163"/>
  <c r="L5" i="163"/>
  <c r="H5" i="163"/>
  <c r="A5" i="163"/>
  <c r="P4" i="163"/>
  <c r="N4" i="163"/>
  <c r="M4" i="163"/>
  <c r="L4" i="163"/>
  <c r="H4" i="163"/>
  <c r="A4" i="163"/>
  <c r="P3" i="163"/>
  <c r="N3" i="163"/>
  <c r="M3" i="163"/>
  <c r="L3" i="163"/>
  <c r="H3" i="163"/>
  <c r="A3" i="163"/>
  <c r="P2" i="163"/>
  <c r="N2" i="163"/>
  <c r="M2" i="163"/>
  <c r="L2" i="163"/>
  <c r="H2" i="163"/>
  <c r="A2" i="163"/>
  <c r="F65" i="162"/>
  <c r="F64" i="162"/>
  <c r="F63" i="162"/>
  <c r="F62" i="162"/>
  <c r="B55" i="162"/>
  <c r="B56" i="162"/>
  <c r="B57" i="162"/>
  <c r="B58" i="162"/>
  <c r="B59" i="162"/>
  <c r="B60" i="162"/>
  <c r="B61" i="162"/>
  <c r="B62" i="162"/>
  <c r="C55" i="162"/>
  <c r="C56" i="162"/>
  <c r="C57" i="162"/>
  <c r="C58" i="162"/>
  <c r="C59" i="162"/>
  <c r="C60" i="162"/>
  <c r="C61" i="162"/>
  <c r="C62" i="162"/>
  <c r="F61" i="162"/>
  <c r="F60" i="162"/>
  <c r="H56" i="162"/>
  <c r="H55" i="162"/>
  <c r="F55" i="162"/>
  <c r="G55" i="162"/>
  <c r="B47" i="162"/>
  <c r="D47" i="162"/>
  <c r="I46" i="162"/>
  <c r="J46" i="162"/>
  <c r="F46" i="162"/>
  <c r="D46" i="162"/>
  <c r="G45" i="162"/>
  <c r="E45" i="162"/>
  <c r="H45" i="162"/>
  <c r="I45" i="162"/>
  <c r="J45" i="162"/>
  <c r="F45" i="162"/>
  <c r="D45" i="162"/>
  <c r="I44" i="162"/>
  <c r="J44" i="162"/>
  <c r="F44" i="162"/>
  <c r="D44" i="162"/>
  <c r="I43" i="162"/>
  <c r="J43" i="162"/>
  <c r="F43" i="162"/>
  <c r="D43" i="162"/>
  <c r="I42" i="162"/>
  <c r="J42" i="162"/>
  <c r="F42" i="162"/>
  <c r="D42" i="162"/>
  <c r="I41" i="162"/>
  <c r="J41" i="162"/>
  <c r="F41" i="162"/>
  <c r="D41" i="162"/>
  <c r="I40" i="162"/>
  <c r="J40" i="162"/>
  <c r="F40" i="162"/>
  <c r="D40" i="162"/>
  <c r="I39" i="162"/>
  <c r="J39" i="162"/>
  <c r="F39" i="162"/>
  <c r="D39" i="162"/>
  <c r="I38" i="162"/>
  <c r="J38" i="162"/>
  <c r="F38" i="162"/>
  <c r="D38" i="162"/>
  <c r="I37" i="162"/>
  <c r="J37" i="162"/>
  <c r="F37" i="162"/>
  <c r="D37" i="162"/>
  <c r="I36" i="162"/>
  <c r="J36" i="162"/>
  <c r="F36" i="162"/>
  <c r="D36" i="162"/>
  <c r="I35" i="162"/>
  <c r="J35" i="162"/>
  <c r="F35" i="162"/>
  <c r="D35" i="162"/>
  <c r="I34" i="162"/>
  <c r="J34" i="162"/>
  <c r="F34" i="162"/>
  <c r="D34" i="162"/>
  <c r="I33" i="162"/>
  <c r="J33" i="162"/>
  <c r="F33" i="162"/>
  <c r="D33" i="162"/>
  <c r="I32" i="162"/>
  <c r="J32" i="162"/>
  <c r="F32" i="162"/>
  <c r="D32" i="162"/>
  <c r="I31" i="162"/>
  <c r="J31" i="162"/>
  <c r="F31" i="162"/>
  <c r="D31" i="162"/>
  <c r="G30" i="162"/>
  <c r="E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D18" i="162"/>
  <c r="R17" i="162"/>
  <c r="P17" i="162"/>
  <c r="O17" i="162"/>
  <c r="M17" i="162"/>
  <c r="I17" i="162"/>
  <c r="J17" i="162"/>
  <c r="F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R9" i="162"/>
  <c r="P9" i="162"/>
  <c r="O9" i="162"/>
  <c r="M9" i="162"/>
  <c r="V8" i="162"/>
  <c r="R8" i="162"/>
  <c r="P8" i="162"/>
  <c r="O8" i="162"/>
  <c r="M8" i="162"/>
  <c r="V7" i="162"/>
  <c r="R7" i="162"/>
  <c r="P7" i="162"/>
  <c r="O7" i="162"/>
  <c r="M7" i="162"/>
  <c r="V6" i="162"/>
  <c r="R6" i="162"/>
  <c r="P6" i="162"/>
  <c r="O6" i="162"/>
  <c r="M6" i="162"/>
  <c r="V5" i="162"/>
  <c r="R5" i="162"/>
  <c r="P5" i="162"/>
  <c r="O5" i="162"/>
  <c r="M5" i="162"/>
  <c r="V4" i="162"/>
  <c r="R4" i="162"/>
  <c r="P4" i="162"/>
  <c r="O4" i="162"/>
  <c r="M4" i="162"/>
  <c r="V3" i="162"/>
  <c r="P3" i="162"/>
  <c r="O3" i="162"/>
  <c r="M3" i="162"/>
  <c r="V2" i="162"/>
  <c r="P138" i="148"/>
  <c r="P139" i="148"/>
  <c r="P140" i="148"/>
  <c r="P141" i="148"/>
  <c r="P2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99" i="148"/>
  <c r="P300" i="148"/>
  <c r="P301" i="148"/>
  <c r="P302" i="148"/>
  <c r="P303" i="148"/>
  <c r="P304" i="148"/>
  <c r="P305" i="148"/>
  <c r="P306" i="148"/>
  <c r="P307" i="148"/>
  <c r="P308" i="148"/>
  <c r="P309" i="148"/>
  <c r="P310" i="148"/>
  <c r="P311" i="148"/>
  <c r="P312" i="148"/>
  <c r="P313" i="148"/>
  <c r="P314" i="148"/>
  <c r="P315" i="148"/>
  <c r="P316" i="148"/>
  <c r="P317" i="148"/>
  <c r="P318" i="148"/>
  <c r="P319" i="148"/>
  <c r="P320" i="148"/>
  <c r="P321" i="148"/>
  <c r="P322" i="148"/>
  <c r="P323" i="148"/>
  <c r="P324" i="148"/>
  <c r="P325" i="148"/>
  <c r="P326" i="148"/>
  <c r="P327" i="148"/>
  <c r="P328" i="148"/>
  <c r="P329" i="148"/>
  <c r="P330" i="148"/>
  <c r="P331" i="148"/>
  <c r="P332" i="148"/>
  <c r="P333" i="148"/>
  <c r="P334" i="148"/>
  <c r="P335" i="148"/>
  <c r="P336" i="148"/>
  <c r="P337" i="148"/>
  <c r="P338" i="148"/>
  <c r="P339" i="148"/>
  <c r="P340" i="148"/>
  <c r="P346" i="148"/>
  <c r="F63" i="147"/>
  <c r="F64" i="147"/>
  <c r="G31" i="158"/>
  <c r="E31" i="158"/>
  <c r="H31" i="158"/>
  <c r="H341" i="154"/>
  <c r="L341" i="154"/>
  <c r="M341" i="154"/>
  <c r="N341" i="154"/>
  <c r="P341" i="154"/>
  <c r="A341" i="154"/>
  <c r="H341" i="159"/>
  <c r="L341" i="159"/>
  <c r="M341" i="159"/>
  <c r="N341" i="159"/>
  <c r="P341" i="159"/>
  <c r="A341" i="159"/>
  <c r="H341" i="150"/>
  <c r="L341" i="150"/>
  <c r="M341" i="150"/>
  <c r="N341" i="150"/>
  <c r="G31" i="149"/>
  <c r="E31" i="149"/>
  <c r="H31" i="149"/>
  <c r="A341" i="150"/>
  <c r="H346" i="148"/>
  <c r="L346" i="148"/>
  <c r="M346" i="148"/>
  <c r="N346" i="148"/>
  <c r="A346" i="148"/>
  <c r="H346" i="82"/>
  <c r="L346" i="82"/>
  <c r="M346" i="82"/>
  <c r="N346" i="82"/>
  <c r="A346" i="82"/>
  <c r="H331" i="154"/>
  <c r="L331" i="154"/>
  <c r="M331" i="154"/>
  <c r="N331" i="154"/>
  <c r="P331" i="154"/>
  <c r="H332" i="154"/>
  <c r="L332" i="154"/>
  <c r="M332" i="154"/>
  <c r="N332" i="154"/>
  <c r="P332" i="154"/>
  <c r="H333" i="154"/>
  <c r="L333" i="154"/>
  <c r="M333" i="154"/>
  <c r="N333" i="154"/>
  <c r="P333" i="154"/>
  <c r="H334" i="154"/>
  <c r="L334" i="154"/>
  <c r="M334" i="154"/>
  <c r="N334" i="154"/>
  <c r="P334" i="154"/>
  <c r="H335" i="154"/>
  <c r="L335" i="154"/>
  <c r="M335" i="154"/>
  <c r="N335" i="154"/>
  <c r="P335" i="154"/>
  <c r="H336" i="154"/>
  <c r="L336" i="154"/>
  <c r="M336" i="154"/>
  <c r="N336" i="154"/>
  <c r="P336" i="154"/>
  <c r="H337" i="154"/>
  <c r="L337" i="154"/>
  <c r="M337" i="154"/>
  <c r="N337" i="154"/>
  <c r="P337" i="154"/>
  <c r="H338" i="154"/>
  <c r="L338" i="154"/>
  <c r="M338" i="154"/>
  <c r="N338" i="154"/>
  <c r="P338" i="154"/>
  <c r="H339" i="154"/>
  <c r="L339" i="154"/>
  <c r="M339" i="154"/>
  <c r="N339" i="154"/>
  <c r="P339" i="154"/>
  <c r="H340" i="154"/>
  <c r="L340" i="154"/>
  <c r="M340" i="154"/>
  <c r="N340" i="154"/>
  <c r="P340" i="154"/>
  <c r="A332" i="154"/>
  <c r="A333" i="154"/>
  <c r="A334" i="154"/>
  <c r="A335" i="154"/>
  <c r="A336" i="154"/>
  <c r="A337" i="154"/>
  <c r="A338" i="154"/>
  <c r="A339" i="154"/>
  <c r="A340" i="154"/>
  <c r="H331" i="159"/>
  <c r="L331" i="159"/>
  <c r="M331" i="159"/>
  <c r="N331" i="159"/>
  <c r="P331" i="159"/>
  <c r="H332" i="159"/>
  <c r="L332" i="159"/>
  <c r="M332" i="159"/>
  <c r="N332" i="159"/>
  <c r="P332" i="159"/>
  <c r="H333" i="159"/>
  <c r="L333" i="159"/>
  <c r="M333" i="159"/>
  <c r="N333" i="159"/>
  <c r="P333" i="159"/>
  <c r="H334" i="159"/>
  <c r="L334" i="159"/>
  <c r="M334" i="159"/>
  <c r="N334" i="159"/>
  <c r="P334" i="159"/>
  <c r="H335" i="159"/>
  <c r="L335" i="159"/>
  <c r="M335" i="159"/>
  <c r="N335" i="159"/>
  <c r="P335" i="159"/>
  <c r="H336" i="159"/>
  <c r="L336" i="159"/>
  <c r="M336" i="159"/>
  <c r="N336" i="159"/>
  <c r="P336" i="159"/>
  <c r="H337" i="159"/>
  <c r="L337" i="159"/>
  <c r="M337" i="159"/>
  <c r="N337" i="159"/>
  <c r="P337" i="159"/>
  <c r="H338" i="159"/>
  <c r="L338" i="159"/>
  <c r="M338" i="159"/>
  <c r="N338" i="159"/>
  <c r="P338" i="159"/>
  <c r="H339" i="159"/>
  <c r="L339" i="159"/>
  <c r="M339" i="159"/>
  <c r="N339" i="159"/>
  <c r="P339" i="159"/>
  <c r="H340" i="159"/>
  <c r="L340" i="159"/>
  <c r="M340" i="159"/>
  <c r="N340" i="159"/>
  <c r="P340" i="159"/>
  <c r="A332" i="159"/>
  <c r="A333" i="159"/>
  <c r="A334" i="159"/>
  <c r="A335" i="159"/>
  <c r="A336" i="159"/>
  <c r="A337" i="159"/>
  <c r="A338" i="159"/>
  <c r="A339" i="159"/>
  <c r="A340" i="159"/>
  <c r="H331" i="150"/>
  <c r="L331" i="150"/>
  <c r="M331" i="150"/>
  <c r="N331" i="150"/>
  <c r="H332" i="150"/>
  <c r="L332" i="150"/>
  <c r="M332" i="150"/>
  <c r="N332" i="150"/>
  <c r="H333" i="150"/>
  <c r="L333" i="150"/>
  <c r="M333" i="150"/>
  <c r="N333" i="150"/>
  <c r="H334" i="150"/>
  <c r="L334" i="150"/>
  <c r="M334" i="150"/>
  <c r="N334" i="150"/>
  <c r="H335" i="150"/>
  <c r="L335" i="150"/>
  <c r="M335" i="150"/>
  <c r="N335" i="150"/>
  <c r="H336" i="150"/>
  <c r="L336" i="150"/>
  <c r="M336" i="150"/>
  <c r="N336" i="150"/>
  <c r="H337" i="150"/>
  <c r="L337" i="150"/>
  <c r="M337" i="150"/>
  <c r="N337" i="150"/>
  <c r="H338" i="150"/>
  <c r="L338" i="150"/>
  <c r="M338" i="150"/>
  <c r="N338" i="150"/>
  <c r="H339" i="150"/>
  <c r="L339" i="150"/>
  <c r="M339" i="150"/>
  <c r="N339" i="150"/>
  <c r="H340" i="150"/>
  <c r="L340" i="150"/>
  <c r="M340" i="150"/>
  <c r="N340" i="150"/>
  <c r="A332" i="150"/>
  <c r="A333" i="150"/>
  <c r="A334" i="150"/>
  <c r="A335" i="150"/>
  <c r="A336" i="150"/>
  <c r="A337" i="150"/>
  <c r="A338" i="150"/>
  <c r="A339" i="150"/>
  <c r="A340" i="150"/>
  <c r="H331" i="148"/>
  <c r="L331" i="148"/>
  <c r="M331" i="148"/>
  <c r="N331" i="148"/>
  <c r="H332" i="148"/>
  <c r="L332" i="148"/>
  <c r="M332" i="148"/>
  <c r="N332" i="148"/>
  <c r="H333" i="148"/>
  <c r="L333" i="148"/>
  <c r="M333" i="148"/>
  <c r="N333" i="148"/>
  <c r="H334" i="148"/>
  <c r="L334" i="148"/>
  <c r="M334" i="148"/>
  <c r="N334" i="148"/>
  <c r="H335" i="148"/>
  <c r="L335" i="148"/>
  <c r="M335" i="148"/>
  <c r="N335" i="148"/>
  <c r="H336" i="148"/>
  <c r="L336" i="148"/>
  <c r="M336" i="148"/>
  <c r="N336" i="148"/>
  <c r="H337" i="148"/>
  <c r="L337" i="148"/>
  <c r="M337" i="148"/>
  <c r="N337" i="148"/>
  <c r="H338" i="148"/>
  <c r="L338" i="148"/>
  <c r="M338" i="148"/>
  <c r="N338" i="148"/>
  <c r="H339" i="148"/>
  <c r="L339" i="148"/>
  <c r="M339" i="148"/>
  <c r="N339" i="148"/>
  <c r="H340" i="148"/>
  <c r="L340" i="148"/>
  <c r="M340" i="148"/>
  <c r="N340" i="148"/>
  <c r="A332" i="148"/>
  <c r="A333" i="148"/>
  <c r="A334" i="148"/>
  <c r="A335" i="148"/>
  <c r="A336" i="148"/>
  <c r="A337" i="148"/>
  <c r="A338" i="148"/>
  <c r="A339" i="148"/>
  <c r="A340" i="148"/>
  <c r="H332" i="82"/>
  <c r="L332" i="82"/>
  <c r="M332" i="82"/>
  <c r="N332" i="82"/>
  <c r="H333" i="82"/>
  <c r="L333" i="82"/>
  <c r="M333" i="82"/>
  <c r="N333" i="82"/>
  <c r="H334" i="82"/>
  <c r="L334" i="82"/>
  <c r="M334" i="82"/>
  <c r="N334" i="82"/>
  <c r="H335" i="82"/>
  <c r="L335" i="82"/>
  <c r="M335" i="82"/>
  <c r="N335" i="82"/>
  <c r="H336" i="82"/>
  <c r="L336" i="82"/>
  <c r="M336" i="82"/>
  <c r="N336" i="82"/>
  <c r="H337" i="82"/>
  <c r="L337" i="82"/>
  <c r="M337" i="82"/>
  <c r="N337" i="82"/>
  <c r="H338" i="82"/>
  <c r="L338" i="82"/>
  <c r="M338" i="82"/>
  <c r="N338" i="82"/>
  <c r="H339" i="82"/>
  <c r="L339" i="82"/>
  <c r="M339" i="82"/>
  <c r="N339" i="82"/>
  <c r="H340" i="82"/>
  <c r="L340" i="82"/>
  <c r="M340" i="82"/>
  <c r="N340" i="82"/>
  <c r="A332" i="82"/>
  <c r="A333" i="82"/>
  <c r="A334" i="82"/>
  <c r="A335" i="82"/>
  <c r="A336" i="82"/>
  <c r="A337" i="82"/>
  <c r="A338" i="82"/>
  <c r="A339" i="82"/>
  <c r="A340" i="82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F63" i="153"/>
  <c r="F64" i="153"/>
  <c r="H57" i="153"/>
  <c r="P138" i="159"/>
  <c r="P139" i="159"/>
  <c r="P140" i="159"/>
  <c r="P141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37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P311" i="159"/>
  <c r="P312" i="159"/>
  <c r="P313" i="159"/>
  <c r="P314" i="159"/>
  <c r="P315" i="159"/>
  <c r="P316" i="159"/>
  <c r="P317" i="159"/>
  <c r="P318" i="159"/>
  <c r="P319" i="159"/>
  <c r="P320" i="159"/>
  <c r="P321" i="159"/>
  <c r="P322" i="159"/>
  <c r="P323" i="159"/>
  <c r="P324" i="159"/>
  <c r="P325" i="159"/>
  <c r="P326" i="159"/>
  <c r="P327" i="159"/>
  <c r="P328" i="159"/>
  <c r="P329" i="159"/>
  <c r="P330" i="159"/>
  <c r="F63" i="158"/>
  <c r="F64" i="158"/>
  <c r="H57" i="158"/>
  <c r="F63" i="149"/>
  <c r="F64" i="149"/>
  <c r="H325" i="82"/>
  <c r="L325" i="82"/>
  <c r="M325" i="82"/>
  <c r="N325" i="82"/>
  <c r="H326" i="82"/>
  <c r="L326" i="82"/>
  <c r="M326" i="82"/>
  <c r="N326" i="82"/>
  <c r="H327" i="82"/>
  <c r="L327" i="82"/>
  <c r="M327" i="82"/>
  <c r="N327" i="82"/>
  <c r="H328" i="82"/>
  <c r="L328" i="82"/>
  <c r="M328" i="82"/>
  <c r="N328" i="82"/>
  <c r="H329" i="82"/>
  <c r="L329" i="82"/>
  <c r="M329" i="82"/>
  <c r="N329" i="82"/>
  <c r="H330" i="82"/>
  <c r="L330" i="82"/>
  <c r="M330" i="82"/>
  <c r="N330" i="82"/>
  <c r="H331" i="82"/>
  <c r="L331" i="82"/>
  <c r="M331" i="82"/>
  <c r="N331" i="82"/>
  <c r="A325" i="82"/>
  <c r="A326" i="82"/>
  <c r="A327" i="82"/>
  <c r="A328" i="82"/>
  <c r="A329" i="82"/>
  <c r="A330" i="82"/>
  <c r="A331" i="82"/>
  <c r="H325" i="148"/>
  <c r="L325" i="148"/>
  <c r="M325" i="148"/>
  <c r="N325" i="148"/>
  <c r="H326" i="148"/>
  <c r="L326" i="148"/>
  <c r="M326" i="148"/>
  <c r="N326" i="148"/>
  <c r="H327" i="148"/>
  <c r="L327" i="148"/>
  <c r="M327" i="148"/>
  <c r="N327" i="148"/>
  <c r="H328" i="148"/>
  <c r="L328" i="148"/>
  <c r="M328" i="148"/>
  <c r="N328" i="148"/>
  <c r="H329" i="148"/>
  <c r="L329" i="148"/>
  <c r="M329" i="148"/>
  <c r="N329" i="148"/>
  <c r="H330" i="148"/>
  <c r="L330" i="148"/>
  <c r="M330" i="148"/>
  <c r="N330" i="148"/>
  <c r="A325" i="148"/>
  <c r="A326" i="148"/>
  <c r="A327" i="148"/>
  <c r="A328" i="148"/>
  <c r="A329" i="148"/>
  <c r="A330" i="148"/>
  <c r="A331" i="148"/>
  <c r="H325" i="150"/>
  <c r="L325" i="150"/>
  <c r="M325" i="150"/>
  <c r="N325" i="150"/>
  <c r="H326" i="150"/>
  <c r="L326" i="150"/>
  <c r="M326" i="150"/>
  <c r="N326" i="150"/>
  <c r="H327" i="150"/>
  <c r="L327" i="150"/>
  <c r="M327" i="150"/>
  <c r="N327" i="150"/>
  <c r="H328" i="150"/>
  <c r="L328" i="150"/>
  <c r="M328" i="150"/>
  <c r="N328" i="150"/>
  <c r="H329" i="150"/>
  <c r="L329" i="150"/>
  <c r="M329" i="150"/>
  <c r="N329" i="150"/>
  <c r="H330" i="150"/>
  <c r="L330" i="150"/>
  <c r="M330" i="150"/>
  <c r="N330" i="150"/>
  <c r="A325" i="150"/>
  <c r="A326" i="150"/>
  <c r="A327" i="150"/>
  <c r="A328" i="150"/>
  <c r="A329" i="150"/>
  <c r="A330" i="150"/>
  <c r="A331" i="150"/>
  <c r="H325" i="159"/>
  <c r="L325" i="159"/>
  <c r="M325" i="159"/>
  <c r="N325" i="159"/>
  <c r="H326" i="159"/>
  <c r="L326" i="159"/>
  <c r="M326" i="159"/>
  <c r="N326" i="159"/>
  <c r="H327" i="159"/>
  <c r="L327" i="159"/>
  <c r="M327" i="159"/>
  <c r="N327" i="159"/>
  <c r="H328" i="159"/>
  <c r="L328" i="159"/>
  <c r="M328" i="159"/>
  <c r="N328" i="159"/>
  <c r="H329" i="159"/>
  <c r="L329" i="159"/>
  <c r="M329" i="159"/>
  <c r="N329" i="159"/>
  <c r="H330" i="159"/>
  <c r="L330" i="159"/>
  <c r="M330" i="159"/>
  <c r="N330" i="159"/>
  <c r="A325" i="159"/>
  <c r="A326" i="159"/>
  <c r="A327" i="159"/>
  <c r="A328" i="159"/>
  <c r="A329" i="159"/>
  <c r="A330" i="159"/>
  <c r="A331" i="159"/>
  <c r="A331" i="154"/>
  <c r="H325" i="154"/>
  <c r="L325" i="154"/>
  <c r="M325" i="154"/>
  <c r="N325" i="154"/>
  <c r="H326" i="154"/>
  <c r="L326" i="154"/>
  <c r="M326" i="154"/>
  <c r="N326" i="154"/>
  <c r="H327" i="154"/>
  <c r="L327" i="154"/>
  <c r="M327" i="154"/>
  <c r="N327" i="154"/>
  <c r="H328" i="154"/>
  <c r="L328" i="154"/>
  <c r="M328" i="154"/>
  <c r="N328" i="154"/>
  <c r="H329" i="154"/>
  <c r="L329" i="154"/>
  <c r="M329" i="154"/>
  <c r="N329" i="154"/>
  <c r="H330" i="154"/>
  <c r="L330" i="154"/>
  <c r="M330" i="154"/>
  <c r="N330" i="154"/>
  <c r="A324" i="154"/>
  <c r="A325" i="154"/>
  <c r="A326" i="154"/>
  <c r="A327" i="154"/>
  <c r="A328" i="154"/>
  <c r="A329" i="154"/>
  <c r="A330" i="154"/>
  <c r="F55" i="106"/>
  <c r="G55" i="106"/>
  <c r="H56" i="153"/>
  <c r="H55" i="153"/>
  <c r="H56" i="158"/>
  <c r="H55" i="158"/>
  <c r="H55" i="149"/>
  <c r="H57" i="147"/>
  <c r="H56" i="147"/>
  <c r="H55" i="147"/>
  <c r="H57" i="106"/>
  <c r="H320" i="154"/>
  <c r="L320" i="154"/>
  <c r="M320" i="154"/>
  <c r="N320" i="154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H320" i="159"/>
  <c r="L320" i="159"/>
  <c r="M320" i="159"/>
  <c r="N320" i="159"/>
  <c r="H321" i="159"/>
  <c r="L321" i="159"/>
  <c r="M321" i="159"/>
  <c r="N321" i="159"/>
  <c r="H322" i="159"/>
  <c r="L322" i="159"/>
  <c r="M322" i="159"/>
  <c r="N322" i="159"/>
  <c r="H323" i="159"/>
  <c r="L323" i="159"/>
  <c r="M323" i="159"/>
  <c r="N323" i="159"/>
  <c r="H324" i="159"/>
  <c r="L324" i="159"/>
  <c r="M324" i="159"/>
  <c r="N324" i="159"/>
  <c r="A320" i="159"/>
  <c r="A321" i="159"/>
  <c r="A322" i="159"/>
  <c r="A323" i="159"/>
  <c r="A324" i="159"/>
  <c r="H320" i="150"/>
  <c r="L320" i="150"/>
  <c r="M320" i="150"/>
  <c r="N320" i="150"/>
  <c r="H321" i="150"/>
  <c r="L321" i="150"/>
  <c r="M321" i="150"/>
  <c r="N321" i="150"/>
  <c r="H322" i="150"/>
  <c r="L322" i="150"/>
  <c r="M322" i="150"/>
  <c r="N322" i="150"/>
  <c r="H323" i="150"/>
  <c r="L323" i="150"/>
  <c r="M323" i="150"/>
  <c r="N323" i="150"/>
  <c r="H324" i="150"/>
  <c r="L324" i="150"/>
  <c r="M324" i="150"/>
  <c r="N324" i="150"/>
  <c r="A320" i="150"/>
  <c r="A321" i="150"/>
  <c r="A322" i="150"/>
  <c r="A323" i="150"/>
  <c r="A324" i="150"/>
  <c r="H319" i="148"/>
  <c r="L319" i="148"/>
  <c r="M319" i="148"/>
  <c r="N319" i="148"/>
  <c r="H320" i="148"/>
  <c r="L320" i="148"/>
  <c r="M320" i="148"/>
  <c r="N320" i="148"/>
  <c r="H321" i="148"/>
  <c r="L321" i="148"/>
  <c r="M321" i="148"/>
  <c r="N321" i="148"/>
  <c r="H322" i="148"/>
  <c r="L322" i="148"/>
  <c r="M322" i="148"/>
  <c r="N322" i="148"/>
  <c r="H323" i="148"/>
  <c r="L323" i="148"/>
  <c r="M323" i="148"/>
  <c r="N323" i="148"/>
  <c r="H324" i="148"/>
  <c r="L324" i="148"/>
  <c r="M324" i="148"/>
  <c r="N324" i="148"/>
  <c r="A319" i="148"/>
  <c r="A320" i="148"/>
  <c r="A321" i="148"/>
  <c r="A322" i="148"/>
  <c r="A323" i="148"/>
  <c r="A324" i="148"/>
  <c r="H324" i="82"/>
  <c r="L324" i="82"/>
  <c r="M324" i="82"/>
  <c r="N324" i="82"/>
  <c r="A324" i="82"/>
  <c r="H319" i="82"/>
  <c r="L319" i="82"/>
  <c r="M319" i="82"/>
  <c r="N319" i="82"/>
  <c r="H320" i="82"/>
  <c r="L320" i="82"/>
  <c r="M320" i="82"/>
  <c r="N320" i="82"/>
  <c r="H321" i="82"/>
  <c r="L321" i="82"/>
  <c r="M321" i="82"/>
  <c r="N321" i="82"/>
  <c r="H322" i="82"/>
  <c r="L322" i="82"/>
  <c r="M322" i="82"/>
  <c r="N322" i="82"/>
  <c r="H323" i="82"/>
  <c r="L323" i="82"/>
  <c r="M323" i="82"/>
  <c r="N323" i="82"/>
  <c r="A319" i="82"/>
  <c r="A320" i="82"/>
  <c r="A321" i="82"/>
  <c r="A322" i="82"/>
  <c r="A323" i="82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1" i="154"/>
  <c r="A312" i="154"/>
  <c r="A313" i="154"/>
  <c r="A314" i="154"/>
  <c r="A315" i="154"/>
  <c r="A316" i="154"/>
  <c r="A317" i="154"/>
  <c r="A318" i="154"/>
  <c r="A319" i="154"/>
  <c r="F65" i="153"/>
  <c r="F65" i="158"/>
  <c r="H311" i="159"/>
  <c r="L311" i="159"/>
  <c r="M311" i="159"/>
  <c r="N311" i="159"/>
  <c r="H312" i="159"/>
  <c r="L312" i="159"/>
  <c r="M312" i="159"/>
  <c r="N312" i="159"/>
  <c r="H313" i="159"/>
  <c r="L313" i="159"/>
  <c r="M313" i="159"/>
  <c r="N313" i="159"/>
  <c r="H314" i="159"/>
  <c r="L314" i="159"/>
  <c r="M314" i="159"/>
  <c r="N314" i="159"/>
  <c r="H315" i="159"/>
  <c r="L315" i="159"/>
  <c r="M315" i="159"/>
  <c r="N315" i="159"/>
  <c r="H316" i="159"/>
  <c r="L316" i="159"/>
  <c r="M316" i="159"/>
  <c r="N316" i="159"/>
  <c r="H317" i="159"/>
  <c r="L317" i="159"/>
  <c r="M317" i="159"/>
  <c r="N317" i="159"/>
  <c r="H318" i="159"/>
  <c r="L318" i="159"/>
  <c r="M318" i="159"/>
  <c r="N318" i="159"/>
  <c r="H319" i="159"/>
  <c r="L319" i="159"/>
  <c r="M319" i="159"/>
  <c r="N319" i="159"/>
  <c r="A311" i="159"/>
  <c r="A312" i="159"/>
  <c r="A313" i="159"/>
  <c r="A314" i="159"/>
  <c r="A315" i="159"/>
  <c r="A316" i="159"/>
  <c r="A317" i="159"/>
  <c r="A318" i="159"/>
  <c r="A319" i="159"/>
  <c r="H311" i="150"/>
  <c r="L311" i="150"/>
  <c r="M311" i="150"/>
  <c r="N311" i="150"/>
  <c r="H312" i="150"/>
  <c r="L312" i="150"/>
  <c r="M312" i="150"/>
  <c r="N312" i="150"/>
  <c r="H313" i="150"/>
  <c r="L313" i="150"/>
  <c r="M313" i="150"/>
  <c r="N313" i="150"/>
  <c r="H314" i="150"/>
  <c r="L314" i="150"/>
  <c r="M314" i="150"/>
  <c r="N314" i="150"/>
  <c r="H315" i="150"/>
  <c r="L315" i="150"/>
  <c r="M315" i="150"/>
  <c r="N315" i="150"/>
  <c r="H316" i="150"/>
  <c r="L316" i="150"/>
  <c r="M316" i="150"/>
  <c r="N316" i="150"/>
  <c r="H317" i="150"/>
  <c r="L317" i="150"/>
  <c r="M317" i="150"/>
  <c r="N317" i="150"/>
  <c r="H318" i="150"/>
  <c r="L318" i="150"/>
  <c r="M318" i="150"/>
  <c r="N318" i="150"/>
  <c r="H319" i="150"/>
  <c r="L319" i="150"/>
  <c r="M319" i="150"/>
  <c r="N319" i="150"/>
  <c r="A311" i="150"/>
  <c r="A312" i="150"/>
  <c r="A313" i="150"/>
  <c r="A314" i="150"/>
  <c r="A315" i="150"/>
  <c r="A316" i="150"/>
  <c r="A317" i="150"/>
  <c r="A318" i="150"/>
  <c r="A319" i="150"/>
  <c r="P3" i="157"/>
  <c r="K3" i="157"/>
  <c r="G3" i="157"/>
  <c r="K2" i="157"/>
  <c r="G2" i="157"/>
  <c r="H311" i="148"/>
  <c r="L311" i="148"/>
  <c r="M311" i="148"/>
  <c r="N311" i="148"/>
  <c r="H312" i="148"/>
  <c r="L312" i="148"/>
  <c r="M312" i="148"/>
  <c r="N312" i="148"/>
  <c r="H313" i="148"/>
  <c r="L313" i="148"/>
  <c r="M313" i="148"/>
  <c r="N313" i="148"/>
  <c r="H314" i="148"/>
  <c r="L314" i="148"/>
  <c r="M314" i="148"/>
  <c r="N314" i="148"/>
  <c r="H315" i="148"/>
  <c r="L315" i="148"/>
  <c r="M315" i="148"/>
  <c r="N315" i="148"/>
  <c r="H316" i="148"/>
  <c r="L316" i="148"/>
  <c r="M316" i="148"/>
  <c r="N316" i="148"/>
  <c r="H317" i="148"/>
  <c r="L317" i="148"/>
  <c r="M317" i="148"/>
  <c r="N317" i="148"/>
  <c r="H318" i="148"/>
  <c r="L318" i="148"/>
  <c r="M318" i="148"/>
  <c r="N318" i="148"/>
  <c r="A311" i="148"/>
  <c r="A312" i="148"/>
  <c r="A313" i="148"/>
  <c r="A314" i="148"/>
  <c r="A315" i="148"/>
  <c r="A316" i="148"/>
  <c r="A317" i="148"/>
  <c r="A318" i="148"/>
  <c r="N318" i="82"/>
  <c r="M318" i="82"/>
  <c r="L318" i="82"/>
  <c r="H318" i="82"/>
  <c r="N317" i="82"/>
  <c r="M317" i="82"/>
  <c r="L317" i="82"/>
  <c r="H317" i="82"/>
  <c r="N316" i="82"/>
  <c r="M316" i="82"/>
  <c r="L316" i="82"/>
  <c r="H316" i="82"/>
  <c r="N315" i="82"/>
  <c r="M315" i="82"/>
  <c r="L315" i="82"/>
  <c r="H315" i="82"/>
  <c r="N314" i="82"/>
  <c r="M314" i="82"/>
  <c r="L314" i="82"/>
  <c r="H314" i="82"/>
  <c r="N313" i="82"/>
  <c r="M313" i="82"/>
  <c r="L313" i="82"/>
  <c r="H313" i="82"/>
  <c r="N312" i="82"/>
  <c r="M312" i="82"/>
  <c r="L312" i="82"/>
  <c r="H312" i="82"/>
  <c r="N311" i="82"/>
  <c r="M311" i="82"/>
  <c r="L311" i="82"/>
  <c r="H311" i="82"/>
  <c r="A311" i="82"/>
  <c r="A312" i="82"/>
  <c r="A313" i="82"/>
  <c r="A314" i="82"/>
  <c r="A315" i="82"/>
  <c r="A316" i="82"/>
  <c r="A317" i="82"/>
  <c r="A318" i="82"/>
  <c r="H306" i="154"/>
  <c r="L306" i="154"/>
  <c r="M306" i="154"/>
  <c r="N306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H306" i="159"/>
  <c r="L306" i="159"/>
  <c r="M306" i="159"/>
  <c r="N306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H306" i="150"/>
  <c r="L306" i="150"/>
  <c r="M306" i="150"/>
  <c r="N306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H306" i="148"/>
  <c r="L306" i="148"/>
  <c r="M306" i="148"/>
  <c r="N306" i="148"/>
  <c r="H307" i="148"/>
  <c r="L307" i="148"/>
  <c r="M307" i="148"/>
  <c r="N307" i="148"/>
  <c r="H308" i="148"/>
  <c r="L308" i="148"/>
  <c r="M308" i="148"/>
  <c r="N308" i="148"/>
  <c r="H309" i="148"/>
  <c r="L309" i="148"/>
  <c r="M309" i="148"/>
  <c r="N309" i="148"/>
  <c r="H310" i="148"/>
  <c r="L310" i="148"/>
  <c r="M310" i="148"/>
  <c r="N310" i="148"/>
  <c r="A306" i="148"/>
  <c r="A307" i="148"/>
  <c r="A308" i="148"/>
  <c r="A309" i="148"/>
  <c r="A310" i="148"/>
  <c r="H306" i="82"/>
  <c r="L306" i="82"/>
  <c r="M306" i="82"/>
  <c r="N306" i="82"/>
  <c r="H307" i="82"/>
  <c r="L307" i="82"/>
  <c r="M307" i="82"/>
  <c r="N307" i="82"/>
  <c r="H308" i="82"/>
  <c r="L308" i="82"/>
  <c r="M308" i="82"/>
  <c r="N308" i="82"/>
  <c r="H309" i="82"/>
  <c r="L309" i="82"/>
  <c r="M309" i="82"/>
  <c r="N309" i="82"/>
  <c r="H310" i="82"/>
  <c r="L310" i="82"/>
  <c r="M310" i="82"/>
  <c r="N310" i="82"/>
  <c r="A306" i="82"/>
  <c r="A307" i="82"/>
  <c r="A308" i="82"/>
  <c r="A309" i="82"/>
  <c r="A310" i="82"/>
  <c r="E3" i="157"/>
  <c r="E2" i="157"/>
  <c r="H301" i="154"/>
  <c r="L301" i="154"/>
  <c r="M301" i="154"/>
  <c r="N301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H301" i="159"/>
  <c r="L301" i="159"/>
  <c r="M301" i="159"/>
  <c r="N301" i="159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H301" i="150"/>
  <c r="L301" i="150"/>
  <c r="M301" i="150"/>
  <c r="N301" i="150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H304" i="82"/>
  <c r="L304" i="82"/>
  <c r="M304" i="82"/>
  <c r="N304" i="82"/>
  <c r="H305" i="82"/>
  <c r="L305" i="82"/>
  <c r="M305" i="82"/>
  <c r="N305" i="82"/>
  <c r="A301" i="82"/>
  <c r="A302" i="82"/>
  <c r="A303" i="82"/>
  <c r="A304" i="82"/>
  <c r="A305" i="82"/>
  <c r="A305" i="148"/>
  <c r="H305" i="148"/>
  <c r="L305" i="148"/>
  <c r="M305" i="148"/>
  <c r="N305" i="148"/>
  <c r="H301" i="148"/>
  <c r="L301" i="148"/>
  <c r="M301" i="148"/>
  <c r="N301" i="148"/>
  <c r="H302" i="148"/>
  <c r="L302" i="148"/>
  <c r="M302" i="148"/>
  <c r="N302" i="148"/>
  <c r="H303" i="148"/>
  <c r="L303" i="148"/>
  <c r="M303" i="148"/>
  <c r="N303" i="148"/>
  <c r="H304" i="148"/>
  <c r="L304" i="148"/>
  <c r="M304" i="148"/>
  <c r="N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N300" i="148"/>
  <c r="M300" i="148"/>
  <c r="L300" i="148"/>
  <c r="H300" i="148"/>
  <c r="N299" i="148"/>
  <c r="M299" i="148"/>
  <c r="L299" i="148"/>
  <c r="H299" i="148"/>
  <c r="N298" i="148"/>
  <c r="M298" i="148"/>
  <c r="L298" i="148"/>
  <c r="H298" i="148"/>
  <c r="N297" i="148"/>
  <c r="M297" i="148"/>
  <c r="L297" i="148"/>
  <c r="H297" i="148"/>
  <c r="N296" i="148"/>
  <c r="M296" i="148"/>
  <c r="L296" i="148"/>
  <c r="H296" i="148"/>
  <c r="N295" i="148"/>
  <c r="M295" i="148"/>
  <c r="L295" i="148"/>
  <c r="H295" i="148"/>
  <c r="A299" i="82"/>
  <c r="H299" i="82"/>
  <c r="L299" i="82"/>
  <c r="M299" i="82"/>
  <c r="N299" i="82"/>
  <c r="A300" i="82"/>
  <c r="H300" i="82"/>
  <c r="L300" i="82"/>
  <c r="M300" i="82"/>
  <c r="N300" i="82"/>
  <c r="H295" i="82"/>
  <c r="H296" i="82"/>
  <c r="H297" i="82"/>
  <c r="H298" i="82"/>
  <c r="A295" i="82"/>
  <c r="L295" i="82"/>
  <c r="M295" i="82"/>
  <c r="N295" i="82"/>
  <c r="A296" i="82"/>
  <c r="L296" i="82"/>
  <c r="M296" i="82"/>
  <c r="N296" i="82"/>
  <c r="A297" i="82"/>
  <c r="L297" i="82"/>
  <c r="M297" i="82"/>
  <c r="N297" i="82"/>
  <c r="A298" i="82"/>
  <c r="L298" i="82"/>
  <c r="M298" i="82"/>
  <c r="N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I46" i="158"/>
  <c r="J46" i="158"/>
  <c r="F46" i="158"/>
  <c r="D46" i="158"/>
  <c r="G45" i="158"/>
  <c r="E45" i="158"/>
  <c r="H45" i="158"/>
  <c r="I45" i="158"/>
  <c r="J45" i="158"/>
  <c r="F45" i="158"/>
  <c r="D45" i="158"/>
  <c r="I44" i="158"/>
  <c r="J44" i="158"/>
  <c r="F44" i="158"/>
  <c r="D44" i="158"/>
  <c r="I43" i="158"/>
  <c r="J43" i="158"/>
  <c r="F43" i="158"/>
  <c r="D43" i="158"/>
  <c r="I42" i="158"/>
  <c r="J42" i="158"/>
  <c r="F42" i="158"/>
  <c r="D42" i="158"/>
  <c r="I41" i="158"/>
  <c r="J41" i="158"/>
  <c r="F41" i="158"/>
  <c r="D41" i="158"/>
  <c r="I40" i="158"/>
  <c r="J40" i="158"/>
  <c r="F40" i="158"/>
  <c r="D40" i="158"/>
  <c r="I39" i="158"/>
  <c r="J39" i="158"/>
  <c r="F39" i="158"/>
  <c r="D39" i="158"/>
  <c r="I38" i="158"/>
  <c r="J38" i="158"/>
  <c r="F38" i="158"/>
  <c r="D38" i="158"/>
  <c r="I37" i="158"/>
  <c r="J37" i="158"/>
  <c r="F37" i="158"/>
  <c r="D37" i="158"/>
  <c r="I36" i="158"/>
  <c r="J36" i="158"/>
  <c r="F36" i="158"/>
  <c r="D36" i="158"/>
  <c r="I34" i="158"/>
  <c r="J34" i="158"/>
  <c r="F34" i="158"/>
  <c r="D34" i="158"/>
  <c r="I33" i="158"/>
  <c r="J33" i="158"/>
  <c r="F33" i="158"/>
  <c r="D33" i="158"/>
  <c r="I32" i="158"/>
  <c r="J32" i="158"/>
  <c r="F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D18" i="158"/>
  <c r="R17" i="158"/>
  <c r="P17" i="158"/>
  <c r="O17" i="158"/>
  <c r="M17" i="158"/>
  <c r="I17" i="158"/>
  <c r="J17" i="158"/>
  <c r="F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P3" i="158"/>
  <c r="O3" i="158"/>
  <c r="M3" i="158"/>
  <c r="V2" i="158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I46" i="153"/>
  <c r="J46" i="153"/>
  <c r="F46" i="153"/>
  <c r="D46" i="153"/>
  <c r="G45" i="153"/>
  <c r="E45" i="153"/>
  <c r="H45" i="153"/>
  <c r="I45" i="153"/>
  <c r="J45" i="153"/>
  <c r="F45" i="153"/>
  <c r="D45" i="153"/>
  <c r="I44" i="153"/>
  <c r="J44" i="153"/>
  <c r="F44" i="153"/>
  <c r="D44" i="153"/>
  <c r="I43" i="153"/>
  <c r="J43" i="153"/>
  <c r="F43" i="153"/>
  <c r="D43" i="153"/>
  <c r="I42" i="153"/>
  <c r="J42" i="153"/>
  <c r="F42" i="153"/>
  <c r="D42" i="153"/>
  <c r="I41" i="153"/>
  <c r="J41" i="153"/>
  <c r="F41" i="153"/>
  <c r="D41" i="153"/>
  <c r="I40" i="153"/>
  <c r="J40" i="153"/>
  <c r="F40" i="153"/>
  <c r="D40" i="153"/>
  <c r="I39" i="153"/>
  <c r="J39" i="153"/>
  <c r="F39" i="153"/>
  <c r="D39" i="153"/>
  <c r="I38" i="153"/>
  <c r="J38" i="153"/>
  <c r="F38" i="153"/>
  <c r="D38" i="153"/>
  <c r="I37" i="153"/>
  <c r="J37" i="153"/>
  <c r="F37" i="153"/>
  <c r="D37" i="153"/>
  <c r="I34" i="153"/>
  <c r="J34" i="153"/>
  <c r="F34" i="153"/>
  <c r="D34" i="153"/>
  <c r="I33" i="153"/>
  <c r="J33" i="153"/>
  <c r="F33" i="153"/>
  <c r="D33" i="153"/>
  <c r="I32" i="153"/>
  <c r="J32" i="153"/>
  <c r="F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D18" i="153"/>
  <c r="R17" i="153"/>
  <c r="P17" i="153"/>
  <c r="O17" i="153"/>
  <c r="M17" i="153"/>
  <c r="I17" i="153"/>
  <c r="J17" i="153"/>
  <c r="F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7" i="149"/>
  <c r="B58" i="149"/>
  <c r="B60" i="149"/>
  <c r="B61" i="149"/>
  <c r="F55" i="149"/>
  <c r="G55" i="149"/>
  <c r="I46" i="149"/>
  <c r="J46" i="149"/>
  <c r="F46" i="149"/>
  <c r="D46" i="149"/>
  <c r="G45" i="149"/>
  <c r="E45" i="149"/>
  <c r="H45" i="149"/>
  <c r="I45" i="149"/>
  <c r="J45" i="149"/>
  <c r="F45" i="149"/>
  <c r="D45" i="149"/>
  <c r="I44" i="149"/>
  <c r="J44" i="149"/>
  <c r="F44" i="149"/>
  <c r="D44" i="149"/>
  <c r="I43" i="149"/>
  <c r="J43" i="149"/>
  <c r="F43" i="149"/>
  <c r="D43" i="149"/>
  <c r="I42" i="149"/>
  <c r="J42" i="149"/>
  <c r="F42" i="149"/>
  <c r="D42" i="149"/>
  <c r="I41" i="149"/>
  <c r="J41" i="149"/>
  <c r="F41" i="149"/>
  <c r="D41" i="149"/>
  <c r="I40" i="149"/>
  <c r="J40" i="149"/>
  <c r="F40" i="149"/>
  <c r="D40" i="149"/>
  <c r="I39" i="149"/>
  <c r="J39" i="149"/>
  <c r="F39" i="149"/>
  <c r="D39" i="149"/>
  <c r="I38" i="149"/>
  <c r="J38" i="149"/>
  <c r="F38" i="149"/>
  <c r="D38" i="149"/>
  <c r="I37" i="149"/>
  <c r="J37" i="149"/>
  <c r="F37" i="149"/>
  <c r="D37" i="149"/>
  <c r="I34" i="149"/>
  <c r="J34" i="149"/>
  <c r="F34" i="149"/>
  <c r="D34" i="149"/>
  <c r="I33" i="149"/>
  <c r="J33" i="149"/>
  <c r="F33" i="149"/>
  <c r="D33" i="149"/>
  <c r="I32" i="149"/>
  <c r="J32" i="149"/>
  <c r="F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D18" i="149"/>
  <c r="R17" i="149"/>
  <c r="P17" i="149"/>
  <c r="O17" i="149"/>
  <c r="M17" i="149"/>
  <c r="I17" i="149"/>
  <c r="J17" i="149"/>
  <c r="F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B55" i="147"/>
  <c r="B57" i="147"/>
  <c r="B58" i="147"/>
  <c r="B60" i="147"/>
  <c r="B61" i="147"/>
  <c r="F55" i="147"/>
  <c r="G55" i="147"/>
  <c r="I46" i="147"/>
  <c r="J46" i="147"/>
  <c r="F46" i="147"/>
  <c r="D46" i="147"/>
  <c r="G45" i="147"/>
  <c r="E45" i="147"/>
  <c r="H45" i="147"/>
  <c r="I45" i="147"/>
  <c r="J45" i="147"/>
  <c r="F45" i="147"/>
  <c r="D45" i="147"/>
  <c r="I44" i="147"/>
  <c r="J44" i="147"/>
  <c r="F44" i="147"/>
  <c r="D44" i="147"/>
  <c r="I43" i="147"/>
  <c r="J43" i="147"/>
  <c r="F43" i="147"/>
  <c r="D43" i="147"/>
  <c r="I42" i="147"/>
  <c r="J42" i="147"/>
  <c r="F42" i="147"/>
  <c r="D42" i="147"/>
  <c r="I41" i="147"/>
  <c r="J41" i="147"/>
  <c r="F41" i="147"/>
  <c r="D41" i="147"/>
  <c r="I40" i="147"/>
  <c r="J40" i="147"/>
  <c r="F40" i="147"/>
  <c r="D40" i="147"/>
  <c r="I39" i="147"/>
  <c r="J39" i="147"/>
  <c r="F39" i="147"/>
  <c r="D39" i="147"/>
  <c r="I38" i="147"/>
  <c r="J38" i="147"/>
  <c r="F38" i="147"/>
  <c r="D38" i="147"/>
  <c r="I37" i="147"/>
  <c r="J37" i="147"/>
  <c r="F37" i="147"/>
  <c r="D37" i="147"/>
  <c r="I34" i="147"/>
  <c r="J34" i="147"/>
  <c r="F34" i="147"/>
  <c r="D34" i="147"/>
  <c r="I33" i="147"/>
  <c r="J33" i="147"/>
  <c r="F33" i="147"/>
  <c r="D33" i="147"/>
  <c r="I32" i="147"/>
  <c r="J32" i="147"/>
  <c r="F32" i="147"/>
  <c r="D32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R20" i="147"/>
  <c r="P20" i="147"/>
  <c r="O20" i="147"/>
  <c r="M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D18" i="147"/>
  <c r="R17" i="147"/>
  <c r="P17" i="147"/>
  <c r="O17" i="147"/>
  <c r="M17" i="147"/>
  <c r="I17" i="147"/>
  <c r="J17" i="147"/>
  <c r="F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P3" i="147"/>
  <c r="O3" i="147"/>
  <c r="M3" i="147"/>
  <c r="V2" i="147"/>
  <c r="A284" i="82"/>
  <c r="H284" i="82"/>
  <c r="L284" i="82"/>
  <c r="M284" i="82"/>
  <c r="N284" i="82"/>
  <c r="E30" i="106"/>
  <c r="E45" i="106"/>
  <c r="I46" i="106"/>
  <c r="J46" i="106"/>
  <c r="F46" i="106"/>
  <c r="D46" i="106"/>
  <c r="G45" i="106"/>
  <c r="H45" i="106"/>
  <c r="I45" i="106"/>
  <c r="J45" i="106"/>
  <c r="F45" i="106"/>
  <c r="D45" i="106"/>
  <c r="I44" i="106"/>
  <c r="J44" i="106"/>
  <c r="F44" i="106"/>
  <c r="D44" i="106"/>
  <c r="I43" i="106"/>
  <c r="J43" i="106"/>
  <c r="F43" i="106"/>
  <c r="D43" i="106"/>
  <c r="I41" i="106"/>
  <c r="J41" i="106"/>
  <c r="F41" i="106"/>
  <c r="D41" i="106"/>
  <c r="I40" i="106"/>
  <c r="J40" i="106"/>
  <c r="F40" i="106"/>
  <c r="D40" i="106"/>
  <c r="I39" i="106"/>
  <c r="J39" i="106"/>
  <c r="F39" i="106"/>
  <c r="D39" i="106"/>
  <c r="I38" i="106"/>
  <c r="J38" i="106"/>
  <c r="F38" i="106"/>
  <c r="D38" i="106"/>
  <c r="I37" i="106"/>
  <c r="J37" i="106"/>
  <c r="F37" i="106"/>
  <c r="D37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R5" i="106"/>
  <c r="R4" i="106"/>
  <c r="V6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4" i="106"/>
  <c r="D25" i="106"/>
  <c r="D26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22" i="106"/>
  <c r="F23" i="106"/>
  <c r="F24" i="106"/>
  <c r="F25" i="106"/>
  <c r="F26" i="106"/>
  <c r="F28" i="106"/>
  <c r="F29" i="106"/>
  <c r="F30" i="106"/>
  <c r="F31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8" i="106"/>
  <c r="B60" i="106"/>
  <c r="B61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M4" i="106"/>
  <c r="M12" i="106"/>
  <c r="M11" i="106"/>
  <c r="M10" i="106"/>
  <c r="M9" i="106"/>
  <c r="M8" i="106"/>
  <c r="M7" i="106"/>
  <c r="M6" i="106"/>
  <c r="M5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F62" i="158"/>
  <c r="F61" i="158"/>
  <c r="F60" i="158"/>
  <c r="B47" i="158"/>
  <c r="D47" i="158"/>
  <c r="D35" i="158"/>
  <c r="F35" i="158"/>
  <c r="I35" i="158"/>
  <c r="J35" i="158"/>
  <c r="I35" i="153"/>
  <c r="J35" i="153"/>
  <c r="F60" i="153"/>
  <c r="F61" i="153"/>
  <c r="F62" i="153"/>
  <c r="B47" i="153"/>
  <c r="D47" i="153"/>
  <c r="I36" i="153"/>
  <c r="J36" i="153"/>
  <c r="F36" i="153"/>
  <c r="D36" i="153"/>
  <c r="F35" i="153"/>
  <c r="D35" i="153"/>
  <c r="D35" i="106"/>
  <c r="F35" i="106"/>
  <c r="I35" i="106"/>
  <c r="J35" i="106"/>
  <c r="F27" i="106"/>
  <c r="D27" i="106"/>
  <c r="I27" i="106"/>
  <c r="J27" i="106"/>
  <c r="B57" i="106"/>
  <c r="D20" i="106"/>
  <c r="F20" i="106"/>
  <c r="I20" i="106"/>
  <c r="J20" i="106"/>
  <c r="B56" i="106"/>
  <c r="D42" i="106"/>
  <c r="F42" i="106"/>
  <c r="I42" i="106"/>
  <c r="J42" i="106"/>
  <c r="D35" i="147"/>
  <c r="F35" i="147"/>
  <c r="I35" i="147"/>
  <c r="J35" i="147"/>
  <c r="B56" i="147"/>
  <c r="I20" i="147"/>
  <c r="J20" i="147"/>
  <c r="F20" i="147"/>
  <c r="D20" i="147"/>
  <c r="D21" i="147"/>
  <c r="F21" i="147"/>
  <c r="I21" i="147"/>
  <c r="J21" i="147"/>
  <c r="D36" i="147"/>
  <c r="F36" i="147"/>
  <c r="I36" i="147"/>
  <c r="J36" i="147"/>
  <c r="B47" i="147"/>
  <c r="D47" i="147"/>
  <c r="F60" i="147"/>
  <c r="F61" i="147"/>
  <c r="B59" i="147"/>
  <c r="B62" i="147"/>
  <c r="C55" i="147"/>
  <c r="C56" i="147"/>
  <c r="C57" i="147"/>
  <c r="C58" i="147"/>
  <c r="C59" i="147"/>
  <c r="C60" i="147"/>
  <c r="C61" i="147"/>
  <c r="C62" i="147"/>
  <c r="F62" i="147"/>
  <c r="F65" i="147"/>
  <c r="P2" i="157"/>
  <c r="B59" i="106"/>
  <c r="I36" i="106"/>
  <c r="J36" i="106"/>
  <c r="F36" i="106"/>
  <c r="D36" i="106"/>
  <c r="I21" i="106"/>
  <c r="J21" i="106"/>
  <c r="F21" i="106"/>
  <c r="D21" i="106"/>
  <c r="D34" i="106"/>
  <c r="F34" i="106"/>
  <c r="I34" i="106"/>
  <c r="J34" i="106"/>
  <c r="F18" i="106"/>
  <c r="D17" i="106"/>
  <c r="D18" i="106"/>
  <c r="D19" i="106"/>
  <c r="F19" i="106"/>
  <c r="F17" i="106"/>
  <c r="I17" i="106"/>
  <c r="J17" i="106"/>
  <c r="I18" i="106"/>
  <c r="J18" i="106"/>
  <c r="I19" i="106"/>
  <c r="J19" i="106"/>
  <c r="B55" i="106"/>
  <c r="B62" i="106"/>
  <c r="C55" i="106"/>
  <c r="C56" i="106"/>
  <c r="C57" i="106"/>
  <c r="C58" i="106"/>
  <c r="C59" i="106"/>
  <c r="C60" i="106"/>
  <c r="C61" i="106"/>
  <c r="C62" i="106"/>
  <c r="H55" i="106"/>
  <c r="F33" i="106"/>
  <c r="I33" i="106"/>
  <c r="J33" i="106"/>
  <c r="D33" i="106"/>
  <c r="I32" i="106"/>
  <c r="J32" i="106"/>
  <c r="F32" i="106"/>
  <c r="D32" i="106"/>
  <c r="H56" i="106"/>
  <c r="F65" i="106"/>
  <c r="F61" i="106"/>
  <c r="F62" i="106"/>
  <c r="F60" i="106"/>
  <c r="D47" i="106"/>
  <c r="F65" i="149"/>
  <c r="I20" i="149"/>
  <c r="J20" i="149"/>
  <c r="F20" i="149"/>
  <c r="D20" i="149"/>
  <c r="D21" i="149"/>
  <c r="F21" i="149"/>
  <c r="I21" i="149"/>
  <c r="J21" i="149"/>
  <c r="B56" i="149"/>
  <c r="B59" i="149"/>
  <c r="B62" i="149"/>
  <c r="C56" i="149"/>
  <c r="C57" i="149"/>
  <c r="C58" i="149"/>
  <c r="C59" i="149"/>
  <c r="C60" i="149"/>
  <c r="C61" i="149"/>
  <c r="C55" i="149"/>
  <c r="C62" i="149"/>
  <c r="B47" i="149"/>
  <c r="D47" i="149"/>
  <c r="I36" i="149"/>
  <c r="J36" i="149"/>
  <c r="F36" i="149"/>
  <c r="D36" i="149"/>
  <c r="F35" i="149"/>
  <c r="D35" i="149"/>
  <c r="I35" i="149"/>
  <c r="J35" i="149"/>
  <c r="F62" i="149"/>
  <c r="F61" i="14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<sst xmlns="http://schemas.openxmlformats.org/spreadsheetml/2006/main" count="1667" uniqueCount="306">
  <si>
    <t>character_id</t>
  </si>
  <si>
    <t>character_id</t>
    <phoneticPr fontId="12"/>
  </si>
  <si>
    <t>weight</t>
    <phoneticPr fontId="1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</si>
  <si>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</si>
  <si>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</si>
  <si>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</si>
  <si>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</si>
  <si>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</si>
  <si>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</si>
  <si>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</si>
  <si>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2"/>
  </si>
  <si>
    <t>gift_id</t>
    <phoneticPr fontId="12"/>
  </si>
  <si>
    <t>gift_type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</si>
  <si>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</si>
  <si>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</si>
  <si>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</si>
  <si>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</si>
  <si>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</si>
  <si>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</si>
  <si>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備考</t>
    <rPh sb="0" eb="2">
      <t>ビコウ</t>
    </rPh>
    <phoneticPr fontId="12"/>
  </si>
  <si>
    <t>character_id</t>
    <phoneticPr fontId="12"/>
  </si>
  <si>
    <t>name</t>
    <phoneticPr fontId="12"/>
  </si>
  <si>
    <t>drop_label</t>
    <phoneticPr fontId="12"/>
  </si>
  <si>
    <t>rare</t>
    <phoneticPr fontId="12"/>
  </si>
  <si>
    <t>character_type_id</t>
    <phoneticPr fontId="12"/>
  </si>
  <si>
    <t>character_tribe_id</t>
    <phoneticPr fontId="12"/>
  </si>
  <si>
    <t>unit_level</t>
    <phoneticPr fontId="12"/>
  </si>
  <si>
    <t>weight</t>
    <phoneticPr fontId="12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</si>
  <si>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</si>
  <si>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</si>
  <si>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</si>
  <si>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</si>
  <si>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</si>
  <si>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</si>
  <si>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出力flg</t>
    <rPh sb="0" eb="2">
      <t>シュツリョク</t>
    </rPh>
    <phoneticPr fontId="45"/>
  </si>
  <si>
    <t>color</t>
    <phoneticPr fontId="12"/>
  </si>
  <si>
    <t>レアリティ別確率</t>
    <rPh sb="5" eb="6">
      <t>ベツ</t>
    </rPh>
    <rPh sb="6" eb="8">
      <t>カクリツ</t>
    </rPh>
    <phoneticPr fontId="12"/>
  </si>
  <si>
    <t>ラベル別確率</t>
    <rPh sb="3" eb="4">
      <t>ベツ</t>
    </rPh>
    <rPh sb="4" eb="6">
      <t>カクリツ</t>
    </rPh>
    <phoneticPr fontId="12"/>
  </si>
  <si>
    <t>SSS</t>
    <phoneticPr fontId="12"/>
  </si>
  <si>
    <t>SS</t>
    <phoneticPr fontId="12"/>
  </si>
  <si>
    <t>ラベル*レアリティ標準確率</t>
    <rPh sb="9" eb="11">
      <t>ヒョウジュン</t>
    </rPh>
    <rPh sb="11" eb="13">
      <t>カクリツ</t>
    </rPh>
    <phoneticPr fontId="12"/>
  </si>
  <si>
    <t>性別</t>
    <rPh sb="0" eb="2">
      <t>セイベツ</t>
    </rPh>
    <phoneticPr fontId="12"/>
  </si>
  <si>
    <t>合計</t>
    <rPh sb="0" eb="2">
      <t>ゴウケイ</t>
    </rPh>
    <phoneticPr fontId="12"/>
  </si>
  <si>
    <t>グループ</t>
    <phoneticPr fontId="12"/>
  </si>
  <si>
    <t>ピックアップ確率</t>
    <rPh sb="6" eb="8">
      <t>カクリツ</t>
    </rPh>
    <phoneticPr fontId="12"/>
  </si>
  <si>
    <t>残り確率</t>
    <rPh sb="0" eb="1">
      <t>ノコ</t>
    </rPh>
    <rPh sb="2" eb="4">
      <t>カクリツ</t>
    </rPh>
    <phoneticPr fontId="12"/>
  </si>
  <si>
    <t>確率</t>
    <rPh sb="0" eb="2">
      <t>カクリツ</t>
    </rPh>
    <phoneticPr fontId="12"/>
  </si>
  <si>
    <t>所属グループ</t>
    <rPh sb="0" eb="2">
      <t>ショゾク</t>
    </rPh>
    <phoneticPr fontId="12"/>
  </si>
  <si>
    <t>名前</t>
    <rPh sb="0" eb="2">
      <t>ナマエ</t>
    </rPh>
    <phoneticPr fontId="12"/>
  </si>
  <si>
    <t>レアリティ</t>
    <phoneticPr fontId="12"/>
  </si>
  <si>
    <t>ラベル</t>
    <phoneticPr fontId="12"/>
  </si>
  <si>
    <t>R3</t>
    <phoneticPr fontId="12"/>
  </si>
  <si>
    <t>R4</t>
    <phoneticPr fontId="12"/>
  </si>
  <si>
    <t>R5</t>
    <phoneticPr fontId="12"/>
  </si>
  <si>
    <t>個別確率</t>
    <rPh sb="0" eb="4">
      <t>コベツカクリツ</t>
    </rPh>
    <phoneticPr fontId="12"/>
  </si>
  <si>
    <t>該当数(ピックアップ除く)</t>
    <rPh sb="0" eb="2">
      <t>ガイトウ</t>
    </rPh>
    <rPh sb="2" eb="3">
      <t>スウ</t>
    </rPh>
    <rPh sb="10" eb="11">
      <t>ノゾ</t>
    </rPh>
    <phoneticPr fontId="12"/>
  </si>
  <si>
    <t>個別weight</t>
    <rPh sb="0" eb="2">
      <t>コベツ</t>
    </rPh>
    <phoneticPr fontId="12"/>
  </si>
  <si>
    <t>グループweight</t>
    <phoneticPr fontId="12"/>
  </si>
  <si>
    <t>端数</t>
    <rPh sb="0" eb="2">
      <t>ハスウ</t>
    </rPh>
    <phoneticPr fontId="12"/>
  </si>
  <si>
    <t>確率</t>
    <rPh sb="0" eb="2">
      <t>カクリツ</t>
    </rPh>
    <phoneticPr fontId="12"/>
  </si>
  <si>
    <t>--検算用--</t>
    <rPh sb="3" eb="6">
      <t>ケンザンヨウ</t>
    </rPh>
    <phoneticPr fontId="12"/>
  </si>
  <si>
    <t>端数逆数</t>
    <rPh sb="0" eb="2">
      <t>ハスウ</t>
    </rPh>
    <rPh sb="2" eb="4">
      <t>ギャクスウ</t>
    </rPh>
    <phoneticPr fontId="12"/>
  </si>
  <si>
    <t>テーブルを増やしたい場合</t>
    <rPh sb="5" eb="6">
      <t>フ</t>
    </rPh>
    <rPh sb="10" eb="12">
      <t>バアイ</t>
    </rPh>
    <phoneticPr fontId="1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</si>
  <si>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</si>
  <si>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2"/>
  </si>
  <si>
    <t>３．outputシートで２で作ったtablesを指定する</t>
    <rPh sb="14" eb="15">
      <t>ツク</t>
    </rPh>
    <rPh sb="24" eb="26">
      <t>シテイ</t>
    </rPh>
    <phoneticPr fontId="12"/>
  </si>
  <si>
    <t>テーブルid</t>
    <phoneticPr fontId="12"/>
  </si>
  <si>
    <t>→ピックアップの確率は右のほうにいます</t>
    <rPh sb="8" eb="10">
      <t>カクリツ</t>
    </rPh>
    <rPh sb="11" eb="12">
      <t>ミギ</t>
    </rPh>
    <phoneticPr fontId="12"/>
  </si>
  <si>
    <t>table_no</t>
    <phoneticPr fontId="12"/>
  </si>
  <si>
    <t>skill_level</t>
  </si>
  <si>
    <t>level</t>
  </si>
  <si>
    <t>hp_plus</t>
    <phoneticPr fontId="45"/>
  </si>
  <si>
    <t>attack_plus</t>
    <phoneticPr fontId="45"/>
  </si>
  <si>
    <t>heal_plus</t>
    <phoneticPr fontId="45"/>
  </si>
  <si>
    <t>defense_plus</t>
    <phoneticPr fontId="45"/>
  </si>
  <si>
    <t>level</t>
    <phoneticPr fontId="45"/>
  </si>
  <si>
    <t>skill_level</t>
    <phoneticPr fontId="45"/>
  </si>
  <si>
    <t>bug</t>
    <phoneticPr fontId="45"/>
  </si>
  <si>
    <t>drop_label2</t>
    <phoneticPr fontId="12"/>
  </si>
  <si>
    <t>Premium</t>
    <phoneticPr fontId="12"/>
  </si>
  <si>
    <t>Premium3</t>
    <phoneticPr fontId="12"/>
  </si>
  <si>
    <t>Premium4</t>
    <phoneticPr fontId="12"/>
  </si>
  <si>
    <t>Premium5</t>
    <phoneticPr fontId="12"/>
  </si>
  <si>
    <t>グループ確率</t>
    <rPh sb="4" eb="6">
      <t>カクリツ</t>
    </rPh>
    <phoneticPr fontId="12"/>
  </si>
  <si>
    <t>レア度別確率</t>
    <rPh sb="2" eb="4">
      <t>ドベツ</t>
    </rPh>
    <rPh sb="4" eb="6">
      <t>カクリツ</t>
    </rPh>
    <phoneticPr fontId="12"/>
  </si>
  <si>
    <t>ラベル別確率</t>
    <rPh sb="3" eb="4">
      <t>ベツ</t>
    </rPh>
    <rPh sb="4" eb="6">
      <t>カクリツ</t>
    </rPh>
    <phoneticPr fontId="12"/>
  </si>
  <si>
    <t>color2</t>
    <phoneticPr fontId="12"/>
  </si>
  <si>
    <t>Premium3</t>
  </si>
  <si>
    <t>Premium4</t>
  </si>
  <si>
    <t>Premium5</t>
  </si>
  <si>
    <t>PremiumSS4</t>
    <phoneticPr fontId="12"/>
  </si>
  <si>
    <t>PremiumSS5</t>
    <phoneticPr fontId="12"/>
  </si>
  <si>
    <t>PremiumSSS5</t>
    <phoneticPr fontId="12"/>
  </si>
  <si>
    <t>PremiumSS4</t>
    <phoneticPr fontId="12"/>
  </si>
  <si>
    <t>PremiumSSS4</t>
    <phoneticPr fontId="12"/>
  </si>
  <si>
    <t>PremiumSS5</t>
    <phoneticPr fontId="12"/>
  </si>
  <si>
    <t>PremiumSSS5</t>
    <phoneticPr fontId="12"/>
  </si>
  <si>
    <t>ラベル確率で考えましょう</t>
    <rPh sb="6" eb="7">
      <t>カンガエマショウ</t>
    </rPh>
    <phoneticPr fontId="45"/>
  </si>
  <si>
    <t>ラベル</t>
    <phoneticPr fontId="45"/>
  </si>
  <si>
    <t>レアリティ</t>
    <phoneticPr fontId="45"/>
  </si>
  <si>
    <t>{W}</t>
    <phoneticPr fontId="45"/>
  </si>
  <si>
    <t>{N,S}</t>
    <phoneticPr fontId="45"/>
  </si>
  <si>
    <t>{N,S}R3less</t>
    <phoneticPr fontId="45"/>
  </si>
  <si>
    <t>{N,S}R6release</t>
    <phoneticPr fontId="45"/>
  </si>
  <si>
    <t>{SS}</t>
    <phoneticPr fontId="45"/>
  </si>
  <si>
    <t>{SS}R6only</t>
    <phoneticPr fontId="45"/>
  </si>
  <si>
    <t>小計</t>
    <rPh sb="0" eb="2">
      <t>ショウケイ</t>
    </rPh>
    <phoneticPr fontId="45"/>
  </si>
  <si>
    <t>A</t>
    <phoneticPr fontId="45"/>
  </si>
  <si>
    <t>C</t>
    <phoneticPr fontId="45"/>
  </si>
  <si>
    <t>H</t>
    <phoneticPr fontId="45"/>
  </si>
  <si>
    <t>B</t>
    <phoneticPr fontId="45"/>
  </si>
  <si>
    <t>D</t>
    <phoneticPr fontId="45"/>
  </si>
  <si>
    <t>F</t>
    <phoneticPr fontId="45"/>
  </si>
  <si>
    <t>I</t>
    <phoneticPr fontId="45"/>
  </si>
  <si>
    <t>K</t>
    <phoneticPr fontId="45"/>
  </si>
  <si>
    <t>E</t>
    <phoneticPr fontId="45"/>
  </si>
  <si>
    <t>G</t>
    <phoneticPr fontId="45"/>
  </si>
  <si>
    <t>J</t>
    <phoneticPr fontId="45"/>
  </si>
  <si>
    <t>L</t>
    <phoneticPr fontId="45"/>
  </si>
  <si>
    <t>M</t>
    <phoneticPr fontId="45"/>
  </si>
  <si>
    <t>→</t>
    <phoneticPr fontId="45"/>
  </si>
  <si>
    <t>1-SS率</t>
    <rPh sb="4" eb="5">
      <t>リツ</t>
    </rPh>
    <phoneticPr fontId="45"/>
  </si>
  <si>
    <t>SS率</t>
    <rPh sb="2" eb="3">
      <t>リツ</t>
    </rPh>
    <phoneticPr fontId="45"/>
  </si>
  <si>
    <t>考え方を変える</t>
    <rPh sb="0" eb="1">
      <t>カンガエカタ</t>
    </rPh>
    <rPh sb="4" eb="5">
      <t>カエル</t>
    </rPh>
    <phoneticPr fontId="45"/>
  </si>
  <si>
    <t>SS4%は確定事項</t>
    <rPh sb="5" eb="7">
      <t>カクテイ</t>
    </rPh>
    <rPh sb="7" eb="9">
      <t>ジコウ</t>
    </rPh>
    <phoneticPr fontId="45"/>
  </si>
  <si>
    <t>当たりは分配</t>
    <rPh sb="0" eb="1">
      <t>アタリ</t>
    </rPh>
    <rPh sb="4" eb="6">
      <t>ブンパイ</t>
    </rPh>
    <phoneticPr fontId="4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</si>
  <si>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5"/>
  </si>
  <si>
    <t>=</t>
    <phoneticPr fontId="45"/>
  </si>
  <si>
    <t>X*{SS R5only}</t>
    <phoneticPr fontId="45"/>
  </si>
  <si>
    <t>K</t>
    <phoneticPr fontId="45"/>
  </si>
  <si>
    <t>=</t>
    <phoneticPr fontId="45"/>
  </si>
  <si>
    <t>X*{SS}*(R3率+R4率)</t>
    <rPh sb="10" eb="11">
      <t>リツ</t>
    </rPh>
    <rPh sb="14" eb="15">
      <t>リツ</t>
    </rPh>
    <phoneticPr fontId="45"/>
  </si>
  <si>
    <t>L</t>
    <phoneticPr fontId="45"/>
  </si>
  <si>
    <t>X*{SS}*R5率</t>
    <rPh sb="9" eb="10">
      <t>リツ</t>
    </rPh>
    <phoneticPr fontId="45"/>
  </si>
  <si>
    <t>X*{R6release}*R3率</t>
    <rPh sb="16" eb="17">
      <t>リツ</t>
    </rPh>
    <phoneticPr fontId="45"/>
  </si>
  <si>
    <t>X*{R6release}*R4率</t>
    <rPh sb="16" eb="17">
      <t>リツ</t>
    </rPh>
    <phoneticPr fontId="45"/>
  </si>
  <si>
    <t>J</t>
    <phoneticPr fontId="45"/>
  </si>
  <si>
    <t>X*{R6release}*R5率</t>
    <rPh sb="16" eb="17">
      <t>リツ</t>
    </rPh>
    <phoneticPr fontId="45"/>
  </si>
  <si>
    <t>ハズレで確率を整える</t>
    <rPh sb="4" eb="6">
      <t>カクリツ</t>
    </rPh>
    <rPh sb="7" eb="8">
      <t>トトノエル</t>
    </rPh>
    <phoneticPr fontId="4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</si>
  <si>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5"/>
  </si>
  <si>
    <t>A + C</t>
    <phoneticPr fontId="45"/>
  </si>
  <si>
    <t>=</t>
    <phoneticPr fontId="45"/>
  </si>
  <si>
    <t>50%-H</t>
    <phoneticPr fontId="45"/>
  </si>
  <si>
    <t>①</t>
    <phoneticPr fontId="45"/>
  </si>
  <si>
    <t>B + D + F</t>
    <phoneticPr fontId="45"/>
  </si>
  <si>
    <t>45%-I-K</t>
    <phoneticPr fontId="45"/>
  </si>
  <si>
    <t>②</t>
    <phoneticPr fontId="45"/>
  </si>
  <si>
    <t>E+G</t>
    <phoneticPr fontId="45"/>
  </si>
  <si>
    <t>5%-J-L-M</t>
    <phoneticPr fontId="45"/>
  </si>
  <si>
    <t>③</t>
    <phoneticPr fontId="45"/>
  </si>
  <si>
    <t>A+B</t>
    <phoneticPr fontId="45"/>
  </si>
  <si>
    <t>Y*{W}</t>
    <phoneticPr fontId="45"/>
  </si>
  <si>
    <t>④</t>
    <phoneticPr fontId="45"/>
  </si>
  <si>
    <t>C+D+E</t>
    <phoneticPr fontId="45"/>
  </si>
  <si>
    <t>Y*{N,S}</t>
    <phoneticPr fontId="45"/>
  </si>
  <si>
    <t>⑤</t>
    <phoneticPr fontId="45"/>
  </si>
  <si>
    <t>F+G</t>
    <phoneticPr fontId="45"/>
  </si>
  <si>
    <t>Y*{N,S R3less}</t>
    <phoneticPr fontId="45"/>
  </si>
  <si>
    <t>⑥</t>
    <phoneticPr fontId="45"/>
  </si>
  <si>
    <t>A+B+C+D+E+F+G</t>
    <phoneticPr fontId="45"/>
  </si>
  <si>
    <t>⑦</t>
    <phoneticPr fontId="45"/>
  </si>
  <si>
    <t>←これは4,5,6で作れるのでダメだわ</t>
    <rPh sb="10" eb="11">
      <t>ツクレル</t>
    </rPh>
    <phoneticPr fontId="45"/>
  </si>
  <si>
    <t>E*R3率/R5率</t>
    <rPh sb="4" eb="5">
      <t>リツ</t>
    </rPh>
    <rPh sb="8" eb="9">
      <t>リツ</t>
    </rPh>
    <phoneticPr fontId="4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</si>
  <si>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5"/>
  </si>
  <si>
    <t>E*R4率/R5率</t>
    <rPh sb="4" eb="5">
      <t>リツ</t>
    </rPh>
    <rPh sb="8" eb="9">
      <t>リツ</t>
    </rPh>
    <phoneticPr fontId="45"/>
  </si>
  <si>
    <t>∴</t>
    <phoneticPr fontId="45"/>
  </si>
  <si>
    <t>E</t>
    <phoneticPr fontId="45"/>
  </si>
  <si>
    <t>Y*{N,S}*R5率</t>
    <rPh sb="10" eb="11">
      <t>リツ</t>
    </rPh>
    <phoneticPr fontId="45"/>
  </si>
  <si>
    <t>Y*{N,S}*R4率</t>
    <rPh sb="10" eb="11">
      <t>リツ</t>
    </rPh>
    <phoneticPr fontId="45"/>
  </si>
  <si>
    <t>Y*{N,S}*R3率</t>
    <rPh sb="10" eb="11">
      <t>リツ</t>
    </rPh>
    <phoneticPr fontId="45"/>
  </si>
  <si>
    <t>50%-H-C</t>
    <phoneticPr fontId="45"/>
  </si>
  <si>
    <t>Y*{W}-A</t>
    <phoneticPr fontId="45"/>
  </si>
  <si>
    <t>5%-J-L-M-E</t>
    <phoneticPr fontId="45"/>
  </si>
  <si>
    <t>Y*{N,S R3less} - G</t>
    <phoneticPr fontId="45"/>
  </si>
  <si>
    <t>R6境界前後</t>
    <rPh sb="2" eb="4">
      <t>キョウカイ</t>
    </rPh>
    <rPh sb="4" eb="6">
      <t>ゼンゴ</t>
    </rPh>
    <phoneticPr fontId="12"/>
  </si>
  <si>
    <t>R6事後開放N,S</t>
    <rPh sb="2" eb="6">
      <t>ジゴカイホウ</t>
    </rPh>
    <phoneticPr fontId="12"/>
  </si>
  <si>
    <t>PremiumW3</t>
    <phoneticPr fontId="12"/>
  </si>
  <si>
    <t>PremiumW4</t>
    <phoneticPr fontId="12"/>
  </si>
  <si>
    <t>ラベル確率</t>
    <rPh sb="3" eb="5">
      <t>カクリツ</t>
    </rPh>
    <phoneticPr fontId="1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</si>
  <si>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</si>
  <si>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</si>
  <si>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</si>
  <si>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</si>
  <si>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</si>
  <si>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2"/>
  </si>
  <si>
    <t>PremiumSS5R5only</t>
  </si>
  <si>
    <t>計算用中間データ</t>
    <rPh sb="0" eb="3">
      <t>ケイサンヨウ</t>
    </rPh>
    <rPh sb="3" eb="5">
      <t>チュウカン</t>
    </rPh>
    <phoneticPr fontId="12"/>
  </si>
  <si>
    <t>X</t>
    <phoneticPr fontId="12"/>
  </si>
  <si>
    <t>Y</t>
    <phoneticPr fontId="12"/>
  </si>
  <si>
    <t>対象数</t>
    <rPh sb="0" eb="3">
      <t>タイショウスウ</t>
    </rPh>
    <phoneticPr fontId="12"/>
  </si>
  <si>
    <t>PremiumW</t>
    <phoneticPr fontId="12"/>
  </si>
  <si>
    <t>PremiumN</t>
    <phoneticPr fontId="12"/>
  </si>
  <si>
    <t>PremiumS</t>
    <phoneticPr fontId="12"/>
  </si>
  <si>
    <t>PremiumSS</t>
    <phoneticPr fontId="12"/>
  </si>
  <si>
    <t>weight</t>
    <phoneticPr fontId="12"/>
  </si>
  <si>
    <t>←R6分はここから差し引く</t>
    <rPh sb="3" eb="4">
      <t>ブン</t>
    </rPh>
    <rPh sb="9" eb="10">
      <t>サシヒク</t>
    </rPh>
    <phoneticPr fontId="12"/>
  </si>
  <si>
    <t>除外確率</t>
    <rPh sb="0" eb="2">
      <t>ジョガイ</t>
    </rPh>
    <rPh sb="2" eb="4">
      <t>カクリツ</t>
    </rPh>
    <phoneticPr fontId="12"/>
  </si>
  <si>
    <t>除外数</t>
    <rPh sb="0" eb="3">
      <t>ジョガイスウ</t>
    </rPh>
    <phoneticPr fontId="12"/>
  </si>
  <si>
    <t>もうここは手で入れよう…</t>
    <rPh sb="5" eb="6">
      <t>テ</t>
    </rPh>
    <rPh sb="7" eb="8">
      <t>イレヨウ</t>
    </rPh>
    <phoneticPr fontId="12"/>
  </si>
  <si>
    <t>通常weight</t>
    <rPh sb="0" eb="2">
      <t>ツウジョウ</t>
    </rPh>
    <phoneticPr fontId="12"/>
  </si>
  <si>
    <t>A</t>
    <phoneticPr fontId="12"/>
  </si>
  <si>
    <t>B</t>
    <phoneticPr fontId="12"/>
  </si>
  <si>
    <t>PremiumW4</t>
    <phoneticPr fontId="12"/>
  </si>
  <si>
    <t>C</t>
    <phoneticPr fontId="12"/>
  </si>
  <si>
    <t>Premium3</t>
    <phoneticPr fontId="12"/>
  </si>
  <si>
    <t>D</t>
    <phoneticPr fontId="12"/>
  </si>
  <si>
    <t>Premium4</t>
    <phoneticPr fontId="12"/>
  </si>
  <si>
    <t>E</t>
    <phoneticPr fontId="12"/>
  </si>
  <si>
    <t>Premium5</t>
    <phoneticPr fontId="12"/>
  </si>
  <si>
    <t>F</t>
    <phoneticPr fontId="12"/>
  </si>
  <si>
    <t>Premium4R3less</t>
    <phoneticPr fontId="12"/>
  </si>
  <si>
    <t>G</t>
    <phoneticPr fontId="12"/>
  </si>
  <si>
    <t>Premium5R3less</t>
    <phoneticPr fontId="12"/>
  </si>
  <si>
    <t>H</t>
    <phoneticPr fontId="12"/>
  </si>
  <si>
    <t>I</t>
    <phoneticPr fontId="12"/>
  </si>
  <si>
    <t>J</t>
    <phoneticPr fontId="12"/>
  </si>
  <si>
    <t>K</t>
    <phoneticPr fontId="12"/>
  </si>
  <si>
    <t>Premium3R6release</t>
    <phoneticPr fontId="12"/>
  </si>
  <si>
    <t>Premium4R6release</t>
    <phoneticPr fontId="12"/>
  </si>
  <si>
    <t>Premium5R6release</t>
    <phoneticPr fontId="12"/>
  </si>
  <si>
    <t>PremiumSS4</t>
    <phoneticPr fontId="12"/>
  </si>
  <si>
    <t>PremiumSS5</t>
    <phoneticPr fontId="12"/>
  </si>
  <si>
    <t>L</t>
    <phoneticPr fontId="12"/>
  </si>
  <si>
    <t>M</t>
    <phoneticPr fontId="12"/>
  </si>
  <si>
    <t>PremiumSS5R5only</t>
    <phoneticPr fontId="12"/>
  </si>
  <si>
    <t>50% - H - C</t>
    <phoneticPr fontId="12"/>
  </si>
  <si>
    <t>Xcolor</t>
    <phoneticPr fontId="12"/>
  </si>
  <si>
    <t>Ycolor</t>
    <phoneticPr fontId="12"/>
  </si>
  <si>
    <t>Premium4color</t>
    <phoneticPr fontId="12"/>
  </si>
  <si>
    <t>PremiumW3color</t>
    <phoneticPr fontId="12"/>
  </si>
  <si>
    <t>PremiumW4color</t>
    <phoneticPr fontId="12"/>
  </si>
  <si>
    <t>Premium3color</t>
    <phoneticPr fontId="12"/>
  </si>
  <si>
    <t>Premium5color</t>
    <phoneticPr fontId="12"/>
  </si>
  <si>
    <t>Premium4R3lesscolor</t>
    <phoneticPr fontId="12"/>
  </si>
  <si>
    <t>Premium5R3lesscolor</t>
    <phoneticPr fontId="12"/>
  </si>
  <si>
    <t>Premium3R6releasecolor</t>
    <phoneticPr fontId="12"/>
  </si>
  <si>
    <t>Premium4R6releasecolor</t>
    <phoneticPr fontId="12"/>
  </si>
  <si>
    <t>Premium5R6releasecolor</t>
    <phoneticPr fontId="12"/>
  </si>
  <si>
    <t>PremiumSS4color</t>
    <phoneticPr fontId="12"/>
  </si>
  <si>
    <t>PremiumSS5color</t>
    <phoneticPr fontId="12"/>
  </si>
  <si>
    <t>PremiumSS5R5onlycolor</t>
    <phoneticPr fontId="12"/>
  </si>
  <si>
    <t>PremiumSSS4R3lesscolor</t>
    <phoneticPr fontId="12"/>
  </si>
  <si>
    <t>PremiumSSS5R3lesscolor</t>
    <phoneticPr fontId="12"/>
  </si>
  <si>
    <t>PremiumSSS4R3less</t>
    <phoneticPr fontId="12"/>
  </si>
  <si>
    <t>PremiumSSS5R3less</t>
    <phoneticPr fontId="12"/>
  </si>
  <si>
    <t>通常確率</t>
    <phoneticPr fontId="12"/>
  </si>
  <si>
    <t>通常確率</t>
    <phoneticPr fontId="12"/>
  </si>
  <si>
    <t>通常確率</t>
    <phoneticPr fontId="12"/>
  </si>
  <si>
    <t>PremiumSSS</t>
    <phoneticPr fontId="12"/>
  </si>
  <si>
    <t>PremiumSSw</t>
    <phoneticPr fontId="12"/>
  </si>
  <si>
    <t>PremiumSS5R5only</t>
    <phoneticPr fontId="12"/>
  </si>
  <si>
    <t>PremiumSSS</t>
    <phoneticPr fontId="12"/>
  </si>
  <si>
    <t>PremiumSSw</t>
    <phoneticPr fontId="12"/>
  </si>
  <si>
    <t>PremiumSSw</t>
    <phoneticPr fontId="12"/>
  </si>
  <si>
    <t>PremiumSSS</t>
    <phoneticPr fontId="12"/>
  </si>
  <si>
    <t>PremiumSSS</t>
    <phoneticPr fontId="12"/>
  </si>
  <si>
    <t>↓これが正しい</t>
    <phoneticPr fontId="12"/>
  </si>
  <si>
    <t>bit</t>
    <phoneticPr fontId="12"/>
  </si>
  <si>
    <t>null</t>
    <phoneticPr fontId="12"/>
  </si>
  <si>
    <t>ja</t>
    <phoneticPr fontId="12"/>
  </si>
  <si>
    <t>100万ビット</t>
    <phoneticPr fontId="12"/>
  </si>
  <si>
    <t>ランキング対抗ガチャ特典</t>
    <phoneticPr fontId="12"/>
  </si>
  <si>
    <t>STEP3特典として
100万ビットをプレゼント！</t>
    <phoneticPr fontId="12"/>
  </si>
  <si>
    <t>unit</t>
    <phoneticPr fontId="12"/>
  </si>
  <si>
    <t>秘術の果実 × 4</t>
    <phoneticPr fontId="12"/>
  </si>
  <si>
    <t>STEP5特典として
秘術の果実を4体プレゼント！</t>
    <phoneticPr fontId="12"/>
  </si>
  <si>
    <t>item</t>
    <phoneticPr fontId="12"/>
  </si>
  <si>
    <t>マスターキー × 3</t>
    <phoneticPr fontId="12"/>
  </si>
  <si>
    <t>STEP6特典として
マスターキーを3本プレゼント！</t>
    <phoneticPr fontId="12"/>
  </si>
  <si>
    <t>gacha_select_tables_</t>
    <phoneticPr fontId="12"/>
  </si>
  <si>
    <t>gacha_select_tables_</t>
    <phoneticPr fontId="12"/>
  </si>
  <si>
    <t>.tmp</t>
    <phoneticPr fontId="45"/>
  </si>
  <si>
    <t>.tmp</t>
    <phoneticPr fontId="45"/>
  </si>
  <si>
    <t>table_no</t>
    <phoneticPr fontId="12"/>
  </si>
  <si>
    <t>gacha_settle_tables_</t>
    <phoneticPr fontId="12"/>
  </si>
  <si>
    <t>.tmp</t>
    <phoneticPr fontId="45"/>
  </si>
  <si>
    <t>table_no</t>
    <phoneticPr fontId="12"/>
  </si>
  <si>
    <t>table_no</t>
    <phoneticPr fontId="12"/>
  </si>
  <si>
    <t>.tmp</t>
    <phoneticPr fontId="45"/>
  </si>
  <si>
    <t>table_no</t>
    <phoneticPr fontId="1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</si>
  <si>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</si>
  <si>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t>gacha_bonus_tables</t>
    <phoneticPr fontId="45"/>
  </si>
  <si>
    <t>gacha_bonus_tables</t>
    <phoneticPr fontId="45"/>
  </si>
  <si>
    <t>bonus_table_no</t>
    <phoneticPr fontId="12"/>
  </si>
  <si>
    <t>gift_id</t>
    <phoneticPr fontId="12"/>
  </si>
  <si>
    <t>weight</t>
    <phoneticPr fontId="12"/>
  </si>
  <si>
    <t>gifts_tmp_</t>
    <phoneticPr fontId="12"/>
  </si>
  <si>
    <t>gift_type</t>
    <phoneticPr fontId="12"/>
  </si>
  <si>
    <t>gift_value</t>
    <phoneticPr fontId="12"/>
  </si>
  <si>
    <t>gift_count</t>
    <phoneticPr fontId="12"/>
  </si>
  <si>
    <t>gifts_i18n_</t>
    <phoneticPr fontId="12"/>
  </si>
  <si>
    <t>.tmp</t>
    <phoneticPr fontId="45"/>
  </si>
  <si>
    <t>gacha_bonus_tables</t>
    <phoneticPr fontId="45"/>
  </si>
  <si>
    <t>gift_id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</si>
  <si>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</si>
  <si>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</si>
  <si>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</si>
  <si>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</si>
  <si>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old</t>
    <phoneticPr fontId="12"/>
  </si>
  <si>
    <t>tables_572101</t>
    <phoneticPr fontId="12"/>
  </si>
  <si>
    <t>tables_572103</t>
    <phoneticPr fontId="12"/>
  </si>
  <si>
    <t>tables_settle_572104</t>
    <phoneticPr fontId="12"/>
  </si>
  <si>
    <t>tables_572104</t>
    <phoneticPr fontId="12"/>
  </si>
  <si>
    <t>tables_572105</t>
    <phoneticPr fontId="12"/>
  </si>
  <si>
    <t>tables_572106</t>
    <phoneticPr fontId="12"/>
  </si>
  <si>
    <t>tables_572100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</si>
</sst>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"/>
    <numFmt numFmtId="184" formatCode="0.0000000000000000000%"/>
    <numFmt numFmtId="185" formatCode="0.000000000000000000_ "/>
    <numFmt numFmtId="186" formatCode="0.000000000000%"/>
    <numFmt numFmtId="187" formatCode="0.0000000000000000_ "/>
    <numFmt numFmtId="188" formatCode="0.000_);[Red]\(0.000\)"/>
    <numFmt numFmtId="189" formatCode="0.00000_);[Red]\(0.00000\)"/>
    <numFmt numFmtId="190" formatCode="0.000000000_);[Red]\(0.000000000\)"/>
    <numFmt numFmtId="191" formatCode="0.000000000_ "/>
    <numFmt numFmtId="192" formatCode="0_);[Red]\(0\)"/>
  </numFmts>
  <fonts count="5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0"/>
      <name val="Arial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70">
    <xf numFmtId="0" fontId="0" fillId="0" borderId="0"/>
    <xf numFmtId="0" fontId="11" fillId="0" borderId="0"/>
    <xf numFmtId="0" fontId="15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0" fontId="22" fillId="5" borderId="2" applyNumberFormat="0" applyAlignment="0" applyProtection="0"/>
    <xf numFmtId="0" fontId="23" fillId="6" borderId="0" applyNumberFormat="0" applyBorder="0" applyAlignment="0" applyProtection="0"/>
    <xf numFmtId="0" fontId="24" fillId="7" borderId="3" applyNumberFormat="0" applyAlignment="0" applyProtection="0"/>
    <xf numFmtId="0" fontId="25" fillId="0" borderId="0" applyNumberFormat="0" applyFill="0" applyBorder="0" applyAlignment="0" applyProtection="0"/>
    <xf numFmtId="0" fontId="26" fillId="8" borderId="0" applyNumberFormat="0" applyBorder="0" applyAlignment="0" applyProtection="0"/>
    <xf numFmtId="0" fontId="27" fillId="9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7" borderId="0" applyNumberFormat="0" applyBorder="0" applyAlignment="0" applyProtection="0"/>
    <xf numFmtId="0" fontId="32" fillId="6" borderId="0" applyNumberFormat="0" applyBorder="0" applyAlignment="0" applyProtection="0"/>
    <xf numFmtId="0" fontId="32" fillId="10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5" borderId="0" applyNumberFormat="0" applyBorder="0" applyAlignment="0" applyProtection="0"/>
    <xf numFmtId="0" fontId="32" fillId="7" borderId="0" applyNumberFormat="0" applyBorder="0" applyAlignment="0" applyProtection="0"/>
    <xf numFmtId="0" fontId="32" fillId="12" borderId="0" applyNumberFormat="0" applyBorder="0" applyAlignment="0" applyProtection="0"/>
    <xf numFmtId="0" fontId="32" fillId="10" borderId="0" applyNumberFormat="0" applyBorder="0" applyAlignment="0" applyProtection="0"/>
    <xf numFmtId="0" fontId="32" fillId="7" borderId="0" applyNumberFormat="0" applyBorder="0" applyAlignment="0" applyProtection="0"/>
    <xf numFmtId="0" fontId="32" fillId="13" borderId="0" applyNumberFormat="0" applyBorder="0" applyAlignment="0" applyProtection="0"/>
    <xf numFmtId="0" fontId="32" fillId="6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7" borderId="0" applyNumberFormat="0" applyBorder="0" applyAlignment="0" applyProtection="0"/>
    <xf numFmtId="0" fontId="33" fillId="14" borderId="0" applyNumberFormat="0" applyBorder="0" applyAlignment="0" applyProtection="0"/>
    <xf numFmtId="0" fontId="33" fillId="6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0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4" fillId="17" borderId="0" applyNumberFormat="0" applyBorder="0" applyAlignment="0" applyProtection="0"/>
    <xf numFmtId="0" fontId="23" fillId="6" borderId="0" applyNumberFormat="0" applyBorder="0" applyAlignment="0" applyProtection="0"/>
    <xf numFmtId="0" fontId="35" fillId="0" borderId="8" applyNumberFormat="0" applyFill="0" applyAlignment="0" applyProtection="0"/>
    <xf numFmtId="0" fontId="36" fillId="7" borderId="9" applyNumberFormat="0" applyAlignment="0" applyProtection="0"/>
    <xf numFmtId="0" fontId="36" fillId="18" borderId="9" applyNumberFormat="0" applyAlignment="0" applyProtection="0"/>
    <xf numFmtId="0" fontId="24" fillId="6" borderId="3" applyNumberFormat="0" applyAlignment="0" applyProtection="0"/>
    <xf numFmtId="0" fontId="37" fillId="0" borderId="10" applyNumberFormat="0" applyFill="0" applyAlignment="0" applyProtection="0"/>
    <xf numFmtId="0" fontId="38" fillId="18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10" fillId="0" borderId="0" applyFont="0" applyFill="0" applyBorder="0" applyAlignment="0" applyProtection="0">
      <alignment vertical="center"/>
    </xf>
    <xf numFmtId="0" fontId="41" fillId="19" borderId="0" applyNumberFormat="0" applyBorder="0" applyAlignment="0" applyProtection="0"/>
    <xf numFmtId="0" fontId="42" fillId="20" borderId="0" applyNumberFormat="0" applyBorder="0" applyAlignment="0" applyProtection="0"/>
    <xf numFmtId="0" fontId="10" fillId="0" borderId="0"/>
    <xf numFmtId="0" fontId="43" fillId="20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8" fillId="0" borderId="0"/>
    <xf numFmtId="0" fontId="46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7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9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6" fillId="0" borderId="0"/>
    <xf numFmtId="38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05">
    <xf numFmtId="0" fontId="0" fillId="0" borderId="0" xfId="0"/>
    <xf numFmtId="0" fontId="17" fillId="0" borderId="0" xfId="2" applyFont="1" applyAlignment="1">
      <alignment vertical="center"/>
    </xf>
    <xf numFmtId="0" fontId="17" fillId="0" borderId="1" xfId="2" applyFont="1" applyBorder="1" applyAlignment="1">
      <alignment vertical="center"/>
    </xf>
    <xf numFmtId="0" fontId="17" fillId="3" borderId="1" xfId="2" applyFont="1" applyFill="1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17" fillId="4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horizontal="right" vertical="center"/>
    </xf>
    <xf numFmtId="0" fontId="17" fillId="3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vertical="center"/>
    </xf>
    <xf numFmtId="0" fontId="17" fillId="0" borderId="13" xfId="2" applyFont="1" applyBorder="1" applyAlignment="1">
      <alignment vertical="center"/>
    </xf>
    <xf numFmtId="0" fontId="16" fillId="4" borderId="12" xfId="0" applyFont="1" applyFill="1" applyBorder="1" applyAlignment="1">
      <alignment horizontal="right" vertical="center"/>
    </xf>
    <xf numFmtId="0" fontId="16" fillId="4" borderId="14" xfId="0" applyFont="1" applyFill="1" applyBorder="1" applyAlignment="1">
      <alignment horizontal="right" vertical="center"/>
    </xf>
    <xf numFmtId="0" fontId="17" fillId="0" borderId="15" xfId="2" applyFont="1" applyBorder="1" applyAlignment="1">
      <alignment vertical="center"/>
    </xf>
    <xf numFmtId="0" fontId="17" fillId="2" borderId="1" xfId="2" applyFont="1" applyFill="1" applyBorder="1" applyAlignment="1">
      <alignment horizontal="left" vertical="center"/>
    </xf>
    <xf numFmtId="0" fontId="44" fillId="21" borderId="1" xfId="0" applyFont="1" applyFill="1" applyBorder="1" applyAlignment="1">
      <alignment horizontal="left" vertical="center"/>
    </xf>
    <xf numFmtId="0" fontId="17" fillId="2" borderId="1" xfId="2" applyFont="1" applyFill="1" applyBorder="1" applyAlignment="1">
      <alignment horizontal="center" vertical="center"/>
    </xf>
    <xf numFmtId="0" fontId="19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0" fillId="2" borderId="1" xfId="19" applyFill="1" applyBorder="1"/>
    <xf numFmtId="0" fontId="9" fillId="2" borderId="1" xfId="19" applyFont="1" applyFill="1" applyBorder="1"/>
    <xf numFmtId="0" fontId="19" fillId="22" borderId="1" xfId="0" applyFont="1" applyFill="1" applyBorder="1"/>
    <xf numFmtId="0" fontId="44" fillId="23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0" fillId="2" borderId="0" xfId="0" applyFill="1"/>
    <xf numFmtId="0" fontId="44" fillId="30" borderId="1" xfId="0" applyFont="1" applyFill="1" applyBorder="1" applyAlignment="1">
      <alignment horizontal="left" vertical="center"/>
    </xf>
    <xf numFmtId="0" fontId="1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16" fillId="25" borderId="1" xfId="0" applyFont="1" applyFill="1" applyBorder="1" applyAlignment="1">
      <alignment horizontal="right" vertical="center"/>
    </xf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48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44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 wrapText="1"/>
    </xf>
    <xf numFmtId="0" fontId="1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44" fillId="4" borderId="1" xfId="0" applyFont="1" applyFill="1" applyBorder="1" applyAlignment="1">
      <alignment vertical="center"/>
    </xf>
    <xf numFmtId="176" fontId="49" fillId="32" borderId="1" xfId="0" applyNumberFormat="1" applyFont="1" applyFill="1" applyBorder="1"/>
    <xf numFmtId="177" fontId="0" fillId="0" borderId="0" xfId="0" applyNumberFormat="1"/>
    <xf numFmtId="180" fontId="0" fillId="4" borderId="1" xfId="0" applyNumberFormat="1" applyFill="1" applyBorder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0" fontId="17" fillId="0" borderId="17" xfId="2" applyFont="1" applyBorder="1" applyAlignment="1">
      <alignment vertical="center"/>
    </xf>
    <xf numFmtId="0" fontId="17" fillId="3" borderId="18" xfId="2" applyFont="1" applyFill="1" applyBorder="1" applyAlignment="1">
      <alignment vertical="center"/>
    </xf>
    <xf numFmtId="0" fontId="50" fillId="0" borderId="1" xfId="0" applyFont="1" applyBorder="1"/>
    <xf numFmtId="187" fontId="0" fillId="0" borderId="0" xfId="0" applyNumberFormat="1"/>
    <xf numFmtId="189" fontId="0" fillId="0" borderId="0" xfId="3575" applyNumberFormat="1" applyFont="1"/>
    <xf numFmtId="0" fontId="0" fillId="0" borderId="0" xfId="0" applyAlignment="1">
      <alignment horizontal="center"/>
    </xf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191" fontId="0" fillId="0" borderId="0" xfId="0" applyNumberFormat="1"/>
    <xf numFmtId="0" fontId="17" fillId="0" borderId="0" xfId="2" applyFont="1" applyBorder="1" applyAlignment="1">
      <alignment vertical="center"/>
    </xf>
    <xf numFmtId="0" fontId="18" fillId="25" borderId="1" xfId="0" applyFont="1" applyFill="1" applyBorder="1" applyAlignment="1">
      <alignment vertical="center"/>
    </xf>
    <xf numFmtId="192" fontId="17" fillId="4" borderId="1" xfId="3663" quotePrefix="1" applyNumberFormat="1" applyFont="1" applyFill="1" applyBorder="1" applyAlignment="1">
      <alignment vertical="center"/>
    </xf>
    <xf numFmtId="0" fontId="4" fillId="0" borderId="1" xfId="2978" applyFont="1" applyBorder="1"/>
    <xf numFmtId="0" fontId="4" fillId="4" borderId="1" xfId="2978" applyFont="1" applyFill="1" applyBorder="1"/>
    <xf numFmtId="0" fontId="4" fillId="2" borderId="1" xfId="19" applyFont="1" applyFill="1" applyBorder="1"/>
    <xf numFmtId="0" fontId="3" fillId="0" borderId="1" xfId="3036" applyFont="1" applyBorder="1"/>
    <xf numFmtId="0" fontId="17" fillId="0" borderId="0" xfId="2" applyFont="1" applyFill="1" applyAlignment="1">
      <alignment vertical="center"/>
    </xf>
    <xf numFmtId="0" fontId="2" fillId="4" borderId="1" xfId="2978" applyFont="1" applyFill="1" applyBorder="1"/>
    <xf numFmtId="176" fontId="0" fillId="0" borderId="0" xfId="0" applyNumberFormat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1427</v>
          </cell>
          <cell r="B1418" t="str">
            <v>ja</v>
          </cell>
          <cell r="C1418" t="str">
            <v>プラトー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heal</v>
          </cell>
          <cell r="L1418" t="str">
            <v>回復タイプ</v>
          </cell>
          <cell r="M1418" t="str">
            <v>academia</v>
          </cell>
        </row>
        <row r="1419">
          <cell r="A1419">
            <v>1428</v>
          </cell>
          <cell r="B1419" t="str">
            <v>ja</v>
          </cell>
          <cell r="C1419" t="str">
            <v>幻影の泡沫 プラトー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green</v>
          </cell>
          <cell r="I1419">
            <v>6</v>
          </cell>
          <cell r="J1419" t="str">
            <v>PremiumSSS</v>
          </cell>
          <cell r="K1419" t="str">
            <v>heal</v>
          </cell>
          <cell r="L1419" t="str">
            <v>回復タイプ</v>
          </cell>
          <cell r="M1419" t="str">
            <v>academia</v>
          </cell>
        </row>
        <row r="1420">
          <cell r="A1420">
            <v>1431</v>
          </cell>
          <cell r="B1420" t="str">
            <v>ja</v>
          </cell>
          <cell r="C1420" t="str">
            <v>センコ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god</v>
          </cell>
        </row>
        <row r="1421">
          <cell r="A1421">
            <v>1432</v>
          </cell>
          <cell r="B1421" t="str">
            <v>ja</v>
          </cell>
          <cell r="C1421" t="str">
            <v>華宴の千年狐 センコ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6</v>
          </cell>
          <cell r="J1421" t="str">
            <v>PremiumSS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1433</v>
          </cell>
          <cell r="B1422" t="str">
            <v>ja</v>
          </cell>
          <cell r="C1422" t="str">
            <v>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3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1434</v>
          </cell>
          <cell r="B1423" t="str">
            <v>ja</v>
          </cell>
          <cell r="C1423" t="str">
            <v>メガ超越の果実</v>
          </cell>
          <cell r="D1423" t="str">
            <v>スキル進化素材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4</v>
          </cell>
          <cell r="J1423" t="str">
            <v>Material</v>
          </cell>
          <cell r="K1423" t="str">
            <v>limitbreak</v>
          </cell>
          <cell r="L1423" t="str">
            <v>限界突破素材</v>
          </cell>
          <cell r="M1423" t="str">
            <v>unknown</v>
          </cell>
        </row>
        <row r="1424">
          <cell r="A1424">
            <v>1435</v>
          </cell>
          <cell r="B1424" t="str">
            <v>ja</v>
          </cell>
          <cell r="C1424" t="str">
            <v>ギガ超越の果実</v>
          </cell>
          <cell r="D1424" t="str">
            <v>スキル進化素材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5</v>
          </cell>
          <cell r="J1424" t="str">
            <v>Material</v>
          </cell>
          <cell r="K1424" t="str">
            <v>limitbreak</v>
          </cell>
          <cell r="L1424" t="str">
            <v>限界突破素材</v>
          </cell>
          <cell r="M1424" t="str">
            <v>unknown</v>
          </cell>
        </row>
        <row r="1425">
          <cell r="A1425">
            <v>1452</v>
          </cell>
          <cell r="B1425" t="str">
            <v>ja</v>
          </cell>
          <cell r="C1425" t="str">
            <v>メルセンヌ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5</v>
          </cell>
          <cell r="J1425" t="str">
            <v>PremiumSSS</v>
          </cell>
          <cell r="K1425" t="str">
            <v>hp</v>
          </cell>
          <cell r="L1425" t="str">
            <v>体力タイプ</v>
          </cell>
          <cell r="M1425" t="str">
            <v>academia</v>
          </cell>
        </row>
        <row r="1426">
          <cell r="A1426">
            <v>1453</v>
          </cell>
          <cell r="B1426" t="str">
            <v>ja</v>
          </cell>
          <cell r="C1426" t="str">
            <v>数解の自鳴琴 メルセンヌ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6</v>
          </cell>
          <cell r="J1426" t="str">
            <v>PremiumSSS</v>
          </cell>
          <cell r="K1426" t="str">
            <v>hp</v>
          </cell>
          <cell r="L1426" t="str">
            <v>体力タイプ</v>
          </cell>
          <cell r="M1426" t="str">
            <v>academia</v>
          </cell>
        </row>
        <row r="1427">
          <cell r="A1427">
            <v>1454</v>
          </cell>
          <cell r="B1427" t="str">
            <v>ja</v>
          </cell>
          <cell r="C1427" t="str">
            <v>ストレングス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red</v>
          </cell>
          <cell r="I1427">
            <v>5</v>
          </cell>
          <cell r="J1427" t="str">
            <v>PremiumSSS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1455</v>
          </cell>
          <cell r="B1428" t="str">
            <v>ja</v>
          </cell>
          <cell r="C1428" t="str">
            <v>豪毅なる征獣師 ストレングス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red</v>
          </cell>
          <cell r="I1428">
            <v>6</v>
          </cell>
          <cell r="J1428" t="str">
            <v>PremiumSSS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1456</v>
          </cell>
          <cell r="B1429" t="str">
            <v>ja</v>
          </cell>
          <cell r="C1429" t="str">
            <v>ネセバル</v>
          </cell>
          <cell r="H1429" t="str">
            <v>blue</v>
          </cell>
          <cell r="I1429">
            <v>5</v>
          </cell>
          <cell r="J1429" t="str">
            <v>PremiumSSw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1457</v>
          </cell>
          <cell r="B1430" t="str">
            <v>ja</v>
          </cell>
          <cell r="C1430" t="str">
            <v>碧影の聖跡 ネセバル</v>
          </cell>
          <cell r="H1430" t="str">
            <v>blue</v>
          </cell>
          <cell r="I1430">
            <v>6</v>
          </cell>
          <cell r="J1430" t="str">
            <v>PremiumSSw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1458</v>
          </cell>
          <cell r="B1431" t="str">
            <v>ja</v>
          </cell>
          <cell r="C1431" t="str">
            <v>diamond01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1459</v>
          </cell>
          <cell r="B1432" t="str">
            <v>ja</v>
          </cell>
          <cell r="C1432" t="str">
            <v>diamond02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1460</v>
          </cell>
          <cell r="B1433" t="str">
            <v>ja</v>
          </cell>
          <cell r="C1433" t="str">
            <v>opal01</v>
          </cell>
          <cell r="H1433" t="str">
            <v>blue</v>
          </cell>
          <cell r="I1433">
            <v>4</v>
          </cell>
          <cell r="J1433" t="str">
            <v>PremiumS</v>
          </cell>
          <cell r="K1433" t="str">
            <v>balance</v>
          </cell>
          <cell r="L1433" t="str">
            <v>バランスタイプ</v>
          </cell>
          <cell r="M1433" t="str">
            <v>human</v>
          </cell>
        </row>
        <row r="1434">
          <cell r="A1434">
            <v>1461</v>
          </cell>
          <cell r="B1434" t="str">
            <v>ja</v>
          </cell>
          <cell r="C1434" t="str">
            <v>opal02</v>
          </cell>
          <cell r="H1434" t="str">
            <v>blue</v>
          </cell>
          <cell r="I1434">
            <v>5</v>
          </cell>
          <cell r="J1434" t="str">
            <v>PremiumS</v>
          </cell>
          <cell r="K1434" t="str">
            <v>balance</v>
          </cell>
          <cell r="L1434" t="str">
            <v>バランスタイプ</v>
          </cell>
          <cell r="M1434" t="str">
            <v>human</v>
          </cell>
        </row>
        <row r="1435">
          <cell r="A1435">
            <v>1462</v>
          </cell>
          <cell r="B1435" t="str">
            <v>ja</v>
          </cell>
          <cell r="C1435" t="str">
            <v>ruby01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technical</v>
          </cell>
          <cell r="L1435" t="str">
            <v>テクニカルタイプ</v>
          </cell>
          <cell r="M1435" t="str">
            <v>human</v>
          </cell>
        </row>
        <row r="1436">
          <cell r="A1436">
            <v>1463</v>
          </cell>
          <cell r="B1436" t="str">
            <v>ja</v>
          </cell>
          <cell r="C1436" t="str">
            <v>ruby02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1464</v>
          </cell>
          <cell r="B1437" t="str">
            <v>ja</v>
          </cell>
          <cell r="C1437" t="str">
            <v>garnet01</v>
          </cell>
          <cell r="H1437" t="str">
            <v>yellow</v>
          </cell>
          <cell r="I1437">
            <v>5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human</v>
          </cell>
        </row>
        <row r="1438">
          <cell r="A1438">
            <v>1465</v>
          </cell>
          <cell r="B1438" t="str">
            <v>ja</v>
          </cell>
          <cell r="C1438" t="str">
            <v>garnet02</v>
          </cell>
          <cell r="H1438" t="str">
            <v>yellow</v>
          </cell>
          <cell r="I1438">
            <v>6</v>
          </cell>
          <cell r="J1438" t="str">
            <v>PremiumSS</v>
          </cell>
          <cell r="K1438" t="str">
            <v>hp</v>
          </cell>
          <cell r="L1438" t="str">
            <v>体力タイプ</v>
          </cell>
          <cell r="M1438" t="str">
            <v>human</v>
          </cell>
        </row>
        <row r="1439">
          <cell r="A1439">
            <v>1466</v>
          </cell>
          <cell r="B1439" t="str">
            <v>ja</v>
          </cell>
          <cell r="C1439" t="str">
            <v>sapphire01</v>
          </cell>
          <cell r="H1439" t="str">
            <v>blue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1467</v>
          </cell>
          <cell r="B1440" t="str">
            <v>ja</v>
          </cell>
          <cell r="C1440" t="str">
            <v>sapphire02</v>
          </cell>
          <cell r="H1440" t="str">
            <v>blue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1468</v>
          </cell>
          <cell r="B1441" t="str">
            <v>ja</v>
          </cell>
          <cell r="C1441" t="str">
            <v>emerald01</v>
          </cell>
          <cell r="H1441" t="str">
            <v>green</v>
          </cell>
          <cell r="I1441">
            <v>5</v>
          </cell>
          <cell r="J1441" t="str">
            <v>Drop2N</v>
          </cell>
          <cell r="K1441" t="str">
            <v>attack</v>
          </cell>
          <cell r="L1441" t="str">
            <v>攻撃タイプ</v>
          </cell>
          <cell r="M1441" t="str">
            <v>unknown</v>
          </cell>
        </row>
        <row r="1442">
          <cell r="A1442">
            <v>1469</v>
          </cell>
          <cell r="B1442" t="str">
            <v>ja</v>
          </cell>
          <cell r="C1442" t="str">
            <v>aquamarine01</v>
          </cell>
          <cell r="H1442" t="str">
            <v>yellow</v>
          </cell>
          <cell r="I1442">
            <v>5</v>
          </cell>
          <cell r="J1442" t="str">
            <v>Drop2N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1470</v>
          </cell>
          <cell r="B1443" t="str">
            <v>ja</v>
          </cell>
          <cell r="C1443" t="str">
            <v>amethyst01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1471</v>
          </cell>
          <cell r="B1444" t="str">
            <v>ja</v>
          </cell>
          <cell r="C1444" t="str">
            <v>エイプリルアーサー</v>
          </cell>
          <cell r="H1444" t="str">
            <v>red</v>
          </cell>
          <cell r="I1444">
            <v>6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unknown</v>
          </cell>
        </row>
        <row r="1445">
          <cell r="A1445">
            <v>1488</v>
          </cell>
          <cell r="B1445" t="str">
            <v>ja</v>
          </cell>
          <cell r="C1445" t="str">
            <v>バクR5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5</v>
          </cell>
          <cell r="J1445" t="str">
            <v>PremiumSSS</v>
          </cell>
          <cell r="K1445" t="str">
            <v>attack</v>
          </cell>
          <cell r="L1445" t="str">
            <v>攻撃タイプ</v>
          </cell>
          <cell r="M1445" t="str">
            <v>academia</v>
          </cell>
        </row>
        <row r="1446">
          <cell r="A1446">
            <v>1489</v>
          </cell>
          <cell r="B1446" t="str">
            <v>ja</v>
          </cell>
          <cell r="C1446" t="str">
            <v>バクR6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PremiumSSS</v>
          </cell>
          <cell r="K1446" t="str">
            <v>attack</v>
          </cell>
          <cell r="L1446" t="str">
            <v>攻撃タイプ</v>
          </cell>
          <cell r="M1446" t="str">
            <v>academia</v>
          </cell>
        </row>
        <row r="1447">
          <cell r="A1447">
            <v>1490</v>
          </cell>
          <cell r="B1447" t="str">
            <v>ja</v>
          </cell>
          <cell r="C1447" t="str">
            <v>パラケルススR5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5</v>
          </cell>
          <cell r="J1447" t="str">
            <v>PremiumSSS</v>
          </cell>
          <cell r="K1447" t="str">
            <v>heal</v>
          </cell>
          <cell r="L1447" t="str">
            <v>回復タイプ</v>
          </cell>
          <cell r="M1447" t="str">
            <v>academia</v>
          </cell>
        </row>
        <row r="1448">
          <cell r="A1448">
            <v>1491</v>
          </cell>
          <cell r="B1448" t="str">
            <v>ja</v>
          </cell>
          <cell r="C1448" t="str">
            <v>パラケルススR6</v>
          </cell>
          <cell r="D1448" t="str">
            <v>未定</v>
          </cell>
          <cell r="E1448" t="str">
            <v>アリス</v>
          </cell>
          <cell r="F1448" t="str">
            <v>世界観</v>
          </cell>
          <cell r="G1448" t="str">
            <v>不明</v>
          </cell>
          <cell r="H1448" t="str">
            <v>red</v>
          </cell>
          <cell r="I1448">
            <v>6</v>
          </cell>
          <cell r="J1448" t="str">
            <v>PremiumSSS</v>
          </cell>
          <cell r="K1448" t="str">
            <v>heal</v>
          </cell>
          <cell r="L1448" t="str">
            <v>回復タイプ</v>
          </cell>
          <cell r="M1448" t="str">
            <v>academia</v>
          </cell>
        </row>
        <row r="1449">
          <cell r="A1449">
            <v>1495</v>
          </cell>
          <cell r="B1449" t="str">
            <v>ja</v>
          </cell>
          <cell r="C1449" t="str">
            <v>桜乱の武奏術 牛若丸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samurai</v>
          </cell>
        </row>
        <row r="1450">
          <cell r="A1450">
            <v>1496</v>
          </cell>
          <cell r="B1450" t="str">
            <v>ja</v>
          </cell>
          <cell r="C1450" t="str">
            <v>晴眼桜花一文字 沖田総司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green</v>
          </cell>
          <cell r="I1450">
            <v>6</v>
          </cell>
          <cell r="J1450" t="str">
            <v>PremiumSS</v>
          </cell>
          <cell r="K1450" t="str">
            <v>hp</v>
          </cell>
          <cell r="L1450" t="str">
            <v>体力タイプ</v>
          </cell>
          <cell r="M1450" t="str">
            <v>samurai</v>
          </cell>
        </row>
        <row r="1451">
          <cell r="A1451">
            <v>1497</v>
          </cell>
          <cell r="B1451" t="str">
            <v>ja</v>
          </cell>
          <cell r="C1451" t="str">
            <v>ヨシノ</v>
          </cell>
          <cell r="H1451" t="str">
            <v>blue</v>
          </cell>
          <cell r="I1451">
            <v>5</v>
          </cell>
          <cell r="J1451" t="str">
            <v>DropWizS</v>
          </cell>
          <cell r="K1451" t="str">
            <v>heal</v>
          </cell>
          <cell r="L1451" t="str">
            <v>回復タイプ</v>
          </cell>
          <cell r="M1451" t="str">
            <v>fantasy</v>
          </cell>
        </row>
        <row r="1452">
          <cell r="A1452">
            <v>1498</v>
          </cell>
          <cell r="B1452" t="str">
            <v>ja</v>
          </cell>
          <cell r="C1452" t="str">
            <v>咲誇る夢見草 ヨシノ</v>
          </cell>
          <cell r="H1452" t="str">
            <v>blue</v>
          </cell>
          <cell r="I1452">
            <v>6</v>
          </cell>
          <cell r="J1452" t="str">
            <v>DropWizS</v>
          </cell>
          <cell r="K1452" t="str">
            <v>heal</v>
          </cell>
          <cell r="L1452" t="str">
            <v>回復タイプ</v>
          </cell>
          <cell r="M1452" t="str">
            <v>fantasy</v>
          </cell>
        </row>
        <row r="1453">
          <cell r="A1453">
            <v>1499</v>
          </cell>
          <cell r="B1453" t="str">
            <v>ja</v>
          </cell>
          <cell r="C1453" t="str">
            <v>コノハナサクヤ</v>
          </cell>
          <cell r="D1453" t="str">
            <v>未定</v>
          </cell>
          <cell r="E1453" t="str">
            <v>アリス</v>
          </cell>
          <cell r="F1453" t="str">
            <v>世界観</v>
          </cell>
          <cell r="G1453" t="str">
            <v>不明</v>
          </cell>
          <cell r="H1453" t="str">
            <v>yellow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1500</v>
          </cell>
          <cell r="B1454" t="str">
            <v>ja</v>
          </cell>
          <cell r="C1454" t="str">
            <v>櫻歌する開華 コノハナサクヤ</v>
          </cell>
          <cell r="D1454" t="str">
            <v>未定</v>
          </cell>
          <cell r="E1454" t="str">
            <v>アリス</v>
          </cell>
          <cell r="F1454" t="str">
            <v>世界観</v>
          </cell>
          <cell r="G1454" t="str">
            <v>不明</v>
          </cell>
          <cell r="H1454" t="str">
            <v>yellow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1501</v>
          </cell>
          <cell r="B1455" t="str">
            <v>ja</v>
          </cell>
          <cell r="C1455" t="str">
            <v>晴舞台の桜舞 ドガ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animal</v>
          </cell>
        </row>
        <row r="1456">
          <cell r="A1456">
            <v>1502</v>
          </cell>
          <cell r="B1456" t="str">
            <v>ja</v>
          </cell>
          <cell r="C1456" t="str">
            <v>打咲かす桜花灯 トリスタン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human</v>
          </cell>
        </row>
        <row r="1457">
          <cell r="A1457">
            <v>1503</v>
          </cell>
          <cell r="B1457" t="str">
            <v>ja</v>
          </cell>
          <cell r="C1457" t="str">
            <v>春纏う蛇撫子 ヨルムンガンド</v>
          </cell>
          <cell r="H1457" t="str">
            <v>yellow</v>
          </cell>
          <cell r="I1457">
            <v>5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dragon</v>
          </cell>
        </row>
        <row r="1458">
          <cell r="A1458">
            <v>1504</v>
          </cell>
          <cell r="B1458" t="str">
            <v>ja</v>
          </cell>
          <cell r="C1458" t="str">
            <v>ネコ</v>
          </cell>
          <cell r="H1458" t="str">
            <v>red</v>
          </cell>
          <cell r="I1458">
            <v>1</v>
          </cell>
          <cell r="J1458" t="str">
            <v>Drop1T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1505</v>
          </cell>
          <cell r="B1459" t="str">
            <v>ja</v>
          </cell>
          <cell r="C1459" t="str">
            <v>タンクネコ</v>
          </cell>
          <cell r="H1459" t="str">
            <v>green</v>
          </cell>
          <cell r="I1459">
            <v>1</v>
          </cell>
          <cell r="J1459" t="str">
            <v>Drop1T</v>
          </cell>
          <cell r="K1459" t="str">
            <v>hp</v>
          </cell>
          <cell r="L1459" t="str">
            <v>体力タイプ</v>
          </cell>
          <cell r="M1459" t="str">
            <v>unknown</v>
          </cell>
        </row>
        <row r="1460">
          <cell r="A1460">
            <v>1506</v>
          </cell>
          <cell r="B1460" t="str">
            <v>ja</v>
          </cell>
          <cell r="C1460" t="str">
            <v>バトルネコ</v>
          </cell>
          <cell r="H1460" t="str">
            <v>yellow</v>
          </cell>
          <cell r="I1460">
            <v>2</v>
          </cell>
          <cell r="J1460" t="str">
            <v>Drop1S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1507</v>
          </cell>
          <cell r="B1461" t="str">
            <v>ja</v>
          </cell>
          <cell r="C1461" t="str">
            <v>キモネコ</v>
          </cell>
          <cell r="H1461" t="str">
            <v>blue</v>
          </cell>
          <cell r="I1461">
            <v>3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1508</v>
          </cell>
          <cell r="B1462" t="str">
            <v>ja</v>
          </cell>
          <cell r="C1462" t="str">
            <v>ネコノトリ</v>
          </cell>
          <cell r="H1462" t="str">
            <v>red</v>
          </cell>
          <cell r="I1462">
            <v>4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1509</v>
          </cell>
          <cell r="B1463" t="str">
            <v>ja</v>
          </cell>
          <cell r="C1463" t="str">
            <v>巨神ネコ</v>
          </cell>
          <cell r="H1463" t="str">
            <v>green</v>
          </cell>
          <cell r="I1463">
            <v>5</v>
          </cell>
          <cell r="J1463" t="str">
            <v>Drop2N</v>
          </cell>
          <cell r="K1463" t="str">
            <v>hp</v>
          </cell>
          <cell r="L1463" t="str">
            <v>体力タイプ</v>
          </cell>
          <cell r="M1463" t="str">
            <v>god</v>
          </cell>
        </row>
        <row r="1464">
          <cell r="A1464">
            <v>1510</v>
          </cell>
          <cell r="B1464" t="str">
            <v>ja</v>
          </cell>
          <cell r="C1464" t="str">
            <v>ネコヴァルキリー</v>
          </cell>
          <cell r="H1464" t="str">
            <v>yellow</v>
          </cell>
          <cell r="I1464">
            <v>4</v>
          </cell>
          <cell r="J1464" t="str">
            <v>DropWizS</v>
          </cell>
          <cell r="K1464" t="str">
            <v>balance</v>
          </cell>
          <cell r="L1464" t="str">
            <v>バランスタイプ</v>
          </cell>
          <cell r="M1464" t="str">
            <v>god</v>
          </cell>
        </row>
        <row r="1465">
          <cell r="A1465">
            <v>1511</v>
          </cell>
          <cell r="B1465" t="str">
            <v>ja</v>
          </cell>
          <cell r="C1465" t="str">
            <v>ネコヴァルキリー･真</v>
          </cell>
          <cell r="H1465" t="str">
            <v>yellow</v>
          </cell>
          <cell r="I1465">
            <v>5</v>
          </cell>
          <cell r="J1465" t="str">
            <v>DropWizS</v>
          </cell>
          <cell r="K1465" t="str">
            <v>balance</v>
          </cell>
          <cell r="L1465" t="str">
            <v>バランスタイプ</v>
          </cell>
          <cell r="M1465" t="str">
            <v>god</v>
          </cell>
        </row>
        <row r="1466">
          <cell r="A1466">
            <v>1512</v>
          </cell>
          <cell r="B1466" t="str">
            <v>ja</v>
          </cell>
          <cell r="C1466" t="str">
            <v>ネコヴァルキリー･聖</v>
          </cell>
          <cell r="H1466" t="str">
            <v>yellow</v>
          </cell>
          <cell r="I1466">
            <v>6</v>
          </cell>
          <cell r="J1466" t="str">
            <v>DropWizS</v>
          </cell>
          <cell r="K1466" t="str">
            <v>balance</v>
          </cell>
          <cell r="L1466" t="str">
            <v>バランスタイプ</v>
          </cell>
          <cell r="M1466" t="str">
            <v>god</v>
          </cell>
        </row>
        <row r="1467">
          <cell r="A1467">
            <v>1513</v>
          </cell>
          <cell r="B1467" t="str">
            <v>ja</v>
          </cell>
          <cell r="C1467" t="str">
            <v>金ネコ</v>
          </cell>
          <cell r="H1467" t="str">
            <v>yellow</v>
          </cell>
          <cell r="I1467">
            <v>4</v>
          </cell>
          <cell r="J1467" t="str">
            <v>Material</v>
          </cell>
          <cell r="K1467" t="str">
            <v>coin</v>
          </cell>
          <cell r="L1467" t="str">
            <v>コインタイプ</v>
          </cell>
          <cell r="M1467" t="str">
            <v>unknown</v>
          </cell>
        </row>
        <row r="1468">
          <cell r="A1468">
            <v>1514</v>
          </cell>
          <cell r="B1468" t="str">
            <v>ja</v>
          </cell>
          <cell r="C1468" t="str">
            <v>金ネコビルダー</v>
          </cell>
          <cell r="H1468" t="str">
            <v>yellow</v>
          </cell>
          <cell r="I1468">
            <v>5</v>
          </cell>
          <cell r="J1468" t="str">
            <v>Material</v>
          </cell>
          <cell r="K1468" t="str">
            <v>coin</v>
          </cell>
          <cell r="L1468" t="str">
            <v>コインタイプ</v>
          </cell>
          <cell r="M1468" t="str">
            <v>unknown</v>
          </cell>
        </row>
        <row r="1469">
          <cell r="A1469">
            <v>1515</v>
          </cell>
          <cell r="B1469" t="str">
            <v>ja</v>
          </cell>
          <cell r="C1469" t="str">
            <v>赤メタルネコ</v>
          </cell>
          <cell r="H1469" t="str">
            <v>red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1516</v>
          </cell>
          <cell r="B1470" t="str">
            <v>ja</v>
          </cell>
          <cell r="C1470" t="str">
            <v>赤メタルネコビルダー</v>
          </cell>
          <cell r="H1470" t="str">
            <v>red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1517</v>
          </cell>
          <cell r="B1471" t="str">
            <v>ja</v>
          </cell>
          <cell r="C1471" t="str">
            <v>青メタルネコ</v>
          </cell>
          <cell r="H1471" t="str">
            <v>blue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1518</v>
          </cell>
          <cell r="B1472" t="str">
            <v>ja</v>
          </cell>
          <cell r="C1472" t="str">
            <v>青メタルネコビルダー</v>
          </cell>
          <cell r="H1472" t="str">
            <v>blue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1519</v>
          </cell>
          <cell r="B1473" t="str">
            <v>ja</v>
          </cell>
          <cell r="C1473" t="str">
            <v>緑メタルネコ</v>
          </cell>
          <cell r="H1473" t="str">
            <v>green</v>
          </cell>
          <cell r="I1473">
            <v>4</v>
          </cell>
          <cell r="J1473" t="str">
            <v>Material</v>
          </cell>
          <cell r="K1473" t="str">
            <v>exp</v>
          </cell>
          <cell r="L1473" t="str">
            <v>強化素材タイプ</v>
          </cell>
          <cell r="M1473" t="str">
            <v>unknown</v>
          </cell>
        </row>
        <row r="1474">
          <cell r="A1474">
            <v>1520</v>
          </cell>
          <cell r="B1474" t="str">
            <v>ja</v>
          </cell>
          <cell r="C1474" t="str">
            <v>緑メタルネコビルダー</v>
          </cell>
          <cell r="H1474" t="str">
            <v>green</v>
          </cell>
          <cell r="I1474">
            <v>5</v>
          </cell>
          <cell r="J1474" t="str">
            <v>Material</v>
          </cell>
          <cell r="K1474" t="str">
            <v>exp</v>
          </cell>
          <cell r="L1474" t="str">
            <v>強化素材タイプ</v>
          </cell>
          <cell r="M1474" t="str">
            <v>unknown</v>
          </cell>
        </row>
        <row r="1475">
          <cell r="A1475">
            <v>1521</v>
          </cell>
          <cell r="B1475" t="str">
            <v>ja</v>
          </cell>
          <cell r="C1475" t="str">
            <v>黄メタルネコ</v>
          </cell>
          <cell r="H1475" t="str">
            <v>yellow</v>
          </cell>
          <cell r="I1475">
            <v>4</v>
          </cell>
          <cell r="J1475" t="str">
            <v>Material</v>
          </cell>
          <cell r="K1475" t="str">
            <v>exp</v>
          </cell>
          <cell r="L1475" t="str">
            <v>強化素材タイプ</v>
          </cell>
          <cell r="M1475" t="str">
            <v>unknown</v>
          </cell>
        </row>
        <row r="1476">
          <cell r="A1476">
            <v>1522</v>
          </cell>
          <cell r="B1476" t="str">
            <v>ja</v>
          </cell>
          <cell r="C1476" t="str">
            <v>黄メタルネコビルダー</v>
          </cell>
          <cell r="H1476" t="str">
            <v>yellow</v>
          </cell>
          <cell r="I1476">
            <v>5</v>
          </cell>
          <cell r="J1476" t="str">
            <v>Material</v>
          </cell>
          <cell r="K1476" t="str">
            <v>exp</v>
          </cell>
          <cell r="L1476" t="str">
            <v>強化素材タイプ</v>
          </cell>
          <cell r="M1476" t="str">
            <v>unknown</v>
          </cell>
        </row>
        <row r="1477">
          <cell r="A1477">
            <v>1523</v>
          </cell>
          <cell r="B1477" t="str">
            <v>ja</v>
          </cell>
          <cell r="C1477" t="str">
            <v>ネコムート</v>
          </cell>
          <cell r="H1477" t="str">
            <v>blue</v>
          </cell>
          <cell r="I1477">
            <v>5</v>
          </cell>
          <cell r="J1477" t="str">
            <v>DropWizS</v>
          </cell>
          <cell r="K1477" t="str">
            <v>technical</v>
          </cell>
          <cell r="L1477" t="str">
            <v>テクニカルタイプ</v>
          </cell>
          <cell r="M1477" t="str">
            <v>animal</v>
          </cell>
        </row>
        <row r="1478">
          <cell r="A1478">
            <v>1524</v>
          </cell>
          <cell r="B1478" t="str">
            <v>ja</v>
          </cell>
          <cell r="C1478" t="str">
            <v>狂乱のネコムート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technical</v>
          </cell>
          <cell r="L1478" t="str">
            <v>テクニカルタイプ</v>
          </cell>
          <cell r="M1478" t="str">
            <v>animal</v>
          </cell>
        </row>
        <row r="1479">
          <cell r="A1479">
            <v>1525</v>
          </cell>
          <cell r="B1479" t="str">
            <v>ja</v>
          </cell>
          <cell r="C1479" t="str">
            <v>狂乱のネコ</v>
          </cell>
          <cell r="H1479" t="str">
            <v>red</v>
          </cell>
          <cell r="I1479">
            <v>5</v>
          </cell>
          <cell r="J1479" t="str">
            <v>DropWizSS</v>
          </cell>
          <cell r="K1479" t="str">
            <v>attack</v>
          </cell>
          <cell r="L1479" t="str">
            <v>攻撃タイプ</v>
          </cell>
          <cell r="M1479" t="str">
            <v>animal</v>
          </cell>
        </row>
        <row r="1480">
          <cell r="A1480">
            <v>1526</v>
          </cell>
          <cell r="B1480" t="str">
            <v>ja</v>
          </cell>
          <cell r="C1480" t="str">
            <v>狂乱のネコビルダー</v>
          </cell>
          <cell r="H1480" t="str">
            <v>red</v>
          </cell>
          <cell r="I1480">
            <v>6</v>
          </cell>
          <cell r="J1480" t="str">
            <v>DropWizSS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1527</v>
          </cell>
          <cell r="B1481" t="str">
            <v>ja</v>
          </cell>
          <cell r="C1481" t="str">
            <v>ネコ魔剣士</v>
          </cell>
          <cell r="H1481" t="str">
            <v>red</v>
          </cell>
          <cell r="I1481">
            <v>4</v>
          </cell>
          <cell r="J1481" t="str">
            <v>PremiumS</v>
          </cell>
          <cell r="K1481" t="str">
            <v>attack</v>
          </cell>
          <cell r="L1481" t="str">
            <v>攻撃タイプ</v>
          </cell>
          <cell r="M1481" t="str">
            <v>animal</v>
          </cell>
        </row>
        <row r="1482">
          <cell r="A1482">
            <v>1528</v>
          </cell>
          <cell r="B1482" t="str">
            <v>ja</v>
          </cell>
          <cell r="C1482" t="str">
            <v>双剣ネコ魔剣士</v>
          </cell>
          <cell r="H1482" t="str">
            <v>red</v>
          </cell>
          <cell r="I1482">
            <v>5</v>
          </cell>
          <cell r="J1482" t="str">
            <v>PremiumS</v>
          </cell>
          <cell r="K1482" t="str">
            <v>attack</v>
          </cell>
          <cell r="L1482" t="str">
            <v>攻撃タイプ</v>
          </cell>
          <cell r="M1482" t="str">
            <v>animal</v>
          </cell>
        </row>
        <row r="1483">
          <cell r="A1483">
            <v>1529</v>
          </cell>
          <cell r="B1483" t="str">
            <v>ja</v>
          </cell>
          <cell r="C1483" t="str">
            <v>ねこ海賊</v>
          </cell>
          <cell r="H1483" t="str">
            <v>blue</v>
          </cell>
          <cell r="I1483">
            <v>4</v>
          </cell>
          <cell r="J1483" t="str">
            <v>PremiumS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1530</v>
          </cell>
          <cell r="B1484" t="str">
            <v>ja</v>
          </cell>
          <cell r="C1484" t="str">
            <v>ニャーコック船長</v>
          </cell>
          <cell r="H1484" t="str">
            <v>blue</v>
          </cell>
          <cell r="I1484">
            <v>5</v>
          </cell>
          <cell r="J1484" t="str">
            <v>PremiumS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1531</v>
          </cell>
          <cell r="B1485" t="str">
            <v>ja</v>
          </cell>
          <cell r="C1485" t="str">
            <v>ねこジュラ</v>
          </cell>
          <cell r="H1485" t="str">
            <v>green</v>
          </cell>
          <cell r="I1485">
            <v>4</v>
          </cell>
          <cell r="J1485" t="str">
            <v>PremiumS</v>
          </cell>
          <cell r="K1485" t="str">
            <v>technical</v>
          </cell>
          <cell r="L1485" t="str">
            <v>テクニカルタイプ</v>
          </cell>
          <cell r="M1485" t="str">
            <v>animal</v>
          </cell>
        </row>
        <row r="1486">
          <cell r="A1486">
            <v>1532</v>
          </cell>
          <cell r="B1486" t="str">
            <v>ja</v>
          </cell>
          <cell r="C1486" t="str">
            <v>ねこジュラシッター</v>
          </cell>
          <cell r="H1486" t="str">
            <v>green</v>
          </cell>
          <cell r="I1486">
            <v>5</v>
          </cell>
          <cell r="J1486" t="str">
            <v>PremiumS</v>
          </cell>
          <cell r="K1486" t="str">
            <v>technical</v>
          </cell>
          <cell r="L1486" t="str">
            <v>テクニカルタイプ</v>
          </cell>
          <cell r="M1486" t="str">
            <v>animal</v>
          </cell>
        </row>
        <row r="1487">
          <cell r="A1487">
            <v>1533</v>
          </cell>
          <cell r="B1487" t="str">
            <v>ja</v>
          </cell>
          <cell r="C1487" t="str">
            <v>ネコエステ</v>
          </cell>
          <cell r="H1487" t="str">
            <v>yellow</v>
          </cell>
          <cell r="I1487">
            <v>4</v>
          </cell>
          <cell r="J1487" t="str">
            <v>PremiumS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1534</v>
          </cell>
          <cell r="B1488" t="str">
            <v>ja</v>
          </cell>
          <cell r="C1488" t="str">
            <v>ネコジェンヌ</v>
          </cell>
          <cell r="H1488" t="str">
            <v>yellow</v>
          </cell>
          <cell r="I1488">
            <v>5</v>
          </cell>
          <cell r="J1488" t="str">
            <v>PremiumS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1535</v>
          </cell>
          <cell r="B1489" t="str">
            <v>ja</v>
          </cell>
          <cell r="C1489" t="str">
            <v>ねこナース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technical</v>
          </cell>
          <cell r="L1489" t="str">
            <v>テクニカルタイプ</v>
          </cell>
          <cell r="M1489" t="str">
            <v>god</v>
          </cell>
        </row>
        <row r="1490">
          <cell r="A1490">
            <v>1536</v>
          </cell>
          <cell r="B1490" t="str">
            <v>ja</v>
          </cell>
          <cell r="C1490" t="str">
            <v>ハートフルねこナース</v>
          </cell>
          <cell r="H1490" t="str">
            <v>red</v>
          </cell>
          <cell r="I1490">
            <v>6</v>
          </cell>
          <cell r="J1490" t="str">
            <v>PremiumSS</v>
          </cell>
          <cell r="K1490" t="str">
            <v>technical</v>
          </cell>
          <cell r="L1490" t="str">
            <v>テクニカルタイプ</v>
          </cell>
          <cell r="M1490" t="str">
            <v>god</v>
          </cell>
        </row>
        <row r="1491">
          <cell r="A1491">
            <v>1537</v>
          </cell>
          <cell r="B1491" t="str">
            <v>ja</v>
          </cell>
          <cell r="C1491" t="str">
            <v>キャットマンダディ</v>
          </cell>
          <cell r="H1491" t="str">
            <v>blue</v>
          </cell>
          <cell r="I1491">
            <v>5</v>
          </cell>
          <cell r="J1491" t="str">
            <v>PremiumSSS</v>
          </cell>
          <cell r="K1491" t="str">
            <v>attack</v>
          </cell>
          <cell r="L1491" t="str">
            <v>攻撃タイプ</v>
          </cell>
          <cell r="M1491" t="str">
            <v>unknown</v>
          </cell>
        </row>
        <row r="1492">
          <cell r="A1492">
            <v>1538</v>
          </cell>
          <cell r="B1492" t="str">
            <v>ja</v>
          </cell>
          <cell r="C1492" t="str">
            <v>キャットマンダーク</v>
          </cell>
          <cell r="H1492" t="str">
            <v>blue</v>
          </cell>
          <cell r="I1492">
            <v>6</v>
          </cell>
          <cell r="J1492" t="str">
            <v>PremiumSSS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1539</v>
          </cell>
          <cell r="B1493" t="str">
            <v>ja</v>
          </cell>
          <cell r="C1493" t="str">
            <v>雷神のサンディア</v>
          </cell>
          <cell r="H1493" t="str">
            <v>yellow</v>
          </cell>
          <cell r="I1493">
            <v>5</v>
          </cell>
          <cell r="J1493" t="str">
            <v>PremiumSS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1540</v>
          </cell>
          <cell r="B1494" t="str">
            <v>ja</v>
          </cell>
          <cell r="C1494" t="str">
            <v>雷神のサンディアβ</v>
          </cell>
          <cell r="H1494" t="str">
            <v>yellow</v>
          </cell>
          <cell r="I1494">
            <v>6</v>
          </cell>
          <cell r="J1494" t="str">
            <v>PremiumSS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1541</v>
          </cell>
          <cell r="B1495" t="str">
            <v>ja</v>
          </cell>
          <cell r="C1495" t="str">
            <v>美女神アフロディーテ</v>
          </cell>
          <cell r="H1495" t="str">
            <v>red</v>
          </cell>
          <cell r="I1495">
            <v>5</v>
          </cell>
          <cell r="J1495" t="str">
            <v>PremiumSSS</v>
          </cell>
          <cell r="K1495" t="str">
            <v>technical</v>
          </cell>
          <cell r="L1495" t="str">
            <v>テクニカルタイプ</v>
          </cell>
          <cell r="M1495" t="str">
            <v>god</v>
          </cell>
        </row>
        <row r="1496">
          <cell r="A1496">
            <v>1542</v>
          </cell>
          <cell r="B1496" t="str">
            <v>ja</v>
          </cell>
          <cell r="C1496" t="str">
            <v>メガロディーテ</v>
          </cell>
          <cell r="H1496" t="str">
            <v>red</v>
          </cell>
          <cell r="I1496">
            <v>6</v>
          </cell>
          <cell r="J1496" t="str">
            <v>PremiumSSS</v>
          </cell>
          <cell r="K1496" t="str">
            <v>technical</v>
          </cell>
          <cell r="L1496" t="str">
            <v>テクニカルタイプ</v>
          </cell>
          <cell r="M1496" t="str">
            <v>god</v>
          </cell>
        </row>
        <row r="1497">
          <cell r="A1497">
            <v>1543</v>
          </cell>
          <cell r="B1497" t="str">
            <v>ja</v>
          </cell>
          <cell r="C1497" t="str">
            <v>ツルの恩返し</v>
          </cell>
          <cell r="H1497" t="str">
            <v>red</v>
          </cell>
          <cell r="I1497">
            <v>5</v>
          </cell>
          <cell r="J1497" t="str">
            <v>PremiumSS</v>
          </cell>
          <cell r="K1497" t="str">
            <v>balance</v>
          </cell>
          <cell r="L1497" t="str">
            <v>バランスタイプ</v>
          </cell>
          <cell r="M1497" t="str">
            <v>hero</v>
          </cell>
        </row>
        <row r="1498">
          <cell r="A1498">
            <v>1544</v>
          </cell>
          <cell r="B1498" t="str">
            <v>ja</v>
          </cell>
          <cell r="C1498" t="str">
            <v>銀河戦士コスモ</v>
          </cell>
          <cell r="H1498" t="str">
            <v>red</v>
          </cell>
          <cell r="I1498">
            <v>6</v>
          </cell>
          <cell r="J1498" t="str">
            <v>PremiumSS</v>
          </cell>
          <cell r="K1498" t="str">
            <v>balance</v>
          </cell>
          <cell r="L1498" t="str">
            <v>バランスタイプ</v>
          </cell>
          <cell r="M1498" t="str">
            <v>hero</v>
          </cell>
        </row>
        <row r="1499">
          <cell r="A1499">
            <v>1545</v>
          </cell>
          <cell r="B1499" t="str">
            <v>ja</v>
          </cell>
          <cell r="C1499" t="str">
            <v>ネコルガ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hp</v>
          </cell>
          <cell r="L1499" t="str">
            <v>体力タイプ</v>
          </cell>
          <cell r="M1499" t="str">
            <v>unknown</v>
          </cell>
        </row>
        <row r="1500">
          <cell r="A1500">
            <v>1546</v>
          </cell>
          <cell r="B1500" t="str">
            <v>ja</v>
          </cell>
          <cell r="C1500" t="str">
            <v>ケサランパサラン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hp</v>
          </cell>
          <cell r="L1500" t="str">
            <v>体力タイプ</v>
          </cell>
          <cell r="M1500" t="str">
            <v>unknown</v>
          </cell>
        </row>
        <row r="1501">
          <cell r="A1501">
            <v>1547</v>
          </cell>
          <cell r="B1501" t="str">
            <v>ja</v>
          </cell>
          <cell r="C1501" t="str">
            <v>ネコフラワー</v>
          </cell>
          <cell r="H1501" t="str">
            <v>green</v>
          </cell>
          <cell r="I1501">
            <v>4</v>
          </cell>
          <cell r="J1501" t="str">
            <v>Drop2N</v>
          </cell>
          <cell r="K1501" t="str">
            <v>hp</v>
          </cell>
          <cell r="L1501" t="str">
            <v>体力タイプ</v>
          </cell>
          <cell r="M1501" t="str">
            <v>animal</v>
          </cell>
        </row>
        <row r="1502">
          <cell r="A1502">
            <v>1548</v>
          </cell>
          <cell r="B1502" t="str">
            <v>ja</v>
          </cell>
          <cell r="C1502" t="str">
            <v>にゃんこ扇風</v>
          </cell>
          <cell r="H1502" t="str">
            <v>green</v>
          </cell>
          <cell r="I1502">
            <v>5</v>
          </cell>
          <cell r="J1502" t="str">
            <v>Drop2N</v>
          </cell>
          <cell r="K1502" t="str">
            <v>hp</v>
          </cell>
          <cell r="L1502" t="str">
            <v>体力タイプ</v>
          </cell>
          <cell r="M1502" t="str">
            <v>animal</v>
          </cell>
        </row>
        <row r="1503">
          <cell r="A1503">
            <v>1549</v>
          </cell>
          <cell r="B1503" t="str">
            <v>ja</v>
          </cell>
          <cell r="C1503" t="str">
            <v>ネコリンゴ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1550</v>
          </cell>
          <cell r="B1504" t="str">
            <v>ja</v>
          </cell>
          <cell r="C1504" t="str">
            <v>カオルくん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1551</v>
          </cell>
          <cell r="B1505" t="str">
            <v>ja</v>
          </cell>
          <cell r="C1505" t="str">
            <v>Leo01</v>
          </cell>
          <cell r="H1505" t="str">
            <v>red</v>
          </cell>
          <cell r="I1505">
            <v>5</v>
          </cell>
          <cell r="J1505" t="str">
            <v>DropWizS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</row>
        <row r="1506">
          <cell r="A1506">
            <v>1552</v>
          </cell>
          <cell r="B1506" t="str">
            <v>ja</v>
          </cell>
          <cell r="C1506" t="str">
            <v>Leo02</v>
          </cell>
          <cell r="H1506" t="str">
            <v>red</v>
          </cell>
          <cell r="I1506">
            <v>6</v>
          </cell>
          <cell r="J1506" t="str">
            <v>DropWizS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</row>
        <row r="1507">
          <cell r="A1507">
            <v>1553</v>
          </cell>
          <cell r="B1507" t="str">
            <v>ja</v>
          </cell>
          <cell r="C1507" t="str">
            <v>Andromeda01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human</v>
          </cell>
        </row>
        <row r="1508">
          <cell r="A1508">
            <v>1554</v>
          </cell>
          <cell r="B1508" t="str">
            <v>ja</v>
          </cell>
          <cell r="C1508" t="str">
            <v>Andromeda02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human</v>
          </cell>
        </row>
        <row r="1509">
          <cell r="A1509">
            <v>1555</v>
          </cell>
          <cell r="B1509" t="str">
            <v>ja</v>
          </cell>
          <cell r="C1509" t="str">
            <v>Taurus01</v>
          </cell>
          <cell r="H1509" t="str">
            <v>blue</v>
          </cell>
          <cell r="I1509">
            <v>5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1556</v>
          </cell>
          <cell r="B1510" t="str">
            <v>ja</v>
          </cell>
          <cell r="C1510" t="str">
            <v>Capricornus01</v>
          </cell>
          <cell r="H1510" t="str">
            <v>green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1557</v>
          </cell>
          <cell r="B1511" t="str">
            <v>ja</v>
          </cell>
          <cell r="C1511" t="str">
            <v>Capricornus02</v>
          </cell>
          <cell r="H1511" t="str">
            <v>green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</row>
        <row r="1512">
          <cell r="A1512">
            <v>1558</v>
          </cell>
          <cell r="B1512" t="str">
            <v>ja</v>
          </cell>
          <cell r="C1512" t="str">
            <v>Aries01</v>
          </cell>
          <cell r="H1512" t="str">
            <v>blue</v>
          </cell>
          <cell r="I1512">
            <v>5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</row>
        <row r="1513">
          <cell r="A1513">
            <v>1559</v>
          </cell>
          <cell r="B1513" t="str">
            <v>ja</v>
          </cell>
          <cell r="C1513" t="str">
            <v>Aries02</v>
          </cell>
          <cell r="H1513" t="str">
            <v>blue</v>
          </cell>
          <cell r="I1513">
            <v>6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human</v>
          </cell>
        </row>
        <row r="1514">
          <cell r="A1514">
            <v>1560</v>
          </cell>
          <cell r="B1514" t="str">
            <v>ja</v>
          </cell>
          <cell r="C1514" t="str">
            <v>Pisces01</v>
          </cell>
          <cell r="H1514" t="str">
            <v>red</v>
          </cell>
          <cell r="I1514">
            <v>5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human</v>
          </cell>
        </row>
        <row r="1515">
          <cell r="A1515">
            <v>1561</v>
          </cell>
          <cell r="B1515" t="str">
            <v>ja</v>
          </cell>
          <cell r="C1515" t="str">
            <v>Sagittarius01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human</v>
          </cell>
        </row>
        <row r="1516">
          <cell r="A1516">
            <v>1562</v>
          </cell>
          <cell r="B1516" t="str">
            <v>ja</v>
          </cell>
          <cell r="C1516" t="str">
            <v>Sagittarius02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human</v>
          </cell>
        </row>
        <row r="1517">
          <cell r="A1517">
            <v>1563</v>
          </cell>
          <cell r="B1517" t="str">
            <v>ja</v>
          </cell>
          <cell r="C1517" t="str">
            <v>Cassiopeia01</v>
          </cell>
          <cell r="H1517" t="str">
            <v>blue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1564</v>
          </cell>
          <cell r="B1518" t="str">
            <v>ja</v>
          </cell>
          <cell r="C1518" t="str">
            <v>Cassiopeia02</v>
          </cell>
          <cell r="H1518" t="str">
            <v>blue</v>
          </cell>
          <cell r="I1518">
            <v>6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1565</v>
          </cell>
          <cell r="B1519" t="str">
            <v>ja</v>
          </cell>
          <cell r="C1519" t="str">
            <v>Aquila01</v>
          </cell>
          <cell r="H1519" t="str">
            <v>green</v>
          </cell>
          <cell r="I1519">
            <v>5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human</v>
          </cell>
        </row>
        <row r="1520">
          <cell r="A1520">
            <v>1566</v>
          </cell>
          <cell r="B1520" t="str">
            <v>ja</v>
          </cell>
          <cell r="C1520" t="str">
            <v>Phoenix01</v>
          </cell>
          <cell r="H1520" t="str">
            <v>red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human</v>
          </cell>
        </row>
        <row r="1521">
          <cell r="A1521">
            <v>1567</v>
          </cell>
          <cell r="B1521" t="str">
            <v>ja</v>
          </cell>
          <cell r="C1521" t="str">
            <v>Phoenix02</v>
          </cell>
          <cell r="H1521" t="str">
            <v>red</v>
          </cell>
          <cell r="I1521">
            <v>6</v>
          </cell>
          <cell r="J1521" t="str">
            <v>DropWizS</v>
          </cell>
          <cell r="K1521" t="str">
            <v>balance</v>
          </cell>
          <cell r="L1521" t="str">
            <v>バランスタイプ</v>
          </cell>
          <cell r="M1521" t="str">
            <v>human</v>
          </cell>
        </row>
        <row r="1522">
          <cell r="A1522">
            <v>1568</v>
          </cell>
          <cell r="B1522" t="str">
            <v>ja</v>
          </cell>
          <cell r="C1522" t="str">
            <v>Orion01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human</v>
          </cell>
        </row>
        <row r="1523">
          <cell r="A1523">
            <v>1569</v>
          </cell>
          <cell r="B1523" t="str">
            <v>ja</v>
          </cell>
          <cell r="C1523" t="str">
            <v>Orion02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human</v>
          </cell>
        </row>
        <row r="1524">
          <cell r="A1524">
            <v>1570</v>
          </cell>
          <cell r="B1524" t="str">
            <v>ja</v>
          </cell>
          <cell r="C1524" t="str">
            <v>Centaurus01</v>
          </cell>
          <cell r="H1524" t="str">
            <v>yellow</v>
          </cell>
          <cell r="I1524">
            <v>5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human</v>
          </cell>
        </row>
        <row r="1525">
          <cell r="A1525">
            <v>1571</v>
          </cell>
          <cell r="B1525" t="str">
            <v>ja</v>
          </cell>
          <cell r="C1525" t="str">
            <v>Lupus01</v>
          </cell>
          <cell r="H1525" t="str">
            <v>red</v>
          </cell>
          <cell r="I1525">
            <v>5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human</v>
          </cell>
        </row>
        <row r="1526">
          <cell r="A1526">
            <v>1572</v>
          </cell>
          <cell r="B1526" t="str">
            <v>ja</v>
          </cell>
          <cell r="C1526" t="str">
            <v>Lupus02</v>
          </cell>
          <cell r="H1526" t="str">
            <v>red</v>
          </cell>
          <cell r="I1526">
            <v>6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human</v>
          </cell>
        </row>
        <row r="1527">
          <cell r="A1527">
            <v>1573</v>
          </cell>
          <cell r="B1527" t="str">
            <v>ja</v>
          </cell>
          <cell r="C1527" t="str">
            <v>Scorpius01</v>
          </cell>
          <cell r="H1527" t="str">
            <v>green</v>
          </cell>
          <cell r="I1527">
            <v>5</v>
          </cell>
          <cell r="J1527" t="str">
            <v>DropWizS</v>
          </cell>
          <cell r="K1527" t="str">
            <v>balance</v>
          </cell>
          <cell r="L1527" t="str">
            <v>バランスタイプ</v>
          </cell>
          <cell r="M1527" t="str">
            <v>human</v>
          </cell>
        </row>
        <row r="1528">
          <cell r="A1528">
            <v>1574</v>
          </cell>
          <cell r="B1528" t="str">
            <v>ja</v>
          </cell>
          <cell r="C1528" t="str">
            <v>Cancer01</v>
          </cell>
          <cell r="H1528" t="str">
            <v>yellow</v>
          </cell>
          <cell r="I1528">
            <v>5</v>
          </cell>
          <cell r="J1528" t="str">
            <v>DropWizS</v>
          </cell>
          <cell r="K1528" t="str">
            <v>balance</v>
          </cell>
          <cell r="L1528" t="str">
            <v>バランスタイプ</v>
          </cell>
          <cell r="M1528" t="str">
            <v>human</v>
          </cell>
        </row>
        <row r="1529">
          <cell r="A1529">
            <v>1575</v>
          </cell>
          <cell r="B1529" t="str">
            <v>ja</v>
          </cell>
          <cell r="C1529" t="str">
            <v>Aquarius01</v>
          </cell>
          <cell r="H1529" t="str">
            <v>blue</v>
          </cell>
          <cell r="I1529">
            <v>5</v>
          </cell>
          <cell r="J1529" t="str">
            <v>DropWizS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1576</v>
          </cell>
          <cell r="B1530" t="str">
            <v>ja</v>
          </cell>
          <cell r="C1530" t="str">
            <v>Aquarius02</v>
          </cell>
          <cell r="H1530" t="str">
            <v>blue</v>
          </cell>
          <cell r="I1530">
            <v>6</v>
          </cell>
          <cell r="J1530" t="str">
            <v>DropWizS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1577</v>
          </cell>
          <cell r="B1531" t="str">
            <v>ja</v>
          </cell>
          <cell r="C1531" t="str">
            <v>Perseus01</v>
          </cell>
          <cell r="H1531" t="str">
            <v>yellow</v>
          </cell>
          <cell r="I1531">
            <v>4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human</v>
          </cell>
        </row>
        <row r="1532">
          <cell r="A1532">
            <v>1578</v>
          </cell>
          <cell r="B1532" t="str">
            <v>ja</v>
          </cell>
          <cell r="C1532" t="str">
            <v>Hydra01</v>
          </cell>
          <cell r="H1532" t="str">
            <v>red</v>
          </cell>
          <cell r="I1532">
            <v>4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human</v>
          </cell>
        </row>
        <row r="1533">
          <cell r="A1533">
            <v>1579</v>
          </cell>
          <cell r="B1533" t="str">
            <v>ja</v>
          </cell>
          <cell r="C1533" t="str">
            <v>Lyra01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1580</v>
          </cell>
          <cell r="B1534" t="str">
            <v>ja</v>
          </cell>
          <cell r="C1534" t="str">
            <v>Lyra02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1581</v>
          </cell>
          <cell r="B1535" t="str">
            <v>ja</v>
          </cell>
          <cell r="C1535" t="str">
            <v>Gemini01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1582</v>
          </cell>
          <cell r="B1536" t="str">
            <v>ja</v>
          </cell>
          <cell r="C1536" t="str">
            <v>Gemini02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balance</v>
          </cell>
          <cell r="L1536" t="str">
            <v>バランスタイプ</v>
          </cell>
          <cell r="M1536" t="str">
            <v>human</v>
          </cell>
        </row>
        <row r="1537">
          <cell r="A1537">
            <v>1583</v>
          </cell>
          <cell r="B1537" t="str">
            <v>ja</v>
          </cell>
          <cell r="C1537" t="str">
            <v>Corvus01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human</v>
          </cell>
        </row>
        <row r="1538">
          <cell r="A1538">
            <v>1584</v>
          </cell>
          <cell r="B1538" t="str">
            <v>ja</v>
          </cell>
          <cell r="C1538" t="str">
            <v>Sirius01</v>
          </cell>
          <cell r="H1538" t="str">
            <v>yellow</v>
          </cell>
          <cell r="I1538">
            <v>4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human</v>
          </cell>
        </row>
        <row r="1539">
          <cell r="A1539">
            <v>1585</v>
          </cell>
          <cell r="B1539" t="str">
            <v>ja</v>
          </cell>
          <cell r="C1539" t="str">
            <v>Sirius02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human</v>
          </cell>
        </row>
        <row r="1540">
          <cell r="A1540">
            <v>1586</v>
          </cell>
          <cell r="B1540" t="str">
            <v>ja</v>
          </cell>
          <cell r="C1540" t="str">
            <v>Sirius03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human</v>
          </cell>
        </row>
        <row r="1541">
          <cell r="A1541">
            <v>1587</v>
          </cell>
          <cell r="B1541" t="str">
            <v>ja</v>
          </cell>
          <cell r="C1541" t="str">
            <v>Virgo01</v>
          </cell>
          <cell r="H1541" t="str">
            <v>green</v>
          </cell>
          <cell r="I1541">
            <v>5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human</v>
          </cell>
        </row>
        <row r="1542">
          <cell r="A1542">
            <v>1588</v>
          </cell>
          <cell r="B1542" t="str">
            <v>ja</v>
          </cell>
          <cell r="C1542" t="str">
            <v>Virgo02</v>
          </cell>
          <cell r="H1542" t="str">
            <v>green</v>
          </cell>
          <cell r="I1542">
            <v>6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human</v>
          </cell>
        </row>
        <row r="1543">
          <cell r="A1543">
            <v>1613</v>
          </cell>
          <cell r="B1543" t="str">
            <v>ja</v>
          </cell>
          <cell r="C1543" t="str">
            <v>ヤクモR5</v>
          </cell>
          <cell r="D1543" t="str">
            <v>未定</v>
          </cell>
          <cell r="E1543" t="str">
            <v>アリス</v>
          </cell>
          <cell r="F1543" t="str">
            <v>世界観</v>
          </cell>
          <cell r="G1543" t="str">
            <v>不明</v>
          </cell>
          <cell r="H1543" t="str">
            <v>red</v>
          </cell>
          <cell r="I1543">
            <v>5</v>
          </cell>
          <cell r="J1543" t="str">
            <v>PremiumSSS</v>
          </cell>
          <cell r="K1543" t="str">
            <v>hp</v>
          </cell>
          <cell r="L1543" t="str">
            <v>体力タイプ</v>
          </cell>
          <cell r="M1543" t="str">
            <v>academia</v>
          </cell>
        </row>
        <row r="1544">
          <cell r="A1544">
            <v>1614</v>
          </cell>
          <cell r="B1544" t="str">
            <v>ja</v>
          </cell>
          <cell r="C1544" t="str">
            <v>ヤクモR6</v>
          </cell>
          <cell r="D1544" t="str">
            <v>未定</v>
          </cell>
          <cell r="E1544" t="str">
            <v>アリス</v>
          </cell>
          <cell r="F1544" t="str">
            <v>世界観</v>
          </cell>
          <cell r="G1544" t="str">
            <v>不明</v>
          </cell>
          <cell r="H1544" t="str">
            <v>red</v>
          </cell>
          <cell r="I1544">
            <v>6</v>
          </cell>
          <cell r="J1544" t="str">
            <v>PremiumSSS</v>
          </cell>
          <cell r="K1544" t="str">
            <v>hp</v>
          </cell>
          <cell r="L1544" t="str">
            <v>体力タイプ</v>
          </cell>
          <cell r="M1544" t="str">
            <v>academia</v>
          </cell>
        </row>
        <row r="1545">
          <cell r="A1545">
            <v>5001</v>
          </cell>
          <cell r="B1545" t="str">
            <v>ja</v>
          </cell>
          <cell r="C1545" t="str">
            <v>ガルーダ</v>
          </cell>
          <cell r="D1545" t="str">
            <v>ノーマルクエスト</v>
          </cell>
          <cell r="E1545" t="str">
            <v>QoH</v>
          </cell>
          <cell r="F1545" t="str">
            <v>世界観</v>
          </cell>
          <cell r="G1545" t="str">
            <v>不明</v>
          </cell>
          <cell r="H1545" t="str">
            <v>red</v>
          </cell>
          <cell r="I1545">
            <v>5</v>
          </cell>
          <cell r="J1545" t="str">
            <v>PremiumSSw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5002</v>
          </cell>
          <cell r="B1546" t="str">
            <v>ja</v>
          </cell>
          <cell r="C1546" t="str">
            <v>ガルーダ★６</v>
          </cell>
          <cell r="D1546" t="str">
            <v>ノーマルクエスト</v>
          </cell>
          <cell r="E1546" t="str">
            <v>アバター</v>
          </cell>
          <cell r="F1546" t="str">
            <v>世界観</v>
          </cell>
          <cell r="G1546" t="str">
            <v>男性</v>
          </cell>
          <cell r="H1546" t="str">
            <v>red</v>
          </cell>
          <cell r="I1546">
            <v>6</v>
          </cell>
          <cell r="J1546" t="str">
            <v>PremiumSSw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5003</v>
          </cell>
          <cell r="B1547" t="str">
            <v>ja</v>
          </cell>
          <cell r="C1547" t="str">
            <v>ナーガ</v>
          </cell>
          <cell r="D1547" t="str">
            <v>リンクガチャ:4神</v>
          </cell>
          <cell r="E1547" t="str">
            <v>守護神</v>
          </cell>
          <cell r="F1547" t="str">
            <v>格好いい</v>
          </cell>
          <cell r="G1547" t="str">
            <v>不明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animal</v>
          </cell>
        </row>
        <row r="1548">
          <cell r="A1548">
            <v>5004</v>
          </cell>
          <cell r="B1548" t="str">
            <v>ja</v>
          </cell>
          <cell r="C1548" t="str">
            <v>ナーガ★６</v>
          </cell>
          <cell r="D1548" t="str">
            <v>ノーマルクエスト</v>
          </cell>
          <cell r="E1548" t="str">
            <v>アバター</v>
          </cell>
          <cell r="F1548" t="str">
            <v>世界観</v>
          </cell>
          <cell r="G1548" t="str">
            <v>不明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animal</v>
          </cell>
        </row>
        <row r="1549">
          <cell r="A1549">
            <v>5005</v>
          </cell>
          <cell r="B1549" t="str">
            <v>ja</v>
          </cell>
          <cell r="C1549" t="str">
            <v>カーミラ</v>
          </cell>
          <cell r="D1549" t="str">
            <v>ノーマルクエスト</v>
          </cell>
          <cell r="E1549" t="str">
            <v>QoH</v>
          </cell>
          <cell r="F1549" t="str">
            <v>世界観</v>
          </cell>
          <cell r="G1549" t="str">
            <v>不明</v>
          </cell>
          <cell r="H1549" t="str">
            <v>green</v>
          </cell>
          <cell r="I1549">
            <v>5</v>
          </cell>
          <cell r="J1549" t="str">
            <v>PremiumSSw</v>
          </cell>
          <cell r="K1549" t="str">
            <v>balance</v>
          </cell>
          <cell r="L1549" t="str">
            <v>バランスタイプ</v>
          </cell>
          <cell r="M1549" t="str">
            <v>demon</v>
          </cell>
        </row>
        <row r="1550">
          <cell r="A1550">
            <v>5006</v>
          </cell>
          <cell r="B1550" t="str">
            <v>ja</v>
          </cell>
          <cell r="C1550" t="str">
            <v>カーミラ★６</v>
          </cell>
          <cell r="D1550" t="str">
            <v>ノーマルクエスト</v>
          </cell>
          <cell r="E1550" t="str">
            <v>アバター</v>
          </cell>
          <cell r="F1550" t="str">
            <v>世界観</v>
          </cell>
          <cell r="G1550" t="str">
            <v>男性</v>
          </cell>
          <cell r="H1550" t="str">
            <v>green</v>
          </cell>
          <cell r="I1550">
            <v>6</v>
          </cell>
          <cell r="J1550" t="str">
            <v>PremiumSSw</v>
          </cell>
          <cell r="K1550" t="str">
            <v>balance</v>
          </cell>
          <cell r="L1550" t="str">
            <v>バランスタイプ</v>
          </cell>
          <cell r="M1550" t="str">
            <v>demon</v>
          </cell>
        </row>
        <row r="1551">
          <cell r="A1551">
            <v>5007</v>
          </cell>
          <cell r="B1551" t="str">
            <v>ja</v>
          </cell>
          <cell r="C1551" t="str">
            <v>ヘルシング</v>
          </cell>
          <cell r="D1551" t="str">
            <v>リンクガチャ:4神</v>
          </cell>
          <cell r="E1551" t="str">
            <v>守護神</v>
          </cell>
          <cell r="F1551" t="str">
            <v>格好いい</v>
          </cell>
          <cell r="G1551" t="str">
            <v>不明</v>
          </cell>
          <cell r="H1551" t="str">
            <v>yellow</v>
          </cell>
          <cell r="I1551">
            <v>5</v>
          </cell>
          <cell r="J1551" t="str">
            <v>DropWizS</v>
          </cell>
          <cell r="K1551" t="str">
            <v>technical</v>
          </cell>
          <cell r="L1551" t="str">
            <v>テクニカルタイプ</v>
          </cell>
          <cell r="M1551" t="str">
            <v>human</v>
          </cell>
        </row>
        <row r="1552">
          <cell r="A1552">
            <v>5008</v>
          </cell>
          <cell r="B1552" t="str">
            <v>ja</v>
          </cell>
          <cell r="C1552" t="str">
            <v>ヘルシング★６</v>
          </cell>
          <cell r="D1552" t="str">
            <v>ノーマルクエスト</v>
          </cell>
          <cell r="E1552" t="str">
            <v>アバター</v>
          </cell>
          <cell r="F1552" t="str">
            <v>世界観</v>
          </cell>
          <cell r="G1552" t="str">
            <v>不明</v>
          </cell>
          <cell r="H1552" t="str">
            <v>yellow</v>
          </cell>
          <cell r="I1552">
            <v>6</v>
          </cell>
          <cell r="J1552" t="str">
            <v>DropWizS</v>
          </cell>
          <cell r="K1552" t="str">
            <v>technical</v>
          </cell>
          <cell r="L1552" t="str">
            <v>テクニカルタイプ</v>
          </cell>
          <cell r="M1552" t="str">
            <v>human</v>
          </cell>
        </row>
        <row r="1553">
          <cell r="A1553">
            <v>6001</v>
          </cell>
          <cell r="B1553" t="str">
            <v>ja</v>
          </cell>
          <cell r="C1553" t="str">
            <v>ジェリー</v>
          </cell>
          <cell r="D1553" t="str">
            <v>ノーマルクエスト</v>
          </cell>
          <cell r="E1553" t="str">
            <v>QoH</v>
          </cell>
          <cell r="F1553" t="str">
            <v>世界観</v>
          </cell>
          <cell r="G1553" t="str">
            <v>不明</v>
          </cell>
          <cell r="H1553" t="str">
            <v>red</v>
          </cell>
          <cell r="I1553">
            <v>1</v>
          </cell>
          <cell r="J1553" t="str">
            <v>Drop1T</v>
          </cell>
          <cell r="K1553" t="str">
            <v>ra</v>
          </cell>
          <cell r="L1553" t="str">
            <v>ラグランジュチャレンジ</v>
          </cell>
          <cell r="M1553" t="str">
            <v>unknown</v>
          </cell>
        </row>
        <row r="1554">
          <cell r="A1554">
            <v>6002</v>
          </cell>
          <cell r="B1554" t="str">
            <v>ja</v>
          </cell>
          <cell r="C1554" t="str">
            <v>ヨシタカ</v>
          </cell>
          <cell r="D1554" t="str">
            <v>ノーマルクエスト</v>
          </cell>
          <cell r="E1554" t="str">
            <v>アバター</v>
          </cell>
          <cell r="F1554" t="str">
            <v>世界観</v>
          </cell>
          <cell r="G1554" t="str">
            <v>男性</v>
          </cell>
          <cell r="H1554" t="str">
            <v>red</v>
          </cell>
          <cell r="I1554">
            <v>2</v>
          </cell>
          <cell r="J1554" t="str">
            <v>Drop1N</v>
          </cell>
          <cell r="K1554" t="str">
            <v>ra</v>
          </cell>
          <cell r="L1554" t="str">
            <v>ラグランジュチャレンジ</v>
          </cell>
          <cell r="M1554" t="str">
            <v>human</v>
          </cell>
        </row>
        <row r="1555">
          <cell r="A1555">
            <v>6003</v>
          </cell>
          <cell r="B1555" t="str">
            <v>ja</v>
          </cell>
          <cell r="C1555" t="str">
            <v>朱雀</v>
          </cell>
          <cell r="D1555" t="str">
            <v>リンクガチャ:4神</v>
          </cell>
          <cell r="E1555" t="str">
            <v>守護神</v>
          </cell>
          <cell r="F1555" t="str">
            <v>格好いい</v>
          </cell>
          <cell r="G1555" t="str">
            <v>不明</v>
          </cell>
          <cell r="H1555" t="str">
            <v>red</v>
          </cell>
          <cell r="I1555">
            <v>3</v>
          </cell>
          <cell r="J1555" t="str">
            <v>Drop2N</v>
          </cell>
          <cell r="K1555" t="str">
            <v>ra</v>
          </cell>
          <cell r="L1555" t="str">
            <v>ラグランジュチャレンジ</v>
          </cell>
          <cell r="M1555" t="str">
            <v>animal</v>
          </cell>
        </row>
        <row r="1556">
          <cell r="A1556">
            <v>6004</v>
          </cell>
          <cell r="B1556" t="str">
            <v>ja</v>
          </cell>
          <cell r="C1556" t="str">
            <v>ブレット</v>
          </cell>
          <cell r="D1556" t="str">
            <v>ノーマルクエスト</v>
          </cell>
          <cell r="E1556" t="str">
            <v>アバター</v>
          </cell>
          <cell r="F1556" t="str">
            <v>世界観</v>
          </cell>
          <cell r="G1556" t="str">
            <v>不明</v>
          </cell>
          <cell r="H1556" t="str">
            <v>red</v>
          </cell>
          <cell r="I1556">
            <v>1</v>
          </cell>
          <cell r="J1556" t="str">
            <v>Drop1W</v>
          </cell>
          <cell r="K1556" t="str">
            <v>ra</v>
          </cell>
          <cell r="L1556" t="str">
            <v>ラグランジュチャレンジ</v>
          </cell>
          <cell r="M1556" t="str">
            <v>animal</v>
          </cell>
        </row>
        <row r="1557">
          <cell r="A1557">
            <v>6005</v>
          </cell>
          <cell r="B1557" t="str">
            <v>ja</v>
          </cell>
          <cell r="C1557" t="str">
            <v>孤神 テティス</v>
          </cell>
          <cell r="D1557" t="str">
            <v>初期ガチャ</v>
          </cell>
          <cell r="E1557" t="str">
            <v>管理者</v>
          </cell>
          <cell r="F1557" t="str">
            <v>美しい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PremiumN</v>
          </cell>
          <cell r="K1557" t="str">
            <v>ra</v>
          </cell>
          <cell r="L1557" t="str">
            <v>ラグランジュチャレンジ</v>
          </cell>
          <cell r="M1557" t="str">
            <v>god</v>
          </cell>
        </row>
        <row r="1558">
          <cell r="A1558">
            <v>6006</v>
          </cell>
          <cell r="B1558" t="str">
            <v>ja</v>
          </cell>
          <cell r="C1558" t="str">
            <v>海底の孤高神 テティス</v>
          </cell>
          <cell r="D1558" t="str">
            <v>初期ガチャ</v>
          </cell>
          <cell r="E1558" t="str">
            <v>管理者</v>
          </cell>
          <cell r="F1558" t="str">
            <v>美しい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PremiumN</v>
          </cell>
          <cell r="K1558" t="str">
            <v>ra</v>
          </cell>
          <cell r="L1558" t="str">
            <v>ラグランジュチャレンジ</v>
          </cell>
          <cell r="M1558" t="str">
            <v>god</v>
          </cell>
        </row>
        <row r="1559">
          <cell r="A1559">
            <v>6007</v>
          </cell>
          <cell r="B1559" t="str">
            <v>ja</v>
          </cell>
          <cell r="C1559" t="str">
            <v>番犬 ケルベロス</v>
          </cell>
          <cell r="D1559" t="str">
            <v>初期ガチャ</v>
          </cell>
          <cell r="E1559" t="str">
            <v>破界者</v>
          </cell>
          <cell r="F1559" t="str">
            <v>可愛い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PremiumN</v>
          </cell>
          <cell r="K1559" t="str">
            <v>ra</v>
          </cell>
          <cell r="L1559" t="str">
            <v>ラグランジュチャレンジ</v>
          </cell>
          <cell r="M1559" t="str">
            <v>animal</v>
          </cell>
        </row>
        <row r="1560">
          <cell r="A1560">
            <v>6008</v>
          </cell>
          <cell r="B1560" t="str">
            <v>ja</v>
          </cell>
          <cell r="C1560" t="str">
            <v>焔神 プロメテウス</v>
          </cell>
          <cell r="D1560" t="str">
            <v>初期ガチャ</v>
          </cell>
          <cell r="E1560" t="str">
            <v>管理者</v>
          </cell>
          <cell r="F1560" t="str">
            <v>格好いい</v>
          </cell>
          <cell r="G1560" t="str">
            <v>男性</v>
          </cell>
          <cell r="H1560" t="str">
            <v>red</v>
          </cell>
          <cell r="I1560">
            <v>4</v>
          </cell>
          <cell r="J1560" t="str">
            <v>PremiumN</v>
          </cell>
          <cell r="K1560" t="str">
            <v>ra</v>
          </cell>
          <cell r="L1560" t="str">
            <v>ラグランジュチャレンジ</v>
          </cell>
          <cell r="M1560" t="str">
            <v>god</v>
          </cell>
        </row>
        <row r="1561">
          <cell r="A1561">
            <v>6009</v>
          </cell>
          <cell r="B1561" t="str">
            <v>ja</v>
          </cell>
          <cell r="C1561" t="str">
            <v>超越自我 ラグランジュ</v>
          </cell>
          <cell r="D1561" t="str">
            <v>ガチャ:フィーバーフェス02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5</v>
          </cell>
          <cell r="J1561" t="str">
            <v>PremiumSSS</v>
          </cell>
          <cell r="K1561" t="str">
            <v>ra</v>
          </cell>
          <cell r="L1561" t="str">
            <v>ラグランジュチャレンジ</v>
          </cell>
          <cell r="M1561" t="str">
            <v>human</v>
          </cell>
        </row>
        <row r="1562">
          <cell r="A1562">
            <v>6010</v>
          </cell>
          <cell r="B1562" t="str">
            <v>ja</v>
          </cell>
          <cell r="C1562" t="str">
            <v>超越凌駕 ラグランジュ</v>
          </cell>
          <cell r="D1562" t="str">
            <v>ガチャ:フィーバーフェス02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6</v>
          </cell>
          <cell r="J1562" t="str">
            <v>PremiumSSS</v>
          </cell>
          <cell r="K1562" t="str">
            <v>ra</v>
          </cell>
          <cell r="L1562" t="str">
            <v>ラグランジュチャレンジ</v>
          </cell>
          <cell r="M1562" t="str">
            <v>human</v>
          </cell>
        </row>
        <row r="1563">
          <cell r="A1563">
            <v>6011</v>
          </cell>
          <cell r="B1563" t="str">
            <v>ja</v>
          </cell>
          <cell r="C1563" t="str">
            <v>パトドッグリーダー ポチ</v>
          </cell>
          <cell r="D1563" t="str">
            <v>ガチャ:フィーバーフェス02</v>
          </cell>
          <cell r="E1563" t="str">
            <v>執行者</v>
          </cell>
          <cell r="F1563" t="str">
            <v>格好いい</v>
          </cell>
          <cell r="G1563" t="str">
            <v>男性</v>
          </cell>
          <cell r="H1563" t="str">
            <v>blue</v>
          </cell>
          <cell r="I1563">
            <v>2</v>
          </cell>
          <cell r="J1563" t="str">
            <v>Drop1T</v>
          </cell>
          <cell r="K1563" t="str">
            <v>ra002</v>
          </cell>
          <cell r="L1563" t="str">
            <v>ユークリッドチャレンジ</v>
          </cell>
          <cell r="M1563" t="str">
            <v>unknown</v>
          </cell>
        </row>
        <row r="1564">
          <cell r="A1564">
            <v>6012</v>
          </cell>
          <cell r="B1564" t="str">
            <v>ja</v>
          </cell>
          <cell r="C1564" t="str">
            <v>ミミ</v>
          </cell>
          <cell r="D1564" t="str">
            <v>ガチャ:フィーバーフェス02</v>
          </cell>
          <cell r="E1564" t="str">
            <v>執行者</v>
          </cell>
          <cell r="F1564" t="str">
            <v>格好いい</v>
          </cell>
          <cell r="G1564" t="str">
            <v>男性</v>
          </cell>
          <cell r="H1564" t="str">
            <v>yellow</v>
          </cell>
          <cell r="I1564">
            <v>1</v>
          </cell>
          <cell r="J1564" t="str">
            <v>Drop1W</v>
          </cell>
          <cell r="K1564" t="str">
            <v>ra002</v>
          </cell>
          <cell r="L1564" t="str">
            <v>ユークリッドチャレンジ</v>
          </cell>
          <cell r="M1564" t="str">
            <v>animal</v>
          </cell>
        </row>
        <row r="1565">
          <cell r="A1565">
            <v>6013</v>
          </cell>
          <cell r="B1565" t="str">
            <v>ja</v>
          </cell>
          <cell r="C1565" t="str">
            <v>護衛機人 スケアクロウ</v>
          </cell>
          <cell r="D1565" t="str">
            <v>ガチャ:フィーバーフェス02</v>
          </cell>
          <cell r="E1565" t="str">
            <v>執行者</v>
          </cell>
          <cell r="F1565" t="str">
            <v>格好いい</v>
          </cell>
          <cell r="G1565" t="str">
            <v>男性</v>
          </cell>
          <cell r="H1565" t="str">
            <v>blue</v>
          </cell>
          <cell r="I1565">
            <v>2</v>
          </cell>
          <cell r="J1565" t="str">
            <v>Drop1N</v>
          </cell>
          <cell r="K1565" t="str">
            <v>ra002</v>
          </cell>
          <cell r="L1565" t="str">
            <v>ユークリッドチャレンジ</v>
          </cell>
          <cell r="M1565" t="str">
            <v>machine</v>
          </cell>
        </row>
        <row r="1566">
          <cell r="A1566">
            <v>6014</v>
          </cell>
          <cell r="B1566" t="str">
            <v>ja</v>
          </cell>
          <cell r="C1566" t="str">
            <v>月下の人狼 ローレンス</v>
          </cell>
          <cell r="D1566" t="str">
            <v>ガチャ:フィーバーフェス02</v>
          </cell>
          <cell r="E1566" t="str">
            <v>執行者</v>
          </cell>
          <cell r="F1566" t="str">
            <v>格好いい</v>
          </cell>
          <cell r="G1566" t="str">
            <v>男性</v>
          </cell>
          <cell r="H1566" t="str">
            <v>blue</v>
          </cell>
          <cell r="I1566">
            <v>4</v>
          </cell>
          <cell r="J1566" t="str">
            <v>PremiumW</v>
          </cell>
          <cell r="K1566" t="str">
            <v>ra002</v>
          </cell>
          <cell r="L1566" t="str">
            <v>ユークリッドチャレンジ</v>
          </cell>
          <cell r="M1566" t="str">
            <v>animal</v>
          </cell>
        </row>
        <row r="1567">
          <cell r="A1567">
            <v>6015</v>
          </cell>
          <cell r="B1567" t="str">
            <v>ja</v>
          </cell>
          <cell r="C1567" t="str">
            <v>フレイヤ</v>
          </cell>
          <cell r="D1567" t="str">
            <v>ガチャ:フィーバーフェス02</v>
          </cell>
          <cell r="E1567" t="str">
            <v>執行者</v>
          </cell>
          <cell r="F1567" t="str">
            <v>格好いい</v>
          </cell>
          <cell r="G1567" t="str">
            <v>男性</v>
          </cell>
          <cell r="H1567" t="str">
            <v>blue</v>
          </cell>
          <cell r="I1567">
            <v>4</v>
          </cell>
          <cell r="J1567" t="str">
            <v>PremiumSS</v>
          </cell>
          <cell r="K1567" t="str">
            <v>ra002</v>
          </cell>
          <cell r="L1567" t="str">
            <v>ユークリッドチャレンジ</v>
          </cell>
          <cell r="M1567" t="str">
            <v>animal</v>
          </cell>
        </row>
        <row r="1568">
          <cell r="A1568">
            <v>6016</v>
          </cell>
          <cell r="B1568" t="str">
            <v>ja</v>
          </cell>
          <cell r="C1568" t="str">
            <v>根原論理 ユークリッド</v>
          </cell>
          <cell r="D1568" t="str">
            <v>ガチャ:フィーバーフェス02</v>
          </cell>
          <cell r="E1568" t="str">
            <v>執行者</v>
          </cell>
          <cell r="F1568" t="str">
            <v>格好いい</v>
          </cell>
          <cell r="G1568" t="str">
            <v>男性</v>
          </cell>
          <cell r="H1568" t="str">
            <v>blue</v>
          </cell>
          <cell r="I1568">
            <v>5</v>
          </cell>
          <cell r="J1568" t="str">
            <v>PremiumSSS</v>
          </cell>
          <cell r="K1568" t="str">
            <v>ra002</v>
          </cell>
          <cell r="L1568" t="str">
            <v>ユークリッドチャレンジ</v>
          </cell>
          <cell r="M1568" t="str">
            <v>human</v>
          </cell>
        </row>
        <row r="1569">
          <cell r="A1569">
            <v>6017</v>
          </cell>
          <cell r="B1569" t="str">
            <v>ja</v>
          </cell>
          <cell r="C1569" t="str">
            <v>不朽の極論 ユークリッド</v>
          </cell>
          <cell r="D1569" t="str">
            <v>ガチャ:フィーバーフェス02</v>
          </cell>
          <cell r="E1569" t="str">
            <v>執行者</v>
          </cell>
          <cell r="F1569" t="str">
            <v>格好いい</v>
          </cell>
          <cell r="G1569" t="str">
            <v>男性</v>
          </cell>
          <cell r="H1569" t="str">
            <v>blue</v>
          </cell>
          <cell r="I1569">
            <v>6</v>
          </cell>
          <cell r="J1569" t="str">
            <v>PremiumSSS</v>
          </cell>
          <cell r="K1569" t="str">
            <v>ra002</v>
          </cell>
          <cell r="L1569" t="str">
            <v>ユークリッドチャレンジ</v>
          </cell>
          <cell r="M1569" t="str">
            <v>human</v>
          </cell>
        </row>
        <row r="1570">
          <cell r="A1570">
            <v>6018</v>
          </cell>
          <cell r="B1570" t="str">
            <v>ja</v>
          </cell>
          <cell r="C1570" t="str">
            <v>ハヅル</v>
          </cell>
          <cell r="D1570" t="str">
            <v>ガチャ:フィーバーフェス02</v>
          </cell>
          <cell r="E1570" t="str">
            <v>執行者</v>
          </cell>
          <cell r="F1570" t="str">
            <v>格好いい</v>
          </cell>
          <cell r="G1570" t="str">
            <v>男性</v>
          </cell>
          <cell r="H1570" t="str">
            <v>red</v>
          </cell>
          <cell r="I1570">
            <v>4</v>
          </cell>
          <cell r="J1570" t="str">
            <v>PremiumSS</v>
          </cell>
          <cell r="K1570" t="str">
            <v>ra002</v>
          </cell>
          <cell r="L1570" t="str">
            <v>ユークリッドチャレンジ</v>
          </cell>
          <cell r="M1570" t="str">
            <v>animal</v>
          </cell>
        </row>
        <row r="1571">
          <cell r="A1571">
            <v>6019</v>
          </cell>
          <cell r="B1571" t="str">
            <v>ja</v>
          </cell>
          <cell r="C1571" t="str">
            <v>天織羽鶴 ハヅル</v>
          </cell>
          <cell r="D1571" t="str">
            <v>ガチャ:フィーバーフェス02</v>
          </cell>
          <cell r="E1571" t="str">
            <v>執行者</v>
          </cell>
          <cell r="F1571" t="str">
            <v>格好いい</v>
          </cell>
          <cell r="G1571" t="str">
            <v>男性</v>
          </cell>
          <cell r="H1571" t="str">
            <v>red</v>
          </cell>
          <cell r="I1571">
            <v>5</v>
          </cell>
          <cell r="J1571" t="str">
            <v>PremiumSS</v>
          </cell>
          <cell r="K1571" t="str">
            <v>ra002</v>
          </cell>
          <cell r="L1571" t="str">
            <v>ユークリッドチャレンジ</v>
          </cell>
          <cell r="M1571" t="str">
            <v>animal</v>
          </cell>
        </row>
        <row r="1572">
          <cell r="A1572">
            <v>6020</v>
          </cell>
          <cell r="B1572" t="str">
            <v>ja</v>
          </cell>
          <cell r="C1572" t="str">
            <v>ミズチ</v>
          </cell>
          <cell r="D1572" t="str">
            <v>ガチャ:フィーバーフェス02</v>
          </cell>
          <cell r="E1572" t="str">
            <v>執行者</v>
          </cell>
          <cell r="F1572" t="str">
            <v>格好いい</v>
          </cell>
          <cell r="G1572" t="str">
            <v>男性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ra002</v>
          </cell>
          <cell r="L1572" t="str">
            <v>ユークリッドチャレンジ</v>
          </cell>
          <cell r="M1572" t="str">
            <v>dragon</v>
          </cell>
        </row>
        <row r="1573">
          <cell r="A1573">
            <v>8001</v>
          </cell>
          <cell r="B1573" t="str">
            <v>ja</v>
          </cell>
          <cell r="C1573" t="str">
            <v>媽祖</v>
          </cell>
          <cell r="D1573" t="str">
            <v>イベント:ミクコラボ01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god</v>
          </cell>
        </row>
        <row r="1574">
          <cell r="A1574">
            <v>8002</v>
          </cell>
          <cell r="B1574" t="str">
            <v>ja</v>
          </cell>
          <cell r="C1574" t="str">
            <v>宣導する天海妃 媽祖</v>
          </cell>
          <cell r="D1574" t="str">
            <v>イベント:ミクコラボ01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god</v>
          </cell>
        </row>
        <row r="1575">
          <cell r="A1575">
            <v>8003</v>
          </cell>
          <cell r="B1575" t="str">
            <v>ja</v>
          </cell>
          <cell r="C1575" t="str">
            <v>蛟龍</v>
          </cell>
          <cell r="D1575" t="str">
            <v>イベント:ミクコラボ01</v>
          </cell>
          <cell r="E1575" t="str">
            <v>執行者</v>
          </cell>
          <cell r="F1575" t="str">
            <v>格好いい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8004</v>
          </cell>
          <cell r="B1576" t="str">
            <v>ja</v>
          </cell>
          <cell r="C1576" t="str">
            <v>呼嵐の蒼棲龍 蛟龍</v>
          </cell>
          <cell r="D1576" t="str">
            <v>イベント:ミクコラボ01</v>
          </cell>
          <cell r="E1576" t="str">
            <v>執行者</v>
          </cell>
          <cell r="F1576" t="str">
            <v>格好いい</v>
          </cell>
          <cell r="G1576" t="str">
            <v>不明</v>
          </cell>
          <cell r="H1576" t="str">
            <v>blue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8005</v>
          </cell>
          <cell r="B1577" t="str">
            <v>ja</v>
          </cell>
          <cell r="C1577" t="str">
            <v>三蔵法師</v>
          </cell>
          <cell r="D1577" t="str">
            <v>イベント:ミクコラボ01</v>
          </cell>
          <cell r="E1577" t="str">
            <v>執行者</v>
          </cell>
          <cell r="F1577" t="str">
            <v>格好いい</v>
          </cell>
          <cell r="G1577" t="str">
            <v>不明</v>
          </cell>
          <cell r="H1577" t="str">
            <v>blue</v>
          </cell>
          <cell r="I1577">
            <v>5</v>
          </cell>
          <cell r="J1577" t="str">
            <v>PremiumSS</v>
          </cell>
          <cell r="K1577" t="str">
            <v>balance</v>
          </cell>
          <cell r="L1577" t="str">
            <v>バランスタイプ</v>
          </cell>
          <cell r="M1577" t="str">
            <v>human</v>
          </cell>
        </row>
        <row r="1578">
          <cell r="A1578">
            <v>8006</v>
          </cell>
          <cell r="B1578" t="str">
            <v>ja</v>
          </cell>
          <cell r="C1578" t="str">
            <v>慈戒の呪封使 三蔵法師</v>
          </cell>
          <cell r="D1578" t="str">
            <v>イベント:ミクコラボ01</v>
          </cell>
          <cell r="E1578" t="str">
            <v>執行者</v>
          </cell>
          <cell r="F1578" t="str">
            <v>格好いい</v>
          </cell>
          <cell r="G1578" t="str">
            <v>不明</v>
          </cell>
          <cell r="H1578" t="str">
            <v>blue</v>
          </cell>
          <cell r="I1578">
            <v>6</v>
          </cell>
          <cell r="J1578" t="str">
            <v>PremiumSS</v>
          </cell>
          <cell r="K1578" t="str">
            <v>balance</v>
          </cell>
          <cell r="L1578" t="str">
            <v>バランスタイプ</v>
          </cell>
          <cell r="M1578" t="str">
            <v>human</v>
          </cell>
        </row>
        <row r="1579">
          <cell r="A1579">
            <v>8007</v>
          </cell>
          <cell r="B1579" t="str">
            <v>ja</v>
          </cell>
          <cell r="C1579" t="str">
            <v>孫悟空</v>
          </cell>
          <cell r="D1579" t="str">
            <v>イベント:ミクコラボ01</v>
          </cell>
          <cell r="E1579" t="str">
            <v>執行者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5</v>
          </cell>
          <cell r="J1579" t="str">
            <v>DropWizS</v>
          </cell>
          <cell r="K1579" t="str">
            <v>attack</v>
          </cell>
          <cell r="L1579" t="str">
            <v>攻撃タイプ</v>
          </cell>
          <cell r="M1579" t="str">
            <v>animal</v>
          </cell>
        </row>
        <row r="1580">
          <cell r="A1580">
            <v>8008</v>
          </cell>
          <cell r="B1580" t="str">
            <v>ja</v>
          </cell>
          <cell r="C1580" t="str">
            <v>花果の天猿仙人 孫悟空</v>
          </cell>
          <cell r="D1580" t="str">
            <v>イベント:ミクコラボ01</v>
          </cell>
          <cell r="E1580" t="str">
            <v>執行者</v>
          </cell>
          <cell r="F1580" t="str">
            <v>格好いい</v>
          </cell>
          <cell r="G1580" t="str">
            <v>不明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animal</v>
          </cell>
        </row>
        <row r="1581">
          <cell r="A1581">
            <v>8009</v>
          </cell>
          <cell r="B1581" t="str">
            <v>ja</v>
          </cell>
          <cell r="C1581" t="str">
            <v>西王娘娘</v>
          </cell>
          <cell r="D1581" t="str">
            <v>イベント:ミクコラボ01</v>
          </cell>
          <cell r="E1581" t="str">
            <v>執行者</v>
          </cell>
          <cell r="F1581" t="str">
            <v>格好いい</v>
          </cell>
          <cell r="G1581" t="str">
            <v>不明</v>
          </cell>
          <cell r="H1581" t="str">
            <v>green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god</v>
          </cell>
        </row>
        <row r="1582">
          <cell r="A1582">
            <v>8010</v>
          </cell>
          <cell r="B1582" t="str">
            <v>ja</v>
          </cell>
          <cell r="C1582" t="str">
            <v>極楽瑶池の聖母 西王娘娘</v>
          </cell>
          <cell r="D1582" t="str">
            <v>イベント:ミクコラボ01</v>
          </cell>
          <cell r="E1582" t="str">
            <v>執行者</v>
          </cell>
          <cell r="F1582" t="str">
            <v>格好いい</v>
          </cell>
          <cell r="G1582" t="str">
            <v>不明</v>
          </cell>
          <cell r="H1582" t="str">
            <v>green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god</v>
          </cell>
        </row>
        <row r="1583">
          <cell r="A1583">
            <v>8011</v>
          </cell>
          <cell r="B1583" t="str">
            <v>ja</v>
          </cell>
          <cell r="C1583" t="str">
            <v>月下老人</v>
          </cell>
          <cell r="D1583" t="str">
            <v>イベント:ミクコラボ01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5</v>
          </cell>
          <cell r="J1583" t="str">
            <v>DropWizS</v>
          </cell>
          <cell r="K1583" t="str">
            <v>balance</v>
          </cell>
          <cell r="L1583" t="str">
            <v>バランスタイプ</v>
          </cell>
          <cell r="M1583" t="str">
            <v>god</v>
          </cell>
        </row>
        <row r="1584">
          <cell r="A1584">
            <v>8012</v>
          </cell>
          <cell r="B1584" t="str">
            <v>ja</v>
          </cell>
          <cell r="C1584" t="str">
            <v>破戀斬る縁剣 月下老人</v>
          </cell>
          <cell r="D1584" t="str">
            <v>イベント:ミクコラボ01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6</v>
          </cell>
          <cell r="J1584" t="str">
            <v>DropWizS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  <row r="1585">
          <cell r="A1585">
            <v>8013</v>
          </cell>
          <cell r="B1585" t="str">
            <v>ja</v>
          </cell>
          <cell r="C1585" t="str">
            <v>初音ミクV3</v>
          </cell>
          <cell r="D1585" t="str">
            <v>初音ミクV3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4</v>
          </cell>
          <cell r="J1585" t="str">
            <v>DropWizS</v>
          </cell>
          <cell r="K1585" t="str">
            <v>balance</v>
          </cell>
          <cell r="L1585" t="str">
            <v>バランスタイプ</v>
          </cell>
          <cell r="M1585" t="str">
            <v>unknown</v>
          </cell>
        </row>
        <row r="1586">
          <cell r="A1586">
            <v>8014</v>
          </cell>
          <cell r="B1586" t="str">
            <v>ja</v>
          </cell>
          <cell r="C1586" t="str">
            <v>初音ミクV3</v>
          </cell>
          <cell r="D1586" t="str">
            <v>初音ミクV3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yellow</v>
          </cell>
          <cell r="I1586">
            <v>5</v>
          </cell>
          <cell r="J1586" t="str">
            <v>DropWizS</v>
          </cell>
          <cell r="K1586" t="str">
            <v>balance</v>
          </cell>
          <cell r="L1586" t="str">
            <v>バランスタイプ</v>
          </cell>
          <cell r="M1586" t="str">
            <v>unknown</v>
          </cell>
        </row>
        <row r="1587">
          <cell r="A1587">
            <v>8015</v>
          </cell>
          <cell r="B1587" t="str">
            <v>ja</v>
          </cell>
          <cell r="C1587" t="str">
            <v>初音ミク・アペンド</v>
          </cell>
          <cell r="D1587" t="str">
            <v>初音ミク・アペンド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PremiumSSS</v>
          </cell>
          <cell r="K1587" t="str">
            <v>technical</v>
          </cell>
          <cell r="L1587" t="str">
            <v>テクニカルタイプ</v>
          </cell>
          <cell r="M1587" t="str">
            <v>unknown</v>
          </cell>
        </row>
        <row r="1588">
          <cell r="A1588">
            <v>8016</v>
          </cell>
          <cell r="B1588" t="str">
            <v>ja</v>
          </cell>
          <cell r="C1588" t="str">
            <v>初音ミク・アペンド</v>
          </cell>
          <cell r="D1588" t="str">
            <v>初音ミク・アペンド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PremiumSSS</v>
          </cell>
          <cell r="K1588" t="str">
            <v>technical</v>
          </cell>
          <cell r="L1588" t="str">
            <v>テクニカルタイプ</v>
          </cell>
          <cell r="M1588" t="str">
            <v>unknown</v>
          </cell>
        </row>
        <row r="1589">
          <cell r="A1589">
            <v>8017</v>
          </cell>
          <cell r="B1589" t="str">
            <v>ja</v>
          </cell>
          <cell r="C1589" t="str">
            <v>初音ミク</v>
          </cell>
          <cell r="D1589" t="str">
            <v>初音ミク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4</v>
          </cell>
          <cell r="J1589" t="str">
            <v>PremiumSSS</v>
          </cell>
          <cell r="K1589" t="str">
            <v>balance</v>
          </cell>
          <cell r="L1589" t="str">
            <v>バランスタイプ</v>
          </cell>
          <cell r="M1589" t="str">
            <v>unknown</v>
          </cell>
        </row>
        <row r="1590">
          <cell r="A1590">
            <v>8018</v>
          </cell>
          <cell r="B1590" t="str">
            <v>ja</v>
          </cell>
          <cell r="C1590" t="str">
            <v>初音ミク</v>
          </cell>
          <cell r="D1590" t="str">
            <v>初音ミク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5</v>
          </cell>
          <cell r="J1590" t="str">
            <v>PremiumSSS</v>
          </cell>
          <cell r="K1590" t="str">
            <v>balance</v>
          </cell>
          <cell r="L1590" t="str">
            <v>バランスタイプ</v>
          </cell>
          <cell r="M1590" t="str">
            <v>unknown</v>
          </cell>
        </row>
        <row r="1591">
          <cell r="A1591">
            <v>8019</v>
          </cell>
          <cell r="B1591" t="str">
            <v>ja</v>
          </cell>
          <cell r="C1591" t="str">
            <v>鏡音リン</v>
          </cell>
          <cell r="D1591" t="str">
            <v>鏡音リン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yellow</v>
          </cell>
          <cell r="I1591">
            <v>4</v>
          </cell>
          <cell r="J1591" t="str">
            <v>PremiumSS</v>
          </cell>
          <cell r="K1591" t="str">
            <v>balance</v>
          </cell>
          <cell r="L1591" t="str">
            <v>バランスタイプ</v>
          </cell>
          <cell r="M1591" t="str">
            <v>unknown</v>
          </cell>
        </row>
        <row r="1592">
          <cell r="A1592">
            <v>8020</v>
          </cell>
          <cell r="B1592" t="str">
            <v>ja</v>
          </cell>
          <cell r="C1592" t="str">
            <v>鏡音リン</v>
          </cell>
          <cell r="D1592" t="str">
            <v>鏡音リン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balance</v>
          </cell>
          <cell r="L1592" t="str">
            <v>バランスタイプ</v>
          </cell>
          <cell r="M1592" t="str">
            <v>unknown</v>
          </cell>
        </row>
        <row r="1593">
          <cell r="A1593">
            <v>8021</v>
          </cell>
          <cell r="B1593" t="str">
            <v>ja</v>
          </cell>
          <cell r="C1593" t="str">
            <v>鏡音レン</v>
          </cell>
          <cell r="D1593" t="str">
            <v>鏡音レン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4</v>
          </cell>
          <cell r="J1593" t="str">
            <v>PremiumSS</v>
          </cell>
          <cell r="K1593" t="str">
            <v>heal</v>
          </cell>
          <cell r="L1593" t="str">
            <v>回復タイプ</v>
          </cell>
          <cell r="M1593" t="str">
            <v>unknown</v>
          </cell>
        </row>
        <row r="1594">
          <cell r="A1594">
            <v>8022</v>
          </cell>
          <cell r="B1594" t="str">
            <v>ja</v>
          </cell>
          <cell r="C1594" t="str">
            <v>鏡音レン</v>
          </cell>
          <cell r="D1594" t="str">
            <v>鏡音レン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yellow</v>
          </cell>
          <cell r="I1594">
            <v>5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unknown</v>
          </cell>
        </row>
        <row r="1595">
          <cell r="A1595">
            <v>8023</v>
          </cell>
          <cell r="B1595" t="str">
            <v>ja</v>
          </cell>
          <cell r="C1595" t="str">
            <v>巡音ルカ</v>
          </cell>
          <cell r="D1595" t="str">
            <v>巡音ルカ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unknown</v>
          </cell>
        </row>
        <row r="1596">
          <cell r="A1596">
            <v>8024</v>
          </cell>
          <cell r="B1596" t="str">
            <v>ja</v>
          </cell>
          <cell r="C1596" t="str">
            <v>巡音ルカ</v>
          </cell>
          <cell r="D1596" t="str">
            <v>巡音ルカ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red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unknown</v>
          </cell>
        </row>
        <row r="1597">
          <cell r="A1597">
            <v>8025</v>
          </cell>
          <cell r="B1597" t="str">
            <v>ja</v>
          </cell>
          <cell r="C1597" t="str">
            <v>MEIKO</v>
          </cell>
          <cell r="D1597" t="str">
            <v>MEIKO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red</v>
          </cell>
          <cell r="I1597">
            <v>3</v>
          </cell>
          <cell r="J1597" t="str">
            <v>PremiumS</v>
          </cell>
          <cell r="K1597" t="str">
            <v>hp</v>
          </cell>
          <cell r="L1597" t="str">
            <v>体力タイプ</v>
          </cell>
          <cell r="M1597" t="str">
            <v>unknown</v>
          </cell>
        </row>
        <row r="1598">
          <cell r="A1598">
            <v>8026</v>
          </cell>
          <cell r="B1598" t="str">
            <v>ja</v>
          </cell>
          <cell r="C1598" t="str">
            <v>MEIKO</v>
          </cell>
          <cell r="D1598" t="str">
            <v>MEIKO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red</v>
          </cell>
          <cell r="I1598">
            <v>4</v>
          </cell>
          <cell r="J1598" t="str">
            <v>PremiumS</v>
          </cell>
          <cell r="K1598" t="str">
            <v>hp</v>
          </cell>
          <cell r="L1598" t="str">
            <v>体力タイプ</v>
          </cell>
          <cell r="M1598" t="str">
            <v>unknown</v>
          </cell>
        </row>
        <row r="1599">
          <cell r="A1599">
            <v>8027</v>
          </cell>
          <cell r="B1599" t="str">
            <v>ja</v>
          </cell>
          <cell r="C1599" t="str">
            <v>KAITO</v>
          </cell>
          <cell r="D1599" t="str">
            <v>KAITO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blue</v>
          </cell>
          <cell r="I1599">
            <v>3</v>
          </cell>
          <cell r="J1599" t="str">
            <v>PremiumS</v>
          </cell>
          <cell r="K1599" t="str">
            <v>technical</v>
          </cell>
          <cell r="L1599" t="str">
            <v>テクニカルタイプ</v>
          </cell>
          <cell r="M1599" t="str">
            <v>unknown</v>
          </cell>
        </row>
        <row r="1600">
          <cell r="A1600">
            <v>8028</v>
          </cell>
          <cell r="B1600" t="str">
            <v>ja</v>
          </cell>
          <cell r="C1600" t="str">
            <v>KAITO</v>
          </cell>
          <cell r="D1600" t="str">
            <v>KAITO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blue</v>
          </cell>
          <cell r="I1600">
            <v>4</v>
          </cell>
          <cell r="J1600" t="str">
            <v>PremiumS</v>
          </cell>
          <cell r="K1600" t="str">
            <v>technical</v>
          </cell>
          <cell r="L1600" t="str">
            <v>テクニカルタイプ</v>
          </cell>
          <cell r="M1600" t="str">
            <v>unknown</v>
          </cell>
        </row>
        <row r="1601">
          <cell r="A1601">
            <v>8029</v>
          </cell>
          <cell r="B1601" t="str">
            <v>ja</v>
          </cell>
          <cell r="C1601" t="str">
            <v>Expoミク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blue</v>
          </cell>
          <cell r="I1601">
            <v>4</v>
          </cell>
          <cell r="J1601" t="str">
            <v>Drop2N</v>
          </cell>
          <cell r="K1601" t="str">
            <v>heal</v>
          </cell>
          <cell r="L1601" t="str">
            <v>回復タイプ</v>
          </cell>
          <cell r="M1601" t="str">
            <v>unknown</v>
          </cell>
        </row>
        <row r="1602">
          <cell r="A1602">
            <v>8030</v>
          </cell>
          <cell r="B1602" t="str">
            <v>ja</v>
          </cell>
          <cell r="C1602" t="str">
            <v>Expoミク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5</v>
          </cell>
          <cell r="J1602" t="str">
            <v>Drop2N</v>
          </cell>
          <cell r="K1602" t="str">
            <v>heal</v>
          </cell>
          <cell r="L1602" t="str">
            <v>回復タイプ</v>
          </cell>
          <cell r="M1602" t="str">
            <v>unknown</v>
          </cell>
        </row>
        <row r="1603">
          <cell r="A1603">
            <v>8031</v>
          </cell>
          <cell r="B1603" t="str">
            <v>ja</v>
          </cell>
          <cell r="C1603" t="str">
            <v>閻羅王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5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8032</v>
          </cell>
          <cell r="B1604" t="str">
            <v>ja</v>
          </cell>
          <cell r="C1604" t="str">
            <v>六道輪廻の絶獄 閻羅王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PremiumSS</v>
          </cell>
          <cell r="K1604" t="str">
            <v>balance</v>
          </cell>
          <cell r="L1604" t="str">
            <v>バランスタイプ</v>
          </cell>
          <cell r="M1604" t="str">
            <v>god</v>
          </cell>
        </row>
        <row r="1605">
          <cell r="A1605">
            <v>8033</v>
          </cell>
          <cell r="B1605" t="str">
            <v>ja</v>
          </cell>
          <cell r="C1605" t="str">
            <v>牛頭馬面</v>
          </cell>
          <cell r="D1605" t="str">
            <v>Expoミク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DropWizS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8034</v>
          </cell>
          <cell r="B1606" t="str">
            <v>ja</v>
          </cell>
          <cell r="C1606" t="str">
            <v>冥府狩る魂使 牛頭馬面</v>
          </cell>
          <cell r="D1606" t="str">
            <v>Expoミク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DropWizS</v>
          </cell>
          <cell r="K1606" t="str">
            <v>attack</v>
          </cell>
          <cell r="L1606" t="str">
            <v>攻撃タイプ</v>
          </cell>
          <cell r="M1606" t="str">
            <v>god</v>
          </cell>
        </row>
        <row r="1607">
          <cell r="A1607">
            <v>8035</v>
          </cell>
          <cell r="B1607" t="str">
            <v>ja</v>
          </cell>
          <cell r="C1607" t="str">
            <v>飛衛</v>
          </cell>
          <cell r="D1607" t="str">
            <v>Expoミク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blue</v>
          </cell>
          <cell r="I1607">
            <v>5</v>
          </cell>
          <cell r="J1607" t="str">
            <v>PremiumSS</v>
          </cell>
          <cell r="K1607" t="str">
            <v>heal</v>
          </cell>
          <cell r="L1607" t="str">
            <v>回復タイプ</v>
          </cell>
          <cell r="M1607" t="str">
            <v>human</v>
          </cell>
        </row>
        <row r="1608">
          <cell r="A1608">
            <v>8036</v>
          </cell>
          <cell r="B1608" t="str">
            <v>ja</v>
          </cell>
          <cell r="C1608" t="str">
            <v>レア６飛衛</v>
          </cell>
          <cell r="D1608" t="str">
            <v>Expoミク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blue</v>
          </cell>
          <cell r="I1608">
            <v>6</v>
          </cell>
          <cell r="J1608" t="str">
            <v>PremiumSS</v>
          </cell>
          <cell r="K1608" t="str">
            <v>heal</v>
          </cell>
          <cell r="L1608" t="str">
            <v>回復タイプ</v>
          </cell>
          <cell r="M1608" t="str">
            <v>human</v>
          </cell>
        </row>
        <row r="1609">
          <cell r="A1609">
            <v>8037</v>
          </cell>
          <cell r="B1609" t="str">
            <v>ja</v>
          </cell>
          <cell r="C1609" t="str">
            <v>紀昌</v>
          </cell>
          <cell r="D1609" t="str">
            <v>Expoミク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8038</v>
          </cell>
          <cell r="B1610" t="str">
            <v>ja</v>
          </cell>
          <cell r="C1610" t="str">
            <v>レア６紀昌</v>
          </cell>
          <cell r="D1610" t="str">
            <v>Expoミク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DropWizS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8039</v>
          </cell>
          <cell r="B1611" t="str">
            <v>ja</v>
          </cell>
          <cell r="C1611" t="str">
            <v>何仙姑</v>
          </cell>
          <cell r="D1611" t="str">
            <v>Expoミク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yellow</v>
          </cell>
          <cell r="I1611">
            <v>5</v>
          </cell>
          <cell r="J1611" t="str">
            <v>PremiumSSw</v>
          </cell>
          <cell r="K1611" t="str">
            <v>hp</v>
          </cell>
          <cell r="L1611" t="str">
            <v>体力タイプ</v>
          </cell>
          <cell r="M1611" t="str">
            <v>god</v>
          </cell>
        </row>
        <row r="1612">
          <cell r="A1612">
            <v>8040</v>
          </cell>
          <cell r="B1612" t="str">
            <v>ja</v>
          </cell>
          <cell r="C1612" t="str">
            <v>レア６何仙姑</v>
          </cell>
          <cell r="D1612" t="str">
            <v>Expoミク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6</v>
          </cell>
          <cell r="J1612" t="str">
            <v>PremiumSSw</v>
          </cell>
          <cell r="K1612" t="str">
            <v>hp</v>
          </cell>
          <cell r="L1612" t="str">
            <v>体力タイプ</v>
          </cell>
          <cell r="M1612" t="str">
            <v>god</v>
          </cell>
        </row>
        <row r="1613">
          <cell r="A1613">
            <v>8041</v>
          </cell>
          <cell r="B1613" t="str">
            <v>ja</v>
          </cell>
          <cell r="C1613" t="str">
            <v>藍采和</v>
          </cell>
          <cell r="D1613" t="str">
            <v>Expoミク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</row>
        <row r="1614">
          <cell r="A1614">
            <v>8042</v>
          </cell>
          <cell r="B1614" t="str">
            <v>ja</v>
          </cell>
          <cell r="C1614" t="str">
            <v>レア６藍采和</v>
          </cell>
          <cell r="D1614" t="str">
            <v>Expoミク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god</v>
          </cell>
        </row>
        <row r="1615">
          <cell r="A1615">
            <v>8043</v>
          </cell>
          <cell r="B1615" t="str">
            <v>ja</v>
          </cell>
          <cell r="C1615" t="str">
            <v>サンリオキャラ大集合+アザゼル</v>
          </cell>
          <cell r="D1615" t="str">
            <v>サンリオキャラ大集合+アザゼル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ss</v>
          </cell>
        </row>
        <row r="1616">
          <cell r="A1616">
            <v>8044</v>
          </cell>
          <cell r="B1616" t="str">
            <v>ja</v>
          </cell>
          <cell r="C1616" t="str">
            <v>サンリオキャラ大集合+アザゼル</v>
          </cell>
          <cell r="D1616" t="str">
            <v>サンリオキャラ大集合+アザゼル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ss</v>
          </cell>
        </row>
        <row r="1617">
          <cell r="A1617">
            <v>8045</v>
          </cell>
          <cell r="B1617" t="str">
            <v>ja</v>
          </cell>
          <cell r="C1617" t="str">
            <v>ニムダ_サンリオキャラ混じり</v>
          </cell>
          <cell r="D1617" t="str">
            <v>ニムダ_サンリオキャラ混じり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Drop2N</v>
          </cell>
          <cell r="K1617" t="str">
            <v>technical</v>
          </cell>
          <cell r="L1617" t="str">
            <v>テクニカルタイプ</v>
          </cell>
          <cell r="M1617" t="str">
            <v>ss</v>
          </cell>
        </row>
        <row r="1618">
          <cell r="A1618">
            <v>8046</v>
          </cell>
          <cell r="B1618" t="str">
            <v>ja</v>
          </cell>
          <cell r="C1618" t="str">
            <v>ニムダ_サンリオキャラ混じり</v>
          </cell>
          <cell r="D1618" t="str">
            <v>ニムダ_サンリオキャラ混じり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Drop2N</v>
          </cell>
          <cell r="K1618" t="str">
            <v>technical</v>
          </cell>
          <cell r="L1618" t="str">
            <v>テクニカルタイプ</v>
          </cell>
          <cell r="M1618" t="str">
            <v>ss</v>
          </cell>
        </row>
        <row r="1619">
          <cell r="A1619">
            <v>8047</v>
          </cell>
          <cell r="B1619" t="str">
            <v>ja</v>
          </cell>
          <cell r="C1619" t="str">
            <v>ハローキティ</v>
          </cell>
          <cell r="D1619" t="str">
            <v>ハローキティ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4</v>
          </cell>
          <cell r="J1619" t="str">
            <v>Drop2N</v>
          </cell>
          <cell r="K1619" t="str">
            <v>balance</v>
          </cell>
          <cell r="L1619" t="str">
            <v>バランスタイプ</v>
          </cell>
          <cell r="M1619" t="str">
            <v>ss</v>
          </cell>
        </row>
        <row r="1620">
          <cell r="A1620">
            <v>8048</v>
          </cell>
          <cell r="B1620" t="str">
            <v>ja</v>
          </cell>
          <cell r="C1620" t="str">
            <v>ハローキティ</v>
          </cell>
          <cell r="D1620" t="str">
            <v>ハローキティ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5</v>
          </cell>
          <cell r="J1620" t="str">
            <v>Drop2N</v>
          </cell>
          <cell r="K1620" t="str">
            <v>balance</v>
          </cell>
          <cell r="L1620" t="str">
            <v>バランスタイプ</v>
          </cell>
          <cell r="M1620" t="str">
            <v>ss</v>
          </cell>
        </row>
        <row r="1621">
          <cell r="A1621">
            <v>8049</v>
          </cell>
          <cell r="B1621" t="str">
            <v>ja</v>
          </cell>
          <cell r="C1621" t="str">
            <v>KIRIMIちゃん</v>
          </cell>
          <cell r="D1621" t="str">
            <v>KIRIMIちゃん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red</v>
          </cell>
          <cell r="I1621">
            <v>4</v>
          </cell>
          <cell r="J1621" t="str">
            <v>Drop2N</v>
          </cell>
          <cell r="K1621" t="str">
            <v>hp</v>
          </cell>
          <cell r="L1621" t="str">
            <v>体力タイプ</v>
          </cell>
          <cell r="M1621" t="str">
            <v>ss</v>
          </cell>
        </row>
        <row r="1622">
          <cell r="A1622">
            <v>8050</v>
          </cell>
          <cell r="B1622" t="str">
            <v>ja</v>
          </cell>
          <cell r="C1622" t="str">
            <v>KIRIMIちゃん</v>
          </cell>
          <cell r="D1622" t="str">
            <v>KIRIMIちゃん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Drop2N</v>
          </cell>
          <cell r="K1622" t="str">
            <v>hp</v>
          </cell>
          <cell r="L1622" t="str">
            <v>体力タイプ</v>
          </cell>
          <cell r="M1622" t="str">
            <v>ss</v>
          </cell>
        </row>
        <row r="1623">
          <cell r="A1623">
            <v>8051</v>
          </cell>
          <cell r="B1623" t="str">
            <v>ja</v>
          </cell>
          <cell r="C1623" t="str">
            <v>ハローキティのリボン</v>
          </cell>
          <cell r="D1623" t="str">
            <v>ハローキティのリボン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5</v>
          </cell>
          <cell r="J1623" t="str">
            <v>Drop2N</v>
          </cell>
          <cell r="K1623" t="str">
            <v>evolution</v>
          </cell>
          <cell r="L1623" t="str">
            <v>覚醒素材タイプ</v>
          </cell>
          <cell r="M1623" t="str">
            <v>ss</v>
          </cell>
        </row>
        <row r="1624">
          <cell r="A1624">
            <v>8052</v>
          </cell>
          <cell r="B1624" t="str">
            <v>ja</v>
          </cell>
          <cell r="C1624" t="str">
            <v>ママの作ったアップルパイ</v>
          </cell>
          <cell r="D1624" t="str">
            <v>ママの作ったアップルパイ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4</v>
          </cell>
          <cell r="J1624" t="str">
            <v>Drop2N</v>
          </cell>
          <cell r="K1624" t="str">
            <v>evolution</v>
          </cell>
          <cell r="L1624" t="str">
            <v>覚醒素材タイプ</v>
          </cell>
          <cell r="M1624" t="str">
            <v>ss</v>
          </cell>
        </row>
        <row r="1625">
          <cell r="A1625">
            <v>8053</v>
          </cell>
          <cell r="B1625" t="str">
            <v>ja</v>
          </cell>
          <cell r="C1625" t="str">
            <v>D.R.T.H__キティコスプレ</v>
          </cell>
          <cell r="D1625" t="str">
            <v>D.R.T.H__キティコスプレ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</v>
          </cell>
          <cell r="K1625" t="str">
            <v>balance</v>
          </cell>
          <cell r="L1625" t="str">
            <v>バランスタイプ</v>
          </cell>
          <cell r="M1625" t="str">
            <v>ss</v>
          </cell>
        </row>
        <row r="1626">
          <cell r="A1626">
            <v>8054</v>
          </cell>
          <cell r="B1626" t="str">
            <v>ja</v>
          </cell>
          <cell r="C1626" t="str">
            <v>D.R.T.H__キティコスプレ</v>
          </cell>
          <cell r="D1626" t="str">
            <v>D.R.T.H__キティコスプレ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</v>
          </cell>
          <cell r="K1626" t="str">
            <v>balance</v>
          </cell>
          <cell r="L1626" t="str">
            <v>バランスタイプ</v>
          </cell>
          <cell r="M1626" t="str">
            <v>ss</v>
          </cell>
        </row>
        <row r="1627">
          <cell r="A1627">
            <v>8055</v>
          </cell>
          <cell r="B1627" t="str">
            <v>ja</v>
          </cell>
          <cell r="C1627" t="str">
            <v>マイメロディ</v>
          </cell>
          <cell r="D1627" t="str">
            <v>マイメロディ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attack</v>
          </cell>
          <cell r="L1627" t="str">
            <v>攻撃タイプ</v>
          </cell>
          <cell r="M1627" t="str">
            <v>ss</v>
          </cell>
        </row>
        <row r="1628">
          <cell r="A1628">
            <v>8056</v>
          </cell>
          <cell r="B1628" t="str">
            <v>ja</v>
          </cell>
          <cell r="C1628" t="str">
            <v>マイメロディ</v>
          </cell>
          <cell r="D1628" t="str">
            <v>マイメロディ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PremiumS</v>
          </cell>
          <cell r="K1628" t="str">
            <v>attack</v>
          </cell>
          <cell r="L1628" t="str">
            <v>攻撃タイプ</v>
          </cell>
          <cell r="M1628" t="str">
            <v>ss</v>
          </cell>
        </row>
        <row r="1629">
          <cell r="A1629">
            <v>8057</v>
          </cell>
          <cell r="B1629" t="str">
            <v>ja</v>
          </cell>
          <cell r="C1629" t="str">
            <v>ニーベルゲン_シナモロールコスプレ</v>
          </cell>
          <cell r="D1629" t="str">
            <v>ニーベルゲン_シナモロールコスプレ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4</v>
          </cell>
          <cell r="J1629" t="str">
            <v>PremiumS</v>
          </cell>
          <cell r="K1629" t="str">
            <v>balance</v>
          </cell>
          <cell r="L1629" t="str">
            <v>バランスタイプ</v>
          </cell>
          <cell r="M1629" t="str">
            <v>ss</v>
          </cell>
        </row>
        <row r="1630">
          <cell r="A1630">
            <v>8058</v>
          </cell>
          <cell r="B1630" t="str">
            <v>ja</v>
          </cell>
          <cell r="C1630" t="str">
            <v>ニーベルゲン_シナモロールコスプレ</v>
          </cell>
          <cell r="D1630" t="str">
            <v>ニーベルゲン_シナモロールコスプレ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5</v>
          </cell>
          <cell r="J1630" t="str">
            <v>PremiumS</v>
          </cell>
          <cell r="K1630" t="str">
            <v>balance</v>
          </cell>
          <cell r="L1630" t="str">
            <v>バランスタイプ</v>
          </cell>
          <cell r="M1630" t="str">
            <v>ss</v>
          </cell>
        </row>
        <row r="1631">
          <cell r="A1631">
            <v>8059</v>
          </cell>
          <cell r="B1631" t="str">
            <v>ja</v>
          </cell>
          <cell r="C1631" t="str">
            <v>カカシ_マイメロディコスプレ</v>
          </cell>
          <cell r="D1631" t="str">
            <v>カカシ_マイメロディコスプレ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4</v>
          </cell>
          <cell r="J1631" t="str">
            <v>PremiumS</v>
          </cell>
          <cell r="K1631" t="str">
            <v>technical</v>
          </cell>
          <cell r="L1631" t="str">
            <v>テクニカルタイプ</v>
          </cell>
          <cell r="M1631" t="str">
            <v>ss</v>
          </cell>
        </row>
        <row r="1632">
          <cell r="A1632">
            <v>8060</v>
          </cell>
          <cell r="B1632" t="str">
            <v>ja</v>
          </cell>
          <cell r="C1632" t="str">
            <v>カカシ_マイメロディコスプレ</v>
          </cell>
          <cell r="D1632" t="str">
            <v>カカシ_マイメロディコスプレ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green</v>
          </cell>
          <cell r="I1632">
            <v>5</v>
          </cell>
          <cell r="J1632" t="str">
            <v>PremiumS</v>
          </cell>
          <cell r="K1632" t="str">
            <v>technical</v>
          </cell>
          <cell r="L1632" t="str">
            <v>テクニカルタイプ</v>
          </cell>
          <cell r="M1632" t="str">
            <v>ss</v>
          </cell>
        </row>
        <row r="1633">
          <cell r="A1633">
            <v>8061</v>
          </cell>
          <cell r="B1633" t="str">
            <v>ja</v>
          </cell>
          <cell r="C1633" t="str">
            <v>ケロケロけろっぴ</v>
          </cell>
          <cell r="D1633" t="str">
            <v>ケロケロけろっぴ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green</v>
          </cell>
          <cell r="I1633">
            <v>3</v>
          </cell>
          <cell r="J1633" t="str">
            <v>PremiumS</v>
          </cell>
          <cell r="K1633" t="str">
            <v>balance</v>
          </cell>
          <cell r="L1633" t="str">
            <v>バランスタイプ</v>
          </cell>
          <cell r="M1633" t="str">
            <v>ss</v>
          </cell>
        </row>
        <row r="1634">
          <cell r="A1634">
            <v>8062</v>
          </cell>
          <cell r="B1634" t="str">
            <v>ja</v>
          </cell>
          <cell r="C1634" t="str">
            <v>ケロケロけろっぴ</v>
          </cell>
          <cell r="D1634" t="str">
            <v>ケロケロけろっぴ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4</v>
          </cell>
          <cell r="J1634" t="str">
            <v>PremiumS</v>
          </cell>
          <cell r="K1634" t="str">
            <v>balance</v>
          </cell>
          <cell r="L1634" t="str">
            <v>バランスタイプ</v>
          </cell>
          <cell r="M1634" t="str">
            <v>ss</v>
          </cell>
        </row>
        <row r="1635">
          <cell r="A1635">
            <v>8063</v>
          </cell>
          <cell r="B1635" t="str">
            <v>ja</v>
          </cell>
          <cell r="C1635" t="str">
            <v>モルドレッド_ポムポムプリンコスプレ</v>
          </cell>
          <cell r="D1635" t="str">
            <v>モルドレッド_ポムポムプリンコスプレ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blue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ss</v>
          </cell>
        </row>
        <row r="1636">
          <cell r="A1636">
            <v>8064</v>
          </cell>
          <cell r="B1636" t="str">
            <v>ja</v>
          </cell>
          <cell r="C1636" t="str">
            <v>モルドレッド_ポムポムプリンコスプレ</v>
          </cell>
          <cell r="D1636" t="str">
            <v>モルドレッド_ポムポムプリンコスプレ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6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ss</v>
          </cell>
        </row>
        <row r="1637">
          <cell r="A1637">
            <v>8065</v>
          </cell>
          <cell r="B1637" t="str">
            <v>ja</v>
          </cell>
          <cell r="C1637" t="str">
            <v>クロミ</v>
          </cell>
          <cell r="D1637" t="str">
            <v>クロミ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3</v>
          </cell>
          <cell r="J1637" t="str">
            <v>PremiumS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8066</v>
          </cell>
          <cell r="B1638" t="str">
            <v>ja</v>
          </cell>
          <cell r="C1638" t="str">
            <v>クロミ</v>
          </cell>
          <cell r="D1638" t="str">
            <v>クロミ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4</v>
          </cell>
          <cell r="J1638" t="str">
            <v>PremiumS</v>
          </cell>
          <cell r="K1638" t="str">
            <v>technical</v>
          </cell>
          <cell r="L1638" t="str">
            <v>テクニカルタイプ</v>
          </cell>
          <cell r="M1638" t="str">
            <v>ss</v>
          </cell>
        </row>
        <row r="1639">
          <cell r="A1639">
            <v>8067</v>
          </cell>
          <cell r="B1639" t="str">
            <v>ja</v>
          </cell>
          <cell r="C1639" t="str">
            <v>バッドばつ丸</v>
          </cell>
          <cell r="D1639" t="str">
            <v>バッドばつ丸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blue</v>
          </cell>
          <cell r="I1639">
            <v>3</v>
          </cell>
          <cell r="J1639" t="str">
            <v>PremiumS</v>
          </cell>
          <cell r="K1639" t="str">
            <v>attack</v>
          </cell>
          <cell r="L1639" t="str">
            <v>攻撃タイプ</v>
          </cell>
          <cell r="M1639" t="str">
            <v>ss</v>
          </cell>
        </row>
        <row r="1640">
          <cell r="A1640">
            <v>8068</v>
          </cell>
          <cell r="B1640" t="str">
            <v>ja</v>
          </cell>
          <cell r="C1640" t="str">
            <v>バッドばつ丸</v>
          </cell>
          <cell r="D1640" t="str">
            <v>バッドばつ丸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attack</v>
          </cell>
          <cell r="L1640" t="str">
            <v>攻撃タイプ</v>
          </cell>
          <cell r="M1640" t="str">
            <v>ss</v>
          </cell>
        </row>
        <row r="1641">
          <cell r="A1641">
            <v>8069</v>
          </cell>
          <cell r="B1641" t="str">
            <v>ja</v>
          </cell>
          <cell r="C1641" t="str">
            <v>シナモロール</v>
          </cell>
          <cell r="D1641" t="str">
            <v>シナモロール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PremiumS</v>
          </cell>
          <cell r="K1641" t="str">
            <v>heal</v>
          </cell>
          <cell r="L1641" t="str">
            <v>回復タイプ</v>
          </cell>
          <cell r="M1641" t="str">
            <v>ss</v>
          </cell>
        </row>
        <row r="1642">
          <cell r="A1642">
            <v>8070</v>
          </cell>
          <cell r="B1642" t="str">
            <v>ja</v>
          </cell>
          <cell r="C1642" t="str">
            <v>シナモロール</v>
          </cell>
          <cell r="D1642" t="str">
            <v>シナモロール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PremiumS</v>
          </cell>
          <cell r="K1642" t="str">
            <v>heal</v>
          </cell>
          <cell r="L1642" t="str">
            <v>回復タイプ</v>
          </cell>
          <cell r="M1642" t="str">
            <v>ss</v>
          </cell>
        </row>
        <row r="1643">
          <cell r="A1643">
            <v>8071</v>
          </cell>
          <cell r="B1643" t="str">
            <v>ja</v>
          </cell>
          <cell r="C1643" t="str">
            <v>ポムポムプリン</v>
          </cell>
          <cell r="D1643" t="str">
            <v>ポムポムプリン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yellow</v>
          </cell>
          <cell r="I1643">
            <v>3</v>
          </cell>
          <cell r="J1643" t="str">
            <v>PremiumS</v>
          </cell>
          <cell r="K1643" t="str">
            <v>hp</v>
          </cell>
          <cell r="L1643" t="str">
            <v>体力タイプ</v>
          </cell>
          <cell r="M1643" t="str">
            <v>ss</v>
          </cell>
        </row>
        <row r="1644">
          <cell r="A1644">
            <v>8072</v>
          </cell>
          <cell r="B1644" t="str">
            <v>ja</v>
          </cell>
          <cell r="C1644" t="str">
            <v>ポムポムプリン</v>
          </cell>
          <cell r="D1644" t="str">
            <v>ポムポムプリン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yellow</v>
          </cell>
          <cell r="I1644">
            <v>4</v>
          </cell>
          <cell r="J1644" t="str">
            <v>PremiumS</v>
          </cell>
          <cell r="K1644" t="str">
            <v>hp</v>
          </cell>
          <cell r="L1644" t="str">
            <v>体力タイプ</v>
          </cell>
          <cell r="M1644" t="str">
            <v>ss</v>
          </cell>
        </row>
        <row r="1645">
          <cell r="A1645">
            <v>8073</v>
          </cell>
          <cell r="B1645" t="str">
            <v>ja</v>
          </cell>
          <cell r="C1645" t="str">
            <v>星海祈る天光妃 媽祖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yellow</v>
          </cell>
          <cell r="I1645">
            <v>6</v>
          </cell>
          <cell r="J1645" t="str">
            <v>PremiumSS</v>
          </cell>
          <cell r="K1645" t="str">
            <v>attack</v>
          </cell>
          <cell r="L1645" t="str">
            <v>攻撃タイプ</v>
          </cell>
          <cell r="M1645" t="str">
            <v>human</v>
          </cell>
        </row>
        <row r="1646">
          <cell r="A1646">
            <v>8074</v>
          </cell>
          <cell r="B1646" t="str">
            <v>ja</v>
          </cell>
          <cell r="C1646" t="str">
            <v>海戀の絶龍姫 蛟龍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blue</v>
          </cell>
          <cell r="I1646">
            <v>6</v>
          </cell>
          <cell r="J1646" t="str">
            <v>DropWizS</v>
          </cell>
          <cell r="K1646" t="str">
            <v>hp</v>
          </cell>
          <cell r="L1646" t="str">
            <v>体力タイプ</v>
          </cell>
          <cell r="M1646" t="str">
            <v>dragon</v>
          </cell>
        </row>
        <row r="1647">
          <cell r="A1647">
            <v>8075</v>
          </cell>
          <cell r="B1647" t="str">
            <v>ja</v>
          </cell>
          <cell r="C1647" t="str">
            <v>三蔵法師_超覚醒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blue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god</v>
          </cell>
        </row>
        <row r="1648">
          <cell r="A1648">
            <v>8076</v>
          </cell>
          <cell r="B1648" t="str">
            <v>ja</v>
          </cell>
          <cell r="C1648" t="str">
            <v>孫悟空_超覚醒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unknown</v>
          </cell>
        </row>
        <row r="1649">
          <cell r="A1649">
            <v>8077</v>
          </cell>
          <cell r="B1649" t="str">
            <v>ja</v>
          </cell>
          <cell r="C1649" t="str">
            <v>鄭成功</v>
          </cell>
          <cell r="D1649" t="str">
            <v>ポムポムプリン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human</v>
          </cell>
        </row>
        <row r="1650">
          <cell r="A1650">
            <v>8078</v>
          </cell>
          <cell r="B1650" t="str">
            <v>ja</v>
          </cell>
          <cell r="C1650" t="str">
            <v>レア６鄭成功</v>
          </cell>
          <cell r="D1650" t="str">
            <v>ポムポムプリン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8079</v>
          </cell>
          <cell r="B1651" t="str">
            <v>ja</v>
          </cell>
          <cell r="C1651" t="str">
            <v>赤鬼</v>
          </cell>
          <cell r="D1651" t="str">
            <v>ポムポムプリン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DropWizS</v>
          </cell>
          <cell r="K1651" t="str">
            <v>hp</v>
          </cell>
          <cell r="L1651" t="str">
            <v>体力タイプ</v>
          </cell>
          <cell r="M1651" t="str">
            <v>dragon</v>
          </cell>
        </row>
        <row r="1652">
          <cell r="A1652">
            <v>8080</v>
          </cell>
          <cell r="B1652" t="str">
            <v>ja</v>
          </cell>
          <cell r="C1652" t="str">
            <v>レア６赤鬼</v>
          </cell>
          <cell r="D1652" t="str">
            <v>ポムポムプリン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6</v>
          </cell>
          <cell r="J1652" t="str">
            <v>DropWizS</v>
          </cell>
          <cell r="K1652" t="str">
            <v>hp</v>
          </cell>
          <cell r="L1652" t="str">
            <v>体力タイプ</v>
          </cell>
          <cell r="M1652" t="str">
            <v>dragon</v>
          </cell>
        </row>
        <row r="1653">
          <cell r="A1653">
            <v>8081</v>
          </cell>
          <cell r="B1653" t="str">
            <v>ja</v>
          </cell>
          <cell r="C1653" t="str">
            <v>関羽</v>
          </cell>
          <cell r="H1653" t="str">
            <v>green</v>
          </cell>
          <cell r="I1653">
            <v>5</v>
          </cell>
          <cell r="J1653" t="str">
            <v>PremiumSSS</v>
          </cell>
          <cell r="K1653" t="str">
            <v>balance</v>
          </cell>
          <cell r="L1653" t="str">
            <v>バランスタイプ</v>
          </cell>
          <cell r="M1653" t="str">
            <v>samurai</v>
          </cell>
        </row>
        <row r="1654">
          <cell r="A1654">
            <v>8082</v>
          </cell>
          <cell r="B1654" t="str">
            <v>ja</v>
          </cell>
          <cell r="C1654" t="str">
            <v>★６関羽</v>
          </cell>
          <cell r="H1654" t="str">
            <v>green</v>
          </cell>
          <cell r="I1654">
            <v>6</v>
          </cell>
          <cell r="J1654" t="str">
            <v>PremiumSSS</v>
          </cell>
          <cell r="K1654" t="str">
            <v>balance</v>
          </cell>
          <cell r="L1654" t="str">
            <v>バランスタイプ</v>
          </cell>
          <cell r="M1654" t="str">
            <v>samurai</v>
          </cell>
        </row>
        <row r="1655">
          <cell r="A1655">
            <v>8083</v>
          </cell>
          <cell r="B1655" t="str">
            <v>ja</v>
          </cell>
          <cell r="C1655" t="str">
            <v>曹操</v>
          </cell>
          <cell r="H1655" t="str">
            <v>yellow</v>
          </cell>
          <cell r="I1655">
            <v>5</v>
          </cell>
          <cell r="J1655" t="str">
            <v>DropWizSS</v>
          </cell>
          <cell r="K1655" t="str">
            <v>technical</v>
          </cell>
          <cell r="L1655" t="str">
            <v>テクニカルタイプ</v>
          </cell>
          <cell r="M1655" t="str">
            <v>samurai</v>
          </cell>
        </row>
        <row r="1656">
          <cell r="A1656">
            <v>8084</v>
          </cell>
          <cell r="B1656" t="str">
            <v>ja</v>
          </cell>
          <cell r="C1656" t="str">
            <v>★６曹操</v>
          </cell>
          <cell r="H1656" t="str">
            <v>yellow</v>
          </cell>
          <cell r="I1656">
            <v>6</v>
          </cell>
          <cell r="J1656" t="str">
            <v>DropWizSS</v>
          </cell>
          <cell r="K1656" t="str">
            <v>technical</v>
          </cell>
          <cell r="L1656" t="str">
            <v>テクニカルタイプ</v>
          </cell>
          <cell r="M1656" t="str">
            <v>samurai</v>
          </cell>
        </row>
        <row r="1657">
          <cell r="A1657">
            <v>8085</v>
          </cell>
          <cell r="B1657" t="str">
            <v>ja</v>
          </cell>
          <cell r="C1657" t="str">
            <v>西王娘娘_超覚醒</v>
          </cell>
          <cell r="H1657" t="str">
            <v>yellow</v>
          </cell>
          <cell r="I1657">
            <v>6</v>
          </cell>
          <cell r="J1657" t="str">
            <v>PremiumSS</v>
          </cell>
          <cell r="K1657" t="str">
            <v>attack</v>
          </cell>
          <cell r="L1657" t="str">
            <v>攻撃タイプ</v>
          </cell>
          <cell r="M1657" t="str">
            <v>god</v>
          </cell>
        </row>
        <row r="1658">
          <cell r="A1658">
            <v>8086</v>
          </cell>
          <cell r="B1658" t="str">
            <v>ja</v>
          </cell>
          <cell r="C1658" t="str">
            <v>月下老人_超覚醒</v>
          </cell>
          <cell r="H1658" t="str">
            <v>yellow</v>
          </cell>
          <cell r="I1658">
            <v>6</v>
          </cell>
          <cell r="J1658" t="str">
            <v>DropWizS</v>
          </cell>
          <cell r="K1658" t="str">
            <v>attack</v>
          </cell>
          <cell r="L1658" t="str">
            <v>攻撃タイプ</v>
          </cell>
          <cell r="M1658" t="str">
            <v>god</v>
          </cell>
        </row>
        <row r="1659">
          <cell r="A1659">
            <v>8087</v>
          </cell>
          <cell r="B1659" t="str">
            <v>ja</v>
          </cell>
          <cell r="C1659" t="str">
            <v>財神</v>
          </cell>
          <cell r="H1659" t="str">
            <v>red</v>
          </cell>
          <cell r="I1659">
            <v>5</v>
          </cell>
          <cell r="J1659" t="str">
            <v>PremiumSSS</v>
          </cell>
          <cell r="K1659" t="str">
            <v>technical</v>
          </cell>
          <cell r="L1659" t="str">
            <v>テクニカルタイプ</v>
          </cell>
          <cell r="M1659" t="str">
            <v>god</v>
          </cell>
        </row>
        <row r="1660">
          <cell r="A1660">
            <v>8088</v>
          </cell>
          <cell r="B1660" t="str">
            <v>ja</v>
          </cell>
          <cell r="C1660" t="str">
            <v>★６財神</v>
          </cell>
          <cell r="H1660" t="str">
            <v>red</v>
          </cell>
          <cell r="I1660">
            <v>6</v>
          </cell>
          <cell r="J1660" t="str">
            <v>PremiumSSS</v>
          </cell>
          <cell r="K1660" t="str">
            <v>technical</v>
          </cell>
          <cell r="L1660" t="str">
            <v>テクニカルタイプ</v>
          </cell>
          <cell r="M1660" t="str">
            <v>god</v>
          </cell>
        </row>
        <row r="1661">
          <cell r="A1661">
            <v>8089</v>
          </cell>
          <cell r="B1661" t="str">
            <v>ja</v>
          </cell>
          <cell r="C1661" t="str">
            <v>年獣</v>
          </cell>
          <cell r="H1661" t="str">
            <v>green</v>
          </cell>
          <cell r="I1661">
            <v>5</v>
          </cell>
          <cell r="J1661" t="str">
            <v>DropWizS</v>
          </cell>
          <cell r="K1661" t="str">
            <v>attack</v>
          </cell>
          <cell r="L1661" t="str">
            <v>攻撃タイプ</v>
          </cell>
          <cell r="M1661" t="str">
            <v>animal</v>
          </cell>
        </row>
        <row r="1662">
          <cell r="A1662">
            <v>8090</v>
          </cell>
          <cell r="B1662" t="str">
            <v>ja</v>
          </cell>
          <cell r="C1662" t="str">
            <v>★６年獣</v>
          </cell>
          <cell r="H1662" t="str">
            <v>green</v>
          </cell>
          <cell r="I1662">
            <v>6</v>
          </cell>
          <cell r="J1662" t="str">
            <v>DropWizS</v>
          </cell>
          <cell r="K1662" t="str">
            <v>attack</v>
          </cell>
          <cell r="L1662" t="str">
            <v>攻撃タイプ</v>
          </cell>
          <cell r="M1662" t="str">
            <v>animal</v>
          </cell>
        </row>
        <row r="1663">
          <cell r="A1663">
            <v>8095</v>
          </cell>
          <cell r="B1663" t="str">
            <v>ja</v>
          </cell>
          <cell r="C1663" t="str">
            <v>バハムートダック赤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6</v>
          </cell>
          <cell r="J1663" t="str">
            <v>Material</v>
          </cell>
          <cell r="K1663" t="str">
            <v>exp</v>
          </cell>
          <cell r="L1663" t="str">
            <v>強化素材タイプ</v>
          </cell>
          <cell r="M1663" t="str">
            <v>unknown</v>
          </cell>
        </row>
        <row r="1664">
          <cell r="A1664">
            <v>8096</v>
          </cell>
          <cell r="B1664" t="str">
            <v>ja</v>
          </cell>
          <cell r="C1664" t="str">
            <v>バハムートダック緑</v>
          </cell>
          <cell r="D1664" t="str">
            <v>ポムポムプリン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6</v>
          </cell>
          <cell r="J1664" t="str">
            <v>Material</v>
          </cell>
          <cell r="K1664" t="str">
            <v>exp</v>
          </cell>
          <cell r="L1664" t="str">
            <v>強化素材タイプ</v>
          </cell>
          <cell r="M1664" t="str">
            <v>unknown</v>
          </cell>
        </row>
        <row r="1665">
          <cell r="A1665">
            <v>8097</v>
          </cell>
          <cell r="B1665" t="str">
            <v>ja</v>
          </cell>
          <cell r="C1665" t="str">
            <v>バハムートダック青</v>
          </cell>
          <cell r="D1665" t="str">
            <v>ポムポムプリン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Material</v>
          </cell>
          <cell r="K1665" t="str">
            <v>exp</v>
          </cell>
          <cell r="L1665" t="str">
            <v>強化素材タイプ</v>
          </cell>
          <cell r="M1665" t="str">
            <v>unknown</v>
          </cell>
        </row>
        <row r="1666">
          <cell r="A1666">
            <v>8098</v>
          </cell>
          <cell r="B1666" t="str">
            <v>ja</v>
          </cell>
          <cell r="C1666" t="str">
            <v>バハムートダック黄</v>
          </cell>
          <cell r="D1666" t="str">
            <v>ポムポムプリン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6</v>
          </cell>
          <cell r="J1666" t="str">
            <v>Material</v>
          </cell>
          <cell r="K1666" t="str">
            <v>exp</v>
          </cell>
          <cell r="L1666" t="str">
            <v>強化素材タイプ</v>
          </cell>
          <cell r="M1666" t="str">
            <v>unknown</v>
          </cell>
        </row>
        <row r="1667">
          <cell r="A1667">
            <v>8099</v>
          </cell>
          <cell r="B1667" t="str">
            <v>ja</v>
          </cell>
          <cell r="C1667" t="str">
            <v>韓湘子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green</v>
          </cell>
          <cell r="I1667">
            <v>5</v>
          </cell>
          <cell r="J1667" t="str">
            <v>PremiumSSw</v>
          </cell>
          <cell r="K1667" t="str">
            <v>balance</v>
          </cell>
          <cell r="L1667" t="str">
            <v>バランスタイプ</v>
          </cell>
          <cell r="M1667" t="str">
            <v>god</v>
          </cell>
        </row>
        <row r="1668">
          <cell r="A1668">
            <v>8100</v>
          </cell>
          <cell r="B1668" t="str">
            <v>ja</v>
          </cell>
          <cell r="C1668" t="str">
            <v>韓湘子★６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green</v>
          </cell>
          <cell r="I1668">
            <v>6</v>
          </cell>
          <cell r="J1668" t="str">
            <v>PremiumSSw</v>
          </cell>
          <cell r="K1668" t="str">
            <v>balance</v>
          </cell>
          <cell r="L1668" t="str">
            <v>バランスタイプ</v>
          </cell>
          <cell r="M1668" t="str">
            <v>god</v>
          </cell>
        </row>
        <row r="1669">
          <cell r="A1669">
            <v>8101</v>
          </cell>
          <cell r="B1669" t="str">
            <v>ja</v>
          </cell>
          <cell r="C1669" t="str">
            <v>張果老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5</v>
          </cell>
          <cell r="J1669" t="str">
            <v>DropWizS</v>
          </cell>
          <cell r="K1669" t="str">
            <v>attack</v>
          </cell>
          <cell r="L1669" t="str">
            <v>攻撃タイプ</v>
          </cell>
          <cell r="M1669" t="str">
            <v>god</v>
          </cell>
        </row>
        <row r="1670">
          <cell r="A1670">
            <v>8102</v>
          </cell>
          <cell r="B1670" t="str">
            <v>ja</v>
          </cell>
          <cell r="C1670" t="str">
            <v>張果老★６</v>
          </cell>
          <cell r="D1670" t="str">
            <v>各属性相性良3・黄・R455</v>
          </cell>
          <cell r="E1670" t="str">
            <v>執行者</v>
          </cell>
          <cell r="F1670" t="str">
            <v>格好いい</v>
          </cell>
          <cell r="G1670" t="str">
            <v>男性</v>
          </cell>
          <cell r="H1670" t="str">
            <v>yellow</v>
          </cell>
          <cell r="I1670">
            <v>6</v>
          </cell>
          <cell r="J1670" t="str">
            <v>DropWizS</v>
          </cell>
          <cell r="K1670" t="str">
            <v>attack</v>
          </cell>
          <cell r="L1670" t="str">
            <v>攻撃タイプ</v>
          </cell>
          <cell r="M1670" t="str">
            <v>god</v>
          </cell>
        </row>
        <row r="1671">
          <cell r="A1671">
            <v>8103</v>
          </cell>
          <cell r="B1671" t="str">
            <v>ja</v>
          </cell>
          <cell r="C1671" t="str">
            <v>李鐵拐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PremiumSSw</v>
          </cell>
          <cell r="K1671" t="str">
            <v>technical</v>
          </cell>
          <cell r="L1671" t="str">
            <v>テクニカルタイプ</v>
          </cell>
          <cell r="M1671" t="str">
            <v>god</v>
          </cell>
        </row>
        <row r="1672">
          <cell r="A1672">
            <v>8104</v>
          </cell>
          <cell r="B1672" t="str">
            <v>ja</v>
          </cell>
          <cell r="C1672" t="str">
            <v>李鐵拐★６</v>
          </cell>
          <cell r="D1672" t="str">
            <v>各属性相性良3・黄・R455</v>
          </cell>
          <cell r="E1672" t="str">
            <v>執行者</v>
          </cell>
          <cell r="F1672" t="str">
            <v>格好いい</v>
          </cell>
          <cell r="G1672" t="str">
            <v>男性</v>
          </cell>
          <cell r="H1672" t="str">
            <v>red</v>
          </cell>
          <cell r="I1672">
            <v>6</v>
          </cell>
          <cell r="J1672" t="str">
            <v>PremiumSSw</v>
          </cell>
          <cell r="K1672" t="str">
            <v>technical</v>
          </cell>
          <cell r="L1672" t="str">
            <v>テクニカルタイプ</v>
          </cell>
          <cell r="M1672" t="str">
            <v>god</v>
          </cell>
        </row>
        <row r="1673">
          <cell r="A1673">
            <v>8105</v>
          </cell>
          <cell r="B1673" t="str">
            <v>ja</v>
          </cell>
          <cell r="C1673" t="str">
            <v>曹國舅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hp</v>
          </cell>
          <cell r="L1673" t="str">
            <v>体力タイプ</v>
          </cell>
          <cell r="M1673" t="str">
            <v>god</v>
          </cell>
        </row>
        <row r="1674">
          <cell r="A1674">
            <v>8106</v>
          </cell>
          <cell r="B1674" t="str">
            <v>ja</v>
          </cell>
          <cell r="C1674" t="str">
            <v>曹國舅★６</v>
          </cell>
          <cell r="D1674" t="str">
            <v>各属性相性良3・黄・R455</v>
          </cell>
          <cell r="E1674" t="str">
            <v>執行者</v>
          </cell>
          <cell r="F1674" t="str">
            <v>格好いい</v>
          </cell>
          <cell r="G1674" t="str">
            <v>男性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hp</v>
          </cell>
          <cell r="L1674" t="str">
            <v>体力タイプ</v>
          </cell>
          <cell r="M1674" t="str">
            <v>god</v>
          </cell>
        </row>
        <row r="1675">
          <cell r="A1675">
            <v>9001</v>
          </cell>
          <cell r="B1675" t="str">
            <v>ja</v>
          </cell>
          <cell r="C1675" t="str">
            <v>春香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PremiumSSw</v>
          </cell>
          <cell r="K1675" t="str">
            <v>attack</v>
          </cell>
          <cell r="L1675" t="str">
            <v>攻撃タイプ</v>
          </cell>
          <cell r="M1675" t="str">
            <v>human</v>
          </cell>
        </row>
        <row r="1676">
          <cell r="A1676">
            <v>9002</v>
          </cell>
          <cell r="B1676" t="str">
            <v>ja</v>
          </cell>
          <cell r="C1676" t="str">
            <v>春香★６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PremiumSSw</v>
          </cell>
          <cell r="K1676" t="str">
            <v>attack</v>
          </cell>
          <cell r="L1676" t="str">
            <v>攻撃タイプ</v>
          </cell>
          <cell r="M1676" t="str">
            <v>human</v>
          </cell>
        </row>
        <row r="1677">
          <cell r="A1677">
            <v>9003</v>
          </cell>
          <cell r="B1677" t="str">
            <v>ja</v>
          </cell>
          <cell r="C1677" t="str">
            <v>夢龍</v>
          </cell>
          <cell r="D1677" t="str">
            <v>ポムポムプリン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green</v>
          </cell>
          <cell r="I1677">
            <v>5</v>
          </cell>
          <cell r="J1677" t="str">
            <v>DropWizS</v>
          </cell>
          <cell r="K1677" t="str">
            <v>heal</v>
          </cell>
          <cell r="L1677" t="str">
            <v>回復タイプ</v>
          </cell>
          <cell r="M1677" t="str">
            <v>dragon</v>
          </cell>
        </row>
        <row r="1678">
          <cell r="A1678">
            <v>9004</v>
          </cell>
          <cell r="B1678" t="str">
            <v>ja</v>
          </cell>
          <cell r="C1678" t="str">
            <v>夢龍★６</v>
          </cell>
          <cell r="D1678" t="str">
            <v>各属性相性良3・黄・R455</v>
          </cell>
          <cell r="E1678" t="str">
            <v>執行者</v>
          </cell>
          <cell r="F1678" t="str">
            <v>格好いい</v>
          </cell>
          <cell r="G1678" t="str">
            <v>男性</v>
          </cell>
          <cell r="H1678" t="str">
            <v>green</v>
          </cell>
          <cell r="I1678">
            <v>6</v>
          </cell>
          <cell r="J1678" t="str">
            <v>DropWizS</v>
          </cell>
          <cell r="K1678" t="str">
            <v>heal</v>
          </cell>
          <cell r="L1678" t="str">
            <v>回復タイプ</v>
          </cell>
          <cell r="M1678" t="str">
            <v>dragon</v>
          </cell>
        </row>
        <row r="1679">
          <cell r="A1679">
            <v>9005</v>
          </cell>
          <cell r="B1679" t="str">
            <v>ja</v>
          </cell>
          <cell r="C1679" t="str">
            <v>降臨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demon</v>
          </cell>
        </row>
        <row r="1680">
          <cell r="A1680">
            <v>9006</v>
          </cell>
          <cell r="B1680" t="str">
            <v>ja</v>
          </cell>
          <cell r="C1680" t="str">
            <v>降臨★６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demon</v>
          </cell>
        </row>
        <row r="1681">
          <cell r="A1681">
            <v>9007</v>
          </cell>
          <cell r="B1681" t="str">
            <v>ja</v>
          </cell>
          <cell r="C1681" t="str">
            <v>田禹治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5</v>
          </cell>
          <cell r="J1681" t="str">
            <v>DropWizS</v>
          </cell>
          <cell r="K1681" t="str">
            <v>technical</v>
          </cell>
          <cell r="L1681" t="str">
            <v>テクニカルタイプ</v>
          </cell>
          <cell r="M1681" t="str">
            <v>hero</v>
          </cell>
        </row>
        <row r="1682">
          <cell r="A1682">
            <v>9008</v>
          </cell>
          <cell r="B1682" t="str">
            <v>ja</v>
          </cell>
          <cell r="C1682" t="str">
            <v>田禹治★６</v>
          </cell>
          <cell r="D1682" t="str">
            <v>各属性相性良3・黄・R455</v>
          </cell>
          <cell r="E1682" t="str">
            <v>執行者</v>
          </cell>
          <cell r="F1682" t="str">
            <v>格好いい</v>
          </cell>
          <cell r="G1682" t="str">
            <v>男性</v>
          </cell>
          <cell r="H1682" t="str">
            <v>red</v>
          </cell>
          <cell r="I1682">
            <v>6</v>
          </cell>
          <cell r="J1682" t="str">
            <v>DropWizS</v>
          </cell>
          <cell r="K1682" t="str">
            <v>technical</v>
          </cell>
          <cell r="L1682" t="str">
            <v>テクニカルタイプ</v>
          </cell>
          <cell r="M1682" t="str">
            <v>hero</v>
          </cell>
        </row>
        <row r="1683">
          <cell r="A1683">
            <v>10001</v>
          </cell>
          <cell r="B1683" t="str">
            <v>ja</v>
          </cell>
          <cell r="C1683" t="str">
            <v>テストユニット01</v>
          </cell>
          <cell r="H1683" t="str">
            <v>yellow</v>
          </cell>
          <cell r="I1683">
            <v>6</v>
          </cell>
          <cell r="J1683" t="str">
            <v>DropWizS</v>
          </cell>
          <cell r="K1683" t="str">
            <v>heal</v>
          </cell>
          <cell r="L1683" t="str">
            <v>回復タイプ</v>
          </cell>
          <cell r="M1683" t="str">
            <v>human</v>
          </cell>
        </row>
        <row r="1684">
          <cell r="A1684">
            <v>10002</v>
          </cell>
          <cell r="B1684" t="str">
            <v>ja</v>
          </cell>
          <cell r="C1684" t="str">
            <v>テストユニット02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technical</v>
          </cell>
          <cell r="L1684" t="str">
            <v>テクニカルタイプ</v>
          </cell>
          <cell r="M1684" t="str">
            <v>animal</v>
          </cell>
        </row>
        <row r="1685">
          <cell r="A1685">
            <v>10003</v>
          </cell>
          <cell r="B1685" t="str">
            <v>ja</v>
          </cell>
          <cell r="C1685" t="str">
            <v>テストユニット03</v>
          </cell>
          <cell r="H1685" t="str">
            <v>red</v>
          </cell>
          <cell r="I1685">
            <v>5</v>
          </cell>
          <cell r="J1685" t="str">
            <v>PremiumSSS</v>
          </cell>
          <cell r="K1685" t="str">
            <v>technical</v>
          </cell>
          <cell r="L1685" t="str">
            <v>テクニカルタイプ</v>
          </cell>
          <cell r="M1685" t="str">
            <v>academia</v>
          </cell>
        </row>
        <row r="1686">
          <cell r="A1686">
            <v>10004</v>
          </cell>
          <cell r="B1686" t="str">
            <v>ja</v>
          </cell>
          <cell r="C1686" t="str">
            <v>テストユニット04</v>
          </cell>
          <cell r="H1686" t="str">
            <v>red</v>
          </cell>
          <cell r="I1686">
            <v>6</v>
          </cell>
          <cell r="J1686" t="str">
            <v>PremiumSSS</v>
          </cell>
          <cell r="K1686" t="str">
            <v>technical</v>
          </cell>
          <cell r="L1686" t="str">
            <v>テクニカルタイプ</v>
          </cell>
          <cell r="M1686" t="str">
            <v>academia</v>
          </cell>
        </row>
        <row r="1687">
          <cell r="A1687">
            <v>10005</v>
          </cell>
          <cell r="B1687" t="str">
            <v>ja</v>
          </cell>
          <cell r="C1687" t="str">
            <v>テストユニット05</v>
          </cell>
          <cell r="H1687" t="str">
            <v>yellow</v>
          </cell>
          <cell r="I1687">
            <v>6</v>
          </cell>
          <cell r="J1687" t="str">
            <v>PremiumSS</v>
          </cell>
          <cell r="K1687" t="str">
            <v>technical</v>
          </cell>
          <cell r="L1687" t="str">
            <v>テクニカルタイプ</v>
          </cell>
          <cell r="M1687" t="str">
            <v>human</v>
          </cell>
        </row>
        <row r="1688">
          <cell r="A1688">
            <v>10006</v>
          </cell>
          <cell r="B1688" t="str">
            <v>ja</v>
          </cell>
          <cell r="C1688" t="str">
            <v>テストユニット06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animal</v>
          </cell>
        </row>
        <row r="1689">
          <cell r="A1689">
            <v>10007</v>
          </cell>
          <cell r="B1689" t="str">
            <v>ja</v>
          </cell>
          <cell r="C1689" t="str">
            <v>テストユニット07</v>
          </cell>
          <cell r="H1689" t="str">
            <v>yellow</v>
          </cell>
          <cell r="I1689">
            <v>5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machine</v>
          </cell>
        </row>
        <row r="1690">
          <cell r="A1690">
            <v>10008</v>
          </cell>
          <cell r="B1690" t="str">
            <v>ja</v>
          </cell>
          <cell r="C1690" t="str">
            <v>テストユニット08</v>
          </cell>
          <cell r="H1690" t="str">
            <v>yellow</v>
          </cell>
          <cell r="I1690">
            <v>6</v>
          </cell>
          <cell r="J1690" t="str">
            <v>PremiumSSS</v>
          </cell>
          <cell r="K1690" t="str">
            <v>technical</v>
          </cell>
          <cell r="L1690" t="str">
            <v>テクニカルタイプ</v>
          </cell>
          <cell r="M1690" t="str">
            <v>machine</v>
          </cell>
        </row>
        <row r="1691">
          <cell r="A1691">
            <v>10009</v>
          </cell>
          <cell r="B1691" t="str">
            <v>ja</v>
          </cell>
          <cell r="C1691" t="str">
            <v>青テスト01</v>
          </cell>
          <cell r="H1691" t="str">
            <v>blue</v>
          </cell>
          <cell r="I1691">
            <v>6</v>
          </cell>
          <cell r="J1691" t="str">
            <v>DropWizS</v>
          </cell>
          <cell r="K1691" t="str">
            <v>heal</v>
          </cell>
          <cell r="L1691" t="str">
            <v>回復タイプ</v>
          </cell>
          <cell r="M1691" t="str">
            <v>human</v>
          </cell>
        </row>
        <row r="1692">
          <cell r="A1692">
            <v>10010</v>
          </cell>
          <cell r="B1692" t="str">
            <v>ja</v>
          </cell>
          <cell r="C1692" t="str">
            <v>赤テスト01</v>
          </cell>
          <cell r="H1692" t="str">
            <v>red</v>
          </cell>
          <cell r="I1692">
            <v>6</v>
          </cell>
          <cell r="J1692" t="str">
            <v>PremiumSSS</v>
          </cell>
          <cell r="K1692" t="str">
            <v>technical</v>
          </cell>
          <cell r="L1692" t="str">
            <v>テクニカルタイプ</v>
          </cell>
          <cell r="M1692" t="str">
            <v>human</v>
          </cell>
        </row>
        <row r="1693">
          <cell r="A1693">
            <v>10011</v>
          </cell>
          <cell r="B1693" t="str">
            <v>ja</v>
          </cell>
          <cell r="C1693" t="str">
            <v>テストユニット11</v>
          </cell>
          <cell r="H1693" t="str">
            <v>yellow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human</v>
          </cell>
        </row>
        <row r="1694">
          <cell r="A1694">
            <v>10012</v>
          </cell>
          <cell r="B1694" t="str">
            <v>ja</v>
          </cell>
          <cell r="C1694" t="str">
            <v>テストユニット12</v>
          </cell>
          <cell r="H1694" t="str">
            <v>yellow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human</v>
          </cell>
        </row>
        <row r="1695">
          <cell r="A1695">
            <v>10013</v>
          </cell>
          <cell r="B1695" t="str">
            <v>ja</v>
          </cell>
          <cell r="C1695" t="str">
            <v>テストユニット13</v>
          </cell>
          <cell r="H1695" t="str">
            <v>yellow</v>
          </cell>
          <cell r="I1695">
            <v>5</v>
          </cell>
          <cell r="J1695" t="str">
            <v>PremiumSSw</v>
          </cell>
          <cell r="K1695" t="str">
            <v>hp</v>
          </cell>
          <cell r="L1695" t="str">
            <v>体力タイプ</v>
          </cell>
          <cell r="M1695" t="str">
            <v>dragon</v>
          </cell>
        </row>
        <row r="1696">
          <cell r="A1696">
            <v>10014</v>
          </cell>
          <cell r="B1696" t="str">
            <v>ja</v>
          </cell>
          <cell r="C1696" t="str">
            <v>テストユニット14</v>
          </cell>
          <cell r="H1696" t="str">
            <v>yellow</v>
          </cell>
          <cell r="I1696">
            <v>6</v>
          </cell>
          <cell r="J1696" t="str">
            <v>PremiumSSw</v>
          </cell>
          <cell r="K1696" t="str">
            <v>hp</v>
          </cell>
          <cell r="L1696" t="str">
            <v>体力タイプ</v>
          </cell>
          <cell r="M1696" t="str">
            <v>dragon</v>
          </cell>
        </row>
        <row r="1697">
          <cell r="A1697">
            <v>10015</v>
          </cell>
          <cell r="B1697" t="str">
            <v>ja</v>
          </cell>
          <cell r="C1697" t="str">
            <v>テストユニット15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human</v>
          </cell>
        </row>
        <row r="1698">
          <cell r="A1698">
            <v>10016</v>
          </cell>
          <cell r="B1698" t="str">
            <v>ja</v>
          </cell>
          <cell r="C1698" t="str">
            <v>テストユニット16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heal</v>
          </cell>
          <cell r="L1698" t="str">
            <v>回復タイプ</v>
          </cell>
          <cell r="M1698" t="str">
            <v>human</v>
          </cell>
        </row>
        <row r="1699">
          <cell r="A1699">
            <v>10017</v>
          </cell>
          <cell r="B1699" t="str">
            <v>ja</v>
          </cell>
          <cell r="C1699" t="str">
            <v>テストユニット17</v>
          </cell>
          <cell r="H1699" t="str">
            <v>red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10018</v>
          </cell>
          <cell r="B1700" t="str">
            <v>ja</v>
          </cell>
          <cell r="C1700" t="str">
            <v>テストユニット18</v>
          </cell>
          <cell r="H1700" t="str">
            <v>blue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10019</v>
          </cell>
          <cell r="B1701" t="str">
            <v>ja</v>
          </cell>
          <cell r="C1701" t="str">
            <v>テストユニット19</v>
          </cell>
          <cell r="H1701" t="str">
            <v>green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10020</v>
          </cell>
          <cell r="B1702" t="str">
            <v>ja</v>
          </cell>
          <cell r="C1702" t="str">
            <v>テストユニット20</v>
          </cell>
          <cell r="H1702" t="str">
            <v>yellow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10021</v>
          </cell>
          <cell r="B1703" t="str">
            <v>ja</v>
          </cell>
          <cell r="C1703" t="str">
            <v>テストユニット21</v>
          </cell>
          <cell r="H1703" t="str">
            <v>blue</v>
          </cell>
          <cell r="I1703">
            <v>5</v>
          </cell>
          <cell r="J1703" t="str">
            <v>PremiumSSw</v>
          </cell>
          <cell r="K1703" t="str">
            <v>hp</v>
          </cell>
          <cell r="L1703" t="str">
            <v>体力タイプ</v>
          </cell>
          <cell r="M1703" t="str">
            <v>demon</v>
          </cell>
        </row>
        <row r="1704">
          <cell r="A1704">
            <v>10022</v>
          </cell>
          <cell r="B1704" t="str">
            <v>ja</v>
          </cell>
          <cell r="C1704" t="str">
            <v>テストユニット22</v>
          </cell>
          <cell r="H1704" t="str">
            <v>blue</v>
          </cell>
          <cell r="I1704">
            <v>6</v>
          </cell>
          <cell r="J1704" t="str">
            <v>PremiumSSw</v>
          </cell>
          <cell r="K1704" t="str">
            <v>hp</v>
          </cell>
          <cell r="L1704" t="str">
            <v>体力タイプ</v>
          </cell>
          <cell r="M1704" t="str">
            <v>demon</v>
          </cell>
        </row>
        <row r="1705">
          <cell r="A1705">
            <v>10023</v>
          </cell>
          <cell r="B1705" t="str">
            <v>ja</v>
          </cell>
          <cell r="C1705" t="str">
            <v>テストユニット23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</row>
        <row r="1706">
          <cell r="A1706">
            <v>10024</v>
          </cell>
          <cell r="B1706" t="str">
            <v>ja</v>
          </cell>
          <cell r="C1706" t="str">
            <v>テストユニット24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</row>
        <row r="1707">
          <cell r="A1707">
            <v>10025</v>
          </cell>
          <cell r="B1707" t="str">
            <v>ja</v>
          </cell>
          <cell r="C1707" t="str">
            <v>テストユニット25</v>
          </cell>
          <cell r="H1707" t="str">
            <v>red</v>
          </cell>
          <cell r="I1707">
            <v>5</v>
          </cell>
          <cell r="J1707" t="str">
            <v>PremiumSSw</v>
          </cell>
          <cell r="K1707" t="str">
            <v>hp</v>
          </cell>
          <cell r="L1707" t="str">
            <v>体力タイプ</v>
          </cell>
          <cell r="M1707" t="str">
            <v>dragon</v>
          </cell>
        </row>
        <row r="1708">
          <cell r="A1708">
            <v>10026</v>
          </cell>
          <cell r="B1708" t="str">
            <v>ja</v>
          </cell>
          <cell r="C1708" t="str">
            <v>テストユニット26</v>
          </cell>
          <cell r="H1708" t="str">
            <v>red</v>
          </cell>
          <cell r="I1708">
            <v>6</v>
          </cell>
          <cell r="J1708" t="str">
            <v>PremiumSSw</v>
          </cell>
          <cell r="K1708" t="str">
            <v>hp</v>
          </cell>
          <cell r="L1708" t="str">
            <v>体力タイプ</v>
          </cell>
          <cell r="M1708" t="str">
            <v>dragon</v>
          </cell>
        </row>
        <row r="1709">
          <cell r="A1709">
            <v>10027</v>
          </cell>
          <cell r="B1709" t="str">
            <v>ja</v>
          </cell>
          <cell r="C1709" t="str">
            <v>テストユニット27</v>
          </cell>
          <cell r="H1709" t="str">
            <v>green</v>
          </cell>
          <cell r="I1709">
            <v>6</v>
          </cell>
          <cell r="J1709" t="str">
            <v>PremiumSS</v>
          </cell>
          <cell r="K1709" t="str">
            <v>balance</v>
          </cell>
          <cell r="L1709" t="str">
            <v>バランスタイプ</v>
          </cell>
          <cell r="M1709" t="str">
            <v>unknown</v>
          </cell>
        </row>
        <row r="1710">
          <cell r="A1710">
            <v>10028</v>
          </cell>
          <cell r="B1710" t="str">
            <v>ja</v>
          </cell>
          <cell r="C1710" t="str">
            <v>テストユニット28</v>
          </cell>
          <cell r="H1710" t="str">
            <v>yellow</v>
          </cell>
          <cell r="I1710">
            <v>6</v>
          </cell>
          <cell r="J1710" t="str">
            <v>PremiumSS</v>
          </cell>
          <cell r="K1710" t="str">
            <v>balance</v>
          </cell>
          <cell r="L1710" t="str">
            <v>バランスタイプ</v>
          </cell>
          <cell r="M1710" t="str">
            <v>unknown</v>
          </cell>
        </row>
        <row r="1711">
          <cell r="A1711">
            <v>10029</v>
          </cell>
          <cell r="B1711" t="str">
            <v>ja</v>
          </cell>
          <cell r="C1711" t="str">
            <v>テストユニット29</v>
          </cell>
          <cell r="H1711" t="str">
            <v>red</v>
          </cell>
          <cell r="I1711">
            <v>6</v>
          </cell>
          <cell r="J1711" t="str">
            <v>PremiumSS</v>
          </cell>
          <cell r="K1711" t="str">
            <v>balance</v>
          </cell>
          <cell r="L1711" t="str">
            <v>バランスタイプ</v>
          </cell>
          <cell r="M1711" t="str">
            <v>unknown</v>
          </cell>
        </row>
        <row r="1712">
          <cell r="A1712">
            <v>10030</v>
          </cell>
          <cell r="B1712" t="str">
            <v>ja</v>
          </cell>
          <cell r="C1712" t="str">
            <v>テストユニット30</v>
          </cell>
          <cell r="H1712" t="str">
            <v>blue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10031</v>
          </cell>
          <cell r="B1713" t="str">
            <v>ja</v>
          </cell>
          <cell r="C1713" t="str">
            <v>テストユニット31</v>
          </cell>
          <cell r="H1713" t="str">
            <v>green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10032</v>
          </cell>
          <cell r="B1714" t="str">
            <v>ja</v>
          </cell>
          <cell r="C1714" t="str">
            <v>テストユニット32</v>
          </cell>
          <cell r="H1714" t="str">
            <v>yellow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10033</v>
          </cell>
          <cell r="B1715" t="str">
            <v>ja</v>
          </cell>
          <cell r="C1715" t="str">
            <v>テストユニット33</v>
          </cell>
          <cell r="H1715" t="str">
            <v>red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10034</v>
          </cell>
          <cell r="B1716" t="str">
            <v>ja</v>
          </cell>
          <cell r="C1716" t="str">
            <v>テストユニット34</v>
          </cell>
          <cell r="H1716" t="str">
            <v>blue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10035</v>
          </cell>
          <cell r="B1717" t="str">
            <v>ja</v>
          </cell>
          <cell r="C1717" t="str">
            <v>テストユニット35</v>
          </cell>
          <cell r="H1717" t="str">
            <v>green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10036</v>
          </cell>
          <cell r="B1718" t="str">
            <v>ja</v>
          </cell>
          <cell r="C1718" t="str">
            <v>テストユニット36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10037</v>
          </cell>
          <cell r="B1719" t="str">
            <v>ja</v>
          </cell>
          <cell r="C1719" t="str">
            <v>テストユニット37</v>
          </cell>
          <cell r="H1719" t="str">
            <v>red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10038</v>
          </cell>
          <cell r="B1720" t="str">
            <v>ja</v>
          </cell>
          <cell r="C1720" t="str">
            <v>テストユニット38</v>
          </cell>
          <cell r="H1720" t="str">
            <v>blue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10039</v>
          </cell>
          <cell r="B1721" t="str">
            <v>ja</v>
          </cell>
          <cell r="C1721" t="str">
            <v>テストユニット39</v>
          </cell>
          <cell r="H1721" t="str">
            <v>green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10040</v>
          </cell>
          <cell r="B1722" t="str">
            <v>ja</v>
          </cell>
          <cell r="C1722" t="str">
            <v>テストユニット40</v>
          </cell>
          <cell r="H1722" t="str">
            <v>yellow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10041</v>
          </cell>
          <cell r="B1723" t="str">
            <v>ja</v>
          </cell>
          <cell r="C1723" t="str">
            <v>テストユニット41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10042</v>
          </cell>
          <cell r="B1724" t="str">
            <v>ja</v>
          </cell>
          <cell r="C1724" t="str">
            <v>テストユニット42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unknown</v>
          </cell>
        </row>
        <row r="1725">
          <cell r="A1725">
            <v>10043</v>
          </cell>
          <cell r="B1725" t="str">
            <v>ja</v>
          </cell>
          <cell r="C1725" t="str">
            <v>テストユニット43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unknown</v>
          </cell>
        </row>
        <row r="1726">
          <cell r="A1726">
            <v>10044</v>
          </cell>
          <cell r="B1726" t="str">
            <v>ja</v>
          </cell>
          <cell r="C1726" t="str">
            <v>テストユニット44</v>
          </cell>
          <cell r="H1726" t="str">
            <v>yellow</v>
          </cell>
          <cell r="I1726">
            <v>6</v>
          </cell>
          <cell r="J1726" t="str">
            <v>PremiumSS</v>
          </cell>
          <cell r="K1726" t="str">
            <v>balance</v>
          </cell>
          <cell r="L1726" t="str">
            <v>バランスタイプ</v>
          </cell>
          <cell r="M1726" t="str">
            <v>unknown</v>
          </cell>
        </row>
        <row r="1727">
          <cell r="A1727">
            <v>10045</v>
          </cell>
          <cell r="B1727" t="str">
            <v>ja</v>
          </cell>
          <cell r="C1727" t="str">
            <v>テストユニット45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balance</v>
          </cell>
          <cell r="L1727" t="str">
            <v>バランスタイプ</v>
          </cell>
          <cell r="M1727" t="str">
            <v>unknown</v>
          </cell>
        </row>
        <row r="1728">
          <cell r="A1728">
            <v>10046</v>
          </cell>
          <cell r="B1728" t="str">
            <v>ja</v>
          </cell>
          <cell r="C1728" t="str">
            <v>テストユニット46</v>
          </cell>
          <cell r="H1728" t="str">
            <v>blue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10047</v>
          </cell>
          <cell r="B1729" t="str">
            <v>ja</v>
          </cell>
          <cell r="C1729" t="str">
            <v>テストユニット47</v>
          </cell>
          <cell r="H1729" t="str">
            <v>green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10048</v>
          </cell>
          <cell r="B1730" t="str">
            <v>ja</v>
          </cell>
          <cell r="C1730" t="str">
            <v>テストユニット48</v>
          </cell>
          <cell r="H1730" t="str">
            <v>yellow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10049</v>
          </cell>
          <cell r="B1731" t="str">
            <v>ja</v>
          </cell>
          <cell r="C1731" t="str">
            <v>テストユニット49</v>
          </cell>
          <cell r="H1731" t="str">
            <v>red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10050</v>
          </cell>
          <cell r="B1732" t="str">
            <v>ja</v>
          </cell>
          <cell r="C1732" t="str">
            <v>テストユニット50</v>
          </cell>
          <cell r="H1732" t="str">
            <v>blue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10051</v>
          </cell>
          <cell r="B1733" t="str">
            <v>ja</v>
          </cell>
          <cell r="C1733" t="str">
            <v>テストユニット51</v>
          </cell>
          <cell r="H1733" t="str">
            <v>green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10052</v>
          </cell>
          <cell r="B1734" t="str">
            <v>ja</v>
          </cell>
          <cell r="C1734" t="str">
            <v>テストユニット52</v>
          </cell>
          <cell r="H1734" t="str">
            <v>yellow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10053</v>
          </cell>
          <cell r="B1735" t="str">
            <v>ja</v>
          </cell>
          <cell r="C1735" t="str">
            <v>テストユニット53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10054</v>
          </cell>
          <cell r="B1736" t="str">
            <v>ja</v>
          </cell>
          <cell r="C1736" t="str">
            <v>テストユニット54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10055</v>
          </cell>
          <cell r="B1737" t="str">
            <v>ja</v>
          </cell>
          <cell r="C1737" t="str">
            <v>テストユニット55</v>
          </cell>
          <cell r="H1737" t="str">
            <v>green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10056</v>
          </cell>
          <cell r="B1738" t="str">
            <v>ja</v>
          </cell>
          <cell r="C1738" t="str">
            <v>テストユニット56</v>
          </cell>
          <cell r="H1738" t="str">
            <v>yellow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10057</v>
          </cell>
          <cell r="B1739" t="str">
            <v>ja</v>
          </cell>
          <cell r="C1739" t="str">
            <v>テストユニット57</v>
          </cell>
          <cell r="H1739" t="str">
            <v>red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10058</v>
          </cell>
          <cell r="B1740" t="str">
            <v>ja</v>
          </cell>
          <cell r="C1740" t="str">
            <v>テストユニット58</v>
          </cell>
          <cell r="H1740" t="str">
            <v>blue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10059</v>
          </cell>
          <cell r="B1741" t="str">
            <v>ja</v>
          </cell>
          <cell r="C1741" t="str">
            <v>テストユニット59</v>
          </cell>
          <cell r="H1741" t="str">
            <v>green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10060</v>
          </cell>
          <cell r="B1742" t="str">
            <v>ja</v>
          </cell>
          <cell r="C1742" t="str">
            <v>テストユニット60</v>
          </cell>
          <cell r="H1742" t="str">
            <v>yellow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10061</v>
          </cell>
          <cell r="B1743" t="str">
            <v>ja</v>
          </cell>
          <cell r="C1743" t="str">
            <v>テストユニット61</v>
          </cell>
          <cell r="H1743" t="str">
            <v>red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10062</v>
          </cell>
          <cell r="B1744" t="str">
            <v>ja</v>
          </cell>
          <cell r="C1744" t="str">
            <v>テストユニット62</v>
          </cell>
          <cell r="H1744" t="str">
            <v>blue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10063</v>
          </cell>
          <cell r="B1745" t="str">
            <v>ja</v>
          </cell>
          <cell r="C1745" t="str">
            <v>テストユニット63</v>
          </cell>
          <cell r="H1745" t="str">
            <v>green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10064</v>
          </cell>
          <cell r="B1746" t="str">
            <v>ja</v>
          </cell>
          <cell r="C1746" t="str">
            <v>テストユニット64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10065</v>
          </cell>
          <cell r="B1747" t="str">
            <v>ja</v>
          </cell>
          <cell r="C1747" t="str">
            <v>テストユニット65</v>
          </cell>
          <cell r="H1747" t="str">
            <v>red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10066</v>
          </cell>
          <cell r="B1748" t="str">
            <v>ja</v>
          </cell>
          <cell r="C1748" t="str">
            <v>テストユニット66</v>
          </cell>
          <cell r="H1748" t="str">
            <v>blue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10067</v>
          </cell>
          <cell r="B1749" t="str">
            <v>ja</v>
          </cell>
          <cell r="C1749" t="str">
            <v>テストユニット67</v>
          </cell>
          <cell r="H1749" t="str">
            <v>green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10068</v>
          </cell>
          <cell r="B1750" t="str">
            <v>ja</v>
          </cell>
          <cell r="C1750" t="str">
            <v>テストユニット68</v>
          </cell>
          <cell r="H1750" t="str">
            <v>yellow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10069</v>
          </cell>
          <cell r="B1751" t="str">
            <v>ja</v>
          </cell>
          <cell r="C1751" t="str">
            <v>テストユニット69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10070</v>
          </cell>
          <cell r="B1752" t="str">
            <v>ja</v>
          </cell>
          <cell r="C1752" t="str">
            <v>テストユニット70</v>
          </cell>
          <cell r="H1752" t="str">
            <v>red</v>
          </cell>
          <cell r="I1752">
            <v>6</v>
          </cell>
          <cell r="J1752" t="str">
            <v>PremiumSSS</v>
          </cell>
          <cell r="K1752" t="str">
            <v>balance</v>
          </cell>
          <cell r="L1752" t="str">
            <v>バランスタイプ</v>
          </cell>
          <cell r="M1752" t="str">
            <v>dragon</v>
          </cell>
        </row>
        <row r="1753">
          <cell r="A1753">
            <v>10071</v>
          </cell>
          <cell r="B1753" t="str">
            <v>ja</v>
          </cell>
          <cell r="C1753" t="str">
            <v>テストユニット71</v>
          </cell>
          <cell r="H1753" t="str">
            <v>red</v>
          </cell>
          <cell r="I1753">
            <v>6</v>
          </cell>
          <cell r="J1753" t="str">
            <v>PremiumSSS</v>
          </cell>
          <cell r="K1753" t="str">
            <v>hp</v>
          </cell>
          <cell r="L1753" t="str">
            <v>体力タイプ</v>
          </cell>
          <cell r="M1753" t="str">
            <v>demon</v>
          </cell>
        </row>
        <row r="1754">
          <cell r="A1754">
            <v>10072</v>
          </cell>
          <cell r="B1754" t="str">
            <v>ja</v>
          </cell>
          <cell r="C1754" t="str">
            <v>テストユニット72</v>
          </cell>
          <cell r="H1754" t="str">
            <v>green</v>
          </cell>
          <cell r="I1754">
            <v>6</v>
          </cell>
          <cell r="J1754" t="str">
            <v>PremiumSSS</v>
          </cell>
          <cell r="K1754" t="str">
            <v>heal</v>
          </cell>
          <cell r="L1754" t="str">
            <v>回復タイプ</v>
          </cell>
          <cell r="M1754" t="str">
            <v>unknown</v>
          </cell>
        </row>
        <row r="1755">
          <cell r="A1755">
            <v>10073</v>
          </cell>
          <cell r="B1755" t="str">
            <v>ja</v>
          </cell>
          <cell r="C1755" t="str">
            <v>テストユニット73</v>
          </cell>
          <cell r="H1755" t="str">
            <v>green</v>
          </cell>
          <cell r="I1755">
            <v>6</v>
          </cell>
          <cell r="J1755" t="str">
            <v>PremiumSSS</v>
          </cell>
          <cell r="K1755" t="str">
            <v>attack</v>
          </cell>
          <cell r="L1755" t="str">
            <v>攻撃タイプ</v>
          </cell>
          <cell r="M1755" t="str">
            <v>samurai</v>
          </cell>
        </row>
        <row r="1756">
          <cell r="A1756">
            <v>10074</v>
          </cell>
          <cell r="B1756" t="str">
            <v>ja</v>
          </cell>
          <cell r="C1756" t="str">
            <v>テストユニット74</v>
          </cell>
          <cell r="H1756" t="str">
            <v>blue</v>
          </cell>
          <cell r="I1756">
            <v>6</v>
          </cell>
          <cell r="J1756" t="str">
            <v>PremiumSSS</v>
          </cell>
          <cell r="K1756" t="str">
            <v>balance</v>
          </cell>
          <cell r="L1756" t="str">
            <v>バランスタイプ</v>
          </cell>
          <cell r="M1756" t="str">
            <v>fantasy</v>
          </cell>
        </row>
        <row r="1757">
          <cell r="A1757">
            <v>10075</v>
          </cell>
          <cell r="B1757" t="str">
            <v>ja</v>
          </cell>
          <cell r="C1757" t="str">
            <v>テストユニット75</v>
          </cell>
          <cell r="H1757" t="str">
            <v>blue</v>
          </cell>
          <cell r="I1757">
            <v>6</v>
          </cell>
          <cell r="J1757" t="str">
            <v>PremiumSSS</v>
          </cell>
          <cell r="K1757" t="str">
            <v>balance</v>
          </cell>
          <cell r="L1757" t="str">
            <v>バランスタイプ</v>
          </cell>
          <cell r="M1757" t="str">
            <v>human</v>
          </cell>
        </row>
        <row r="1758">
          <cell r="A1758">
            <v>10076</v>
          </cell>
          <cell r="B1758" t="str">
            <v>ja</v>
          </cell>
          <cell r="C1758" t="str">
            <v>テストユニット76</v>
          </cell>
          <cell r="H1758" t="str">
            <v>blue</v>
          </cell>
          <cell r="I1758">
            <v>6</v>
          </cell>
          <cell r="J1758" t="str">
            <v>PremiumSSS</v>
          </cell>
          <cell r="K1758" t="str">
            <v>hp</v>
          </cell>
          <cell r="L1758" t="str">
            <v>体力タイプ</v>
          </cell>
          <cell r="M1758" t="str">
            <v>weapon</v>
          </cell>
        </row>
        <row r="1759">
          <cell r="A1759">
            <v>10077</v>
          </cell>
          <cell r="B1759" t="str">
            <v>ja</v>
          </cell>
          <cell r="C1759" t="str">
            <v>テストユニット77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heal</v>
          </cell>
          <cell r="L1759" t="str">
            <v>回復タイプ</v>
          </cell>
          <cell r="M1759" t="str">
            <v>queen</v>
          </cell>
        </row>
        <row r="1760">
          <cell r="A1760">
            <v>10078</v>
          </cell>
          <cell r="B1760" t="str">
            <v>ja</v>
          </cell>
          <cell r="C1760" t="str">
            <v>テストユニット78</v>
          </cell>
          <cell r="H1760" t="str">
            <v>yellow</v>
          </cell>
          <cell r="I1760">
            <v>6</v>
          </cell>
          <cell r="J1760" t="str">
            <v>PremiumSSS</v>
          </cell>
          <cell r="K1760" t="str">
            <v>attack</v>
          </cell>
          <cell r="L1760" t="str">
            <v>攻撃タイプ</v>
          </cell>
          <cell r="M1760" t="str">
            <v>academia</v>
          </cell>
        </row>
        <row r="1761">
          <cell r="A1761">
            <v>10079</v>
          </cell>
          <cell r="B1761" t="str">
            <v>ja</v>
          </cell>
          <cell r="C1761" t="str">
            <v>テストユニット79</v>
          </cell>
          <cell r="H1761" t="str">
            <v>yellow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animal</v>
          </cell>
        </row>
        <row r="1762">
          <cell r="A1762">
            <v>10080</v>
          </cell>
          <cell r="B1762" t="str">
            <v>ja</v>
          </cell>
          <cell r="C1762" t="str">
            <v>テストユニット80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10081</v>
          </cell>
          <cell r="B1763" t="str">
            <v>ja</v>
          </cell>
          <cell r="C1763" t="str">
            <v>テストユニット81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10082</v>
          </cell>
          <cell r="B1764" t="str">
            <v>ja</v>
          </cell>
          <cell r="C1764" t="str">
            <v>テストユニット82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10083</v>
          </cell>
          <cell r="B1765" t="str">
            <v>ja</v>
          </cell>
          <cell r="C1765" t="str">
            <v>テストユニット83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10084</v>
          </cell>
          <cell r="B1766" t="str">
            <v>ja</v>
          </cell>
          <cell r="C1766" t="str">
            <v>テストユニット84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10085</v>
          </cell>
          <cell r="B1767" t="str">
            <v>ja</v>
          </cell>
          <cell r="C1767" t="str">
            <v>テストユニット85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10086</v>
          </cell>
          <cell r="B1768" t="str">
            <v>ja</v>
          </cell>
          <cell r="C1768" t="str">
            <v>テストユニット86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10087</v>
          </cell>
          <cell r="B1769" t="str">
            <v>ja</v>
          </cell>
          <cell r="C1769" t="str">
            <v>テストユニット87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10088</v>
          </cell>
          <cell r="B1770" t="str">
            <v>ja</v>
          </cell>
          <cell r="C1770" t="str">
            <v>テストユニット88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10089</v>
          </cell>
          <cell r="B1771" t="str">
            <v>ja</v>
          </cell>
          <cell r="C1771" t="str">
            <v>テストユニット89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10090</v>
          </cell>
          <cell r="B1772" t="str">
            <v>ja</v>
          </cell>
          <cell r="C1772" t="str">
            <v>テストユニット90</v>
          </cell>
          <cell r="H1772" t="str">
            <v>blue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10101</v>
          </cell>
          <cell r="B1773" t="str">
            <v>ja</v>
          </cell>
          <cell r="C1773" t="str">
            <v>Usagi-kun</v>
          </cell>
          <cell r="H1773" t="str">
            <v>blue</v>
          </cell>
          <cell r="I1773">
            <v>6</v>
          </cell>
          <cell r="J1773" t="str">
            <v>DropWizS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10102</v>
          </cell>
          <cell r="B1774" t="str">
            <v>ja</v>
          </cell>
          <cell r="C1774" t="str">
            <v>ローズ</v>
          </cell>
          <cell r="D1774" t="str">
            <v>未定</v>
          </cell>
          <cell r="E1774" t="str">
            <v>執行者</v>
          </cell>
          <cell r="F1774" t="str">
            <v>格好いい</v>
          </cell>
          <cell r="G1774" t="str">
            <v>不明</v>
          </cell>
          <cell r="H1774" t="str">
            <v>red</v>
          </cell>
          <cell r="I1774">
            <v>3</v>
          </cell>
          <cell r="J1774" t="str">
            <v>DropWizSSS</v>
          </cell>
          <cell r="K1774" t="str">
            <v>attack</v>
          </cell>
          <cell r="L1774" t="str">
            <v>攻撃タイプ</v>
          </cell>
          <cell r="M1774" t="str">
            <v>queen</v>
          </cell>
        </row>
        <row r="1775">
          <cell r="A1775">
            <v>10103</v>
          </cell>
          <cell r="B1775" t="str">
            <v>ja</v>
          </cell>
          <cell r="C1775" t="str">
            <v>ローズ</v>
          </cell>
          <cell r="D1775" t="str">
            <v>未定</v>
          </cell>
          <cell r="E1775" t="str">
            <v>執行者</v>
          </cell>
          <cell r="F1775" t="str">
            <v>格好いい</v>
          </cell>
          <cell r="G1775" t="str">
            <v>不明</v>
          </cell>
          <cell r="H1775" t="str">
            <v>red</v>
          </cell>
          <cell r="I1775">
            <v>4</v>
          </cell>
          <cell r="J1775" t="str">
            <v>DropWizSSS</v>
          </cell>
          <cell r="K1775" t="str">
            <v>attack</v>
          </cell>
          <cell r="L1775" t="str">
            <v>攻撃タイプ</v>
          </cell>
          <cell r="M17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125" zoomScaleNormal="75" zoomScalePageLayoutView="75" workbookViewId="0">
      <selection activeCell="C5" sqref="C3:C5"/>
    </sheetView>
  </sheetViews>
  <sheetFormatPr baseColWidth="12" defaultRowHeight="15" x14ac:dyDescent="0.15"/>
  <cols>
    <col min="1" max="1" width="45" style="55" customWidth="1"/>
    <col min="2" max="16384" width="13" style="55"/>
  </cols>
  <sheetData>
    <row r="1" spans="1:13" x14ac:dyDescent="0.15">
      <c r="A1" s="55" t="s">
        <v>97</v>
      </c>
      <c r="B1" s="55" t="s">
        <v>98</v>
      </c>
    </row>
    <row r="2" spans="1:13" x14ac:dyDescent="0.15">
      <c r="A2" s="55" t="s">
        <v>99</v>
      </c>
      <c r="B2" s="55" t="s">
        <v>100</v>
      </c>
      <c r="C2" s="55" t="s">
        <v>101</v>
      </c>
      <c r="D2" s="55" t="s">
        <v>102</v>
      </c>
      <c r="E2" s="55" t="s">
        <v>103</v>
      </c>
      <c r="F2" s="55" t="s">
        <v>104</v>
      </c>
      <c r="G2" s="55" t="s">
        <v>105</v>
      </c>
      <c r="H2" s="55" t="s">
        <v>106</v>
      </c>
    </row>
    <row r="3" spans="1:13" x14ac:dyDescent="0.15">
      <c r="A3" s="55">
        <v>3</v>
      </c>
      <c r="B3" s="56" t="s">
        <v>107</v>
      </c>
      <c r="C3" s="56" t="s">
        <v>108</v>
      </c>
      <c r="D3" s="55">
        <v>0</v>
      </c>
      <c r="E3" s="56" t="s">
        <v>109</v>
      </c>
      <c r="F3" s="55">
        <v>0</v>
      </c>
      <c r="G3" s="55">
        <v>0</v>
      </c>
      <c r="H3" s="57">
        <v>0.5</v>
      </c>
    </row>
    <row r="4" spans="1:13" x14ac:dyDescent="0.15">
      <c r="A4" s="55">
        <v>4</v>
      </c>
      <c r="B4" s="56" t="s">
        <v>110</v>
      </c>
      <c r="C4" s="56" t="s">
        <v>111</v>
      </c>
      <c r="D4" s="56" t="s">
        <v>112</v>
      </c>
      <c r="E4" s="56" t="s">
        <v>113</v>
      </c>
      <c r="F4" s="56" t="s">
        <v>114</v>
      </c>
      <c r="G4" s="55">
        <v>0</v>
      </c>
      <c r="H4" s="57">
        <v>0.45</v>
      </c>
    </row>
    <row r="5" spans="1:13" x14ac:dyDescent="0.15">
      <c r="A5" s="55">
        <v>5</v>
      </c>
      <c r="B5" s="58">
        <v>0</v>
      </c>
      <c r="C5" s="56" t="s">
        <v>115</v>
      </c>
      <c r="D5" s="56" t="s">
        <v>116</v>
      </c>
      <c r="E5" s="56" t="s">
        <v>117</v>
      </c>
      <c r="F5" s="56" t="s">
        <v>118</v>
      </c>
      <c r="G5" s="56" t="s">
        <v>119</v>
      </c>
      <c r="H5" s="57">
        <v>0.05</v>
      </c>
    </row>
    <row r="6" spans="1:13" x14ac:dyDescent="0.15">
      <c r="B6" s="57" t="s">
        <v>120</v>
      </c>
      <c r="C6" s="57" t="s">
        <v>120</v>
      </c>
      <c r="D6" s="57" t="s">
        <v>121</v>
      </c>
      <c r="E6" s="57" t="s">
        <v>120</v>
      </c>
      <c r="F6" s="57" t="s">
        <v>120</v>
      </c>
      <c r="G6" s="59" t="s">
        <v>122</v>
      </c>
      <c r="H6" s="57">
        <v>1</v>
      </c>
    </row>
    <row r="7" spans="1:13" x14ac:dyDescent="0.15">
      <c r="B7" s="57"/>
      <c r="C7" s="57"/>
      <c r="D7" s="57"/>
      <c r="E7" s="57"/>
      <c r="F7" s="57"/>
      <c r="G7" s="59"/>
      <c r="H7" s="57"/>
    </row>
    <row r="8" spans="1:13" x14ac:dyDescent="0.15">
      <c r="A8" s="55" t="s">
        <v>123</v>
      </c>
      <c r="B8" s="57"/>
      <c r="C8" s="57"/>
      <c r="D8" s="57"/>
      <c r="E8" s="57"/>
      <c r="F8" s="57"/>
      <c r="G8" s="59"/>
      <c r="H8" s="57"/>
    </row>
    <row r="9" spans="1:13" x14ac:dyDescent="0.15">
      <c r="A9" s="55" t="s">
        <v>124</v>
      </c>
      <c r="B9" s="57"/>
      <c r="C9" s="57"/>
      <c r="D9" s="57"/>
      <c r="E9" s="57"/>
      <c r="F9" s="57"/>
      <c r="G9" s="59"/>
      <c r="H9" s="57"/>
    </row>
    <row r="10" spans="1:13" x14ac:dyDescent="0.15">
      <c r="A10" s="55" t="s">
        <v>125</v>
      </c>
      <c r="B10" s="57"/>
      <c r="C10" s="57"/>
      <c r="D10" s="57"/>
      <c r="E10" s="57"/>
      <c r="F10" s="57"/>
      <c r="G10" s="59"/>
      <c r="H10" s="57"/>
    </row>
    <row r="11" spans="1:13" x14ac:dyDescent="0.15">
      <c r="A11" s="55" t="s">
        <v>126</v>
      </c>
      <c r="B11" s="57"/>
      <c r="C11" s="57"/>
      <c r="D11" s="57"/>
      <c r="E11" s="57"/>
      <c r="F11" s="57"/>
      <c r="G11" s="59"/>
      <c r="H11" s="57"/>
    </row>
    <row r="12" spans="1:13" x14ac:dyDescent="0.15">
      <c r="A12" s="55" t="s">
        <v>119</v>
      </c>
      <c r="B12" s="57" t="s">
        <v>127</v>
      </c>
      <c r="C12" s="57" t="s">
        <v>128</v>
      </c>
      <c r="D12" s="57"/>
      <c r="E12" s="57"/>
      <c r="F12" s="57"/>
      <c r="G12" s="59"/>
      <c r="H12" s="57"/>
    </row>
    <row r="13" spans="1:13" x14ac:dyDescent="0.15">
      <c r="A13" s="55" t="s">
        <v>129</v>
      </c>
      <c r="B13" s="55" t="s">
        <v>130</v>
      </c>
      <c r="C13" s="55" t="s">
        <v>131</v>
      </c>
    </row>
    <row r="14" spans="1:13" x14ac:dyDescent="0.15">
      <c r="A14" s="55" t="s">
        <v>132</v>
      </c>
      <c r="B14" s="55" t="s">
        <v>127</v>
      </c>
      <c r="C14" s="58" t="s">
        <v>133</v>
      </c>
      <c r="E14" s="58"/>
      <c r="F14" s="58"/>
      <c r="M14" s="57"/>
    </row>
    <row r="15" spans="1:13" x14ac:dyDescent="0.15">
      <c r="A15" s="55" t="s">
        <v>109</v>
      </c>
      <c r="B15" s="57" t="s">
        <v>127</v>
      </c>
      <c r="C15" s="57" t="s">
        <v>134</v>
      </c>
      <c r="H15" s="60"/>
      <c r="M15" s="57"/>
    </row>
    <row r="16" spans="1:13" x14ac:dyDescent="0.15">
      <c r="A16" s="55" t="s">
        <v>113</v>
      </c>
      <c r="B16" s="57" t="s">
        <v>127</v>
      </c>
      <c r="C16" s="57" t="s">
        <v>135</v>
      </c>
      <c r="M16" s="57"/>
    </row>
    <row r="17" spans="1:13" x14ac:dyDescent="0.15">
      <c r="A17" s="55" t="s">
        <v>136</v>
      </c>
      <c r="B17" s="57" t="s">
        <v>127</v>
      </c>
      <c r="C17" s="57" t="s">
        <v>137</v>
      </c>
      <c r="M17" s="57"/>
    </row>
    <row r="18" spans="1:13" x14ac:dyDescent="0.15">
      <c r="B18" s="57"/>
      <c r="C18" s="57"/>
    </row>
    <row r="19" spans="1:13" x14ac:dyDescent="0.15">
      <c r="A19" s="55" t="s">
        <v>138</v>
      </c>
    </row>
    <row r="20" spans="1:13" x14ac:dyDescent="0.15">
      <c r="A20" s="55" t="s">
        <v>139</v>
      </c>
      <c r="B20" s="57"/>
      <c r="C20" s="57"/>
    </row>
    <row r="21" spans="1:13" x14ac:dyDescent="0.15">
      <c r="A21" s="55" t="s">
        <v>140</v>
      </c>
      <c r="B21" s="57" t="s">
        <v>141</v>
      </c>
      <c r="C21" s="57" t="s">
        <v>142</v>
      </c>
      <c r="D21" s="55" t="s">
        <v>143</v>
      </c>
    </row>
    <row r="22" spans="1:13" x14ac:dyDescent="0.15">
      <c r="A22" s="55" t="s">
        <v>144</v>
      </c>
      <c r="B22" s="57" t="s">
        <v>127</v>
      </c>
      <c r="C22" s="57" t="s">
        <v>145</v>
      </c>
      <c r="D22" s="55" t="s">
        <v>146</v>
      </c>
    </row>
    <row r="23" spans="1:13" x14ac:dyDescent="0.15">
      <c r="A23" s="55" t="s">
        <v>147</v>
      </c>
      <c r="B23" s="57" t="s">
        <v>127</v>
      </c>
      <c r="C23" s="55" t="s">
        <v>148</v>
      </c>
      <c r="D23" s="55" t="s">
        <v>149</v>
      </c>
    </row>
    <row r="24" spans="1:13" x14ac:dyDescent="0.15">
      <c r="A24" s="55" t="s">
        <v>150</v>
      </c>
      <c r="B24" s="57" t="s">
        <v>127</v>
      </c>
      <c r="C24" s="57" t="s">
        <v>151</v>
      </c>
      <c r="D24" s="55" t="s">
        <v>152</v>
      </c>
    </row>
    <row r="25" spans="1:13" x14ac:dyDescent="0.15">
      <c r="A25" s="55" t="s">
        <v>153</v>
      </c>
      <c r="B25" s="57" t="s">
        <v>127</v>
      </c>
      <c r="C25" s="57" t="s">
        <v>154</v>
      </c>
      <c r="D25" s="55" t="s">
        <v>155</v>
      </c>
    </row>
    <row r="26" spans="1:13" x14ac:dyDescent="0.15">
      <c r="A26" s="55" t="s">
        <v>156</v>
      </c>
      <c r="B26" s="57" t="s">
        <v>127</v>
      </c>
      <c r="C26" s="57" t="s">
        <v>157</v>
      </c>
      <c r="D26" s="55" t="s">
        <v>158</v>
      </c>
    </row>
    <row r="27" spans="1:13" x14ac:dyDescent="0.15">
      <c r="A27" s="55" t="s">
        <v>159</v>
      </c>
      <c r="B27" s="57" t="s">
        <v>127</v>
      </c>
      <c r="C27" s="57" t="s">
        <v>121</v>
      </c>
      <c r="D27" s="55" t="s">
        <v>160</v>
      </c>
      <c r="E27" s="55" t="s">
        <v>161</v>
      </c>
    </row>
    <row r="28" spans="1:13" x14ac:dyDescent="0.15">
      <c r="A28" s="55" t="s">
        <v>108</v>
      </c>
      <c r="B28" s="57" t="s">
        <v>127</v>
      </c>
      <c r="C28" s="57" t="s">
        <v>162</v>
      </c>
      <c r="E28" s="55" t="s">
        <v>163</v>
      </c>
    </row>
    <row r="29" spans="1:13" x14ac:dyDescent="0.15">
      <c r="A29" s="55" t="s">
        <v>111</v>
      </c>
      <c r="B29" s="57" t="s">
        <v>127</v>
      </c>
      <c r="C29" s="57" t="s">
        <v>164</v>
      </c>
    </row>
    <row r="30" spans="1:13" x14ac:dyDescent="0.15">
      <c r="B30" s="57"/>
    </row>
    <row r="31" spans="1:13" x14ac:dyDescent="0.15">
      <c r="A31" s="55" t="s">
        <v>165</v>
      </c>
    </row>
    <row r="32" spans="1:13" x14ac:dyDescent="0.15">
      <c r="A32" s="55" t="s">
        <v>166</v>
      </c>
      <c r="B32" s="57" t="s">
        <v>127</v>
      </c>
      <c r="C32" s="57" t="s">
        <v>167</v>
      </c>
    </row>
    <row r="33" spans="1:13" x14ac:dyDescent="0.15">
      <c r="A33" s="55" t="s">
        <v>111</v>
      </c>
      <c r="B33" s="57" t="s">
        <v>127</v>
      </c>
      <c r="C33" s="57" t="s">
        <v>168</v>
      </c>
    </row>
    <row r="34" spans="1:13" x14ac:dyDescent="0.15">
      <c r="A34" s="55" t="s">
        <v>108</v>
      </c>
      <c r="B34" s="57" t="s">
        <v>127</v>
      </c>
      <c r="C34" s="57" t="s">
        <v>169</v>
      </c>
    </row>
    <row r="35" spans="1:13" x14ac:dyDescent="0.15">
      <c r="A35" s="55" t="s">
        <v>107</v>
      </c>
      <c r="B35" s="57" t="s">
        <v>127</v>
      </c>
      <c r="C35" s="57" t="s">
        <v>170</v>
      </c>
    </row>
    <row r="36" spans="1:13" x14ac:dyDescent="0.15">
      <c r="A36" s="55" t="s">
        <v>110</v>
      </c>
      <c r="B36" s="57" t="s">
        <v>127</v>
      </c>
      <c r="C36" s="57" t="s">
        <v>171</v>
      </c>
    </row>
    <row r="37" spans="1:13" x14ac:dyDescent="0.15">
      <c r="A37" s="55" t="s">
        <v>116</v>
      </c>
      <c r="B37" s="57" t="s">
        <v>127</v>
      </c>
      <c r="C37" s="57" t="s">
        <v>172</v>
      </c>
    </row>
    <row r="38" spans="1:13" x14ac:dyDescent="0.15">
      <c r="A38" s="55" t="s">
        <v>112</v>
      </c>
      <c r="B38" s="57" t="s">
        <v>127</v>
      </c>
      <c r="C38" s="57" t="s">
        <v>173</v>
      </c>
    </row>
    <row r="40" spans="1:13" x14ac:dyDescent="0.15">
      <c r="J40" s="73" t="s">
        <v>200</v>
      </c>
      <c r="K40" s="73" t="s">
        <v>176</v>
      </c>
      <c r="M40" s="73" t="s">
        <v>225</v>
      </c>
    </row>
    <row r="41" spans="1:13" x14ac:dyDescent="0.15">
      <c r="J41" s="73" t="s">
        <v>201</v>
      </c>
      <c r="K41" s="73" t="s">
        <v>202</v>
      </c>
      <c r="M41" s="57" t="s">
        <v>171</v>
      </c>
    </row>
    <row r="42" spans="1:13" x14ac:dyDescent="0.15">
      <c r="J42" s="73" t="s">
        <v>203</v>
      </c>
      <c r="K42" s="73" t="s">
        <v>204</v>
      </c>
    </row>
    <row r="43" spans="1:13" x14ac:dyDescent="0.15">
      <c r="J43" s="73" t="s">
        <v>205</v>
      </c>
      <c r="K43" s="73" t="s">
        <v>206</v>
      </c>
    </row>
    <row r="44" spans="1:13" x14ac:dyDescent="0.15">
      <c r="J44" s="73" t="s">
        <v>207</v>
      </c>
      <c r="K44" s="73" t="s">
        <v>208</v>
      </c>
    </row>
    <row r="45" spans="1:13" x14ac:dyDescent="0.15">
      <c r="J45" s="73" t="s">
        <v>209</v>
      </c>
      <c r="K45" s="73" t="s">
        <v>210</v>
      </c>
    </row>
    <row r="46" spans="1:13" x14ac:dyDescent="0.15">
      <c r="J46" s="73" t="s">
        <v>211</v>
      </c>
      <c r="K46" s="73" t="s">
        <v>212</v>
      </c>
    </row>
    <row r="47" spans="1:13" x14ac:dyDescent="0.15">
      <c r="J47" s="73" t="s">
        <v>213</v>
      </c>
      <c r="K47" s="73" t="s">
        <v>217</v>
      </c>
    </row>
    <row r="48" spans="1:13" x14ac:dyDescent="0.15">
      <c r="J48" s="73" t="s">
        <v>214</v>
      </c>
      <c r="K48" s="73" t="s">
        <v>218</v>
      </c>
    </row>
    <row r="49" spans="10:11" x14ac:dyDescent="0.15">
      <c r="J49" s="73" t="s">
        <v>215</v>
      </c>
      <c r="K49" s="73" t="s">
        <v>219</v>
      </c>
    </row>
    <row r="50" spans="10:11" x14ac:dyDescent="0.15">
      <c r="J50" s="73" t="s">
        <v>216</v>
      </c>
      <c r="K50" s="73" t="s">
        <v>220</v>
      </c>
    </row>
    <row r="51" spans="10:11" x14ac:dyDescent="0.15">
      <c r="J51" s="73" t="s">
        <v>222</v>
      </c>
      <c r="K51" s="73" t="s">
        <v>221</v>
      </c>
    </row>
    <row r="52" spans="10:11" x14ac:dyDescent="0.15">
      <c r="J52" s="73" t="s">
        <v>223</v>
      </c>
      <c r="K52" s="73" t="s">
        <v>224</v>
      </c>
    </row>
    <row r="53" spans="10:11" x14ac:dyDescent="0.15">
      <c r="J53" s="73"/>
    </row>
  </sheetData>
  <phoneticPr fontId="1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62</v>
      </c>
    </row>
    <row r="2" spans="1:1" x14ac:dyDescent="0.15">
      <c r="A2" t="s">
        <v>63</v>
      </c>
    </row>
    <row r="3" spans="1:1" x14ac:dyDescent="0.15">
      <c r="A3" t="s">
        <v>64</v>
      </c>
    </row>
    <row r="4" spans="1:1" x14ac:dyDescent="0.15">
      <c r="A4" t="s">
        <v>65</v>
      </c>
    </row>
  </sheetData>
  <phoneticPr fontId="1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33.19921875" style="18" bestFit="1" customWidth="1"/>
    <col min="6" max="6" width="22.19921875" style="18" bestFit="1" customWidth="1"/>
    <col min="7" max="16384" width="13" style="18"/>
  </cols>
  <sheetData>
    <row r="1" spans="1:21" x14ac:dyDescent="0.15">
      <c r="A1" s="23" t="s">
        <v>34</v>
      </c>
      <c r="B1" s="16" t="s">
        <v>28</v>
      </c>
      <c r="C1" s="16" t="s">
        <v>29</v>
      </c>
      <c r="D1" s="16" t="s">
        <v>30</v>
      </c>
      <c r="E1" s="16" t="s">
        <v>31</v>
      </c>
      <c r="F1" s="16" t="s">
        <v>32</v>
      </c>
      <c r="G1" s="16" t="s">
        <v>33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1" t="s">
        <v>298</v>
      </c>
      <c r="B2" s="98" t="s">
        <v>270</v>
      </c>
      <c r="C2" s="99" t="str">
        <f t="shared" ref="C2:C8" si="0">RIGHT(F2,6)</f>
        <v>572101</v>
      </c>
      <c r="D2" s="19" t="s">
        <v>272</v>
      </c>
      <c r="E2" s="17" t="str">
        <f t="shared" ref="E2:E11" si="1">B2&amp;C2&amp;D2</f>
        <v>gacha_select_tables_572101.tmp</v>
      </c>
      <c r="F2" s="103" t="s">
        <v>299</v>
      </c>
      <c r="G2" s="100" t="s">
        <v>273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101" t="s">
        <v>298</v>
      </c>
      <c r="B3" s="98" t="s">
        <v>270</v>
      </c>
      <c r="C3" s="99" t="str">
        <f t="shared" si="0"/>
        <v>572103</v>
      </c>
      <c r="D3" s="19" t="s">
        <v>272</v>
      </c>
      <c r="E3" s="17" t="str">
        <f t="shared" si="1"/>
        <v>gacha_select_tables_572103.tmp</v>
      </c>
      <c r="F3" s="103" t="s">
        <v>300</v>
      </c>
      <c r="G3" s="100" t="s">
        <v>273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101" t="s">
        <v>298</v>
      </c>
      <c r="B4" s="98" t="s">
        <v>274</v>
      </c>
      <c r="C4" s="99" t="str">
        <f t="shared" si="0"/>
        <v>572104</v>
      </c>
      <c r="D4" s="19" t="s">
        <v>275</v>
      </c>
      <c r="E4" s="17" t="str">
        <f t="shared" si="1"/>
        <v>gacha_settle_tables_572104.tmp</v>
      </c>
      <c r="F4" s="103" t="s">
        <v>301</v>
      </c>
      <c r="G4" s="100" t="s">
        <v>276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101" t="s">
        <v>298</v>
      </c>
      <c r="B5" s="98" t="s">
        <v>269</v>
      </c>
      <c r="C5" s="99" t="str">
        <f t="shared" si="0"/>
        <v>572104</v>
      </c>
      <c r="D5" s="19" t="s">
        <v>271</v>
      </c>
      <c r="E5" s="17" t="str">
        <f t="shared" si="1"/>
        <v>gacha_select_tables_572104.tmp</v>
      </c>
      <c r="F5" s="103" t="s">
        <v>302</v>
      </c>
      <c r="G5" s="100" t="s">
        <v>277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101" t="s">
        <v>298</v>
      </c>
      <c r="B6" s="98" t="s">
        <v>269</v>
      </c>
      <c r="C6" s="99" t="str">
        <f t="shared" si="0"/>
        <v>572105</v>
      </c>
      <c r="D6" s="19" t="s">
        <v>271</v>
      </c>
      <c r="E6" s="17" t="str">
        <f t="shared" si="1"/>
        <v>gacha_select_tables_572105.tmp</v>
      </c>
      <c r="F6" s="103" t="s">
        <v>303</v>
      </c>
      <c r="G6" s="100" t="s">
        <v>277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101" t="s">
        <v>298</v>
      </c>
      <c r="B7" s="98" t="s">
        <v>269</v>
      </c>
      <c r="C7" s="99" t="str">
        <f t="shared" si="0"/>
        <v>572106</v>
      </c>
      <c r="D7" s="19" t="s">
        <v>271</v>
      </c>
      <c r="E7" s="17" t="str">
        <f t="shared" si="1"/>
        <v>gacha_select_tables_572106.tmp</v>
      </c>
      <c r="F7" s="103" t="s">
        <v>304</v>
      </c>
      <c r="G7" s="100" t="s">
        <v>277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101" t="s">
        <v>298</v>
      </c>
      <c r="B8" s="98" t="s">
        <v>269</v>
      </c>
      <c r="C8" s="99" t="str">
        <f t="shared" si="0"/>
        <v>572100</v>
      </c>
      <c r="D8" s="19" t="s">
        <v>278</v>
      </c>
      <c r="E8" s="17" t="str">
        <f t="shared" si="1"/>
        <v>gacha_select_tables_572100.tmp</v>
      </c>
      <c r="F8" s="103" t="s">
        <v>305</v>
      </c>
      <c r="G8" s="100" t="s">
        <v>279</v>
      </c>
      <c r="H8" s="21" t="s">
        <v>0</v>
      </c>
      <c r="I8" s="21" t="s">
        <v>3</v>
      </c>
      <c r="J8" s="21" t="s">
        <v>4</v>
      </c>
      <c r="K8" s="21" t="s">
        <v>5</v>
      </c>
      <c r="L8" s="21" t="s">
        <v>6</v>
      </c>
      <c r="M8" s="21" t="s">
        <v>7</v>
      </c>
      <c r="N8" s="21" t="s">
        <v>8</v>
      </c>
      <c r="O8" s="21" t="s">
        <v>9</v>
      </c>
    </row>
    <row r="9" spans="1:21" x14ac:dyDescent="0.15">
      <c r="A9" s="101" t="s">
        <v>298</v>
      </c>
      <c r="B9" s="98" t="s">
        <v>280</v>
      </c>
      <c r="C9" s="98">
        <v>572</v>
      </c>
      <c r="D9" s="19" t="s">
        <v>278</v>
      </c>
      <c r="E9" s="17" t="str">
        <f t="shared" si="1"/>
        <v>gacha_bonus_tables_572.tmp</v>
      </c>
      <c r="F9" s="19" t="s">
        <v>282</v>
      </c>
      <c r="G9" s="100" t="s">
        <v>283</v>
      </c>
      <c r="H9" s="100" t="s">
        <v>284</v>
      </c>
      <c r="I9" s="100" t="s">
        <v>285</v>
      </c>
      <c r="J9" s="20"/>
      <c r="K9" s="20"/>
      <c r="L9" s="20"/>
      <c r="M9" s="20"/>
      <c r="N9" s="20"/>
      <c r="O9" s="20"/>
    </row>
    <row r="10" spans="1:21" x14ac:dyDescent="0.15">
      <c r="A10" s="101" t="s">
        <v>298</v>
      </c>
      <c r="B10" s="19" t="s">
        <v>286</v>
      </c>
      <c r="C10" s="98">
        <v>572</v>
      </c>
      <c r="D10" s="19" t="s">
        <v>271</v>
      </c>
      <c r="E10" s="17" t="str">
        <f t="shared" si="1"/>
        <v>gifts_tmp_572.tmp</v>
      </c>
      <c r="F10" s="19" t="s">
        <v>281</v>
      </c>
      <c r="G10" s="100" t="s">
        <v>284</v>
      </c>
      <c r="H10" s="100" t="s">
        <v>287</v>
      </c>
      <c r="I10" s="100" t="s">
        <v>288</v>
      </c>
      <c r="J10" s="100" t="s">
        <v>288</v>
      </c>
      <c r="K10" s="100" t="s">
        <v>288</v>
      </c>
      <c r="L10" s="100" t="s">
        <v>289</v>
      </c>
      <c r="M10" s="100" t="s">
        <v>289</v>
      </c>
      <c r="N10" s="100" t="s">
        <v>289</v>
      </c>
      <c r="O10" s="43" t="s">
        <v>7</v>
      </c>
      <c r="P10" s="43" t="s">
        <v>9</v>
      </c>
      <c r="Q10" s="43" t="s">
        <v>6</v>
      </c>
      <c r="R10" s="43" t="s">
        <v>69</v>
      </c>
      <c r="S10" s="43" t="s">
        <v>8</v>
      </c>
      <c r="T10" s="43" t="s">
        <v>70</v>
      </c>
      <c r="U10" s="43" t="s">
        <v>5</v>
      </c>
    </row>
    <row r="11" spans="1:21" x14ac:dyDescent="0.15">
      <c r="A11" s="101" t="s">
        <v>298</v>
      </c>
      <c r="B11" s="19" t="s">
        <v>290</v>
      </c>
      <c r="C11" s="98">
        <v>572</v>
      </c>
      <c r="D11" s="19" t="s">
        <v>291</v>
      </c>
      <c r="E11" s="17" t="str">
        <f t="shared" si="1"/>
        <v>gifts_i18n_572.tmp</v>
      </c>
      <c r="F11" s="19" t="s">
        <v>292</v>
      </c>
      <c r="G11" s="100" t="s">
        <v>293</v>
      </c>
      <c r="H11" s="100" t="s">
        <v>294</v>
      </c>
      <c r="I11" s="100" t="s">
        <v>295</v>
      </c>
      <c r="J11" s="100" t="s">
        <v>296</v>
      </c>
      <c r="K11" s="100" t="s">
        <v>297</v>
      </c>
      <c r="L11" s="100"/>
      <c r="M11" s="100"/>
      <c r="N11" s="100"/>
      <c r="O11" s="19"/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5"/>
  <sheetViews>
    <sheetView workbookViewId="0">
      <selection activeCell="A38" sqref="A38:XFD38"/>
    </sheetView>
  </sheetViews>
  <sheetFormatPr baseColWidth="12" defaultRowHeight="14" x14ac:dyDescent="0.15"/>
  <cols>
    <col min="1" max="2" width="24.19921875" bestFit="1" customWidth="1"/>
    <col min="4" max="4" width="43.19921875" bestFit="1" customWidth="1"/>
    <col min="5" max="5" width="22.796875" bestFit="1" customWidth="1"/>
    <col min="6" max="6" width="21.796875" bestFit="1" customWidth="1"/>
    <col min="7" max="7" width="20.796875" bestFit="1" customWidth="1"/>
    <col min="8" max="8" width="19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572101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786</v>
      </c>
      <c r="M3" s="31" t="str">
        <f>VLOOKUP(L3,[1]characters!$A:$C,3,FALSE)</f>
        <v>ヘイウェイ</v>
      </c>
      <c r="N3" s="54">
        <v>4.0000000000000001E-3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VLOOKUP(L3,tables_572101!B:C,2,FALSE)</f>
        <v>PremiumSSS5R3lesscolor</v>
      </c>
      <c r="R3" s="53">
        <f t="shared" ref="R3:R20" si="1">N3*A$51</f>
        <v>3456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VLOOKUP(L4,tables_572101!B:C,2,FALSE)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0.4</v>
      </c>
      <c r="D5" t="s">
        <v>187</v>
      </c>
      <c r="E5" s="37">
        <f>(B11-H5)*0.4/(F5-I5)</f>
        <v>3.7037037037037046E-4</v>
      </c>
      <c r="F5">
        <f>(COUNTIF(tables_572101!C:C,input_572101!A28)+COUNTIF(tables_572101!C:C,input_572101!A29))</f>
        <v>54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VLOOKUP(L5,tables_572101!B:C,2,FALSE)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0.5</v>
      </c>
      <c r="D6" t="s">
        <v>226</v>
      </c>
      <c r="E6" s="68">
        <f>(B11-H5)*0.6/(F6-I5)</f>
        <v>1.6666666666666666E-3</v>
      </c>
      <c r="F6">
        <f>(COUNTIF(tables_572101!C:C,input_572101!A43)+COUNTIF(tables_572101!C:C,input_572101!A44))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VLOOKUP(L6,tables_572101!B:C,2,FALSE)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5.2555555555555558E-3</v>
      </c>
      <c r="F7">
        <f>(COUNTIF(tables_572101!C:C,input_572101!A25)+COUNTIF(tables_572101!C:C,input_572101!A18)+COUNTIF(tables_572101!C:C,input_572101!A20)+COUNTIF(tables_572101!C:C,input_572101!A22))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VLOOKUP(L7,tables_572101!B:C,2,FALSE)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2.3650000000000001E-2</v>
      </c>
      <c r="F8">
        <f>(COUNTIF(tables_572101!C:C,input_572101!A40)+COUNTIF(tables_572101!C:C,input_572101!A33)+COUNTIF(tables_572101!C:C,input_572101!A35)+COUNTIF(tables_572101!C:C,input_572101!A37))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VLOOKUP(L8,tables_572101!B:C,2,FALSE)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VLOOKUP(L9,tables_572101!B:C,2,FALSE)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0.94599999999999995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VLOOKUP(L10,tables_572101!B:C,2,FALSE)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VLOOKUP(L11,tables_572101!B:C,2,FALSE)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4.0000000000000001E-3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VLOOKUP(L12,tables_572101!B:C,2,FALSE)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VLOOKUP(L13,tables_572101!B:C,2,FALSE)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VLOOKUP(L14,tables_572101!B:C,2,FALSE)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VLOOKUP(L15,tables_572101!B:C,2,FALSE)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VLOOKUP(L16,tables_572101!B:C,2,FALSE)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6.9604444444444469E-2</v>
      </c>
      <c r="C17" s="75">
        <f t="shared" ref="C17:C45" si="2">SUMIF(Q:Q,A17,N:N)</f>
        <v>0</v>
      </c>
      <c r="D17" s="66">
        <f t="shared" ref="D17:D26" si="3">B17-C17</f>
        <v>6.9604444444444469E-2</v>
      </c>
      <c r="E17">
        <f>COUNTIF(tables_572101!C:C,input_572101!A17)-COUNTIF(Q:Q,A17)</f>
        <v>15</v>
      </c>
      <c r="F17" s="37">
        <f>IFERROR(B17/E17,0)</f>
        <v>4.6402962962962977E-3</v>
      </c>
      <c r="G17">
        <f t="shared" ref="G17:G46" si="4">A$51*B17</f>
        <v>60138.24000000002</v>
      </c>
      <c r="H17">
        <f t="shared" ref="H17:H26" si="5">IFERROR(ROUND(G17/E17,5),0)</f>
        <v>4009.2159999999999</v>
      </c>
      <c r="I17">
        <f t="shared" ref="I17:I31" si="6">MOD(H17,1)</f>
        <v>0.2159999999998945</v>
      </c>
      <c r="J17">
        <f t="shared" ref="J17:J26" si="7">IFERROR(1/I17,1)</f>
        <v>4.6296296296318911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VLOOKUP(L17,tables_572101!B:C,2,FALSE)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1.0828888888888888E-2</v>
      </c>
      <c r="C18" s="75">
        <f t="shared" si="2"/>
        <v>0</v>
      </c>
      <c r="D18" s="66">
        <f t="shared" si="3"/>
        <v>1.0828888888888888E-2</v>
      </c>
      <c r="E18">
        <f>COUNTIF(tables_572101!C:C,input_572101!A18)-COUNTIF(Q:Q,A18)</f>
        <v>15</v>
      </c>
      <c r="F18" s="37">
        <f>IFERROR(B18/E18,0)</f>
        <v>7.2192592592592588E-4</v>
      </c>
      <c r="G18">
        <f t="shared" si="4"/>
        <v>9356.16</v>
      </c>
      <c r="H18">
        <f t="shared" si="5"/>
        <v>623.74400000000003</v>
      </c>
      <c r="I18">
        <f t="shared" si="6"/>
        <v>0.74400000000002819</v>
      </c>
      <c r="J18">
        <f t="shared" si="7"/>
        <v>1.3440860215053254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VLOOKUP(L18,tables_572101!B:C,2,FALSE)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8.4088888888888894E-2</v>
      </c>
      <c r="C19" s="75">
        <f t="shared" si="2"/>
        <v>0</v>
      </c>
      <c r="D19" s="66">
        <f t="shared" si="3"/>
        <v>8.4088888888888894E-2</v>
      </c>
      <c r="E19">
        <f>COUNTIF(tables_572101!C:C,input_572101!A19)-COUNTIF(Q:Q,A19)</f>
        <v>40</v>
      </c>
      <c r="F19" s="37">
        <f t="shared" ref="F19:F31" si="8">IFERROR(B19/E19,0)</f>
        <v>2.1022222222222223E-3</v>
      </c>
      <c r="G19">
        <f t="shared" si="4"/>
        <v>72652.800000000003</v>
      </c>
      <c r="H19">
        <f t="shared" si="5"/>
        <v>1816.32</v>
      </c>
      <c r="I19">
        <f t="shared" si="6"/>
        <v>0.31999999999993634</v>
      </c>
      <c r="J19">
        <f t="shared" si="7"/>
        <v>3.1250000000006217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VLOOKUP(L19,tables_572101!B:C,2,FALSE)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0.10511111111111111</v>
      </c>
      <c r="C20" s="75">
        <f t="shared" si="2"/>
        <v>0</v>
      </c>
      <c r="D20" s="66">
        <f t="shared" si="3"/>
        <v>0.10511111111111111</v>
      </c>
      <c r="E20">
        <f>COUNTIF(tables_572101!C:C,input_572101!A20)-COUNTIF(Q:Q,A20)</f>
        <v>40</v>
      </c>
      <c r="F20" s="37">
        <f t="shared" si="8"/>
        <v>2.6277777777777779E-3</v>
      </c>
      <c r="G20">
        <f t="shared" si="4"/>
        <v>90816</v>
      </c>
      <c r="H20">
        <f t="shared" si="5"/>
        <v>2270.4</v>
      </c>
      <c r="I20">
        <f t="shared" si="6"/>
        <v>0.40000000000009095</v>
      </c>
      <c r="J20">
        <f t="shared" si="7"/>
        <v>2.4999999999994316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VLOOKUP(L20,tables_572101!B:C,2,FALSE)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2.1022222222222223E-2</v>
      </c>
      <c r="C21" s="75">
        <f t="shared" si="2"/>
        <v>0</v>
      </c>
      <c r="D21" s="66">
        <f t="shared" si="3"/>
        <v>2.1022222222222223E-2</v>
      </c>
      <c r="E21">
        <f>COUNTIF(tables_572101!C:C,input_572101!A21)-COUNTIF(Q:Q,A21)</f>
        <v>40</v>
      </c>
      <c r="F21" s="37">
        <f t="shared" si="8"/>
        <v>5.2555555555555558E-4</v>
      </c>
      <c r="G21">
        <f t="shared" si="4"/>
        <v>18163.2</v>
      </c>
      <c r="H21">
        <f t="shared" si="5"/>
        <v>454.08</v>
      </c>
      <c r="I21">
        <f t="shared" si="6"/>
        <v>7.9999999999984084E-2</v>
      </c>
      <c r="J21">
        <f t="shared" si="7"/>
        <v>12.500000000002487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6.9510000000000002E-2</v>
      </c>
      <c r="C22" s="75">
        <f t="shared" si="2"/>
        <v>0</v>
      </c>
      <c r="D22" s="66">
        <f t="shared" si="3"/>
        <v>6.9510000000000002E-2</v>
      </c>
      <c r="E22">
        <f>COUNTIF(tables_572101!C:C,input_572101!A22)-COUNTIF(Q:Q,A22)</f>
        <v>14</v>
      </c>
      <c r="F22" s="37">
        <f t="shared" si="8"/>
        <v>4.9649999999999998E-3</v>
      </c>
      <c r="G22">
        <f t="shared" si="4"/>
        <v>60056.639999999999</v>
      </c>
      <c r="H22">
        <f t="shared" si="5"/>
        <v>4289.76</v>
      </c>
      <c r="I22">
        <f t="shared" si="6"/>
        <v>0.76000000000021828</v>
      </c>
      <c r="J22">
        <f t="shared" si="7"/>
        <v>1.3157894736838327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4.0677777777777813E-3</v>
      </c>
      <c r="C23" s="75">
        <f t="shared" si="2"/>
        <v>0</v>
      </c>
      <c r="D23" s="66">
        <f t="shared" si="3"/>
        <v>4.0677777777777813E-3</v>
      </c>
      <c r="E23">
        <f>COUNTIF(tables_572101!C:C,input_572101!A23)-COUNTIF(Q:Q,A23)</f>
        <v>19</v>
      </c>
      <c r="F23" s="37">
        <f t="shared" si="8"/>
        <v>2.1409356725146216E-4</v>
      </c>
      <c r="G23">
        <f t="shared" si="4"/>
        <v>3514.5600000000031</v>
      </c>
      <c r="H23">
        <f t="shared" si="5"/>
        <v>184.97684000000001</v>
      </c>
      <c r="I23">
        <f t="shared" si="6"/>
        <v>0.97684000000000992</v>
      </c>
      <c r="J23">
        <f t="shared" si="7"/>
        <v>1.0237091028213319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6.3066666666666679E-3</v>
      </c>
      <c r="C24" s="75">
        <f t="shared" si="2"/>
        <v>0</v>
      </c>
      <c r="D24" s="66">
        <f t="shared" si="3"/>
        <v>6.3066666666666679E-3</v>
      </c>
      <c r="E24">
        <f>COUNTIF(tables_572101!C:C,input_572101!A24)-COUNTIF(Q:Q,A24)</f>
        <v>3</v>
      </c>
      <c r="F24" s="37">
        <f t="shared" si="8"/>
        <v>2.1022222222222228E-3</v>
      </c>
      <c r="G24">
        <f t="shared" si="4"/>
        <v>5448.9600000000009</v>
      </c>
      <c r="H24">
        <f t="shared" si="5"/>
        <v>1816.32</v>
      </c>
      <c r="I24">
        <f t="shared" si="6"/>
        <v>0.31999999999993634</v>
      </c>
      <c r="J24">
        <f t="shared" si="7"/>
        <v>3.1250000000006217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7.8833333333333342E-3</v>
      </c>
      <c r="C25" s="75">
        <f t="shared" si="2"/>
        <v>0</v>
      </c>
      <c r="D25" s="66">
        <f t="shared" si="3"/>
        <v>7.8833333333333342E-3</v>
      </c>
      <c r="E25">
        <f>COUNTIF(tables_572101!C:C,input_572101!A25)-COUNTIF(Q:Q,A25)</f>
        <v>3</v>
      </c>
      <c r="F25" s="37">
        <f t="shared" si="8"/>
        <v>2.6277777777777779E-3</v>
      </c>
      <c r="G25">
        <f t="shared" si="4"/>
        <v>6811.2000000000007</v>
      </c>
      <c r="H25">
        <f t="shared" si="5"/>
        <v>2270.4</v>
      </c>
      <c r="I25">
        <f t="shared" si="6"/>
        <v>0.40000000000009095</v>
      </c>
      <c r="J25">
        <f t="shared" si="7"/>
        <v>2.4999999999994316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49" t="s">
        <v>181</v>
      </c>
      <c r="B26" s="48">
        <f>E$7*B$7*E26</f>
        <v>1.5766666666666668E-3</v>
      </c>
      <c r="C26" s="75">
        <f t="shared" si="2"/>
        <v>0</v>
      </c>
      <c r="D26" s="66">
        <f t="shared" si="3"/>
        <v>1.5766666666666668E-3</v>
      </c>
      <c r="E26">
        <f>COUNTIF(tables_572101!C:C,input_572101!A26)-COUNTIF(Q:Q,A26)</f>
        <v>3</v>
      </c>
      <c r="F26" s="37">
        <f t="shared" si="8"/>
        <v>5.2555555555555558E-4</v>
      </c>
      <c r="G26">
        <f t="shared" si="4"/>
        <v>1362.24</v>
      </c>
      <c r="H26">
        <f t="shared" si="5"/>
        <v>454.08</v>
      </c>
      <c r="I26">
        <f t="shared" si="6"/>
        <v>7.9999999999984084E-2</v>
      </c>
      <c r="J26">
        <f t="shared" si="7"/>
        <v>12.500000000002487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49" t="s">
        <v>90</v>
      </c>
      <c r="B27" s="48">
        <f>E$5*E27*(B$5+B$6)</f>
        <v>6.6666666666666688E-3</v>
      </c>
      <c r="C27" s="75">
        <f t="shared" si="2"/>
        <v>0</v>
      </c>
      <c r="D27" s="66">
        <f t="shared" ref="D27:D29" si="9">B27-C27</f>
        <v>6.6666666666666688E-3</v>
      </c>
      <c r="E27">
        <f>COUNTIF(tables_572101!C:C,input_572101!A27)-COUNTIF(Q:Q,A27)</f>
        <v>20</v>
      </c>
      <c r="F27" s="37">
        <f>IFERROR(B27/E27,0)</f>
        <v>3.3333333333333343E-4</v>
      </c>
      <c r="G27">
        <f t="shared" si="4"/>
        <v>5760.0000000000018</v>
      </c>
      <c r="H27">
        <f t="shared" ref="H27:H29" si="10">IFERROR(ROUND(G27/E27,5),0)</f>
        <v>288</v>
      </c>
      <c r="I27">
        <f t="shared" si="6"/>
        <v>0</v>
      </c>
      <c r="J27">
        <f t="shared" ref="J27:J29" si="11">IFERROR(1/I27,1)</f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49" t="s">
        <v>91</v>
      </c>
      <c r="B28" s="48">
        <f>E$5*E28*B$7</f>
        <v>7.4074074074074103E-4</v>
      </c>
      <c r="C28" s="75">
        <f t="shared" si="2"/>
        <v>0</v>
      </c>
      <c r="D28" s="66">
        <f t="shared" si="9"/>
        <v>7.4074074074074103E-4</v>
      </c>
      <c r="E28">
        <f>COUNTIF(tables_572101!C:C,input_572101!A28)-COUNTIF(Q:Q,A28)</f>
        <v>20</v>
      </c>
      <c r="F28" s="37">
        <f t="shared" si="8"/>
        <v>3.703703703703705E-5</v>
      </c>
      <c r="G28">
        <f t="shared" si="4"/>
        <v>640.00000000000023</v>
      </c>
      <c r="H28">
        <f t="shared" si="10"/>
        <v>32</v>
      </c>
      <c r="I28">
        <f t="shared" si="6"/>
        <v>0</v>
      </c>
      <c r="J28">
        <f t="shared" si="11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49" t="s">
        <v>250</v>
      </c>
      <c r="B29" s="48">
        <f>E$5*E29</f>
        <v>1.2592592592592596E-2</v>
      </c>
      <c r="C29" s="75">
        <f t="shared" si="2"/>
        <v>0</v>
      </c>
      <c r="D29" s="66">
        <f t="shared" si="9"/>
        <v>1.2592592592592596E-2</v>
      </c>
      <c r="E29">
        <f>COUNTIF(tables_572101!C:C,input_572101!A29)-COUNTIF(Q:Q,A29)</f>
        <v>34</v>
      </c>
      <c r="F29" s="37">
        <f t="shared" si="8"/>
        <v>3.7037037037037046E-4</v>
      </c>
      <c r="G29">
        <f t="shared" si="4"/>
        <v>10880.000000000004</v>
      </c>
      <c r="H29">
        <f t="shared" si="10"/>
        <v>320</v>
      </c>
      <c r="I29">
        <f t="shared" si="6"/>
        <v>0</v>
      </c>
      <c r="J29">
        <f t="shared" si="11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49" t="s">
        <v>243</v>
      </c>
      <c r="B30" s="48">
        <v>0</v>
      </c>
      <c r="C30" s="75">
        <f t="shared" si="2"/>
        <v>0</v>
      </c>
      <c r="D30" s="66">
        <f t="shared" ref="D30:D44" si="12">B30-C30</f>
        <v>0</v>
      </c>
      <c r="E30">
        <f>COUNTIF(tables_572101!C:C,input_572101!A30)-COUNTIF(Q:Q,A30)</f>
        <v>0</v>
      </c>
      <c r="F30" s="37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49" t="s">
        <v>244</v>
      </c>
      <c r="B31" s="48">
        <v>0</v>
      </c>
      <c r="C31" s="75">
        <f t="shared" si="2"/>
        <v>0</v>
      </c>
      <c r="D31" s="66">
        <f t="shared" si="12"/>
        <v>0</v>
      </c>
      <c r="E31">
        <f>COUNTIF(tables_572101!C:C,input_572101!A31)-COUNTIF(Q:Q,A31)</f>
        <v>0</v>
      </c>
      <c r="F31" s="37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49" t="s">
        <v>229</v>
      </c>
      <c r="B32" s="79">
        <f>B$5*0.6-B34-B39</f>
        <v>0.11701999999999999</v>
      </c>
      <c r="C32" s="75">
        <f t="shared" si="2"/>
        <v>0</v>
      </c>
      <c r="D32" s="66">
        <f t="shared" si="12"/>
        <v>0.11701999999999999</v>
      </c>
      <c r="E32">
        <f>COUNTIF(tables_572101!C:C,input_572101!A32)-COUNTIF(Q:Q,A32)</f>
        <v>5</v>
      </c>
      <c r="F32" s="37">
        <f>IFERROR(B32/E32,0)</f>
        <v>2.3403999999999998E-2</v>
      </c>
      <c r="G32">
        <f t="shared" si="4"/>
        <v>101105.27999999998</v>
      </c>
      <c r="H32">
        <f t="shared" si="13"/>
        <v>20221.056</v>
      </c>
      <c r="I32">
        <f t="shared" ref="I32:I46" si="15">MOD(H32,1)</f>
        <v>5.6000000000494765E-2</v>
      </c>
      <c r="J32">
        <f t="shared" si="14"/>
        <v>17.857142856985089</v>
      </c>
      <c r="M32" s="31"/>
      <c r="N32" s="54"/>
      <c r="O32" s="31"/>
      <c r="P32" s="31"/>
      <c r="Q32" s="31"/>
      <c r="R32" s="53"/>
    </row>
    <row r="33" spans="1:18" x14ac:dyDescent="0.15">
      <c r="A33" s="49" t="s">
        <v>230</v>
      </c>
      <c r="B33" s="48">
        <f>B6*0.6-SUM(B35,B37,B40,B42,B45)</f>
        <v>6.9300000000000472E-3</v>
      </c>
      <c r="C33" s="75">
        <f t="shared" si="2"/>
        <v>0</v>
      </c>
      <c r="D33" s="66">
        <f t="shared" si="12"/>
        <v>6.9300000000000472E-3</v>
      </c>
      <c r="E33">
        <f>COUNTIF(tables_572101!C:C,input_572101!A33)-COUNTIF(Q:Q,A33)</f>
        <v>5</v>
      </c>
      <c r="F33" s="37">
        <f>IFERROR(B33/E33,0)</f>
        <v>1.3860000000000094E-3</v>
      </c>
      <c r="G33">
        <f t="shared" si="4"/>
        <v>5987.5200000000405</v>
      </c>
      <c r="H33">
        <f t="shared" si="13"/>
        <v>1197.5039999999999</v>
      </c>
      <c r="I33">
        <f t="shared" si="15"/>
        <v>0.50399999999990541</v>
      </c>
      <c r="J33">
        <f t="shared" si="14"/>
        <v>1.9841269841273566</v>
      </c>
      <c r="M33" s="31"/>
      <c r="N33" s="54"/>
      <c r="O33" s="31"/>
      <c r="P33" s="31"/>
      <c r="Q33" s="31"/>
      <c r="R33" s="53"/>
    </row>
    <row r="34" spans="1:18" x14ac:dyDescent="0.15">
      <c r="A34" s="49" t="s">
        <v>231</v>
      </c>
      <c r="B34" s="72">
        <f>E$8*E34*B$5</f>
        <v>0.11352000000000001</v>
      </c>
      <c r="C34" s="75">
        <f t="shared" si="2"/>
        <v>0</v>
      </c>
      <c r="D34" s="66">
        <f t="shared" si="12"/>
        <v>0.11352000000000001</v>
      </c>
      <c r="E34">
        <f>COUNTIF(tables_572101!C:C,input_572101!A34)-COUNTIF(Q:Q,A34)</f>
        <v>12</v>
      </c>
      <c r="F34" s="37">
        <f t="shared" ref="F34:F41" si="16">IFERROR(B34/E34,0)</f>
        <v>9.4600000000000014E-3</v>
      </c>
      <c r="G34">
        <f t="shared" si="4"/>
        <v>98081.280000000013</v>
      </c>
      <c r="H34">
        <f t="shared" si="13"/>
        <v>8173.44</v>
      </c>
      <c r="I34">
        <f t="shared" si="15"/>
        <v>0.43999999999959982</v>
      </c>
      <c r="J34">
        <f t="shared" si="14"/>
        <v>2.2727272727293397</v>
      </c>
      <c r="M34" s="31"/>
      <c r="N34" s="54"/>
      <c r="O34" s="31"/>
      <c r="P34" s="31"/>
      <c r="Q34" s="31"/>
      <c r="R34" s="53"/>
    </row>
    <row r="35" spans="1:18" x14ac:dyDescent="0.15">
      <c r="A35" s="49" t="s">
        <v>228</v>
      </c>
      <c r="B35" s="48">
        <f>E$8*E35*B$6</f>
        <v>0.1419</v>
      </c>
      <c r="C35" s="75">
        <f t="shared" si="2"/>
        <v>0</v>
      </c>
      <c r="D35" s="66">
        <f t="shared" si="12"/>
        <v>0.1419</v>
      </c>
      <c r="E35">
        <f>COUNTIF(tables_572101!C:C,input_572101!A35)-COUNTIF(Q:Q,A35)</f>
        <v>12</v>
      </c>
      <c r="F35" s="37">
        <f t="shared" si="16"/>
        <v>1.1825E-2</v>
      </c>
      <c r="G35">
        <f t="shared" si="4"/>
        <v>122601.60000000001</v>
      </c>
      <c r="H35">
        <f t="shared" si="13"/>
        <v>10216.799999999999</v>
      </c>
      <c r="I35">
        <f t="shared" si="15"/>
        <v>0.7999999999992724</v>
      </c>
      <c r="J35">
        <f t="shared" si="14"/>
        <v>1.2500000000011369</v>
      </c>
      <c r="M35" s="31"/>
      <c r="N35" s="54"/>
      <c r="O35" s="31"/>
      <c r="P35" s="31"/>
      <c r="Q35" s="31"/>
      <c r="R35" s="53"/>
    </row>
    <row r="36" spans="1:18" x14ac:dyDescent="0.15">
      <c r="A36" s="49" t="s">
        <v>232</v>
      </c>
      <c r="B36" s="48">
        <f>B7*0.6-SUM(B38,B41,B43,B44,C46)</f>
        <v>2.1080000000000002E-2</v>
      </c>
      <c r="C36" s="75">
        <f t="shared" si="2"/>
        <v>0</v>
      </c>
      <c r="D36" s="66">
        <f t="shared" si="12"/>
        <v>2.1080000000000002E-2</v>
      </c>
      <c r="E36">
        <f>COUNTIF(tables_572101!C:C,input_572101!A36)-COUNTIF(Q:Q,A36)</f>
        <v>12</v>
      </c>
      <c r="F36" s="37">
        <f t="shared" si="16"/>
        <v>1.7566666666666668E-3</v>
      </c>
      <c r="G36">
        <f t="shared" si="4"/>
        <v>18213.120000000003</v>
      </c>
      <c r="H36">
        <f t="shared" si="13"/>
        <v>1517.76</v>
      </c>
      <c r="I36">
        <f t="shared" si="15"/>
        <v>0.75999999999999091</v>
      </c>
      <c r="J36">
        <f t="shared" si="14"/>
        <v>1.3157894736842262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49" t="s">
        <v>233</v>
      </c>
      <c r="B37" s="67">
        <f>E$8*E37-B38</f>
        <v>0.12734499999999999</v>
      </c>
      <c r="C37" s="75">
        <f t="shared" si="2"/>
        <v>0</v>
      </c>
      <c r="D37" s="66">
        <f t="shared" si="12"/>
        <v>0.12734499999999999</v>
      </c>
      <c r="E37">
        <f>COUNTIF(tables_572101!C:C,input_572101!A37)-COUNTIF(Q:Q,A37)</f>
        <v>6</v>
      </c>
      <c r="F37" s="37">
        <f t="shared" si="16"/>
        <v>2.1224166666666665E-2</v>
      </c>
      <c r="G37">
        <f t="shared" si="4"/>
        <v>110026.07999999999</v>
      </c>
      <c r="H37">
        <f t="shared" si="13"/>
        <v>18337.68</v>
      </c>
      <c r="I37">
        <f t="shared" si="15"/>
        <v>0.68000000000029104</v>
      </c>
      <c r="J37">
        <f t="shared" si="14"/>
        <v>1.4705882352934883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49" t="s">
        <v>234</v>
      </c>
      <c r="B38" s="61">
        <f>(E38*E8*B7)-C46/2</f>
        <v>1.4555E-2</v>
      </c>
      <c r="C38" s="75">
        <f t="shared" si="2"/>
        <v>0</v>
      </c>
      <c r="D38" s="66">
        <f t="shared" si="12"/>
        <v>1.4555E-2</v>
      </c>
      <c r="E38">
        <f>COUNTIF(tables_572101!C:C,input_572101!A38)-COUNTIF(Q:Q,A38)</f>
        <v>7</v>
      </c>
      <c r="F38" s="37">
        <f t="shared" si="16"/>
        <v>2.0792857142857145E-3</v>
      </c>
      <c r="G38">
        <f t="shared" si="4"/>
        <v>12575.52</v>
      </c>
      <c r="H38">
        <f t="shared" si="13"/>
        <v>1796.5028600000001</v>
      </c>
      <c r="I38">
        <f t="shared" si="15"/>
        <v>0.50286000000005515</v>
      </c>
      <c r="J38">
        <f t="shared" si="14"/>
        <v>1.9886250646300965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49" t="s">
        <v>235</v>
      </c>
      <c r="B39" s="48">
        <f>E$8*E39*B$5</f>
        <v>9.4600000000000014E-3</v>
      </c>
      <c r="C39" s="75">
        <f t="shared" si="2"/>
        <v>0</v>
      </c>
      <c r="D39" s="66">
        <f t="shared" si="12"/>
        <v>9.4600000000000014E-3</v>
      </c>
      <c r="E39">
        <f>COUNTIF(tables_572101!C:C,input_572101!A39)-COUNTIF(Q:Q,A39)</f>
        <v>1</v>
      </c>
      <c r="F39" s="37">
        <f t="shared" si="16"/>
        <v>9.4600000000000014E-3</v>
      </c>
      <c r="G39">
        <f t="shared" si="4"/>
        <v>8173.4400000000014</v>
      </c>
      <c r="H39">
        <f t="shared" si="13"/>
        <v>8173.44</v>
      </c>
      <c r="I39">
        <f t="shared" si="15"/>
        <v>0.43999999999959982</v>
      </c>
      <c r="J39">
        <f t="shared" si="14"/>
        <v>2.2727272727293397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49" t="s">
        <v>236</v>
      </c>
      <c r="B40" s="48">
        <f>E$8*B$6*E40</f>
        <v>1.1825E-2</v>
      </c>
      <c r="C40" s="75">
        <f t="shared" si="2"/>
        <v>0</v>
      </c>
      <c r="D40" s="66">
        <f t="shared" si="12"/>
        <v>1.1825E-2</v>
      </c>
      <c r="E40">
        <f>COUNTIF(tables_572101!C:C,input_572101!A40)-COUNTIF(Q:Q,A40)</f>
        <v>1</v>
      </c>
      <c r="F40" s="37">
        <f t="shared" si="16"/>
        <v>1.1825E-2</v>
      </c>
      <c r="G40">
        <f t="shared" si="4"/>
        <v>10216.800000000001</v>
      </c>
      <c r="H40">
        <f t="shared" si="13"/>
        <v>10216.799999999999</v>
      </c>
      <c r="I40">
        <f t="shared" si="15"/>
        <v>0.7999999999992724</v>
      </c>
      <c r="J40">
        <f t="shared" si="14"/>
        <v>1.2500000000011369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49" t="s">
        <v>237</v>
      </c>
      <c r="B41" s="48">
        <f>E$8*B$7*E41</f>
        <v>2.3650000000000003E-3</v>
      </c>
      <c r="C41" s="75">
        <f t="shared" si="2"/>
        <v>0</v>
      </c>
      <c r="D41" s="66">
        <f t="shared" si="12"/>
        <v>2.3650000000000003E-3</v>
      </c>
      <c r="E41">
        <f>COUNTIF(tables_572101!C:C,input_572101!A41)-COUNTIF(Q:Q,A41)</f>
        <v>1</v>
      </c>
      <c r="F41" s="37">
        <f t="shared" si="16"/>
        <v>2.3650000000000003E-3</v>
      </c>
      <c r="G41">
        <f t="shared" si="4"/>
        <v>2043.3600000000004</v>
      </c>
      <c r="H41">
        <f t="shared" si="13"/>
        <v>2043.36</v>
      </c>
      <c r="I41">
        <f t="shared" si="15"/>
        <v>0.35999999999989996</v>
      </c>
      <c r="J41">
        <f t="shared" si="14"/>
        <v>2.7777777777785495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49" t="s">
        <v>238</v>
      </c>
      <c r="B42" s="48">
        <f>E$6*E42*(B$5+B$6)</f>
        <v>1.2E-2</v>
      </c>
      <c r="C42" s="75">
        <f t="shared" si="2"/>
        <v>0</v>
      </c>
      <c r="D42" s="66">
        <f t="shared" si="12"/>
        <v>1.2E-2</v>
      </c>
      <c r="E42">
        <f>COUNTIF(tables_572101!C:C,input_572101!A42)-COUNTIF(Q:Q,A42)</f>
        <v>8</v>
      </c>
      <c r="F42" s="37">
        <f>IFERROR(B42/E42,0)</f>
        <v>1.5E-3</v>
      </c>
      <c r="G42">
        <f t="shared" si="4"/>
        <v>10368</v>
      </c>
      <c r="H42">
        <f t="shared" si="13"/>
        <v>1296</v>
      </c>
      <c r="I42">
        <f t="shared" si="15"/>
        <v>0</v>
      </c>
      <c r="J42">
        <f t="shared" si="14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49" t="s">
        <v>239</v>
      </c>
      <c r="B43" s="48">
        <f>E$6*E43*B$7</f>
        <v>1.3333333333333333E-3</v>
      </c>
      <c r="C43" s="75">
        <f t="shared" si="2"/>
        <v>0</v>
      </c>
      <c r="D43" s="66">
        <f t="shared" si="12"/>
        <v>1.3333333333333333E-3</v>
      </c>
      <c r="E43">
        <f>COUNTIF(tables_572101!C:C,input_572101!A43)-COUNTIF(Q:Q,A43)</f>
        <v>8</v>
      </c>
      <c r="F43" s="37">
        <f t="shared" ref="F43:F46" si="17">IFERROR(B43/E43,0)</f>
        <v>1.6666666666666666E-4</v>
      </c>
      <c r="G43">
        <f t="shared" si="4"/>
        <v>1152</v>
      </c>
      <c r="H43">
        <f t="shared" si="13"/>
        <v>144</v>
      </c>
      <c r="I43">
        <f t="shared" si="15"/>
        <v>0</v>
      </c>
      <c r="J43">
        <f t="shared" si="14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49" t="s">
        <v>240</v>
      </c>
      <c r="B44" s="48">
        <f>E$6*E44</f>
        <v>1.6666666666666666E-2</v>
      </c>
      <c r="C44" s="75">
        <f t="shared" si="2"/>
        <v>0</v>
      </c>
      <c r="D44" s="66">
        <f t="shared" si="12"/>
        <v>1.6666666666666666E-2</v>
      </c>
      <c r="E44">
        <f>COUNTIF(tables_572101!C:C,input_572101!A44)-COUNTIF(Q:Q,A44)</f>
        <v>10</v>
      </c>
      <c r="F44" s="37">
        <f t="shared" si="17"/>
        <v>1.6666666666666666E-3</v>
      </c>
      <c r="G44">
        <f t="shared" si="4"/>
        <v>14400</v>
      </c>
      <c r="H44">
        <f t="shared" si="13"/>
        <v>1440</v>
      </c>
      <c r="I44">
        <f t="shared" si="15"/>
        <v>0</v>
      </c>
      <c r="J44">
        <f t="shared" si="14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49" t="s">
        <v>241</v>
      </c>
      <c r="B45" s="48">
        <v>0</v>
      </c>
      <c r="C45" s="75">
        <f t="shared" si="2"/>
        <v>0</v>
      </c>
      <c r="D45" s="66">
        <f t="shared" ref="D45:D46" si="18">B45-C45</f>
        <v>0</v>
      </c>
      <c r="E45">
        <f>COUNTIF(tables_572101!C:C,input_572101!A45)-COUNTIF(Q:Q,A45)</f>
        <v>0</v>
      </c>
      <c r="F45" s="37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4.0000000000000001E-3</v>
      </c>
      <c r="C46" s="75">
        <f>SUMIF(Q:Q,A46,N:N)</f>
        <v>4.0000000000000001E-3</v>
      </c>
      <c r="D46" s="66">
        <f t="shared" si="18"/>
        <v>0</v>
      </c>
      <c r="E46">
        <f>COUNTIF(tables_572101!C:C,input_572101!A46)-COUNTIF(Q:Q,A46)</f>
        <v>0</v>
      </c>
      <c r="F46" s="37">
        <f t="shared" si="17"/>
        <v>0</v>
      </c>
      <c r="G46">
        <f t="shared" si="4"/>
        <v>3456</v>
      </c>
      <c r="H46">
        <f t="shared" si="19"/>
        <v>0</v>
      </c>
      <c r="I46">
        <f t="shared" si="15"/>
        <v>0</v>
      </c>
      <c r="J46">
        <f t="shared" si="20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5">
        <f>SUM(C17:C46)</f>
        <v>4.0000000000000001E-3</v>
      </c>
      <c r="D47" s="36">
        <f t="shared" ref="D47" si="21">B47-C47</f>
        <v>0.996</v>
      </c>
      <c r="L47" s="49"/>
      <c r="M47" s="49"/>
      <c r="N47" s="49"/>
      <c r="O47" s="49"/>
      <c r="P47" s="49"/>
      <c r="Q47" s="49"/>
      <c r="R47" s="51"/>
    </row>
    <row r="48" spans="1:18" x14ac:dyDescent="0.15">
      <c r="E48" s="83"/>
      <c r="F48" s="91"/>
      <c r="G48" s="93"/>
    </row>
    <row r="49" spans="1:8" x14ac:dyDescent="0.15">
      <c r="C49" s="78"/>
      <c r="E49" s="83"/>
      <c r="F49" s="83"/>
      <c r="G49" s="94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89"/>
    </row>
    <row r="51" spans="1:8" x14ac:dyDescent="0.15">
      <c r="A51" s="26">
        <f>LCM(F5-I5,F7-I6)*1000*2*2</f>
        <v>864000</v>
      </c>
      <c r="C51" s="78"/>
      <c r="D51" s="80"/>
      <c r="E51" s="83"/>
      <c r="F51" s="83"/>
      <c r="G51" s="88"/>
      <c r="H51" s="89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194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SUMIF(tables_572101!C:C,input_572101!A55,tables_572101!O:O)</f>
        <v>72652.800000000017</v>
      </c>
      <c r="C55" s="46">
        <f t="shared" ref="C55:C61" ca="1" si="22">B55/B$62</f>
        <v>0.38638529611980948</v>
      </c>
      <c r="E55">
        <v>3</v>
      </c>
      <c r="F55">
        <f ca="1">SUMIF(tables_572101!J:J,input_572101!E55,tables_572101!O:O)</f>
        <v>345600.00000000029</v>
      </c>
      <c r="G55" s="81">
        <f ca="1">F55/A51</f>
        <v>0.40000000000000036</v>
      </c>
      <c r="H55" s="47">
        <f>B17+B19+B24+B32+B34+B39</f>
        <v>0.4</v>
      </c>
    </row>
    <row r="56" spans="1:8" x14ac:dyDescent="0.15">
      <c r="A56" s="27" t="s">
        <v>88</v>
      </c>
      <c r="B56">
        <f ca="1">SUMIF(tables_572101!C:C,input_572101!A56,tables_572101!O:O)</f>
        <v>90815.999999999956</v>
      </c>
      <c r="C56" s="46">
        <f t="shared" ca="1" si="22"/>
        <v>0.48298162014976154</v>
      </c>
      <c r="E56">
        <v>4</v>
      </c>
      <c r="F56">
        <f ca="1">SUMIF(tables_572101!J:J,input_572101!E56,tables_572101!O:O)</f>
        <v>431999.99999999994</v>
      </c>
      <c r="G56" s="81">
        <f ca="1">F56/A51</f>
        <v>0.49999999999999994</v>
      </c>
      <c r="H56" s="47">
        <f>B18+B20+B22+B25+B27+B30+B33+B35+B37+B40+B42+B45</f>
        <v>0.5</v>
      </c>
    </row>
    <row r="57" spans="1:8" x14ac:dyDescent="0.15">
      <c r="A57" s="27" t="s">
        <v>93</v>
      </c>
      <c r="B57">
        <f ca="1">SUMIF(tables_572101!C:C,input_572101!A57,tables_572101!O:O)</f>
        <v>5760</v>
      </c>
      <c r="C57" s="46">
        <f t="shared" ca="1" si="22"/>
        <v>3.0633083730428862E-2</v>
      </c>
      <c r="E57">
        <v>5</v>
      </c>
      <c r="F57">
        <f ca="1">SUMIF(tables_572101!J:J,input_572101!E57,tables_572101!O:O)</f>
        <v>86399.999980000081</v>
      </c>
      <c r="G57" s="81">
        <f ca="1">F57/A51</f>
        <v>9.9999999976851939E-2</v>
      </c>
      <c r="H57" s="47">
        <f>B21+B23+B26+B28+B29+B31+B36+B38+B41+B43+B44+B46</f>
        <v>0.10000000000000002</v>
      </c>
    </row>
    <row r="58" spans="1:8" x14ac:dyDescent="0.15">
      <c r="A58" s="27" t="s">
        <v>94</v>
      </c>
      <c r="B58">
        <f>SUMIF(tables_572101!C:C,input_572101!A58,tables_572101!O:O)</f>
        <v>0</v>
      </c>
      <c r="C58" s="46">
        <f t="shared" ca="1" si="22"/>
        <v>0</v>
      </c>
      <c r="F58" s="47"/>
    </row>
    <row r="59" spans="1:8" x14ac:dyDescent="0.15">
      <c r="A59" s="27" t="s">
        <v>89</v>
      </c>
      <c r="B59">
        <f ca="1">SUMIF(tables_572101!C:C,input_572101!A59,tables_572101!O:O)</f>
        <v>18163.200000000004</v>
      </c>
      <c r="C59" s="46">
        <f t="shared" ca="1" si="22"/>
        <v>9.6596324029952371E-2</v>
      </c>
      <c r="E59" t="s">
        <v>85</v>
      </c>
      <c r="F59" s="47"/>
    </row>
    <row r="60" spans="1:8" x14ac:dyDescent="0.15">
      <c r="A60" s="27" t="s">
        <v>95</v>
      </c>
      <c r="B60">
        <f ca="1">SUMIF(tables_572101!C:C,input_572101!A60,tables_572101!O:O)</f>
        <v>640</v>
      </c>
      <c r="C60" s="46">
        <f t="shared" ca="1" si="22"/>
        <v>3.4036759700476512E-3</v>
      </c>
      <c r="E60" t="s">
        <v>190</v>
      </c>
      <c r="F60" s="104">
        <f ca="1">SUMIF(tables_572101!I:I,input_572101!E60,tables_572101!P:P)</f>
        <v>0.20753308687980379</v>
      </c>
    </row>
    <row r="61" spans="1:8" x14ac:dyDescent="0.15">
      <c r="A61" s="27" t="s">
        <v>96</v>
      </c>
      <c r="B61">
        <f>SUMIF(tables_572101!C:C,input_572101!A61,tables_572101!O:O)</f>
        <v>0</v>
      </c>
      <c r="C61" s="46">
        <f t="shared" ca="1" si="22"/>
        <v>0</v>
      </c>
      <c r="E61" t="s">
        <v>191</v>
      </c>
      <c r="F61" s="104">
        <f ca="1">SUMIF(tables_572101!I:I,input_572101!E61,tables_572101!P:P)</f>
        <v>0.19465000000450536</v>
      </c>
    </row>
    <row r="62" spans="1:8" x14ac:dyDescent="0.15">
      <c r="A62" s="33" t="s">
        <v>42</v>
      </c>
      <c r="B62">
        <f ca="1">SUM(B55:B61)</f>
        <v>188032</v>
      </c>
      <c r="C62" s="47">
        <f ca="1">SUM(C55:C61)</f>
        <v>0.99999999999999978</v>
      </c>
      <c r="E62" t="s">
        <v>192</v>
      </c>
      <c r="F62" s="104">
        <f ca="1">SUMIF(tables_572101!I:I,input_572101!E62,tables_572101!P:P)</f>
        <v>0.54381691311443858</v>
      </c>
    </row>
    <row r="63" spans="1:8" x14ac:dyDescent="0.15">
      <c r="E63" t="s">
        <v>193</v>
      </c>
      <c r="F63" s="104">
        <f ca="1">SUMIF(tables_572101!I:I,input_572101!E63,tables_572101!P:P)</f>
        <v>4.4074074075094262E-2</v>
      </c>
      <c r="G63" s="84"/>
    </row>
    <row r="64" spans="1:8" x14ac:dyDescent="0.15">
      <c r="E64" t="s">
        <v>249</v>
      </c>
      <c r="F64" s="104">
        <f ca="1">SUMIF(tables_572101!I:I,input_572101!E64,tables_572101!P:P)</f>
        <v>5.925925926063092E-3</v>
      </c>
    </row>
    <row r="65" spans="5:6" x14ac:dyDescent="0.15">
      <c r="E65" t="s">
        <v>248</v>
      </c>
      <c r="F65" s="104">
        <f ca="1">SUMIF(tables_572101!I:I,input_572101!E65,tables_572101!P:P)</f>
        <v>4.0000000000925875E-3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56"/>
  <sheetViews>
    <sheetView showGridLines="0" workbookViewId="0">
      <pane ySplit="1" topLeftCell="A324" activePane="bottomLeft" state="frozen"/>
      <selection activeCell="H10" sqref="H10"/>
      <selection pane="bottomLeft" activeCell="R356" sqref="R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5.3984375" style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20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27</v>
      </c>
      <c r="P1" s="3" t="s">
        <v>59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input_572101!A$2</f>
        <v>572101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">
        <v>35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IFERROR(VLOOKUP(B2,input_572101!L:R,7,FALSE),VLOOKUP(tables_572101!C2,input_572101!A:H,8,FALSE))</f>
        <v>20221.056</v>
      </c>
      <c r="P2" s="40">
        <f t="shared" ref="P2:P65" ca="1" si="1">O2/SUM(O:O)</f>
        <v>2.3404000000541731E-2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input_572101!A$2</f>
        <v>572101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">
        <v>35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IFERROR(VLOOKUP(B3,input_572101!L:R,7,FALSE),VLOOKUP(tables_572101!C3,input_572101!A:H,8,FALSE))</f>
        <v>1197.5039999999999</v>
      </c>
      <c r="P3" s="40">
        <f t="shared" ca="1" si="1"/>
        <v>1.3860000000320816E-3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input_572101!A$2</f>
        <v>572101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IFERROR(VLOOKUP(B4,input_572101!L:R,7,FALSE),VLOOKUP(tables_572101!C4,input_572101!A:H,8,FALSE))</f>
        <v>4009.2159999999999</v>
      </c>
      <c r="P4" s="40">
        <f t="shared" ca="1" si="1"/>
        <v>4.6402962964037049E-3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input_572101!A$2</f>
        <v>572101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IFERROR(VLOOKUP(B5,input_572101!L:R,7,FALSE),VLOOKUP(tables_572101!C5,input_572101!A:H,8,FALSE))</f>
        <v>623.74400000000003</v>
      </c>
      <c r="P5" s="40">
        <f t="shared" ca="1" si="1"/>
        <v>7.2192592594263636E-4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input_572101!A$2</f>
        <v>572101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IFERROR(VLOOKUP(B6,input_572101!L:R,7,FALSE),VLOOKUP(tables_572101!C6,input_572101!A:H,8,FALSE))</f>
        <v>4009.2159999999999</v>
      </c>
      <c r="P6" s="40">
        <f t="shared" ca="1" si="1"/>
        <v>4.6402962964037049E-3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input_572101!A$2</f>
        <v>572101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IFERROR(VLOOKUP(B7,input_572101!L:R,7,FALSE),VLOOKUP(tables_572101!C7,input_572101!A:H,8,FALSE))</f>
        <v>623.74400000000003</v>
      </c>
      <c r="P7" s="40">
        <f t="shared" ca="1" si="1"/>
        <v>7.2192592594263636E-4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input_572101!A$2</f>
        <v>572101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IFERROR(VLOOKUP(B8,input_572101!L:R,7,FALSE),VLOOKUP(tables_572101!C8,input_572101!A:H,8,FALSE))</f>
        <v>4009.2159999999999</v>
      </c>
      <c r="P8" s="40">
        <f t="shared" ca="1" si="1"/>
        <v>4.6402962964037049E-3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input_572101!A$2</f>
        <v>572101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IFERROR(VLOOKUP(B9,input_572101!L:R,7,FALSE),VLOOKUP(tables_572101!C9,input_572101!A:H,8,FALSE))</f>
        <v>623.74400000000003</v>
      </c>
      <c r="P9" s="40">
        <f t="shared" ca="1" si="1"/>
        <v>7.2192592594263636E-4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input_572101!A$2</f>
        <v>572101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">
        <v>35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IFERROR(VLOOKUP(B10,input_572101!L:R,7,FALSE),VLOOKUP(tables_572101!C10,input_572101!A:H,8,FALSE))</f>
        <v>20221.056</v>
      </c>
      <c r="P10" s="40">
        <f t="shared" ca="1" si="1"/>
        <v>2.3404000000541731E-2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input_572101!A$2</f>
        <v>572101</v>
      </c>
      <c r="B11" s="8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">
        <v>35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IFERROR(VLOOKUP(B11,input_572101!L:R,7,FALSE),VLOOKUP(tables_572101!C11,input_572101!A:H,8,FALSE))</f>
        <v>1197.5039999999999</v>
      </c>
      <c r="P11" s="40">
        <f t="shared" ca="1" si="1"/>
        <v>1.3860000000320816E-3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input_572101!A$2</f>
        <v>572101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IFERROR(VLOOKUP(B12,input_572101!L:R,7,FALSE),VLOOKUP(tables_572101!C12,input_572101!A:H,8,FALSE))</f>
        <v>4009.2159999999999</v>
      </c>
      <c r="P12" s="40">
        <f t="shared" ca="1" si="1"/>
        <v>4.6402962964037049E-3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input_572101!A$2</f>
        <v>572101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IFERROR(VLOOKUP(B13,input_572101!L:R,7,FALSE),VLOOKUP(tables_572101!C13,input_572101!A:H,8,FALSE))</f>
        <v>623.74400000000003</v>
      </c>
      <c r="P13" s="40">
        <f t="shared" ca="1" si="1"/>
        <v>7.2192592594263636E-4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input_572101!A$2</f>
        <v>572101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IFERROR(VLOOKUP(B14,input_572101!L:R,7,FALSE),VLOOKUP(tables_572101!C14,input_572101!A:H,8,FALSE))</f>
        <v>4009.2159999999999</v>
      </c>
      <c r="P14" s="40">
        <f t="shared" ca="1" si="1"/>
        <v>4.6402962964037049E-3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input_572101!A$2</f>
        <v>572101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IFERROR(VLOOKUP(B15,input_572101!L:R,7,FALSE),VLOOKUP(tables_572101!C15,input_572101!A:H,8,FALSE))</f>
        <v>623.74400000000003</v>
      </c>
      <c r="P15" s="40">
        <f t="shared" ca="1" si="1"/>
        <v>7.2192592594263636E-4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input_572101!A$2</f>
        <v>572101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IFERROR(VLOOKUP(B16,input_572101!L:R,7,FALSE),VLOOKUP(tables_572101!C16,input_572101!A:H,8,FALSE))</f>
        <v>4009.2159999999999</v>
      </c>
      <c r="P16" s="40">
        <f t="shared" ca="1" si="1"/>
        <v>4.6402962964037049E-3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input_572101!A$2</f>
        <v>572101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IFERROR(VLOOKUP(B17,input_572101!L:R,7,FALSE),VLOOKUP(tables_572101!C17,input_572101!A:H,8,FALSE))</f>
        <v>623.74400000000003</v>
      </c>
      <c r="P17" s="40">
        <f t="shared" ca="1" si="1"/>
        <v>7.2192592594263636E-4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input_572101!A$2</f>
        <v>572101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">
        <v>35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IFERROR(VLOOKUP(B18,input_572101!L:R,7,FALSE),VLOOKUP(tables_572101!C18,input_572101!A:H,8,FALSE))</f>
        <v>20221.056</v>
      </c>
      <c r="P18" s="40">
        <f t="shared" ca="1" si="1"/>
        <v>2.3404000000541731E-2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input_572101!A$2</f>
        <v>572101</v>
      </c>
      <c r="B19" s="10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">
        <v>35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IFERROR(VLOOKUP(B19,input_572101!L:R,7,FALSE),VLOOKUP(tables_572101!C19,input_572101!A:H,8,FALSE))</f>
        <v>1197.5039999999999</v>
      </c>
      <c r="P19" s="40">
        <f t="shared" ca="1" si="1"/>
        <v>1.3860000000320816E-3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input_572101!A$2</f>
        <v>572101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IFERROR(VLOOKUP(B20,input_572101!L:R,7,FALSE),VLOOKUP(tables_572101!C20,input_572101!A:H,8,FALSE))</f>
        <v>4009.2159999999999</v>
      </c>
      <c r="P20" s="40">
        <f t="shared" ca="1" si="1"/>
        <v>4.6402962964037049E-3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input_572101!A$2</f>
        <v>572101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IFERROR(VLOOKUP(B21,input_572101!L:R,7,FALSE),VLOOKUP(tables_572101!C21,input_572101!A:H,8,FALSE))</f>
        <v>623.74400000000003</v>
      </c>
      <c r="P21" s="40">
        <f t="shared" ca="1" si="1"/>
        <v>7.2192592594263636E-4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input_572101!A$2</f>
        <v>572101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IFERROR(VLOOKUP(B22,input_572101!L:R,7,FALSE),VLOOKUP(tables_572101!C22,input_572101!A:H,8,FALSE))</f>
        <v>4009.2159999999999</v>
      </c>
      <c r="P22" s="40">
        <f t="shared" ca="1" si="1"/>
        <v>4.6402962964037049E-3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input_572101!A$2</f>
        <v>572101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IFERROR(VLOOKUP(B23,input_572101!L:R,7,FALSE),VLOOKUP(tables_572101!C23,input_572101!A:H,8,FALSE))</f>
        <v>623.74400000000003</v>
      </c>
      <c r="P23" s="40">
        <f t="shared" ca="1" si="1"/>
        <v>7.2192592594263636E-4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input_572101!A$2</f>
        <v>572101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IFERROR(VLOOKUP(B24,input_572101!L:R,7,FALSE),VLOOKUP(tables_572101!C24,input_572101!A:H,8,FALSE))</f>
        <v>4009.2159999999999</v>
      </c>
      <c r="P24" s="40">
        <f t="shared" ca="1" si="1"/>
        <v>4.6402962964037049E-3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input_572101!A$2</f>
        <v>572101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IFERROR(VLOOKUP(B25,input_572101!L:R,7,FALSE),VLOOKUP(tables_572101!C25,input_572101!A:H,8,FALSE))</f>
        <v>623.74400000000003</v>
      </c>
      <c r="P25" s="40">
        <f t="shared" ca="1" si="1"/>
        <v>7.2192592594263636E-4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input_572101!A$2</f>
        <v>572101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">
        <v>35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IFERROR(VLOOKUP(B26,input_572101!L:R,7,FALSE),VLOOKUP(tables_572101!C26,input_572101!A:H,8,FALSE))</f>
        <v>20221.056</v>
      </c>
      <c r="P26" s="40">
        <f t="shared" ca="1" si="1"/>
        <v>2.3404000000541731E-2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input_572101!A$2</f>
        <v>572101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">
        <v>35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IFERROR(VLOOKUP(B27,input_572101!L:R,7,FALSE),VLOOKUP(tables_572101!C27,input_572101!A:H,8,FALSE))</f>
        <v>1197.5039999999999</v>
      </c>
      <c r="P27" s="40">
        <f t="shared" ca="1" si="1"/>
        <v>1.3860000000320816E-3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input_572101!A$2</f>
        <v>572101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IFERROR(VLOOKUP(B28,input_572101!L:R,7,FALSE),VLOOKUP(tables_572101!C28,input_572101!A:H,8,FALSE))</f>
        <v>4009.2159999999999</v>
      </c>
      <c r="P28" s="40">
        <f t="shared" ca="1" si="1"/>
        <v>4.6402962964037049E-3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input_572101!A$2</f>
        <v>572101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IFERROR(VLOOKUP(B29,input_572101!L:R,7,FALSE),VLOOKUP(tables_572101!C29,input_572101!A:H,8,FALSE))</f>
        <v>623.74400000000003</v>
      </c>
      <c r="P29" s="40">
        <f t="shared" ca="1" si="1"/>
        <v>7.2192592594263636E-4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input_572101!A$2</f>
        <v>572101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IFERROR(VLOOKUP(B30,input_572101!L:R,7,FALSE),VLOOKUP(tables_572101!C30,input_572101!A:H,8,FALSE))</f>
        <v>4009.2159999999999</v>
      </c>
      <c r="P30" s="40">
        <f t="shared" ca="1" si="1"/>
        <v>4.6402962964037049E-3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input_572101!A$2</f>
        <v>572101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IFERROR(VLOOKUP(B31,input_572101!L:R,7,FALSE),VLOOKUP(tables_572101!C31,input_572101!A:H,8,FALSE))</f>
        <v>623.74400000000003</v>
      </c>
      <c r="P31" s="40">
        <f t="shared" ca="1" si="1"/>
        <v>7.2192592594263636E-4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input_572101!A$2</f>
        <v>572101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IFERROR(VLOOKUP(B32,input_572101!L:R,7,FALSE),VLOOKUP(tables_572101!C32,input_572101!A:H,8,FALSE))</f>
        <v>4009.2159999999999</v>
      </c>
      <c r="P32" s="40">
        <f t="shared" ca="1" si="1"/>
        <v>4.6402962964037049E-3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input_572101!A$2</f>
        <v>572101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IFERROR(VLOOKUP(B33,input_572101!L:R,7,FALSE),VLOOKUP(tables_572101!C33,input_572101!A:H,8,FALSE))</f>
        <v>623.74400000000003</v>
      </c>
      <c r="P33" s="40">
        <f t="shared" ca="1" si="1"/>
        <v>7.2192592594263636E-4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input_572101!A$2</f>
        <v>572101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">
        <v>35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IFERROR(VLOOKUP(B34,input_572101!L:R,7,FALSE),VLOOKUP(tables_572101!C34,input_572101!A:H,8,FALSE))</f>
        <v>20221.056</v>
      </c>
      <c r="P34" s="40">
        <f t="shared" ca="1" si="1"/>
        <v>2.3404000000541731E-2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input_572101!A$2</f>
        <v>572101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">
        <v>35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IFERROR(VLOOKUP(B35,input_572101!L:R,7,FALSE),VLOOKUP(tables_572101!C35,input_572101!A:H,8,FALSE))</f>
        <v>1197.5039999999999</v>
      </c>
      <c r="P35" s="40">
        <f t="shared" ca="1" si="1"/>
        <v>1.3860000000320816E-3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input_572101!A$2</f>
        <v>572101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IFERROR(VLOOKUP(B36,input_572101!L:R,7,FALSE),VLOOKUP(tables_572101!C36,input_572101!A:H,8,FALSE))</f>
        <v>4009.2159999999999</v>
      </c>
      <c r="P36" s="40">
        <f t="shared" ca="1" si="1"/>
        <v>4.6402962964037049E-3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input_572101!A$2</f>
        <v>572101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IFERROR(VLOOKUP(B37,input_572101!L:R,7,FALSE),VLOOKUP(tables_572101!C37,input_572101!A:H,8,FALSE))</f>
        <v>623.74400000000003</v>
      </c>
      <c r="P37" s="40">
        <f t="shared" ca="1" si="1"/>
        <v>7.2192592594263636E-4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input_572101!A$2</f>
        <v>572101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IFERROR(VLOOKUP(B38,input_572101!L:R,7,FALSE),VLOOKUP(tables_572101!C38,input_572101!A:H,8,FALSE))</f>
        <v>4009.2159999999999</v>
      </c>
      <c r="P38" s="40">
        <f t="shared" ca="1" si="1"/>
        <v>4.6402962964037049E-3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input_572101!A$2</f>
        <v>572101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IFERROR(VLOOKUP(B39,input_572101!L:R,7,FALSE),VLOOKUP(tables_572101!C39,input_572101!A:H,8,FALSE))</f>
        <v>623.74400000000003</v>
      </c>
      <c r="P39" s="40">
        <f t="shared" ca="1" si="1"/>
        <v>7.2192592594263636E-4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input_572101!A$2</f>
        <v>572101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IFERROR(VLOOKUP(B40,input_572101!L:R,7,FALSE),VLOOKUP(tables_572101!C40,input_572101!A:H,8,FALSE))</f>
        <v>4009.2159999999999</v>
      </c>
      <c r="P40" s="40">
        <f t="shared" ca="1" si="1"/>
        <v>4.6402962964037049E-3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input_572101!A$2</f>
        <v>572101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IFERROR(VLOOKUP(B41,input_572101!L:R,7,FALSE),VLOOKUP(tables_572101!C41,input_572101!A:H,8,FALSE))</f>
        <v>623.74400000000003</v>
      </c>
      <c r="P41" s="40">
        <f t="shared" ca="1" si="1"/>
        <v>7.2192592594263636E-4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input_572101!A$2</f>
        <v>572101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">
        <v>35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IFERROR(VLOOKUP(B42,input_572101!L:R,7,FALSE),VLOOKUP(tables_572101!C42,input_572101!A:H,8,FALSE))</f>
        <v>8173.44</v>
      </c>
      <c r="P42" s="40">
        <f t="shared" ca="1" si="1"/>
        <v>9.4600000002189703E-3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input_572101!A$2</f>
        <v>572101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">
        <v>35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IFERROR(VLOOKUP(B43,input_572101!L:R,7,FALSE),VLOOKUP(tables_572101!C43,input_572101!A:H,8,FALSE))</f>
        <v>10216.799999999999</v>
      </c>
      <c r="P43" s="40">
        <f t="shared" ca="1" si="1"/>
        <v>1.1825000000273712E-2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input_572101!A$2</f>
        <v>572101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">
        <v>35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IFERROR(VLOOKUP(B44,input_572101!L:R,7,FALSE),VLOOKUP(tables_572101!C44,input_572101!A:H,8,FALSE))</f>
        <v>2043.36</v>
      </c>
      <c r="P44" s="40">
        <f t="shared" ca="1" si="1"/>
        <v>2.3650000000547426E-3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input_572101!A$2</f>
        <v>572101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IFERROR(VLOOKUP(B45,input_572101!L:R,7,FALSE),VLOOKUP(tables_572101!C45,input_572101!A:H,8,FALSE))</f>
        <v>1816.32</v>
      </c>
      <c r="P45" s="40">
        <f t="shared" ca="1" si="1"/>
        <v>2.1022222222708822E-3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input_572101!A$2</f>
        <v>572101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IFERROR(VLOOKUP(B46,input_572101!L:R,7,FALSE),VLOOKUP(tables_572101!C46,input_572101!A:H,8,FALSE))</f>
        <v>2270.4</v>
      </c>
      <c r="P46" s="40">
        <f t="shared" ca="1" si="1"/>
        <v>2.627777777838603E-3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input_572101!A$2</f>
        <v>572101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IFERROR(VLOOKUP(B47,input_572101!L:R,7,FALSE),VLOOKUP(tables_572101!C47,input_572101!A:H,8,FALSE))</f>
        <v>454.08</v>
      </c>
      <c r="P47" s="40">
        <f t="shared" ca="1" si="1"/>
        <v>5.2555555556772055E-4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input_572101!A$2</f>
        <v>572101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IFERROR(VLOOKUP(B48,input_572101!L:R,7,FALSE),VLOOKUP(tables_572101!C48,input_572101!A:H,8,FALSE))</f>
        <v>1816.32</v>
      </c>
      <c r="P48" s="40">
        <f t="shared" ca="1" si="1"/>
        <v>2.1022222222708822E-3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input_572101!A$2</f>
        <v>572101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IFERROR(VLOOKUP(B49,input_572101!L:R,7,FALSE),VLOOKUP(tables_572101!C49,input_572101!A:H,8,FALSE))</f>
        <v>2270.4</v>
      </c>
      <c r="P49" s="40">
        <f t="shared" ca="1" si="1"/>
        <v>2.627777777838603E-3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input_572101!A$2</f>
        <v>572101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IFERROR(VLOOKUP(B50,input_572101!L:R,7,FALSE),VLOOKUP(tables_572101!C50,input_572101!A:H,8,FALSE))</f>
        <v>454.08</v>
      </c>
      <c r="P50" s="40">
        <f t="shared" ca="1" si="1"/>
        <v>5.2555555556772055E-4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input_572101!A$2</f>
        <v>572101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IFERROR(VLOOKUP(B51,input_572101!L:R,7,FALSE),VLOOKUP(tables_572101!C51,input_572101!A:H,8,FALSE))</f>
        <v>1816.32</v>
      </c>
      <c r="P51" s="40">
        <f t="shared" ca="1" si="1"/>
        <v>2.1022222222708822E-3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input_572101!A$2</f>
        <v>572101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IFERROR(VLOOKUP(B52,input_572101!L:R,7,FALSE),VLOOKUP(tables_572101!C52,input_572101!A:H,8,FALSE))</f>
        <v>2270.4</v>
      </c>
      <c r="P52" s="40">
        <f t="shared" ca="1" si="1"/>
        <v>2.627777777838603E-3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input_572101!A$2</f>
        <v>572101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IFERROR(VLOOKUP(B53,input_572101!L:R,7,FALSE),VLOOKUP(tables_572101!C53,input_572101!A:H,8,FALSE))</f>
        <v>454.08</v>
      </c>
      <c r="P53" s="40">
        <f t="shared" ca="1" si="1"/>
        <v>5.2555555556772055E-4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input_572101!A$2</f>
        <v>572101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">
        <v>35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IFERROR(VLOOKUP(B54,input_572101!L:R,7,FALSE),VLOOKUP(tables_572101!C54,input_572101!A:H,8,FALSE))</f>
        <v>8173.44</v>
      </c>
      <c r="P54" s="40">
        <f t="shared" ca="1" si="1"/>
        <v>9.4600000002189703E-3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input_572101!A$2</f>
        <v>572101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">
        <v>35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IFERROR(VLOOKUP(B55,input_572101!L:R,7,FALSE),VLOOKUP(tables_572101!C55,input_572101!A:H,8,FALSE))</f>
        <v>10216.799999999999</v>
      </c>
      <c r="P55" s="40">
        <f t="shared" ca="1" si="1"/>
        <v>1.1825000000273712E-2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input_572101!A$2</f>
        <v>572101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">
        <v>35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IFERROR(VLOOKUP(B56,input_572101!L:R,7,FALSE),VLOOKUP(tables_572101!C56,input_572101!A:H,8,FALSE))</f>
        <v>1517.76</v>
      </c>
      <c r="P56" s="40">
        <f t="shared" ca="1" si="1"/>
        <v>1.7566666667073283E-3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input_572101!A$2</f>
        <v>572101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IFERROR(VLOOKUP(B57,input_572101!L:R,7,FALSE),VLOOKUP(tables_572101!C57,input_572101!A:H,8,FALSE))</f>
        <v>1816.32</v>
      </c>
      <c r="P57" s="40">
        <f t="shared" ca="1" si="1"/>
        <v>2.1022222222708822E-3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input_572101!A$2</f>
        <v>572101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IFERROR(VLOOKUP(B58,input_572101!L:R,7,FALSE),VLOOKUP(tables_572101!C58,input_572101!A:H,8,FALSE))</f>
        <v>2270.4</v>
      </c>
      <c r="P58" s="40">
        <f t="shared" ca="1" si="1"/>
        <v>2.627777777838603E-3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input_572101!A$2</f>
        <v>572101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IFERROR(VLOOKUP(B59,input_572101!L:R,7,FALSE),VLOOKUP(tables_572101!C59,input_572101!A:H,8,FALSE))</f>
        <v>454.08</v>
      </c>
      <c r="P59" s="40">
        <f t="shared" ca="1" si="1"/>
        <v>5.2555555556772055E-4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input_572101!A$2</f>
        <v>572101</v>
      </c>
      <c r="B60" s="6">
        <v>184</v>
      </c>
      <c r="C60" s="7" t="str">
        <f t="shared" si="0"/>
        <v>Premium3</v>
      </c>
      <c r="D60" s="7" t="str">
        <f>IF(OR(I60="PremiumSS",I60="PremiumSSw"),"PremiumSS",IF(I60="PremiumSSS",I60,IF(I60="PremiumW",IF(J60=5,"premium",I60),"Premium")))</f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IFERROR(VLOOKUP(B60,input_572101!L:R,7,FALSE),VLOOKUP(tables_572101!C60,input_572101!A:H,8,FALSE))</f>
        <v>1816.32</v>
      </c>
      <c r="P60" s="40">
        <f t="shared" ca="1" si="1"/>
        <v>2.1022222222708822E-3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input_572101!A$2</f>
        <v>572101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IFERROR(VLOOKUP(B61,input_572101!L:R,7,FALSE),VLOOKUP(tables_572101!C61,input_572101!A:H,8,FALSE))</f>
        <v>2270.4</v>
      </c>
      <c r="P61" s="40">
        <f t="shared" ca="1" si="1"/>
        <v>2.627777777838603E-3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input_572101!A$2</f>
        <v>572101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IFERROR(VLOOKUP(B62,input_572101!L:R,7,FALSE),VLOOKUP(tables_572101!C62,input_572101!A:H,8,FALSE))</f>
        <v>454.08</v>
      </c>
      <c r="P62" s="40">
        <f t="shared" ca="1" si="1"/>
        <v>5.2555555556772055E-4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input_572101!A$2</f>
        <v>572101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IFERROR(VLOOKUP(B63,input_572101!L:R,7,FALSE),VLOOKUP(tables_572101!C63,input_572101!A:H,8,FALSE))</f>
        <v>1816.32</v>
      </c>
      <c r="P63" s="40">
        <f t="shared" ca="1" si="1"/>
        <v>2.1022222222708822E-3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input_572101!A$2</f>
        <v>572101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IFERROR(VLOOKUP(B64,input_572101!L:R,7,FALSE),VLOOKUP(tables_572101!C64,input_572101!A:H,8,FALSE))</f>
        <v>2270.4</v>
      </c>
      <c r="P64" s="40">
        <f t="shared" ca="1" si="1"/>
        <v>2.627777777838603E-3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input_572101!A$2</f>
        <v>572101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IFERROR(VLOOKUP(B65,input_572101!L:R,7,FALSE),VLOOKUP(tables_572101!C65,input_572101!A:H,8,FALSE))</f>
        <v>454.08</v>
      </c>
      <c r="P65" s="40">
        <f t="shared" ca="1" si="1"/>
        <v>5.2555555556772055E-4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input_572101!A$2</f>
        <v>572101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">
        <v>35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IFERROR(VLOOKUP(B66,input_572101!L:R,7,FALSE),VLOOKUP(tables_572101!C66,input_572101!A:H,8,FALSE))</f>
        <v>8173.44</v>
      </c>
      <c r="P66" s="40">
        <f t="shared" ref="P66:P129" ca="1" si="4">O66/SUM(O:O)</f>
        <v>9.4600000002189703E-3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input_572101!A$2</f>
        <v>572101</v>
      </c>
      <c r="B67" s="6">
        <v>191</v>
      </c>
      <c r="C67" s="7" t="str">
        <f t="shared" si="3"/>
        <v>Premium4color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">
        <v>35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IFERROR(VLOOKUP(B67,input_572101!L:R,7,FALSE),VLOOKUP(tables_572101!C67,input_572101!A:H,8,FALSE))</f>
        <v>10216.799999999999</v>
      </c>
      <c r="P67" s="40">
        <f t="shared" ca="1" si="4"/>
        <v>1.1825000000273712E-2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input_572101!A$2</f>
        <v>572101</v>
      </c>
      <c r="B68" s="6">
        <v>192</v>
      </c>
      <c r="C68" s="7" t="str">
        <f t="shared" si="3"/>
        <v>Premium5color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">
        <v>35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IFERROR(VLOOKUP(B68,input_572101!L:R,7,FALSE),VLOOKUP(tables_572101!C68,input_572101!A:H,8,FALSE))</f>
        <v>1517.76</v>
      </c>
      <c r="P68" s="40">
        <f t="shared" ca="1" si="4"/>
        <v>1.7566666667073283E-3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input_572101!A$2</f>
        <v>572101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IFERROR(VLOOKUP(B69,input_572101!L:R,7,FALSE),VLOOKUP(tables_572101!C69,input_572101!A:H,8,FALSE))</f>
        <v>1816.32</v>
      </c>
      <c r="P69" s="40">
        <f t="shared" ca="1" si="4"/>
        <v>2.1022222222708822E-3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input_572101!A$2</f>
        <v>572101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IFERROR(VLOOKUP(B70,input_572101!L:R,7,FALSE),VLOOKUP(tables_572101!C70,input_572101!A:H,8,FALSE))</f>
        <v>2270.4</v>
      </c>
      <c r="P70" s="40">
        <f t="shared" ca="1" si="4"/>
        <v>2.627777777838603E-3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input_572101!A$2</f>
        <v>572101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IFERROR(VLOOKUP(B71,input_572101!L:R,7,FALSE),VLOOKUP(tables_572101!C71,input_572101!A:H,8,FALSE))</f>
        <v>454.08</v>
      </c>
      <c r="P71" s="40">
        <f t="shared" ca="1" si="4"/>
        <v>5.2555555556772055E-4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input_572101!A$2</f>
        <v>572101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IFERROR(VLOOKUP(B72,input_572101!L:R,7,FALSE),VLOOKUP(tables_572101!C72,input_572101!A:H,8,FALSE))</f>
        <v>1816.32</v>
      </c>
      <c r="P72" s="40">
        <f t="shared" ca="1" si="4"/>
        <v>2.1022222222708822E-3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input_572101!A$2</f>
        <v>572101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IFERROR(VLOOKUP(B73,input_572101!L:R,7,FALSE),VLOOKUP(tables_572101!C73,input_572101!A:H,8,FALSE))</f>
        <v>2270.4</v>
      </c>
      <c r="P73" s="40">
        <f t="shared" ca="1" si="4"/>
        <v>2.627777777838603E-3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input_572101!A$2</f>
        <v>572101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IFERROR(VLOOKUP(B74,input_572101!L:R,7,FALSE),VLOOKUP(tables_572101!C74,input_572101!A:H,8,FALSE))</f>
        <v>454.08</v>
      </c>
      <c r="P74" s="40">
        <f t="shared" ca="1" si="4"/>
        <v>5.2555555556772055E-4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input_572101!A$2</f>
        <v>572101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IFERROR(VLOOKUP(B75,input_572101!L:R,7,FALSE),VLOOKUP(tables_572101!C75,input_572101!A:H,8,FALSE))</f>
        <v>1816.32</v>
      </c>
      <c r="P75" s="40">
        <f t="shared" ca="1" si="4"/>
        <v>2.1022222222708822E-3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input_572101!A$2</f>
        <v>572101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IFERROR(VLOOKUP(B76,input_572101!L:R,7,FALSE),VLOOKUP(tables_572101!C76,input_572101!A:H,8,FALSE))</f>
        <v>2270.4</v>
      </c>
      <c r="P76" s="40">
        <f t="shared" ca="1" si="4"/>
        <v>2.627777777838603E-3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input_572101!A$2</f>
        <v>572101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IFERROR(VLOOKUP(B77,input_572101!L:R,7,FALSE),VLOOKUP(tables_572101!C77,input_572101!A:H,8,FALSE))</f>
        <v>454.08</v>
      </c>
      <c r="P77" s="40">
        <f t="shared" ca="1" si="4"/>
        <v>5.2555555556772055E-4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input_572101!A$2</f>
        <v>572101</v>
      </c>
      <c r="B78" s="5">
        <v>202</v>
      </c>
      <c r="C78" s="7" t="str">
        <f t="shared" si="3"/>
        <v>Premium3color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">
        <v>35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IFERROR(VLOOKUP(B78,input_572101!L:R,7,FALSE),VLOOKUP(tables_572101!C78,input_572101!A:H,8,FALSE))</f>
        <v>8173.44</v>
      </c>
      <c r="P78" s="40">
        <f t="shared" ca="1" si="4"/>
        <v>9.4600000002189703E-3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input_572101!A$2</f>
        <v>572101</v>
      </c>
      <c r="B79" s="5">
        <v>203</v>
      </c>
      <c r="C79" s="7" t="str">
        <f t="shared" si="3"/>
        <v>Premium4color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">
        <v>35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IFERROR(VLOOKUP(B79,input_572101!L:R,7,FALSE),VLOOKUP(tables_572101!C79,input_572101!A:H,8,FALSE))</f>
        <v>10216.799999999999</v>
      </c>
      <c r="P79" s="40">
        <f t="shared" ca="1" si="4"/>
        <v>1.1825000000273712E-2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input_572101!A$2</f>
        <v>572101</v>
      </c>
      <c r="B80" s="5">
        <v>204</v>
      </c>
      <c r="C80" s="7" t="str">
        <f t="shared" si="3"/>
        <v>Premium5color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">
        <v>35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IFERROR(VLOOKUP(B80,input_572101!L:R,7,FALSE),VLOOKUP(tables_572101!C80,input_572101!A:H,8,FALSE))</f>
        <v>1517.76</v>
      </c>
      <c r="P80" s="40">
        <f t="shared" ca="1" si="4"/>
        <v>1.7566666667073283E-3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input_572101!A$2</f>
        <v>572101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IFERROR(VLOOKUP(B81,input_572101!L:R,7,FALSE),VLOOKUP(tables_572101!C81,input_572101!A:H,8,FALSE))</f>
        <v>1816.32</v>
      </c>
      <c r="P81" s="40">
        <f t="shared" ca="1" si="4"/>
        <v>2.1022222222708822E-3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input_572101!A$2</f>
        <v>572101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IFERROR(VLOOKUP(B82,input_572101!L:R,7,FALSE),VLOOKUP(tables_572101!C82,input_572101!A:H,8,FALSE))</f>
        <v>2270.4</v>
      </c>
      <c r="P82" s="40">
        <f t="shared" ca="1" si="4"/>
        <v>2.627777777838603E-3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input_572101!A$2</f>
        <v>572101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IFERROR(VLOOKUP(B83,input_572101!L:R,7,FALSE),VLOOKUP(tables_572101!C83,input_572101!A:H,8,FALSE))</f>
        <v>454.08</v>
      </c>
      <c r="P83" s="40">
        <f t="shared" ca="1" si="4"/>
        <v>5.2555555556772055E-4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input_572101!A$2</f>
        <v>572101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IFERROR(VLOOKUP(B84,input_572101!L:R,7,FALSE),VLOOKUP(tables_572101!C84,input_572101!A:H,8,FALSE))</f>
        <v>1816.32</v>
      </c>
      <c r="P84" s="40">
        <f t="shared" ca="1" si="4"/>
        <v>2.1022222222708822E-3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input_572101!A$2</f>
        <v>572101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IFERROR(VLOOKUP(B85,input_572101!L:R,7,FALSE),VLOOKUP(tables_572101!C85,input_572101!A:H,8,FALSE))</f>
        <v>2270.4</v>
      </c>
      <c r="P85" s="40">
        <f t="shared" ca="1" si="4"/>
        <v>2.627777777838603E-3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input_572101!A$2</f>
        <v>572101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IFERROR(VLOOKUP(B86,input_572101!L:R,7,FALSE),VLOOKUP(tables_572101!C86,input_572101!A:H,8,FALSE))</f>
        <v>454.08</v>
      </c>
      <c r="P86" s="40">
        <f t="shared" ca="1" si="4"/>
        <v>5.2555555556772055E-4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input_572101!A$2</f>
        <v>572101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IFERROR(VLOOKUP(B87,input_572101!L:R,7,FALSE),VLOOKUP(tables_572101!C87,input_572101!A:H,8,FALSE))</f>
        <v>1816.32</v>
      </c>
      <c r="P87" s="40">
        <f t="shared" ca="1" si="4"/>
        <v>2.1022222222708822E-3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input_572101!A$2</f>
        <v>572101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IFERROR(VLOOKUP(B88,input_572101!L:R,7,FALSE),VLOOKUP(tables_572101!C88,input_572101!A:H,8,FALSE))</f>
        <v>2270.4</v>
      </c>
      <c r="P88" s="40">
        <f t="shared" ca="1" si="4"/>
        <v>2.627777777838603E-3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input_572101!A$2</f>
        <v>572101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IFERROR(VLOOKUP(B89,input_572101!L:R,7,FALSE),VLOOKUP(tables_572101!C89,input_572101!A:H,8,FALSE))</f>
        <v>454.08</v>
      </c>
      <c r="P89" s="40">
        <f t="shared" ca="1" si="4"/>
        <v>5.2555555556772055E-4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input_572101!A$2</f>
        <v>572101</v>
      </c>
      <c r="B90" s="5">
        <v>214</v>
      </c>
      <c r="C90" s="7" t="str">
        <f t="shared" si="3"/>
        <v>Premium3color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">
        <v>35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IFERROR(VLOOKUP(B90,input_572101!L:R,7,FALSE),VLOOKUP(tables_572101!C90,input_572101!A:H,8,FALSE))</f>
        <v>8173.44</v>
      </c>
      <c r="P90" s="40">
        <f t="shared" ca="1" si="4"/>
        <v>9.4600000002189703E-3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input_572101!A$2</f>
        <v>572101</v>
      </c>
      <c r="B91" s="5">
        <v>215</v>
      </c>
      <c r="C91" s="7" t="str">
        <f t="shared" si="3"/>
        <v>Premium4color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">
        <v>35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IFERROR(VLOOKUP(B91,input_572101!L:R,7,FALSE),VLOOKUP(tables_572101!C91,input_572101!A:H,8,FALSE))</f>
        <v>10216.799999999999</v>
      </c>
      <c r="P91" s="40">
        <f t="shared" ca="1" si="4"/>
        <v>1.1825000000273712E-2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input_572101!A$2</f>
        <v>572101</v>
      </c>
      <c r="B92" s="5">
        <v>216</v>
      </c>
      <c r="C92" s="7" t="str">
        <f t="shared" si="3"/>
        <v>Premium5color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">
        <v>35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IFERROR(VLOOKUP(B92,input_572101!L:R,7,FALSE),VLOOKUP(tables_572101!C92,input_572101!A:H,8,FALSE))</f>
        <v>1517.76</v>
      </c>
      <c r="P92" s="40">
        <f t="shared" ca="1" si="4"/>
        <v>1.7566666667073283E-3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input_572101!A$2</f>
        <v>572101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IFERROR(VLOOKUP(B93,input_572101!L:R,7,FALSE),VLOOKUP(tables_572101!C93,input_572101!A:H,8,FALSE))</f>
        <v>1816.32</v>
      </c>
      <c r="P93" s="40">
        <f t="shared" ca="1" si="4"/>
        <v>2.1022222222708822E-3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input_572101!A$2</f>
        <v>572101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IFERROR(VLOOKUP(B94,input_572101!L:R,7,FALSE),VLOOKUP(tables_572101!C94,input_572101!A:H,8,FALSE))</f>
        <v>2270.4</v>
      </c>
      <c r="P94" s="40">
        <f t="shared" ca="1" si="4"/>
        <v>2.627777777838603E-3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input_572101!A$2</f>
        <v>572101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IFERROR(VLOOKUP(B95,input_572101!L:R,7,FALSE),VLOOKUP(tables_572101!C95,input_572101!A:H,8,FALSE))</f>
        <v>454.08</v>
      </c>
      <c r="P95" s="40">
        <f t="shared" ca="1" si="4"/>
        <v>5.2555555556772055E-4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input_572101!A$2</f>
        <v>572101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IFERROR(VLOOKUP(B96,input_572101!L:R,7,FALSE),VLOOKUP(tables_572101!C96,input_572101!A:H,8,FALSE))</f>
        <v>1816.32</v>
      </c>
      <c r="P96" s="40">
        <f t="shared" ca="1" si="4"/>
        <v>2.1022222222708822E-3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input_572101!A$2</f>
        <v>572101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IFERROR(VLOOKUP(B97,input_572101!L:R,7,FALSE),VLOOKUP(tables_572101!C97,input_572101!A:H,8,FALSE))</f>
        <v>2270.4</v>
      </c>
      <c r="P97" s="40">
        <f t="shared" ca="1" si="4"/>
        <v>2.627777777838603E-3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input_572101!A$2</f>
        <v>572101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IFERROR(VLOOKUP(B98,input_572101!L:R,7,FALSE),VLOOKUP(tables_572101!C98,input_572101!A:H,8,FALSE))</f>
        <v>454.08</v>
      </c>
      <c r="P98" s="40">
        <f t="shared" ca="1" si="4"/>
        <v>5.2555555556772055E-4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input_572101!A$2</f>
        <v>572101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IFERROR(VLOOKUP(B99,input_572101!L:R,7,FALSE),VLOOKUP(tables_572101!C99,input_572101!A:H,8,FALSE))</f>
        <v>1816.32</v>
      </c>
      <c r="P99" s="40">
        <f t="shared" ca="1" si="4"/>
        <v>2.1022222222708822E-3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input_572101!A$2</f>
        <v>572101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IFERROR(VLOOKUP(B100,input_572101!L:R,7,FALSE),VLOOKUP(tables_572101!C100,input_572101!A:H,8,FALSE))</f>
        <v>2270.4</v>
      </c>
      <c r="P100" s="40">
        <f t="shared" ca="1" si="4"/>
        <v>2.627777777838603E-3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input_572101!A$2</f>
        <v>572101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IFERROR(VLOOKUP(B101,input_572101!L:R,7,FALSE),VLOOKUP(tables_572101!C101,input_572101!A:H,8,FALSE))</f>
        <v>454.08</v>
      </c>
      <c r="P101" s="40">
        <f t="shared" ca="1" si="4"/>
        <v>5.2555555556772055E-4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input_572101!A$2</f>
        <v>572101</v>
      </c>
      <c r="B102" s="5">
        <v>226</v>
      </c>
      <c r="C102" s="7" t="str">
        <f t="shared" si="3"/>
        <v>Premium3color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">
        <v>35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IFERROR(VLOOKUP(B102,input_572101!L:R,7,FALSE),VLOOKUP(tables_572101!C102,input_572101!A:H,8,FALSE))</f>
        <v>8173.44</v>
      </c>
      <c r="P102" s="40">
        <f t="shared" ca="1" si="4"/>
        <v>9.4600000002189703E-3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input_572101!A$2</f>
        <v>572101</v>
      </c>
      <c r="B103" s="5">
        <v>227</v>
      </c>
      <c r="C103" s="7" t="str">
        <f t="shared" si="3"/>
        <v>Premium4color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">
        <v>35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IFERROR(VLOOKUP(B103,input_572101!L:R,7,FALSE),VLOOKUP(tables_572101!C103,input_572101!A:H,8,FALSE))</f>
        <v>10216.799999999999</v>
      </c>
      <c r="P103" s="40">
        <f t="shared" ca="1" si="4"/>
        <v>1.1825000000273712E-2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input_572101!A$2</f>
        <v>572101</v>
      </c>
      <c r="B104" s="5">
        <v>228</v>
      </c>
      <c r="C104" s="7" t="str">
        <f t="shared" si="3"/>
        <v>Premium5color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">
        <v>35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IFERROR(VLOOKUP(B104,input_572101!L:R,7,FALSE),VLOOKUP(tables_572101!C104,input_572101!A:H,8,FALSE))</f>
        <v>1517.76</v>
      </c>
      <c r="P104" s="40">
        <f t="shared" ca="1" si="4"/>
        <v>1.7566666667073283E-3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input_572101!A$2</f>
        <v>572101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IFERROR(VLOOKUP(B105,input_572101!L:R,7,FALSE),VLOOKUP(tables_572101!C105,input_572101!A:H,8,FALSE))</f>
        <v>1816.32</v>
      </c>
      <c r="P105" s="40">
        <f t="shared" ca="1" si="4"/>
        <v>2.1022222222708822E-3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input_572101!A$2</f>
        <v>572101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IFERROR(VLOOKUP(B106,input_572101!L:R,7,FALSE),VLOOKUP(tables_572101!C106,input_572101!A:H,8,FALSE))</f>
        <v>2270.4</v>
      </c>
      <c r="P106" s="40">
        <f t="shared" ca="1" si="4"/>
        <v>2.627777777838603E-3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input_572101!A$2</f>
        <v>572101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IFERROR(VLOOKUP(B107,input_572101!L:R,7,FALSE),VLOOKUP(tables_572101!C107,input_572101!A:H,8,FALSE))</f>
        <v>454.08</v>
      </c>
      <c r="P107" s="40">
        <f t="shared" ca="1" si="4"/>
        <v>5.2555555556772055E-4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input_572101!A$2</f>
        <v>572101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IFERROR(VLOOKUP(B108,input_572101!L:R,7,FALSE),VLOOKUP(tables_572101!C108,input_572101!A:H,8,FALSE))</f>
        <v>1816.32</v>
      </c>
      <c r="P108" s="40">
        <f t="shared" ca="1" si="4"/>
        <v>2.1022222222708822E-3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input_572101!A$2</f>
        <v>572101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IFERROR(VLOOKUP(B109,input_572101!L:R,7,FALSE),VLOOKUP(tables_572101!C109,input_572101!A:H,8,FALSE))</f>
        <v>2270.4</v>
      </c>
      <c r="P109" s="40">
        <f t="shared" ca="1" si="4"/>
        <v>2.627777777838603E-3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input_572101!A$2</f>
        <v>572101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IFERROR(VLOOKUP(B110,input_572101!L:R,7,FALSE),VLOOKUP(tables_572101!C110,input_572101!A:H,8,FALSE))</f>
        <v>454.08</v>
      </c>
      <c r="P110" s="40">
        <f t="shared" ca="1" si="4"/>
        <v>5.2555555556772055E-4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input_572101!A$2</f>
        <v>572101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IFERROR(VLOOKUP(B111,input_572101!L:R,7,FALSE),VLOOKUP(tables_572101!C111,input_572101!A:H,8,FALSE))</f>
        <v>1816.32</v>
      </c>
      <c r="P111" s="40">
        <f t="shared" ca="1" si="4"/>
        <v>2.1022222222708822E-3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input_572101!A$2</f>
        <v>572101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IFERROR(VLOOKUP(B112,input_572101!L:R,7,FALSE),VLOOKUP(tables_572101!C112,input_572101!A:H,8,FALSE))</f>
        <v>2270.4</v>
      </c>
      <c r="P112" s="40">
        <f t="shared" ca="1" si="4"/>
        <v>2.627777777838603E-3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input_572101!A$2</f>
        <v>572101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IFERROR(VLOOKUP(B113,input_572101!L:R,7,FALSE),VLOOKUP(tables_572101!C113,input_572101!A:H,8,FALSE))</f>
        <v>454.08</v>
      </c>
      <c r="P113" s="40">
        <f t="shared" ca="1" si="4"/>
        <v>5.2555555556772055E-4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input_572101!A$2</f>
        <v>572101</v>
      </c>
      <c r="B114" s="5">
        <v>238</v>
      </c>
      <c r="C114" s="7" t="str">
        <f t="shared" si="3"/>
        <v>Premium3color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">
        <v>35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IFERROR(VLOOKUP(B114,input_572101!L:R,7,FALSE),VLOOKUP(tables_572101!C114,input_572101!A:H,8,FALSE))</f>
        <v>8173.44</v>
      </c>
      <c r="P114" s="40">
        <f t="shared" ca="1" si="4"/>
        <v>9.4600000002189703E-3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input_572101!A$2</f>
        <v>572101</v>
      </c>
      <c r="B115" s="5">
        <v>239</v>
      </c>
      <c r="C115" s="7" t="str">
        <f t="shared" si="3"/>
        <v>Premium4color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">
        <v>35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IFERROR(VLOOKUP(B115,input_572101!L:R,7,FALSE),VLOOKUP(tables_572101!C115,input_572101!A:H,8,FALSE))</f>
        <v>10216.799999999999</v>
      </c>
      <c r="P115" s="40">
        <f t="shared" ca="1" si="4"/>
        <v>1.1825000000273712E-2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input_572101!A$2</f>
        <v>572101</v>
      </c>
      <c r="B116" s="5">
        <v>240</v>
      </c>
      <c r="C116" s="7" t="str">
        <f t="shared" si="3"/>
        <v>Premium5color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">
        <v>35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IFERROR(VLOOKUP(B116,input_572101!L:R,7,FALSE),VLOOKUP(tables_572101!C116,input_572101!A:H,8,FALSE))</f>
        <v>1517.76</v>
      </c>
      <c r="P116" s="40">
        <f t="shared" ca="1" si="4"/>
        <v>1.7566666667073283E-3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input_572101!A$2</f>
        <v>572101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IFERROR(VLOOKUP(B117,input_572101!L:R,7,FALSE),VLOOKUP(tables_572101!C117,input_572101!A:H,8,FALSE))</f>
        <v>1816.32</v>
      </c>
      <c r="P117" s="40">
        <f t="shared" ca="1" si="4"/>
        <v>2.1022222222708822E-3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input_572101!A$2</f>
        <v>572101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IFERROR(VLOOKUP(B118,input_572101!L:R,7,FALSE),VLOOKUP(tables_572101!C118,input_572101!A:H,8,FALSE))</f>
        <v>2270.4</v>
      </c>
      <c r="P118" s="40">
        <f t="shared" ca="1" si="4"/>
        <v>2.627777777838603E-3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input_572101!A$2</f>
        <v>572101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IFERROR(VLOOKUP(B119,input_572101!L:R,7,FALSE),VLOOKUP(tables_572101!C119,input_572101!A:H,8,FALSE))</f>
        <v>454.08</v>
      </c>
      <c r="P119" s="40">
        <f t="shared" ca="1" si="4"/>
        <v>5.2555555556772055E-4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input_572101!A$2</f>
        <v>572101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IFERROR(VLOOKUP(B120,input_572101!L:R,7,FALSE),VLOOKUP(tables_572101!C120,input_572101!A:H,8,FALSE))</f>
        <v>1816.32</v>
      </c>
      <c r="P120" s="40">
        <f t="shared" ca="1" si="4"/>
        <v>2.1022222222708822E-3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input_572101!A$2</f>
        <v>572101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IFERROR(VLOOKUP(B121,input_572101!L:R,7,FALSE),VLOOKUP(tables_572101!C121,input_572101!A:H,8,FALSE))</f>
        <v>2270.4</v>
      </c>
      <c r="P121" s="40">
        <f t="shared" ca="1" si="4"/>
        <v>2.627777777838603E-3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input_572101!A$2</f>
        <v>572101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IFERROR(VLOOKUP(B122,input_572101!L:R,7,FALSE),VLOOKUP(tables_572101!C122,input_572101!A:H,8,FALSE))</f>
        <v>454.08</v>
      </c>
      <c r="P122" s="40">
        <f t="shared" ca="1" si="4"/>
        <v>5.2555555556772055E-4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input_572101!A$2</f>
        <v>572101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IFERROR(VLOOKUP(B123,input_572101!L:R,7,FALSE),VLOOKUP(tables_572101!C123,input_572101!A:H,8,FALSE))</f>
        <v>1816.32</v>
      </c>
      <c r="P123" s="40">
        <f t="shared" ca="1" si="4"/>
        <v>2.1022222222708822E-3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input_572101!A$2</f>
        <v>572101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IFERROR(VLOOKUP(B124,input_572101!L:R,7,FALSE),VLOOKUP(tables_572101!C124,input_572101!A:H,8,FALSE))</f>
        <v>2270.4</v>
      </c>
      <c r="P124" s="40">
        <f t="shared" ca="1" si="4"/>
        <v>2.627777777838603E-3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input_572101!A$2</f>
        <v>572101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IFERROR(VLOOKUP(B125,input_572101!L:R,7,FALSE),VLOOKUP(tables_572101!C125,input_572101!A:H,8,FALSE))</f>
        <v>454.08</v>
      </c>
      <c r="P125" s="40">
        <f t="shared" ca="1" si="4"/>
        <v>5.2555555556772055E-4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input_572101!A$2</f>
        <v>572101</v>
      </c>
      <c r="B126" s="6">
        <v>250</v>
      </c>
      <c r="C126" s="7" t="str">
        <f t="shared" si="3"/>
        <v>Premium3color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">
        <v>35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IFERROR(VLOOKUP(B126,input_572101!L:R,7,FALSE),VLOOKUP(tables_572101!C126,input_572101!A:H,8,FALSE))</f>
        <v>8173.44</v>
      </c>
      <c r="P126" s="40">
        <f t="shared" ca="1" si="4"/>
        <v>9.4600000002189703E-3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input_572101!A$2</f>
        <v>572101</v>
      </c>
      <c r="B127" s="6">
        <v>251</v>
      </c>
      <c r="C127" s="7" t="str">
        <f t="shared" si="3"/>
        <v>Premium4color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">
        <v>35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IFERROR(VLOOKUP(B127,input_572101!L:R,7,FALSE),VLOOKUP(tables_572101!C127,input_572101!A:H,8,FALSE))</f>
        <v>10216.799999999999</v>
      </c>
      <c r="P127" s="40">
        <f t="shared" ca="1" si="4"/>
        <v>1.1825000000273712E-2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input_572101!A$2</f>
        <v>572101</v>
      </c>
      <c r="B128" s="6">
        <v>252</v>
      </c>
      <c r="C128" s="7" t="str">
        <f t="shared" si="3"/>
        <v>Premium5color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">
        <v>35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IFERROR(VLOOKUP(B128,input_572101!L:R,7,FALSE),VLOOKUP(tables_572101!C128,input_572101!A:H,8,FALSE))</f>
        <v>1517.76</v>
      </c>
      <c r="P128" s="40">
        <f t="shared" ca="1" si="4"/>
        <v>1.7566666667073283E-3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input_572101!A$2</f>
        <v>572101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IFERROR(VLOOKUP(B129,input_572101!L:R,7,FALSE),VLOOKUP(tables_572101!C129,input_572101!A:H,8,FALSE))</f>
        <v>1816.32</v>
      </c>
      <c r="P129" s="40">
        <f t="shared" ca="1" si="4"/>
        <v>2.1022222222708822E-3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input_572101!A$2</f>
        <v>572101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IFERROR(VLOOKUP(B130,input_572101!L:R,7,FALSE),VLOOKUP(tables_572101!C130,input_572101!A:H,8,FALSE))</f>
        <v>2270.4</v>
      </c>
      <c r="P130" s="40">
        <f t="shared" ref="P130:P193" ca="1" si="7">O130/SUM(O:O)</f>
        <v>2.627777777838603E-3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input_572101!A$2</f>
        <v>572101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IFERROR(VLOOKUP(B131,input_572101!L:R,7,FALSE),VLOOKUP(tables_572101!C131,input_572101!A:H,8,FALSE))</f>
        <v>454.08</v>
      </c>
      <c r="P131" s="40">
        <f t="shared" ca="1" si="7"/>
        <v>5.2555555556772055E-4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input_572101!A$2</f>
        <v>572101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IFERROR(VLOOKUP(B132,input_572101!L:R,7,FALSE),VLOOKUP(tables_572101!C132,input_572101!A:H,8,FALSE))</f>
        <v>1816.32</v>
      </c>
      <c r="P132" s="40">
        <f t="shared" ca="1" si="7"/>
        <v>2.1022222222708822E-3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input_572101!A$2</f>
        <v>572101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IFERROR(VLOOKUP(B133,input_572101!L:R,7,FALSE),VLOOKUP(tables_572101!C133,input_572101!A:H,8,FALSE))</f>
        <v>2270.4</v>
      </c>
      <c r="P133" s="40">
        <f t="shared" ca="1" si="7"/>
        <v>2.627777777838603E-3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input_572101!A$2</f>
        <v>572101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IFERROR(VLOOKUP(B134,input_572101!L:R,7,FALSE),VLOOKUP(tables_572101!C134,input_572101!A:H,8,FALSE))</f>
        <v>454.08</v>
      </c>
      <c r="P134" s="40">
        <f t="shared" ca="1" si="7"/>
        <v>5.2555555556772055E-4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input_572101!A$2</f>
        <v>572101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IFERROR(VLOOKUP(B135,input_572101!L:R,7,FALSE),VLOOKUP(tables_572101!C135,input_572101!A:H,8,FALSE))</f>
        <v>1816.32</v>
      </c>
      <c r="P135" s="40">
        <f t="shared" ca="1" si="7"/>
        <v>2.1022222222708822E-3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input_572101!A$2</f>
        <v>572101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IFERROR(VLOOKUP(B136,input_572101!L:R,7,FALSE),VLOOKUP(tables_572101!C136,input_572101!A:H,8,FALSE))</f>
        <v>2270.4</v>
      </c>
      <c r="P136" s="40">
        <f t="shared" ca="1" si="7"/>
        <v>2.627777777838603E-3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input_572101!A$2</f>
        <v>572101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IFERROR(VLOOKUP(B137,input_572101!L:R,7,FALSE),VLOOKUP(tables_572101!C137,input_572101!A:H,8,FALSE))</f>
        <v>454.08</v>
      </c>
      <c r="P137" s="40">
        <f t="shared" ca="1" si="7"/>
        <v>5.2555555556772055E-4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input_572101!A$2</f>
        <v>572101</v>
      </c>
      <c r="B138" s="6">
        <v>320</v>
      </c>
      <c r="C138" s="7" t="str">
        <f t="shared" si="6"/>
        <v>PremiumSS4color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">
        <v>35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IFERROR(VLOOKUP(B138,input_572101!L:R,7,FALSE),VLOOKUP(tables_572101!C138,input_572101!A:H,8,FALSE))</f>
        <v>1296</v>
      </c>
      <c r="P138" s="40">
        <f t="shared" ca="1" si="7"/>
        <v>1.5000000000347205E-3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input_572101!A$2</f>
        <v>572101</v>
      </c>
      <c r="B139" s="6">
        <v>321</v>
      </c>
      <c r="C139" s="7" t="str">
        <f t="shared" si="6"/>
        <v>PremiumSS5color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">
        <v>35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IFERROR(VLOOKUP(B139,input_572101!L:R,7,FALSE),VLOOKUP(tables_572101!C139,input_572101!A:H,8,FALSE))</f>
        <v>144</v>
      </c>
      <c r="P139" s="40">
        <f t="shared" ca="1" si="7"/>
        <v>1.666666666705245E-4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input_572101!A$2</f>
        <v>572101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IFERROR(VLOOKUP(B140,input_572101!L:R,7,FALSE),VLOOKUP(tables_572101!C140,input_572101!A:H,8,FALSE))</f>
        <v>288</v>
      </c>
      <c r="P140" s="40">
        <f t="shared" ca="1" si="7"/>
        <v>3.3333333334104899E-4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input_572101!A$2</f>
        <v>572101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IFERROR(VLOOKUP(B141,input_572101!L:R,7,FALSE),VLOOKUP(tables_572101!C141,input_572101!A:H,8,FALSE))</f>
        <v>32</v>
      </c>
      <c r="P141" s="40">
        <f t="shared" ca="1" si="7"/>
        <v>3.7037037037894336E-5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input_572101!A$2</f>
        <v>572101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IFERROR(VLOOKUP(B142,input_572101!L:R,7,FALSE),VLOOKUP(tables_572101!C142,input_572101!A:H,8,FALSE))</f>
        <v>288</v>
      </c>
      <c r="P142" s="40">
        <f t="shared" ca="1" si="7"/>
        <v>3.3333333334104899E-4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input_572101!A$2</f>
        <v>572101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IFERROR(VLOOKUP(B143,input_572101!L:R,7,FALSE),VLOOKUP(tables_572101!C143,input_572101!A:H,8,FALSE))</f>
        <v>32</v>
      </c>
      <c r="P143" s="40">
        <f t="shared" ca="1" si="7"/>
        <v>3.7037037037894336E-5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input_572101!A$2</f>
        <v>572101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IFERROR(VLOOKUP(B144,input_572101!L:R,7,FALSE),VLOOKUP(tables_572101!C144,input_572101!A:H,8,FALSE))</f>
        <v>288</v>
      </c>
      <c r="P144" s="40">
        <f t="shared" ca="1" si="7"/>
        <v>3.3333333334104899E-4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input_572101!A$2</f>
        <v>572101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IFERROR(VLOOKUP(B145,input_572101!L:R,7,FALSE),VLOOKUP(tables_572101!C145,input_572101!A:H,8,FALSE))</f>
        <v>32</v>
      </c>
      <c r="P145" s="40">
        <f t="shared" ca="1" si="7"/>
        <v>3.7037037037894336E-5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input_572101!A$2</f>
        <v>572101</v>
      </c>
      <c r="B146" s="6">
        <v>380</v>
      </c>
      <c r="C146" s="7" t="str">
        <f t="shared" si="6"/>
        <v>Premium3color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">
        <v>35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IFERROR(VLOOKUP(B146,input_572101!L:R,7,FALSE),VLOOKUP(tables_572101!C146,input_572101!A:H,8,FALSE))</f>
        <v>8173.44</v>
      </c>
      <c r="P146" s="40">
        <f t="shared" ca="1" si="7"/>
        <v>9.4600000002189703E-3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input_572101!A$2</f>
        <v>572101</v>
      </c>
      <c r="B147" s="6">
        <v>381</v>
      </c>
      <c r="C147" s="7" t="str">
        <f t="shared" si="6"/>
        <v>Premium4color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">
        <v>35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IFERROR(VLOOKUP(B147,input_572101!L:R,7,FALSE),VLOOKUP(tables_572101!C147,input_572101!A:H,8,FALSE))</f>
        <v>10216.799999999999</v>
      </c>
      <c r="P147" s="40">
        <f t="shared" ca="1" si="7"/>
        <v>1.1825000000273712E-2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input_572101!A$2</f>
        <v>572101</v>
      </c>
      <c r="B148" s="6">
        <v>382</v>
      </c>
      <c r="C148" s="7" t="str">
        <f t="shared" si="6"/>
        <v>Premium5color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">
        <v>35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IFERROR(VLOOKUP(B148,input_572101!L:R,7,FALSE),VLOOKUP(tables_572101!C148,input_572101!A:H,8,FALSE))</f>
        <v>1517.76</v>
      </c>
      <c r="P148" s="40">
        <f t="shared" ca="1" si="7"/>
        <v>1.7566666667073283E-3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input_572101!A$2</f>
        <v>572101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IFERROR(VLOOKUP(B149,input_572101!L:R,7,FALSE),VLOOKUP(tables_572101!C149,input_572101!A:H,8,FALSE))</f>
        <v>288</v>
      </c>
      <c r="P149" s="40">
        <f t="shared" ca="1" si="7"/>
        <v>3.3333333334104899E-4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input_572101!A$2</f>
        <v>572101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IFERROR(VLOOKUP(B150,input_572101!L:R,7,FALSE),VLOOKUP(tables_572101!C150,input_572101!A:H,8,FALSE))</f>
        <v>32</v>
      </c>
      <c r="P150" s="40">
        <f t="shared" ca="1" si="7"/>
        <v>3.7037037037894336E-5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input_572101!A$2</f>
        <v>572101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IFERROR(VLOOKUP(B151,input_572101!L:R,7,FALSE),VLOOKUP(tables_572101!C151,input_572101!A:H,8,FALSE))</f>
        <v>288</v>
      </c>
      <c r="P151" s="40">
        <f t="shared" ca="1" si="7"/>
        <v>3.3333333334104899E-4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input_572101!A$2</f>
        <v>572101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IFERROR(VLOOKUP(B152,input_572101!L:R,7,FALSE),VLOOKUP(tables_572101!C152,input_572101!A:H,8,FALSE))</f>
        <v>32</v>
      </c>
      <c r="P152" s="40">
        <f t="shared" ca="1" si="7"/>
        <v>3.7037037037894336E-5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input_572101!A$2</f>
        <v>572101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IFERROR(VLOOKUP(B153,input_572101!L:R,7,FALSE),VLOOKUP(tables_572101!C153,input_572101!A:H,8,FALSE))</f>
        <v>1816.32</v>
      </c>
      <c r="P153" s="40">
        <f t="shared" ca="1" si="7"/>
        <v>2.1022222222708822E-3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input_572101!A$2</f>
        <v>572101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IFERROR(VLOOKUP(B154,input_572101!L:R,7,FALSE),VLOOKUP(tables_572101!C154,input_572101!A:H,8,FALSE))</f>
        <v>2270.4</v>
      </c>
      <c r="P154" s="40">
        <f t="shared" ca="1" si="7"/>
        <v>2.627777777838603E-3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input_572101!A$2</f>
        <v>572101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IFERROR(VLOOKUP(B155,input_572101!L:R,7,FALSE),VLOOKUP(tables_572101!C155,input_572101!A:H,8,FALSE))</f>
        <v>454.08</v>
      </c>
      <c r="P155" s="40">
        <f t="shared" ca="1" si="7"/>
        <v>5.2555555556772055E-4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input_572101!A$2</f>
        <v>572101</v>
      </c>
      <c r="B156" s="6">
        <v>390</v>
      </c>
      <c r="C156" s="7" t="str">
        <f t="shared" si="6"/>
        <v>PremiumSS4color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">
        <v>35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IFERROR(VLOOKUP(B156,input_572101!L:R,7,FALSE),VLOOKUP(tables_572101!C156,input_572101!A:H,8,FALSE))</f>
        <v>1296</v>
      </c>
      <c r="P156" s="40">
        <f t="shared" ca="1" si="7"/>
        <v>1.5000000000347205E-3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input_572101!A$2</f>
        <v>572101</v>
      </c>
      <c r="B157" s="6">
        <v>391</v>
      </c>
      <c r="C157" s="7" t="str">
        <f t="shared" si="6"/>
        <v>PremiumSS5color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">
        <v>35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IFERROR(VLOOKUP(B157,input_572101!L:R,7,FALSE),VLOOKUP(tables_572101!C157,input_572101!A:H,8,FALSE))</f>
        <v>144</v>
      </c>
      <c r="P157" s="40">
        <f t="shared" ca="1" si="7"/>
        <v>1.666666666705245E-4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input_572101!A$2</f>
        <v>572101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IFERROR(VLOOKUP(B158,input_572101!L:R,7,FALSE),VLOOKUP(tables_572101!C158,input_572101!A:H,8,FALSE))</f>
        <v>1816.32</v>
      </c>
      <c r="P158" s="40">
        <f t="shared" ca="1" si="7"/>
        <v>2.1022222222708822E-3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input_572101!A$2</f>
        <v>572101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IFERROR(VLOOKUP(B159,input_572101!L:R,7,FALSE),VLOOKUP(tables_572101!C159,input_572101!A:H,8,FALSE))</f>
        <v>2270.4</v>
      </c>
      <c r="P159" s="40">
        <f t="shared" ca="1" si="7"/>
        <v>2.627777777838603E-3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input_572101!A$2</f>
        <v>572101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IFERROR(VLOOKUP(B160,input_572101!L:R,7,FALSE),VLOOKUP(tables_572101!C160,input_572101!A:H,8,FALSE))</f>
        <v>454.08</v>
      </c>
      <c r="P160" s="40">
        <f t="shared" ca="1" si="7"/>
        <v>5.2555555556772055E-4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input_572101!A$2</f>
        <v>572101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IFERROR(VLOOKUP(B161,input_572101!L:R,7,FALSE),VLOOKUP(tables_572101!C161,input_572101!A:H,8,FALSE))</f>
        <v>1816.32</v>
      </c>
      <c r="P161" s="40">
        <f t="shared" ca="1" si="7"/>
        <v>2.1022222222708822E-3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input_572101!A$2</f>
        <v>572101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IFERROR(VLOOKUP(B162,input_572101!L:R,7,FALSE),VLOOKUP(tables_572101!C162,input_572101!A:H,8,FALSE))</f>
        <v>2270.4</v>
      </c>
      <c r="P162" s="40">
        <f t="shared" ca="1" si="7"/>
        <v>2.627777777838603E-3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input_572101!A$2</f>
        <v>572101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IFERROR(VLOOKUP(B163,input_572101!L:R,7,FALSE),VLOOKUP(tables_572101!C163,input_572101!A:H,8,FALSE))</f>
        <v>454.08</v>
      </c>
      <c r="P163" s="40">
        <f t="shared" ca="1" si="7"/>
        <v>5.2555555556772055E-4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input_572101!A$2</f>
        <v>572101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IFERROR(VLOOKUP(B164,input_572101!L:R,7,FALSE),VLOOKUP(tables_572101!C164,input_572101!A:H,8,FALSE))</f>
        <v>288</v>
      </c>
      <c r="P164" s="40">
        <f t="shared" ca="1" si="7"/>
        <v>3.3333333334104899E-4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input_572101!A$2</f>
        <v>572101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IFERROR(VLOOKUP(B165,input_572101!L:R,7,FALSE),VLOOKUP(tables_572101!C165,input_572101!A:H,8,FALSE))</f>
        <v>32</v>
      </c>
      <c r="P165" s="40">
        <f t="shared" ca="1" si="7"/>
        <v>3.7037037037894336E-5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input_572101!A$2</f>
        <v>572101</v>
      </c>
      <c r="B166" s="6">
        <v>400</v>
      </c>
      <c r="C166" s="7" t="str">
        <f t="shared" si="6"/>
        <v>Premium3color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">
        <v>35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IFERROR(VLOOKUP(B166,input_572101!L:R,7,FALSE),VLOOKUP(tables_572101!C166,input_572101!A:H,8,FALSE))</f>
        <v>8173.44</v>
      </c>
      <c r="P166" s="40">
        <f t="shared" ca="1" si="7"/>
        <v>9.4600000002189703E-3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input_572101!A$2</f>
        <v>572101</v>
      </c>
      <c r="B167" s="6">
        <v>401</v>
      </c>
      <c r="C167" s="7" t="str">
        <f t="shared" si="6"/>
        <v>Premium4color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">
        <v>35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IFERROR(VLOOKUP(B167,input_572101!L:R,7,FALSE),VLOOKUP(tables_572101!C167,input_572101!A:H,8,FALSE))</f>
        <v>10216.799999999999</v>
      </c>
      <c r="P167" s="40">
        <f t="shared" ca="1" si="7"/>
        <v>1.1825000000273712E-2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input_572101!A$2</f>
        <v>572101</v>
      </c>
      <c r="B168" s="6">
        <v>402</v>
      </c>
      <c r="C168" s="7" t="str">
        <f t="shared" si="6"/>
        <v>Premium5color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">
        <v>35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IFERROR(VLOOKUP(B168,input_572101!L:R,7,FALSE),VLOOKUP(tables_572101!C168,input_572101!A:H,8,FALSE))</f>
        <v>1517.76</v>
      </c>
      <c r="P168" s="40">
        <f t="shared" ca="1" si="7"/>
        <v>1.7566666667073283E-3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input_572101!A$2</f>
        <v>572101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IFERROR(VLOOKUP(B169,input_572101!L:R,7,FALSE),VLOOKUP(tables_572101!C169,input_572101!A:H,8,FALSE))</f>
        <v>288</v>
      </c>
      <c r="P169" s="40">
        <f t="shared" ca="1" si="7"/>
        <v>3.3333333334104899E-4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input_572101!A$2</f>
        <v>572101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IFERROR(VLOOKUP(B170,input_572101!L:R,7,FALSE),VLOOKUP(tables_572101!C170,input_572101!A:H,8,FALSE))</f>
        <v>32</v>
      </c>
      <c r="P170" s="40">
        <f t="shared" ca="1" si="7"/>
        <v>3.7037037037894336E-5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input_572101!A$2</f>
        <v>572101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IFERROR(VLOOKUP(B171,input_572101!L:R,7,FALSE),VLOOKUP(tables_572101!C171,input_572101!A:H,8,FALSE))</f>
        <v>1816.32</v>
      </c>
      <c r="P171" s="40">
        <f t="shared" ca="1" si="7"/>
        <v>2.1022222222708822E-3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input_572101!A$2</f>
        <v>572101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IFERROR(VLOOKUP(B172,input_572101!L:R,7,FALSE),VLOOKUP(tables_572101!C172,input_572101!A:H,8,FALSE))</f>
        <v>2270.4</v>
      </c>
      <c r="P172" s="40">
        <f t="shared" ca="1" si="7"/>
        <v>2.627777777838603E-3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input_572101!A$2</f>
        <v>572101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IFERROR(VLOOKUP(B173,input_572101!L:R,7,FALSE),VLOOKUP(tables_572101!C173,input_572101!A:H,8,FALSE))</f>
        <v>454.08</v>
      </c>
      <c r="P173" s="40">
        <f t="shared" ca="1" si="7"/>
        <v>5.2555555556772055E-4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input_572101!A$2</f>
        <v>572101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IFERROR(VLOOKUP(B174,input_572101!L:R,7,FALSE),VLOOKUP(tables_572101!C174,input_572101!A:H,8,FALSE))</f>
        <v>288</v>
      </c>
      <c r="P174" s="40">
        <f t="shared" ca="1" si="7"/>
        <v>3.3333333334104899E-4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input_572101!A$2</f>
        <v>572101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IFERROR(VLOOKUP(B175,input_572101!L:R,7,FALSE),VLOOKUP(tables_572101!C175,input_572101!A:H,8,FALSE))</f>
        <v>32</v>
      </c>
      <c r="P175" s="40">
        <f t="shared" ca="1" si="7"/>
        <v>3.7037037037894336E-5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input_572101!A$2</f>
        <v>572101</v>
      </c>
      <c r="B176" s="6">
        <v>434</v>
      </c>
      <c r="C176" s="7" t="str">
        <f t="shared" si="6"/>
        <v>PremiumSS4color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">
        <v>35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IFERROR(VLOOKUP(B176,input_572101!L:R,7,FALSE),VLOOKUP(tables_572101!C176,input_572101!A:H,8,FALSE))</f>
        <v>1296</v>
      </c>
      <c r="P176" s="40">
        <f t="shared" ca="1" si="7"/>
        <v>1.5000000000347205E-3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input_572101!A$2</f>
        <v>572101</v>
      </c>
      <c r="B177" s="6">
        <v>435</v>
      </c>
      <c r="C177" s="7" t="str">
        <f t="shared" si="6"/>
        <v>PremiumSS5color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">
        <v>35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IFERROR(VLOOKUP(B177,input_572101!L:R,7,FALSE),VLOOKUP(tables_572101!C177,input_572101!A:H,8,FALSE))</f>
        <v>144</v>
      </c>
      <c r="P177" s="40">
        <f t="shared" ca="1" si="7"/>
        <v>1.666666666705245E-4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input_572101!A$2</f>
        <v>572101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IFERROR(VLOOKUP(B178,input_572101!L:R,7,FALSE),VLOOKUP(tables_572101!C178,input_572101!A:H,8,FALSE))</f>
        <v>1816.32</v>
      </c>
      <c r="P178" s="40">
        <f t="shared" ca="1" si="7"/>
        <v>2.1022222222708822E-3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input_572101!A$2</f>
        <v>572101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IFERROR(VLOOKUP(B179,input_572101!L:R,7,FALSE),VLOOKUP(tables_572101!C179,input_572101!A:H,8,FALSE))</f>
        <v>2270.4</v>
      </c>
      <c r="P179" s="40">
        <f t="shared" ca="1" si="7"/>
        <v>2.627777777838603E-3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input_572101!A$2</f>
        <v>572101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IFERROR(VLOOKUP(B180,input_572101!L:R,7,FALSE),VLOOKUP(tables_572101!C180,input_572101!A:H,8,FALSE))</f>
        <v>454.08</v>
      </c>
      <c r="P180" s="40">
        <f t="shared" ca="1" si="7"/>
        <v>5.2555555556772055E-4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input_572101!A$2</f>
        <v>572101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IFERROR(VLOOKUP(B181,input_572101!L:R,7,FALSE),VLOOKUP(tables_572101!C181,input_572101!A:H,8,FALSE))</f>
        <v>1816.32</v>
      </c>
      <c r="P181" s="40">
        <f t="shared" ca="1" si="7"/>
        <v>2.1022222222708822E-3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input_572101!A$2</f>
        <v>572101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IFERROR(VLOOKUP(B182,input_572101!L:R,7,FALSE),VLOOKUP(tables_572101!C182,input_572101!A:H,8,FALSE))</f>
        <v>2270.4</v>
      </c>
      <c r="P182" s="40">
        <f t="shared" ca="1" si="7"/>
        <v>2.627777777838603E-3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input_572101!A$2</f>
        <v>572101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IFERROR(VLOOKUP(B183,input_572101!L:R,7,FALSE),VLOOKUP(tables_572101!C183,input_572101!A:H,8,FALSE))</f>
        <v>454.08</v>
      </c>
      <c r="P183" s="40">
        <f t="shared" ca="1" si="7"/>
        <v>5.2555555556772055E-4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input_572101!A$2</f>
        <v>572101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IFERROR(VLOOKUP(B184,input_572101!L:R,7,FALSE),VLOOKUP(tables_572101!C184,input_572101!A:H,8,FALSE))</f>
        <v>288</v>
      </c>
      <c r="P184" s="40">
        <f t="shared" ca="1" si="7"/>
        <v>3.3333333334104899E-4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input_572101!A$2</f>
        <v>572101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IFERROR(VLOOKUP(B185,input_572101!L:R,7,FALSE),VLOOKUP(tables_572101!C185,input_572101!A:H,8,FALSE))</f>
        <v>32</v>
      </c>
      <c r="P185" s="40">
        <f t="shared" ca="1" si="7"/>
        <v>3.7037037037894336E-5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input_572101!A$2</f>
        <v>572101</v>
      </c>
      <c r="B186" s="8">
        <v>462</v>
      </c>
      <c r="C186" s="7" t="str">
        <f t="shared" si="6"/>
        <v>Premium3color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">
        <v>35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IFERROR(VLOOKUP(B186,input_572101!L:R,7,FALSE),VLOOKUP(tables_572101!C186,input_572101!A:H,8,FALSE))</f>
        <v>8173.44</v>
      </c>
      <c r="P186" s="40">
        <f t="shared" ca="1" si="7"/>
        <v>9.4600000002189703E-3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input_572101!A$2</f>
        <v>572101</v>
      </c>
      <c r="B187" s="8">
        <v>463</v>
      </c>
      <c r="C187" s="7" t="str">
        <f t="shared" si="6"/>
        <v>Premium4color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">
        <v>35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IFERROR(VLOOKUP(B187,input_572101!L:R,7,FALSE),VLOOKUP(tables_572101!C187,input_572101!A:H,8,FALSE))</f>
        <v>10216.799999999999</v>
      </c>
      <c r="P187" s="40">
        <f t="shared" ca="1" si="7"/>
        <v>1.1825000000273712E-2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input_572101!A$2</f>
        <v>572101</v>
      </c>
      <c r="B188" s="8">
        <v>464</v>
      </c>
      <c r="C188" s="7" t="str">
        <f t="shared" si="6"/>
        <v>Premium5color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">
        <v>35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IFERROR(VLOOKUP(B188,input_572101!L:R,7,FALSE),VLOOKUP(tables_572101!C188,input_572101!A:H,8,FALSE))</f>
        <v>1517.76</v>
      </c>
      <c r="P188" s="40">
        <f t="shared" ca="1" si="7"/>
        <v>1.7566666667073283E-3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input_572101!A$2</f>
        <v>572101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IFERROR(VLOOKUP(B189,input_572101!L:R,7,FALSE),VLOOKUP(tables_572101!C189,input_572101!A:H,8,FALSE))</f>
        <v>288</v>
      </c>
      <c r="P189" s="40">
        <f t="shared" ca="1" si="7"/>
        <v>3.3333333334104899E-4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input_572101!A$2</f>
        <v>572101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IFERROR(VLOOKUP(B190,input_572101!L:R,7,FALSE),VLOOKUP(tables_572101!C190,input_572101!A:H,8,FALSE))</f>
        <v>32</v>
      </c>
      <c r="P190" s="40">
        <f t="shared" ca="1" si="7"/>
        <v>3.7037037037894336E-5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input_572101!A$2</f>
        <v>572101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IFERROR(VLOOKUP(B191,input_572101!L:R,7,FALSE),VLOOKUP(tables_572101!C191,input_572101!A:H,8,FALSE))</f>
        <v>288</v>
      </c>
      <c r="P191" s="40">
        <f t="shared" ca="1" si="7"/>
        <v>3.3333333334104899E-4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input_572101!A$2</f>
        <v>572101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IFERROR(VLOOKUP(B192,input_572101!L:R,7,FALSE),VLOOKUP(tables_572101!C192,input_572101!A:H,8,FALSE))</f>
        <v>32</v>
      </c>
      <c r="P192" s="40">
        <f t="shared" ca="1" si="7"/>
        <v>3.7037037037894336E-5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input_572101!A$2</f>
        <v>572101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IFERROR(VLOOKUP(B193,input_572101!L:R,7,FALSE),VLOOKUP(tables_572101!C193,input_572101!A:H,8,FALSE))</f>
        <v>1816.32</v>
      </c>
      <c r="P193" s="40">
        <f t="shared" ca="1" si="7"/>
        <v>2.1022222222708822E-3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input_572101!A$2</f>
        <v>572101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IFERROR(VLOOKUP(B194,input_572101!L:R,7,FALSE),VLOOKUP(tables_572101!C194,input_572101!A:H,8,FALSE))</f>
        <v>2270.4</v>
      </c>
      <c r="P194" s="40">
        <f t="shared" ref="P194:P257" ca="1" si="10">O194/SUM(O:O)</f>
        <v>2.627777777838603E-3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input_572101!A$2</f>
        <v>572101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IFERROR(VLOOKUP(B195,input_572101!L:R,7,FALSE),VLOOKUP(tables_572101!C195,input_572101!A:H,8,FALSE))</f>
        <v>454.08</v>
      </c>
      <c r="P195" s="40">
        <f t="shared" ca="1" si="10"/>
        <v>5.2555555556772055E-4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input_572101!A$2</f>
        <v>572101</v>
      </c>
      <c r="B196" s="6">
        <v>474</v>
      </c>
      <c r="C196" s="7" t="str">
        <f t="shared" si="9"/>
        <v>PremiumSS4color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">
        <v>35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IFERROR(VLOOKUP(B196,input_572101!L:R,7,FALSE),VLOOKUP(tables_572101!C196,input_572101!A:H,8,FALSE))</f>
        <v>1296</v>
      </c>
      <c r="P196" s="40">
        <f t="shared" ca="1" si="10"/>
        <v>1.5000000000347205E-3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input_572101!A$2</f>
        <v>572101</v>
      </c>
      <c r="B197" s="6">
        <v>475</v>
      </c>
      <c r="C197" s="7" t="str">
        <f t="shared" si="9"/>
        <v>PremiumSS5color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">
        <v>35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IFERROR(VLOOKUP(B197,input_572101!L:R,7,FALSE),VLOOKUP(tables_572101!C197,input_572101!A:H,8,FALSE))</f>
        <v>144</v>
      </c>
      <c r="P197" s="40">
        <f t="shared" ca="1" si="10"/>
        <v>1.666666666705245E-4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input_572101!A$2</f>
        <v>572101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IFERROR(VLOOKUP(B198,input_572101!L:R,7,FALSE),VLOOKUP(tables_572101!C198,input_572101!A:H,8,FALSE))</f>
        <v>1816.32</v>
      </c>
      <c r="P198" s="40">
        <f t="shared" ca="1" si="10"/>
        <v>2.1022222222708822E-3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input_572101!A$2</f>
        <v>572101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IFERROR(VLOOKUP(B199,input_572101!L:R,7,FALSE),VLOOKUP(tables_572101!C199,input_572101!A:H,8,FALSE))</f>
        <v>2270.4</v>
      </c>
      <c r="P199" s="40">
        <f t="shared" ca="1" si="10"/>
        <v>2.627777777838603E-3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input_572101!A$2</f>
        <v>572101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IFERROR(VLOOKUP(B200,input_572101!L:R,7,FALSE),VLOOKUP(tables_572101!C200,input_572101!A:H,8,FALSE))</f>
        <v>454.08</v>
      </c>
      <c r="P200" s="40">
        <f t="shared" ca="1" si="10"/>
        <v>5.2555555556772055E-4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input_572101!A$2</f>
        <v>572101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IFERROR(VLOOKUP(B201,input_572101!L:R,7,FALSE),VLOOKUP(tables_572101!C201,input_572101!A:H,8,FALSE))</f>
        <v>288</v>
      </c>
      <c r="P201" s="40">
        <f t="shared" ca="1" si="10"/>
        <v>3.3333333334104899E-4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input_572101!A$2</f>
        <v>572101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IFERROR(VLOOKUP(B202,input_572101!L:R,7,FALSE),VLOOKUP(tables_572101!C202,input_572101!A:H,8,FALSE))</f>
        <v>32</v>
      </c>
      <c r="P202" s="40">
        <f t="shared" ca="1" si="10"/>
        <v>3.7037037037894336E-5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input_572101!A$2</f>
        <v>572101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IFERROR(VLOOKUP(B203,input_572101!L:R,7,FALSE),VLOOKUP(tables_572101!C203,input_572101!A:H,8,FALSE))</f>
        <v>1816.32</v>
      </c>
      <c r="P203" s="40">
        <f t="shared" ca="1" si="10"/>
        <v>2.1022222222708822E-3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input_572101!A$2</f>
        <v>572101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IFERROR(VLOOKUP(B204,input_572101!L:R,7,FALSE),VLOOKUP(tables_572101!C204,input_572101!A:H,8,FALSE))</f>
        <v>2270.4</v>
      </c>
      <c r="P204" s="40">
        <f t="shared" ca="1" si="10"/>
        <v>2.627777777838603E-3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input_572101!A$2</f>
        <v>572101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IFERROR(VLOOKUP(B205,input_572101!L:R,7,FALSE),VLOOKUP(tables_572101!C205,input_572101!A:H,8,FALSE))</f>
        <v>454.08</v>
      </c>
      <c r="P205" s="40">
        <f t="shared" ca="1" si="10"/>
        <v>5.2555555556772055E-4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input_572101!A$2</f>
        <v>572101</v>
      </c>
      <c r="B206" s="6">
        <v>492</v>
      </c>
      <c r="C206" s="7" t="str">
        <f t="shared" si="9"/>
        <v>PremiumSS4color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">
        <v>35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IFERROR(VLOOKUP(B206,input_572101!L:R,7,FALSE),VLOOKUP(tables_572101!C206,input_572101!A:H,8,FALSE))</f>
        <v>1296</v>
      </c>
      <c r="P206" s="40">
        <f t="shared" ca="1" si="10"/>
        <v>1.5000000000347205E-3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input_572101!A$2</f>
        <v>572101</v>
      </c>
      <c r="B207" s="6">
        <v>493</v>
      </c>
      <c r="C207" s="7" t="str">
        <f t="shared" si="9"/>
        <v>PremiumSS5color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">
        <v>35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IFERROR(VLOOKUP(B207,input_572101!L:R,7,FALSE),VLOOKUP(tables_572101!C207,input_572101!A:H,8,FALSE))</f>
        <v>144</v>
      </c>
      <c r="P207" s="40">
        <f t="shared" ca="1" si="10"/>
        <v>1.666666666705245E-4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input_572101!A$2</f>
        <v>572101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IFERROR(VLOOKUP(B208,input_572101!L:R,7,FALSE),VLOOKUP(tables_572101!C208,input_572101!A:H,8,FALSE))</f>
        <v>288</v>
      </c>
      <c r="P208" s="40">
        <f t="shared" ca="1" si="10"/>
        <v>3.3333333334104899E-4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input_572101!A$2</f>
        <v>572101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IFERROR(VLOOKUP(B209,input_572101!L:R,7,FALSE),VLOOKUP(tables_572101!C209,input_572101!A:H,8,FALSE))</f>
        <v>32</v>
      </c>
      <c r="P209" s="40">
        <f t="shared" ca="1" si="10"/>
        <v>3.7037037037894336E-5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input_572101!A$2</f>
        <v>572101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IFERROR(VLOOKUP(B210,input_572101!L:R,7,FALSE),VLOOKUP(tables_572101!C210,input_572101!A:H,8,FALSE))</f>
        <v>1816.32</v>
      </c>
      <c r="P210" s="40">
        <f t="shared" ca="1" si="10"/>
        <v>2.1022222222708822E-3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input_572101!A$2</f>
        <v>572101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IFERROR(VLOOKUP(B211,input_572101!L:R,7,FALSE),VLOOKUP(tables_572101!C211,input_572101!A:H,8,FALSE))</f>
        <v>2270.4</v>
      </c>
      <c r="P211" s="40">
        <f t="shared" ca="1" si="10"/>
        <v>2.627777777838603E-3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input_572101!A$2</f>
        <v>572101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IFERROR(VLOOKUP(B212,input_572101!L:R,7,FALSE),VLOOKUP(tables_572101!C212,input_572101!A:H,8,FALSE))</f>
        <v>454.08</v>
      </c>
      <c r="P212" s="40">
        <f t="shared" ca="1" si="10"/>
        <v>5.2555555556772055E-4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input_572101!A$2</f>
        <v>572101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IFERROR(VLOOKUP(B213,input_572101!L:R,7,FALSE),VLOOKUP(tables_572101!C213,input_572101!A:H,8,FALSE))</f>
        <v>288</v>
      </c>
      <c r="P213" s="40">
        <f t="shared" ca="1" si="10"/>
        <v>3.3333333334104899E-4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input_572101!A$2</f>
        <v>572101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IFERROR(VLOOKUP(B214,input_572101!L:R,7,FALSE),VLOOKUP(tables_572101!C214,input_572101!A:H,8,FALSE))</f>
        <v>32</v>
      </c>
      <c r="P214" s="40">
        <f t="shared" ca="1" si="10"/>
        <v>3.7037037037894336E-5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input_572101!A$2</f>
        <v>572101</v>
      </c>
      <c r="B215" s="6">
        <v>560</v>
      </c>
      <c r="C215" s="7" t="str">
        <f t="shared" si="9"/>
        <v>premium5R3lesscolor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">
        <v>35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IFERROR(VLOOKUP(B215,input_572101!L:R,7,FALSE),VLOOKUP(tables_572101!C215,input_572101!A:H,8,FALSE))</f>
        <v>1796.5028600000001</v>
      </c>
      <c r="P215" s="40">
        <f t="shared" ca="1" si="10"/>
        <v>2.0792857176407217E-3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input_572101!A$2</f>
        <v>572101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IFERROR(VLOOKUP(B216,input_572101!L:R,7,FALSE),VLOOKUP(tables_572101!C216,input_572101!A:H,8,FALSE))</f>
        <v>184.97684000000001</v>
      </c>
      <c r="P216" s="40">
        <f t="shared" ca="1" si="10"/>
        <v>2.1409356481977043E-4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input_572101!A$2</f>
        <v>572101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IFERROR(VLOOKUP(B217,input_572101!L:R,7,FALSE),VLOOKUP(tables_572101!C217,input_572101!A:H,8,FALSE))</f>
        <v>184.97684000000001</v>
      </c>
      <c r="P217" s="40">
        <f t="shared" ca="1" si="10"/>
        <v>2.1409356481977043E-4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input_572101!A$2</f>
        <v>572101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IFERROR(VLOOKUP(B218,input_572101!L:R,7,FALSE),VLOOKUP(tables_572101!C218,input_572101!A:H,8,FALSE))</f>
        <v>184.97684000000001</v>
      </c>
      <c r="P218" s="40">
        <f t="shared" ca="1" si="10"/>
        <v>2.1409356481977043E-4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input_572101!A$2</f>
        <v>572101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IFERROR(VLOOKUP(B219,input_572101!L:R,7,FALSE),VLOOKUP(tables_572101!C219,input_572101!A:H,8,FALSE))</f>
        <v>184.97684000000001</v>
      </c>
      <c r="P219" s="40">
        <f t="shared" ca="1" si="10"/>
        <v>2.1409356481977043E-4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input_572101!A$2</f>
        <v>572101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IFERROR(VLOOKUP(B220,input_572101!L:R,7,FALSE),VLOOKUP(tables_572101!C220,input_572101!A:H,8,FALSE))</f>
        <v>184.97684000000001</v>
      </c>
      <c r="P220" s="40">
        <f t="shared" ca="1" si="10"/>
        <v>2.1409356481977043E-4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input_572101!A$2</f>
        <v>572101</v>
      </c>
      <c r="B221" s="6">
        <v>586</v>
      </c>
      <c r="C221" s="7" t="str">
        <f t="shared" si="9"/>
        <v>PremiumSS4color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">
        <v>35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IFERROR(VLOOKUP(B221,input_572101!L:R,7,FALSE),VLOOKUP(tables_572101!C221,input_572101!A:H,8,FALSE))</f>
        <v>1296</v>
      </c>
      <c r="P221" s="40">
        <f t="shared" ca="1" si="10"/>
        <v>1.5000000000347205E-3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input_572101!A$2</f>
        <v>572101</v>
      </c>
      <c r="B222" s="6">
        <v>587</v>
      </c>
      <c r="C222" s="7" t="str">
        <f t="shared" si="9"/>
        <v>PremiumSS5color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">
        <v>35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IFERROR(VLOOKUP(B222,input_572101!L:R,7,FALSE),VLOOKUP(tables_572101!C222,input_572101!A:H,8,FALSE))</f>
        <v>144</v>
      </c>
      <c r="P222" s="40">
        <f t="shared" ca="1" si="10"/>
        <v>1.666666666705245E-4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input_572101!A$2</f>
        <v>572101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IFERROR(VLOOKUP(B223,input_572101!L:R,7,FALSE),VLOOKUP(tables_572101!C223,input_572101!A:H,8,FALSE))</f>
        <v>1816.32</v>
      </c>
      <c r="P223" s="40">
        <f t="shared" ca="1" si="10"/>
        <v>2.1022222222708822E-3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input_572101!A$2</f>
        <v>572101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IFERROR(VLOOKUP(B224,input_572101!L:R,7,FALSE),VLOOKUP(tables_572101!C224,input_572101!A:H,8,FALSE))</f>
        <v>2270.4</v>
      </c>
      <c r="P224" s="40">
        <f t="shared" ca="1" si="10"/>
        <v>2.627777777838603E-3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input_572101!A$2</f>
        <v>572101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IFERROR(VLOOKUP(B225,input_572101!L:R,7,FALSE),VLOOKUP(tables_572101!C225,input_572101!A:H,8,FALSE))</f>
        <v>454.08</v>
      </c>
      <c r="P225" s="40">
        <f t="shared" ca="1" si="10"/>
        <v>5.2555555556772055E-4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input_572101!A$2</f>
        <v>572101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IFERROR(VLOOKUP(B226,input_572101!L:R,7,FALSE),VLOOKUP(tables_572101!C226,input_572101!A:H,8,FALSE))</f>
        <v>1816.32</v>
      </c>
      <c r="P226" s="40">
        <f t="shared" ca="1" si="10"/>
        <v>2.1022222222708822E-3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input_572101!A$2</f>
        <v>572101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IFERROR(VLOOKUP(B227,input_572101!L:R,7,FALSE),VLOOKUP(tables_572101!C227,input_572101!A:H,8,FALSE))</f>
        <v>2270.4</v>
      </c>
      <c r="P227" s="40">
        <f t="shared" ca="1" si="10"/>
        <v>2.627777777838603E-3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input_572101!A$2</f>
        <v>572101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IFERROR(VLOOKUP(B228,input_572101!L:R,7,FALSE),VLOOKUP(tables_572101!C228,input_572101!A:H,8,FALSE))</f>
        <v>454.08</v>
      </c>
      <c r="P228" s="40">
        <f t="shared" ca="1" si="10"/>
        <v>5.2555555556772055E-4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input_572101!A$2</f>
        <v>572101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IFERROR(VLOOKUP(B229,input_572101!L:R,7,FALSE),VLOOKUP(tables_572101!C229,input_572101!A:H,8,FALSE))</f>
        <v>288</v>
      </c>
      <c r="P229" s="40">
        <f t="shared" ca="1" si="10"/>
        <v>3.3333333334104899E-4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input_572101!A$2</f>
        <v>572101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IFERROR(VLOOKUP(B230,input_572101!L:R,7,FALSE),VLOOKUP(tables_572101!C230,input_572101!A:H,8,FALSE))</f>
        <v>32</v>
      </c>
      <c r="P230" s="40">
        <f t="shared" ca="1" si="10"/>
        <v>3.7037037037894336E-5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input_572101!A$2</f>
        <v>572101</v>
      </c>
      <c r="B231" s="6">
        <v>596</v>
      </c>
      <c r="C231" s="7" t="str">
        <f t="shared" si="9"/>
        <v>Premium3color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">
        <v>35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IFERROR(VLOOKUP(B231,input_572101!L:R,7,FALSE),VLOOKUP(tables_572101!C231,input_572101!A:H,8,FALSE))</f>
        <v>8173.44</v>
      </c>
      <c r="P231" s="40">
        <f t="shared" ca="1" si="10"/>
        <v>9.4600000002189703E-3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input_572101!A$2</f>
        <v>572101</v>
      </c>
      <c r="B232" s="6">
        <v>597</v>
      </c>
      <c r="C232" s="7" t="str">
        <f t="shared" si="9"/>
        <v>Premium4color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">
        <v>35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IFERROR(VLOOKUP(B232,input_572101!L:R,7,FALSE),VLOOKUP(tables_572101!C232,input_572101!A:H,8,FALSE))</f>
        <v>10216.799999999999</v>
      </c>
      <c r="P232" s="40">
        <f t="shared" ca="1" si="10"/>
        <v>1.1825000000273712E-2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input_572101!A$2</f>
        <v>572101</v>
      </c>
      <c r="B233" s="6">
        <v>598</v>
      </c>
      <c r="C233" s="7" t="str">
        <f t="shared" si="9"/>
        <v>Premium5color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">
        <v>35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IFERROR(VLOOKUP(B233,input_572101!L:R,7,FALSE),VLOOKUP(tables_572101!C233,input_572101!A:H,8,FALSE))</f>
        <v>1517.76</v>
      </c>
      <c r="P233" s="40">
        <f t="shared" ca="1" si="10"/>
        <v>1.7566666667073283E-3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input_572101!A$2</f>
        <v>572101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IFERROR(VLOOKUP(B234,input_572101!L:R,7,FALSE),VLOOKUP(tables_572101!C234,input_572101!A:H,8,FALSE))</f>
        <v>1816.32</v>
      </c>
      <c r="P234" s="40">
        <f t="shared" ca="1" si="10"/>
        <v>2.1022222222708822E-3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input_572101!A$2</f>
        <v>572101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IFERROR(VLOOKUP(B235,input_572101!L:R,7,FALSE),VLOOKUP(tables_572101!C235,input_572101!A:H,8,FALSE))</f>
        <v>2270.4</v>
      </c>
      <c r="P235" s="40">
        <f t="shared" ca="1" si="10"/>
        <v>2.627777777838603E-3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input_572101!A$2</f>
        <v>572101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IFERROR(VLOOKUP(B236,input_572101!L:R,7,FALSE),VLOOKUP(tables_572101!C236,input_572101!A:H,8,FALSE))</f>
        <v>454.08</v>
      </c>
      <c r="P236" s="40">
        <f t="shared" ca="1" si="10"/>
        <v>5.2555555556772055E-4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input_572101!A$2</f>
        <v>572101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IFERROR(VLOOKUP(B237,input_572101!L:R,7,FALSE),VLOOKUP(tables_572101!C237,input_572101!A:H,8,FALSE))</f>
        <v>288</v>
      </c>
      <c r="P237" s="40">
        <f t="shared" ca="1" si="10"/>
        <v>3.3333333334104899E-4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input_572101!A$2</f>
        <v>572101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IFERROR(VLOOKUP(B238,input_572101!L:R,7,FALSE),VLOOKUP(tables_572101!C238,input_572101!A:H,8,FALSE))</f>
        <v>32</v>
      </c>
      <c r="P238" s="40">
        <f t="shared" ca="1" si="10"/>
        <v>3.7037037037894336E-5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input_572101!A$2</f>
        <v>572101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IFERROR(VLOOKUP(B239,input_572101!L:R,7,FALSE),VLOOKUP(tables_572101!C239,input_572101!A:H,8,FALSE))</f>
        <v>1816.32</v>
      </c>
      <c r="P239" s="40">
        <f t="shared" ca="1" si="10"/>
        <v>2.1022222222708822E-3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input_572101!A$2</f>
        <v>572101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IFERROR(VLOOKUP(B240,input_572101!L:R,7,FALSE),VLOOKUP(tables_572101!C240,input_572101!A:H,8,FALSE))</f>
        <v>2270.4</v>
      </c>
      <c r="P240" s="40">
        <f t="shared" ca="1" si="10"/>
        <v>2.627777777838603E-3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input_572101!A$2</f>
        <v>572101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IFERROR(VLOOKUP(B241,input_572101!L:R,7,FALSE),VLOOKUP(tables_572101!C241,input_572101!A:H,8,FALSE))</f>
        <v>454.08</v>
      </c>
      <c r="P241" s="40">
        <f t="shared" ca="1" si="10"/>
        <v>5.2555555556772055E-4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input_572101!A$2</f>
        <v>572101</v>
      </c>
      <c r="B242" s="6">
        <v>658</v>
      </c>
      <c r="C242" s="7" t="str">
        <f t="shared" si="9"/>
        <v>PremiumSS4color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">
        <v>35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IFERROR(VLOOKUP(B242,input_572101!L:R,7,FALSE),VLOOKUP(tables_572101!C242,input_572101!A:H,8,FALSE))</f>
        <v>1296</v>
      </c>
      <c r="P242" s="40">
        <f t="shared" ca="1" si="10"/>
        <v>1.5000000000347205E-3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input_572101!A$2</f>
        <v>572101</v>
      </c>
      <c r="B243" s="6">
        <v>659</v>
      </c>
      <c r="C243" s="7" t="str">
        <f t="shared" si="9"/>
        <v>PremiumSS5color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">
        <v>35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IFERROR(VLOOKUP(B243,input_572101!L:R,7,FALSE),VLOOKUP(tables_572101!C243,input_572101!A:H,8,FALSE))</f>
        <v>144</v>
      </c>
      <c r="P243" s="40">
        <f t="shared" ca="1" si="10"/>
        <v>1.666666666705245E-4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input_572101!A$2</f>
        <v>572101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IFERROR(VLOOKUP(B244,input_572101!L:R,7,FALSE),VLOOKUP(tables_572101!C244,input_572101!A:H,8,FALSE))</f>
        <v>288</v>
      </c>
      <c r="P244" s="40">
        <f t="shared" ca="1" si="10"/>
        <v>3.3333333334104899E-4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input_572101!A$2</f>
        <v>572101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IFERROR(VLOOKUP(B245,input_572101!L:R,7,FALSE),VLOOKUP(tables_572101!C245,input_572101!A:H,8,FALSE))</f>
        <v>32</v>
      </c>
      <c r="P245" s="40">
        <f t="shared" ca="1" si="10"/>
        <v>3.7037037037894336E-5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input_572101!A$2</f>
        <v>572101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IFERROR(VLOOKUP(B246,input_572101!L:R,7,FALSE),VLOOKUP(tables_572101!C246,input_572101!A:H,8,FALSE))</f>
        <v>1816.32</v>
      </c>
      <c r="P246" s="40">
        <f t="shared" ca="1" si="10"/>
        <v>2.1022222222708822E-3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input_572101!A$2</f>
        <v>572101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IFERROR(VLOOKUP(B247,input_572101!L:R,7,FALSE),VLOOKUP(tables_572101!C247,input_572101!A:H,8,FALSE))</f>
        <v>2270.4</v>
      </c>
      <c r="P247" s="40">
        <f t="shared" ca="1" si="10"/>
        <v>2.627777777838603E-3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input_572101!A$2</f>
        <v>572101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IFERROR(VLOOKUP(B248,input_572101!L:R,7,FALSE),VLOOKUP(tables_572101!C248,input_572101!A:H,8,FALSE))</f>
        <v>454.08</v>
      </c>
      <c r="P248" s="40">
        <f t="shared" ca="1" si="10"/>
        <v>5.2555555556772055E-4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input_572101!A$2</f>
        <v>572101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IFERROR(VLOOKUP(B249,input_572101!L:R,7,FALSE),VLOOKUP(tables_572101!C249,input_572101!A:H,8,FALSE))</f>
        <v>1816.32</v>
      </c>
      <c r="P249" s="40">
        <f t="shared" ca="1" si="10"/>
        <v>2.1022222222708822E-3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input_572101!A$2</f>
        <v>572101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IFERROR(VLOOKUP(B250,input_572101!L:R,7,FALSE),VLOOKUP(tables_572101!C250,input_572101!A:H,8,FALSE))</f>
        <v>2270.4</v>
      </c>
      <c r="P250" s="40">
        <f t="shared" ca="1" si="10"/>
        <v>2.627777777838603E-3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input_572101!A$2</f>
        <v>572101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IFERROR(VLOOKUP(B251,input_572101!L:R,7,FALSE),VLOOKUP(tables_572101!C251,input_572101!A:H,8,FALSE))</f>
        <v>454.08</v>
      </c>
      <c r="P251" s="40">
        <f t="shared" ca="1" si="10"/>
        <v>5.2555555556772055E-4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input_572101!A$2</f>
        <v>572101</v>
      </c>
      <c r="B252" s="52">
        <v>668</v>
      </c>
      <c r="C252" s="7" t="str">
        <f t="shared" si="9"/>
        <v>Premium3color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">
        <v>35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IFERROR(VLOOKUP(B252,input_572101!L:R,7,FALSE),VLOOKUP(tables_572101!C252,input_572101!A:H,8,FALSE))</f>
        <v>8173.44</v>
      </c>
      <c r="P252" s="40">
        <f t="shared" ca="1" si="10"/>
        <v>9.4600000002189703E-3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input_572101!A$2</f>
        <v>572101</v>
      </c>
      <c r="B253" s="52">
        <v>669</v>
      </c>
      <c r="C253" s="7" t="str">
        <f t="shared" si="9"/>
        <v>Premium4color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">
        <v>35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IFERROR(VLOOKUP(B253,input_572101!L:R,7,FALSE),VLOOKUP(tables_572101!C253,input_572101!A:H,8,FALSE))</f>
        <v>10216.799999999999</v>
      </c>
      <c r="P253" s="40">
        <f t="shared" ca="1" si="10"/>
        <v>1.1825000000273712E-2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input_572101!A$2</f>
        <v>572101</v>
      </c>
      <c r="B254" s="52">
        <v>670</v>
      </c>
      <c r="C254" s="7" t="str">
        <f t="shared" si="9"/>
        <v>Premium5color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">
        <v>35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IFERROR(VLOOKUP(B254,input_572101!L:R,7,FALSE),VLOOKUP(tables_572101!C254,input_572101!A:H,8,FALSE))</f>
        <v>1517.76</v>
      </c>
      <c r="P254" s="40">
        <f t="shared" ca="1" si="10"/>
        <v>1.7566666667073283E-3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input_572101!A$2</f>
        <v>572101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IFERROR(VLOOKUP(B255,input_572101!L:R,7,FALSE),VLOOKUP(tables_572101!C255,input_572101!A:H,8,FALSE))</f>
        <v>1816.32</v>
      </c>
      <c r="P255" s="40">
        <f t="shared" ca="1" si="10"/>
        <v>2.1022222222708822E-3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input_572101!A$2</f>
        <v>572101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IFERROR(VLOOKUP(B256,input_572101!L:R,7,FALSE),VLOOKUP(tables_572101!C256,input_572101!A:H,8,FALSE))</f>
        <v>2270.4</v>
      </c>
      <c r="P256" s="40">
        <f t="shared" ca="1" si="10"/>
        <v>2.627777777838603E-3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input_572101!A$2</f>
        <v>572101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IFERROR(VLOOKUP(B257,input_572101!L:R,7,FALSE),VLOOKUP(tables_572101!C257,input_572101!A:H,8,FALSE))</f>
        <v>454.08</v>
      </c>
      <c r="P257" s="40">
        <f t="shared" ca="1" si="10"/>
        <v>5.2555555556772055E-4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input_572101!A$2</f>
        <v>572101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IFERROR(VLOOKUP(B258,input_572101!L:R,7,FALSE),VLOOKUP(tables_572101!C258,input_572101!A:H,8,FALSE))</f>
        <v>288</v>
      </c>
      <c r="P258" s="40">
        <f t="shared" ref="P258:P321" ca="1" si="13">O258/SUM(O:O)</f>
        <v>3.3333333334104899E-4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input_572101!A$2</f>
        <v>572101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IFERROR(VLOOKUP(B259,input_572101!L:R,7,FALSE),VLOOKUP(tables_572101!C259,input_572101!A:H,8,FALSE))</f>
        <v>32</v>
      </c>
      <c r="P259" s="40">
        <f t="shared" ca="1" si="13"/>
        <v>3.7037037037894336E-5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input_572101!A$2</f>
        <v>572101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IFERROR(VLOOKUP(B260,input_572101!L:R,7,FALSE),VLOOKUP(tables_572101!C260,input_572101!A:H,8,FALSE))</f>
        <v>288</v>
      </c>
      <c r="P260" s="40">
        <f t="shared" ca="1" si="13"/>
        <v>3.3333333334104899E-4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input_572101!A$2</f>
        <v>572101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IFERROR(VLOOKUP(B261,input_572101!L:R,7,FALSE),VLOOKUP(tables_572101!C261,input_572101!A:H,8,FALSE))</f>
        <v>32</v>
      </c>
      <c r="P261" s="40">
        <f t="shared" ca="1" si="13"/>
        <v>3.7037037037894336E-5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input_572101!A$2</f>
        <v>572101</v>
      </c>
      <c r="B262" s="52">
        <v>728</v>
      </c>
      <c r="C262" s="7" t="str">
        <f t="shared" si="12"/>
        <v>Premium4R3lesscolor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">
        <v>35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IFERROR(VLOOKUP(B262,input_572101!L:R,7,FALSE),VLOOKUP(tables_572101!C262,input_572101!A:H,8,FALSE))</f>
        <v>18337.68</v>
      </c>
      <c r="P262" s="40">
        <f t="shared" ca="1" si="13"/>
        <v>2.1224166667157943E-2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input_572101!A$2</f>
        <v>572101</v>
      </c>
      <c r="B263" s="52">
        <v>729</v>
      </c>
      <c r="C263" s="7" t="str">
        <f t="shared" si="12"/>
        <v>Premium5R3lesscolor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">
        <v>35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IFERROR(VLOOKUP(B263,input_572101!L:R,7,FALSE),VLOOKUP(tables_572101!C263,input_572101!A:H,8,FALSE))</f>
        <v>1796.5028600000001</v>
      </c>
      <c r="P263" s="40">
        <f t="shared" ca="1" si="13"/>
        <v>2.0792857176407217E-3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input_572101!A$2</f>
        <v>572101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IFERROR(VLOOKUP(B264,input_572101!L:R,7,FALSE),VLOOKUP(tables_572101!C264,input_572101!A:H,8,FALSE))</f>
        <v>4289.76</v>
      </c>
      <c r="P264" s="40">
        <f t="shared" ca="1" si="13"/>
        <v>4.9650000001149252E-3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input_572101!A$2</f>
        <v>572101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IFERROR(VLOOKUP(B265,input_572101!L:R,7,FALSE),VLOOKUP(tables_572101!C265,input_572101!A:H,8,FALSE))</f>
        <v>184.97684000000001</v>
      </c>
      <c r="P265" s="40">
        <f t="shared" ca="1" si="13"/>
        <v>2.1409356481977043E-4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input_572101!A$2</f>
        <v>572101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IFERROR(VLOOKUP(B266,input_572101!L:R,7,FALSE),VLOOKUP(tables_572101!C266,input_572101!A:H,8,FALSE))</f>
        <v>320</v>
      </c>
      <c r="P266" s="40">
        <f t="shared" ca="1" si="13"/>
        <v>3.703703703789433E-4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input_572101!A$2</f>
        <v>572101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IFERROR(VLOOKUP(B267,input_572101!L:R,7,FALSE),VLOOKUP(tables_572101!C267,input_572101!A:H,8,FALSE))</f>
        <v>320</v>
      </c>
      <c r="P267" s="40">
        <f t="shared" ca="1" si="13"/>
        <v>3.703703703789433E-4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input_572101!A$2</f>
        <v>572101</v>
      </c>
      <c r="B268" s="52">
        <v>742</v>
      </c>
      <c r="C268" s="7" t="str">
        <f t="shared" si="12"/>
        <v>PremiumSS5R5onlycolor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">
        <v>35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IFERROR(VLOOKUP(B268,input_572101!L:R,7,FALSE),VLOOKUP(tables_572101!C268,input_572101!A:H,8,FALSE))</f>
        <v>1440</v>
      </c>
      <c r="P268" s="40">
        <f t="shared" ca="1" si="13"/>
        <v>1.6666666667052449E-3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input_572101!A$2</f>
        <v>572101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IFERROR(VLOOKUP(B269,input_572101!L:R,7,FALSE),VLOOKUP(tables_572101!C269,input_572101!A:H,8,FALSE))</f>
        <v>320</v>
      </c>
      <c r="P269" s="40">
        <f t="shared" ca="1" si="13"/>
        <v>3.703703703789433E-4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input_572101!A$2</f>
        <v>572101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IFERROR(VLOOKUP(B270,input_572101!L:R,7,FALSE),VLOOKUP(tables_572101!C270,input_572101!A:H,8,FALSE))</f>
        <v>4289.76</v>
      </c>
      <c r="P270" s="40">
        <f t="shared" ca="1" si="13"/>
        <v>4.9650000001149252E-3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input_572101!A$2</f>
        <v>572101</v>
      </c>
      <c r="B271" s="7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IFERROR(VLOOKUP(B271,input_572101!L:R,7,FALSE),VLOOKUP(tables_572101!C271,input_572101!A:H,8,FALSE))</f>
        <v>184.97684000000001</v>
      </c>
      <c r="P271" s="40">
        <f t="shared" ca="1" si="13"/>
        <v>2.1409356481977043E-4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input_572101!A$2</f>
        <v>572101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IFERROR(VLOOKUP(B272,input_572101!L:R,7,FALSE),VLOOKUP(tables_572101!C272,input_572101!A:H,8,FALSE))</f>
        <v>4289.76</v>
      </c>
      <c r="P272" s="40">
        <f t="shared" ca="1" si="13"/>
        <v>4.9650000001149252E-3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input_572101!A$2</f>
        <v>572101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IFERROR(VLOOKUP(B273,input_572101!L:R,7,FALSE),VLOOKUP(tables_572101!C273,input_572101!A:H,8,FALSE))</f>
        <v>184.97684000000001</v>
      </c>
      <c r="P273" s="40">
        <f t="shared" ca="1" si="13"/>
        <v>2.1409356481977043E-4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input_572101!A$2</f>
        <v>572101</v>
      </c>
      <c r="B274" s="71">
        <v>770</v>
      </c>
      <c r="C274" s="7" t="str">
        <f t="shared" si="12"/>
        <v>PremiumSS4color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">
        <v>35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IFERROR(VLOOKUP(B274,input_572101!L:R,7,FALSE),VLOOKUP(tables_572101!C274,input_572101!A:H,8,FALSE))</f>
        <v>1296</v>
      </c>
      <c r="P274" s="40">
        <f t="shared" ca="1" si="13"/>
        <v>1.5000000000347205E-3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input_572101!A$2</f>
        <v>572101</v>
      </c>
      <c r="B275" s="71">
        <v>771</v>
      </c>
      <c r="C275" s="7" t="str">
        <f t="shared" si="12"/>
        <v>PremiumSS5color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">
        <v>35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IFERROR(VLOOKUP(B275,input_572101!L:R,7,FALSE),VLOOKUP(tables_572101!C275,input_572101!A:H,8,FALSE))</f>
        <v>144</v>
      </c>
      <c r="P275" s="40">
        <f t="shared" ca="1" si="13"/>
        <v>1.666666666705245E-4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input_572101!A$2</f>
        <v>572101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IFERROR(VLOOKUP(B276,input_572101!L:R,7,FALSE),VLOOKUP(tables_572101!C276,input_572101!A:H,8,FALSE))</f>
        <v>288</v>
      </c>
      <c r="P276" s="40">
        <f t="shared" ca="1" si="13"/>
        <v>3.3333333334104899E-4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input_572101!A$2</f>
        <v>572101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IFERROR(VLOOKUP(B277,input_572101!L:R,7,FALSE),VLOOKUP(tables_572101!C277,input_572101!A:H,8,FALSE))</f>
        <v>32</v>
      </c>
      <c r="P277" s="40">
        <f t="shared" ca="1" si="13"/>
        <v>3.7037037037894336E-5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input_572101!A$2</f>
        <v>572101</v>
      </c>
      <c r="B278" s="7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IFERROR(VLOOKUP(B278,input_572101!L:R,7,FALSE),VLOOKUP(tables_572101!C278,input_572101!A:H,8,FALSE))</f>
        <v>1816.32</v>
      </c>
      <c r="P278" s="40">
        <f t="shared" ca="1" si="13"/>
        <v>2.1022222222708822E-3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input_572101!A$2</f>
        <v>572101</v>
      </c>
      <c r="B279" s="7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IFERROR(VLOOKUP(B279,input_572101!L:R,7,FALSE),VLOOKUP(tables_572101!C279,input_572101!A:H,8,FALSE))</f>
        <v>2270.4</v>
      </c>
      <c r="P279" s="40">
        <f t="shared" ca="1" si="13"/>
        <v>2.627777777838603E-3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input_572101!A$2</f>
        <v>572101</v>
      </c>
      <c r="B280" s="7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IFERROR(VLOOKUP(B280,input_572101!L:R,7,FALSE),VLOOKUP(tables_572101!C280,input_572101!A:H,8,FALSE))</f>
        <v>454.08</v>
      </c>
      <c r="P280" s="40">
        <f t="shared" ca="1" si="13"/>
        <v>5.2555555556772055E-4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input_572101!A$2</f>
        <v>572101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IFERROR(VLOOKUP(B281,input_572101!L:R,7,FALSE),VLOOKUP(tables_572101!C281,input_572101!A:H,8,FALSE))</f>
        <v>1816.32</v>
      </c>
      <c r="P281" s="40">
        <f t="shared" ca="1" si="13"/>
        <v>2.1022222222708822E-3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input_572101!A$2</f>
        <v>572101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IFERROR(VLOOKUP(B282,input_572101!L:R,7,FALSE),VLOOKUP(tables_572101!C282,input_572101!A:H,8,FALSE))</f>
        <v>2270.4</v>
      </c>
      <c r="P282" s="40">
        <f t="shared" ca="1" si="13"/>
        <v>2.627777777838603E-3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input_572101!A$2</f>
        <v>572101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IFERROR(VLOOKUP(B283,input_572101!L:R,7,FALSE),VLOOKUP(tables_572101!C283,input_572101!A:H,8,FALSE))</f>
        <v>454.08</v>
      </c>
      <c r="P283" s="40">
        <f t="shared" ca="1" si="13"/>
        <v>5.2555555556772055E-4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input_572101!A$2</f>
        <v>572101</v>
      </c>
      <c r="B284" s="5">
        <v>848</v>
      </c>
      <c r="C284" s="7" t="str">
        <f t="shared" si="12"/>
        <v>PremiumSS5R5onlycolor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">
        <v>35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IFERROR(VLOOKUP(B284,input_572101!L:R,7,FALSE),VLOOKUP(tables_572101!C284,input_572101!A:H,8,FALSE))</f>
        <v>1440</v>
      </c>
      <c r="P284" s="40">
        <f t="shared" ca="1" si="13"/>
        <v>1.6666666667052449E-3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input_572101!A$2</f>
        <v>572101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IFERROR(VLOOKUP(B285,input_572101!L:R,7,FALSE),VLOOKUP(tables_572101!C285,input_572101!A:H,8,FALSE))</f>
        <v>320</v>
      </c>
      <c r="P285" s="40">
        <f t="shared" ca="1" si="13"/>
        <v>3.703703703789433E-4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input_572101!A$2</f>
        <v>572101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IFERROR(VLOOKUP(B286,input_572101!L:R,7,FALSE),VLOOKUP(tables_572101!C286,input_572101!A:H,8,FALSE))</f>
        <v>4289.76</v>
      </c>
      <c r="P286" s="40">
        <f t="shared" ca="1" si="13"/>
        <v>4.9650000001149252E-3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input_572101!A$2</f>
        <v>572101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IFERROR(VLOOKUP(B287,input_572101!L:R,7,FALSE),VLOOKUP(tables_572101!C287,input_572101!A:H,8,FALSE))</f>
        <v>184.97684000000001</v>
      </c>
      <c r="P287" s="40">
        <f t="shared" ca="1" si="13"/>
        <v>2.1409356481977043E-4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input_572101!A$2</f>
        <v>572101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IFERROR(VLOOKUP(B288,input_572101!L:R,7,FALSE),VLOOKUP(tables_572101!C288,input_572101!A:H,8,FALSE))</f>
        <v>4289.76</v>
      </c>
      <c r="P288" s="40">
        <f t="shared" ca="1" si="13"/>
        <v>4.9650000001149252E-3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input_572101!A$2</f>
        <v>572101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IFERROR(VLOOKUP(B289,input_572101!L:R,7,FALSE),VLOOKUP(tables_572101!C289,input_572101!A:H,8,FALSE))</f>
        <v>184.97684000000001</v>
      </c>
      <c r="P289" s="40">
        <f t="shared" ca="1" si="13"/>
        <v>2.1409356481977043E-4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input_572101!A$2</f>
        <v>572101</v>
      </c>
      <c r="B290" s="5">
        <v>862</v>
      </c>
      <c r="C290" s="7" t="str">
        <f t="shared" si="12"/>
        <v>Premium4R3lesscolor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">
        <v>35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IFERROR(VLOOKUP(B290,input_572101!L:R,7,FALSE),VLOOKUP(tables_572101!C290,input_572101!A:H,8,FALSE))</f>
        <v>18337.68</v>
      </c>
      <c r="P290" s="40">
        <f t="shared" ca="1" si="13"/>
        <v>2.1224166667157943E-2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input_572101!A$2</f>
        <v>572101</v>
      </c>
      <c r="B291" s="5">
        <v>863</v>
      </c>
      <c r="C291" s="7" t="str">
        <f t="shared" si="12"/>
        <v>Premium5R3lesscolor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">
        <v>35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IFERROR(VLOOKUP(B291,input_572101!L:R,7,FALSE),VLOOKUP(tables_572101!C291,input_572101!A:H,8,FALSE))</f>
        <v>1796.5028600000001</v>
      </c>
      <c r="P291" s="40">
        <f t="shared" ca="1" si="13"/>
        <v>2.0792857176407217E-3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input_572101!A$2</f>
        <v>572101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IFERROR(VLOOKUP(B292,input_572101!L:R,7,FALSE),VLOOKUP(tables_572101!C292,input_572101!A:H,8,FALSE))</f>
        <v>4289.76</v>
      </c>
      <c r="P292" s="40">
        <f t="shared" ca="1" si="13"/>
        <v>4.9650000001149252E-3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input_572101!A$2</f>
        <v>572101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IFERROR(VLOOKUP(B293,input_572101!L:R,7,FALSE),VLOOKUP(tables_572101!C293,input_572101!A:H,8,FALSE))</f>
        <v>184.97684000000001</v>
      </c>
      <c r="P293" s="40">
        <f t="shared" ca="1" si="13"/>
        <v>2.1409356481977043E-4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input_572101!A$2</f>
        <v>572101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IFERROR(VLOOKUP(B294,input_572101!L:R,7,FALSE),VLOOKUP(tables_572101!C294,input_572101!A:H,8,FALSE))</f>
        <v>320</v>
      </c>
      <c r="P294" s="40">
        <f t="shared" ca="1" si="13"/>
        <v>3.703703703789433E-4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input_572101!A$2</f>
        <v>572101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IFERROR(VLOOKUP(B295,input_572101!L:R,7,FALSE),VLOOKUP(tables_572101!C295,input_572101!A:H,8,FALSE))</f>
        <v>320</v>
      </c>
      <c r="P295" s="40">
        <f t="shared" ca="1" si="13"/>
        <v>3.703703703789433E-4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input_572101!A$2</f>
        <v>572101</v>
      </c>
      <c r="B296" s="5">
        <v>937</v>
      </c>
      <c r="C296" s="7" t="str">
        <f t="shared" si="12"/>
        <v>PremiumSS5R5onlycolor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">
        <v>35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IFERROR(VLOOKUP(B296,input_572101!L:R,7,FALSE),VLOOKUP(tables_572101!C296,input_572101!A:H,8,FALSE))</f>
        <v>1440</v>
      </c>
      <c r="P296" s="40">
        <f t="shared" ca="1" si="13"/>
        <v>1.6666666667052449E-3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input_572101!A$2</f>
        <v>572101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IFERROR(VLOOKUP(B297,input_572101!L:R,7,FALSE),VLOOKUP(tables_572101!C297,input_572101!A:H,8,FALSE))</f>
        <v>4289.76</v>
      </c>
      <c r="P297" s="40">
        <f t="shared" ca="1" si="13"/>
        <v>4.9650000001149252E-3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input_572101!A$2</f>
        <v>572101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IFERROR(VLOOKUP(B298,input_572101!L:R,7,FALSE),VLOOKUP(tables_572101!C298,input_572101!A:H,8,FALSE))</f>
        <v>184.97684000000001</v>
      </c>
      <c r="P298" s="40">
        <f t="shared" ca="1" si="13"/>
        <v>2.1409356481977043E-4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input_572101!A$2</f>
        <v>572101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IFERROR(VLOOKUP(B299,input_572101!L:R,7,FALSE),VLOOKUP(tables_572101!C299,input_572101!A:H,8,FALSE))</f>
        <v>320</v>
      </c>
      <c r="P299" s="40">
        <f t="shared" ca="1" si="13"/>
        <v>3.703703703789433E-4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input_572101!A$2</f>
        <v>572101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IFERROR(VLOOKUP(B300,input_572101!L:R,7,FALSE),VLOOKUP(tables_572101!C300,input_572101!A:H,8,FALSE))</f>
        <v>320</v>
      </c>
      <c r="P300" s="40">
        <f t="shared" ca="1" si="13"/>
        <v>3.703703703789433E-4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input_572101!A$2</f>
        <v>572101</v>
      </c>
      <c r="B301" s="5">
        <v>1012</v>
      </c>
      <c r="C301" s="7" t="str">
        <f t="shared" si="12"/>
        <v>PremiumSS5R5onlycolor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">
        <v>35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IFERROR(VLOOKUP(B301,input_572101!L:R,7,FALSE),VLOOKUP(tables_572101!C301,input_572101!A:H,8,FALSE))</f>
        <v>1440</v>
      </c>
      <c r="P301" s="40">
        <f t="shared" ca="1" si="13"/>
        <v>1.6666666667052449E-3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input_572101!A$2</f>
        <v>572101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IFERROR(VLOOKUP(B302,input_572101!L:R,7,FALSE),VLOOKUP(tables_572101!C302,input_572101!A:H,8,FALSE))</f>
        <v>320</v>
      </c>
      <c r="P302" s="40">
        <f t="shared" ca="1" si="13"/>
        <v>3.703703703789433E-4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input_572101!A$2</f>
        <v>572101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IFERROR(VLOOKUP(B303,input_572101!L:R,7,FALSE),VLOOKUP(tables_572101!C303,input_572101!A:H,8,FALSE))</f>
        <v>4289.76</v>
      </c>
      <c r="P303" s="40">
        <f t="shared" ca="1" si="13"/>
        <v>4.9650000001149252E-3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input_572101!A$2</f>
        <v>572101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IFERROR(VLOOKUP(B304,input_572101!L:R,7,FALSE),VLOOKUP(tables_572101!C304,input_572101!A:H,8,FALSE))</f>
        <v>184.97684000000001</v>
      </c>
      <c r="P304" s="40">
        <f t="shared" ca="1" si="13"/>
        <v>2.1409356481977043E-4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input_572101!A$2</f>
        <v>572101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IFERROR(VLOOKUP(B305,input_572101!L:R,7,FALSE),VLOOKUP(tables_572101!C305,input_572101!A:H,8,FALSE))</f>
        <v>320</v>
      </c>
      <c r="P305" s="40">
        <f t="shared" ca="1" si="13"/>
        <v>3.703703703789433E-4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input_572101!A$2</f>
        <v>572101</v>
      </c>
      <c r="B306" s="5">
        <v>1026</v>
      </c>
      <c r="C306" s="7" t="str">
        <f t="shared" si="12"/>
        <v>Premium4R3lesscolor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">
        <v>35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IFERROR(VLOOKUP(B306,input_572101!L:R,7,FALSE),VLOOKUP(tables_572101!C306,input_572101!A:H,8,FALSE))</f>
        <v>18337.68</v>
      </c>
      <c r="P306" s="40">
        <f t="shared" ca="1" si="13"/>
        <v>2.1224166667157943E-2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input_572101!A$2</f>
        <v>572101</v>
      </c>
      <c r="B307" s="5">
        <v>1027</v>
      </c>
      <c r="C307" s="7" t="str">
        <f t="shared" si="12"/>
        <v>Premium5R3lesscolor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">
        <v>35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IFERROR(VLOOKUP(B307,input_572101!L:R,7,FALSE),VLOOKUP(tables_572101!C307,input_572101!A:H,8,FALSE))</f>
        <v>1796.5028600000001</v>
      </c>
      <c r="P307" s="40">
        <f t="shared" ca="1" si="13"/>
        <v>2.0792857176407217E-3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input_572101!A$2</f>
        <v>572101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IFERROR(VLOOKUP(B308,input_572101!L:R,7,FALSE),VLOOKUP(tables_572101!C308,input_572101!A:H,8,FALSE))</f>
        <v>320</v>
      </c>
      <c r="P308" s="40">
        <f t="shared" ca="1" si="13"/>
        <v>3.703703703789433E-4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input_572101!A$2</f>
        <v>572101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IFERROR(VLOOKUP(B309,input_572101!L:R,7,FALSE),VLOOKUP(tables_572101!C309,input_572101!A:H,8,FALSE))</f>
        <v>320</v>
      </c>
      <c r="P309" s="40">
        <f t="shared" ca="1" si="13"/>
        <v>3.703703703789433E-4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input_572101!A$2</f>
        <v>572101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IFERROR(VLOOKUP(B310,input_572101!L:R,7,FALSE),VLOOKUP(tables_572101!C310,input_572101!A:H,8,FALSE))</f>
        <v>320</v>
      </c>
      <c r="P310" s="40">
        <f t="shared" ca="1" si="13"/>
        <v>3.703703703789433E-4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input_572101!A$2</f>
        <v>572101</v>
      </c>
      <c r="B311" s="5">
        <v>1067</v>
      </c>
      <c r="C311" s="7" t="str">
        <f t="shared" si="12"/>
        <v>Premium4R3lesscolor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">
        <v>35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IFERROR(VLOOKUP(B311,input_572101!L:R,7,FALSE),VLOOKUP(tables_572101!C311,input_572101!A:H,8,FALSE))</f>
        <v>18337.68</v>
      </c>
      <c r="P311" s="40">
        <f t="shared" ca="1" si="13"/>
        <v>2.1224166667157943E-2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input_572101!A$2</f>
        <v>572101</v>
      </c>
      <c r="B312" s="5">
        <v>1068</v>
      </c>
      <c r="C312" s="7" t="str">
        <f t="shared" si="12"/>
        <v>Premium5R3lesscolor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">
        <v>35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IFERROR(VLOOKUP(B312,input_572101!L:R,7,FALSE),VLOOKUP(tables_572101!C312,input_572101!A:H,8,FALSE))</f>
        <v>1796.5028600000001</v>
      </c>
      <c r="P312" s="40">
        <f t="shared" ca="1" si="13"/>
        <v>2.0792857176407217E-3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input_572101!A$2</f>
        <v>572101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IFERROR(VLOOKUP(B313,input_572101!L:R,7,FALSE),VLOOKUP(tables_572101!C313,input_572101!A:H,8,FALSE))</f>
        <v>320</v>
      </c>
      <c r="P313" s="40">
        <f t="shared" ca="1" si="13"/>
        <v>3.703703703789433E-4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input_572101!A$2</f>
        <v>572101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IFERROR(VLOOKUP(B314,input_572101!L:R,7,FALSE),VLOOKUP(tables_572101!C314,input_572101!A:H,8,FALSE))</f>
        <v>320</v>
      </c>
      <c r="P314" s="40">
        <f t="shared" ca="1" si="13"/>
        <v>3.703703703789433E-4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input_572101!A$2</f>
        <v>572101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IFERROR(VLOOKUP(B315,input_572101!L:R,7,FALSE),VLOOKUP(tables_572101!C315,input_572101!A:H,8,FALSE))</f>
        <v>320</v>
      </c>
      <c r="P315" s="40">
        <f t="shared" ca="1" si="13"/>
        <v>3.703703703789433E-4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input_572101!A$2</f>
        <v>572101</v>
      </c>
      <c r="B316" s="5">
        <v>1100</v>
      </c>
      <c r="C316" s="7" t="str">
        <f t="shared" si="12"/>
        <v>PremiumSS5R5onlycolor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">
        <v>35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IFERROR(VLOOKUP(B316,input_572101!L:R,7,FALSE),VLOOKUP(tables_572101!C316,input_572101!A:H,8,FALSE))</f>
        <v>1440</v>
      </c>
      <c r="P316" s="40">
        <f t="shared" ca="1" si="13"/>
        <v>1.6666666667052449E-3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input_572101!A$2</f>
        <v>572101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IFERROR(VLOOKUP(B317,input_572101!L:R,7,FALSE),VLOOKUP(tables_572101!C317,input_572101!A:H,8,FALSE))</f>
        <v>320</v>
      </c>
      <c r="P317" s="40">
        <f t="shared" ca="1" si="13"/>
        <v>3.703703703789433E-4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input_572101!A$2</f>
        <v>572101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IFERROR(VLOOKUP(B318,input_572101!L:R,7,FALSE),VLOOKUP(tables_572101!C318,input_572101!A:H,8,FALSE))</f>
        <v>4289.76</v>
      </c>
      <c r="P318" s="40">
        <f t="shared" ca="1" si="13"/>
        <v>4.9650000001149252E-3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input_572101!A$2</f>
        <v>572101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IFERROR(VLOOKUP(B319,input_572101!L:R,7,FALSE),VLOOKUP(tables_572101!C319,input_572101!A:H,8,FALSE))</f>
        <v>184.97684000000001</v>
      </c>
      <c r="P319" s="40">
        <f t="shared" ca="1" si="13"/>
        <v>2.1409356481977043E-4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input_572101!A$2</f>
        <v>572101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IFERROR(VLOOKUP(B320,input_572101!L:R,7,FALSE),VLOOKUP(tables_572101!C320,input_572101!A:H,8,FALSE))</f>
        <v>320</v>
      </c>
      <c r="P320" s="40">
        <f t="shared" ca="1" si="13"/>
        <v>3.703703703789433E-4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input_572101!A$2</f>
        <v>572101</v>
      </c>
      <c r="B321" s="5">
        <v>1137</v>
      </c>
      <c r="C321" s="7" t="str">
        <f t="shared" si="12"/>
        <v>PremiumSS5R5onlycolor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">
        <v>35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IFERROR(VLOOKUP(B321,input_572101!L:R,7,FALSE),VLOOKUP(tables_572101!C321,input_572101!A:H,8,FALSE))</f>
        <v>1440</v>
      </c>
      <c r="P321" s="40">
        <f t="shared" ca="1" si="13"/>
        <v>1.6666666667052449E-3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input_572101!A$2</f>
        <v>572101</v>
      </c>
      <c r="B322" s="5">
        <v>1139</v>
      </c>
      <c r="C322" s="7" t="str">
        <f t="shared" ref="C322:C324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IFERROR(VLOOKUP(B322,input_572101!L:R,7,FALSE),VLOOKUP(tables_572101!C322,input_572101!A:H,8,FALSE))</f>
        <v>320</v>
      </c>
      <c r="P322" s="40">
        <f t="shared" ref="P322:P356" ca="1" si="16">O322/SUM(O:O)</f>
        <v>3.703703703789433E-4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input_572101!A$2</f>
        <v>572101</v>
      </c>
      <c r="B323" s="5">
        <v>1141</v>
      </c>
      <c r="C323" s="7" t="str">
        <f t="shared" si="15"/>
        <v>PremiumSS5R5only</v>
      </c>
      <c r="D323" s="7" t="str">
        <f t="shared" ref="D323:D324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IFERROR(VLOOKUP(B323,input_572101!L:R,7,FALSE),VLOOKUP(tables_572101!C323,input_572101!A:H,8,FALSE))</f>
        <v>320</v>
      </c>
      <c r="P323" s="40">
        <f t="shared" ca="1" si="16"/>
        <v>3.703703703789433E-4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input_572101!A$2</f>
        <v>572101</v>
      </c>
      <c r="B324" s="2">
        <v>1143</v>
      </c>
      <c r="C324" s="86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IFERROR(VLOOKUP(B324,input_572101!L:R,7,FALSE),VLOOKUP(tables_572101!C324,input_572101!A:H,8,FALSE))</f>
        <v>4289.76</v>
      </c>
      <c r="P324" s="40">
        <f t="shared" ca="1" si="16"/>
        <v>4.9650000001149252E-3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input_572101!A$2</f>
        <v>572101</v>
      </c>
      <c r="B325" s="2">
        <v>1144</v>
      </c>
      <c r="C325" s="86" t="str">
        <f t="shared" ref="C325:C331" si="18">D325&amp;J325&amp;E325&amp;F325&amp;G325</f>
        <v>Premium5R3less</v>
      </c>
      <c r="D325" s="7" t="str">
        <f t="shared" ref="D325:D331" si="19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IFERROR(VLOOKUP(B325,input_572101!L:R,7,FALSE),VLOOKUP(tables_572101!C325,input_572101!A:H,8,FALSE))</f>
        <v>184.97684000000001</v>
      </c>
      <c r="P325" s="40">
        <f t="shared" ca="1" si="16"/>
        <v>2.1409356481977043E-4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input_572101!A$2</f>
        <v>572101</v>
      </c>
      <c r="B326" s="2">
        <v>1151</v>
      </c>
      <c r="C326" s="86" t="str">
        <f t="shared" si="18"/>
        <v>Premium4R3lesscolor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">
        <v>35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IFERROR(VLOOKUP(B326,input_572101!L:R,7,FALSE),VLOOKUP(tables_572101!C326,input_572101!A:H,8,FALSE))</f>
        <v>18337.68</v>
      </c>
      <c r="P326" s="40">
        <f t="shared" ca="1" si="16"/>
        <v>2.1224166667157943E-2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input_572101!A$2</f>
        <v>572101</v>
      </c>
      <c r="B327" s="2">
        <v>1152</v>
      </c>
      <c r="C327" s="86" t="str">
        <f t="shared" si="18"/>
        <v>Premium5R3lesscolor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">
        <v>35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IFERROR(VLOOKUP(B327,input_572101!L:R,7,FALSE),VLOOKUP(tables_572101!C327,input_572101!A:H,8,FALSE))</f>
        <v>1796.5028600000001</v>
      </c>
      <c r="P327" s="40">
        <f t="shared" ca="1" si="16"/>
        <v>2.0792857176407217E-3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input_572101!A$2</f>
        <v>572101</v>
      </c>
      <c r="B328" s="2">
        <v>1153</v>
      </c>
      <c r="C328" s="86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IFERROR(VLOOKUP(B328,input_572101!L:R,7,FALSE),VLOOKUP(tables_572101!C328,input_572101!A:H,8,FALSE))</f>
        <v>320</v>
      </c>
      <c r="P328" s="40">
        <f t="shared" ca="1" si="16"/>
        <v>3.703703703789433E-4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input_572101!A$2</f>
        <v>572101</v>
      </c>
      <c r="B329" s="2">
        <v>1155</v>
      </c>
      <c r="C329" s="86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IFERROR(VLOOKUP(B329,input_572101!L:R,7,FALSE),VLOOKUP(tables_572101!C329,input_572101!A:H,8,FALSE))</f>
        <v>320</v>
      </c>
      <c r="P329" s="40">
        <f t="shared" ca="1" si="16"/>
        <v>3.703703703789433E-4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input_572101!A$2</f>
        <v>572101</v>
      </c>
      <c r="B330" s="2">
        <v>1157</v>
      </c>
      <c r="C330" s="86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IFERROR(VLOOKUP(B330,input_572101!L:R,7,FALSE),VLOOKUP(tables_572101!C330,input_572101!A:H,8,FALSE))</f>
        <v>320</v>
      </c>
      <c r="P330" s="40">
        <f t="shared" ca="1" si="16"/>
        <v>3.703703703789433E-4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input_572101!A$2</f>
        <v>572101</v>
      </c>
      <c r="B331" s="52">
        <v>1214</v>
      </c>
      <c r="C331" s="86" t="str">
        <f t="shared" si="18"/>
        <v>PremiumSS5R5only</v>
      </c>
      <c r="D331" s="7" t="str">
        <f t="shared" si="19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IFERROR(VLOOKUP(B331,input_572101!L:R,7,FALSE),VLOOKUP(tables_572101!C331,input_572101!A:H,8,FALSE))</f>
        <v>320</v>
      </c>
      <c r="P331" s="40">
        <f t="shared" ca="1" si="16"/>
        <v>3.703703703789433E-4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input_572101!A$2</f>
        <v>572101</v>
      </c>
      <c r="B332" s="52">
        <v>1212</v>
      </c>
      <c r="C332" s="86" t="str">
        <f t="shared" ref="C332:C340" si="20">D332&amp;J332&amp;E332&amp;F332&amp;G332</f>
        <v>PremiumSS5R5only</v>
      </c>
      <c r="D332" s="7" t="str">
        <f t="shared" ref="D332:D340" si="21">IF(OR(I332="PremiumSS",I332="PremiumSSw"),"PremiumSS",IF(I332="PremiumSSS",I332,IF(I332="PremiumW",IF(J332=5,"premium",I332),"Premium")))</f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IFERROR(VLOOKUP(B332,input_572101!L:R,7,FALSE),VLOOKUP(tables_572101!C332,input_572101!A:H,8,FALSE))</f>
        <v>320</v>
      </c>
      <c r="P332" s="40">
        <f t="shared" ca="1" si="16"/>
        <v>3.703703703789433E-4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input_572101!A$2</f>
        <v>572101</v>
      </c>
      <c r="B333" s="52">
        <v>1208</v>
      </c>
      <c r="C333" s="86" t="str">
        <f t="shared" si="20"/>
        <v>PremiumSS5R5onlycolor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">
        <v>35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IFERROR(VLOOKUP(B333,input_572101!L:R,7,FALSE),VLOOKUP(tables_572101!C333,input_572101!A:H,8,FALSE))</f>
        <v>1440</v>
      </c>
      <c r="P333" s="40">
        <f t="shared" ca="1" si="16"/>
        <v>1.6666666667052449E-3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input_572101!A$2</f>
        <v>572101</v>
      </c>
      <c r="B334" s="96">
        <v>1210</v>
      </c>
      <c r="C334" s="86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IFERROR(VLOOKUP(B334,input_572101!L:R,7,FALSE),VLOOKUP(tables_572101!C334,input_572101!A:H,8,FALSE))</f>
        <v>4289.76</v>
      </c>
      <c r="P334" s="40">
        <f t="shared" ca="1" si="16"/>
        <v>4.9650000001149252E-3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input_572101!A$2</f>
        <v>572101</v>
      </c>
      <c r="B335" s="52">
        <v>1211</v>
      </c>
      <c r="C335" s="86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IFERROR(VLOOKUP(B335,input_572101!L:R,7,FALSE),VLOOKUP(tables_572101!C335,input_572101!A:H,8,FALSE))</f>
        <v>184.97684000000001</v>
      </c>
      <c r="P335" s="40">
        <f t="shared" ca="1" si="16"/>
        <v>2.1409356481977043E-4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input_572101!A$2</f>
        <v>572101</v>
      </c>
      <c r="B336" s="2">
        <v>1224</v>
      </c>
      <c r="C336" s="86" t="str">
        <f t="shared" si="20"/>
        <v>Premium4R3lesscolor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">
        <v>35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IFERROR(VLOOKUP(B336,input_572101!L:R,7,FALSE),VLOOKUP(tables_572101!C336,input_572101!A:H,8,FALSE))</f>
        <v>18337.68</v>
      </c>
      <c r="P336" s="40">
        <f t="shared" ca="1" si="16"/>
        <v>2.1224166667157943E-2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input_572101!A$2</f>
        <v>572101</v>
      </c>
      <c r="B337" s="2">
        <v>1225</v>
      </c>
      <c r="C337" s="86" t="str">
        <f t="shared" si="20"/>
        <v>Premium5R3lesscolor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">
        <v>35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IFERROR(VLOOKUP(B337,input_572101!L:R,7,FALSE),VLOOKUP(tables_572101!C337,input_572101!A:H,8,FALSE))</f>
        <v>1796.5028600000001</v>
      </c>
      <c r="P337" s="40">
        <f t="shared" ca="1" si="16"/>
        <v>2.0792857176407217E-3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input_572101!A$2</f>
        <v>572101</v>
      </c>
      <c r="B338" s="2">
        <v>1226</v>
      </c>
      <c r="C338" s="86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IFERROR(VLOOKUP(B338,input_572101!L:R,7,FALSE),VLOOKUP(tables_572101!C338,input_572101!A:H,8,FALSE))</f>
        <v>320</v>
      </c>
      <c r="P338" s="40">
        <f t="shared" ca="1" si="16"/>
        <v>3.703703703789433E-4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input_572101!A$2</f>
        <v>572101</v>
      </c>
      <c r="B339" s="2">
        <v>1228</v>
      </c>
      <c r="C339" s="86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IFERROR(VLOOKUP(B339,input_572101!L:R,7,FALSE),VLOOKUP(tables_572101!C339,input_572101!A:H,8,FALSE))</f>
        <v>320</v>
      </c>
      <c r="P339" s="40">
        <f t="shared" ca="1" si="16"/>
        <v>3.703703703789433E-4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input_572101!A$2</f>
        <v>572101</v>
      </c>
      <c r="B340" s="2">
        <v>1230</v>
      </c>
      <c r="C340" s="86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IFERROR(VLOOKUP(B340,input_572101!L:R,7,FALSE),VLOOKUP(tables_572101!C340,input_572101!A:H,8,FALSE))</f>
        <v>320</v>
      </c>
      <c r="P340" s="40">
        <f t="shared" ca="1" si="16"/>
        <v>3.703703703789433E-4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input_572101!A$2</f>
        <v>572101</v>
      </c>
      <c r="B341" s="2">
        <v>1244</v>
      </c>
      <c r="C341" s="86" t="str">
        <f t="shared" ref="C341:C345" si="22">D341&amp;J341&amp;E341&amp;F341&amp;G341</f>
        <v>PremiumSS5R5onlycolor</v>
      </c>
      <c r="D341" s="7" t="str">
        <f t="shared" ref="D341:D345" si="2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">
        <v>35</v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IFERROR(VLOOKUP(B341,input_572101!L:R,7,FALSE),VLOOKUP(tables_572101!C341,input_572101!A:H,8,FALSE))</f>
        <v>1440</v>
      </c>
      <c r="P341" s="40">
        <f t="shared" ca="1" si="16"/>
        <v>1.6666666667052449E-3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input_572101!A$2</f>
        <v>572101</v>
      </c>
      <c r="B342" s="2">
        <v>1246</v>
      </c>
      <c r="C342" s="86" t="str">
        <f t="shared" si="22"/>
        <v>PremiumSS5R5only</v>
      </c>
      <c r="D342" s="7" t="str">
        <f t="shared" si="2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IFERROR(VLOOKUP(B342,input_572101!L:R,7,FALSE),VLOOKUP(tables_572101!C342,input_572101!A:H,8,FALSE))</f>
        <v>320</v>
      </c>
      <c r="P342" s="40">
        <f t="shared" ca="1" si="16"/>
        <v>3.703703703789433E-4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input_572101!A$2</f>
        <v>572101</v>
      </c>
      <c r="B343" s="2">
        <v>1248</v>
      </c>
      <c r="C343" s="86" t="str">
        <f t="shared" si="22"/>
        <v>Premium4R3less</v>
      </c>
      <c r="D343" s="7" t="str">
        <f t="shared" si="2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IFERROR(VLOOKUP(B343,input_572101!L:R,7,FALSE),VLOOKUP(tables_572101!C343,input_572101!A:H,8,FALSE))</f>
        <v>4289.76</v>
      </c>
      <c r="P343" s="40">
        <f t="shared" ca="1" si="16"/>
        <v>4.9650000001149252E-3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input_572101!A$2</f>
        <v>572101</v>
      </c>
      <c r="B344" s="2">
        <v>1249</v>
      </c>
      <c r="C344" s="86" t="str">
        <f t="shared" si="22"/>
        <v>Premium5R3less</v>
      </c>
      <c r="D344" s="7" t="str">
        <f t="shared" si="2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IFERROR(VLOOKUP(B344,input_572101!L:R,7,FALSE),VLOOKUP(tables_572101!C344,input_572101!A:H,8,FALSE))</f>
        <v>184.97684000000001</v>
      </c>
      <c r="P344" s="40">
        <f t="shared" ca="1" si="16"/>
        <v>2.1409356481977043E-4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input_572101!A$2</f>
        <v>572101</v>
      </c>
      <c r="B345" s="2">
        <v>1250</v>
      </c>
      <c r="C345" s="86" t="str">
        <f t="shared" si="22"/>
        <v>PremiumSS5R5only</v>
      </c>
      <c r="D345" s="7" t="str">
        <f t="shared" si="2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IFERROR(VLOOKUP(B345,input_572101!L:R,7,FALSE),VLOOKUP(tables_572101!C345,input_572101!A:H,8,FALSE))</f>
        <v>320</v>
      </c>
      <c r="P345" s="40">
        <f t="shared" ca="1" si="16"/>
        <v>3.703703703789433E-4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input_572101!A$2</f>
        <v>572101</v>
      </c>
      <c r="B346" s="1">
        <v>1260</v>
      </c>
      <c r="C346" s="86" t="str">
        <f t="shared" ref="C346" si="24">D346&amp;J346&amp;E346&amp;F346&amp;G346</f>
        <v>PremiumSS5R5onlycolor</v>
      </c>
      <c r="D346" s="7" t="str">
        <f t="shared" ref="D346" si="2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">
        <v>35</v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IFERROR(VLOOKUP(B346,input_572101!L:R,7,FALSE),VLOOKUP(tables_572101!C346,input_572101!A:H,8,FALSE))</f>
        <v>1440</v>
      </c>
      <c r="P346" s="40">
        <f t="shared" ca="1" si="16"/>
        <v>1.6666666667052449E-3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input_572101!A$2</f>
        <v>572101</v>
      </c>
      <c r="B347" s="1">
        <v>1262</v>
      </c>
      <c r="C347" s="86" t="str">
        <f t="shared" ref="C347:C350" si="26">D347&amp;J347&amp;E347&amp;F347&amp;G347</f>
        <v>PremiumSS5R5only</v>
      </c>
      <c r="D347" s="7" t="str">
        <f t="shared" ref="D347:D350" si="2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IFERROR(VLOOKUP(B347,input_572101!L:R,7,FALSE),VLOOKUP(tables_572101!C347,input_572101!A:H,8,FALSE))</f>
        <v>320</v>
      </c>
      <c r="P347" s="40">
        <f t="shared" ca="1" si="16"/>
        <v>3.703703703789433E-4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input_572101!A$2</f>
        <v>572101</v>
      </c>
      <c r="B348" s="1">
        <v>1264</v>
      </c>
      <c r="C348" s="86" t="str">
        <f t="shared" si="26"/>
        <v>PremiumSS5R5only</v>
      </c>
      <c r="D348" s="7" t="str">
        <f t="shared" si="2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IFERROR(VLOOKUP(B348,input_572101!L:R,7,FALSE),VLOOKUP(tables_572101!C348,input_572101!A:H,8,FALSE))</f>
        <v>320</v>
      </c>
      <c r="P348" s="40">
        <f t="shared" ca="1" si="16"/>
        <v>3.703703703789433E-4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input_572101!A$2</f>
        <v>572101</v>
      </c>
      <c r="B349" s="1">
        <v>1266</v>
      </c>
      <c r="C349" s="86" t="str">
        <f t="shared" si="26"/>
        <v>Premium4R3less</v>
      </c>
      <c r="D349" s="7" t="str">
        <f t="shared" si="2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IFERROR(VLOOKUP(B349,input_572101!L:R,7,FALSE),VLOOKUP(tables_572101!C349,input_572101!A:H,8,FALSE))</f>
        <v>4289.76</v>
      </c>
      <c r="P349" s="40">
        <f t="shared" ca="1" si="16"/>
        <v>4.9650000001149252E-3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input_572101!A$2</f>
        <v>572101</v>
      </c>
      <c r="B350" s="1">
        <v>1267</v>
      </c>
      <c r="C350" s="86" t="str">
        <f t="shared" si="26"/>
        <v>Premium5R3less</v>
      </c>
      <c r="D350" s="7" t="str">
        <f t="shared" si="2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IFERROR(VLOOKUP(B350,input_572101!L:R,7,FALSE),VLOOKUP(tables_572101!C350,input_572101!A:H,8,FALSE))</f>
        <v>184.97684000000001</v>
      </c>
      <c r="P350" s="40">
        <f t="shared" ca="1" si="16"/>
        <v>2.1409356481977043E-4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input_572101!A$2</f>
        <v>572101</v>
      </c>
      <c r="B351" s="102">
        <v>1332</v>
      </c>
      <c r="C351" s="86" t="str">
        <f t="shared" ref="C351:C355" si="28">D351&amp;J351&amp;E351&amp;F351&amp;G351</f>
        <v>PremiumSS5R5onlycolor</v>
      </c>
      <c r="D351" s="7" t="str">
        <f t="shared" ref="D351:D355" si="2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 t="s">
        <v>35</v>
      </c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IFERROR(VLOOKUP(B351,input_572101!L:R,7,FALSE),VLOOKUP(tables_572101!C351,input_572101!A:H,8,FALSE))</f>
        <v>1440</v>
      </c>
      <c r="P351" s="40">
        <f t="shared" ca="1" si="16"/>
        <v>1.6666666667052449E-3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input_572101!A$2</f>
        <v>572101</v>
      </c>
      <c r="B352" s="102">
        <v>1336</v>
      </c>
      <c r="C352" s="86" t="str">
        <f t="shared" si="28"/>
        <v>PremiumSS5R5only</v>
      </c>
      <c r="D352" s="7" t="str">
        <f t="shared" si="2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IFERROR(VLOOKUP(B352,input_572101!L:R,7,FALSE),VLOOKUP(tables_572101!C352,input_572101!A:H,8,FALSE))</f>
        <v>320</v>
      </c>
      <c r="P352" s="40">
        <f t="shared" ca="1" si="16"/>
        <v>3.703703703789433E-4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input_572101!A$2</f>
        <v>572101</v>
      </c>
      <c r="B353" s="102">
        <v>1338</v>
      </c>
      <c r="C353" s="86" t="str">
        <f t="shared" si="28"/>
        <v>PremiumSS5R5only</v>
      </c>
      <c r="D353" s="7" t="str">
        <f t="shared" si="2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IFERROR(VLOOKUP(B353,input_572101!L:R,7,FALSE),VLOOKUP(tables_572101!C353,input_572101!A:H,8,FALSE))</f>
        <v>320</v>
      </c>
      <c r="P353" s="40">
        <f t="shared" ca="1" si="16"/>
        <v>3.703703703789433E-4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input_572101!A$2</f>
        <v>572101</v>
      </c>
      <c r="B354" s="102">
        <v>1334</v>
      </c>
      <c r="C354" s="86" t="str">
        <f t="shared" si="28"/>
        <v>Premium4R3less</v>
      </c>
      <c r="D354" s="7" t="str">
        <f t="shared" si="2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IFERROR(VLOOKUP(B354,input_572101!L:R,7,FALSE),VLOOKUP(tables_572101!C354,input_572101!A:H,8,FALSE))</f>
        <v>4289.76</v>
      </c>
      <c r="P354" s="40">
        <f t="shared" ca="1" si="16"/>
        <v>4.9650000001149252E-3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input_572101!A$2</f>
        <v>572101</v>
      </c>
      <c r="B355" s="102">
        <v>1335</v>
      </c>
      <c r="C355" s="86" t="str">
        <f t="shared" si="28"/>
        <v>Premium5R3less</v>
      </c>
      <c r="D355" s="7" t="str">
        <f t="shared" si="2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IFERROR(VLOOKUP(B355,input_572101!L:R,7,FALSE),VLOOKUP(tables_572101!C355,input_572101!A:H,8,FALSE))</f>
        <v>184.97684000000001</v>
      </c>
      <c r="P355" s="40">
        <f t="shared" ca="1" si="16"/>
        <v>2.1409356481977043E-4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input_572101!A$2</f>
        <v>572101</v>
      </c>
      <c r="B356" s="1">
        <v>786</v>
      </c>
      <c r="C356" s="86" t="str">
        <f t="shared" ref="C356" si="30">D356&amp;J356&amp;E356&amp;F356&amp;G356</f>
        <v>PremiumSSS5R3lesscolor</v>
      </c>
      <c r="D356" s="7" t="str">
        <f t="shared" ref="D356" si="31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35</v>
      </c>
      <c r="H356" s="7" t="str">
        <f>VLOOKUP(B356,[1]characters!$A:$C,3,FALSE)</f>
        <v>ヘイウェイ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dragon</v>
      </c>
      <c r="N356" s="7" t="str">
        <f>VLOOKUP(B356,[1]characters!$A:$G,7,FALSE)</f>
        <v>男性</v>
      </c>
      <c r="O356" s="39">
        <f>IFERROR(VLOOKUP(B356,input_572101!L:R,7,FALSE),VLOOKUP(tables_572101!C356,input_572101!A:H,8,FALSE))</f>
        <v>3456</v>
      </c>
      <c r="P356" s="40">
        <f t="shared" ca="1" si="16"/>
        <v>4.0000000000925875E-3</v>
      </c>
      <c r="Q356" s="76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56"/>
  <sortState ref="A2:Y189">
    <sortCondition ref="A2:A189"/>
  </sortState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5"/>
  <sheetViews>
    <sheetView topLeftCell="A10" zoomScale="110" zoomScaleNormal="110" zoomScalePageLayoutView="110" workbookViewId="0">
      <selection activeCell="F65" sqref="F63:F6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572103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786</v>
      </c>
      <c r="M3" s="31" t="str">
        <f>VLOOKUP(L3,[1]characters!$A:$C,3,FALSE)</f>
        <v>ヘイウェイ</v>
      </c>
      <c r="N3" s="54">
        <v>6.0000000000000001E-3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VLOOKUP(L3,tables_572103!B:C,2,FALSE)</f>
        <v>PremiumSSS5R3lesscolor</v>
      </c>
      <c r="R3" s="53">
        <f t="shared" ref="R3:R20" si="1">N3*A$51</f>
        <v>5184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VLOOKUP(L4,tables_572103!B:C,2,FALSE)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3.7037037037037046E-4</v>
      </c>
      <c r="F5">
        <f>(COUNTIF(tables_572103!C:C,input_572103!A28)+COUNTIF(tables_572103!C:C,input_572103!A29))</f>
        <v>54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VLOOKUP(L5,tables_572103!B:C,2,FALSE)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(COUNTIF(tables_572103!C:C,input_572103!A43)+COUNTIF(tables_572103!C:C,input_572103!A44))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VLOOKUP(L6,tables_572103!B:C,2,FALSE)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5.2444444444444439E-3</v>
      </c>
      <c r="F7">
        <f>(COUNTIF(tables_572103!C:C,input_572103!A25)+COUNTIF(tables_572103!C:C,input_572103!A18)+COUNTIF(tables_572103!C:C,input_572103!A20)+COUNTIF(tables_572103!C:C,input_572103!A22))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VLOOKUP(L7,tables_572103!B:C,2,FALSE)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2.3599999999999996E-2</v>
      </c>
      <c r="F8">
        <f>(COUNTIF(tables_572103!C:C,input_572103!A40)+COUNTIF(tables_572103!C:C,input_572103!A33)+COUNTIF(tables_572103!C:C,input_572103!A35)+COUNTIF(tables_572103!C:C,input_572103!A37))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VLOOKUP(L8,tables_572103!B:C,2,FALSE)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VLOOKUP(L9,tables_572103!B:C,2,FALSE)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0.94399999999999995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VLOOKUP(L10,tables_572103!B:C,2,FALSE)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VLOOKUP(L11,tables_572103!B:C,2,FALSE)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6.0000000000000001E-3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VLOOKUP(L12,tables_572103!B:C,2,FALSE)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VLOOKUP(L13,tables_572103!B:C,2,FALSE)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VLOOKUP(L14,tables_572103!B:C,2,FALSE)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VLOOKUP(L15,tables_572103!B:C,2,FALSE)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VLOOKUP(L16,tables_572103!B:C,2,FALSE)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5" si="2">SUMIF(Q:Q,A17,N:N)</f>
        <v>0</v>
      </c>
      <c r="D17" s="66">
        <f t="shared" ref="D17:D47" si="3">B17-C17</f>
        <v>0</v>
      </c>
      <c r="E17">
        <f>COUNTIF(tables_572103!C:C,input_572103!A17)-COUNTIF(Q:Q,A17)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VLOOKUP(L17,tables_572103!B:C,2,FALSE)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8.1066666666666731E-2</v>
      </c>
      <c r="C18" s="75">
        <f t="shared" si="2"/>
        <v>0</v>
      </c>
      <c r="D18" s="66">
        <f t="shared" si="3"/>
        <v>8.1066666666666731E-2</v>
      </c>
      <c r="E18">
        <f>COUNTIF(tables_572103!C:C,input_572103!A18)-COUNTIF(Q:Q,A18)</f>
        <v>15</v>
      </c>
      <c r="F18" s="37">
        <f>IFERROR(B18/E18,0)</f>
        <v>5.4044444444444487E-3</v>
      </c>
      <c r="G18">
        <f t="shared" si="4"/>
        <v>70041.600000000049</v>
      </c>
      <c r="H18">
        <f t="shared" si="5"/>
        <v>4669.4399999999996</v>
      </c>
      <c r="I18">
        <f t="shared" si="6"/>
        <v>0.43999999999959982</v>
      </c>
      <c r="J18">
        <f t="shared" si="7"/>
        <v>2.2727272727293397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VLOOKUP(L18,tables_572103!B:C,2,FALSE)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COUNTIF(tables_572103!C:C,input_572103!A19)-COUNTIF(Q:Q,A19)</f>
        <v>40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VLOOKUP(L19,tables_572103!B:C,2,FALSE)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0.1888</v>
      </c>
      <c r="C20" s="75">
        <f t="shared" si="2"/>
        <v>0</v>
      </c>
      <c r="D20" s="66">
        <f t="shared" si="3"/>
        <v>0.1888</v>
      </c>
      <c r="E20">
        <f>COUNTIF(tables_572103!C:C,input_572103!A20)-COUNTIF(Q:Q,A20)</f>
        <v>40</v>
      </c>
      <c r="F20" s="37">
        <f t="shared" si="8"/>
        <v>4.7200000000000002E-3</v>
      </c>
      <c r="G20">
        <f t="shared" si="4"/>
        <v>163123.19999999998</v>
      </c>
      <c r="H20">
        <f t="shared" si="5"/>
        <v>4078.08</v>
      </c>
      <c r="I20">
        <f t="shared" si="6"/>
        <v>7.999999999992724E-2</v>
      </c>
      <c r="J20">
        <f t="shared" si="7"/>
        <v>12.500000000011369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VLOOKUP(L20,tables_572103!B:C,2,FALSE)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2.0977777777777776E-2</v>
      </c>
      <c r="C21" s="75">
        <f t="shared" si="2"/>
        <v>0</v>
      </c>
      <c r="D21" s="66">
        <f t="shared" si="3"/>
        <v>2.0977777777777776E-2</v>
      </c>
      <c r="E21">
        <f>COUNTIF(tables_572103!C:C,input_572103!A21)-COUNTIF(Q:Q,A21)</f>
        <v>40</v>
      </c>
      <c r="F21" s="37">
        <f t="shared" si="8"/>
        <v>5.2444444444444435E-4</v>
      </c>
      <c r="G21">
        <f t="shared" si="4"/>
        <v>18124.8</v>
      </c>
      <c r="H21">
        <f t="shared" si="5"/>
        <v>453.12</v>
      </c>
      <c r="I21">
        <f t="shared" si="6"/>
        <v>0.12000000000000455</v>
      </c>
      <c r="J21">
        <f t="shared" si="7"/>
        <v>8.3333333333330177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6.9306666666666655E-2</v>
      </c>
      <c r="C22" s="75">
        <f t="shared" si="2"/>
        <v>0</v>
      </c>
      <c r="D22" s="66">
        <f t="shared" si="3"/>
        <v>6.9306666666666655E-2</v>
      </c>
      <c r="E22">
        <f>COUNTIF(tables_572103!C:C,input_572103!A22)-COUNTIF(Q:Q,A22)</f>
        <v>14</v>
      </c>
      <c r="F22" s="37">
        <f t="shared" si="8"/>
        <v>4.95047619047619E-3</v>
      </c>
      <c r="G22">
        <f t="shared" si="4"/>
        <v>59880.959999999992</v>
      </c>
      <c r="H22">
        <f t="shared" si="5"/>
        <v>4277.2114300000003</v>
      </c>
      <c r="I22">
        <f t="shared" si="6"/>
        <v>0.21143000000029133</v>
      </c>
      <c r="J22">
        <f t="shared" si="7"/>
        <v>4.7296977723058324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4.1155555555555667E-3</v>
      </c>
      <c r="C23" s="75">
        <f t="shared" si="2"/>
        <v>0</v>
      </c>
      <c r="D23" s="66">
        <f t="shared" si="3"/>
        <v>4.1155555555555667E-3</v>
      </c>
      <c r="E23">
        <f>COUNTIF(tables_572103!C:C,input_572103!A23)-COUNTIF(Q:Q,A23)</f>
        <v>19</v>
      </c>
      <c r="F23" s="37">
        <f t="shared" si="8"/>
        <v>2.166081871345035E-4</v>
      </c>
      <c r="G23">
        <f t="shared" si="4"/>
        <v>3555.8400000000097</v>
      </c>
      <c r="H23">
        <f t="shared" si="5"/>
        <v>187.14947000000001</v>
      </c>
      <c r="I23">
        <f t="shared" si="6"/>
        <v>0.14947000000000799</v>
      </c>
      <c r="J23">
        <f t="shared" si="7"/>
        <v>6.6903057469722791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COUNTIF(tables_572103!C:C,input_572103!A24)-COUNTIF(Q:Q,A24)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1.4159999999999999E-2</v>
      </c>
      <c r="C25" s="75">
        <f t="shared" si="2"/>
        <v>0</v>
      </c>
      <c r="D25" s="66">
        <f t="shared" si="3"/>
        <v>1.4159999999999999E-2</v>
      </c>
      <c r="E25">
        <f>COUNTIF(tables_572103!C:C,input_572103!A25)-COUNTIF(Q:Q,A25)</f>
        <v>3</v>
      </c>
      <c r="F25" s="37">
        <f t="shared" si="8"/>
        <v>4.7199999999999994E-3</v>
      </c>
      <c r="G25">
        <f t="shared" si="4"/>
        <v>12234.24</v>
      </c>
      <c r="H25">
        <f t="shared" si="5"/>
        <v>4078.08</v>
      </c>
      <c r="I25">
        <f t="shared" si="6"/>
        <v>7.999999999992724E-2</v>
      </c>
      <c r="J25">
        <f t="shared" si="7"/>
        <v>12.500000000011369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1.5733333333333333E-3</v>
      </c>
      <c r="C26" s="75">
        <f t="shared" si="2"/>
        <v>0</v>
      </c>
      <c r="D26" s="66">
        <f t="shared" si="3"/>
        <v>1.5733333333333333E-3</v>
      </c>
      <c r="E26">
        <f>COUNTIF(tables_572103!C:C,input_572103!A26)-COUNTIF(Q:Q,A26)</f>
        <v>3</v>
      </c>
      <c r="F26" s="37">
        <f t="shared" si="8"/>
        <v>5.2444444444444446E-4</v>
      </c>
      <c r="G26">
        <f t="shared" si="4"/>
        <v>1359.36</v>
      </c>
      <c r="H26">
        <f t="shared" si="5"/>
        <v>453.12</v>
      </c>
      <c r="I26">
        <f t="shared" si="6"/>
        <v>0.12000000000000455</v>
      </c>
      <c r="J26">
        <f t="shared" si="7"/>
        <v>8.3333333333330177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6.6666666666666688E-3</v>
      </c>
      <c r="C27" s="75">
        <f t="shared" si="2"/>
        <v>0</v>
      </c>
      <c r="D27" s="66">
        <f t="shared" si="3"/>
        <v>6.6666666666666688E-3</v>
      </c>
      <c r="E27">
        <f>COUNTIF(tables_572103!C:C,input_572103!A27)-COUNTIF(Q:Q,A27)</f>
        <v>20</v>
      </c>
      <c r="F27" s="37">
        <f>IFERROR(B27/E27,0)</f>
        <v>3.3333333333333343E-4</v>
      </c>
      <c r="G27">
        <f t="shared" si="4"/>
        <v>5760.0000000000018</v>
      </c>
      <c r="H27">
        <f t="shared" si="5"/>
        <v>288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7.4074074074074103E-4</v>
      </c>
      <c r="C28" s="75">
        <f t="shared" si="2"/>
        <v>0</v>
      </c>
      <c r="D28" s="66">
        <f t="shared" si="3"/>
        <v>7.4074074074074103E-4</v>
      </c>
      <c r="E28">
        <f>COUNTIF(tables_572103!C:C,input_572103!A28)-COUNTIF(Q:Q,A28)</f>
        <v>20</v>
      </c>
      <c r="F28" s="37">
        <f t="shared" si="8"/>
        <v>3.703703703703705E-5</v>
      </c>
      <c r="G28">
        <f t="shared" si="4"/>
        <v>640.00000000000023</v>
      </c>
      <c r="H28">
        <f t="shared" si="5"/>
        <v>32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1.2592592592592596E-2</v>
      </c>
      <c r="C29" s="75">
        <f t="shared" si="2"/>
        <v>0</v>
      </c>
      <c r="D29" s="66">
        <f t="shared" si="3"/>
        <v>1.2592592592592596E-2</v>
      </c>
      <c r="E29">
        <f>COUNTIF(tables_572103!C:C,input_572103!A29)-COUNTIF(Q:Q,A29)</f>
        <v>34</v>
      </c>
      <c r="F29" s="37">
        <f t="shared" si="8"/>
        <v>3.7037037037037046E-4</v>
      </c>
      <c r="G29">
        <f t="shared" si="4"/>
        <v>10880.000000000004</v>
      </c>
      <c r="H29">
        <f t="shared" si="5"/>
        <v>320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COUNTIF(tables_572103!C:C,input_572103!A30)-COUNTIF(Q:Q,A30)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COUNTIF(tables_572103!C:C,input_572103!A31)-COUNTIF(Q:Q,A31)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COUNTIF(tables_572103!C:C,input_572103!A32)-COUNTIF(Q:Q,A32)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0.12380000000000013</v>
      </c>
      <c r="C33" s="75">
        <f t="shared" si="2"/>
        <v>0</v>
      </c>
      <c r="D33" s="66">
        <f t="shared" si="3"/>
        <v>0.12380000000000013</v>
      </c>
      <c r="E33">
        <f>COUNTIF(tables_572103!C:C,input_572103!A33)-COUNTIF(Q:Q,A33)</f>
        <v>5</v>
      </c>
      <c r="F33" s="37">
        <f>IFERROR(B33/E33,0)</f>
        <v>2.4760000000000025E-2</v>
      </c>
      <c r="G33">
        <f t="shared" si="4"/>
        <v>106963.20000000011</v>
      </c>
      <c r="H33">
        <f t="shared" si="5"/>
        <v>21392.639999999999</v>
      </c>
      <c r="I33">
        <f t="shared" si="6"/>
        <v>0.63999999999941792</v>
      </c>
      <c r="J33">
        <f t="shared" si="7"/>
        <v>1.5625000000014211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COUNTIF(tables_572103!C:C,input_572103!A34)-COUNTIF(Q:Q,A34)</f>
        <v>12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0.25487999999999994</v>
      </c>
      <c r="C35" s="75">
        <f t="shared" si="2"/>
        <v>0</v>
      </c>
      <c r="D35" s="66">
        <f t="shared" si="3"/>
        <v>0.25487999999999994</v>
      </c>
      <c r="E35">
        <f>COUNTIF(tables_572103!C:C,input_572103!A35)-COUNTIF(Q:Q,A35)</f>
        <v>12</v>
      </c>
      <c r="F35" s="37">
        <f t="shared" si="9"/>
        <v>2.1239999999999995E-2</v>
      </c>
      <c r="G35">
        <f t="shared" si="4"/>
        <v>220216.31999999995</v>
      </c>
      <c r="H35">
        <f t="shared" si="5"/>
        <v>18351.36</v>
      </c>
      <c r="I35">
        <f t="shared" si="6"/>
        <v>0.36000000000058208</v>
      </c>
      <c r="J35">
        <f t="shared" si="7"/>
        <v>2.7777777777732866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2.0120000000000006E-2</v>
      </c>
      <c r="C36" s="75">
        <f t="shared" si="2"/>
        <v>0</v>
      </c>
      <c r="D36" s="66">
        <f t="shared" si="3"/>
        <v>2.0120000000000006E-2</v>
      </c>
      <c r="E36">
        <f>COUNTIF(tables_572103!C:C,input_572103!A36)-COUNTIF(Q:Q,A36)</f>
        <v>12</v>
      </c>
      <c r="F36" s="37">
        <f t="shared" si="9"/>
        <v>1.6766666666666672E-3</v>
      </c>
      <c r="G36">
        <f t="shared" si="4"/>
        <v>17383.680000000004</v>
      </c>
      <c r="H36">
        <f t="shared" si="5"/>
        <v>1448.64</v>
      </c>
      <c r="I36">
        <f t="shared" si="6"/>
        <v>0.64000000000010004</v>
      </c>
      <c r="J36">
        <f t="shared" si="7"/>
        <v>1.5624999999997558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0.12807999999999997</v>
      </c>
      <c r="C37" s="75">
        <f t="shared" si="2"/>
        <v>0</v>
      </c>
      <c r="D37" s="66">
        <f t="shared" si="3"/>
        <v>0.12807999999999997</v>
      </c>
      <c r="E37">
        <f>COUNTIF(tables_572103!C:C,input_572103!A37)-COUNTIF(Q:Q,A37)</f>
        <v>6</v>
      </c>
      <c r="F37" s="37">
        <f t="shared" si="9"/>
        <v>2.1346666666666663E-2</v>
      </c>
      <c r="G37">
        <f t="shared" si="4"/>
        <v>110661.11999999998</v>
      </c>
      <c r="H37">
        <f t="shared" si="5"/>
        <v>18443.52</v>
      </c>
      <c r="I37">
        <f t="shared" si="6"/>
        <v>0.52000000000043656</v>
      </c>
      <c r="J37">
        <f t="shared" si="7"/>
        <v>1.9230769230753086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1.3519999999999997E-2</v>
      </c>
      <c r="C38" s="75">
        <f t="shared" si="2"/>
        <v>0</v>
      </c>
      <c r="D38" s="66">
        <f t="shared" si="3"/>
        <v>1.3519999999999997E-2</v>
      </c>
      <c r="E38">
        <f>COUNTIF(tables_572103!C:C,input_572103!A38)-COUNTIF(Q:Q,A38)</f>
        <v>7</v>
      </c>
      <c r="F38" s="37">
        <f t="shared" si="9"/>
        <v>1.9314285714285711E-3</v>
      </c>
      <c r="G38">
        <f t="shared" si="4"/>
        <v>11681.279999999997</v>
      </c>
      <c r="H38">
        <f t="shared" si="5"/>
        <v>1668.7542900000001</v>
      </c>
      <c r="I38">
        <f t="shared" si="6"/>
        <v>0.75429000000008273</v>
      </c>
      <c r="J38">
        <f t="shared" si="7"/>
        <v>1.3257500430867311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COUNTIF(tables_572103!C:C,input_572103!A39)-COUNTIF(Q:Q,A39)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2.1239999999999998E-2</v>
      </c>
      <c r="C40" s="75">
        <f t="shared" si="2"/>
        <v>0</v>
      </c>
      <c r="D40" s="66">
        <f t="shared" si="3"/>
        <v>2.1239999999999998E-2</v>
      </c>
      <c r="E40">
        <f>COUNTIF(tables_572103!C:C,input_572103!A40)-COUNTIF(Q:Q,A40)</f>
        <v>1</v>
      </c>
      <c r="F40" s="37">
        <f t="shared" si="9"/>
        <v>2.1239999999999998E-2</v>
      </c>
      <c r="G40">
        <f t="shared" si="4"/>
        <v>18351.359999999997</v>
      </c>
      <c r="H40">
        <f t="shared" si="5"/>
        <v>18351.36</v>
      </c>
      <c r="I40">
        <f t="shared" si="6"/>
        <v>0.36000000000058208</v>
      </c>
      <c r="J40">
        <f t="shared" si="7"/>
        <v>2.7777777777732866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2.3599999999999997E-3</v>
      </c>
      <c r="C41" s="75">
        <f t="shared" si="2"/>
        <v>0</v>
      </c>
      <c r="D41" s="66">
        <f t="shared" si="3"/>
        <v>2.3599999999999997E-3</v>
      </c>
      <c r="E41">
        <f>COUNTIF(tables_572103!C:C,input_572103!A41)-COUNTIF(Q:Q,A41)</f>
        <v>1</v>
      </c>
      <c r="F41" s="37">
        <f t="shared" si="9"/>
        <v>2.3599999999999997E-3</v>
      </c>
      <c r="G41">
        <f t="shared" si="4"/>
        <v>2039.0399999999997</v>
      </c>
      <c r="H41">
        <f t="shared" si="5"/>
        <v>2039.04</v>
      </c>
      <c r="I41">
        <f t="shared" si="6"/>
        <v>3.999999999996362E-2</v>
      </c>
      <c r="J41">
        <f t="shared" si="7"/>
        <v>25.000000000022737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1.2E-2</v>
      </c>
      <c r="C42" s="75">
        <f t="shared" si="2"/>
        <v>0</v>
      </c>
      <c r="D42" s="66">
        <f t="shared" si="3"/>
        <v>1.2E-2</v>
      </c>
      <c r="E42">
        <f>COUNTIF(tables_572103!C:C,input_572103!A42)-COUNTIF(Q:Q,A42)</f>
        <v>8</v>
      </c>
      <c r="F42" s="37">
        <f>IFERROR(B42/E42,0)</f>
        <v>1.5E-3</v>
      </c>
      <c r="G42">
        <f t="shared" si="4"/>
        <v>10368</v>
      </c>
      <c r="H42">
        <f t="shared" si="5"/>
        <v>1296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1.3333333333333333E-3</v>
      </c>
      <c r="C43" s="75">
        <f t="shared" si="2"/>
        <v>0</v>
      </c>
      <c r="D43" s="66">
        <f t="shared" si="3"/>
        <v>1.3333333333333333E-3</v>
      </c>
      <c r="E43">
        <f>COUNTIF(tables_572103!C:C,input_572103!A43)-COUNTIF(Q:Q,A43)</f>
        <v>8</v>
      </c>
      <c r="F43" s="37">
        <f t="shared" ref="F43:F46" si="10">IFERROR(B43/E43,0)</f>
        <v>1.6666666666666666E-4</v>
      </c>
      <c r="G43">
        <f t="shared" si="4"/>
        <v>1152</v>
      </c>
      <c r="H43">
        <f t="shared" si="5"/>
        <v>144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1.6666666666666666E-2</v>
      </c>
      <c r="C44" s="75">
        <f t="shared" si="2"/>
        <v>0</v>
      </c>
      <c r="D44" s="66">
        <f t="shared" si="3"/>
        <v>1.6666666666666666E-2</v>
      </c>
      <c r="E44">
        <f>COUNTIF(tables_572103!C:C,input_572103!A44)-COUNTIF(Q:Q,A44)</f>
        <v>10</v>
      </c>
      <c r="F44" s="37">
        <f t="shared" si="10"/>
        <v>1.6666666666666666E-3</v>
      </c>
      <c r="G44">
        <f t="shared" si="4"/>
        <v>14400</v>
      </c>
      <c r="H44">
        <f t="shared" si="5"/>
        <v>1440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COUNTIF(tables_572103!C:C,input_572103!A45)-COUNTIF(Q:Q,A45)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6.0000000000000001E-3</v>
      </c>
      <c r="C46" s="75">
        <f>SUMIF(Q:Q,A46,N:N)</f>
        <v>6.0000000000000001E-3</v>
      </c>
      <c r="D46" s="66">
        <f t="shared" si="3"/>
        <v>0</v>
      </c>
      <c r="E46">
        <f>COUNTIF(tables_572103!C:C,input_572103!A46)-COUNTIF(Q:Q,A46)</f>
        <v>0</v>
      </c>
      <c r="F46" s="37">
        <f t="shared" si="10"/>
        <v>0</v>
      </c>
      <c r="G46">
        <f t="shared" si="4"/>
        <v>5184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6.0000000000000001E-3</v>
      </c>
      <c r="D47" s="36">
        <f t="shared" si="3"/>
        <v>0.99399999999999999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</row>
    <row r="51" spans="1:8" x14ac:dyDescent="0.15">
      <c r="A51" s="26">
        <f>LCM(F5-I5,F7-I6)*1000*2*2</f>
        <v>864000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SUMIF(tables_572103!C:C,input_572103!A55,tables_572103!O:O)</f>
        <v>0</v>
      </c>
      <c r="C55" s="46">
        <f t="shared" ref="C55:C61" ca="1" si="11">B55/B$62</f>
        <v>0</v>
      </c>
      <c r="E55">
        <v>3</v>
      </c>
      <c r="F55">
        <f ca="1">SUMIF(tables_572103!J:J,input_572103!E55,tables_572103!O:O)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SUMIF(tables_572103!C:C,input_572103!A56,tables_572103!O:O)</f>
        <v>163123.19999999995</v>
      </c>
      <c r="C56" s="46">
        <f t="shared" ca="1" si="11"/>
        <v>0.86930422919508854</v>
      </c>
      <c r="E56">
        <v>4</v>
      </c>
      <c r="F56">
        <f ca="1">SUMIF(tables_572103!J:J,input_572103!E56,tables_572103!O:O)</f>
        <v>777600.00002000027</v>
      </c>
      <c r="G56">
        <f ca="1">F56/A51</f>
        <v>0.90000000002314851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SUMIF(tables_572103!C:C,input_572103!A57,tables_572103!O:O)</f>
        <v>5760</v>
      </c>
      <c r="C57" s="46">
        <f t="shared" ca="1" si="11"/>
        <v>3.0695770804911329E-2</v>
      </c>
      <c r="E57">
        <v>5</v>
      </c>
      <c r="F57">
        <f ca="1">SUMIF(tables_572103!J:J,input_572103!E57,tables_572103!O:O)</f>
        <v>86399.999959999957</v>
      </c>
      <c r="G57">
        <f ca="1">F57/A51</f>
        <v>9.999999995370365E-2</v>
      </c>
      <c r="H57" s="47">
        <f>B21+B23+B26+B28+B29+B31+B36+B38+B41+B43+B44+B46</f>
        <v>0.10000000000000002</v>
      </c>
    </row>
    <row r="58" spans="1:8" x14ac:dyDescent="0.15">
      <c r="A58" s="27" t="s">
        <v>94</v>
      </c>
      <c r="B58">
        <f>SUMIF(tables_572103!C:C,input_572103!A58,tables_572103!O:O)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SUMIF(tables_572103!C:C,input_572103!A59,tables_572103!O:O)</f>
        <v>18124.80000000001</v>
      </c>
      <c r="C59" s="46">
        <f t="shared" ca="1" si="11"/>
        <v>9.6589358799454364E-2</v>
      </c>
      <c r="E59" t="s">
        <v>37</v>
      </c>
      <c r="F59" s="47"/>
    </row>
    <row r="60" spans="1:8" x14ac:dyDescent="0.15">
      <c r="A60" s="27" t="s">
        <v>91</v>
      </c>
      <c r="B60">
        <f ca="1">SUMIF(tables_572103!C:C,input_572103!A60,tables_572103!O:O)</f>
        <v>640</v>
      </c>
      <c r="C60" s="46">
        <f t="shared" ca="1" si="11"/>
        <v>3.4106412005457032E-3</v>
      </c>
      <c r="E60" t="s">
        <v>190</v>
      </c>
      <c r="F60" s="47">
        <f ca="1">SUMIF(tables_572103!I:I,input_572103!E60,tables_572103!P:P)</f>
        <v>0.20788113616221982</v>
      </c>
    </row>
    <row r="61" spans="1:8" x14ac:dyDescent="0.15">
      <c r="A61" s="27" t="s">
        <v>92</v>
      </c>
      <c r="B61">
        <f>SUMIF(tables_572103!C:C,input_572103!A61,tables_572103!O:O)</f>
        <v>0</v>
      </c>
      <c r="C61" s="46">
        <f t="shared" ca="1" si="11"/>
        <v>0</v>
      </c>
      <c r="E61" t="s">
        <v>191</v>
      </c>
      <c r="F61" s="47">
        <f ca="1">SUMIF(tables_572103!I:I,input_572103!E61,tables_572103!P:P)</f>
        <v>0.19393333333782292</v>
      </c>
    </row>
    <row r="62" spans="1:8" x14ac:dyDescent="0.15">
      <c r="A62" s="33" t="s">
        <v>42</v>
      </c>
      <c r="B62">
        <f ca="1">SUM(B55:B61)</f>
        <v>187647.99999999997</v>
      </c>
      <c r="C62" s="47">
        <f ca="1">SUM(C55:C61)</f>
        <v>1</v>
      </c>
      <c r="E62" t="s">
        <v>192</v>
      </c>
      <c r="F62" s="47">
        <f ca="1">SUMIF(tables_572103!I:I,input_572103!E62,tables_572103!P:P)</f>
        <v>0.54218553049866269</v>
      </c>
    </row>
    <row r="63" spans="1:8" x14ac:dyDescent="0.15">
      <c r="E63" t="s">
        <v>193</v>
      </c>
      <c r="F63" s="104">
        <f ca="1">SUMIF(tables_572103!I:I,input_572103!E63,tables_572103!P:P)</f>
        <v>4.407407407509438E-2</v>
      </c>
      <c r="G63" s="84"/>
    </row>
    <row r="64" spans="1:8" x14ac:dyDescent="0.15">
      <c r="E64" t="s">
        <v>252</v>
      </c>
      <c r="F64" s="104">
        <f ca="1">SUMIF(tables_572103!I:I,input_572103!E64,tables_572103!P:P)</f>
        <v>5.9259259260631084E-3</v>
      </c>
    </row>
    <row r="65" spans="5:6" x14ac:dyDescent="0.15">
      <c r="E65" t="s">
        <v>251</v>
      </c>
      <c r="F65" s="104">
        <f ca="1">SUMIF(tables_572103!I:I,input_572103!E65,tables_572103!P:P)</f>
        <v>6.0000000001388977E-3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56"/>
  <sheetViews>
    <sheetView showGridLines="0" workbookViewId="0">
      <pane ySplit="1" topLeftCell="A345" activePane="bottomLeft" state="frozen"/>
      <selection activeCell="L296" sqref="L296"/>
      <selection pane="bottomLeft" activeCell="G1" sqref="G1:G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input_572103!A$2</f>
        <v>572103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">
        <v>35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IFERROR(VLOOKUP(B2,input_572103!L:R,7,FALSE),VLOOKUP(tables_572103!C2,input_572103!A:H,8,FALSE))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input_572103!A$2</f>
        <v>572103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">
        <v>35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IFERROR(VLOOKUP(B3,input_572103!L:R,7,FALSE),VLOOKUP(tables_572103!C3,input_572103!A:H,8,FALSE))</f>
        <v>21392.639999999999</v>
      </c>
      <c r="P3" s="40">
        <f t="shared" ca="1" si="1"/>
        <v>2.4760000000573185E-2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input_572103!A$2</f>
        <v>572103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IFERROR(VLOOKUP(B4,input_572103!L:R,7,FALSE),VLOOKUP(tables_572103!C4,input_572103!A:H,8,FALSE))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input_572103!A$2</f>
        <v>572103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IFERROR(VLOOKUP(B5,input_572103!L:R,7,FALSE),VLOOKUP(tables_572103!C5,input_572103!A:H,8,FALSE))</f>
        <v>4669.4399999999996</v>
      </c>
      <c r="P5" s="40">
        <f t="shared" ca="1" si="1"/>
        <v>5.4044444445695552E-3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input_572103!A$2</f>
        <v>572103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IFERROR(VLOOKUP(B6,input_572103!L:R,7,FALSE),VLOOKUP(tables_572103!C6,input_572103!A:H,8,FALSE))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input_572103!A$2</f>
        <v>572103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IFERROR(VLOOKUP(B7,input_572103!L:R,7,FALSE),VLOOKUP(tables_572103!C7,input_572103!A:H,8,FALSE))</f>
        <v>4669.4399999999996</v>
      </c>
      <c r="P7" s="40">
        <f t="shared" ca="1" si="1"/>
        <v>5.4044444445695552E-3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input_572103!A$2</f>
        <v>572103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IFERROR(VLOOKUP(B8,input_572103!L:R,7,FALSE),VLOOKUP(tables_572103!C8,input_572103!A:H,8,FALSE))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input_572103!A$2</f>
        <v>572103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IFERROR(VLOOKUP(B9,input_572103!L:R,7,FALSE),VLOOKUP(tables_572103!C9,input_572103!A:H,8,FALSE))</f>
        <v>4669.4399999999996</v>
      </c>
      <c r="P9" s="40">
        <f t="shared" ca="1" si="1"/>
        <v>5.4044444445695552E-3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input_572103!A$2</f>
        <v>572103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">
        <v>35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IFERROR(VLOOKUP(B10,input_572103!L:R,7,FALSE),VLOOKUP(tables_572103!C10,input_572103!A:H,8,FALSE))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input_572103!A$2</f>
        <v>572103</v>
      </c>
      <c r="B11" s="8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">
        <v>35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IFERROR(VLOOKUP(B11,input_572103!L:R,7,FALSE),VLOOKUP(tables_572103!C11,input_572103!A:H,8,FALSE))</f>
        <v>21392.639999999999</v>
      </c>
      <c r="P11" s="40">
        <f t="shared" ca="1" si="1"/>
        <v>2.4760000000573185E-2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input_572103!A$2</f>
        <v>572103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IFERROR(VLOOKUP(B12,input_572103!L:R,7,FALSE),VLOOKUP(tables_572103!C12,input_572103!A:H,8,FALSE))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input_572103!A$2</f>
        <v>572103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IFERROR(VLOOKUP(B13,input_572103!L:R,7,FALSE),VLOOKUP(tables_572103!C13,input_572103!A:H,8,FALSE))</f>
        <v>4669.4399999999996</v>
      </c>
      <c r="P13" s="40">
        <f t="shared" ca="1" si="1"/>
        <v>5.4044444445695552E-3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input_572103!A$2</f>
        <v>572103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IFERROR(VLOOKUP(B14,input_572103!L:R,7,FALSE),VLOOKUP(tables_572103!C14,input_572103!A:H,8,FALSE))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input_572103!A$2</f>
        <v>572103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IFERROR(VLOOKUP(B15,input_572103!L:R,7,FALSE),VLOOKUP(tables_572103!C15,input_572103!A:H,8,FALSE))</f>
        <v>4669.4399999999996</v>
      </c>
      <c r="P15" s="40">
        <f t="shared" ca="1" si="1"/>
        <v>5.4044444445695552E-3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input_572103!A$2</f>
        <v>572103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IFERROR(VLOOKUP(B16,input_572103!L:R,7,FALSE),VLOOKUP(tables_572103!C16,input_572103!A:H,8,FALSE))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input_572103!A$2</f>
        <v>572103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IFERROR(VLOOKUP(B17,input_572103!L:R,7,FALSE),VLOOKUP(tables_572103!C17,input_572103!A:H,8,FALSE))</f>
        <v>4669.4399999999996</v>
      </c>
      <c r="P17" s="40">
        <f t="shared" ca="1" si="1"/>
        <v>5.4044444445695552E-3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input_572103!A$2</f>
        <v>572103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">
        <v>35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IFERROR(VLOOKUP(B18,input_572103!L:R,7,FALSE),VLOOKUP(tables_572103!C18,input_572103!A:H,8,FALSE))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input_572103!A$2</f>
        <v>572103</v>
      </c>
      <c r="B19" s="10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">
        <v>35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IFERROR(VLOOKUP(B19,input_572103!L:R,7,FALSE),VLOOKUP(tables_572103!C19,input_572103!A:H,8,FALSE))</f>
        <v>21392.639999999999</v>
      </c>
      <c r="P19" s="40">
        <f t="shared" ca="1" si="1"/>
        <v>2.4760000000573185E-2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input_572103!A$2</f>
        <v>572103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IFERROR(VLOOKUP(B20,input_572103!L:R,7,FALSE),VLOOKUP(tables_572103!C20,input_572103!A:H,8,FALSE))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input_572103!A$2</f>
        <v>572103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IFERROR(VLOOKUP(B21,input_572103!L:R,7,FALSE),VLOOKUP(tables_572103!C21,input_572103!A:H,8,FALSE))</f>
        <v>4669.4399999999996</v>
      </c>
      <c r="P21" s="40">
        <f t="shared" ca="1" si="1"/>
        <v>5.4044444445695552E-3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input_572103!A$2</f>
        <v>572103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IFERROR(VLOOKUP(B22,input_572103!L:R,7,FALSE),VLOOKUP(tables_572103!C22,input_572103!A:H,8,FALSE))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input_572103!A$2</f>
        <v>572103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IFERROR(VLOOKUP(B23,input_572103!L:R,7,FALSE),VLOOKUP(tables_572103!C23,input_572103!A:H,8,FALSE))</f>
        <v>4669.4399999999996</v>
      </c>
      <c r="P23" s="40">
        <f t="shared" ca="1" si="1"/>
        <v>5.4044444445695552E-3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input_572103!A$2</f>
        <v>572103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IFERROR(VLOOKUP(B24,input_572103!L:R,7,FALSE),VLOOKUP(tables_572103!C24,input_572103!A:H,8,FALSE))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input_572103!A$2</f>
        <v>572103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IFERROR(VLOOKUP(B25,input_572103!L:R,7,FALSE),VLOOKUP(tables_572103!C25,input_572103!A:H,8,FALSE))</f>
        <v>4669.4399999999996</v>
      </c>
      <c r="P25" s="40">
        <f t="shared" ca="1" si="1"/>
        <v>5.4044444445695552E-3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input_572103!A$2</f>
        <v>572103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">
        <v>35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IFERROR(VLOOKUP(B26,input_572103!L:R,7,FALSE),VLOOKUP(tables_572103!C26,input_572103!A:H,8,FALSE))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input_572103!A$2</f>
        <v>572103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">
        <v>35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IFERROR(VLOOKUP(B27,input_572103!L:R,7,FALSE),VLOOKUP(tables_572103!C27,input_572103!A:H,8,FALSE))</f>
        <v>21392.639999999999</v>
      </c>
      <c r="P27" s="40">
        <f t="shared" ca="1" si="1"/>
        <v>2.4760000000573185E-2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input_572103!A$2</f>
        <v>572103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IFERROR(VLOOKUP(B28,input_572103!L:R,7,FALSE),VLOOKUP(tables_572103!C28,input_572103!A:H,8,FALSE))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input_572103!A$2</f>
        <v>572103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IFERROR(VLOOKUP(B29,input_572103!L:R,7,FALSE),VLOOKUP(tables_572103!C29,input_572103!A:H,8,FALSE))</f>
        <v>4669.4399999999996</v>
      </c>
      <c r="P29" s="40">
        <f t="shared" ca="1" si="1"/>
        <v>5.4044444445695552E-3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input_572103!A$2</f>
        <v>572103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IFERROR(VLOOKUP(B30,input_572103!L:R,7,FALSE),VLOOKUP(tables_572103!C30,input_572103!A:H,8,FALSE))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input_572103!A$2</f>
        <v>572103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IFERROR(VLOOKUP(B31,input_572103!L:R,7,FALSE),VLOOKUP(tables_572103!C31,input_572103!A:H,8,FALSE))</f>
        <v>4669.4399999999996</v>
      </c>
      <c r="P31" s="40">
        <f t="shared" ca="1" si="1"/>
        <v>5.4044444445695552E-3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input_572103!A$2</f>
        <v>572103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IFERROR(VLOOKUP(B32,input_572103!L:R,7,FALSE),VLOOKUP(tables_572103!C32,input_572103!A:H,8,FALSE))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input_572103!A$2</f>
        <v>572103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IFERROR(VLOOKUP(B33,input_572103!L:R,7,FALSE),VLOOKUP(tables_572103!C33,input_572103!A:H,8,FALSE))</f>
        <v>4669.4399999999996</v>
      </c>
      <c r="P33" s="40">
        <f t="shared" ca="1" si="1"/>
        <v>5.4044444445695552E-3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input_572103!A$2</f>
        <v>572103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">
        <v>35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IFERROR(VLOOKUP(B34,input_572103!L:R,7,FALSE),VLOOKUP(tables_572103!C34,input_572103!A:H,8,FALSE))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input_572103!A$2</f>
        <v>572103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">
        <v>35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IFERROR(VLOOKUP(B35,input_572103!L:R,7,FALSE),VLOOKUP(tables_572103!C35,input_572103!A:H,8,FALSE))</f>
        <v>21392.639999999999</v>
      </c>
      <c r="P35" s="40">
        <f t="shared" ca="1" si="1"/>
        <v>2.4760000000573185E-2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input_572103!A$2</f>
        <v>572103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IFERROR(VLOOKUP(B36,input_572103!L:R,7,FALSE),VLOOKUP(tables_572103!C36,input_572103!A:H,8,FALSE))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input_572103!A$2</f>
        <v>572103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IFERROR(VLOOKUP(B37,input_572103!L:R,7,FALSE),VLOOKUP(tables_572103!C37,input_572103!A:H,8,FALSE))</f>
        <v>4669.4399999999996</v>
      </c>
      <c r="P37" s="40">
        <f t="shared" ca="1" si="1"/>
        <v>5.4044444445695552E-3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input_572103!A$2</f>
        <v>572103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IFERROR(VLOOKUP(B38,input_572103!L:R,7,FALSE),VLOOKUP(tables_572103!C38,input_572103!A:H,8,FALSE))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input_572103!A$2</f>
        <v>572103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IFERROR(VLOOKUP(B39,input_572103!L:R,7,FALSE),VLOOKUP(tables_572103!C39,input_572103!A:H,8,FALSE))</f>
        <v>4669.4399999999996</v>
      </c>
      <c r="P39" s="40">
        <f t="shared" ca="1" si="1"/>
        <v>5.4044444445695552E-3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input_572103!A$2</f>
        <v>572103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IFERROR(VLOOKUP(B40,input_572103!L:R,7,FALSE),VLOOKUP(tables_572103!C40,input_572103!A:H,8,FALSE))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input_572103!A$2</f>
        <v>572103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IFERROR(VLOOKUP(B41,input_572103!L:R,7,FALSE),VLOOKUP(tables_572103!C41,input_572103!A:H,8,FALSE))</f>
        <v>4669.4399999999996</v>
      </c>
      <c r="P41" s="40">
        <f t="shared" ca="1" si="1"/>
        <v>5.4044444445695552E-3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input_572103!A$2</f>
        <v>572103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">
        <v>35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IFERROR(VLOOKUP(B42,input_572103!L:R,7,FALSE),VLOOKUP(tables_572103!C42,input_572103!A:H,8,FALSE))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input_572103!A$2</f>
        <v>572103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">
        <v>35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IFERROR(VLOOKUP(B43,input_572103!L:R,7,FALSE),VLOOKUP(tables_572103!C43,input_572103!A:H,8,FALSE))</f>
        <v>18351.36</v>
      </c>
      <c r="P43" s="40">
        <f t="shared" ca="1" si="1"/>
        <v>2.1240000000491699E-2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input_572103!A$2</f>
        <v>572103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">
        <v>35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IFERROR(VLOOKUP(B44,input_572103!L:R,7,FALSE),VLOOKUP(tables_572103!C44,input_572103!A:H,8,FALSE))</f>
        <v>2039.04</v>
      </c>
      <c r="P44" s="40">
        <f t="shared" ca="1" si="1"/>
        <v>2.3600000000546331E-3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input_572103!A$2</f>
        <v>572103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IFERROR(VLOOKUP(B45,input_572103!L:R,7,FALSE),VLOOKUP(tables_572103!C45,input_572103!A:H,8,FALSE))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input_572103!A$2</f>
        <v>572103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IFERROR(VLOOKUP(B46,input_572103!L:R,7,FALSE),VLOOKUP(tables_572103!C46,input_572103!A:H,8,FALSE))</f>
        <v>4078.08</v>
      </c>
      <c r="P46" s="40">
        <f t="shared" ca="1" si="1"/>
        <v>4.7200000001092661E-3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input_572103!A$2</f>
        <v>572103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IFERROR(VLOOKUP(B47,input_572103!L:R,7,FALSE),VLOOKUP(tables_572103!C47,input_572103!A:H,8,FALSE))</f>
        <v>453.12</v>
      </c>
      <c r="P47" s="40">
        <f t="shared" ca="1" si="1"/>
        <v>5.2444444445658514E-4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input_572103!A$2</f>
        <v>572103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IFERROR(VLOOKUP(B48,input_572103!L:R,7,FALSE),VLOOKUP(tables_572103!C48,input_572103!A:H,8,FALSE))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input_572103!A$2</f>
        <v>572103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IFERROR(VLOOKUP(B49,input_572103!L:R,7,FALSE),VLOOKUP(tables_572103!C49,input_572103!A:H,8,FALSE))</f>
        <v>4078.08</v>
      </c>
      <c r="P49" s="40">
        <f t="shared" ca="1" si="1"/>
        <v>4.7200000001092661E-3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input_572103!A$2</f>
        <v>572103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IFERROR(VLOOKUP(B50,input_572103!L:R,7,FALSE),VLOOKUP(tables_572103!C50,input_572103!A:H,8,FALSE))</f>
        <v>453.12</v>
      </c>
      <c r="P50" s="40">
        <f t="shared" ca="1" si="1"/>
        <v>5.2444444445658514E-4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input_572103!A$2</f>
        <v>572103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IFERROR(VLOOKUP(B51,input_572103!L:R,7,FALSE),VLOOKUP(tables_572103!C51,input_572103!A:H,8,FALSE))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input_572103!A$2</f>
        <v>572103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IFERROR(VLOOKUP(B52,input_572103!L:R,7,FALSE),VLOOKUP(tables_572103!C52,input_572103!A:H,8,FALSE))</f>
        <v>4078.08</v>
      </c>
      <c r="P52" s="40">
        <f t="shared" ca="1" si="1"/>
        <v>4.7200000001092661E-3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input_572103!A$2</f>
        <v>572103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IFERROR(VLOOKUP(B53,input_572103!L:R,7,FALSE),VLOOKUP(tables_572103!C53,input_572103!A:H,8,FALSE))</f>
        <v>453.12</v>
      </c>
      <c r="P53" s="40">
        <f t="shared" ca="1" si="1"/>
        <v>5.2444444445658514E-4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input_572103!A$2</f>
        <v>572103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">
        <v>35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IFERROR(VLOOKUP(B54,input_572103!L:R,7,FALSE),VLOOKUP(tables_572103!C54,input_572103!A:H,8,FALSE))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input_572103!A$2</f>
        <v>572103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">
        <v>35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IFERROR(VLOOKUP(B55,input_572103!L:R,7,FALSE),VLOOKUP(tables_572103!C55,input_572103!A:H,8,FALSE))</f>
        <v>18351.36</v>
      </c>
      <c r="P55" s="40">
        <f t="shared" ca="1" si="1"/>
        <v>2.1240000000491699E-2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input_572103!A$2</f>
        <v>572103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">
        <v>35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IFERROR(VLOOKUP(B56,input_572103!L:R,7,FALSE),VLOOKUP(tables_572103!C56,input_572103!A:H,8,FALSE))</f>
        <v>1448.64</v>
      </c>
      <c r="P56" s="40">
        <f t="shared" ca="1" si="1"/>
        <v>1.676666666705481E-3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input_572103!A$2</f>
        <v>572103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IFERROR(VLOOKUP(B57,input_572103!L:R,7,FALSE),VLOOKUP(tables_572103!C57,input_572103!A:H,8,FALSE))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input_572103!A$2</f>
        <v>572103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IFERROR(VLOOKUP(B58,input_572103!L:R,7,FALSE),VLOOKUP(tables_572103!C58,input_572103!A:H,8,FALSE))</f>
        <v>4078.08</v>
      </c>
      <c r="P58" s="40">
        <f t="shared" ca="1" si="1"/>
        <v>4.7200000001092661E-3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input_572103!A$2</f>
        <v>572103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IFERROR(VLOOKUP(B59,input_572103!L:R,7,FALSE),VLOOKUP(tables_572103!C59,input_572103!A:H,8,FALSE))</f>
        <v>453.12</v>
      </c>
      <c r="P59" s="40">
        <f t="shared" ca="1" si="1"/>
        <v>5.2444444445658514E-4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input_572103!A$2</f>
        <v>572103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IFERROR(VLOOKUP(B60,input_572103!L:R,7,FALSE),VLOOKUP(tables_572103!C60,input_572103!A:H,8,FALSE))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input_572103!A$2</f>
        <v>572103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IFERROR(VLOOKUP(B61,input_572103!L:R,7,FALSE),VLOOKUP(tables_572103!C61,input_572103!A:H,8,FALSE))</f>
        <v>4078.08</v>
      </c>
      <c r="P61" s="40">
        <f t="shared" ca="1" si="1"/>
        <v>4.7200000001092661E-3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input_572103!A$2</f>
        <v>572103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IFERROR(VLOOKUP(B62,input_572103!L:R,7,FALSE),VLOOKUP(tables_572103!C62,input_572103!A:H,8,FALSE))</f>
        <v>453.12</v>
      </c>
      <c r="P62" s="40">
        <f t="shared" ca="1" si="1"/>
        <v>5.2444444445658514E-4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input_572103!A$2</f>
        <v>572103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IFERROR(VLOOKUP(B63,input_572103!L:R,7,FALSE),VLOOKUP(tables_572103!C63,input_572103!A:H,8,FALSE))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input_572103!A$2</f>
        <v>572103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IFERROR(VLOOKUP(B64,input_572103!L:R,7,FALSE),VLOOKUP(tables_572103!C64,input_572103!A:H,8,FALSE))</f>
        <v>4078.08</v>
      </c>
      <c r="P64" s="40">
        <f t="shared" ca="1" si="1"/>
        <v>4.7200000001092661E-3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input_572103!A$2</f>
        <v>572103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IFERROR(VLOOKUP(B65,input_572103!L:R,7,FALSE),VLOOKUP(tables_572103!C65,input_572103!A:H,8,FALSE))</f>
        <v>453.12</v>
      </c>
      <c r="P65" s="40">
        <f t="shared" ca="1" si="1"/>
        <v>5.2444444445658514E-4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input_572103!A$2</f>
        <v>572103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">
        <v>35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IFERROR(VLOOKUP(B66,input_572103!L:R,7,FALSE),VLOOKUP(tables_572103!C66,input_572103!A:H,8,FALSE))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input_572103!A$2</f>
        <v>572103</v>
      </c>
      <c r="B67" s="6">
        <v>191</v>
      </c>
      <c r="C67" s="7" t="str">
        <f t="shared" si="3"/>
        <v>Premium4color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">
        <v>35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IFERROR(VLOOKUP(B67,input_572103!L:R,7,FALSE),VLOOKUP(tables_572103!C67,input_572103!A:H,8,FALSE))</f>
        <v>18351.36</v>
      </c>
      <c r="P67" s="40">
        <f t="shared" ca="1" si="4"/>
        <v>2.1240000000491699E-2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input_572103!A$2</f>
        <v>572103</v>
      </c>
      <c r="B68" s="6">
        <v>192</v>
      </c>
      <c r="C68" s="7" t="str">
        <f t="shared" si="3"/>
        <v>Premium5color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">
        <v>35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IFERROR(VLOOKUP(B68,input_572103!L:R,7,FALSE),VLOOKUP(tables_572103!C68,input_572103!A:H,8,FALSE))</f>
        <v>1448.64</v>
      </c>
      <c r="P68" s="40">
        <f t="shared" ca="1" si="4"/>
        <v>1.676666666705481E-3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input_572103!A$2</f>
        <v>572103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IFERROR(VLOOKUP(B69,input_572103!L:R,7,FALSE),VLOOKUP(tables_572103!C69,input_572103!A:H,8,FALSE))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input_572103!A$2</f>
        <v>572103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IFERROR(VLOOKUP(B70,input_572103!L:R,7,FALSE),VLOOKUP(tables_572103!C70,input_572103!A:H,8,FALSE))</f>
        <v>4078.08</v>
      </c>
      <c r="P70" s="40">
        <f t="shared" ca="1" si="4"/>
        <v>4.7200000001092661E-3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input_572103!A$2</f>
        <v>572103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IFERROR(VLOOKUP(B71,input_572103!L:R,7,FALSE),VLOOKUP(tables_572103!C71,input_572103!A:H,8,FALSE))</f>
        <v>453.12</v>
      </c>
      <c r="P71" s="40">
        <f t="shared" ca="1" si="4"/>
        <v>5.2444444445658514E-4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input_572103!A$2</f>
        <v>572103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IFERROR(VLOOKUP(B72,input_572103!L:R,7,FALSE),VLOOKUP(tables_572103!C72,input_572103!A:H,8,FALSE))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input_572103!A$2</f>
        <v>572103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IFERROR(VLOOKUP(B73,input_572103!L:R,7,FALSE),VLOOKUP(tables_572103!C73,input_572103!A:H,8,FALSE))</f>
        <v>4078.08</v>
      </c>
      <c r="P73" s="40">
        <f t="shared" ca="1" si="4"/>
        <v>4.7200000001092661E-3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input_572103!A$2</f>
        <v>572103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IFERROR(VLOOKUP(B74,input_572103!L:R,7,FALSE),VLOOKUP(tables_572103!C74,input_572103!A:H,8,FALSE))</f>
        <v>453.12</v>
      </c>
      <c r="P74" s="40">
        <f t="shared" ca="1" si="4"/>
        <v>5.2444444445658514E-4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input_572103!A$2</f>
        <v>572103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IFERROR(VLOOKUP(B75,input_572103!L:R,7,FALSE),VLOOKUP(tables_572103!C75,input_572103!A:H,8,FALSE))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input_572103!A$2</f>
        <v>572103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IFERROR(VLOOKUP(B76,input_572103!L:R,7,FALSE),VLOOKUP(tables_572103!C76,input_572103!A:H,8,FALSE))</f>
        <v>4078.08</v>
      </c>
      <c r="P76" s="40">
        <f t="shared" ca="1" si="4"/>
        <v>4.7200000001092661E-3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input_572103!A$2</f>
        <v>572103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IFERROR(VLOOKUP(B77,input_572103!L:R,7,FALSE),VLOOKUP(tables_572103!C77,input_572103!A:H,8,FALSE))</f>
        <v>453.12</v>
      </c>
      <c r="P77" s="40">
        <f t="shared" ca="1" si="4"/>
        <v>5.2444444445658514E-4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input_572103!A$2</f>
        <v>572103</v>
      </c>
      <c r="B78" s="5">
        <v>202</v>
      </c>
      <c r="C78" s="7" t="str">
        <f t="shared" si="3"/>
        <v>Premium3color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">
        <v>35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IFERROR(VLOOKUP(B78,input_572103!L:R,7,FALSE),VLOOKUP(tables_572103!C78,input_572103!A:H,8,FALSE))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input_572103!A$2</f>
        <v>572103</v>
      </c>
      <c r="B79" s="5">
        <v>203</v>
      </c>
      <c r="C79" s="7" t="str">
        <f t="shared" si="3"/>
        <v>Premium4color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">
        <v>35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IFERROR(VLOOKUP(B79,input_572103!L:R,7,FALSE),VLOOKUP(tables_572103!C79,input_572103!A:H,8,FALSE))</f>
        <v>18351.36</v>
      </c>
      <c r="P79" s="40">
        <f t="shared" ca="1" si="4"/>
        <v>2.1240000000491699E-2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input_572103!A$2</f>
        <v>572103</v>
      </c>
      <c r="B80" s="5">
        <v>204</v>
      </c>
      <c r="C80" s="7" t="str">
        <f t="shared" si="3"/>
        <v>Premium5color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">
        <v>35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IFERROR(VLOOKUP(B80,input_572103!L:R,7,FALSE),VLOOKUP(tables_572103!C80,input_572103!A:H,8,FALSE))</f>
        <v>1448.64</v>
      </c>
      <c r="P80" s="40">
        <f t="shared" ca="1" si="4"/>
        <v>1.676666666705481E-3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input_572103!A$2</f>
        <v>572103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IFERROR(VLOOKUP(B81,input_572103!L:R,7,FALSE),VLOOKUP(tables_572103!C81,input_572103!A:H,8,FALSE))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input_572103!A$2</f>
        <v>572103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IFERROR(VLOOKUP(B82,input_572103!L:R,7,FALSE),VLOOKUP(tables_572103!C82,input_572103!A:H,8,FALSE))</f>
        <v>4078.08</v>
      </c>
      <c r="P82" s="40">
        <f t="shared" ca="1" si="4"/>
        <v>4.7200000001092661E-3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input_572103!A$2</f>
        <v>572103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IFERROR(VLOOKUP(B83,input_572103!L:R,7,FALSE),VLOOKUP(tables_572103!C83,input_572103!A:H,8,FALSE))</f>
        <v>453.12</v>
      </c>
      <c r="P83" s="40">
        <f t="shared" ca="1" si="4"/>
        <v>5.2444444445658514E-4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input_572103!A$2</f>
        <v>572103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IFERROR(VLOOKUP(B84,input_572103!L:R,7,FALSE),VLOOKUP(tables_572103!C84,input_572103!A:H,8,FALSE))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input_572103!A$2</f>
        <v>572103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IFERROR(VLOOKUP(B85,input_572103!L:R,7,FALSE),VLOOKUP(tables_572103!C85,input_572103!A:H,8,FALSE))</f>
        <v>4078.08</v>
      </c>
      <c r="P85" s="40">
        <f t="shared" ca="1" si="4"/>
        <v>4.7200000001092661E-3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input_572103!A$2</f>
        <v>572103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IFERROR(VLOOKUP(B86,input_572103!L:R,7,FALSE),VLOOKUP(tables_572103!C86,input_572103!A:H,8,FALSE))</f>
        <v>453.12</v>
      </c>
      <c r="P86" s="40">
        <f t="shared" ca="1" si="4"/>
        <v>5.2444444445658514E-4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input_572103!A$2</f>
        <v>572103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IFERROR(VLOOKUP(B87,input_572103!L:R,7,FALSE),VLOOKUP(tables_572103!C87,input_572103!A:H,8,FALSE))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input_572103!A$2</f>
        <v>572103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IFERROR(VLOOKUP(B88,input_572103!L:R,7,FALSE),VLOOKUP(tables_572103!C88,input_572103!A:H,8,FALSE))</f>
        <v>4078.08</v>
      </c>
      <c r="P88" s="40">
        <f t="shared" ca="1" si="4"/>
        <v>4.7200000001092661E-3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input_572103!A$2</f>
        <v>572103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IFERROR(VLOOKUP(B89,input_572103!L:R,7,FALSE),VLOOKUP(tables_572103!C89,input_572103!A:H,8,FALSE))</f>
        <v>453.12</v>
      </c>
      <c r="P89" s="40">
        <f t="shared" ca="1" si="4"/>
        <v>5.2444444445658514E-4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input_572103!A$2</f>
        <v>572103</v>
      </c>
      <c r="B90" s="5">
        <v>214</v>
      </c>
      <c r="C90" s="7" t="str">
        <f t="shared" si="3"/>
        <v>Premium3color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">
        <v>35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IFERROR(VLOOKUP(B90,input_572103!L:R,7,FALSE),VLOOKUP(tables_572103!C90,input_572103!A:H,8,FALSE))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input_572103!A$2</f>
        <v>572103</v>
      </c>
      <c r="B91" s="5">
        <v>215</v>
      </c>
      <c r="C91" s="7" t="str">
        <f t="shared" si="3"/>
        <v>Premium4color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">
        <v>35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IFERROR(VLOOKUP(B91,input_572103!L:R,7,FALSE),VLOOKUP(tables_572103!C91,input_572103!A:H,8,FALSE))</f>
        <v>18351.36</v>
      </c>
      <c r="P91" s="40">
        <f t="shared" ca="1" si="4"/>
        <v>2.1240000000491699E-2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input_572103!A$2</f>
        <v>572103</v>
      </c>
      <c r="B92" s="5">
        <v>216</v>
      </c>
      <c r="C92" s="7" t="str">
        <f t="shared" si="3"/>
        <v>Premium5color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">
        <v>35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IFERROR(VLOOKUP(B92,input_572103!L:R,7,FALSE),VLOOKUP(tables_572103!C92,input_572103!A:H,8,FALSE))</f>
        <v>1448.64</v>
      </c>
      <c r="P92" s="40">
        <f t="shared" ca="1" si="4"/>
        <v>1.676666666705481E-3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input_572103!A$2</f>
        <v>572103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IFERROR(VLOOKUP(B93,input_572103!L:R,7,FALSE),VLOOKUP(tables_572103!C93,input_572103!A:H,8,FALSE))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input_572103!A$2</f>
        <v>572103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IFERROR(VLOOKUP(B94,input_572103!L:R,7,FALSE),VLOOKUP(tables_572103!C94,input_572103!A:H,8,FALSE))</f>
        <v>4078.08</v>
      </c>
      <c r="P94" s="40">
        <f t="shared" ca="1" si="4"/>
        <v>4.7200000001092661E-3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input_572103!A$2</f>
        <v>572103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IFERROR(VLOOKUP(B95,input_572103!L:R,7,FALSE),VLOOKUP(tables_572103!C95,input_572103!A:H,8,FALSE))</f>
        <v>453.12</v>
      </c>
      <c r="P95" s="40">
        <f t="shared" ca="1" si="4"/>
        <v>5.2444444445658514E-4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input_572103!A$2</f>
        <v>572103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IFERROR(VLOOKUP(B96,input_572103!L:R,7,FALSE),VLOOKUP(tables_572103!C96,input_572103!A:H,8,FALSE))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input_572103!A$2</f>
        <v>572103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IFERROR(VLOOKUP(B97,input_572103!L:R,7,FALSE),VLOOKUP(tables_572103!C97,input_572103!A:H,8,FALSE))</f>
        <v>4078.08</v>
      </c>
      <c r="P97" s="40">
        <f t="shared" ca="1" si="4"/>
        <v>4.7200000001092661E-3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input_572103!A$2</f>
        <v>572103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IFERROR(VLOOKUP(B98,input_572103!L:R,7,FALSE),VLOOKUP(tables_572103!C98,input_572103!A:H,8,FALSE))</f>
        <v>453.12</v>
      </c>
      <c r="P98" s="40">
        <f t="shared" ca="1" si="4"/>
        <v>5.2444444445658514E-4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input_572103!A$2</f>
        <v>572103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IFERROR(VLOOKUP(B99,input_572103!L:R,7,FALSE),VLOOKUP(tables_572103!C99,input_572103!A:H,8,FALSE))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input_572103!A$2</f>
        <v>572103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IFERROR(VLOOKUP(B100,input_572103!L:R,7,FALSE),VLOOKUP(tables_572103!C100,input_572103!A:H,8,FALSE))</f>
        <v>4078.08</v>
      </c>
      <c r="P100" s="40">
        <f t="shared" ca="1" si="4"/>
        <v>4.7200000001092661E-3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input_572103!A$2</f>
        <v>572103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IFERROR(VLOOKUP(B101,input_572103!L:R,7,FALSE),VLOOKUP(tables_572103!C101,input_572103!A:H,8,FALSE))</f>
        <v>453.12</v>
      </c>
      <c r="P101" s="40">
        <f t="shared" ca="1" si="4"/>
        <v>5.2444444445658514E-4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input_572103!A$2</f>
        <v>572103</v>
      </c>
      <c r="B102" s="5">
        <v>226</v>
      </c>
      <c r="C102" s="7" t="str">
        <f t="shared" si="3"/>
        <v>Premium3color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">
        <v>35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IFERROR(VLOOKUP(B102,input_572103!L:R,7,FALSE),VLOOKUP(tables_572103!C102,input_572103!A:H,8,FALSE))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input_572103!A$2</f>
        <v>572103</v>
      </c>
      <c r="B103" s="5">
        <v>227</v>
      </c>
      <c r="C103" s="7" t="str">
        <f t="shared" si="3"/>
        <v>Premium4color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">
        <v>35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IFERROR(VLOOKUP(B103,input_572103!L:R,7,FALSE),VLOOKUP(tables_572103!C103,input_572103!A:H,8,FALSE))</f>
        <v>18351.36</v>
      </c>
      <c r="P103" s="40">
        <f t="shared" ca="1" si="4"/>
        <v>2.1240000000491699E-2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input_572103!A$2</f>
        <v>572103</v>
      </c>
      <c r="B104" s="5">
        <v>228</v>
      </c>
      <c r="C104" s="7" t="str">
        <f t="shared" si="3"/>
        <v>Premium5color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">
        <v>35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IFERROR(VLOOKUP(B104,input_572103!L:R,7,FALSE),VLOOKUP(tables_572103!C104,input_572103!A:H,8,FALSE))</f>
        <v>1448.64</v>
      </c>
      <c r="P104" s="40">
        <f t="shared" ca="1" si="4"/>
        <v>1.676666666705481E-3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input_572103!A$2</f>
        <v>572103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IFERROR(VLOOKUP(B105,input_572103!L:R,7,FALSE),VLOOKUP(tables_572103!C105,input_572103!A:H,8,FALSE))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input_572103!A$2</f>
        <v>572103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IFERROR(VLOOKUP(B106,input_572103!L:R,7,FALSE),VLOOKUP(tables_572103!C106,input_572103!A:H,8,FALSE))</f>
        <v>4078.08</v>
      </c>
      <c r="P106" s="40">
        <f t="shared" ca="1" si="4"/>
        <v>4.7200000001092661E-3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input_572103!A$2</f>
        <v>572103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IFERROR(VLOOKUP(B107,input_572103!L:R,7,FALSE),VLOOKUP(tables_572103!C107,input_572103!A:H,8,FALSE))</f>
        <v>453.12</v>
      </c>
      <c r="P107" s="40">
        <f t="shared" ca="1" si="4"/>
        <v>5.2444444445658514E-4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input_572103!A$2</f>
        <v>572103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IFERROR(VLOOKUP(B108,input_572103!L:R,7,FALSE),VLOOKUP(tables_572103!C108,input_572103!A:H,8,FALSE))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input_572103!A$2</f>
        <v>572103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IFERROR(VLOOKUP(B109,input_572103!L:R,7,FALSE),VLOOKUP(tables_572103!C109,input_572103!A:H,8,FALSE))</f>
        <v>4078.08</v>
      </c>
      <c r="P109" s="40">
        <f t="shared" ca="1" si="4"/>
        <v>4.7200000001092661E-3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input_572103!A$2</f>
        <v>572103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IFERROR(VLOOKUP(B110,input_572103!L:R,7,FALSE),VLOOKUP(tables_572103!C110,input_572103!A:H,8,FALSE))</f>
        <v>453.12</v>
      </c>
      <c r="P110" s="40">
        <f t="shared" ca="1" si="4"/>
        <v>5.2444444445658514E-4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input_572103!A$2</f>
        <v>572103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IFERROR(VLOOKUP(B111,input_572103!L:R,7,FALSE),VLOOKUP(tables_572103!C111,input_572103!A:H,8,FALSE))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input_572103!A$2</f>
        <v>572103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IFERROR(VLOOKUP(B112,input_572103!L:R,7,FALSE),VLOOKUP(tables_572103!C112,input_572103!A:H,8,FALSE))</f>
        <v>4078.08</v>
      </c>
      <c r="P112" s="40">
        <f t="shared" ca="1" si="4"/>
        <v>4.7200000001092661E-3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input_572103!A$2</f>
        <v>572103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IFERROR(VLOOKUP(B113,input_572103!L:R,7,FALSE),VLOOKUP(tables_572103!C113,input_572103!A:H,8,FALSE))</f>
        <v>453.12</v>
      </c>
      <c r="P113" s="40">
        <f t="shared" ca="1" si="4"/>
        <v>5.2444444445658514E-4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input_572103!A$2</f>
        <v>572103</v>
      </c>
      <c r="B114" s="5">
        <v>238</v>
      </c>
      <c r="C114" s="7" t="str">
        <f t="shared" si="3"/>
        <v>Premium3color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">
        <v>35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IFERROR(VLOOKUP(B114,input_572103!L:R,7,FALSE),VLOOKUP(tables_572103!C114,input_572103!A:H,8,FALSE))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input_572103!A$2</f>
        <v>572103</v>
      </c>
      <c r="B115" s="5">
        <v>239</v>
      </c>
      <c r="C115" s="7" t="str">
        <f t="shared" si="3"/>
        <v>Premium4color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">
        <v>35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IFERROR(VLOOKUP(B115,input_572103!L:R,7,FALSE),VLOOKUP(tables_572103!C115,input_572103!A:H,8,FALSE))</f>
        <v>18351.36</v>
      </c>
      <c r="P115" s="40">
        <f t="shared" ca="1" si="4"/>
        <v>2.1240000000491699E-2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input_572103!A$2</f>
        <v>572103</v>
      </c>
      <c r="B116" s="5">
        <v>240</v>
      </c>
      <c r="C116" s="7" t="str">
        <f t="shared" si="3"/>
        <v>Premium5color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">
        <v>35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IFERROR(VLOOKUP(B116,input_572103!L:R,7,FALSE),VLOOKUP(tables_572103!C116,input_572103!A:H,8,FALSE))</f>
        <v>1448.64</v>
      </c>
      <c r="P116" s="40">
        <f t="shared" ca="1" si="4"/>
        <v>1.676666666705481E-3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input_572103!A$2</f>
        <v>572103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IFERROR(VLOOKUP(B117,input_572103!L:R,7,FALSE),VLOOKUP(tables_572103!C117,input_572103!A:H,8,FALSE))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input_572103!A$2</f>
        <v>572103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IFERROR(VLOOKUP(B118,input_572103!L:R,7,FALSE),VLOOKUP(tables_572103!C118,input_572103!A:H,8,FALSE))</f>
        <v>4078.08</v>
      </c>
      <c r="P118" s="40">
        <f t="shared" ca="1" si="4"/>
        <v>4.7200000001092661E-3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input_572103!A$2</f>
        <v>572103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IFERROR(VLOOKUP(B119,input_572103!L:R,7,FALSE),VLOOKUP(tables_572103!C119,input_572103!A:H,8,FALSE))</f>
        <v>453.12</v>
      </c>
      <c r="P119" s="40">
        <f t="shared" ca="1" si="4"/>
        <v>5.2444444445658514E-4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input_572103!A$2</f>
        <v>572103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IFERROR(VLOOKUP(B120,input_572103!L:R,7,FALSE),VLOOKUP(tables_572103!C120,input_572103!A:H,8,FALSE))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input_572103!A$2</f>
        <v>572103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IFERROR(VLOOKUP(B121,input_572103!L:R,7,FALSE),VLOOKUP(tables_572103!C121,input_572103!A:H,8,FALSE))</f>
        <v>4078.08</v>
      </c>
      <c r="P121" s="40">
        <f t="shared" ca="1" si="4"/>
        <v>4.7200000001092661E-3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input_572103!A$2</f>
        <v>572103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IFERROR(VLOOKUP(B122,input_572103!L:R,7,FALSE),VLOOKUP(tables_572103!C122,input_572103!A:H,8,FALSE))</f>
        <v>453.12</v>
      </c>
      <c r="P122" s="40">
        <f t="shared" ca="1" si="4"/>
        <v>5.2444444445658514E-4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input_572103!A$2</f>
        <v>572103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IFERROR(VLOOKUP(B123,input_572103!L:R,7,FALSE),VLOOKUP(tables_572103!C123,input_572103!A:H,8,FALSE))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input_572103!A$2</f>
        <v>572103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IFERROR(VLOOKUP(B124,input_572103!L:R,7,FALSE),VLOOKUP(tables_572103!C124,input_572103!A:H,8,FALSE))</f>
        <v>4078.08</v>
      </c>
      <c r="P124" s="40">
        <f t="shared" ca="1" si="4"/>
        <v>4.7200000001092661E-3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input_572103!A$2</f>
        <v>572103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IFERROR(VLOOKUP(B125,input_572103!L:R,7,FALSE),VLOOKUP(tables_572103!C125,input_572103!A:H,8,FALSE))</f>
        <v>453.12</v>
      </c>
      <c r="P125" s="40">
        <f t="shared" ca="1" si="4"/>
        <v>5.2444444445658514E-4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input_572103!A$2</f>
        <v>572103</v>
      </c>
      <c r="B126" s="6">
        <v>250</v>
      </c>
      <c r="C126" s="7" t="str">
        <f t="shared" si="3"/>
        <v>Premium3color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">
        <v>35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IFERROR(VLOOKUP(B126,input_572103!L:R,7,FALSE),VLOOKUP(tables_572103!C126,input_572103!A:H,8,FALSE))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input_572103!A$2</f>
        <v>572103</v>
      </c>
      <c r="B127" s="6">
        <v>251</v>
      </c>
      <c r="C127" s="7" t="str">
        <f t="shared" si="3"/>
        <v>Premium4color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">
        <v>35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IFERROR(VLOOKUP(B127,input_572103!L:R,7,FALSE),VLOOKUP(tables_572103!C127,input_572103!A:H,8,FALSE))</f>
        <v>18351.36</v>
      </c>
      <c r="P127" s="40">
        <f t="shared" ca="1" si="4"/>
        <v>2.1240000000491699E-2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input_572103!A$2</f>
        <v>572103</v>
      </c>
      <c r="B128" s="6">
        <v>252</v>
      </c>
      <c r="C128" s="7" t="str">
        <f t="shared" si="3"/>
        <v>Premium5color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">
        <v>35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IFERROR(VLOOKUP(B128,input_572103!L:R,7,FALSE),VLOOKUP(tables_572103!C128,input_572103!A:H,8,FALSE))</f>
        <v>1448.64</v>
      </c>
      <c r="P128" s="40">
        <f t="shared" ca="1" si="4"/>
        <v>1.676666666705481E-3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input_572103!A$2</f>
        <v>572103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IFERROR(VLOOKUP(B129,input_572103!L:R,7,FALSE),VLOOKUP(tables_572103!C129,input_572103!A:H,8,FALSE))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input_572103!A$2</f>
        <v>572103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IFERROR(VLOOKUP(B130,input_572103!L:R,7,FALSE),VLOOKUP(tables_572103!C130,input_572103!A:H,8,FALSE))</f>
        <v>4078.08</v>
      </c>
      <c r="P130" s="40">
        <f t="shared" ref="P130:P193" ca="1" si="7">O130/SUM(O:O)</f>
        <v>4.7200000001092661E-3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input_572103!A$2</f>
        <v>572103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IFERROR(VLOOKUP(B131,input_572103!L:R,7,FALSE),VLOOKUP(tables_572103!C131,input_572103!A:H,8,FALSE))</f>
        <v>453.12</v>
      </c>
      <c r="P131" s="40">
        <f t="shared" ca="1" si="7"/>
        <v>5.2444444445658514E-4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input_572103!A$2</f>
        <v>572103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IFERROR(VLOOKUP(B132,input_572103!L:R,7,FALSE),VLOOKUP(tables_572103!C132,input_572103!A:H,8,FALSE))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input_572103!A$2</f>
        <v>572103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IFERROR(VLOOKUP(B133,input_572103!L:R,7,FALSE),VLOOKUP(tables_572103!C133,input_572103!A:H,8,FALSE))</f>
        <v>4078.08</v>
      </c>
      <c r="P133" s="40">
        <f t="shared" ca="1" si="7"/>
        <v>4.7200000001092661E-3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input_572103!A$2</f>
        <v>572103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IFERROR(VLOOKUP(B134,input_572103!L:R,7,FALSE),VLOOKUP(tables_572103!C134,input_572103!A:H,8,FALSE))</f>
        <v>453.12</v>
      </c>
      <c r="P134" s="40">
        <f t="shared" ca="1" si="7"/>
        <v>5.2444444445658514E-4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input_572103!A$2</f>
        <v>572103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IFERROR(VLOOKUP(B135,input_572103!L:R,7,FALSE),VLOOKUP(tables_572103!C135,input_572103!A:H,8,FALSE))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input_572103!A$2</f>
        <v>572103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IFERROR(VLOOKUP(B136,input_572103!L:R,7,FALSE),VLOOKUP(tables_572103!C136,input_572103!A:H,8,FALSE))</f>
        <v>4078.08</v>
      </c>
      <c r="P136" s="40">
        <f t="shared" ca="1" si="7"/>
        <v>4.7200000001092661E-3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input_572103!A$2</f>
        <v>572103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IFERROR(VLOOKUP(B137,input_572103!L:R,7,FALSE),VLOOKUP(tables_572103!C137,input_572103!A:H,8,FALSE))</f>
        <v>453.12</v>
      </c>
      <c r="P137" s="40">
        <f t="shared" ca="1" si="7"/>
        <v>5.2444444445658514E-4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input_572103!A$2</f>
        <v>572103</v>
      </c>
      <c r="B138" s="6">
        <v>320</v>
      </c>
      <c r="C138" s="7" t="str">
        <f t="shared" si="6"/>
        <v>PremiumSS4color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">
        <v>35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IFERROR(VLOOKUP(B138,input_572103!L:R,7,FALSE),VLOOKUP(tables_572103!C138,input_572103!A:H,8,FALSE))</f>
        <v>1296</v>
      </c>
      <c r="P138" s="40">
        <f t="shared" ca="1" si="7"/>
        <v>1.5000000000347244E-3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input_572103!A$2</f>
        <v>572103</v>
      </c>
      <c r="B139" s="6">
        <v>321</v>
      </c>
      <c r="C139" s="7" t="str">
        <f t="shared" si="6"/>
        <v>PremiumSS5color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">
        <v>35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IFERROR(VLOOKUP(B139,input_572103!L:R,7,FALSE),VLOOKUP(tables_572103!C139,input_572103!A:H,8,FALSE))</f>
        <v>144</v>
      </c>
      <c r="P139" s="40">
        <f t="shared" ca="1" si="7"/>
        <v>1.6666666667052496E-4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input_572103!A$2</f>
        <v>572103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IFERROR(VLOOKUP(B140,input_572103!L:R,7,FALSE),VLOOKUP(tables_572103!C140,input_572103!A:H,8,FALSE))</f>
        <v>288</v>
      </c>
      <c r="P140" s="40">
        <f t="shared" ca="1" si="7"/>
        <v>3.3333333334104991E-4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input_572103!A$2</f>
        <v>572103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IFERROR(VLOOKUP(B141,input_572103!L:R,7,FALSE),VLOOKUP(tables_572103!C141,input_572103!A:H,8,FALSE))</f>
        <v>32</v>
      </c>
      <c r="P141" s="40">
        <f t="shared" ca="1" si="7"/>
        <v>3.703703703789443E-5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input_572103!A$2</f>
        <v>572103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IFERROR(VLOOKUP(B142,input_572103!L:R,7,FALSE),VLOOKUP(tables_572103!C142,input_572103!A:H,8,FALSE))</f>
        <v>288</v>
      </c>
      <c r="P142" s="40">
        <f t="shared" ca="1" si="7"/>
        <v>3.3333333334104991E-4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input_572103!A$2</f>
        <v>572103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IFERROR(VLOOKUP(B143,input_572103!L:R,7,FALSE),VLOOKUP(tables_572103!C143,input_572103!A:H,8,FALSE))</f>
        <v>32</v>
      </c>
      <c r="P143" s="40">
        <f t="shared" ca="1" si="7"/>
        <v>3.703703703789443E-5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input_572103!A$2</f>
        <v>572103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IFERROR(VLOOKUP(B144,input_572103!L:R,7,FALSE),VLOOKUP(tables_572103!C144,input_572103!A:H,8,FALSE))</f>
        <v>288</v>
      </c>
      <c r="P144" s="40">
        <f t="shared" ca="1" si="7"/>
        <v>3.3333333334104991E-4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input_572103!A$2</f>
        <v>572103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IFERROR(VLOOKUP(B145,input_572103!L:R,7,FALSE),VLOOKUP(tables_572103!C145,input_572103!A:H,8,FALSE))</f>
        <v>32</v>
      </c>
      <c r="P145" s="40">
        <f t="shared" ca="1" si="7"/>
        <v>3.703703703789443E-5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input_572103!A$2</f>
        <v>572103</v>
      </c>
      <c r="B146" s="6">
        <v>380</v>
      </c>
      <c r="C146" s="7" t="str">
        <f t="shared" si="6"/>
        <v>Premium3color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">
        <v>35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IFERROR(VLOOKUP(B146,input_572103!L:R,7,FALSE),VLOOKUP(tables_572103!C146,input_572103!A:H,8,FALSE))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input_572103!A$2</f>
        <v>572103</v>
      </c>
      <c r="B147" s="6">
        <v>381</v>
      </c>
      <c r="C147" s="7" t="str">
        <f t="shared" si="6"/>
        <v>Premium4color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">
        <v>35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IFERROR(VLOOKUP(B147,input_572103!L:R,7,FALSE),VLOOKUP(tables_572103!C147,input_572103!A:H,8,FALSE))</f>
        <v>18351.36</v>
      </c>
      <c r="P147" s="40">
        <f t="shared" ca="1" si="7"/>
        <v>2.1240000000491699E-2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input_572103!A$2</f>
        <v>572103</v>
      </c>
      <c r="B148" s="6">
        <v>382</v>
      </c>
      <c r="C148" s="7" t="str">
        <f t="shared" si="6"/>
        <v>Premium5color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">
        <v>35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IFERROR(VLOOKUP(B148,input_572103!L:R,7,FALSE),VLOOKUP(tables_572103!C148,input_572103!A:H,8,FALSE))</f>
        <v>1448.64</v>
      </c>
      <c r="P148" s="40">
        <f t="shared" ca="1" si="7"/>
        <v>1.676666666705481E-3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input_572103!A$2</f>
        <v>572103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IFERROR(VLOOKUP(B149,input_572103!L:R,7,FALSE),VLOOKUP(tables_572103!C149,input_572103!A:H,8,FALSE))</f>
        <v>288</v>
      </c>
      <c r="P149" s="40">
        <f t="shared" ca="1" si="7"/>
        <v>3.3333333334104991E-4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input_572103!A$2</f>
        <v>572103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IFERROR(VLOOKUP(B150,input_572103!L:R,7,FALSE),VLOOKUP(tables_572103!C150,input_572103!A:H,8,FALSE))</f>
        <v>32</v>
      </c>
      <c r="P150" s="40">
        <f t="shared" ca="1" si="7"/>
        <v>3.703703703789443E-5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input_572103!A$2</f>
        <v>572103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IFERROR(VLOOKUP(B151,input_572103!L:R,7,FALSE),VLOOKUP(tables_572103!C151,input_572103!A:H,8,FALSE))</f>
        <v>288</v>
      </c>
      <c r="P151" s="40">
        <f t="shared" ca="1" si="7"/>
        <v>3.3333333334104991E-4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input_572103!A$2</f>
        <v>572103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IFERROR(VLOOKUP(B152,input_572103!L:R,7,FALSE),VLOOKUP(tables_572103!C152,input_572103!A:H,8,FALSE))</f>
        <v>32</v>
      </c>
      <c r="P152" s="40">
        <f t="shared" ca="1" si="7"/>
        <v>3.703703703789443E-5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input_572103!A$2</f>
        <v>572103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IFERROR(VLOOKUP(B153,input_572103!L:R,7,FALSE),VLOOKUP(tables_572103!C153,input_572103!A:H,8,FALSE))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input_572103!A$2</f>
        <v>572103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IFERROR(VLOOKUP(B154,input_572103!L:R,7,FALSE),VLOOKUP(tables_572103!C154,input_572103!A:H,8,FALSE))</f>
        <v>4078.08</v>
      </c>
      <c r="P154" s="40">
        <f t="shared" ca="1" si="7"/>
        <v>4.7200000001092661E-3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input_572103!A$2</f>
        <v>572103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IFERROR(VLOOKUP(B155,input_572103!L:R,7,FALSE),VLOOKUP(tables_572103!C155,input_572103!A:H,8,FALSE))</f>
        <v>453.12</v>
      </c>
      <c r="P155" s="40">
        <f t="shared" ca="1" si="7"/>
        <v>5.2444444445658514E-4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input_572103!A$2</f>
        <v>572103</v>
      </c>
      <c r="B156" s="6">
        <v>390</v>
      </c>
      <c r="C156" s="7" t="str">
        <f t="shared" si="6"/>
        <v>PremiumSS4color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">
        <v>35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IFERROR(VLOOKUP(B156,input_572103!L:R,7,FALSE),VLOOKUP(tables_572103!C156,input_572103!A:H,8,FALSE))</f>
        <v>1296</v>
      </c>
      <c r="P156" s="40">
        <f t="shared" ca="1" si="7"/>
        <v>1.5000000000347244E-3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input_572103!A$2</f>
        <v>572103</v>
      </c>
      <c r="B157" s="6">
        <v>391</v>
      </c>
      <c r="C157" s="7" t="str">
        <f t="shared" si="6"/>
        <v>PremiumSS5color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">
        <v>35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IFERROR(VLOOKUP(B157,input_572103!L:R,7,FALSE),VLOOKUP(tables_572103!C157,input_572103!A:H,8,FALSE))</f>
        <v>144</v>
      </c>
      <c r="P157" s="40">
        <f t="shared" ca="1" si="7"/>
        <v>1.6666666667052496E-4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input_572103!A$2</f>
        <v>572103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IFERROR(VLOOKUP(B158,input_572103!L:R,7,FALSE),VLOOKUP(tables_572103!C158,input_572103!A:H,8,FALSE))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input_572103!A$2</f>
        <v>572103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IFERROR(VLOOKUP(B159,input_572103!L:R,7,FALSE),VLOOKUP(tables_572103!C159,input_572103!A:H,8,FALSE))</f>
        <v>4078.08</v>
      </c>
      <c r="P159" s="40">
        <f t="shared" ca="1" si="7"/>
        <v>4.7200000001092661E-3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input_572103!A$2</f>
        <v>572103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IFERROR(VLOOKUP(B160,input_572103!L:R,7,FALSE),VLOOKUP(tables_572103!C160,input_572103!A:H,8,FALSE))</f>
        <v>453.12</v>
      </c>
      <c r="P160" s="40">
        <f t="shared" ca="1" si="7"/>
        <v>5.2444444445658514E-4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input_572103!A$2</f>
        <v>572103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IFERROR(VLOOKUP(B161,input_572103!L:R,7,FALSE),VLOOKUP(tables_572103!C161,input_572103!A:H,8,FALSE))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input_572103!A$2</f>
        <v>572103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IFERROR(VLOOKUP(B162,input_572103!L:R,7,FALSE),VLOOKUP(tables_572103!C162,input_572103!A:H,8,FALSE))</f>
        <v>4078.08</v>
      </c>
      <c r="P162" s="40">
        <f t="shared" ca="1" si="7"/>
        <v>4.7200000001092661E-3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input_572103!A$2</f>
        <v>572103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IFERROR(VLOOKUP(B163,input_572103!L:R,7,FALSE),VLOOKUP(tables_572103!C163,input_572103!A:H,8,FALSE))</f>
        <v>453.12</v>
      </c>
      <c r="P163" s="40">
        <f t="shared" ca="1" si="7"/>
        <v>5.2444444445658514E-4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input_572103!A$2</f>
        <v>572103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IFERROR(VLOOKUP(B164,input_572103!L:R,7,FALSE),VLOOKUP(tables_572103!C164,input_572103!A:H,8,FALSE))</f>
        <v>288</v>
      </c>
      <c r="P164" s="40">
        <f t="shared" ca="1" si="7"/>
        <v>3.3333333334104991E-4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input_572103!A$2</f>
        <v>572103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IFERROR(VLOOKUP(B165,input_572103!L:R,7,FALSE),VLOOKUP(tables_572103!C165,input_572103!A:H,8,FALSE))</f>
        <v>32</v>
      </c>
      <c r="P165" s="40">
        <f t="shared" ca="1" si="7"/>
        <v>3.703703703789443E-5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input_572103!A$2</f>
        <v>572103</v>
      </c>
      <c r="B166" s="6">
        <v>400</v>
      </c>
      <c r="C166" s="7" t="str">
        <f t="shared" si="6"/>
        <v>Premium3color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">
        <v>35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IFERROR(VLOOKUP(B166,input_572103!L:R,7,FALSE),VLOOKUP(tables_572103!C166,input_572103!A:H,8,FALSE))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input_572103!A$2</f>
        <v>572103</v>
      </c>
      <c r="B167" s="6">
        <v>401</v>
      </c>
      <c r="C167" s="7" t="str">
        <f t="shared" si="6"/>
        <v>Premium4color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">
        <v>35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IFERROR(VLOOKUP(B167,input_572103!L:R,7,FALSE),VLOOKUP(tables_572103!C167,input_572103!A:H,8,FALSE))</f>
        <v>18351.36</v>
      </c>
      <c r="P167" s="40">
        <f t="shared" ca="1" si="7"/>
        <v>2.1240000000491699E-2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input_572103!A$2</f>
        <v>572103</v>
      </c>
      <c r="B168" s="6">
        <v>402</v>
      </c>
      <c r="C168" s="7" t="str">
        <f t="shared" si="6"/>
        <v>Premium5color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">
        <v>35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IFERROR(VLOOKUP(B168,input_572103!L:R,7,FALSE),VLOOKUP(tables_572103!C168,input_572103!A:H,8,FALSE))</f>
        <v>1448.64</v>
      </c>
      <c r="P168" s="40">
        <f t="shared" ca="1" si="7"/>
        <v>1.676666666705481E-3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input_572103!A$2</f>
        <v>572103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IFERROR(VLOOKUP(B169,input_572103!L:R,7,FALSE),VLOOKUP(tables_572103!C169,input_572103!A:H,8,FALSE))</f>
        <v>288</v>
      </c>
      <c r="P169" s="40">
        <f t="shared" ca="1" si="7"/>
        <v>3.3333333334104991E-4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input_572103!A$2</f>
        <v>572103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IFERROR(VLOOKUP(B170,input_572103!L:R,7,FALSE),VLOOKUP(tables_572103!C170,input_572103!A:H,8,FALSE))</f>
        <v>32</v>
      </c>
      <c r="P170" s="40">
        <f t="shared" ca="1" si="7"/>
        <v>3.703703703789443E-5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input_572103!A$2</f>
        <v>572103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IFERROR(VLOOKUP(B171,input_572103!L:R,7,FALSE),VLOOKUP(tables_572103!C171,input_572103!A:H,8,FALSE))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input_572103!A$2</f>
        <v>572103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IFERROR(VLOOKUP(B172,input_572103!L:R,7,FALSE),VLOOKUP(tables_572103!C172,input_572103!A:H,8,FALSE))</f>
        <v>4078.08</v>
      </c>
      <c r="P172" s="40">
        <f t="shared" ca="1" si="7"/>
        <v>4.7200000001092661E-3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input_572103!A$2</f>
        <v>572103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IFERROR(VLOOKUP(B173,input_572103!L:R,7,FALSE),VLOOKUP(tables_572103!C173,input_572103!A:H,8,FALSE))</f>
        <v>453.12</v>
      </c>
      <c r="P173" s="40">
        <f t="shared" ca="1" si="7"/>
        <v>5.2444444445658514E-4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input_572103!A$2</f>
        <v>572103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IFERROR(VLOOKUP(B174,input_572103!L:R,7,FALSE),VLOOKUP(tables_572103!C174,input_572103!A:H,8,FALSE))</f>
        <v>288</v>
      </c>
      <c r="P174" s="40">
        <f t="shared" ca="1" si="7"/>
        <v>3.3333333334104991E-4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input_572103!A$2</f>
        <v>572103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IFERROR(VLOOKUP(B175,input_572103!L:R,7,FALSE),VLOOKUP(tables_572103!C175,input_572103!A:H,8,FALSE))</f>
        <v>32</v>
      </c>
      <c r="P175" s="40">
        <f t="shared" ca="1" si="7"/>
        <v>3.703703703789443E-5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input_572103!A$2</f>
        <v>572103</v>
      </c>
      <c r="B176" s="6">
        <v>434</v>
      </c>
      <c r="C176" s="7" t="str">
        <f t="shared" si="6"/>
        <v>PremiumSS4color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">
        <v>35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IFERROR(VLOOKUP(B176,input_572103!L:R,7,FALSE),VLOOKUP(tables_572103!C176,input_572103!A:H,8,FALSE))</f>
        <v>1296</v>
      </c>
      <c r="P176" s="40">
        <f t="shared" ca="1" si="7"/>
        <v>1.5000000000347244E-3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input_572103!A$2</f>
        <v>572103</v>
      </c>
      <c r="B177" s="6">
        <v>435</v>
      </c>
      <c r="C177" s="7" t="str">
        <f t="shared" si="6"/>
        <v>PremiumSS5color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">
        <v>35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IFERROR(VLOOKUP(B177,input_572103!L:R,7,FALSE),VLOOKUP(tables_572103!C177,input_572103!A:H,8,FALSE))</f>
        <v>144</v>
      </c>
      <c r="P177" s="40">
        <f t="shared" ca="1" si="7"/>
        <v>1.6666666667052496E-4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input_572103!A$2</f>
        <v>572103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IFERROR(VLOOKUP(B178,input_572103!L:R,7,FALSE),VLOOKUP(tables_572103!C178,input_572103!A:H,8,FALSE))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input_572103!A$2</f>
        <v>572103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IFERROR(VLOOKUP(B179,input_572103!L:R,7,FALSE),VLOOKUP(tables_572103!C179,input_572103!A:H,8,FALSE))</f>
        <v>4078.08</v>
      </c>
      <c r="P179" s="40">
        <f t="shared" ca="1" si="7"/>
        <v>4.7200000001092661E-3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input_572103!A$2</f>
        <v>572103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IFERROR(VLOOKUP(B180,input_572103!L:R,7,FALSE),VLOOKUP(tables_572103!C180,input_572103!A:H,8,FALSE))</f>
        <v>453.12</v>
      </c>
      <c r="P180" s="40">
        <f t="shared" ca="1" si="7"/>
        <v>5.2444444445658514E-4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input_572103!A$2</f>
        <v>572103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IFERROR(VLOOKUP(B181,input_572103!L:R,7,FALSE),VLOOKUP(tables_572103!C181,input_572103!A:H,8,FALSE))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input_572103!A$2</f>
        <v>572103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IFERROR(VLOOKUP(B182,input_572103!L:R,7,FALSE),VLOOKUP(tables_572103!C182,input_572103!A:H,8,FALSE))</f>
        <v>4078.08</v>
      </c>
      <c r="P182" s="40">
        <f t="shared" ca="1" si="7"/>
        <v>4.7200000001092661E-3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input_572103!A$2</f>
        <v>572103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IFERROR(VLOOKUP(B183,input_572103!L:R,7,FALSE),VLOOKUP(tables_572103!C183,input_572103!A:H,8,FALSE))</f>
        <v>453.12</v>
      </c>
      <c r="P183" s="40">
        <f t="shared" ca="1" si="7"/>
        <v>5.2444444445658514E-4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input_572103!A$2</f>
        <v>572103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IFERROR(VLOOKUP(B184,input_572103!L:R,7,FALSE),VLOOKUP(tables_572103!C184,input_572103!A:H,8,FALSE))</f>
        <v>288</v>
      </c>
      <c r="P184" s="40">
        <f t="shared" ca="1" si="7"/>
        <v>3.3333333334104991E-4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input_572103!A$2</f>
        <v>572103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IFERROR(VLOOKUP(B185,input_572103!L:R,7,FALSE),VLOOKUP(tables_572103!C185,input_572103!A:H,8,FALSE))</f>
        <v>32</v>
      </c>
      <c r="P185" s="40">
        <f t="shared" ca="1" si="7"/>
        <v>3.703703703789443E-5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input_572103!A$2</f>
        <v>572103</v>
      </c>
      <c r="B186" s="8">
        <v>462</v>
      </c>
      <c r="C186" s="7" t="str">
        <f t="shared" si="6"/>
        <v>Premium3color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">
        <v>35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IFERROR(VLOOKUP(B186,input_572103!L:R,7,FALSE),VLOOKUP(tables_572103!C186,input_572103!A:H,8,FALSE))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input_572103!A$2</f>
        <v>572103</v>
      </c>
      <c r="B187" s="8">
        <v>463</v>
      </c>
      <c r="C187" s="7" t="str">
        <f t="shared" si="6"/>
        <v>Premium4color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">
        <v>35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IFERROR(VLOOKUP(B187,input_572103!L:R,7,FALSE),VLOOKUP(tables_572103!C187,input_572103!A:H,8,FALSE))</f>
        <v>18351.36</v>
      </c>
      <c r="P187" s="40">
        <f t="shared" ca="1" si="7"/>
        <v>2.1240000000491699E-2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input_572103!A$2</f>
        <v>572103</v>
      </c>
      <c r="B188" s="8">
        <v>464</v>
      </c>
      <c r="C188" s="7" t="str">
        <f t="shared" si="6"/>
        <v>Premium5color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">
        <v>35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IFERROR(VLOOKUP(B188,input_572103!L:R,7,FALSE),VLOOKUP(tables_572103!C188,input_572103!A:H,8,FALSE))</f>
        <v>1448.64</v>
      </c>
      <c r="P188" s="40">
        <f t="shared" ca="1" si="7"/>
        <v>1.676666666705481E-3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input_572103!A$2</f>
        <v>572103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IFERROR(VLOOKUP(B189,input_572103!L:R,7,FALSE),VLOOKUP(tables_572103!C189,input_572103!A:H,8,FALSE))</f>
        <v>288</v>
      </c>
      <c r="P189" s="40">
        <f t="shared" ca="1" si="7"/>
        <v>3.3333333334104991E-4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input_572103!A$2</f>
        <v>572103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IFERROR(VLOOKUP(B190,input_572103!L:R,7,FALSE),VLOOKUP(tables_572103!C190,input_572103!A:H,8,FALSE))</f>
        <v>32</v>
      </c>
      <c r="P190" s="40">
        <f t="shared" ca="1" si="7"/>
        <v>3.703703703789443E-5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input_572103!A$2</f>
        <v>572103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IFERROR(VLOOKUP(B191,input_572103!L:R,7,FALSE),VLOOKUP(tables_572103!C191,input_572103!A:H,8,FALSE))</f>
        <v>288</v>
      </c>
      <c r="P191" s="40">
        <f t="shared" ca="1" si="7"/>
        <v>3.3333333334104991E-4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input_572103!A$2</f>
        <v>572103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IFERROR(VLOOKUP(B192,input_572103!L:R,7,FALSE),VLOOKUP(tables_572103!C192,input_572103!A:H,8,FALSE))</f>
        <v>32</v>
      </c>
      <c r="P192" s="40">
        <f t="shared" ca="1" si="7"/>
        <v>3.703703703789443E-5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input_572103!A$2</f>
        <v>572103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IFERROR(VLOOKUP(B193,input_572103!L:R,7,FALSE),VLOOKUP(tables_572103!C193,input_572103!A:H,8,FALSE))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input_572103!A$2</f>
        <v>572103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IFERROR(VLOOKUP(B194,input_572103!L:R,7,FALSE),VLOOKUP(tables_572103!C194,input_572103!A:H,8,FALSE))</f>
        <v>4078.08</v>
      </c>
      <c r="P194" s="40">
        <f t="shared" ref="P194:P257" ca="1" si="10">O194/SUM(O:O)</f>
        <v>4.7200000001092661E-3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input_572103!A$2</f>
        <v>572103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IFERROR(VLOOKUP(B195,input_572103!L:R,7,FALSE),VLOOKUP(tables_572103!C195,input_572103!A:H,8,FALSE))</f>
        <v>453.12</v>
      </c>
      <c r="P195" s="40">
        <f t="shared" ca="1" si="10"/>
        <v>5.2444444445658514E-4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input_572103!A$2</f>
        <v>572103</v>
      </c>
      <c r="B196" s="6">
        <v>474</v>
      </c>
      <c r="C196" s="7" t="str">
        <f t="shared" si="9"/>
        <v>PremiumSS4color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">
        <v>35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IFERROR(VLOOKUP(B196,input_572103!L:R,7,FALSE),VLOOKUP(tables_572103!C196,input_572103!A:H,8,FALSE))</f>
        <v>1296</v>
      </c>
      <c r="P196" s="40">
        <f t="shared" ca="1" si="10"/>
        <v>1.5000000000347244E-3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input_572103!A$2</f>
        <v>572103</v>
      </c>
      <c r="B197" s="6">
        <v>475</v>
      </c>
      <c r="C197" s="7" t="str">
        <f t="shared" si="9"/>
        <v>PremiumSS5color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">
        <v>35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IFERROR(VLOOKUP(B197,input_572103!L:R,7,FALSE),VLOOKUP(tables_572103!C197,input_572103!A:H,8,FALSE))</f>
        <v>144</v>
      </c>
      <c r="P197" s="40">
        <f t="shared" ca="1" si="10"/>
        <v>1.6666666667052496E-4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input_572103!A$2</f>
        <v>572103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IFERROR(VLOOKUP(B198,input_572103!L:R,7,FALSE),VLOOKUP(tables_572103!C198,input_572103!A:H,8,FALSE))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input_572103!A$2</f>
        <v>572103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IFERROR(VLOOKUP(B199,input_572103!L:R,7,FALSE),VLOOKUP(tables_572103!C199,input_572103!A:H,8,FALSE))</f>
        <v>4078.08</v>
      </c>
      <c r="P199" s="40">
        <f t="shared" ca="1" si="10"/>
        <v>4.7200000001092661E-3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input_572103!A$2</f>
        <v>572103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IFERROR(VLOOKUP(B200,input_572103!L:R,7,FALSE),VLOOKUP(tables_572103!C200,input_572103!A:H,8,FALSE))</f>
        <v>453.12</v>
      </c>
      <c r="P200" s="40">
        <f t="shared" ca="1" si="10"/>
        <v>5.2444444445658514E-4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input_572103!A$2</f>
        <v>572103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IFERROR(VLOOKUP(B201,input_572103!L:R,7,FALSE),VLOOKUP(tables_572103!C201,input_572103!A:H,8,FALSE))</f>
        <v>288</v>
      </c>
      <c r="P201" s="40">
        <f t="shared" ca="1" si="10"/>
        <v>3.3333333334104991E-4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input_572103!A$2</f>
        <v>572103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IFERROR(VLOOKUP(B202,input_572103!L:R,7,FALSE),VLOOKUP(tables_572103!C202,input_572103!A:H,8,FALSE))</f>
        <v>32</v>
      </c>
      <c r="P202" s="40">
        <f t="shared" ca="1" si="10"/>
        <v>3.703703703789443E-5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input_572103!A$2</f>
        <v>572103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IFERROR(VLOOKUP(B203,input_572103!L:R,7,FALSE),VLOOKUP(tables_572103!C203,input_572103!A:H,8,FALSE))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input_572103!A$2</f>
        <v>572103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IFERROR(VLOOKUP(B204,input_572103!L:R,7,FALSE),VLOOKUP(tables_572103!C204,input_572103!A:H,8,FALSE))</f>
        <v>4078.08</v>
      </c>
      <c r="P204" s="40">
        <f t="shared" ca="1" si="10"/>
        <v>4.7200000001092661E-3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input_572103!A$2</f>
        <v>572103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IFERROR(VLOOKUP(B205,input_572103!L:R,7,FALSE),VLOOKUP(tables_572103!C205,input_572103!A:H,8,FALSE))</f>
        <v>453.12</v>
      </c>
      <c r="P205" s="40">
        <f t="shared" ca="1" si="10"/>
        <v>5.2444444445658514E-4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input_572103!A$2</f>
        <v>572103</v>
      </c>
      <c r="B206" s="6">
        <v>492</v>
      </c>
      <c r="C206" s="7" t="str">
        <f t="shared" si="9"/>
        <v>PremiumSS4color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">
        <v>35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IFERROR(VLOOKUP(B206,input_572103!L:R,7,FALSE),VLOOKUP(tables_572103!C206,input_572103!A:H,8,FALSE))</f>
        <v>1296</v>
      </c>
      <c r="P206" s="40">
        <f t="shared" ca="1" si="10"/>
        <v>1.5000000000347244E-3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input_572103!A$2</f>
        <v>572103</v>
      </c>
      <c r="B207" s="6">
        <v>493</v>
      </c>
      <c r="C207" s="7" t="str">
        <f t="shared" si="9"/>
        <v>PremiumSS5color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">
        <v>35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IFERROR(VLOOKUP(B207,input_572103!L:R,7,FALSE),VLOOKUP(tables_572103!C207,input_572103!A:H,8,FALSE))</f>
        <v>144</v>
      </c>
      <c r="P207" s="40">
        <f t="shared" ca="1" si="10"/>
        <v>1.6666666667052496E-4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input_572103!A$2</f>
        <v>572103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IFERROR(VLOOKUP(B208,input_572103!L:R,7,FALSE),VLOOKUP(tables_572103!C208,input_572103!A:H,8,FALSE))</f>
        <v>288</v>
      </c>
      <c r="P208" s="40">
        <f t="shared" ca="1" si="10"/>
        <v>3.3333333334104991E-4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input_572103!A$2</f>
        <v>572103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IFERROR(VLOOKUP(B209,input_572103!L:R,7,FALSE),VLOOKUP(tables_572103!C209,input_572103!A:H,8,FALSE))</f>
        <v>32</v>
      </c>
      <c r="P209" s="40">
        <f t="shared" ca="1" si="10"/>
        <v>3.703703703789443E-5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input_572103!A$2</f>
        <v>572103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IFERROR(VLOOKUP(B210,input_572103!L:R,7,FALSE),VLOOKUP(tables_572103!C210,input_572103!A:H,8,FALSE))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input_572103!A$2</f>
        <v>572103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IFERROR(VLOOKUP(B211,input_572103!L:R,7,FALSE),VLOOKUP(tables_572103!C211,input_572103!A:H,8,FALSE))</f>
        <v>4078.08</v>
      </c>
      <c r="P211" s="40">
        <f t="shared" ca="1" si="10"/>
        <v>4.7200000001092661E-3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input_572103!A$2</f>
        <v>572103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IFERROR(VLOOKUP(B212,input_572103!L:R,7,FALSE),VLOOKUP(tables_572103!C212,input_572103!A:H,8,FALSE))</f>
        <v>453.12</v>
      </c>
      <c r="P212" s="40">
        <f t="shared" ca="1" si="10"/>
        <v>5.2444444445658514E-4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input_572103!A$2</f>
        <v>572103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IFERROR(VLOOKUP(B213,input_572103!L:R,7,FALSE),VLOOKUP(tables_572103!C213,input_572103!A:H,8,FALSE))</f>
        <v>288</v>
      </c>
      <c r="P213" s="40">
        <f t="shared" ca="1" si="10"/>
        <v>3.3333333334104991E-4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input_572103!A$2</f>
        <v>572103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IFERROR(VLOOKUP(B214,input_572103!L:R,7,FALSE),VLOOKUP(tables_572103!C214,input_572103!A:H,8,FALSE))</f>
        <v>32</v>
      </c>
      <c r="P214" s="40">
        <f t="shared" ca="1" si="10"/>
        <v>3.703703703789443E-5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input_572103!A$2</f>
        <v>572103</v>
      </c>
      <c r="B215" s="6">
        <v>560</v>
      </c>
      <c r="C215" s="7" t="str">
        <f t="shared" si="9"/>
        <v>premium5R3lesscolor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">
        <v>35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IFERROR(VLOOKUP(B215,input_572103!L:R,7,FALSE),VLOOKUP(tables_572103!C215,input_572103!A:H,8,FALSE))</f>
        <v>1668.7542900000001</v>
      </c>
      <c r="P215" s="40">
        <f t="shared" ca="1" si="10"/>
        <v>1.9314285764336009E-3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input_572103!A$2</f>
        <v>572103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IFERROR(VLOOKUP(B216,input_572103!L:R,7,FALSE),VLOOKUP(tables_572103!C216,input_572103!A:H,8,FALSE))</f>
        <v>187.14947000000001</v>
      </c>
      <c r="P216" s="40">
        <f t="shared" ca="1" si="10"/>
        <v>2.1660818287538478E-4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input_572103!A$2</f>
        <v>572103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IFERROR(VLOOKUP(B217,input_572103!L:R,7,FALSE),VLOOKUP(tables_572103!C217,input_572103!A:H,8,FALSE))</f>
        <v>187.14947000000001</v>
      </c>
      <c r="P217" s="40">
        <f t="shared" ca="1" si="10"/>
        <v>2.1660818287538478E-4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input_572103!A$2</f>
        <v>572103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IFERROR(VLOOKUP(B218,input_572103!L:R,7,FALSE),VLOOKUP(tables_572103!C218,input_572103!A:H,8,FALSE))</f>
        <v>187.14947000000001</v>
      </c>
      <c r="P218" s="40">
        <f t="shared" ca="1" si="10"/>
        <v>2.1660818287538478E-4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input_572103!A$2</f>
        <v>572103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IFERROR(VLOOKUP(B219,input_572103!L:R,7,FALSE),VLOOKUP(tables_572103!C219,input_572103!A:H,8,FALSE))</f>
        <v>187.14947000000001</v>
      </c>
      <c r="P219" s="40">
        <f t="shared" ca="1" si="10"/>
        <v>2.1660818287538478E-4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input_572103!A$2</f>
        <v>572103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IFERROR(VLOOKUP(B220,input_572103!L:R,7,FALSE),VLOOKUP(tables_572103!C220,input_572103!A:H,8,FALSE))</f>
        <v>187.14947000000001</v>
      </c>
      <c r="P220" s="40">
        <f t="shared" ca="1" si="10"/>
        <v>2.1660818287538478E-4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input_572103!A$2</f>
        <v>572103</v>
      </c>
      <c r="B221" s="6">
        <v>586</v>
      </c>
      <c r="C221" s="7" t="str">
        <f t="shared" si="9"/>
        <v>PremiumSS4color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">
        <v>35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IFERROR(VLOOKUP(B221,input_572103!L:R,7,FALSE),VLOOKUP(tables_572103!C221,input_572103!A:H,8,FALSE))</f>
        <v>1296</v>
      </c>
      <c r="P221" s="40">
        <f t="shared" ca="1" si="10"/>
        <v>1.5000000000347244E-3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input_572103!A$2</f>
        <v>572103</v>
      </c>
      <c r="B222" s="6">
        <v>587</v>
      </c>
      <c r="C222" s="7" t="str">
        <f t="shared" si="9"/>
        <v>PremiumSS5color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">
        <v>35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IFERROR(VLOOKUP(B222,input_572103!L:R,7,FALSE),VLOOKUP(tables_572103!C222,input_572103!A:H,8,FALSE))</f>
        <v>144</v>
      </c>
      <c r="P222" s="40">
        <f t="shared" ca="1" si="10"/>
        <v>1.6666666667052496E-4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input_572103!A$2</f>
        <v>572103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IFERROR(VLOOKUP(B223,input_572103!L:R,7,FALSE),VLOOKUP(tables_572103!C223,input_572103!A:H,8,FALSE))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input_572103!A$2</f>
        <v>572103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IFERROR(VLOOKUP(B224,input_572103!L:R,7,FALSE),VLOOKUP(tables_572103!C224,input_572103!A:H,8,FALSE))</f>
        <v>4078.08</v>
      </c>
      <c r="P224" s="40">
        <f t="shared" ca="1" si="10"/>
        <v>4.7200000001092661E-3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input_572103!A$2</f>
        <v>572103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IFERROR(VLOOKUP(B225,input_572103!L:R,7,FALSE),VLOOKUP(tables_572103!C225,input_572103!A:H,8,FALSE))</f>
        <v>453.12</v>
      </c>
      <c r="P225" s="40">
        <f t="shared" ca="1" si="10"/>
        <v>5.2444444445658514E-4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input_572103!A$2</f>
        <v>572103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IFERROR(VLOOKUP(B226,input_572103!L:R,7,FALSE),VLOOKUP(tables_572103!C226,input_572103!A:H,8,FALSE))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input_572103!A$2</f>
        <v>572103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IFERROR(VLOOKUP(B227,input_572103!L:R,7,FALSE),VLOOKUP(tables_572103!C227,input_572103!A:H,8,FALSE))</f>
        <v>4078.08</v>
      </c>
      <c r="P227" s="40">
        <f t="shared" ca="1" si="10"/>
        <v>4.7200000001092661E-3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input_572103!A$2</f>
        <v>572103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IFERROR(VLOOKUP(B228,input_572103!L:R,7,FALSE),VLOOKUP(tables_572103!C228,input_572103!A:H,8,FALSE))</f>
        <v>453.12</v>
      </c>
      <c r="P228" s="40">
        <f t="shared" ca="1" si="10"/>
        <v>5.2444444445658514E-4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input_572103!A$2</f>
        <v>572103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IFERROR(VLOOKUP(B229,input_572103!L:R,7,FALSE),VLOOKUP(tables_572103!C229,input_572103!A:H,8,FALSE))</f>
        <v>288</v>
      </c>
      <c r="P229" s="40">
        <f t="shared" ca="1" si="10"/>
        <v>3.3333333334104991E-4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input_572103!A$2</f>
        <v>572103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IFERROR(VLOOKUP(B230,input_572103!L:R,7,FALSE),VLOOKUP(tables_572103!C230,input_572103!A:H,8,FALSE))</f>
        <v>32</v>
      </c>
      <c r="P230" s="40">
        <f t="shared" ca="1" si="10"/>
        <v>3.703703703789443E-5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input_572103!A$2</f>
        <v>572103</v>
      </c>
      <c r="B231" s="6">
        <v>596</v>
      </c>
      <c r="C231" s="7" t="str">
        <f t="shared" si="9"/>
        <v>Premium3color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">
        <v>35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IFERROR(VLOOKUP(B231,input_572103!L:R,7,FALSE),VLOOKUP(tables_572103!C231,input_572103!A:H,8,FALSE))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input_572103!A$2</f>
        <v>572103</v>
      </c>
      <c r="B232" s="6">
        <v>597</v>
      </c>
      <c r="C232" s="7" t="str">
        <f t="shared" si="9"/>
        <v>Premium4color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">
        <v>35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IFERROR(VLOOKUP(B232,input_572103!L:R,7,FALSE),VLOOKUP(tables_572103!C232,input_572103!A:H,8,FALSE))</f>
        <v>18351.36</v>
      </c>
      <c r="P232" s="40">
        <f t="shared" ca="1" si="10"/>
        <v>2.1240000000491699E-2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input_572103!A$2</f>
        <v>572103</v>
      </c>
      <c r="B233" s="6">
        <v>598</v>
      </c>
      <c r="C233" s="7" t="str">
        <f t="shared" si="9"/>
        <v>Premium5color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">
        <v>35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IFERROR(VLOOKUP(B233,input_572103!L:R,7,FALSE),VLOOKUP(tables_572103!C233,input_572103!A:H,8,FALSE))</f>
        <v>1448.64</v>
      </c>
      <c r="P233" s="40">
        <f t="shared" ca="1" si="10"/>
        <v>1.676666666705481E-3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input_572103!A$2</f>
        <v>572103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IFERROR(VLOOKUP(B234,input_572103!L:R,7,FALSE),VLOOKUP(tables_572103!C234,input_572103!A:H,8,FALSE))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input_572103!A$2</f>
        <v>572103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IFERROR(VLOOKUP(B235,input_572103!L:R,7,FALSE),VLOOKUP(tables_572103!C235,input_572103!A:H,8,FALSE))</f>
        <v>4078.08</v>
      </c>
      <c r="P235" s="40">
        <f t="shared" ca="1" si="10"/>
        <v>4.7200000001092661E-3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input_572103!A$2</f>
        <v>572103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IFERROR(VLOOKUP(B236,input_572103!L:R,7,FALSE),VLOOKUP(tables_572103!C236,input_572103!A:H,8,FALSE))</f>
        <v>453.12</v>
      </c>
      <c r="P236" s="40">
        <f t="shared" ca="1" si="10"/>
        <v>5.2444444445658514E-4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input_572103!A$2</f>
        <v>572103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IFERROR(VLOOKUP(B237,input_572103!L:R,7,FALSE),VLOOKUP(tables_572103!C237,input_572103!A:H,8,FALSE))</f>
        <v>288</v>
      </c>
      <c r="P237" s="40">
        <f t="shared" ca="1" si="10"/>
        <v>3.3333333334104991E-4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input_572103!A$2</f>
        <v>572103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IFERROR(VLOOKUP(B238,input_572103!L:R,7,FALSE),VLOOKUP(tables_572103!C238,input_572103!A:H,8,FALSE))</f>
        <v>32</v>
      </c>
      <c r="P238" s="40">
        <f t="shared" ca="1" si="10"/>
        <v>3.703703703789443E-5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input_572103!A$2</f>
        <v>572103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IFERROR(VLOOKUP(B239,input_572103!L:R,7,FALSE),VLOOKUP(tables_572103!C239,input_572103!A:H,8,FALSE))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input_572103!A$2</f>
        <v>572103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IFERROR(VLOOKUP(B240,input_572103!L:R,7,FALSE),VLOOKUP(tables_572103!C240,input_572103!A:H,8,FALSE))</f>
        <v>4078.08</v>
      </c>
      <c r="P240" s="40">
        <f t="shared" ca="1" si="10"/>
        <v>4.7200000001092661E-3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input_572103!A$2</f>
        <v>572103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IFERROR(VLOOKUP(B241,input_572103!L:R,7,FALSE),VLOOKUP(tables_572103!C241,input_572103!A:H,8,FALSE))</f>
        <v>453.12</v>
      </c>
      <c r="P241" s="40">
        <f t="shared" ca="1" si="10"/>
        <v>5.2444444445658514E-4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input_572103!A$2</f>
        <v>572103</v>
      </c>
      <c r="B242" s="6">
        <v>658</v>
      </c>
      <c r="C242" s="7" t="str">
        <f t="shared" si="9"/>
        <v>PremiumSS4color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">
        <v>35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IFERROR(VLOOKUP(B242,input_572103!L:R,7,FALSE),VLOOKUP(tables_572103!C242,input_572103!A:H,8,FALSE))</f>
        <v>1296</v>
      </c>
      <c r="P242" s="40">
        <f t="shared" ca="1" si="10"/>
        <v>1.5000000000347244E-3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input_572103!A$2</f>
        <v>572103</v>
      </c>
      <c r="B243" s="6">
        <v>659</v>
      </c>
      <c r="C243" s="7" t="str">
        <f t="shared" si="9"/>
        <v>PremiumSS5color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">
        <v>35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IFERROR(VLOOKUP(B243,input_572103!L:R,7,FALSE),VLOOKUP(tables_572103!C243,input_572103!A:H,8,FALSE))</f>
        <v>144</v>
      </c>
      <c r="P243" s="40">
        <f t="shared" ca="1" si="10"/>
        <v>1.6666666667052496E-4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input_572103!A$2</f>
        <v>572103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IFERROR(VLOOKUP(B244,input_572103!L:R,7,FALSE),VLOOKUP(tables_572103!C244,input_572103!A:H,8,FALSE))</f>
        <v>288</v>
      </c>
      <c r="P244" s="40">
        <f t="shared" ca="1" si="10"/>
        <v>3.3333333334104991E-4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input_572103!A$2</f>
        <v>572103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IFERROR(VLOOKUP(B245,input_572103!L:R,7,FALSE),VLOOKUP(tables_572103!C245,input_572103!A:H,8,FALSE))</f>
        <v>32</v>
      </c>
      <c r="P245" s="40">
        <f t="shared" ca="1" si="10"/>
        <v>3.703703703789443E-5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input_572103!A$2</f>
        <v>572103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IFERROR(VLOOKUP(B246,input_572103!L:R,7,FALSE),VLOOKUP(tables_572103!C246,input_572103!A:H,8,FALSE))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input_572103!A$2</f>
        <v>572103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IFERROR(VLOOKUP(B247,input_572103!L:R,7,FALSE),VLOOKUP(tables_572103!C247,input_572103!A:H,8,FALSE))</f>
        <v>4078.08</v>
      </c>
      <c r="P247" s="40">
        <f t="shared" ca="1" si="10"/>
        <v>4.7200000001092661E-3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input_572103!A$2</f>
        <v>572103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IFERROR(VLOOKUP(B248,input_572103!L:R,7,FALSE),VLOOKUP(tables_572103!C248,input_572103!A:H,8,FALSE))</f>
        <v>453.12</v>
      </c>
      <c r="P248" s="40">
        <f t="shared" ca="1" si="10"/>
        <v>5.2444444445658514E-4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input_572103!A$2</f>
        <v>572103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IFERROR(VLOOKUP(B249,input_572103!L:R,7,FALSE),VLOOKUP(tables_572103!C249,input_572103!A:H,8,FALSE))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input_572103!A$2</f>
        <v>572103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IFERROR(VLOOKUP(B250,input_572103!L:R,7,FALSE),VLOOKUP(tables_572103!C250,input_572103!A:H,8,FALSE))</f>
        <v>4078.08</v>
      </c>
      <c r="P250" s="40">
        <f t="shared" ca="1" si="10"/>
        <v>4.7200000001092661E-3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input_572103!A$2</f>
        <v>572103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IFERROR(VLOOKUP(B251,input_572103!L:R,7,FALSE),VLOOKUP(tables_572103!C251,input_572103!A:H,8,FALSE))</f>
        <v>453.12</v>
      </c>
      <c r="P251" s="40">
        <f t="shared" ca="1" si="10"/>
        <v>5.2444444445658514E-4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input_572103!A$2</f>
        <v>572103</v>
      </c>
      <c r="B252" s="52">
        <v>668</v>
      </c>
      <c r="C252" s="7" t="str">
        <f t="shared" si="9"/>
        <v>Premium3color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">
        <v>35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IFERROR(VLOOKUP(B252,input_572103!L:R,7,FALSE),VLOOKUP(tables_572103!C252,input_572103!A:H,8,FALSE))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input_572103!A$2</f>
        <v>572103</v>
      </c>
      <c r="B253" s="52">
        <v>669</v>
      </c>
      <c r="C253" s="7" t="str">
        <f t="shared" si="9"/>
        <v>Premium4color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">
        <v>35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IFERROR(VLOOKUP(B253,input_572103!L:R,7,FALSE),VLOOKUP(tables_572103!C253,input_572103!A:H,8,FALSE))</f>
        <v>18351.36</v>
      </c>
      <c r="P253" s="40">
        <f t="shared" ca="1" si="10"/>
        <v>2.1240000000491699E-2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input_572103!A$2</f>
        <v>572103</v>
      </c>
      <c r="B254" s="52">
        <v>670</v>
      </c>
      <c r="C254" s="7" t="str">
        <f t="shared" si="9"/>
        <v>Premium5color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">
        <v>35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IFERROR(VLOOKUP(B254,input_572103!L:R,7,FALSE),VLOOKUP(tables_572103!C254,input_572103!A:H,8,FALSE))</f>
        <v>1448.64</v>
      </c>
      <c r="P254" s="40">
        <f t="shared" ca="1" si="10"/>
        <v>1.676666666705481E-3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input_572103!A$2</f>
        <v>572103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IFERROR(VLOOKUP(B255,input_572103!L:R,7,FALSE),VLOOKUP(tables_572103!C255,input_572103!A:H,8,FALSE))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input_572103!A$2</f>
        <v>572103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IFERROR(VLOOKUP(B256,input_572103!L:R,7,FALSE),VLOOKUP(tables_572103!C256,input_572103!A:H,8,FALSE))</f>
        <v>4078.08</v>
      </c>
      <c r="P256" s="40">
        <f t="shared" ca="1" si="10"/>
        <v>4.7200000001092661E-3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input_572103!A$2</f>
        <v>572103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IFERROR(VLOOKUP(B257,input_572103!L:R,7,FALSE),VLOOKUP(tables_572103!C257,input_572103!A:H,8,FALSE))</f>
        <v>453.12</v>
      </c>
      <c r="P257" s="40">
        <f t="shared" ca="1" si="10"/>
        <v>5.2444444445658514E-4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input_572103!A$2</f>
        <v>572103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IFERROR(VLOOKUP(B258,input_572103!L:R,7,FALSE),VLOOKUP(tables_572103!C258,input_572103!A:H,8,FALSE))</f>
        <v>288</v>
      </c>
      <c r="P258" s="40">
        <f t="shared" ref="P258:P321" ca="1" si="13">O258/SUM(O:O)</f>
        <v>3.3333333334104991E-4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input_572103!A$2</f>
        <v>572103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IFERROR(VLOOKUP(B259,input_572103!L:R,7,FALSE),VLOOKUP(tables_572103!C259,input_572103!A:H,8,FALSE))</f>
        <v>32</v>
      </c>
      <c r="P259" s="40">
        <f t="shared" ca="1" si="13"/>
        <v>3.703703703789443E-5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input_572103!A$2</f>
        <v>572103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IFERROR(VLOOKUP(B260,input_572103!L:R,7,FALSE),VLOOKUP(tables_572103!C260,input_572103!A:H,8,FALSE))</f>
        <v>288</v>
      </c>
      <c r="P260" s="40">
        <f t="shared" ca="1" si="13"/>
        <v>3.3333333334104991E-4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input_572103!A$2</f>
        <v>572103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IFERROR(VLOOKUP(B261,input_572103!L:R,7,FALSE),VLOOKUP(tables_572103!C261,input_572103!A:H,8,FALSE))</f>
        <v>32</v>
      </c>
      <c r="P261" s="40">
        <f t="shared" ca="1" si="13"/>
        <v>3.703703703789443E-5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input_572103!A$2</f>
        <v>572103</v>
      </c>
      <c r="B262" s="52">
        <v>728</v>
      </c>
      <c r="C262" s="7" t="str">
        <f t="shared" si="12"/>
        <v>Premium4R3lesscolor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">
        <v>35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IFERROR(VLOOKUP(B262,input_572103!L:R,7,FALSE),VLOOKUP(tables_572103!C262,input_572103!A:H,8,FALSE))</f>
        <v>18443.52</v>
      </c>
      <c r="P262" s="40">
        <f t="shared" ca="1" si="13"/>
        <v>2.1346666667160834E-2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input_572103!A$2</f>
        <v>572103</v>
      </c>
      <c r="B263" s="52">
        <v>729</v>
      </c>
      <c r="C263" s="7" t="str">
        <f t="shared" si="12"/>
        <v>Premium5R3lesscolor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">
        <v>35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IFERROR(VLOOKUP(B263,input_572103!L:R,7,FALSE),VLOOKUP(tables_572103!C263,input_572103!A:H,8,FALSE))</f>
        <v>1668.7542900000001</v>
      </c>
      <c r="P263" s="40">
        <f t="shared" ca="1" si="13"/>
        <v>1.9314285764336009E-3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input_572103!A$2</f>
        <v>572103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IFERROR(VLOOKUP(B264,input_572103!L:R,7,FALSE),VLOOKUP(tables_572103!C264,input_572103!A:H,8,FALSE))</f>
        <v>4277.2114300000003</v>
      </c>
      <c r="P264" s="40">
        <f t="shared" ca="1" si="13"/>
        <v>4.9504761922442315E-3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input_572103!A$2</f>
        <v>572103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IFERROR(VLOOKUP(B265,input_572103!L:R,7,FALSE),VLOOKUP(tables_572103!C265,input_572103!A:H,8,FALSE))</f>
        <v>187.14947000000001</v>
      </c>
      <c r="P265" s="40">
        <f t="shared" ca="1" si="13"/>
        <v>2.1660818287538478E-4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input_572103!A$2</f>
        <v>572103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IFERROR(VLOOKUP(B266,input_572103!L:R,7,FALSE),VLOOKUP(tables_572103!C266,input_572103!A:H,8,FALSE))</f>
        <v>320</v>
      </c>
      <c r="P266" s="40">
        <f t="shared" ca="1" si="13"/>
        <v>3.7037037037894433E-4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input_572103!A$2</f>
        <v>572103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IFERROR(VLOOKUP(B267,input_572103!L:R,7,FALSE),VLOOKUP(tables_572103!C267,input_572103!A:H,8,FALSE))</f>
        <v>320</v>
      </c>
      <c r="P267" s="40">
        <f t="shared" ca="1" si="13"/>
        <v>3.7037037037894433E-4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input_572103!A$2</f>
        <v>572103</v>
      </c>
      <c r="B268" s="52">
        <v>742</v>
      </c>
      <c r="C268" s="7" t="str">
        <f t="shared" si="12"/>
        <v>PremiumSS5R5onlycolor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">
        <v>35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IFERROR(VLOOKUP(B268,input_572103!L:R,7,FALSE),VLOOKUP(tables_572103!C268,input_572103!A:H,8,FALSE))</f>
        <v>1440</v>
      </c>
      <c r="P268" s="40">
        <f t="shared" ca="1" si="13"/>
        <v>1.6666666667052494E-3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input_572103!A$2</f>
        <v>572103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IFERROR(VLOOKUP(B269,input_572103!L:R,7,FALSE),VLOOKUP(tables_572103!C269,input_572103!A:H,8,FALSE))</f>
        <v>320</v>
      </c>
      <c r="P269" s="40">
        <f t="shared" ca="1" si="13"/>
        <v>3.7037037037894433E-4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input_572103!A$2</f>
        <v>572103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IFERROR(VLOOKUP(B270,input_572103!L:R,7,FALSE),VLOOKUP(tables_572103!C270,input_572103!A:H,8,FALSE))</f>
        <v>4277.2114300000003</v>
      </c>
      <c r="P270" s="40">
        <f t="shared" ca="1" si="13"/>
        <v>4.9504761922442315E-3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input_572103!A$2</f>
        <v>572103</v>
      </c>
      <c r="B271" s="7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IFERROR(VLOOKUP(B271,input_572103!L:R,7,FALSE),VLOOKUP(tables_572103!C271,input_572103!A:H,8,FALSE))</f>
        <v>187.14947000000001</v>
      </c>
      <c r="P271" s="40">
        <f t="shared" ca="1" si="13"/>
        <v>2.1660818287538478E-4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input_572103!A$2</f>
        <v>572103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IFERROR(VLOOKUP(B272,input_572103!L:R,7,FALSE),VLOOKUP(tables_572103!C272,input_572103!A:H,8,FALSE))</f>
        <v>4277.2114300000003</v>
      </c>
      <c r="P272" s="40">
        <f t="shared" ca="1" si="13"/>
        <v>4.9504761922442315E-3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input_572103!A$2</f>
        <v>572103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IFERROR(VLOOKUP(B273,input_572103!L:R,7,FALSE),VLOOKUP(tables_572103!C273,input_572103!A:H,8,FALSE))</f>
        <v>187.14947000000001</v>
      </c>
      <c r="P273" s="40">
        <f t="shared" ca="1" si="13"/>
        <v>2.1660818287538478E-4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input_572103!A$2</f>
        <v>572103</v>
      </c>
      <c r="B274" s="71">
        <v>770</v>
      </c>
      <c r="C274" s="7" t="str">
        <f t="shared" si="12"/>
        <v>PremiumSS4color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">
        <v>35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IFERROR(VLOOKUP(B274,input_572103!L:R,7,FALSE),VLOOKUP(tables_572103!C274,input_572103!A:H,8,FALSE))</f>
        <v>1296</v>
      </c>
      <c r="P274" s="40">
        <f t="shared" ca="1" si="13"/>
        <v>1.5000000000347244E-3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input_572103!A$2</f>
        <v>572103</v>
      </c>
      <c r="B275" s="71">
        <v>771</v>
      </c>
      <c r="C275" s="7" t="str">
        <f t="shared" si="12"/>
        <v>PremiumSS5color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">
        <v>35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IFERROR(VLOOKUP(B275,input_572103!L:R,7,FALSE),VLOOKUP(tables_572103!C275,input_572103!A:H,8,FALSE))</f>
        <v>144</v>
      </c>
      <c r="P275" s="40">
        <f t="shared" ca="1" si="13"/>
        <v>1.6666666667052496E-4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input_572103!A$2</f>
        <v>572103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IFERROR(VLOOKUP(B276,input_572103!L:R,7,FALSE),VLOOKUP(tables_572103!C276,input_572103!A:H,8,FALSE))</f>
        <v>288</v>
      </c>
      <c r="P276" s="40">
        <f t="shared" ca="1" si="13"/>
        <v>3.3333333334104991E-4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input_572103!A$2</f>
        <v>572103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IFERROR(VLOOKUP(B277,input_572103!L:R,7,FALSE),VLOOKUP(tables_572103!C277,input_572103!A:H,8,FALSE))</f>
        <v>32</v>
      </c>
      <c r="P277" s="40">
        <f t="shared" ca="1" si="13"/>
        <v>3.703703703789443E-5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input_572103!A$2</f>
        <v>572103</v>
      </c>
      <c r="B278" s="7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IFERROR(VLOOKUP(B278,input_572103!L:R,7,FALSE),VLOOKUP(tables_572103!C278,input_572103!A:H,8,FALSE))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input_572103!A$2</f>
        <v>572103</v>
      </c>
      <c r="B279" s="7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IFERROR(VLOOKUP(B279,input_572103!L:R,7,FALSE),VLOOKUP(tables_572103!C279,input_572103!A:H,8,FALSE))</f>
        <v>4078.08</v>
      </c>
      <c r="P279" s="40">
        <f t="shared" ca="1" si="13"/>
        <v>4.7200000001092661E-3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input_572103!A$2</f>
        <v>572103</v>
      </c>
      <c r="B280" s="7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IFERROR(VLOOKUP(B280,input_572103!L:R,7,FALSE),VLOOKUP(tables_572103!C280,input_572103!A:H,8,FALSE))</f>
        <v>453.12</v>
      </c>
      <c r="P280" s="40">
        <f t="shared" ca="1" si="13"/>
        <v>5.2444444445658514E-4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input_572103!A$2</f>
        <v>572103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IFERROR(VLOOKUP(B281,input_572103!L:R,7,FALSE),VLOOKUP(tables_572103!C281,input_572103!A:H,8,FALSE))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input_572103!A$2</f>
        <v>572103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IFERROR(VLOOKUP(B282,input_572103!L:R,7,FALSE),VLOOKUP(tables_572103!C282,input_572103!A:H,8,FALSE))</f>
        <v>4078.08</v>
      </c>
      <c r="P282" s="40">
        <f t="shared" ca="1" si="13"/>
        <v>4.7200000001092661E-3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input_572103!A$2</f>
        <v>572103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IFERROR(VLOOKUP(B283,input_572103!L:R,7,FALSE),VLOOKUP(tables_572103!C283,input_572103!A:H,8,FALSE))</f>
        <v>453.12</v>
      </c>
      <c r="P283" s="40">
        <f t="shared" ca="1" si="13"/>
        <v>5.2444444445658514E-4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input_572103!A$2</f>
        <v>572103</v>
      </c>
      <c r="B284" s="5">
        <v>848</v>
      </c>
      <c r="C284" s="7" t="str">
        <f t="shared" si="12"/>
        <v>PremiumSS5R5onlycolor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">
        <v>35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IFERROR(VLOOKUP(B284,input_572103!L:R,7,FALSE),VLOOKUP(tables_572103!C284,input_572103!A:H,8,FALSE))</f>
        <v>1440</v>
      </c>
      <c r="P284" s="40">
        <f t="shared" ca="1" si="13"/>
        <v>1.6666666667052494E-3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input_572103!A$2</f>
        <v>572103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IFERROR(VLOOKUP(B285,input_572103!L:R,7,FALSE),VLOOKUP(tables_572103!C285,input_572103!A:H,8,FALSE))</f>
        <v>320</v>
      </c>
      <c r="P285" s="40">
        <f t="shared" ca="1" si="13"/>
        <v>3.7037037037894433E-4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input_572103!A$2</f>
        <v>572103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IFERROR(VLOOKUP(B286,input_572103!L:R,7,FALSE),VLOOKUP(tables_572103!C286,input_572103!A:H,8,FALSE))</f>
        <v>4277.2114300000003</v>
      </c>
      <c r="P286" s="40">
        <f t="shared" ca="1" si="13"/>
        <v>4.9504761922442315E-3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input_572103!A$2</f>
        <v>572103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IFERROR(VLOOKUP(B287,input_572103!L:R,7,FALSE),VLOOKUP(tables_572103!C287,input_572103!A:H,8,FALSE))</f>
        <v>187.14947000000001</v>
      </c>
      <c r="P287" s="40">
        <f t="shared" ca="1" si="13"/>
        <v>2.1660818287538478E-4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input_572103!A$2</f>
        <v>572103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IFERROR(VLOOKUP(B288,input_572103!L:R,7,FALSE),VLOOKUP(tables_572103!C288,input_572103!A:H,8,FALSE))</f>
        <v>4277.2114300000003</v>
      </c>
      <c r="P288" s="40">
        <f t="shared" ca="1" si="13"/>
        <v>4.9504761922442315E-3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input_572103!A$2</f>
        <v>572103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IFERROR(VLOOKUP(B289,input_572103!L:R,7,FALSE),VLOOKUP(tables_572103!C289,input_572103!A:H,8,FALSE))</f>
        <v>187.14947000000001</v>
      </c>
      <c r="P289" s="40">
        <f t="shared" ca="1" si="13"/>
        <v>2.1660818287538478E-4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input_572103!A$2</f>
        <v>572103</v>
      </c>
      <c r="B290" s="5">
        <v>862</v>
      </c>
      <c r="C290" s="7" t="str">
        <f t="shared" si="12"/>
        <v>Premium4R3lesscolor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">
        <v>35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IFERROR(VLOOKUP(B290,input_572103!L:R,7,FALSE),VLOOKUP(tables_572103!C290,input_572103!A:H,8,FALSE))</f>
        <v>18443.52</v>
      </c>
      <c r="P290" s="40">
        <f t="shared" ca="1" si="13"/>
        <v>2.1346666667160834E-2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input_572103!A$2</f>
        <v>572103</v>
      </c>
      <c r="B291" s="5">
        <v>863</v>
      </c>
      <c r="C291" s="7" t="str">
        <f t="shared" si="12"/>
        <v>Premium5R3lesscolor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">
        <v>35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IFERROR(VLOOKUP(B291,input_572103!L:R,7,FALSE),VLOOKUP(tables_572103!C291,input_572103!A:H,8,FALSE))</f>
        <v>1668.7542900000001</v>
      </c>
      <c r="P291" s="40">
        <f t="shared" ca="1" si="13"/>
        <v>1.9314285764336009E-3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input_572103!A$2</f>
        <v>572103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IFERROR(VLOOKUP(B292,input_572103!L:R,7,FALSE),VLOOKUP(tables_572103!C292,input_572103!A:H,8,FALSE))</f>
        <v>4277.2114300000003</v>
      </c>
      <c r="P292" s="40">
        <f t="shared" ca="1" si="13"/>
        <v>4.9504761922442315E-3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input_572103!A$2</f>
        <v>572103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IFERROR(VLOOKUP(B293,input_572103!L:R,7,FALSE),VLOOKUP(tables_572103!C293,input_572103!A:H,8,FALSE))</f>
        <v>187.14947000000001</v>
      </c>
      <c r="P293" s="40">
        <f t="shared" ca="1" si="13"/>
        <v>2.1660818287538478E-4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input_572103!A$2</f>
        <v>572103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IFERROR(VLOOKUP(B294,input_572103!L:R,7,FALSE),VLOOKUP(tables_572103!C294,input_572103!A:H,8,FALSE))</f>
        <v>320</v>
      </c>
      <c r="P294" s="40">
        <f t="shared" ca="1" si="13"/>
        <v>3.7037037037894433E-4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input_572103!A$2</f>
        <v>572103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IFERROR(VLOOKUP(B295,input_572103!L:R,7,FALSE),VLOOKUP(tables_572103!C295,input_572103!A:H,8,FALSE))</f>
        <v>320</v>
      </c>
      <c r="P295" s="40">
        <f t="shared" ca="1" si="13"/>
        <v>3.7037037037894433E-4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input_572103!A$2</f>
        <v>572103</v>
      </c>
      <c r="B296" s="5">
        <v>937</v>
      </c>
      <c r="C296" s="7" t="str">
        <f t="shared" si="12"/>
        <v>PremiumSS5R5onlycolor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">
        <v>35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IFERROR(VLOOKUP(B296,input_572103!L:R,7,FALSE),VLOOKUP(tables_572103!C296,input_572103!A:H,8,FALSE))</f>
        <v>1440</v>
      </c>
      <c r="P296" s="40">
        <f t="shared" ca="1" si="13"/>
        <v>1.6666666667052494E-3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input_572103!A$2</f>
        <v>572103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IFERROR(VLOOKUP(B297,input_572103!L:R,7,FALSE),VLOOKUP(tables_572103!C297,input_572103!A:H,8,FALSE))</f>
        <v>4277.2114300000003</v>
      </c>
      <c r="P297" s="40">
        <f t="shared" ca="1" si="13"/>
        <v>4.9504761922442315E-3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input_572103!A$2</f>
        <v>572103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IFERROR(VLOOKUP(B298,input_572103!L:R,7,FALSE),VLOOKUP(tables_572103!C298,input_572103!A:H,8,FALSE))</f>
        <v>187.14947000000001</v>
      </c>
      <c r="P298" s="40">
        <f t="shared" ca="1" si="13"/>
        <v>2.1660818287538478E-4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input_572103!A$2</f>
        <v>572103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IFERROR(VLOOKUP(B299,input_572103!L:R,7,FALSE),VLOOKUP(tables_572103!C299,input_572103!A:H,8,FALSE))</f>
        <v>320</v>
      </c>
      <c r="P299" s="40">
        <f t="shared" ca="1" si="13"/>
        <v>3.7037037037894433E-4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input_572103!A$2</f>
        <v>572103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IFERROR(VLOOKUP(B300,input_572103!L:R,7,FALSE),VLOOKUP(tables_572103!C300,input_572103!A:H,8,FALSE))</f>
        <v>320</v>
      </c>
      <c r="P300" s="40">
        <f t="shared" ca="1" si="13"/>
        <v>3.7037037037894433E-4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input_572103!A$2</f>
        <v>572103</v>
      </c>
      <c r="B301" s="5">
        <v>1012</v>
      </c>
      <c r="C301" s="7" t="str">
        <f t="shared" si="12"/>
        <v>PremiumSS5R5onlycolor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">
        <v>35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IFERROR(VLOOKUP(B301,input_572103!L:R,7,FALSE),VLOOKUP(tables_572103!C301,input_572103!A:H,8,FALSE))</f>
        <v>1440</v>
      </c>
      <c r="P301" s="40">
        <f t="shared" ca="1" si="13"/>
        <v>1.6666666667052494E-3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input_572103!A$2</f>
        <v>572103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IFERROR(VLOOKUP(B302,input_572103!L:R,7,FALSE),VLOOKUP(tables_572103!C302,input_572103!A:H,8,FALSE))</f>
        <v>320</v>
      </c>
      <c r="P302" s="40">
        <f t="shared" ca="1" si="13"/>
        <v>3.7037037037894433E-4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input_572103!A$2</f>
        <v>572103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IFERROR(VLOOKUP(B303,input_572103!L:R,7,FALSE),VLOOKUP(tables_572103!C303,input_572103!A:H,8,FALSE))</f>
        <v>4277.2114300000003</v>
      </c>
      <c r="P303" s="40">
        <f t="shared" ca="1" si="13"/>
        <v>4.9504761922442315E-3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input_572103!A$2</f>
        <v>572103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IFERROR(VLOOKUP(B304,input_572103!L:R,7,FALSE),VLOOKUP(tables_572103!C304,input_572103!A:H,8,FALSE))</f>
        <v>187.14947000000001</v>
      </c>
      <c r="P304" s="40">
        <f t="shared" ca="1" si="13"/>
        <v>2.1660818287538478E-4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input_572103!A$2</f>
        <v>572103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IFERROR(VLOOKUP(B305,input_572103!L:R,7,FALSE),VLOOKUP(tables_572103!C305,input_572103!A:H,8,FALSE))</f>
        <v>320</v>
      </c>
      <c r="P305" s="40">
        <f t="shared" ca="1" si="13"/>
        <v>3.7037037037894433E-4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input_572103!A$2</f>
        <v>572103</v>
      </c>
      <c r="B306" s="5">
        <v>1026</v>
      </c>
      <c r="C306" s="7" t="str">
        <f t="shared" si="12"/>
        <v>Premium4R3lesscolor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">
        <v>35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IFERROR(VLOOKUP(B306,input_572103!L:R,7,FALSE),VLOOKUP(tables_572103!C306,input_572103!A:H,8,FALSE))</f>
        <v>18443.52</v>
      </c>
      <c r="P306" s="40">
        <f t="shared" ca="1" si="13"/>
        <v>2.1346666667160834E-2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input_572103!A$2</f>
        <v>572103</v>
      </c>
      <c r="B307" s="5">
        <v>1027</v>
      </c>
      <c r="C307" s="7" t="str">
        <f t="shared" si="12"/>
        <v>Premium5R3lesscolor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">
        <v>35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IFERROR(VLOOKUP(B307,input_572103!L:R,7,FALSE),VLOOKUP(tables_572103!C307,input_572103!A:H,8,FALSE))</f>
        <v>1668.7542900000001</v>
      </c>
      <c r="P307" s="40">
        <f t="shared" ca="1" si="13"/>
        <v>1.9314285764336009E-3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input_572103!A$2</f>
        <v>572103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IFERROR(VLOOKUP(B308,input_572103!L:R,7,FALSE),VLOOKUP(tables_572103!C308,input_572103!A:H,8,FALSE))</f>
        <v>320</v>
      </c>
      <c r="P308" s="40">
        <f t="shared" ca="1" si="13"/>
        <v>3.7037037037894433E-4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input_572103!A$2</f>
        <v>572103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IFERROR(VLOOKUP(B309,input_572103!L:R,7,FALSE),VLOOKUP(tables_572103!C309,input_572103!A:H,8,FALSE))</f>
        <v>320</v>
      </c>
      <c r="P309" s="40">
        <f t="shared" ca="1" si="13"/>
        <v>3.7037037037894433E-4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input_572103!A$2</f>
        <v>572103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IFERROR(VLOOKUP(B310,input_572103!L:R,7,FALSE),VLOOKUP(tables_572103!C310,input_572103!A:H,8,FALSE))</f>
        <v>320</v>
      </c>
      <c r="P310" s="40">
        <f t="shared" ca="1" si="13"/>
        <v>3.7037037037894433E-4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input_572103!A$2</f>
        <v>572103</v>
      </c>
      <c r="B311" s="5">
        <v>1067</v>
      </c>
      <c r="C311" s="7" t="str">
        <f t="shared" si="12"/>
        <v>Premium4R3lesscolor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">
        <v>35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IFERROR(VLOOKUP(B311,input_572103!L:R,7,FALSE),VLOOKUP(tables_572103!C311,input_572103!A:H,8,FALSE))</f>
        <v>18443.52</v>
      </c>
      <c r="P311" s="40">
        <f t="shared" ca="1" si="13"/>
        <v>2.1346666667160834E-2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input_572103!A$2</f>
        <v>572103</v>
      </c>
      <c r="B312" s="5">
        <v>1068</v>
      </c>
      <c r="C312" s="7" t="str">
        <f t="shared" si="12"/>
        <v>Premium5R3lesscolor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">
        <v>35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IFERROR(VLOOKUP(B312,input_572103!L:R,7,FALSE),VLOOKUP(tables_572103!C312,input_572103!A:H,8,FALSE))</f>
        <v>1668.7542900000001</v>
      </c>
      <c r="P312" s="40">
        <f t="shared" ca="1" si="13"/>
        <v>1.9314285764336009E-3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input_572103!A$2</f>
        <v>572103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IFERROR(VLOOKUP(B313,input_572103!L:R,7,FALSE),VLOOKUP(tables_572103!C313,input_572103!A:H,8,FALSE))</f>
        <v>320</v>
      </c>
      <c r="P313" s="40">
        <f t="shared" ca="1" si="13"/>
        <v>3.7037037037894433E-4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input_572103!A$2</f>
        <v>572103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IFERROR(VLOOKUP(B314,input_572103!L:R,7,FALSE),VLOOKUP(tables_572103!C314,input_572103!A:H,8,FALSE))</f>
        <v>320</v>
      </c>
      <c r="P314" s="40">
        <f t="shared" ca="1" si="13"/>
        <v>3.7037037037894433E-4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input_572103!A$2</f>
        <v>572103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IFERROR(VLOOKUP(B315,input_572103!L:R,7,FALSE),VLOOKUP(tables_572103!C315,input_572103!A:H,8,FALSE))</f>
        <v>320</v>
      </c>
      <c r="P315" s="40">
        <f t="shared" ca="1" si="13"/>
        <v>3.7037037037894433E-4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input_572103!A$2</f>
        <v>572103</v>
      </c>
      <c r="B316" s="5">
        <v>1100</v>
      </c>
      <c r="C316" s="7" t="str">
        <f t="shared" si="12"/>
        <v>PremiumSS5R5onlycolor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">
        <v>35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IFERROR(VLOOKUP(B316,input_572103!L:R,7,FALSE),VLOOKUP(tables_572103!C316,input_572103!A:H,8,FALSE))</f>
        <v>1440</v>
      </c>
      <c r="P316" s="40">
        <f t="shared" ca="1" si="13"/>
        <v>1.6666666667052494E-3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input_572103!A$2</f>
        <v>572103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IFERROR(VLOOKUP(B317,input_572103!L:R,7,FALSE),VLOOKUP(tables_572103!C317,input_572103!A:H,8,FALSE))</f>
        <v>320</v>
      </c>
      <c r="P317" s="40">
        <f t="shared" ca="1" si="13"/>
        <v>3.7037037037894433E-4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input_572103!A$2</f>
        <v>572103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IFERROR(VLOOKUP(B318,input_572103!L:R,7,FALSE),VLOOKUP(tables_572103!C318,input_572103!A:H,8,FALSE))</f>
        <v>4277.2114300000003</v>
      </c>
      <c r="P318" s="40">
        <f t="shared" ca="1" si="13"/>
        <v>4.9504761922442315E-3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input_572103!A$2</f>
        <v>572103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IFERROR(VLOOKUP(B319,input_572103!L:R,7,FALSE),VLOOKUP(tables_572103!C319,input_572103!A:H,8,FALSE))</f>
        <v>187.14947000000001</v>
      </c>
      <c r="P319" s="40">
        <f t="shared" ca="1" si="13"/>
        <v>2.1660818287538478E-4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input_572103!A$2</f>
        <v>572103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IFERROR(VLOOKUP(B320,input_572103!L:R,7,FALSE),VLOOKUP(tables_572103!C320,input_572103!A:H,8,FALSE))</f>
        <v>320</v>
      </c>
      <c r="P320" s="40">
        <f t="shared" ca="1" si="13"/>
        <v>3.7037037037894433E-4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input_572103!A$2</f>
        <v>572103</v>
      </c>
      <c r="B321" s="5">
        <v>1137</v>
      </c>
      <c r="C321" s="7" t="str">
        <f t="shared" si="12"/>
        <v>PremiumSS5R5onlycolor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">
        <v>35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IFERROR(VLOOKUP(B321,input_572103!L:R,7,FALSE),VLOOKUP(tables_572103!C321,input_572103!A:H,8,FALSE))</f>
        <v>1440</v>
      </c>
      <c r="P321" s="40">
        <f t="shared" ca="1" si="13"/>
        <v>1.6666666667052494E-3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input_572103!A$2</f>
        <v>572103</v>
      </c>
      <c r="B322" s="5">
        <v>1139</v>
      </c>
      <c r="C322" s="7" t="str">
        <f t="shared" ref="C322:C324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IFERROR(VLOOKUP(B322,input_572103!L:R,7,FALSE),VLOOKUP(tables_572103!C322,input_572103!A:H,8,FALSE))</f>
        <v>320</v>
      </c>
      <c r="P322" s="40">
        <f t="shared" ref="P322:P340" ca="1" si="16">O322/SUM(O:O)</f>
        <v>3.7037037037894433E-4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input_572103!A$2</f>
        <v>572103</v>
      </c>
      <c r="B323" s="5">
        <v>1141</v>
      </c>
      <c r="C323" s="7" t="str">
        <f t="shared" si="15"/>
        <v>PremiumSS5R5only</v>
      </c>
      <c r="D323" s="7" t="str">
        <f t="shared" ref="D323:D324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IFERROR(VLOOKUP(B323,input_572103!L:R,7,FALSE),VLOOKUP(tables_572103!C323,input_572103!A:H,8,FALSE))</f>
        <v>320</v>
      </c>
      <c r="P323" s="40">
        <f t="shared" ca="1" si="16"/>
        <v>3.7037037037894433E-4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input_572103!A$2</f>
        <v>572103</v>
      </c>
      <c r="B324" s="2">
        <v>1143</v>
      </c>
      <c r="C324" s="86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IFERROR(VLOOKUP(B324,input_572103!L:R,7,FALSE),VLOOKUP(tables_572103!C324,input_572103!A:H,8,FALSE))</f>
        <v>4277.2114300000003</v>
      </c>
      <c r="P324" s="40">
        <f t="shared" ca="1" si="16"/>
        <v>4.9504761922442315E-3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input_572103!A$2</f>
        <v>572103</v>
      </c>
      <c r="B325" s="2">
        <v>1144</v>
      </c>
      <c r="C325" s="86" t="str">
        <f t="shared" ref="C325:C330" si="18">D325&amp;J325&amp;E325&amp;F325&amp;G325</f>
        <v>Premium5R3less</v>
      </c>
      <c r="D325" s="7" t="str">
        <f t="shared" ref="D325:D330" si="19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IFERROR(VLOOKUP(B325,input_572103!L:R,7,FALSE),VLOOKUP(tables_572103!C325,input_572103!A:H,8,FALSE))</f>
        <v>187.14947000000001</v>
      </c>
      <c r="P325" s="40">
        <f t="shared" ca="1" si="16"/>
        <v>2.1660818287538478E-4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input_572103!A$2</f>
        <v>572103</v>
      </c>
      <c r="B326" s="2">
        <v>1151</v>
      </c>
      <c r="C326" s="86" t="str">
        <f t="shared" si="18"/>
        <v>Premium4R3lesscolor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">
        <v>35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IFERROR(VLOOKUP(B326,input_572103!L:R,7,FALSE),VLOOKUP(tables_572103!C326,input_572103!A:H,8,FALSE))</f>
        <v>18443.52</v>
      </c>
      <c r="P326" s="40">
        <f t="shared" ca="1" si="16"/>
        <v>2.1346666667160834E-2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input_572103!A$2</f>
        <v>572103</v>
      </c>
      <c r="B327" s="2">
        <v>1152</v>
      </c>
      <c r="C327" s="86" t="str">
        <f t="shared" si="18"/>
        <v>Premium5R3lesscolor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">
        <v>35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IFERROR(VLOOKUP(B327,input_572103!L:R,7,FALSE),VLOOKUP(tables_572103!C327,input_572103!A:H,8,FALSE))</f>
        <v>1668.7542900000001</v>
      </c>
      <c r="P327" s="40">
        <f t="shared" ca="1" si="16"/>
        <v>1.9314285764336009E-3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input_572103!A$2</f>
        <v>572103</v>
      </c>
      <c r="B328" s="2">
        <v>1153</v>
      </c>
      <c r="C328" s="86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IFERROR(VLOOKUP(B328,input_572103!L:R,7,FALSE),VLOOKUP(tables_572103!C328,input_572103!A:H,8,FALSE))</f>
        <v>320</v>
      </c>
      <c r="P328" s="40">
        <f t="shared" ca="1" si="16"/>
        <v>3.7037037037894433E-4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input_572103!A$2</f>
        <v>572103</v>
      </c>
      <c r="B329" s="2">
        <v>1155</v>
      </c>
      <c r="C329" s="86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IFERROR(VLOOKUP(B329,input_572103!L:R,7,FALSE),VLOOKUP(tables_572103!C329,input_572103!A:H,8,FALSE))</f>
        <v>320</v>
      </c>
      <c r="P329" s="40">
        <f t="shared" ca="1" si="16"/>
        <v>3.7037037037894433E-4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input_572103!A$2</f>
        <v>572103</v>
      </c>
      <c r="B330" s="2">
        <v>1157</v>
      </c>
      <c r="C330" s="86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IFERROR(VLOOKUP(B330,input_572103!L:R,7,FALSE),VLOOKUP(tables_572103!C330,input_572103!A:H,8,FALSE))</f>
        <v>320</v>
      </c>
      <c r="P330" s="40">
        <f t="shared" ca="1" si="16"/>
        <v>3.7037037037894433E-4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input_572103!A$2</f>
        <v>572103</v>
      </c>
      <c r="B331" s="52">
        <v>1214</v>
      </c>
      <c r="C331" s="86" t="str">
        <f t="shared" ref="C331:C340" si="20">D331&amp;J331&amp;E331&amp;F331&amp;G331</f>
        <v>PremiumSS5R5only</v>
      </c>
      <c r="D331" s="7" t="str">
        <f t="shared" ref="D331:D340" si="21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IFERROR(VLOOKUP(B331,input_572103!L:R,7,FALSE),VLOOKUP(tables_572103!C331,input_572103!A:H,8,FALSE))</f>
        <v>320</v>
      </c>
      <c r="P331" s="40">
        <f t="shared" ca="1" si="16"/>
        <v>3.7037037037894433E-4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input_572103!A$2</f>
        <v>572103</v>
      </c>
      <c r="B332" s="52">
        <v>1212</v>
      </c>
      <c r="C332" s="86" t="str">
        <f t="shared" si="20"/>
        <v>PremiumSS5R5only</v>
      </c>
      <c r="D332" s="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IFERROR(VLOOKUP(B332,input_572103!L:R,7,FALSE),VLOOKUP(tables_572103!C332,input_572103!A:H,8,FALSE))</f>
        <v>320</v>
      </c>
      <c r="P332" s="40">
        <f t="shared" ca="1" si="16"/>
        <v>3.7037037037894433E-4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input_572103!A$2</f>
        <v>572103</v>
      </c>
      <c r="B333" s="52">
        <v>1208</v>
      </c>
      <c r="C333" s="86" t="str">
        <f t="shared" si="20"/>
        <v>PremiumSS5R5onlycolor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">
        <v>35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IFERROR(VLOOKUP(B333,input_572103!L:R,7,FALSE),VLOOKUP(tables_572103!C333,input_572103!A:H,8,FALSE))</f>
        <v>1440</v>
      </c>
      <c r="P333" s="40">
        <f t="shared" ca="1" si="16"/>
        <v>1.6666666667052494E-3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input_572103!A$2</f>
        <v>572103</v>
      </c>
      <c r="B334" s="96">
        <v>1210</v>
      </c>
      <c r="C334" s="86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IFERROR(VLOOKUP(B334,input_572103!L:R,7,FALSE),VLOOKUP(tables_572103!C334,input_572103!A:H,8,FALSE))</f>
        <v>4277.2114300000003</v>
      </c>
      <c r="P334" s="40">
        <f t="shared" ca="1" si="16"/>
        <v>4.9504761922442315E-3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input_572103!A$2</f>
        <v>572103</v>
      </c>
      <c r="B335" s="52">
        <v>1211</v>
      </c>
      <c r="C335" s="86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IFERROR(VLOOKUP(B335,input_572103!L:R,7,FALSE),VLOOKUP(tables_572103!C335,input_572103!A:H,8,FALSE))</f>
        <v>187.14947000000001</v>
      </c>
      <c r="P335" s="40">
        <f t="shared" ca="1" si="16"/>
        <v>2.1660818287538478E-4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input_572103!A$2</f>
        <v>572103</v>
      </c>
      <c r="B336" s="2">
        <v>1224</v>
      </c>
      <c r="C336" s="86" t="str">
        <f t="shared" si="20"/>
        <v>Premium4R3lesscolor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">
        <v>35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IFERROR(VLOOKUP(B336,input_572103!L:R,7,FALSE),VLOOKUP(tables_572103!C336,input_572103!A:H,8,FALSE))</f>
        <v>18443.52</v>
      </c>
      <c r="P336" s="40">
        <f t="shared" ca="1" si="16"/>
        <v>2.1346666667160834E-2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input_572103!A$2</f>
        <v>572103</v>
      </c>
      <c r="B337" s="2">
        <v>1225</v>
      </c>
      <c r="C337" s="86" t="str">
        <f t="shared" si="20"/>
        <v>Premium5R3lesscolor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">
        <v>35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IFERROR(VLOOKUP(B337,input_572103!L:R,7,FALSE),VLOOKUP(tables_572103!C337,input_572103!A:H,8,FALSE))</f>
        <v>1668.7542900000001</v>
      </c>
      <c r="P337" s="40">
        <f t="shared" ca="1" si="16"/>
        <v>1.9314285764336009E-3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input_572103!A$2</f>
        <v>572103</v>
      </c>
      <c r="B338" s="2">
        <v>1226</v>
      </c>
      <c r="C338" s="86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IFERROR(VLOOKUP(B338,input_572103!L:R,7,FALSE),VLOOKUP(tables_572103!C338,input_572103!A:H,8,FALSE))</f>
        <v>320</v>
      </c>
      <c r="P338" s="40">
        <f t="shared" ca="1" si="16"/>
        <v>3.7037037037894433E-4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input_572103!A$2</f>
        <v>572103</v>
      </c>
      <c r="B339" s="2">
        <v>1228</v>
      </c>
      <c r="C339" s="86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IFERROR(VLOOKUP(B339,input_572103!L:R,7,FALSE),VLOOKUP(tables_572103!C339,input_572103!A:H,8,FALSE))</f>
        <v>320</v>
      </c>
      <c r="P339" s="40">
        <f t="shared" ca="1" si="16"/>
        <v>3.7037037037894433E-4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input_572103!A$2</f>
        <v>572103</v>
      </c>
      <c r="B340" s="2">
        <v>1230</v>
      </c>
      <c r="C340" s="86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IFERROR(VLOOKUP(B340,input_572103!L:R,7,FALSE),VLOOKUP(tables_572103!C340,input_572103!A:H,8,FALSE))</f>
        <v>320</v>
      </c>
      <c r="P340" s="40">
        <f t="shared" ca="1" si="16"/>
        <v>3.7037037037894433E-4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input_572103!A$2</f>
        <v>572103</v>
      </c>
      <c r="B341" s="2">
        <v>1244</v>
      </c>
      <c r="C341" s="86" t="str">
        <f t="shared" ref="C341:C345" si="22">D341&amp;J341&amp;E341&amp;F341&amp;G341</f>
        <v>PremiumSS5R5onlycolor</v>
      </c>
      <c r="D341" s="7" t="str">
        <f t="shared" ref="D341:D345" si="2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">
        <v>35</v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IFERROR(VLOOKUP(B341,input_572103!L:R,7,FALSE),VLOOKUP(tables_572103!C341,input_572103!A:H,8,FALSE))</f>
        <v>1440</v>
      </c>
      <c r="P341" s="40">
        <f t="shared" ref="P341:P345" ca="1" si="24">O341/SUM(O:O)</f>
        <v>1.6666666667052494E-3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input_572103!A$2</f>
        <v>572103</v>
      </c>
      <c r="B342" s="2">
        <v>1246</v>
      </c>
      <c r="C342" s="86" t="str">
        <f t="shared" si="22"/>
        <v>PremiumSS5R5only</v>
      </c>
      <c r="D342" s="7" t="str">
        <f t="shared" si="2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IFERROR(VLOOKUP(B342,input_572103!L:R,7,FALSE),VLOOKUP(tables_572103!C342,input_572103!A:H,8,FALSE))</f>
        <v>320</v>
      </c>
      <c r="P342" s="40">
        <f t="shared" ca="1" si="24"/>
        <v>3.7037037037894433E-4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input_572103!A$2</f>
        <v>572103</v>
      </c>
      <c r="B343" s="2">
        <v>1248</v>
      </c>
      <c r="C343" s="86" t="str">
        <f t="shared" si="22"/>
        <v>Premium4R3less</v>
      </c>
      <c r="D343" s="7" t="str">
        <f t="shared" si="2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IFERROR(VLOOKUP(B343,input_572103!L:R,7,FALSE),VLOOKUP(tables_572103!C343,input_572103!A:H,8,FALSE))</f>
        <v>4277.2114300000003</v>
      </c>
      <c r="P343" s="40">
        <f t="shared" ca="1" si="24"/>
        <v>4.9504761922442315E-3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input_572103!A$2</f>
        <v>572103</v>
      </c>
      <c r="B344" s="2">
        <v>1249</v>
      </c>
      <c r="C344" s="86" t="str">
        <f t="shared" si="22"/>
        <v>Premium5R3less</v>
      </c>
      <c r="D344" s="7" t="str">
        <f t="shared" si="2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IFERROR(VLOOKUP(B344,input_572103!L:R,7,FALSE),VLOOKUP(tables_572103!C344,input_572103!A:H,8,FALSE))</f>
        <v>187.14947000000001</v>
      </c>
      <c r="P344" s="40">
        <f t="shared" ca="1" si="24"/>
        <v>2.1660818287538478E-4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input_572103!A$2</f>
        <v>572103</v>
      </c>
      <c r="B345" s="2">
        <v>1250</v>
      </c>
      <c r="C345" s="86" t="str">
        <f t="shared" si="22"/>
        <v>PremiumSS5R5only</v>
      </c>
      <c r="D345" s="7" t="str">
        <f t="shared" si="2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IFERROR(VLOOKUP(B345,input_572103!L:R,7,FALSE),VLOOKUP(tables_572103!C345,input_572103!A:H,8,FALSE))</f>
        <v>320</v>
      </c>
      <c r="P345" s="40">
        <f t="shared" ca="1" si="24"/>
        <v>3.7037037037894433E-4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input_572103!A$2</f>
        <v>572103</v>
      </c>
      <c r="B346" s="1">
        <v>1260</v>
      </c>
      <c r="C346" s="86" t="str">
        <f t="shared" ref="C346" si="25">D346&amp;J346&amp;E346&amp;F346&amp;G346</f>
        <v>PremiumSS5R5onlycolor</v>
      </c>
      <c r="D346" s="7" t="str">
        <f t="shared" ref="D346" si="2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">
        <v>35</v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IFERROR(VLOOKUP(B346,input_572103!L:R,7,FALSE),VLOOKUP(tables_572103!C346,input_572103!A:H,8,FALSE))</f>
        <v>1440</v>
      </c>
      <c r="P346" s="40">
        <f ca="1">O346/SUM(O:O)</f>
        <v>1.6666666667052494E-3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input_572103!A$2</f>
        <v>572103</v>
      </c>
      <c r="B347" s="1">
        <v>1262</v>
      </c>
      <c r="C347" s="86" t="str">
        <f t="shared" ref="C347:C356" si="27">D347&amp;J347&amp;E347&amp;F347&amp;G347</f>
        <v>PremiumSS5R5only</v>
      </c>
      <c r="D347" s="7" t="str">
        <f t="shared" ref="D347:D356" si="28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IFERROR(VLOOKUP(B347,input_572103!L:R,7,FALSE),VLOOKUP(tables_572103!C347,input_572103!A:H,8,FALSE))</f>
        <v>320</v>
      </c>
      <c r="P347" s="40">
        <f t="shared" ref="P347:P350" ca="1" si="29">O347/SUM(O:O)</f>
        <v>3.7037037037894433E-4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input_572103!A$2</f>
        <v>572103</v>
      </c>
      <c r="B348" s="1">
        <v>1264</v>
      </c>
      <c r="C348" s="86" t="str">
        <f t="shared" si="27"/>
        <v>PremiumSS5R5only</v>
      </c>
      <c r="D348" s="7" t="str">
        <f t="shared" si="28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IFERROR(VLOOKUP(B348,input_572103!L:R,7,FALSE),VLOOKUP(tables_572103!C348,input_572103!A:H,8,FALSE))</f>
        <v>320</v>
      </c>
      <c r="P348" s="40">
        <f t="shared" ca="1" si="29"/>
        <v>3.7037037037894433E-4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input_572103!A$2</f>
        <v>572103</v>
      </c>
      <c r="B349" s="1">
        <v>1266</v>
      </c>
      <c r="C349" s="86" t="str">
        <f t="shared" si="27"/>
        <v>Premium4R3less</v>
      </c>
      <c r="D349" s="7" t="str">
        <f t="shared" si="2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IFERROR(VLOOKUP(B349,input_572103!L:R,7,FALSE),VLOOKUP(tables_572103!C349,input_572103!A:H,8,FALSE))</f>
        <v>4277.2114300000003</v>
      </c>
      <c r="P349" s="40">
        <f t="shared" ca="1" si="29"/>
        <v>4.9504761922442315E-3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input_572103!A$2</f>
        <v>572103</v>
      </c>
      <c r="B350" s="1">
        <v>1267</v>
      </c>
      <c r="C350" s="86" t="str">
        <f t="shared" si="27"/>
        <v>Premium5R3less</v>
      </c>
      <c r="D350" s="7" t="str">
        <f t="shared" si="2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IFERROR(VLOOKUP(B350,input_572103!L:R,7,FALSE),VLOOKUP(tables_572103!C350,input_572103!A:H,8,FALSE))</f>
        <v>187.14947000000001</v>
      </c>
      <c r="P350" s="40">
        <f t="shared" ca="1" si="29"/>
        <v>2.1660818287538478E-4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input_572103!A$2</f>
        <v>572103</v>
      </c>
      <c r="B351" s="102">
        <v>1332</v>
      </c>
      <c r="C351" s="86" t="str">
        <f t="shared" si="27"/>
        <v>PremiumSS5R5onlycolor</v>
      </c>
      <c r="D351" s="7" t="str">
        <f t="shared" si="2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 t="s">
        <v>35</v>
      </c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IFERROR(VLOOKUP(B351,input_572103!L:R,7,FALSE),VLOOKUP(tables_572103!C351,input_572103!A:H,8,FALSE))</f>
        <v>1440</v>
      </c>
      <c r="P351" s="40">
        <f t="shared" ref="P351:P356" ca="1" si="30">O351/SUM(O:O)</f>
        <v>1.6666666667052494E-3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input_572103!A$2</f>
        <v>572103</v>
      </c>
      <c r="B352" s="102">
        <v>1336</v>
      </c>
      <c r="C352" s="86" t="str">
        <f t="shared" si="27"/>
        <v>PremiumSS5R5only</v>
      </c>
      <c r="D352" s="7" t="str">
        <f t="shared" si="2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IFERROR(VLOOKUP(B352,input_572103!L:R,7,FALSE),VLOOKUP(tables_572103!C352,input_572103!A:H,8,FALSE))</f>
        <v>320</v>
      </c>
      <c r="P352" s="40">
        <f t="shared" ca="1" si="30"/>
        <v>3.7037037037894433E-4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input_572103!A$2</f>
        <v>572103</v>
      </c>
      <c r="B353" s="102">
        <v>1338</v>
      </c>
      <c r="C353" s="86" t="str">
        <f t="shared" si="27"/>
        <v>PremiumSS5R5only</v>
      </c>
      <c r="D353" s="7" t="str">
        <f t="shared" si="2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IFERROR(VLOOKUP(B353,input_572103!L:R,7,FALSE),VLOOKUP(tables_572103!C353,input_572103!A:H,8,FALSE))</f>
        <v>320</v>
      </c>
      <c r="P353" s="40">
        <f t="shared" ca="1" si="30"/>
        <v>3.7037037037894433E-4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input_572103!A$2</f>
        <v>572103</v>
      </c>
      <c r="B354" s="102">
        <v>1334</v>
      </c>
      <c r="C354" s="86" t="str">
        <f t="shared" si="27"/>
        <v>Premium4R3less</v>
      </c>
      <c r="D354" s="7" t="str">
        <f t="shared" si="2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IFERROR(VLOOKUP(B354,input_572103!L:R,7,FALSE),VLOOKUP(tables_572103!C354,input_572103!A:H,8,FALSE))</f>
        <v>4277.2114300000003</v>
      </c>
      <c r="P354" s="40">
        <f t="shared" ca="1" si="30"/>
        <v>4.9504761922442315E-3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input_572103!A$2</f>
        <v>572103</v>
      </c>
      <c r="B355" s="102">
        <v>1335</v>
      </c>
      <c r="C355" s="86" t="str">
        <f t="shared" si="27"/>
        <v>Premium5R3less</v>
      </c>
      <c r="D355" s="7" t="str">
        <f t="shared" si="2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IFERROR(VLOOKUP(B355,input_572103!L:R,7,FALSE),VLOOKUP(tables_572103!C355,input_572103!A:H,8,FALSE))</f>
        <v>187.14947000000001</v>
      </c>
      <c r="P355" s="40">
        <f t="shared" ca="1" si="30"/>
        <v>2.1660818287538478E-4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input_572103!A$2</f>
        <v>572103</v>
      </c>
      <c r="B356" s="1">
        <v>786</v>
      </c>
      <c r="C356" s="86" t="str">
        <f t="shared" si="27"/>
        <v>PremiumSSS5R3lesscolor</v>
      </c>
      <c r="D356" s="7" t="str">
        <f t="shared" si="28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35</v>
      </c>
      <c r="H356" s="7" t="str">
        <f>VLOOKUP(B356,[1]characters!$A:$C,3,FALSE)</f>
        <v>ヘイウェイ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dragon</v>
      </c>
      <c r="N356" s="7" t="str">
        <f>VLOOKUP(B356,[1]characters!$A:$G,7,FALSE)</f>
        <v>男性</v>
      </c>
      <c r="O356" s="39">
        <f>IFERROR(VLOOKUP(B356,input_572103!L:R,7,FALSE),VLOOKUP(tables_572103!C356,input_572103!A:H,8,FALSE))</f>
        <v>5184</v>
      </c>
      <c r="P356" s="40">
        <f t="shared" ca="1" si="30"/>
        <v>6.0000000001388977E-3</v>
      </c>
      <c r="Q356" s="76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5"/>
  <sheetViews>
    <sheetView topLeftCell="A12" workbookViewId="0">
      <selection activeCell="F65" sqref="F63:F65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572104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786</v>
      </c>
      <c r="M3" s="31" t="str">
        <f>VLOOKUP(L3,[1]characters!$A:$C,3,FALSE)</f>
        <v>ヘイウェイ</v>
      </c>
      <c r="N3" s="54">
        <v>1.2E-2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VLOOKUP(L3,tables_572104!B:C,2,FALSE)</f>
        <v>PremiumSSS5R3lesscolor</v>
      </c>
      <c r="R3" s="53">
        <f t="shared" ref="R3:R20" si="1">N3*A$51</f>
        <v>10368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VLOOKUP(L4,tables_572104!B:C,2,FALSE)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3.7037037037037046E-4</v>
      </c>
      <c r="F5">
        <f>(COUNTIF(tables_572104!C:C,input_572104!A28)+COUNTIF(tables_572104!C:C,input_572104!A29))</f>
        <v>54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VLOOKUP(L5,tables_572104!B:C,2,FALSE)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(COUNTIF(tables_572104!C:C,input_572104!A43)+COUNTIF(tables_572104!C:C,input_572104!A44))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VLOOKUP(L6,tables_572104!B:C,2,FALSE)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5.2111111111111108E-3</v>
      </c>
      <c r="F7">
        <f>(COUNTIF(tables_572104!C:C,input_572104!A26)+COUNTIF(tables_572104!C:C,input_572104!A18)+COUNTIF(tables_572104!C:C,input_572104!A20)+COUNTIF(tables_572104!C:C,input_572104!A22))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VLOOKUP(L7,tables_572104!B:C,2,FALSE)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2.3449999999999999E-2</v>
      </c>
      <c r="F8">
        <f>(COUNTIF(tables_572104!C:C,input_572104!A40)+COUNTIF(tables_572104!C:C,input_572104!A33)+COUNTIF(tables_572104!C:C,input_572104!A35)+COUNTIF(tables_572104!C:C,input_572104!A37))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VLOOKUP(L8,tables_572104!B:C,2,FALSE)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VLOOKUP(L9,tables_572104!B:C,2,FALSE)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0.93799999999999994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VLOOKUP(L10,tables_572104!B:C,2,FALSE)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VLOOKUP(L11,tables_572104!B:C,2,FALSE)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1.2E-2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VLOOKUP(L12,tables_572104!B:C,2,FALSE)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VLOOKUP(L13,tables_572104!B:C,2,FALSE)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VLOOKUP(L14,tables_572104!B:C,2,FALSE)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VLOOKUP(L15,tables_572104!B:C,2,FALSE)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VLOOKUP(L16,tables_572104!B:C,2,FALSE)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6" si="2">SUMIF(Q:Q,A17,N:N)</f>
        <v>0</v>
      </c>
      <c r="D17" s="66">
        <f t="shared" ref="D17:D47" si="3">B17-C17</f>
        <v>0</v>
      </c>
      <c r="E17">
        <f>COUNTIF(tables_572104!C:C,input_572104!A17)-COUNTIF(Q:Q,A17)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VLOOKUP(L17,tables_572104!B:C,2,FALSE)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8.2966666666666744E-2</v>
      </c>
      <c r="C18" s="75">
        <f t="shared" si="2"/>
        <v>0</v>
      </c>
      <c r="D18" s="66">
        <f t="shared" si="3"/>
        <v>8.2966666666666744E-2</v>
      </c>
      <c r="E18">
        <f>COUNTIF(tables_572104!C:C,input_572104!A18)-COUNTIF(Q:Q,A18)</f>
        <v>15</v>
      </c>
      <c r="F18" s="37">
        <f>IFERROR(B18/E18,0)</f>
        <v>5.531111111111116E-3</v>
      </c>
      <c r="G18">
        <f t="shared" si="4"/>
        <v>71683.20000000007</v>
      </c>
      <c r="H18">
        <f t="shared" si="5"/>
        <v>4778.88</v>
      </c>
      <c r="I18">
        <f t="shared" si="6"/>
        <v>0.88000000000010914</v>
      </c>
      <c r="J18">
        <f t="shared" si="7"/>
        <v>1.1363636363634955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VLOOKUP(L18,tables_572104!B:C,2,FALSE)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COUNTIF(tables_572104!C:C,input_572104!A19)-COUNTIF(Q:Q,A19)</f>
        <v>40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VLOOKUP(L19,tables_572104!B:C,2,FALSE)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0.18759999999999999</v>
      </c>
      <c r="C20" s="75">
        <f t="shared" si="2"/>
        <v>0</v>
      </c>
      <c r="D20" s="66">
        <f t="shared" si="3"/>
        <v>0.18759999999999999</v>
      </c>
      <c r="E20">
        <f>COUNTIF(tables_572104!C:C,input_572104!A20)-COUNTIF(Q:Q,A20)</f>
        <v>40</v>
      </c>
      <c r="F20" s="37">
        <f t="shared" si="8"/>
        <v>4.6899999999999997E-3</v>
      </c>
      <c r="G20">
        <f t="shared" si="4"/>
        <v>162086.39999999999</v>
      </c>
      <c r="H20">
        <f t="shared" si="5"/>
        <v>4052.16</v>
      </c>
      <c r="I20">
        <f t="shared" si="6"/>
        <v>0.15999999999985448</v>
      </c>
      <c r="J20">
        <f t="shared" si="7"/>
        <v>6.2500000000056843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VLOOKUP(L20,tables_572104!B:C,2,FALSE)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2.0844444444444443E-2</v>
      </c>
      <c r="C21" s="75">
        <f t="shared" si="2"/>
        <v>0</v>
      </c>
      <c r="D21" s="66">
        <f t="shared" si="3"/>
        <v>2.0844444444444443E-2</v>
      </c>
      <c r="E21">
        <f>COUNTIF(tables_572104!C:C,input_572104!A21)-COUNTIF(Q:Q,A21)</f>
        <v>40</v>
      </c>
      <c r="F21" s="37">
        <f t="shared" si="8"/>
        <v>5.2111111111111108E-4</v>
      </c>
      <c r="G21">
        <f t="shared" si="4"/>
        <v>18009.599999999999</v>
      </c>
      <c r="H21">
        <f t="shared" si="5"/>
        <v>450.24</v>
      </c>
      <c r="I21">
        <f t="shared" si="6"/>
        <v>0.24000000000000909</v>
      </c>
      <c r="J21">
        <f t="shared" si="7"/>
        <v>4.1666666666665089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6.8696666666666656E-2</v>
      </c>
      <c r="C22" s="75">
        <f t="shared" si="2"/>
        <v>0</v>
      </c>
      <c r="D22" s="66">
        <f t="shared" si="3"/>
        <v>6.8696666666666656E-2</v>
      </c>
      <c r="E22">
        <f>COUNTIF(tables_572104!C:C,input_572104!A22)-COUNTIF(Q:Q,A22)</f>
        <v>14</v>
      </c>
      <c r="F22" s="37">
        <f t="shared" si="8"/>
        <v>4.9069047619047608E-3</v>
      </c>
      <c r="G22">
        <f t="shared" si="4"/>
        <v>59353.919999999991</v>
      </c>
      <c r="H22">
        <f t="shared" si="5"/>
        <v>4239.5657099999999</v>
      </c>
      <c r="I22">
        <f t="shared" si="6"/>
        <v>0.56570999999985361</v>
      </c>
      <c r="J22">
        <f t="shared" si="7"/>
        <v>1.7676901592693408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4.2588888888888954E-3</v>
      </c>
      <c r="C23" s="75">
        <f t="shared" si="2"/>
        <v>0</v>
      </c>
      <c r="D23" s="66">
        <f t="shared" si="3"/>
        <v>4.2588888888888954E-3</v>
      </c>
      <c r="E23">
        <f>COUNTIF(tables_572104!C:C,input_572104!A23)-COUNTIF(Q:Q,A23)</f>
        <v>19</v>
      </c>
      <c r="F23" s="37">
        <f t="shared" si="8"/>
        <v>2.2415204678362608E-4</v>
      </c>
      <c r="G23">
        <f t="shared" si="4"/>
        <v>3679.6800000000057</v>
      </c>
      <c r="H23">
        <f t="shared" si="5"/>
        <v>193.66737000000001</v>
      </c>
      <c r="I23">
        <f t="shared" si="6"/>
        <v>0.66737000000000535</v>
      </c>
      <c r="J23">
        <f t="shared" si="7"/>
        <v>1.4984191677779821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COUNTIF(tables_572104!C:C,input_572104!A24)-COUNTIF(Q:Q,A24)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1.4069999999999999E-2</v>
      </c>
      <c r="C25" s="75">
        <f t="shared" si="2"/>
        <v>0</v>
      </c>
      <c r="D25" s="66">
        <f t="shared" si="3"/>
        <v>1.4069999999999999E-2</v>
      </c>
      <c r="E25">
        <f>COUNTIF(tables_572104!C:C,input_572104!A25)-COUNTIF(Q:Q,A25)</f>
        <v>3</v>
      </c>
      <c r="F25" s="37">
        <f t="shared" si="8"/>
        <v>4.6899999999999997E-3</v>
      </c>
      <c r="G25">
        <f t="shared" si="4"/>
        <v>12156.48</v>
      </c>
      <c r="H25">
        <f t="shared" si="5"/>
        <v>4052.16</v>
      </c>
      <c r="I25">
        <f t="shared" si="6"/>
        <v>0.15999999999985448</v>
      </c>
      <c r="J25">
        <f t="shared" si="7"/>
        <v>6.2500000000056843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1.5633333333333332E-3</v>
      </c>
      <c r="C26" s="75">
        <f t="shared" si="2"/>
        <v>0</v>
      </c>
      <c r="D26" s="66">
        <f t="shared" si="3"/>
        <v>1.5633333333333332E-3</v>
      </c>
      <c r="E26">
        <f>COUNTIF(tables_572104!C:C,input_572104!A26)-COUNTIF(Q:Q,A26)</f>
        <v>3</v>
      </c>
      <c r="F26" s="37">
        <f t="shared" si="8"/>
        <v>5.2111111111111108E-4</v>
      </c>
      <c r="G26">
        <f t="shared" si="4"/>
        <v>1350.72</v>
      </c>
      <c r="H26">
        <f t="shared" si="5"/>
        <v>450.24</v>
      </c>
      <c r="I26">
        <f t="shared" si="6"/>
        <v>0.24000000000000909</v>
      </c>
      <c r="J26">
        <f t="shared" si="7"/>
        <v>4.1666666666665089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6.6666666666666688E-3</v>
      </c>
      <c r="C27" s="75">
        <f t="shared" si="2"/>
        <v>0</v>
      </c>
      <c r="D27" s="66">
        <f t="shared" si="3"/>
        <v>6.6666666666666688E-3</v>
      </c>
      <c r="E27">
        <f>COUNTIF(tables_572104!C:C,input_572104!A27)-COUNTIF(Q:Q,A27)</f>
        <v>20</v>
      </c>
      <c r="F27" s="37">
        <f>IFERROR(B27/E27,0)</f>
        <v>3.3333333333333343E-4</v>
      </c>
      <c r="G27">
        <f t="shared" si="4"/>
        <v>5760.0000000000018</v>
      </c>
      <c r="H27">
        <f t="shared" si="5"/>
        <v>288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7.4074074074074103E-4</v>
      </c>
      <c r="C28" s="75">
        <f t="shared" si="2"/>
        <v>0</v>
      </c>
      <c r="D28" s="66">
        <f t="shared" si="3"/>
        <v>7.4074074074074103E-4</v>
      </c>
      <c r="E28">
        <f>COUNTIF(tables_572104!C:C,input_572104!A28)-COUNTIF(Q:Q,A28)</f>
        <v>20</v>
      </c>
      <c r="F28" s="37">
        <f t="shared" si="8"/>
        <v>3.703703703703705E-5</v>
      </c>
      <c r="G28">
        <f t="shared" si="4"/>
        <v>640.00000000000023</v>
      </c>
      <c r="H28">
        <f t="shared" si="5"/>
        <v>32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1.2592592592592596E-2</v>
      </c>
      <c r="C29" s="75">
        <f t="shared" si="2"/>
        <v>0</v>
      </c>
      <c r="D29" s="66">
        <f t="shared" si="3"/>
        <v>1.2592592592592596E-2</v>
      </c>
      <c r="E29">
        <f>COUNTIF(tables_572104!C:C,input_572104!A29)-COUNTIF(Q:Q,A29)</f>
        <v>34</v>
      </c>
      <c r="F29" s="37">
        <f t="shared" si="8"/>
        <v>3.7037037037037046E-4</v>
      </c>
      <c r="G29">
        <f t="shared" si="4"/>
        <v>10880.000000000004</v>
      </c>
      <c r="H29">
        <f t="shared" si="5"/>
        <v>320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COUNTIF(tables_572104!C:C,input_572104!A30)-COUNTIF(Q:Q,A30)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COUNTIF(tables_572104!C:C,input_572104!A31)-COUNTIF(Q:Q,A31)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COUNTIF(tables_572104!C:C,input_572104!A32)-COUNTIF(Q:Q,A32)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0.12335000000000007</v>
      </c>
      <c r="C33" s="75">
        <f t="shared" si="2"/>
        <v>0</v>
      </c>
      <c r="D33" s="66">
        <f t="shared" si="3"/>
        <v>0.12335000000000007</v>
      </c>
      <c r="E33">
        <f>COUNTIF(tables_572104!C:C,input_572104!A33)-COUNTIF(Q:Q,A33)</f>
        <v>5</v>
      </c>
      <c r="F33" s="37">
        <f>IFERROR(B33/E33,0)</f>
        <v>2.4670000000000015E-2</v>
      </c>
      <c r="G33">
        <f t="shared" si="4"/>
        <v>106574.40000000007</v>
      </c>
      <c r="H33">
        <f t="shared" si="5"/>
        <v>21314.880000000001</v>
      </c>
      <c r="I33">
        <f t="shared" si="6"/>
        <v>0.88000000000101863</v>
      </c>
      <c r="J33">
        <f t="shared" si="7"/>
        <v>1.1363636363623211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COUNTIF(tables_572104!C:C,input_572104!A34)-COUNTIF(Q:Q,A34)</f>
        <v>12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0.25325999999999999</v>
      </c>
      <c r="C35" s="75">
        <f t="shared" si="2"/>
        <v>0</v>
      </c>
      <c r="D35" s="66">
        <f t="shared" si="3"/>
        <v>0.25325999999999999</v>
      </c>
      <c r="E35">
        <f>COUNTIF(tables_572104!C:C,input_572104!A35)-COUNTIF(Q:Q,A35)</f>
        <v>12</v>
      </c>
      <c r="F35" s="37">
        <f t="shared" si="9"/>
        <v>2.1104999999999999E-2</v>
      </c>
      <c r="G35">
        <f t="shared" si="4"/>
        <v>218816.63999999998</v>
      </c>
      <c r="H35">
        <f t="shared" si="5"/>
        <v>18234.72</v>
      </c>
      <c r="I35">
        <f t="shared" si="6"/>
        <v>0.72000000000116415</v>
      </c>
      <c r="J35">
        <f t="shared" si="7"/>
        <v>1.3888888888866433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1.7239999999999998E-2</v>
      </c>
      <c r="C36" s="75">
        <f t="shared" si="2"/>
        <v>0</v>
      </c>
      <c r="D36" s="66">
        <f t="shared" si="3"/>
        <v>1.7239999999999998E-2</v>
      </c>
      <c r="E36">
        <f>COUNTIF(tables_572104!C:C,input_572104!A36)-COUNTIF(Q:Q,A36)</f>
        <v>12</v>
      </c>
      <c r="F36" s="37">
        <f t="shared" si="9"/>
        <v>1.4366666666666666E-3</v>
      </c>
      <c r="G36">
        <f t="shared" si="4"/>
        <v>14895.359999999999</v>
      </c>
      <c r="H36">
        <f t="shared" si="5"/>
        <v>1241.28</v>
      </c>
      <c r="I36">
        <f t="shared" si="6"/>
        <v>0.27999999999997272</v>
      </c>
      <c r="J36">
        <f t="shared" si="7"/>
        <v>3.5714285714289193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0.13028499999999998</v>
      </c>
      <c r="C37" s="75">
        <f t="shared" si="2"/>
        <v>0</v>
      </c>
      <c r="D37" s="66">
        <f t="shared" si="3"/>
        <v>0.13028499999999998</v>
      </c>
      <c r="E37">
        <f>COUNTIF(tables_572104!C:C,input_572104!A37)-COUNTIF(Q:Q,A37)</f>
        <v>6</v>
      </c>
      <c r="F37" s="37">
        <f t="shared" si="9"/>
        <v>2.1714166666666663E-2</v>
      </c>
      <c r="G37">
        <f t="shared" si="4"/>
        <v>112566.23999999999</v>
      </c>
      <c r="H37">
        <f t="shared" si="5"/>
        <v>18761.04</v>
      </c>
      <c r="I37">
        <f t="shared" si="6"/>
        <v>4.0000000000873115E-2</v>
      </c>
      <c r="J37">
        <f t="shared" si="7"/>
        <v>24.999999999454303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1.0414999999999999E-2</v>
      </c>
      <c r="C38" s="75">
        <f t="shared" si="2"/>
        <v>0</v>
      </c>
      <c r="D38" s="66">
        <f t="shared" si="3"/>
        <v>1.0414999999999999E-2</v>
      </c>
      <c r="E38">
        <f>COUNTIF(tables_572104!C:C,input_572104!A38)-COUNTIF(Q:Q,A38)</f>
        <v>7</v>
      </c>
      <c r="F38" s="37">
        <f t="shared" si="9"/>
        <v>1.4878571428571428E-3</v>
      </c>
      <c r="G38">
        <f t="shared" si="4"/>
        <v>8998.56</v>
      </c>
      <c r="H38">
        <f t="shared" si="5"/>
        <v>1285.50857</v>
      </c>
      <c r="I38">
        <f t="shared" si="6"/>
        <v>0.50856999999996333</v>
      </c>
      <c r="J38">
        <f t="shared" si="7"/>
        <v>1.966297658139631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COUNTIF(tables_572104!C:C,input_572104!A39)-COUNTIF(Q:Q,A39)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2.1104999999999999E-2</v>
      </c>
      <c r="C40" s="75">
        <f t="shared" si="2"/>
        <v>0</v>
      </c>
      <c r="D40" s="66">
        <f t="shared" si="3"/>
        <v>2.1104999999999999E-2</v>
      </c>
      <c r="E40">
        <f>COUNTIF(tables_572104!C:C,input_572104!A40)-COUNTIF(Q:Q,A40)</f>
        <v>1</v>
      </c>
      <c r="F40" s="37">
        <f t="shared" si="9"/>
        <v>2.1104999999999999E-2</v>
      </c>
      <c r="G40">
        <f t="shared" si="4"/>
        <v>18234.719999999998</v>
      </c>
      <c r="H40">
        <f t="shared" si="5"/>
        <v>18234.72</v>
      </c>
      <c r="I40">
        <f t="shared" si="6"/>
        <v>0.72000000000116415</v>
      </c>
      <c r="J40">
        <f t="shared" si="7"/>
        <v>1.3888888888866433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2.3449999999999999E-3</v>
      </c>
      <c r="C41" s="75">
        <f t="shared" si="2"/>
        <v>0</v>
      </c>
      <c r="D41" s="66">
        <f t="shared" si="3"/>
        <v>2.3449999999999999E-3</v>
      </c>
      <c r="E41">
        <f>COUNTIF(tables_572104!C:C,input_572104!A41)-COUNTIF(Q:Q,A41)</f>
        <v>1</v>
      </c>
      <c r="F41" s="37">
        <f t="shared" si="9"/>
        <v>2.3449999999999999E-3</v>
      </c>
      <c r="G41">
        <f t="shared" si="4"/>
        <v>2026.08</v>
      </c>
      <c r="H41">
        <f t="shared" si="5"/>
        <v>2026.08</v>
      </c>
      <c r="I41">
        <f t="shared" si="6"/>
        <v>7.999999999992724E-2</v>
      </c>
      <c r="J41">
        <f t="shared" si="7"/>
        <v>12.500000000011369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1.2E-2</v>
      </c>
      <c r="C42" s="75">
        <f t="shared" si="2"/>
        <v>0</v>
      </c>
      <c r="D42" s="66">
        <f t="shared" si="3"/>
        <v>1.2E-2</v>
      </c>
      <c r="E42">
        <f>COUNTIF(tables_572104!C:C,input_572104!A42)-COUNTIF(Q:Q,A42)</f>
        <v>8</v>
      </c>
      <c r="F42" s="37">
        <f>IFERROR(B42/E42,0)</f>
        <v>1.5E-3</v>
      </c>
      <c r="G42">
        <f t="shared" si="4"/>
        <v>10368</v>
      </c>
      <c r="H42">
        <f t="shared" si="5"/>
        <v>1296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1.3333333333333333E-3</v>
      </c>
      <c r="C43" s="75">
        <f t="shared" si="2"/>
        <v>0</v>
      </c>
      <c r="D43" s="66">
        <f t="shared" si="3"/>
        <v>1.3333333333333333E-3</v>
      </c>
      <c r="E43">
        <f>COUNTIF(tables_572104!C:C,input_572104!A43)-COUNTIF(Q:Q,A43)</f>
        <v>8</v>
      </c>
      <c r="F43" s="37">
        <f t="shared" ref="F43:F46" si="10">IFERROR(B43/E43,0)</f>
        <v>1.6666666666666666E-4</v>
      </c>
      <c r="G43">
        <f t="shared" si="4"/>
        <v>1152</v>
      </c>
      <c r="H43">
        <f t="shared" si="5"/>
        <v>144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1.6666666666666666E-2</v>
      </c>
      <c r="C44" s="75">
        <f t="shared" si="2"/>
        <v>0</v>
      </c>
      <c r="D44" s="66">
        <f t="shared" si="3"/>
        <v>1.6666666666666666E-2</v>
      </c>
      <c r="E44">
        <f>COUNTIF(tables_572104!C:C,input_572104!A44)-COUNTIF(Q:Q,A44)</f>
        <v>10</v>
      </c>
      <c r="F44" s="37">
        <f t="shared" si="10"/>
        <v>1.6666666666666666E-3</v>
      </c>
      <c r="G44">
        <f t="shared" si="4"/>
        <v>14400</v>
      </c>
      <c r="H44">
        <f t="shared" si="5"/>
        <v>1440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COUNTIF(tables_572104!C:C,input_572104!A45)-COUNTIF(Q:Q,A45)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1.2E-2</v>
      </c>
      <c r="C46" s="75">
        <f t="shared" si="2"/>
        <v>1.2E-2</v>
      </c>
      <c r="D46" s="66">
        <f t="shared" si="3"/>
        <v>0</v>
      </c>
      <c r="E46">
        <f>COUNTIF(tables_572104!C:C,input_572104!A46)-COUNTIF(Q:Q,A46)</f>
        <v>0</v>
      </c>
      <c r="F46" s="37">
        <f t="shared" si="10"/>
        <v>0</v>
      </c>
      <c r="G46">
        <f t="shared" si="4"/>
        <v>10368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1.0000000000000002</v>
      </c>
      <c r="C47" s="34">
        <f>SUM(C17:C46)</f>
        <v>1.2E-2</v>
      </c>
      <c r="D47" s="36">
        <f t="shared" si="3"/>
        <v>0.98800000000000021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  <c r="H49" s="92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47"/>
    </row>
    <row r="51" spans="1:8" x14ac:dyDescent="0.15">
      <c r="A51" s="26">
        <f>LCM(F5-I5,F7-I6)*1000*2*2</f>
        <v>864000</v>
      </c>
      <c r="H51" s="68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SUMIF(tables_572104!C:C,input_572104!A55,tables_572104!O:O)</f>
        <v>0</v>
      </c>
      <c r="C55" s="46">
        <f t="shared" ref="C55:C61" ca="1" si="11">B55/B$62</f>
        <v>0</v>
      </c>
      <c r="E55">
        <v>3</v>
      </c>
      <c r="F55">
        <f ca="1">SUMIF(tables_572104!J:J,input_572104!E55,tables_572104!O:O)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SUMIF(tables_572104!C:C,input_572104!A56,tables_572104!O:O)</f>
        <v>162086.40000000011</v>
      </c>
      <c r="C56" s="46">
        <f t="shared" ca="1" si="11"/>
        <v>0.86911461908030208</v>
      </c>
      <c r="E56">
        <v>4</v>
      </c>
      <c r="F56">
        <f ca="1">SUMIF(tables_572104!J:J,input_572104!E56,tables_572104!O:O)</f>
        <v>777599.99994000001</v>
      </c>
      <c r="G56">
        <f ca="1">F56/A51</f>
        <v>0.89999999993055557</v>
      </c>
      <c r="H56" s="47">
        <f>B18+B20+B22+B25+B27+B30+B33+B35+B37+B40+B42+B45</f>
        <v>0.90000000000000013</v>
      </c>
    </row>
    <row r="57" spans="1:8" x14ac:dyDescent="0.15">
      <c r="A57" s="27" t="s">
        <v>90</v>
      </c>
      <c r="B57">
        <f ca="1">SUMIF(tables_572104!C:C,input_572104!A57,tables_572104!O:O)</f>
        <v>5760</v>
      </c>
      <c r="C57" s="46">
        <f t="shared" ca="1" si="11"/>
        <v>3.0885380919697992E-2</v>
      </c>
      <c r="E57">
        <v>5</v>
      </c>
      <c r="F57">
        <f ca="1">SUMIF(tables_572104!J:J,input_572104!E57,tables_572104!O:O)</f>
        <v>86400.000020000007</v>
      </c>
      <c r="G57">
        <f ca="1">F57/A51</f>
        <v>0.10000000002314816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SUMIF(tables_572104!C:C,input_572104!A58,tables_572104!O:O)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SUMIF(tables_572104!C:C,input_572104!A59,tables_572104!O:O)</f>
        <v>18009.599999999999</v>
      </c>
      <c r="C59" s="46">
        <f t="shared" ca="1" si="11"/>
        <v>9.6568291008922377E-2</v>
      </c>
      <c r="E59" t="s">
        <v>37</v>
      </c>
      <c r="F59" s="47"/>
    </row>
    <row r="60" spans="1:8" x14ac:dyDescent="0.15">
      <c r="A60" s="27" t="s">
        <v>91</v>
      </c>
      <c r="B60">
        <f ca="1">SUMIF(tables_572104!C:C,input_572104!A60,tables_572104!O:O)</f>
        <v>640</v>
      </c>
      <c r="C60" s="46">
        <f t="shared" ca="1" si="11"/>
        <v>3.4317089910775546E-3</v>
      </c>
      <c r="E60" t="s">
        <v>190</v>
      </c>
      <c r="F60" s="47">
        <f ca="1">SUMIF(tables_572104!I:I,input_572104!E60,tables_572104!P:P)</f>
        <v>0.20892528406059824</v>
      </c>
    </row>
    <row r="61" spans="1:8" x14ac:dyDescent="0.15">
      <c r="A61" s="27" t="s">
        <v>92</v>
      </c>
      <c r="B61">
        <f>SUMIF(tables_572104!C:C,input_572104!A61,tables_572104!O:O)</f>
        <v>0</v>
      </c>
      <c r="C61" s="46">
        <f t="shared" ca="1" si="11"/>
        <v>0</v>
      </c>
      <c r="E61" t="s">
        <v>191</v>
      </c>
      <c r="F61" s="47">
        <f ca="1">SUMIF(tables_572104!I:I,input_572104!E61,tables_572104!P:P)</f>
        <v>0.19178333334221204</v>
      </c>
    </row>
    <row r="62" spans="1:8" x14ac:dyDescent="0.15">
      <c r="A62" s="33" t="s">
        <v>42</v>
      </c>
      <c r="B62">
        <f ca="1">SUM(B55:B61)</f>
        <v>186496.00000000012</v>
      </c>
      <c r="C62" s="47">
        <f ca="1">SUM(C55:C61)</f>
        <v>1</v>
      </c>
      <c r="E62" t="s">
        <v>192</v>
      </c>
      <c r="F62" s="47">
        <f ca="1">SUMIF(tables_572104!I:I,input_572104!E62,tables_572104!P:P)</f>
        <v>0.53729138259431819</v>
      </c>
    </row>
    <row r="63" spans="1:8" x14ac:dyDescent="0.15">
      <c r="E63" t="s">
        <v>193</v>
      </c>
      <c r="F63" s="104">
        <f ca="1">SUMIF(tables_572104!I:I,input_572104!E63,tables_572104!P:P)</f>
        <v>4.4074074076114481E-2</v>
      </c>
      <c r="G63" s="84"/>
    </row>
    <row r="64" spans="1:8" x14ac:dyDescent="0.15">
      <c r="E64" t="s">
        <v>253</v>
      </c>
      <c r="F64" s="104">
        <f ca="1">SUMIF(tables_572104!I:I,input_572104!E64,tables_572104!P:P)</f>
        <v>5.9259259262002695E-3</v>
      </c>
    </row>
    <row r="65" spans="5:6" x14ac:dyDescent="0.15">
      <c r="E65" t="s">
        <v>251</v>
      </c>
      <c r="F65" s="104">
        <f ca="1">SUMIF(tables_572104!I:I,input_572104!E65,tables_572104!P:P)</f>
        <v>1.2000000000555549E-2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08" activePane="bottomLeft" state="frozen"/>
      <selection activeCell="H44" sqref="H44"/>
      <selection pane="bottomLeft" activeCell="R356" sqref="R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input_572104!A$2</f>
        <v>572104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">
        <v>35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IFERROR(VLOOKUP(B2,input_572104!L:R,7,FALSE),VLOOKUP(tables_572104!C2,input_572104!A:H,8,FALSE))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input_572104!A$2</f>
        <v>572104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">
        <v>35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IFERROR(VLOOKUP(B3,input_572104!L:R,7,FALSE),VLOOKUP(tables_572104!C3,input_572104!A:H,8,FALSE))</f>
        <v>21314.880000000001</v>
      </c>
      <c r="P3" s="40">
        <f t="shared" ca="1" si="1"/>
        <v>2.4670000001142115E-2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input_572104!A$2</f>
        <v>572104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IFERROR(VLOOKUP(B4,input_572104!L:R,7,FALSE),VLOOKUP(tables_572104!C4,input_572104!A:H,8,FALSE))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input_572104!A$2</f>
        <v>572104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IFERROR(VLOOKUP(B5,input_572104!L:R,7,FALSE),VLOOKUP(tables_572104!C5,input_572104!A:H,8,FALSE))</f>
        <v>4778.88</v>
      </c>
      <c r="P5" s="40">
        <f t="shared" ca="1" si="1"/>
        <v>5.5311111113671776E-3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input_572104!A$2</f>
        <v>572104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IFERROR(VLOOKUP(B6,input_572104!L:R,7,FALSE),VLOOKUP(tables_572104!C6,input_572104!A:H,8,FALSE))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input_572104!A$2</f>
        <v>572104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IFERROR(VLOOKUP(B7,input_572104!L:R,7,FALSE),VLOOKUP(tables_572104!C7,input_572104!A:H,8,FALSE))</f>
        <v>4778.88</v>
      </c>
      <c r="P7" s="40">
        <f t="shared" ca="1" si="1"/>
        <v>5.5311111113671776E-3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input_572104!A$2</f>
        <v>572104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IFERROR(VLOOKUP(B8,input_572104!L:R,7,FALSE),VLOOKUP(tables_572104!C8,input_572104!A:H,8,FALSE))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input_572104!A$2</f>
        <v>572104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IFERROR(VLOOKUP(B9,input_572104!L:R,7,FALSE),VLOOKUP(tables_572104!C9,input_572104!A:H,8,FALSE))</f>
        <v>4778.88</v>
      </c>
      <c r="P9" s="40">
        <f t="shared" ca="1" si="1"/>
        <v>5.5311111113671776E-3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input_572104!A$2</f>
        <v>572104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">
        <v>35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IFERROR(VLOOKUP(B10,input_572104!L:R,7,FALSE),VLOOKUP(tables_572104!C10,input_572104!A:H,8,FALSE))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input_572104!A$2</f>
        <v>572104</v>
      </c>
      <c r="B11" s="8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">
        <v>35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IFERROR(VLOOKUP(B11,input_572104!L:R,7,FALSE),VLOOKUP(tables_572104!C11,input_572104!A:H,8,FALSE))</f>
        <v>21314.880000000001</v>
      </c>
      <c r="P11" s="40">
        <f t="shared" ca="1" si="1"/>
        <v>2.4670000001142115E-2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input_572104!A$2</f>
        <v>572104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IFERROR(VLOOKUP(B12,input_572104!L:R,7,FALSE),VLOOKUP(tables_572104!C12,input_572104!A:H,8,FALSE))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input_572104!A$2</f>
        <v>572104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IFERROR(VLOOKUP(B13,input_572104!L:R,7,FALSE),VLOOKUP(tables_572104!C13,input_572104!A:H,8,FALSE))</f>
        <v>4778.88</v>
      </c>
      <c r="P13" s="40">
        <f t="shared" ca="1" si="1"/>
        <v>5.5311111113671776E-3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input_572104!A$2</f>
        <v>572104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IFERROR(VLOOKUP(B14,input_572104!L:R,7,FALSE),VLOOKUP(tables_572104!C14,input_572104!A:H,8,FALSE))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input_572104!A$2</f>
        <v>572104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IFERROR(VLOOKUP(B15,input_572104!L:R,7,FALSE),VLOOKUP(tables_572104!C15,input_572104!A:H,8,FALSE))</f>
        <v>4778.88</v>
      </c>
      <c r="P15" s="40">
        <f t="shared" ca="1" si="1"/>
        <v>5.5311111113671776E-3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input_572104!A$2</f>
        <v>572104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IFERROR(VLOOKUP(B16,input_572104!L:R,7,FALSE),VLOOKUP(tables_572104!C16,input_572104!A:H,8,FALSE))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input_572104!A$2</f>
        <v>572104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IFERROR(VLOOKUP(B17,input_572104!L:R,7,FALSE),VLOOKUP(tables_572104!C17,input_572104!A:H,8,FALSE))</f>
        <v>4778.88</v>
      </c>
      <c r="P17" s="40">
        <f t="shared" ca="1" si="1"/>
        <v>5.5311111113671776E-3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input_572104!A$2</f>
        <v>572104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">
        <v>35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IFERROR(VLOOKUP(B18,input_572104!L:R,7,FALSE),VLOOKUP(tables_572104!C18,input_572104!A:H,8,FALSE))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input_572104!A$2</f>
        <v>572104</v>
      </c>
      <c r="B19" s="10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">
        <v>35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IFERROR(VLOOKUP(B19,input_572104!L:R,7,FALSE),VLOOKUP(tables_572104!C19,input_572104!A:H,8,FALSE))</f>
        <v>21314.880000000001</v>
      </c>
      <c r="P19" s="40">
        <f t="shared" ca="1" si="1"/>
        <v>2.4670000001142115E-2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input_572104!A$2</f>
        <v>572104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IFERROR(VLOOKUP(B20,input_572104!L:R,7,FALSE),VLOOKUP(tables_572104!C20,input_572104!A:H,8,FALSE))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input_572104!A$2</f>
        <v>572104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IFERROR(VLOOKUP(B21,input_572104!L:R,7,FALSE),VLOOKUP(tables_572104!C21,input_572104!A:H,8,FALSE))</f>
        <v>4778.88</v>
      </c>
      <c r="P21" s="40">
        <f t="shared" ca="1" si="1"/>
        <v>5.5311111113671776E-3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input_572104!A$2</f>
        <v>572104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IFERROR(VLOOKUP(B22,input_572104!L:R,7,FALSE),VLOOKUP(tables_572104!C22,input_572104!A:H,8,FALSE))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input_572104!A$2</f>
        <v>572104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IFERROR(VLOOKUP(B23,input_572104!L:R,7,FALSE),VLOOKUP(tables_572104!C23,input_572104!A:H,8,FALSE))</f>
        <v>4778.88</v>
      </c>
      <c r="P23" s="40">
        <f t="shared" ca="1" si="1"/>
        <v>5.5311111113671776E-3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input_572104!A$2</f>
        <v>572104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IFERROR(VLOOKUP(B24,input_572104!L:R,7,FALSE),VLOOKUP(tables_572104!C24,input_572104!A:H,8,FALSE))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input_572104!A$2</f>
        <v>572104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IFERROR(VLOOKUP(B25,input_572104!L:R,7,FALSE),VLOOKUP(tables_572104!C25,input_572104!A:H,8,FALSE))</f>
        <v>4778.88</v>
      </c>
      <c r="P25" s="40">
        <f t="shared" ca="1" si="1"/>
        <v>5.5311111113671776E-3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input_572104!A$2</f>
        <v>572104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">
        <v>35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IFERROR(VLOOKUP(B26,input_572104!L:R,7,FALSE),VLOOKUP(tables_572104!C26,input_572104!A:H,8,FALSE))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input_572104!A$2</f>
        <v>572104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">
        <v>35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IFERROR(VLOOKUP(B27,input_572104!L:R,7,FALSE),VLOOKUP(tables_572104!C27,input_572104!A:H,8,FALSE))</f>
        <v>21314.880000000001</v>
      </c>
      <c r="P27" s="40">
        <f t="shared" ca="1" si="1"/>
        <v>2.4670000001142115E-2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input_572104!A$2</f>
        <v>572104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IFERROR(VLOOKUP(B28,input_572104!L:R,7,FALSE),VLOOKUP(tables_572104!C28,input_572104!A:H,8,FALSE))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input_572104!A$2</f>
        <v>572104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IFERROR(VLOOKUP(B29,input_572104!L:R,7,FALSE),VLOOKUP(tables_572104!C29,input_572104!A:H,8,FALSE))</f>
        <v>4778.88</v>
      </c>
      <c r="P29" s="40">
        <f t="shared" ca="1" si="1"/>
        <v>5.5311111113671776E-3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input_572104!A$2</f>
        <v>572104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IFERROR(VLOOKUP(B30,input_572104!L:R,7,FALSE),VLOOKUP(tables_572104!C30,input_572104!A:H,8,FALSE))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input_572104!A$2</f>
        <v>572104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IFERROR(VLOOKUP(B31,input_572104!L:R,7,FALSE),VLOOKUP(tables_572104!C31,input_572104!A:H,8,FALSE))</f>
        <v>4778.88</v>
      </c>
      <c r="P31" s="40">
        <f t="shared" ca="1" si="1"/>
        <v>5.5311111113671776E-3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input_572104!A$2</f>
        <v>572104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IFERROR(VLOOKUP(B32,input_572104!L:R,7,FALSE),VLOOKUP(tables_572104!C32,input_572104!A:H,8,FALSE))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input_572104!A$2</f>
        <v>572104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IFERROR(VLOOKUP(B33,input_572104!L:R,7,FALSE),VLOOKUP(tables_572104!C33,input_572104!A:H,8,FALSE))</f>
        <v>4778.88</v>
      </c>
      <c r="P33" s="40">
        <f t="shared" ca="1" si="1"/>
        <v>5.5311111113671776E-3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input_572104!A$2</f>
        <v>572104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">
        <v>35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IFERROR(VLOOKUP(B34,input_572104!L:R,7,FALSE),VLOOKUP(tables_572104!C34,input_572104!A:H,8,FALSE))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input_572104!A$2</f>
        <v>572104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">
        <v>35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IFERROR(VLOOKUP(B35,input_572104!L:R,7,FALSE),VLOOKUP(tables_572104!C35,input_572104!A:H,8,FALSE))</f>
        <v>21314.880000000001</v>
      </c>
      <c r="P35" s="40">
        <f t="shared" ca="1" si="1"/>
        <v>2.4670000001142115E-2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input_572104!A$2</f>
        <v>572104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IFERROR(VLOOKUP(B36,input_572104!L:R,7,FALSE),VLOOKUP(tables_572104!C36,input_572104!A:H,8,FALSE))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input_572104!A$2</f>
        <v>572104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IFERROR(VLOOKUP(B37,input_572104!L:R,7,FALSE),VLOOKUP(tables_572104!C37,input_572104!A:H,8,FALSE))</f>
        <v>4778.88</v>
      </c>
      <c r="P37" s="40">
        <f t="shared" ca="1" si="1"/>
        <v>5.5311111113671776E-3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input_572104!A$2</f>
        <v>572104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IFERROR(VLOOKUP(B38,input_572104!L:R,7,FALSE),VLOOKUP(tables_572104!C38,input_572104!A:H,8,FALSE))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input_572104!A$2</f>
        <v>572104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IFERROR(VLOOKUP(B39,input_572104!L:R,7,FALSE),VLOOKUP(tables_572104!C39,input_572104!A:H,8,FALSE))</f>
        <v>4778.88</v>
      </c>
      <c r="P39" s="40">
        <f t="shared" ca="1" si="1"/>
        <v>5.5311111113671776E-3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input_572104!A$2</f>
        <v>572104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IFERROR(VLOOKUP(B40,input_572104!L:R,7,FALSE),VLOOKUP(tables_572104!C40,input_572104!A:H,8,FALSE))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input_572104!A$2</f>
        <v>572104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IFERROR(VLOOKUP(B41,input_572104!L:R,7,FALSE),VLOOKUP(tables_572104!C41,input_572104!A:H,8,FALSE))</f>
        <v>4778.88</v>
      </c>
      <c r="P41" s="40">
        <f t="shared" ca="1" si="1"/>
        <v>5.5311111113671776E-3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input_572104!A$2</f>
        <v>572104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">
        <v>35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IFERROR(VLOOKUP(B42,input_572104!L:R,7,FALSE),VLOOKUP(tables_572104!C42,input_572104!A:H,8,FALSE))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input_572104!A$2</f>
        <v>572104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">
        <v>35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IFERROR(VLOOKUP(B43,input_572104!L:R,7,FALSE),VLOOKUP(tables_572104!C43,input_572104!A:H,8,FALSE))</f>
        <v>18234.72</v>
      </c>
      <c r="P43" s="40">
        <f t="shared" ca="1" si="1"/>
        <v>2.1105000000977071E-2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input_572104!A$2</f>
        <v>572104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">
        <v>35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IFERROR(VLOOKUP(B44,input_572104!L:R,7,FALSE),VLOOKUP(tables_572104!C44,input_572104!A:H,8,FALSE))</f>
        <v>2026.08</v>
      </c>
      <c r="P44" s="40">
        <f t="shared" ca="1" si="1"/>
        <v>2.3450000001085632E-3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input_572104!A$2</f>
        <v>572104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IFERROR(VLOOKUP(B45,input_572104!L:R,7,FALSE),VLOOKUP(tables_572104!C45,input_572104!A:H,8,FALSE))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input_572104!A$2</f>
        <v>572104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IFERROR(VLOOKUP(B46,input_572104!L:R,7,FALSE),VLOOKUP(tables_572104!C46,input_572104!A:H,8,FALSE))</f>
        <v>4052.16</v>
      </c>
      <c r="P46" s="40">
        <f t="shared" ca="1" si="1"/>
        <v>4.6900000002171264E-3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input_572104!A$2</f>
        <v>572104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IFERROR(VLOOKUP(B47,input_572104!L:R,7,FALSE),VLOOKUP(tables_572104!C47,input_572104!A:H,8,FALSE))</f>
        <v>450.24</v>
      </c>
      <c r="P47" s="40">
        <f t="shared" ca="1" si="1"/>
        <v>5.2111111113523631E-4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input_572104!A$2</f>
        <v>572104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IFERROR(VLOOKUP(B48,input_572104!L:R,7,FALSE),VLOOKUP(tables_572104!C48,input_572104!A:H,8,FALSE))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input_572104!A$2</f>
        <v>572104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IFERROR(VLOOKUP(B49,input_572104!L:R,7,FALSE),VLOOKUP(tables_572104!C49,input_572104!A:H,8,FALSE))</f>
        <v>4052.16</v>
      </c>
      <c r="P49" s="40">
        <f t="shared" ca="1" si="1"/>
        <v>4.6900000002171264E-3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input_572104!A$2</f>
        <v>572104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IFERROR(VLOOKUP(B50,input_572104!L:R,7,FALSE),VLOOKUP(tables_572104!C50,input_572104!A:H,8,FALSE))</f>
        <v>450.24</v>
      </c>
      <c r="P50" s="40">
        <f t="shared" ca="1" si="1"/>
        <v>5.2111111113523631E-4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input_572104!A$2</f>
        <v>572104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IFERROR(VLOOKUP(B51,input_572104!L:R,7,FALSE),VLOOKUP(tables_572104!C51,input_572104!A:H,8,FALSE))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input_572104!A$2</f>
        <v>572104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IFERROR(VLOOKUP(B52,input_572104!L:R,7,FALSE),VLOOKUP(tables_572104!C52,input_572104!A:H,8,FALSE))</f>
        <v>4052.16</v>
      </c>
      <c r="P52" s="40">
        <f t="shared" ca="1" si="1"/>
        <v>4.6900000002171264E-3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input_572104!A$2</f>
        <v>572104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IFERROR(VLOOKUP(B53,input_572104!L:R,7,FALSE),VLOOKUP(tables_572104!C53,input_572104!A:H,8,FALSE))</f>
        <v>450.24</v>
      </c>
      <c r="P53" s="40">
        <f t="shared" ca="1" si="1"/>
        <v>5.2111111113523631E-4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input_572104!A$2</f>
        <v>572104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">
        <v>35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IFERROR(VLOOKUP(B54,input_572104!L:R,7,FALSE),VLOOKUP(tables_572104!C54,input_572104!A:H,8,FALSE))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input_572104!A$2</f>
        <v>572104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">
        <v>35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IFERROR(VLOOKUP(B55,input_572104!L:R,7,FALSE),VLOOKUP(tables_572104!C55,input_572104!A:H,8,FALSE))</f>
        <v>18234.72</v>
      </c>
      <c r="P55" s="40">
        <f t="shared" ca="1" si="1"/>
        <v>2.1105000000977071E-2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input_572104!A$2</f>
        <v>572104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">
        <v>35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IFERROR(VLOOKUP(B56,input_572104!L:R,7,FALSE),VLOOKUP(tables_572104!C56,input_572104!A:H,8,FALSE))</f>
        <v>1241.28</v>
      </c>
      <c r="P56" s="40">
        <f t="shared" ca="1" si="1"/>
        <v>1.4366666667331781E-3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input_572104!A$2</f>
        <v>572104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IFERROR(VLOOKUP(B57,input_572104!L:R,7,FALSE),VLOOKUP(tables_572104!C57,input_572104!A:H,8,FALSE))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input_572104!A$2</f>
        <v>572104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IFERROR(VLOOKUP(B58,input_572104!L:R,7,FALSE),VLOOKUP(tables_572104!C58,input_572104!A:H,8,FALSE))</f>
        <v>4052.16</v>
      </c>
      <c r="P58" s="40">
        <f t="shared" ca="1" si="1"/>
        <v>4.6900000002171264E-3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input_572104!A$2</f>
        <v>572104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IFERROR(VLOOKUP(B59,input_572104!L:R,7,FALSE),VLOOKUP(tables_572104!C59,input_572104!A:H,8,FALSE))</f>
        <v>450.24</v>
      </c>
      <c r="P59" s="40">
        <f t="shared" ca="1" si="1"/>
        <v>5.2111111113523631E-4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input_572104!A$2</f>
        <v>572104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IFERROR(VLOOKUP(B60,input_572104!L:R,7,FALSE),VLOOKUP(tables_572104!C60,input_572104!A:H,8,FALSE))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input_572104!A$2</f>
        <v>572104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IFERROR(VLOOKUP(B61,input_572104!L:R,7,FALSE),VLOOKUP(tables_572104!C61,input_572104!A:H,8,FALSE))</f>
        <v>4052.16</v>
      </c>
      <c r="P61" s="40">
        <f t="shared" ca="1" si="1"/>
        <v>4.6900000002171264E-3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input_572104!A$2</f>
        <v>572104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IFERROR(VLOOKUP(B62,input_572104!L:R,7,FALSE),VLOOKUP(tables_572104!C62,input_572104!A:H,8,FALSE))</f>
        <v>450.24</v>
      </c>
      <c r="P62" s="40">
        <f t="shared" ca="1" si="1"/>
        <v>5.2111111113523631E-4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input_572104!A$2</f>
        <v>572104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IFERROR(VLOOKUP(B63,input_572104!L:R,7,FALSE),VLOOKUP(tables_572104!C63,input_572104!A:H,8,FALSE))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input_572104!A$2</f>
        <v>572104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IFERROR(VLOOKUP(B64,input_572104!L:R,7,FALSE),VLOOKUP(tables_572104!C64,input_572104!A:H,8,FALSE))</f>
        <v>4052.16</v>
      </c>
      <c r="P64" s="40">
        <f t="shared" ca="1" si="1"/>
        <v>4.6900000002171264E-3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input_572104!A$2</f>
        <v>572104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IFERROR(VLOOKUP(B65,input_572104!L:R,7,FALSE),VLOOKUP(tables_572104!C65,input_572104!A:H,8,FALSE))</f>
        <v>450.24</v>
      </c>
      <c r="P65" s="40">
        <f t="shared" ca="1" si="1"/>
        <v>5.2111111113523631E-4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input_572104!A$2</f>
        <v>572104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">
        <v>35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IFERROR(VLOOKUP(B66,input_572104!L:R,7,FALSE),VLOOKUP(tables_572104!C66,input_572104!A:H,8,FALSE))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input_572104!A$2</f>
        <v>572104</v>
      </c>
      <c r="B67" s="6">
        <v>191</v>
      </c>
      <c r="C67" s="7" t="str">
        <f t="shared" si="3"/>
        <v>Premium4color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">
        <v>35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IFERROR(VLOOKUP(B67,input_572104!L:R,7,FALSE),VLOOKUP(tables_572104!C67,input_572104!A:H,8,FALSE))</f>
        <v>18234.72</v>
      </c>
      <c r="P67" s="40">
        <f t="shared" ca="1" si="4"/>
        <v>2.1105000000977071E-2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input_572104!A$2</f>
        <v>572104</v>
      </c>
      <c r="B68" s="6">
        <v>192</v>
      </c>
      <c r="C68" s="7" t="str">
        <f t="shared" si="3"/>
        <v>Premium5color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">
        <v>35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IFERROR(VLOOKUP(B68,input_572104!L:R,7,FALSE),VLOOKUP(tables_572104!C68,input_572104!A:H,8,FALSE))</f>
        <v>1241.28</v>
      </c>
      <c r="P68" s="40">
        <f t="shared" ca="1" si="4"/>
        <v>1.4366666667331781E-3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input_572104!A$2</f>
        <v>572104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IFERROR(VLOOKUP(B69,input_572104!L:R,7,FALSE),VLOOKUP(tables_572104!C69,input_572104!A:H,8,FALSE))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input_572104!A$2</f>
        <v>572104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IFERROR(VLOOKUP(B70,input_572104!L:R,7,FALSE),VLOOKUP(tables_572104!C70,input_572104!A:H,8,FALSE))</f>
        <v>4052.16</v>
      </c>
      <c r="P70" s="40">
        <f t="shared" ca="1" si="4"/>
        <v>4.6900000002171264E-3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input_572104!A$2</f>
        <v>572104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IFERROR(VLOOKUP(B71,input_572104!L:R,7,FALSE),VLOOKUP(tables_572104!C71,input_572104!A:H,8,FALSE))</f>
        <v>450.24</v>
      </c>
      <c r="P71" s="40">
        <f t="shared" ca="1" si="4"/>
        <v>5.2111111113523631E-4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input_572104!A$2</f>
        <v>572104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IFERROR(VLOOKUP(B72,input_572104!L:R,7,FALSE),VLOOKUP(tables_572104!C72,input_572104!A:H,8,FALSE))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input_572104!A$2</f>
        <v>572104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IFERROR(VLOOKUP(B73,input_572104!L:R,7,FALSE),VLOOKUP(tables_572104!C73,input_572104!A:H,8,FALSE))</f>
        <v>4052.16</v>
      </c>
      <c r="P73" s="40">
        <f t="shared" ca="1" si="4"/>
        <v>4.6900000002171264E-3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input_572104!A$2</f>
        <v>572104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IFERROR(VLOOKUP(B74,input_572104!L:R,7,FALSE),VLOOKUP(tables_572104!C74,input_572104!A:H,8,FALSE))</f>
        <v>450.24</v>
      </c>
      <c r="P74" s="40">
        <f t="shared" ca="1" si="4"/>
        <v>5.2111111113523631E-4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input_572104!A$2</f>
        <v>572104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IFERROR(VLOOKUP(B75,input_572104!L:R,7,FALSE),VLOOKUP(tables_572104!C75,input_572104!A:H,8,FALSE))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input_572104!A$2</f>
        <v>572104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IFERROR(VLOOKUP(B76,input_572104!L:R,7,FALSE),VLOOKUP(tables_572104!C76,input_572104!A:H,8,FALSE))</f>
        <v>4052.16</v>
      </c>
      <c r="P76" s="40">
        <f t="shared" ca="1" si="4"/>
        <v>4.6900000002171264E-3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input_572104!A$2</f>
        <v>572104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IFERROR(VLOOKUP(B77,input_572104!L:R,7,FALSE),VLOOKUP(tables_572104!C77,input_572104!A:H,8,FALSE))</f>
        <v>450.24</v>
      </c>
      <c r="P77" s="40">
        <f t="shared" ca="1" si="4"/>
        <v>5.2111111113523631E-4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input_572104!A$2</f>
        <v>572104</v>
      </c>
      <c r="B78" s="5">
        <v>202</v>
      </c>
      <c r="C78" s="7" t="str">
        <f t="shared" si="3"/>
        <v>Premium3color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">
        <v>35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IFERROR(VLOOKUP(B78,input_572104!L:R,7,FALSE),VLOOKUP(tables_572104!C78,input_572104!A:H,8,FALSE))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input_572104!A$2</f>
        <v>572104</v>
      </c>
      <c r="B79" s="5">
        <v>203</v>
      </c>
      <c r="C79" s="7" t="str">
        <f t="shared" si="3"/>
        <v>Premium4color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">
        <v>35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IFERROR(VLOOKUP(B79,input_572104!L:R,7,FALSE),VLOOKUP(tables_572104!C79,input_572104!A:H,8,FALSE))</f>
        <v>18234.72</v>
      </c>
      <c r="P79" s="40">
        <f t="shared" ca="1" si="4"/>
        <v>2.1105000000977071E-2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input_572104!A$2</f>
        <v>572104</v>
      </c>
      <c r="B80" s="5">
        <v>204</v>
      </c>
      <c r="C80" s="7" t="str">
        <f t="shared" si="3"/>
        <v>Premium5color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">
        <v>35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IFERROR(VLOOKUP(B80,input_572104!L:R,7,FALSE),VLOOKUP(tables_572104!C80,input_572104!A:H,8,FALSE))</f>
        <v>1241.28</v>
      </c>
      <c r="P80" s="40">
        <f t="shared" ca="1" si="4"/>
        <v>1.4366666667331781E-3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input_572104!A$2</f>
        <v>572104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IFERROR(VLOOKUP(B81,input_572104!L:R,7,FALSE),VLOOKUP(tables_572104!C81,input_572104!A:H,8,FALSE))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input_572104!A$2</f>
        <v>572104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IFERROR(VLOOKUP(B82,input_572104!L:R,7,FALSE),VLOOKUP(tables_572104!C82,input_572104!A:H,8,FALSE))</f>
        <v>4052.16</v>
      </c>
      <c r="P82" s="40">
        <f t="shared" ca="1" si="4"/>
        <v>4.6900000002171264E-3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input_572104!A$2</f>
        <v>572104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IFERROR(VLOOKUP(B83,input_572104!L:R,7,FALSE),VLOOKUP(tables_572104!C83,input_572104!A:H,8,FALSE))</f>
        <v>450.24</v>
      </c>
      <c r="P83" s="40">
        <f t="shared" ca="1" si="4"/>
        <v>5.2111111113523631E-4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input_572104!A$2</f>
        <v>572104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IFERROR(VLOOKUP(B84,input_572104!L:R,7,FALSE),VLOOKUP(tables_572104!C84,input_572104!A:H,8,FALSE))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input_572104!A$2</f>
        <v>572104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IFERROR(VLOOKUP(B85,input_572104!L:R,7,FALSE),VLOOKUP(tables_572104!C85,input_572104!A:H,8,FALSE))</f>
        <v>4052.16</v>
      </c>
      <c r="P85" s="40">
        <f t="shared" ca="1" si="4"/>
        <v>4.6900000002171264E-3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input_572104!A$2</f>
        <v>572104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IFERROR(VLOOKUP(B86,input_572104!L:R,7,FALSE),VLOOKUP(tables_572104!C86,input_572104!A:H,8,FALSE))</f>
        <v>450.24</v>
      </c>
      <c r="P86" s="40">
        <f t="shared" ca="1" si="4"/>
        <v>5.2111111113523631E-4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input_572104!A$2</f>
        <v>572104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IFERROR(VLOOKUP(B87,input_572104!L:R,7,FALSE),VLOOKUP(tables_572104!C87,input_572104!A:H,8,FALSE))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input_572104!A$2</f>
        <v>572104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IFERROR(VLOOKUP(B88,input_572104!L:R,7,FALSE),VLOOKUP(tables_572104!C88,input_572104!A:H,8,FALSE))</f>
        <v>4052.16</v>
      </c>
      <c r="P88" s="40">
        <f t="shared" ca="1" si="4"/>
        <v>4.6900000002171264E-3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input_572104!A$2</f>
        <v>572104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IFERROR(VLOOKUP(B89,input_572104!L:R,7,FALSE),VLOOKUP(tables_572104!C89,input_572104!A:H,8,FALSE))</f>
        <v>450.24</v>
      </c>
      <c r="P89" s="40">
        <f t="shared" ca="1" si="4"/>
        <v>5.2111111113523631E-4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input_572104!A$2</f>
        <v>572104</v>
      </c>
      <c r="B90" s="5">
        <v>214</v>
      </c>
      <c r="C90" s="7" t="str">
        <f t="shared" si="3"/>
        <v>Premium3color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">
        <v>35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IFERROR(VLOOKUP(B90,input_572104!L:R,7,FALSE),VLOOKUP(tables_572104!C90,input_572104!A:H,8,FALSE))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input_572104!A$2</f>
        <v>572104</v>
      </c>
      <c r="B91" s="5">
        <v>215</v>
      </c>
      <c r="C91" s="7" t="str">
        <f t="shared" si="3"/>
        <v>Premium4color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">
        <v>35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IFERROR(VLOOKUP(B91,input_572104!L:R,7,FALSE),VLOOKUP(tables_572104!C91,input_572104!A:H,8,FALSE))</f>
        <v>18234.72</v>
      </c>
      <c r="P91" s="40">
        <f t="shared" ca="1" si="4"/>
        <v>2.1105000000977071E-2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input_572104!A$2</f>
        <v>572104</v>
      </c>
      <c r="B92" s="5">
        <v>216</v>
      </c>
      <c r="C92" s="7" t="str">
        <f t="shared" si="3"/>
        <v>Premium5color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">
        <v>35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IFERROR(VLOOKUP(B92,input_572104!L:R,7,FALSE),VLOOKUP(tables_572104!C92,input_572104!A:H,8,FALSE))</f>
        <v>1241.28</v>
      </c>
      <c r="P92" s="40">
        <f t="shared" ca="1" si="4"/>
        <v>1.4366666667331781E-3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input_572104!A$2</f>
        <v>572104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IFERROR(VLOOKUP(B93,input_572104!L:R,7,FALSE),VLOOKUP(tables_572104!C93,input_572104!A:H,8,FALSE))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input_572104!A$2</f>
        <v>572104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IFERROR(VLOOKUP(B94,input_572104!L:R,7,FALSE),VLOOKUP(tables_572104!C94,input_572104!A:H,8,FALSE))</f>
        <v>4052.16</v>
      </c>
      <c r="P94" s="40">
        <f t="shared" ca="1" si="4"/>
        <v>4.6900000002171264E-3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input_572104!A$2</f>
        <v>572104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IFERROR(VLOOKUP(B95,input_572104!L:R,7,FALSE),VLOOKUP(tables_572104!C95,input_572104!A:H,8,FALSE))</f>
        <v>450.24</v>
      </c>
      <c r="P95" s="40">
        <f t="shared" ca="1" si="4"/>
        <v>5.2111111113523631E-4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input_572104!A$2</f>
        <v>572104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IFERROR(VLOOKUP(B96,input_572104!L:R,7,FALSE),VLOOKUP(tables_572104!C96,input_572104!A:H,8,FALSE))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input_572104!A$2</f>
        <v>572104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IFERROR(VLOOKUP(B97,input_572104!L:R,7,FALSE),VLOOKUP(tables_572104!C97,input_572104!A:H,8,FALSE))</f>
        <v>4052.16</v>
      </c>
      <c r="P97" s="40">
        <f t="shared" ca="1" si="4"/>
        <v>4.6900000002171264E-3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input_572104!A$2</f>
        <v>572104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IFERROR(VLOOKUP(B98,input_572104!L:R,7,FALSE),VLOOKUP(tables_572104!C98,input_572104!A:H,8,FALSE))</f>
        <v>450.24</v>
      </c>
      <c r="P98" s="40">
        <f t="shared" ca="1" si="4"/>
        <v>5.2111111113523631E-4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input_572104!A$2</f>
        <v>572104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IFERROR(VLOOKUP(B99,input_572104!L:R,7,FALSE),VLOOKUP(tables_572104!C99,input_572104!A:H,8,FALSE))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input_572104!A$2</f>
        <v>572104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IFERROR(VLOOKUP(B100,input_572104!L:R,7,FALSE),VLOOKUP(tables_572104!C100,input_572104!A:H,8,FALSE))</f>
        <v>4052.16</v>
      </c>
      <c r="P100" s="40">
        <f t="shared" ca="1" si="4"/>
        <v>4.6900000002171264E-3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input_572104!A$2</f>
        <v>572104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IFERROR(VLOOKUP(B101,input_572104!L:R,7,FALSE),VLOOKUP(tables_572104!C101,input_572104!A:H,8,FALSE))</f>
        <v>450.24</v>
      </c>
      <c r="P101" s="40">
        <f t="shared" ca="1" si="4"/>
        <v>5.2111111113523631E-4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input_572104!A$2</f>
        <v>572104</v>
      </c>
      <c r="B102" s="5">
        <v>226</v>
      </c>
      <c r="C102" s="7" t="str">
        <f t="shared" si="3"/>
        <v>Premium3color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">
        <v>35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IFERROR(VLOOKUP(B102,input_572104!L:R,7,FALSE),VLOOKUP(tables_572104!C102,input_572104!A:H,8,FALSE))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input_572104!A$2</f>
        <v>572104</v>
      </c>
      <c r="B103" s="5">
        <v>227</v>
      </c>
      <c r="C103" s="7" t="str">
        <f t="shared" si="3"/>
        <v>Premium4color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">
        <v>35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IFERROR(VLOOKUP(B103,input_572104!L:R,7,FALSE),VLOOKUP(tables_572104!C103,input_572104!A:H,8,FALSE))</f>
        <v>18234.72</v>
      </c>
      <c r="P103" s="40">
        <f t="shared" ca="1" si="4"/>
        <v>2.1105000000977071E-2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input_572104!A$2</f>
        <v>572104</v>
      </c>
      <c r="B104" s="5">
        <v>228</v>
      </c>
      <c r="C104" s="7" t="str">
        <f t="shared" si="3"/>
        <v>Premium5color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">
        <v>35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IFERROR(VLOOKUP(B104,input_572104!L:R,7,FALSE),VLOOKUP(tables_572104!C104,input_572104!A:H,8,FALSE))</f>
        <v>1241.28</v>
      </c>
      <c r="P104" s="40">
        <f t="shared" ca="1" si="4"/>
        <v>1.4366666667331781E-3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input_572104!A$2</f>
        <v>572104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IFERROR(VLOOKUP(B105,input_572104!L:R,7,FALSE),VLOOKUP(tables_572104!C105,input_572104!A:H,8,FALSE))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input_572104!A$2</f>
        <v>572104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IFERROR(VLOOKUP(B106,input_572104!L:R,7,FALSE),VLOOKUP(tables_572104!C106,input_572104!A:H,8,FALSE))</f>
        <v>4052.16</v>
      </c>
      <c r="P106" s="40">
        <f t="shared" ca="1" si="4"/>
        <v>4.6900000002171264E-3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input_572104!A$2</f>
        <v>572104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IFERROR(VLOOKUP(B107,input_572104!L:R,7,FALSE),VLOOKUP(tables_572104!C107,input_572104!A:H,8,FALSE))</f>
        <v>450.24</v>
      </c>
      <c r="P107" s="40">
        <f t="shared" ca="1" si="4"/>
        <v>5.2111111113523631E-4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input_572104!A$2</f>
        <v>572104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IFERROR(VLOOKUP(B108,input_572104!L:R,7,FALSE),VLOOKUP(tables_572104!C108,input_572104!A:H,8,FALSE))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input_572104!A$2</f>
        <v>572104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IFERROR(VLOOKUP(B109,input_572104!L:R,7,FALSE),VLOOKUP(tables_572104!C109,input_572104!A:H,8,FALSE))</f>
        <v>4052.16</v>
      </c>
      <c r="P109" s="40">
        <f t="shared" ca="1" si="4"/>
        <v>4.6900000002171264E-3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input_572104!A$2</f>
        <v>572104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IFERROR(VLOOKUP(B110,input_572104!L:R,7,FALSE),VLOOKUP(tables_572104!C110,input_572104!A:H,8,FALSE))</f>
        <v>450.24</v>
      </c>
      <c r="P110" s="40">
        <f t="shared" ca="1" si="4"/>
        <v>5.2111111113523631E-4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input_572104!A$2</f>
        <v>572104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IFERROR(VLOOKUP(B111,input_572104!L:R,7,FALSE),VLOOKUP(tables_572104!C111,input_572104!A:H,8,FALSE))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input_572104!A$2</f>
        <v>572104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IFERROR(VLOOKUP(B112,input_572104!L:R,7,FALSE),VLOOKUP(tables_572104!C112,input_572104!A:H,8,FALSE))</f>
        <v>4052.16</v>
      </c>
      <c r="P112" s="40">
        <f t="shared" ca="1" si="4"/>
        <v>4.6900000002171264E-3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input_572104!A$2</f>
        <v>572104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IFERROR(VLOOKUP(B113,input_572104!L:R,7,FALSE),VLOOKUP(tables_572104!C113,input_572104!A:H,8,FALSE))</f>
        <v>450.24</v>
      </c>
      <c r="P113" s="40">
        <f t="shared" ca="1" si="4"/>
        <v>5.2111111113523631E-4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input_572104!A$2</f>
        <v>572104</v>
      </c>
      <c r="B114" s="5">
        <v>238</v>
      </c>
      <c r="C114" s="7" t="str">
        <f t="shared" si="3"/>
        <v>Premium3color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">
        <v>35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IFERROR(VLOOKUP(B114,input_572104!L:R,7,FALSE),VLOOKUP(tables_572104!C114,input_572104!A:H,8,FALSE))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input_572104!A$2</f>
        <v>572104</v>
      </c>
      <c r="B115" s="5">
        <v>239</v>
      </c>
      <c r="C115" s="7" t="str">
        <f t="shared" si="3"/>
        <v>Premium4color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">
        <v>35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IFERROR(VLOOKUP(B115,input_572104!L:R,7,FALSE),VLOOKUP(tables_572104!C115,input_572104!A:H,8,FALSE))</f>
        <v>18234.72</v>
      </c>
      <c r="P115" s="40">
        <f t="shared" ca="1" si="4"/>
        <v>2.1105000000977071E-2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input_572104!A$2</f>
        <v>572104</v>
      </c>
      <c r="B116" s="5">
        <v>240</v>
      </c>
      <c r="C116" s="7" t="str">
        <f t="shared" si="3"/>
        <v>Premium5color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">
        <v>35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IFERROR(VLOOKUP(B116,input_572104!L:R,7,FALSE),VLOOKUP(tables_572104!C116,input_572104!A:H,8,FALSE))</f>
        <v>1241.28</v>
      </c>
      <c r="P116" s="40">
        <f t="shared" ca="1" si="4"/>
        <v>1.4366666667331781E-3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input_572104!A$2</f>
        <v>572104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IFERROR(VLOOKUP(B117,input_572104!L:R,7,FALSE),VLOOKUP(tables_572104!C117,input_572104!A:H,8,FALSE))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input_572104!A$2</f>
        <v>572104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IFERROR(VLOOKUP(B118,input_572104!L:R,7,FALSE),VLOOKUP(tables_572104!C118,input_572104!A:H,8,FALSE))</f>
        <v>4052.16</v>
      </c>
      <c r="P118" s="40">
        <f t="shared" ca="1" si="4"/>
        <v>4.6900000002171264E-3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input_572104!A$2</f>
        <v>572104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IFERROR(VLOOKUP(B119,input_572104!L:R,7,FALSE),VLOOKUP(tables_572104!C119,input_572104!A:H,8,FALSE))</f>
        <v>450.24</v>
      </c>
      <c r="P119" s="40">
        <f t="shared" ca="1" si="4"/>
        <v>5.2111111113523631E-4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input_572104!A$2</f>
        <v>572104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IFERROR(VLOOKUP(B120,input_572104!L:R,7,FALSE),VLOOKUP(tables_572104!C120,input_572104!A:H,8,FALSE))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input_572104!A$2</f>
        <v>572104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IFERROR(VLOOKUP(B121,input_572104!L:R,7,FALSE),VLOOKUP(tables_572104!C121,input_572104!A:H,8,FALSE))</f>
        <v>4052.16</v>
      </c>
      <c r="P121" s="40">
        <f t="shared" ca="1" si="4"/>
        <v>4.6900000002171264E-3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input_572104!A$2</f>
        <v>572104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IFERROR(VLOOKUP(B122,input_572104!L:R,7,FALSE),VLOOKUP(tables_572104!C122,input_572104!A:H,8,FALSE))</f>
        <v>450.24</v>
      </c>
      <c r="P122" s="40">
        <f t="shared" ca="1" si="4"/>
        <v>5.2111111113523631E-4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input_572104!A$2</f>
        <v>572104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IFERROR(VLOOKUP(B123,input_572104!L:R,7,FALSE),VLOOKUP(tables_572104!C123,input_572104!A:H,8,FALSE))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input_572104!A$2</f>
        <v>572104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IFERROR(VLOOKUP(B124,input_572104!L:R,7,FALSE),VLOOKUP(tables_572104!C124,input_572104!A:H,8,FALSE))</f>
        <v>4052.16</v>
      </c>
      <c r="P124" s="40">
        <f t="shared" ca="1" si="4"/>
        <v>4.6900000002171264E-3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input_572104!A$2</f>
        <v>572104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IFERROR(VLOOKUP(B125,input_572104!L:R,7,FALSE),VLOOKUP(tables_572104!C125,input_572104!A:H,8,FALSE))</f>
        <v>450.24</v>
      </c>
      <c r="P125" s="40">
        <f t="shared" ca="1" si="4"/>
        <v>5.2111111113523631E-4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input_572104!A$2</f>
        <v>572104</v>
      </c>
      <c r="B126" s="6">
        <v>250</v>
      </c>
      <c r="C126" s="7" t="str">
        <f t="shared" si="3"/>
        <v>Premium3color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">
        <v>35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IFERROR(VLOOKUP(B126,input_572104!L:R,7,FALSE),VLOOKUP(tables_572104!C126,input_572104!A:H,8,FALSE))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input_572104!A$2</f>
        <v>572104</v>
      </c>
      <c r="B127" s="6">
        <v>251</v>
      </c>
      <c r="C127" s="7" t="str">
        <f t="shared" si="3"/>
        <v>Premium4color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">
        <v>35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IFERROR(VLOOKUP(B127,input_572104!L:R,7,FALSE),VLOOKUP(tables_572104!C127,input_572104!A:H,8,FALSE))</f>
        <v>18234.72</v>
      </c>
      <c r="P127" s="40">
        <f t="shared" ca="1" si="4"/>
        <v>2.1105000000977071E-2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input_572104!A$2</f>
        <v>572104</v>
      </c>
      <c r="B128" s="6">
        <v>252</v>
      </c>
      <c r="C128" s="7" t="str">
        <f t="shared" si="3"/>
        <v>Premium5color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">
        <v>35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IFERROR(VLOOKUP(B128,input_572104!L:R,7,FALSE),VLOOKUP(tables_572104!C128,input_572104!A:H,8,FALSE))</f>
        <v>1241.28</v>
      </c>
      <c r="P128" s="40">
        <f t="shared" ca="1" si="4"/>
        <v>1.4366666667331781E-3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input_572104!A$2</f>
        <v>572104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IFERROR(VLOOKUP(B129,input_572104!L:R,7,FALSE),VLOOKUP(tables_572104!C129,input_572104!A:H,8,FALSE))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input_572104!A$2</f>
        <v>572104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IFERROR(VLOOKUP(B130,input_572104!L:R,7,FALSE),VLOOKUP(tables_572104!C130,input_572104!A:H,8,FALSE))</f>
        <v>4052.16</v>
      </c>
      <c r="P130" s="40">
        <f t="shared" ref="P130:P193" ca="1" si="7">O130/SUM(O:O)</f>
        <v>4.6900000002171264E-3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input_572104!A$2</f>
        <v>572104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IFERROR(VLOOKUP(B131,input_572104!L:R,7,FALSE),VLOOKUP(tables_572104!C131,input_572104!A:H,8,FALSE))</f>
        <v>450.24</v>
      </c>
      <c r="P131" s="40">
        <f t="shared" ca="1" si="7"/>
        <v>5.2111111113523631E-4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input_572104!A$2</f>
        <v>572104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IFERROR(VLOOKUP(B132,input_572104!L:R,7,FALSE),VLOOKUP(tables_572104!C132,input_572104!A:H,8,FALSE))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input_572104!A$2</f>
        <v>572104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IFERROR(VLOOKUP(B133,input_572104!L:R,7,FALSE),VLOOKUP(tables_572104!C133,input_572104!A:H,8,FALSE))</f>
        <v>4052.16</v>
      </c>
      <c r="P133" s="40">
        <f t="shared" ca="1" si="7"/>
        <v>4.6900000002171264E-3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input_572104!A$2</f>
        <v>572104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IFERROR(VLOOKUP(B134,input_572104!L:R,7,FALSE),VLOOKUP(tables_572104!C134,input_572104!A:H,8,FALSE))</f>
        <v>450.24</v>
      </c>
      <c r="P134" s="40">
        <f t="shared" ca="1" si="7"/>
        <v>5.2111111113523631E-4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input_572104!A$2</f>
        <v>572104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IFERROR(VLOOKUP(B135,input_572104!L:R,7,FALSE),VLOOKUP(tables_572104!C135,input_572104!A:H,8,FALSE))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input_572104!A$2</f>
        <v>572104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IFERROR(VLOOKUP(B136,input_572104!L:R,7,FALSE),VLOOKUP(tables_572104!C136,input_572104!A:H,8,FALSE))</f>
        <v>4052.16</v>
      </c>
      <c r="P136" s="40">
        <f t="shared" ca="1" si="7"/>
        <v>4.6900000002171264E-3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input_572104!A$2</f>
        <v>572104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IFERROR(VLOOKUP(B137,input_572104!L:R,7,FALSE),VLOOKUP(tables_572104!C137,input_572104!A:H,8,FALSE))</f>
        <v>450.24</v>
      </c>
      <c r="P137" s="40">
        <f t="shared" ca="1" si="7"/>
        <v>5.2111111113523631E-4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input_572104!A$2</f>
        <v>572104</v>
      </c>
      <c r="B138" s="6">
        <v>320</v>
      </c>
      <c r="C138" s="7" t="str">
        <f t="shared" si="6"/>
        <v>PremiumSS4color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">
        <v>35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IFERROR(VLOOKUP(B138,input_572104!L:R,7,FALSE),VLOOKUP(tables_572104!C138,input_572104!A:H,8,FALSE))</f>
        <v>1296</v>
      </c>
      <c r="P138" s="40">
        <f t="shared" ca="1" si="7"/>
        <v>1.5000000000694436E-3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input_572104!A$2</f>
        <v>572104</v>
      </c>
      <c r="B139" s="6">
        <v>321</v>
      </c>
      <c r="C139" s="7" t="str">
        <f t="shared" si="6"/>
        <v>PremiumSS5color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">
        <v>35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IFERROR(VLOOKUP(B139,input_572104!L:R,7,FALSE),VLOOKUP(tables_572104!C139,input_572104!A:H,8,FALSE))</f>
        <v>144</v>
      </c>
      <c r="P139" s="40">
        <f t="shared" ca="1" si="7"/>
        <v>1.6666666667438263E-4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input_572104!A$2</f>
        <v>572104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IFERROR(VLOOKUP(B140,input_572104!L:R,7,FALSE),VLOOKUP(tables_572104!C140,input_572104!A:H,8,FALSE))</f>
        <v>288</v>
      </c>
      <c r="P140" s="40">
        <f t="shared" ca="1" si="7"/>
        <v>3.3333333334876526E-4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input_572104!A$2</f>
        <v>572104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IFERROR(VLOOKUP(B141,input_572104!L:R,7,FALSE),VLOOKUP(tables_572104!C141,input_572104!A:H,8,FALSE))</f>
        <v>32</v>
      </c>
      <c r="P141" s="40">
        <f t="shared" ca="1" si="7"/>
        <v>3.7037037038751696E-5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input_572104!A$2</f>
        <v>572104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IFERROR(VLOOKUP(B142,input_572104!L:R,7,FALSE),VLOOKUP(tables_572104!C142,input_572104!A:H,8,FALSE))</f>
        <v>288</v>
      </c>
      <c r="P142" s="40">
        <f t="shared" ca="1" si="7"/>
        <v>3.3333333334876526E-4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input_572104!A$2</f>
        <v>572104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IFERROR(VLOOKUP(B143,input_572104!L:R,7,FALSE),VLOOKUP(tables_572104!C143,input_572104!A:H,8,FALSE))</f>
        <v>32</v>
      </c>
      <c r="P143" s="40">
        <f t="shared" ca="1" si="7"/>
        <v>3.7037037038751696E-5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input_572104!A$2</f>
        <v>572104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IFERROR(VLOOKUP(B144,input_572104!L:R,7,FALSE),VLOOKUP(tables_572104!C144,input_572104!A:H,8,FALSE))</f>
        <v>288</v>
      </c>
      <c r="P144" s="40">
        <f t="shared" ca="1" si="7"/>
        <v>3.3333333334876526E-4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input_572104!A$2</f>
        <v>572104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IFERROR(VLOOKUP(B145,input_572104!L:R,7,FALSE),VLOOKUP(tables_572104!C145,input_572104!A:H,8,FALSE))</f>
        <v>32</v>
      </c>
      <c r="P145" s="40">
        <f t="shared" ca="1" si="7"/>
        <v>3.7037037038751696E-5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input_572104!A$2</f>
        <v>572104</v>
      </c>
      <c r="B146" s="6">
        <v>380</v>
      </c>
      <c r="C146" s="7" t="str">
        <f t="shared" si="6"/>
        <v>Premium3color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">
        <v>35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IFERROR(VLOOKUP(B146,input_572104!L:R,7,FALSE),VLOOKUP(tables_572104!C146,input_572104!A:H,8,FALSE))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input_572104!A$2</f>
        <v>572104</v>
      </c>
      <c r="B147" s="6">
        <v>381</v>
      </c>
      <c r="C147" s="7" t="str">
        <f t="shared" si="6"/>
        <v>Premium4color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">
        <v>35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IFERROR(VLOOKUP(B147,input_572104!L:R,7,FALSE),VLOOKUP(tables_572104!C147,input_572104!A:H,8,FALSE))</f>
        <v>18234.72</v>
      </c>
      <c r="P147" s="40">
        <f t="shared" ca="1" si="7"/>
        <v>2.1105000000977071E-2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input_572104!A$2</f>
        <v>572104</v>
      </c>
      <c r="B148" s="6">
        <v>382</v>
      </c>
      <c r="C148" s="7" t="str">
        <f t="shared" si="6"/>
        <v>Premium5color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">
        <v>35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IFERROR(VLOOKUP(B148,input_572104!L:R,7,FALSE),VLOOKUP(tables_572104!C148,input_572104!A:H,8,FALSE))</f>
        <v>1241.28</v>
      </c>
      <c r="P148" s="40">
        <f t="shared" ca="1" si="7"/>
        <v>1.4366666667331781E-3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input_572104!A$2</f>
        <v>572104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IFERROR(VLOOKUP(B149,input_572104!L:R,7,FALSE),VLOOKUP(tables_572104!C149,input_572104!A:H,8,FALSE))</f>
        <v>288</v>
      </c>
      <c r="P149" s="40">
        <f t="shared" ca="1" si="7"/>
        <v>3.3333333334876526E-4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input_572104!A$2</f>
        <v>572104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IFERROR(VLOOKUP(B150,input_572104!L:R,7,FALSE),VLOOKUP(tables_572104!C150,input_572104!A:H,8,FALSE))</f>
        <v>32</v>
      </c>
      <c r="P150" s="40">
        <f t="shared" ca="1" si="7"/>
        <v>3.7037037038751696E-5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input_572104!A$2</f>
        <v>572104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IFERROR(VLOOKUP(B151,input_572104!L:R,7,FALSE),VLOOKUP(tables_572104!C151,input_572104!A:H,8,FALSE))</f>
        <v>288</v>
      </c>
      <c r="P151" s="40">
        <f t="shared" ca="1" si="7"/>
        <v>3.3333333334876526E-4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input_572104!A$2</f>
        <v>572104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IFERROR(VLOOKUP(B152,input_572104!L:R,7,FALSE),VLOOKUP(tables_572104!C152,input_572104!A:H,8,FALSE))</f>
        <v>32</v>
      </c>
      <c r="P152" s="40">
        <f t="shared" ca="1" si="7"/>
        <v>3.7037037038751696E-5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input_572104!A$2</f>
        <v>572104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IFERROR(VLOOKUP(B153,input_572104!L:R,7,FALSE),VLOOKUP(tables_572104!C153,input_572104!A:H,8,FALSE))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input_572104!A$2</f>
        <v>572104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IFERROR(VLOOKUP(B154,input_572104!L:R,7,FALSE),VLOOKUP(tables_572104!C154,input_572104!A:H,8,FALSE))</f>
        <v>4052.16</v>
      </c>
      <c r="P154" s="40">
        <f t="shared" ca="1" si="7"/>
        <v>4.6900000002171264E-3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input_572104!A$2</f>
        <v>572104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IFERROR(VLOOKUP(B155,input_572104!L:R,7,FALSE),VLOOKUP(tables_572104!C155,input_572104!A:H,8,FALSE))</f>
        <v>450.24</v>
      </c>
      <c r="P155" s="40">
        <f t="shared" ca="1" si="7"/>
        <v>5.2111111113523631E-4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input_572104!A$2</f>
        <v>572104</v>
      </c>
      <c r="B156" s="6">
        <v>390</v>
      </c>
      <c r="C156" s="7" t="str">
        <f t="shared" si="6"/>
        <v>PremiumSS4color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">
        <v>35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IFERROR(VLOOKUP(B156,input_572104!L:R,7,FALSE),VLOOKUP(tables_572104!C156,input_572104!A:H,8,FALSE))</f>
        <v>1296</v>
      </c>
      <c r="P156" s="40">
        <f t="shared" ca="1" si="7"/>
        <v>1.5000000000694436E-3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input_572104!A$2</f>
        <v>572104</v>
      </c>
      <c r="B157" s="6">
        <v>391</v>
      </c>
      <c r="C157" s="7" t="str">
        <f t="shared" si="6"/>
        <v>PremiumSS5color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">
        <v>35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IFERROR(VLOOKUP(B157,input_572104!L:R,7,FALSE),VLOOKUP(tables_572104!C157,input_572104!A:H,8,FALSE))</f>
        <v>144</v>
      </c>
      <c r="P157" s="40">
        <f t="shared" ca="1" si="7"/>
        <v>1.6666666667438263E-4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input_572104!A$2</f>
        <v>572104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IFERROR(VLOOKUP(B158,input_572104!L:R,7,FALSE),VLOOKUP(tables_572104!C158,input_572104!A:H,8,FALSE))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input_572104!A$2</f>
        <v>572104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IFERROR(VLOOKUP(B159,input_572104!L:R,7,FALSE),VLOOKUP(tables_572104!C159,input_572104!A:H,8,FALSE))</f>
        <v>4052.16</v>
      </c>
      <c r="P159" s="40">
        <f t="shared" ca="1" si="7"/>
        <v>4.6900000002171264E-3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input_572104!A$2</f>
        <v>572104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IFERROR(VLOOKUP(B160,input_572104!L:R,7,FALSE),VLOOKUP(tables_572104!C160,input_572104!A:H,8,FALSE))</f>
        <v>450.24</v>
      </c>
      <c r="P160" s="40">
        <f t="shared" ca="1" si="7"/>
        <v>5.2111111113523631E-4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input_572104!A$2</f>
        <v>572104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IFERROR(VLOOKUP(B161,input_572104!L:R,7,FALSE),VLOOKUP(tables_572104!C161,input_572104!A:H,8,FALSE))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input_572104!A$2</f>
        <v>572104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IFERROR(VLOOKUP(B162,input_572104!L:R,7,FALSE),VLOOKUP(tables_572104!C162,input_572104!A:H,8,FALSE))</f>
        <v>4052.16</v>
      </c>
      <c r="P162" s="40">
        <f t="shared" ca="1" si="7"/>
        <v>4.6900000002171264E-3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input_572104!A$2</f>
        <v>572104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IFERROR(VLOOKUP(B163,input_572104!L:R,7,FALSE),VLOOKUP(tables_572104!C163,input_572104!A:H,8,FALSE))</f>
        <v>450.24</v>
      </c>
      <c r="P163" s="40">
        <f t="shared" ca="1" si="7"/>
        <v>5.2111111113523631E-4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input_572104!A$2</f>
        <v>572104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IFERROR(VLOOKUP(B164,input_572104!L:R,7,FALSE),VLOOKUP(tables_572104!C164,input_572104!A:H,8,FALSE))</f>
        <v>288</v>
      </c>
      <c r="P164" s="40">
        <f t="shared" ca="1" si="7"/>
        <v>3.3333333334876526E-4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input_572104!A$2</f>
        <v>572104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IFERROR(VLOOKUP(B165,input_572104!L:R,7,FALSE),VLOOKUP(tables_572104!C165,input_572104!A:H,8,FALSE))</f>
        <v>32</v>
      </c>
      <c r="P165" s="40">
        <f t="shared" ca="1" si="7"/>
        <v>3.7037037038751696E-5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input_572104!A$2</f>
        <v>572104</v>
      </c>
      <c r="B166" s="6">
        <v>400</v>
      </c>
      <c r="C166" s="7" t="str">
        <f t="shared" si="6"/>
        <v>Premium3color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">
        <v>35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IFERROR(VLOOKUP(B166,input_572104!L:R,7,FALSE),VLOOKUP(tables_572104!C166,input_572104!A:H,8,FALSE))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input_572104!A$2</f>
        <v>572104</v>
      </c>
      <c r="B167" s="6">
        <v>401</v>
      </c>
      <c r="C167" s="7" t="str">
        <f t="shared" si="6"/>
        <v>Premium4color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">
        <v>35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IFERROR(VLOOKUP(B167,input_572104!L:R,7,FALSE),VLOOKUP(tables_572104!C167,input_572104!A:H,8,FALSE))</f>
        <v>18234.72</v>
      </c>
      <c r="P167" s="40">
        <f t="shared" ca="1" si="7"/>
        <v>2.1105000000977071E-2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input_572104!A$2</f>
        <v>572104</v>
      </c>
      <c r="B168" s="6">
        <v>402</v>
      </c>
      <c r="C168" s="7" t="str">
        <f t="shared" si="6"/>
        <v>Premium5color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">
        <v>35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IFERROR(VLOOKUP(B168,input_572104!L:R,7,FALSE),VLOOKUP(tables_572104!C168,input_572104!A:H,8,FALSE))</f>
        <v>1241.28</v>
      </c>
      <c r="P168" s="40">
        <f t="shared" ca="1" si="7"/>
        <v>1.4366666667331781E-3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input_572104!A$2</f>
        <v>572104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IFERROR(VLOOKUP(B169,input_572104!L:R,7,FALSE),VLOOKUP(tables_572104!C169,input_572104!A:H,8,FALSE))</f>
        <v>288</v>
      </c>
      <c r="P169" s="40">
        <f t="shared" ca="1" si="7"/>
        <v>3.3333333334876526E-4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input_572104!A$2</f>
        <v>572104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IFERROR(VLOOKUP(B170,input_572104!L:R,7,FALSE),VLOOKUP(tables_572104!C170,input_572104!A:H,8,FALSE))</f>
        <v>32</v>
      </c>
      <c r="P170" s="40">
        <f t="shared" ca="1" si="7"/>
        <v>3.7037037038751696E-5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input_572104!A$2</f>
        <v>572104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IFERROR(VLOOKUP(B171,input_572104!L:R,7,FALSE),VLOOKUP(tables_572104!C171,input_572104!A:H,8,FALSE))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input_572104!A$2</f>
        <v>572104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IFERROR(VLOOKUP(B172,input_572104!L:R,7,FALSE),VLOOKUP(tables_572104!C172,input_572104!A:H,8,FALSE))</f>
        <v>4052.16</v>
      </c>
      <c r="P172" s="40">
        <f t="shared" ca="1" si="7"/>
        <v>4.6900000002171264E-3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input_572104!A$2</f>
        <v>572104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IFERROR(VLOOKUP(B173,input_572104!L:R,7,FALSE),VLOOKUP(tables_572104!C173,input_572104!A:H,8,FALSE))</f>
        <v>450.24</v>
      </c>
      <c r="P173" s="40">
        <f t="shared" ca="1" si="7"/>
        <v>5.2111111113523631E-4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input_572104!A$2</f>
        <v>572104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IFERROR(VLOOKUP(B174,input_572104!L:R,7,FALSE),VLOOKUP(tables_572104!C174,input_572104!A:H,8,FALSE))</f>
        <v>288</v>
      </c>
      <c r="P174" s="40">
        <f t="shared" ca="1" si="7"/>
        <v>3.3333333334876526E-4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input_572104!A$2</f>
        <v>572104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IFERROR(VLOOKUP(B175,input_572104!L:R,7,FALSE),VLOOKUP(tables_572104!C175,input_572104!A:H,8,FALSE))</f>
        <v>32</v>
      </c>
      <c r="P175" s="40">
        <f t="shared" ca="1" si="7"/>
        <v>3.7037037038751696E-5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input_572104!A$2</f>
        <v>572104</v>
      </c>
      <c r="B176" s="6">
        <v>434</v>
      </c>
      <c r="C176" s="7" t="str">
        <f t="shared" si="6"/>
        <v>PremiumSS4color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">
        <v>35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IFERROR(VLOOKUP(B176,input_572104!L:R,7,FALSE),VLOOKUP(tables_572104!C176,input_572104!A:H,8,FALSE))</f>
        <v>1296</v>
      </c>
      <c r="P176" s="40">
        <f t="shared" ca="1" si="7"/>
        <v>1.5000000000694436E-3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input_572104!A$2</f>
        <v>572104</v>
      </c>
      <c r="B177" s="6">
        <v>435</v>
      </c>
      <c r="C177" s="7" t="str">
        <f t="shared" si="6"/>
        <v>PremiumSS5color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">
        <v>35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IFERROR(VLOOKUP(B177,input_572104!L:R,7,FALSE),VLOOKUP(tables_572104!C177,input_572104!A:H,8,FALSE))</f>
        <v>144</v>
      </c>
      <c r="P177" s="40">
        <f t="shared" ca="1" si="7"/>
        <v>1.6666666667438263E-4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input_572104!A$2</f>
        <v>572104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IFERROR(VLOOKUP(B178,input_572104!L:R,7,FALSE),VLOOKUP(tables_572104!C178,input_572104!A:H,8,FALSE))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input_572104!A$2</f>
        <v>572104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IFERROR(VLOOKUP(B179,input_572104!L:R,7,FALSE),VLOOKUP(tables_572104!C179,input_572104!A:H,8,FALSE))</f>
        <v>4052.16</v>
      </c>
      <c r="P179" s="40">
        <f t="shared" ca="1" si="7"/>
        <v>4.6900000002171264E-3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input_572104!A$2</f>
        <v>572104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IFERROR(VLOOKUP(B180,input_572104!L:R,7,FALSE),VLOOKUP(tables_572104!C180,input_572104!A:H,8,FALSE))</f>
        <v>450.24</v>
      </c>
      <c r="P180" s="40">
        <f t="shared" ca="1" si="7"/>
        <v>5.2111111113523631E-4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input_572104!A$2</f>
        <v>572104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IFERROR(VLOOKUP(B181,input_572104!L:R,7,FALSE),VLOOKUP(tables_572104!C181,input_572104!A:H,8,FALSE))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input_572104!A$2</f>
        <v>572104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IFERROR(VLOOKUP(B182,input_572104!L:R,7,FALSE),VLOOKUP(tables_572104!C182,input_572104!A:H,8,FALSE))</f>
        <v>4052.16</v>
      </c>
      <c r="P182" s="40">
        <f t="shared" ca="1" si="7"/>
        <v>4.6900000002171264E-3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input_572104!A$2</f>
        <v>572104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IFERROR(VLOOKUP(B183,input_572104!L:R,7,FALSE),VLOOKUP(tables_572104!C183,input_572104!A:H,8,FALSE))</f>
        <v>450.24</v>
      </c>
      <c r="P183" s="40">
        <f t="shared" ca="1" si="7"/>
        <v>5.2111111113523631E-4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input_572104!A$2</f>
        <v>572104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IFERROR(VLOOKUP(B184,input_572104!L:R,7,FALSE),VLOOKUP(tables_572104!C184,input_572104!A:H,8,FALSE))</f>
        <v>288</v>
      </c>
      <c r="P184" s="40">
        <f t="shared" ca="1" si="7"/>
        <v>3.3333333334876526E-4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input_572104!A$2</f>
        <v>572104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IFERROR(VLOOKUP(B185,input_572104!L:R,7,FALSE),VLOOKUP(tables_572104!C185,input_572104!A:H,8,FALSE))</f>
        <v>32</v>
      </c>
      <c r="P185" s="40">
        <f t="shared" ca="1" si="7"/>
        <v>3.7037037038751696E-5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input_572104!A$2</f>
        <v>572104</v>
      </c>
      <c r="B186" s="8">
        <v>462</v>
      </c>
      <c r="C186" s="7" t="str">
        <f t="shared" si="6"/>
        <v>Premium3color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">
        <v>35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IFERROR(VLOOKUP(B186,input_572104!L:R,7,FALSE),VLOOKUP(tables_572104!C186,input_572104!A:H,8,FALSE))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input_572104!A$2</f>
        <v>572104</v>
      </c>
      <c r="B187" s="8">
        <v>463</v>
      </c>
      <c r="C187" s="7" t="str">
        <f t="shared" si="6"/>
        <v>Premium4color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">
        <v>35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IFERROR(VLOOKUP(B187,input_572104!L:R,7,FALSE),VLOOKUP(tables_572104!C187,input_572104!A:H,8,FALSE))</f>
        <v>18234.72</v>
      </c>
      <c r="P187" s="40">
        <f t="shared" ca="1" si="7"/>
        <v>2.1105000000977071E-2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input_572104!A$2</f>
        <v>572104</v>
      </c>
      <c r="B188" s="8">
        <v>464</v>
      </c>
      <c r="C188" s="7" t="str">
        <f t="shared" si="6"/>
        <v>Premium5color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">
        <v>35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IFERROR(VLOOKUP(B188,input_572104!L:R,7,FALSE),VLOOKUP(tables_572104!C188,input_572104!A:H,8,FALSE))</f>
        <v>1241.28</v>
      </c>
      <c r="P188" s="40">
        <f t="shared" ca="1" si="7"/>
        <v>1.4366666667331781E-3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input_572104!A$2</f>
        <v>572104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IFERROR(VLOOKUP(B189,input_572104!L:R,7,FALSE),VLOOKUP(tables_572104!C189,input_572104!A:H,8,FALSE))</f>
        <v>288</v>
      </c>
      <c r="P189" s="40">
        <f t="shared" ca="1" si="7"/>
        <v>3.3333333334876526E-4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input_572104!A$2</f>
        <v>572104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IFERROR(VLOOKUP(B190,input_572104!L:R,7,FALSE),VLOOKUP(tables_572104!C190,input_572104!A:H,8,FALSE))</f>
        <v>32</v>
      </c>
      <c r="P190" s="40">
        <f t="shared" ca="1" si="7"/>
        <v>3.7037037038751696E-5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input_572104!A$2</f>
        <v>572104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IFERROR(VLOOKUP(B191,input_572104!L:R,7,FALSE),VLOOKUP(tables_572104!C191,input_572104!A:H,8,FALSE))</f>
        <v>288</v>
      </c>
      <c r="P191" s="40">
        <f t="shared" ca="1" si="7"/>
        <v>3.3333333334876526E-4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input_572104!A$2</f>
        <v>572104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IFERROR(VLOOKUP(B192,input_572104!L:R,7,FALSE),VLOOKUP(tables_572104!C192,input_572104!A:H,8,FALSE))</f>
        <v>32</v>
      </c>
      <c r="P192" s="40">
        <f t="shared" ca="1" si="7"/>
        <v>3.7037037038751696E-5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input_572104!A$2</f>
        <v>572104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IFERROR(VLOOKUP(B193,input_572104!L:R,7,FALSE),VLOOKUP(tables_572104!C193,input_572104!A:H,8,FALSE))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input_572104!A$2</f>
        <v>572104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IFERROR(VLOOKUP(B194,input_572104!L:R,7,FALSE),VLOOKUP(tables_572104!C194,input_572104!A:H,8,FALSE))</f>
        <v>4052.16</v>
      </c>
      <c r="P194" s="40">
        <f t="shared" ref="P194:P257" ca="1" si="10">O194/SUM(O:O)</f>
        <v>4.6900000002171264E-3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input_572104!A$2</f>
        <v>572104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IFERROR(VLOOKUP(B195,input_572104!L:R,7,FALSE),VLOOKUP(tables_572104!C195,input_572104!A:H,8,FALSE))</f>
        <v>450.24</v>
      </c>
      <c r="P195" s="40">
        <f t="shared" ca="1" si="10"/>
        <v>5.2111111113523631E-4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input_572104!A$2</f>
        <v>572104</v>
      </c>
      <c r="B196" s="6">
        <v>474</v>
      </c>
      <c r="C196" s="7" t="str">
        <f t="shared" si="9"/>
        <v>PremiumSS4color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">
        <v>35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IFERROR(VLOOKUP(B196,input_572104!L:R,7,FALSE),VLOOKUP(tables_572104!C196,input_572104!A:H,8,FALSE))</f>
        <v>1296</v>
      </c>
      <c r="P196" s="40">
        <f t="shared" ca="1" si="10"/>
        <v>1.5000000000694436E-3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input_572104!A$2</f>
        <v>572104</v>
      </c>
      <c r="B197" s="6">
        <v>475</v>
      </c>
      <c r="C197" s="7" t="str">
        <f t="shared" si="9"/>
        <v>PremiumSS5color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">
        <v>35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IFERROR(VLOOKUP(B197,input_572104!L:R,7,FALSE),VLOOKUP(tables_572104!C197,input_572104!A:H,8,FALSE))</f>
        <v>144</v>
      </c>
      <c r="P197" s="40">
        <f t="shared" ca="1" si="10"/>
        <v>1.6666666667438263E-4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input_572104!A$2</f>
        <v>572104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IFERROR(VLOOKUP(B198,input_572104!L:R,7,FALSE),VLOOKUP(tables_572104!C198,input_572104!A:H,8,FALSE))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input_572104!A$2</f>
        <v>572104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IFERROR(VLOOKUP(B199,input_572104!L:R,7,FALSE),VLOOKUP(tables_572104!C199,input_572104!A:H,8,FALSE))</f>
        <v>4052.16</v>
      </c>
      <c r="P199" s="40">
        <f t="shared" ca="1" si="10"/>
        <v>4.6900000002171264E-3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input_572104!A$2</f>
        <v>572104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IFERROR(VLOOKUP(B200,input_572104!L:R,7,FALSE),VLOOKUP(tables_572104!C200,input_572104!A:H,8,FALSE))</f>
        <v>450.24</v>
      </c>
      <c r="P200" s="40">
        <f t="shared" ca="1" si="10"/>
        <v>5.2111111113523631E-4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input_572104!A$2</f>
        <v>572104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IFERROR(VLOOKUP(B201,input_572104!L:R,7,FALSE),VLOOKUP(tables_572104!C201,input_572104!A:H,8,FALSE))</f>
        <v>288</v>
      </c>
      <c r="P201" s="40">
        <f t="shared" ca="1" si="10"/>
        <v>3.3333333334876526E-4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input_572104!A$2</f>
        <v>572104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IFERROR(VLOOKUP(B202,input_572104!L:R,7,FALSE),VLOOKUP(tables_572104!C202,input_572104!A:H,8,FALSE))</f>
        <v>32</v>
      </c>
      <c r="P202" s="40">
        <f t="shared" ca="1" si="10"/>
        <v>3.7037037038751696E-5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input_572104!A$2</f>
        <v>572104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IFERROR(VLOOKUP(B203,input_572104!L:R,7,FALSE),VLOOKUP(tables_572104!C203,input_572104!A:H,8,FALSE))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input_572104!A$2</f>
        <v>572104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IFERROR(VLOOKUP(B204,input_572104!L:R,7,FALSE),VLOOKUP(tables_572104!C204,input_572104!A:H,8,FALSE))</f>
        <v>4052.16</v>
      </c>
      <c r="P204" s="40">
        <f t="shared" ca="1" si="10"/>
        <v>4.6900000002171264E-3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input_572104!A$2</f>
        <v>572104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IFERROR(VLOOKUP(B205,input_572104!L:R,7,FALSE),VLOOKUP(tables_572104!C205,input_572104!A:H,8,FALSE))</f>
        <v>450.24</v>
      </c>
      <c r="P205" s="40">
        <f t="shared" ca="1" si="10"/>
        <v>5.2111111113523631E-4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input_572104!A$2</f>
        <v>572104</v>
      </c>
      <c r="B206" s="6">
        <v>492</v>
      </c>
      <c r="C206" s="7" t="str">
        <f t="shared" si="9"/>
        <v>PremiumSS4color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">
        <v>35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IFERROR(VLOOKUP(B206,input_572104!L:R,7,FALSE),VLOOKUP(tables_572104!C206,input_572104!A:H,8,FALSE))</f>
        <v>1296</v>
      </c>
      <c r="P206" s="40">
        <f t="shared" ca="1" si="10"/>
        <v>1.5000000000694436E-3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input_572104!A$2</f>
        <v>572104</v>
      </c>
      <c r="B207" s="6">
        <v>493</v>
      </c>
      <c r="C207" s="7" t="str">
        <f t="shared" si="9"/>
        <v>PremiumSS5color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">
        <v>35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IFERROR(VLOOKUP(B207,input_572104!L:R,7,FALSE),VLOOKUP(tables_572104!C207,input_572104!A:H,8,FALSE))</f>
        <v>144</v>
      </c>
      <c r="P207" s="40">
        <f t="shared" ca="1" si="10"/>
        <v>1.6666666667438263E-4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input_572104!A$2</f>
        <v>572104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IFERROR(VLOOKUP(B208,input_572104!L:R,7,FALSE),VLOOKUP(tables_572104!C208,input_572104!A:H,8,FALSE))</f>
        <v>288</v>
      </c>
      <c r="P208" s="40">
        <f t="shared" ca="1" si="10"/>
        <v>3.3333333334876526E-4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input_572104!A$2</f>
        <v>572104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IFERROR(VLOOKUP(B209,input_572104!L:R,7,FALSE),VLOOKUP(tables_572104!C209,input_572104!A:H,8,FALSE))</f>
        <v>32</v>
      </c>
      <c r="P209" s="40">
        <f t="shared" ca="1" si="10"/>
        <v>3.7037037038751696E-5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input_572104!A$2</f>
        <v>572104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IFERROR(VLOOKUP(B210,input_572104!L:R,7,FALSE),VLOOKUP(tables_572104!C210,input_572104!A:H,8,FALSE))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input_572104!A$2</f>
        <v>572104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IFERROR(VLOOKUP(B211,input_572104!L:R,7,FALSE),VLOOKUP(tables_572104!C211,input_572104!A:H,8,FALSE))</f>
        <v>4052.16</v>
      </c>
      <c r="P211" s="40">
        <f t="shared" ca="1" si="10"/>
        <v>4.6900000002171264E-3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input_572104!A$2</f>
        <v>572104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IFERROR(VLOOKUP(B212,input_572104!L:R,7,FALSE),VLOOKUP(tables_572104!C212,input_572104!A:H,8,FALSE))</f>
        <v>450.24</v>
      </c>
      <c r="P212" s="40">
        <f t="shared" ca="1" si="10"/>
        <v>5.2111111113523631E-4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input_572104!A$2</f>
        <v>572104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IFERROR(VLOOKUP(B213,input_572104!L:R,7,FALSE),VLOOKUP(tables_572104!C213,input_572104!A:H,8,FALSE))</f>
        <v>288</v>
      </c>
      <c r="P213" s="40">
        <f t="shared" ca="1" si="10"/>
        <v>3.3333333334876526E-4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input_572104!A$2</f>
        <v>572104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IFERROR(VLOOKUP(B214,input_572104!L:R,7,FALSE),VLOOKUP(tables_572104!C214,input_572104!A:H,8,FALSE))</f>
        <v>32</v>
      </c>
      <c r="P214" s="40">
        <f t="shared" ca="1" si="10"/>
        <v>3.7037037038751696E-5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input_572104!A$2</f>
        <v>572104</v>
      </c>
      <c r="B215" s="6">
        <v>560</v>
      </c>
      <c r="C215" s="7" t="str">
        <f t="shared" si="9"/>
        <v>premium5R3lesscolor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">
        <v>35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IFERROR(VLOOKUP(B215,input_572104!L:R,7,FALSE),VLOOKUP(tables_572104!C215,input_572104!A:H,8,FALSE))</f>
        <v>1285.50857</v>
      </c>
      <c r="P215" s="40">
        <f t="shared" ca="1" si="10"/>
        <v>1.487857141272585E-3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input_572104!A$2</f>
        <v>572104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IFERROR(VLOOKUP(B216,input_572104!L:R,7,FALSE),VLOOKUP(tables_572104!C216,input_572104!A:H,8,FALSE))</f>
        <v>193.66737000000001</v>
      </c>
      <c r="P216" s="40">
        <f t="shared" ca="1" si="10"/>
        <v>2.241520486214884E-4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input_572104!A$2</f>
        <v>572104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IFERROR(VLOOKUP(B217,input_572104!L:R,7,FALSE),VLOOKUP(tables_572104!C217,input_572104!A:H,8,FALSE))</f>
        <v>193.66737000000001</v>
      </c>
      <c r="P217" s="40">
        <f t="shared" ca="1" si="10"/>
        <v>2.241520486214884E-4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input_572104!A$2</f>
        <v>572104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IFERROR(VLOOKUP(B218,input_572104!L:R,7,FALSE),VLOOKUP(tables_572104!C218,input_572104!A:H,8,FALSE))</f>
        <v>193.66737000000001</v>
      </c>
      <c r="P218" s="40">
        <f t="shared" ca="1" si="10"/>
        <v>2.241520486214884E-4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input_572104!A$2</f>
        <v>572104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IFERROR(VLOOKUP(B219,input_572104!L:R,7,FALSE),VLOOKUP(tables_572104!C219,input_572104!A:H,8,FALSE))</f>
        <v>193.66737000000001</v>
      </c>
      <c r="P219" s="40">
        <f t="shared" ca="1" si="10"/>
        <v>2.241520486214884E-4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input_572104!A$2</f>
        <v>572104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IFERROR(VLOOKUP(B220,input_572104!L:R,7,FALSE),VLOOKUP(tables_572104!C220,input_572104!A:H,8,FALSE))</f>
        <v>193.66737000000001</v>
      </c>
      <c r="P220" s="40">
        <f t="shared" ca="1" si="10"/>
        <v>2.241520486214884E-4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input_572104!A$2</f>
        <v>572104</v>
      </c>
      <c r="B221" s="6">
        <v>586</v>
      </c>
      <c r="C221" s="7" t="str">
        <f t="shared" si="9"/>
        <v>PremiumSS4color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">
        <v>35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IFERROR(VLOOKUP(B221,input_572104!L:R,7,FALSE),VLOOKUP(tables_572104!C221,input_572104!A:H,8,FALSE))</f>
        <v>1296</v>
      </c>
      <c r="P221" s="40">
        <f t="shared" ca="1" si="10"/>
        <v>1.5000000000694436E-3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input_572104!A$2</f>
        <v>572104</v>
      </c>
      <c r="B222" s="6">
        <v>587</v>
      </c>
      <c r="C222" s="7" t="str">
        <f t="shared" si="9"/>
        <v>PremiumSS5color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">
        <v>35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IFERROR(VLOOKUP(B222,input_572104!L:R,7,FALSE),VLOOKUP(tables_572104!C222,input_572104!A:H,8,FALSE))</f>
        <v>144</v>
      </c>
      <c r="P222" s="40">
        <f t="shared" ca="1" si="10"/>
        <v>1.6666666667438263E-4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input_572104!A$2</f>
        <v>572104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IFERROR(VLOOKUP(B223,input_572104!L:R,7,FALSE),VLOOKUP(tables_572104!C223,input_572104!A:H,8,FALSE))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input_572104!A$2</f>
        <v>572104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IFERROR(VLOOKUP(B224,input_572104!L:R,7,FALSE),VLOOKUP(tables_572104!C224,input_572104!A:H,8,FALSE))</f>
        <v>4052.16</v>
      </c>
      <c r="P224" s="40">
        <f t="shared" ca="1" si="10"/>
        <v>4.6900000002171264E-3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input_572104!A$2</f>
        <v>572104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IFERROR(VLOOKUP(B225,input_572104!L:R,7,FALSE),VLOOKUP(tables_572104!C225,input_572104!A:H,8,FALSE))</f>
        <v>450.24</v>
      </c>
      <c r="P225" s="40">
        <f t="shared" ca="1" si="10"/>
        <v>5.2111111113523631E-4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input_572104!A$2</f>
        <v>572104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IFERROR(VLOOKUP(B226,input_572104!L:R,7,FALSE),VLOOKUP(tables_572104!C226,input_572104!A:H,8,FALSE))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input_572104!A$2</f>
        <v>572104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IFERROR(VLOOKUP(B227,input_572104!L:R,7,FALSE),VLOOKUP(tables_572104!C227,input_572104!A:H,8,FALSE))</f>
        <v>4052.16</v>
      </c>
      <c r="P227" s="40">
        <f t="shared" ca="1" si="10"/>
        <v>4.6900000002171264E-3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input_572104!A$2</f>
        <v>572104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IFERROR(VLOOKUP(B228,input_572104!L:R,7,FALSE),VLOOKUP(tables_572104!C228,input_572104!A:H,8,FALSE))</f>
        <v>450.24</v>
      </c>
      <c r="P228" s="40">
        <f t="shared" ca="1" si="10"/>
        <v>5.2111111113523631E-4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input_572104!A$2</f>
        <v>572104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IFERROR(VLOOKUP(B229,input_572104!L:R,7,FALSE),VLOOKUP(tables_572104!C229,input_572104!A:H,8,FALSE))</f>
        <v>288</v>
      </c>
      <c r="P229" s="40">
        <f t="shared" ca="1" si="10"/>
        <v>3.3333333334876526E-4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input_572104!A$2</f>
        <v>572104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IFERROR(VLOOKUP(B230,input_572104!L:R,7,FALSE),VLOOKUP(tables_572104!C230,input_572104!A:H,8,FALSE))</f>
        <v>32</v>
      </c>
      <c r="P230" s="40">
        <f t="shared" ca="1" si="10"/>
        <v>3.7037037038751696E-5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input_572104!A$2</f>
        <v>572104</v>
      </c>
      <c r="B231" s="6">
        <v>596</v>
      </c>
      <c r="C231" s="7" t="str">
        <f t="shared" si="9"/>
        <v>Premium3color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">
        <v>35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IFERROR(VLOOKUP(B231,input_572104!L:R,7,FALSE),VLOOKUP(tables_572104!C231,input_572104!A:H,8,FALSE))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input_572104!A$2</f>
        <v>572104</v>
      </c>
      <c r="B232" s="6">
        <v>597</v>
      </c>
      <c r="C232" s="7" t="str">
        <f t="shared" si="9"/>
        <v>Premium4color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">
        <v>35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IFERROR(VLOOKUP(B232,input_572104!L:R,7,FALSE),VLOOKUP(tables_572104!C232,input_572104!A:H,8,FALSE))</f>
        <v>18234.72</v>
      </c>
      <c r="P232" s="40">
        <f t="shared" ca="1" si="10"/>
        <v>2.1105000000977071E-2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input_572104!A$2</f>
        <v>572104</v>
      </c>
      <c r="B233" s="6">
        <v>598</v>
      </c>
      <c r="C233" s="7" t="str">
        <f t="shared" si="9"/>
        <v>Premium5color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">
        <v>35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IFERROR(VLOOKUP(B233,input_572104!L:R,7,FALSE),VLOOKUP(tables_572104!C233,input_572104!A:H,8,FALSE))</f>
        <v>1241.28</v>
      </c>
      <c r="P233" s="40">
        <f t="shared" ca="1" si="10"/>
        <v>1.4366666667331781E-3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input_572104!A$2</f>
        <v>572104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IFERROR(VLOOKUP(B234,input_572104!L:R,7,FALSE),VLOOKUP(tables_572104!C234,input_572104!A:H,8,FALSE))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input_572104!A$2</f>
        <v>572104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IFERROR(VLOOKUP(B235,input_572104!L:R,7,FALSE),VLOOKUP(tables_572104!C235,input_572104!A:H,8,FALSE))</f>
        <v>4052.16</v>
      </c>
      <c r="P235" s="40">
        <f t="shared" ca="1" si="10"/>
        <v>4.6900000002171264E-3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input_572104!A$2</f>
        <v>572104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IFERROR(VLOOKUP(B236,input_572104!L:R,7,FALSE),VLOOKUP(tables_572104!C236,input_572104!A:H,8,FALSE))</f>
        <v>450.24</v>
      </c>
      <c r="P236" s="40">
        <f t="shared" ca="1" si="10"/>
        <v>5.2111111113523631E-4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input_572104!A$2</f>
        <v>572104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IFERROR(VLOOKUP(B237,input_572104!L:R,7,FALSE),VLOOKUP(tables_572104!C237,input_572104!A:H,8,FALSE))</f>
        <v>288</v>
      </c>
      <c r="P237" s="40">
        <f t="shared" ca="1" si="10"/>
        <v>3.3333333334876526E-4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input_572104!A$2</f>
        <v>572104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IFERROR(VLOOKUP(B238,input_572104!L:R,7,FALSE),VLOOKUP(tables_572104!C238,input_572104!A:H,8,FALSE))</f>
        <v>32</v>
      </c>
      <c r="P238" s="40">
        <f t="shared" ca="1" si="10"/>
        <v>3.7037037038751696E-5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input_572104!A$2</f>
        <v>572104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IFERROR(VLOOKUP(B239,input_572104!L:R,7,FALSE),VLOOKUP(tables_572104!C239,input_572104!A:H,8,FALSE))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input_572104!A$2</f>
        <v>572104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IFERROR(VLOOKUP(B240,input_572104!L:R,7,FALSE),VLOOKUP(tables_572104!C240,input_572104!A:H,8,FALSE))</f>
        <v>4052.16</v>
      </c>
      <c r="P240" s="40">
        <f t="shared" ca="1" si="10"/>
        <v>4.6900000002171264E-3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input_572104!A$2</f>
        <v>572104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IFERROR(VLOOKUP(B241,input_572104!L:R,7,FALSE),VLOOKUP(tables_572104!C241,input_572104!A:H,8,FALSE))</f>
        <v>450.24</v>
      </c>
      <c r="P241" s="40">
        <f t="shared" ca="1" si="10"/>
        <v>5.2111111113523631E-4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input_572104!A$2</f>
        <v>572104</v>
      </c>
      <c r="B242" s="6">
        <v>658</v>
      </c>
      <c r="C242" s="7" t="str">
        <f t="shared" si="9"/>
        <v>PremiumSS4color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">
        <v>35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IFERROR(VLOOKUP(B242,input_572104!L:R,7,FALSE),VLOOKUP(tables_572104!C242,input_572104!A:H,8,FALSE))</f>
        <v>1296</v>
      </c>
      <c r="P242" s="40">
        <f t="shared" ca="1" si="10"/>
        <v>1.5000000000694436E-3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input_572104!A$2</f>
        <v>572104</v>
      </c>
      <c r="B243" s="6">
        <v>659</v>
      </c>
      <c r="C243" s="7" t="str">
        <f t="shared" si="9"/>
        <v>PremiumSS5color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">
        <v>35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IFERROR(VLOOKUP(B243,input_572104!L:R,7,FALSE),VLOOKUP(tables_572104!C243,input_572104!A:H,8,FALSE))</f>
        <v>144</v>
      </c>
      <c r="P243" s="40">
        <f t="shared" ca="1" si="10"/>
        <v>1.6666666667438263E-4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input_572104!A$2</f>
        <v>572104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IFERROR(VLOOKUP(B244,input_572104!L:R,7,FALSE),VLOOKUP(tables_572104!C244,input_572104!A:H,8,FALSE))</f>
        <v>288</v>
      </c>
      <c r="P244" s="40">
        <f t="shared" ca="1" si="10"/>
        <v>3.3333333334876526E-4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input_572104!A$2</f>
        <v>572104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IFERROR(VLOOKUP(B245,input_572104!L:R,7,FALSE),VLOOKUP(tables_572104!C245,input_572104!A:H,8,FALSE))</f>
        <v>32</v>
      </c>
      <c r="P245" s="40">
        <f t="shared" ca="1" si="10"/>
        <v>3.7037037038751696E-5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input_572104!A$2</f>
        <v>572104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IFERROR(VLOOKUP(B246,input_572104!L:R,7,FALSE),VLOOKUP(tables_572104!C246,input_572104!A:H,8,FALSE))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input_572104!A$2</f>
        <v>572104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IFERROR(VLOOKUP(B247,input_572104!L:R,7,FALSE),VLOOKUP(tables_572104!C247,input_572104!A:H,8,FALSE))</f>
        <v>4052.16</v>
      </c>
      <c r="P247" s="40">
        <f t="shared" ca="1" si="10"/>
        <v>4.6900000002171264E-3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input_572104!A$2</f>
        <v>572104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IFERROR(VLOOKUP(B248,input_572104!L:R,7,FALSE),VLOOKUP(tables_572104!C248,input_572104!A:H,8,FALSE))</f>
        <v>450.24</v>
      </c>
      <c r="P248" s="40">
        <f t="shared" ca="1" si="10"/>
        <v>5.2111111113523631E-4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input_572104!A$2</f>
        <v>572104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IFERROR(VLOOKUP(B249,input_572104!L:R,7,FALSE),VLOOKUP(tables_572104!C249,input_572104!A:H,8,FALSE))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input_572104!A$2</f>
        <v>572104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IFERROR(VLOOKUP(B250,input_572104!L:R,7,FALSE),VLOOKUP(tables_572104!C250,input_572104!A:H,8,FALSE))</f>
        <v>4052.16</v>
      </c>
      <c r="P250" s="40">
        <f t="shared" ca="1" si="10"/>
        <v>4.6900000002171264E-3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input_572104!A$2</f>
        <v>572104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IFERROR(VLOOKUP(B251,input_572104!L:R,7,FALSE),VLOOKUP(tables_572104!C251,input_572104!A:H,8,FALSE))</f>
        <v>450.24</v>
      </c>
      <c r="P251" s="40">
        <f t="shared" ca="1" si="10"/>
        <v>5.2111111113523631E-4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input_572104!A$2</f>
        <v>572104</v>
      </c>
      <c r="B252" s="52">
        <v>668</v>
      </c>
      <c r="C252" s="7" t="str">
        <f t="shared" si="9"/>
        <v>Premium3color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">
        <v>35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IFERROR(VLOOKUP(B252,input_572104!L:R,7,FALSE),VLOOKUP(tables_572104!C252,input_572104!A:H,8,FALSE))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input_572104!A$2</f>
        <v>572104</v>
      </c>
      <c r="B253" s="52">
        <v>669</v>
      </c>
      <c r="C253" s="7" t="str">
        <f t="shared" si="9"/>
        <v>Premium4color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">
        <v>35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IFERROR(VLOOKUP(B253,input_572104!L:R,7,FALSE),VLOOKUP(tables_572104!C253,input_572104!A:H,8,FALSE))</f>
        <v>18234.72</v>
      </c>
      <c r="P253" s="40">
        <f t="shared" ca="1" si="10"/>
        <v>2.1105000000977071E-2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input_572104!A$2</f>
        <v>572104</v>
      </c>
      <c r="B254" s="52">
        <v>670</v>
      </c>
      <c r="C254" s="7" t="str">
        <f t="shared" si="9"/>
        <v>Premium5color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">
        <v>35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IFERROR(VLOOKUP(B254,input_572104!L:R,7,FALSE),VLOOKUP(tables_572104!C254,input_572104!A:H,8,FALSE))</f>
        <v>1241.28</v>
      </c>
      <c r="P254" s="40">
        <f t="shared" ca="1" si="10"/>
        <v>1.4366666667331781E-3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input_572104!A$2</f>
        <v>572104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IFERROR(VLOOKUP(B255,input_572104!L:R,7,FALSE),VLOOKUP(tables_572104!C255,input_572104!A:H,8,FALSE))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input_572104!A$2</f>
        <v>572104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IFERROR(VLOOKUP(B256,input_572104!L:R,7,FALSE),VLOOKUP(tables_572104!C256,input_572104!A:H,8,FALSE))</f>
        <v>4052.16</v>
      </c>
      <c r="P256" s="40">
        <f t="shared" ca="1" si="10"/>
        <v>4.6900000002171264E-3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input_572104!A$2</f>
        <v>572104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IFERROR(VLOOKUP(B257,input_572104!L:R,7,FALSE),VLOOKUP(tables_572104!C257,input_572104!A:H,8,FALSE))</f>
        <v>450.24</v>
      </c>
      <c r="P257" s="40">
        <f t="shared" ca="1" si="10"/>
        <v>5.2111111113523631E-4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input_572104!A$2</f>
        <v>572104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IFERROR(VLOOKUP(B258,input_572104!L:R,7,FALSE),VLOOKUP(tables_572104!C258,input_572104!A:H,8,FALSE))</f>
        <v>288</v>
      </c>
      <c r="P258" s="40">
        <f t="shared" ref="P258:P305" ca="1" si="13">O258/SUM(O:O)</f>
        <v>3.3333333334876526E-4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input_572104!A$2</f>
        <v>572104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IFERROR(VLOOKUP(B259,input_572104!L:R,7,FALSE),VLOOKUP(tables_572104!C259,input_572104!A:H,8,FALSE))</f>
        <v>32</v>
      </c>
      <c r="P259" s="40">
        <f t="shared" ca="1" si="13"/>
        <v>3.7037037038751696E-5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input_572104!A$2</f>
        <v>572104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IFERROR(VLOOKUP(B260,input_572104!L:R,7,FALSE),VLOOKUP(tables_572104!C260,input_572104!A:H,8,FALSE))</f>
        <v>288</v>
      </c>
      <c r="P260" s="40">
        <f t="shared" ca="1" si="13"/>
        <v>3.3333333334876526E-4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input_572104!A$2</f>
        <v>572104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IFERROR(VLOOKUP(B261,input_572104!L:R,7,FALSE),VLOOKUP(tables_572104!C261,input_572104!A:H,8,FALSE))</f>
        <v>32</v>
      </c>
      <c r="P261" s="40">
        <f t="shared" ca="1" si="13"/>
        <v>3.7037037038751696E-5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input_572104!A$2</f>
        <v>572104</v>
      </c>
      <c r="B262" s="52">
        <v>728</v>
      </c>
      <c r="C262" s="7" t="str">
        <f t="shared" si="12"/>
        <v>Premium4R3lesscolor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">
        <v>35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IFERROR(VLOOKUP(B262,input_572104!L:R,7,FALSE),VLOOKUP(tables_572104!C262,input_572104!A:H,8,FALSE))</f>
        <v>18761.04</v>
      </c>
      <c r="P262" s="40">
        <f t="shared" ca="1" si="13"/>
        <v>2.1714166667671942E-2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input_572104!A$2</f>
        <v>572104</v>
      </c>
      <c r="B263" s="52">
        <v>729</v>
      </c>
      <c r="C263" s="7" t="str">
        <f t="shared" si="12"/>
        <v>Premium5R3lesscolor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">
        <v>35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IFERROR(VLOOKUP(B263,input_572104!L:R,7,FALSE),VLOOKUP(tables_572104!C263,input_572104!A:H,8,FALSE))</f>
        <v>1285.50857</v>
      </c>
      <c r="P263" s="40">
        <f t="shared" ca="1" si="13"/>
        <v>1.487857141272585E-3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input_572104!A$2</f>
        <v>572104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IFERROR(VLOOKUP(B264,input_572104!L:R,7,FALSE),VLOOKUP(tables_572104!C264,input_572104!A:H,8,FALSE))</f>
        <v>4239.5657099999999</v>
      </c>
      <c r="P264" s="40">
        <f t="shared" ca="1" si="13"/>
        <v>4.9069047571716129E-3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input_572104!A$2</f>
        <v>572104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IFERROR(VLOOKUP(B265,input_572104!L:R,7,FALSE),VLOOKUP(tables_572104!C265,input_572104!A:H,8,FALSE))</f>
        <v>193.66737000000001</v>
      </c>
      <c r="P265" s="40">
        <f t="shared" ca="1" si="13"/>
        <v>2.241520486214884E-4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input_572104!A$2</f>
        <v>572104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IFERROR(VLOOKUP(B266,input_572104!L:R,7,FALSE),VLOOKUP(tables_572104!C266,input_572104!A:H,8,FALSE))</f>
        <v>320</v>
      </c>
      <c r="P266" s="40">
        <f t="shared" ca="1" si="13"/>
        <v>3.7037037038751696E-4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input_572104!A$2</f>
        <v>572104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IFERROR(VLOOKUP(B267,input_572104!L:R,7,FALSE),VLOOKUP(tables_572104!C267,input_572104!A:H,8,FALSE))</f>
        <v>320</v>
      </c>
      <c r="P267" s="40">
        <f t="shared" ca="1" si="13"/>
        <v>3.7037037038751696E-4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input_572104!A$2</f>
        <v>572104</v>
      </c>
      <c r="B268" s="52">
        <v>742</v>
      </c>
      <c r="C268" s="7" t="str">
        <f t="shared" si="12"/>
        <v>PremiumSS5R5onlycolor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">
        <v>35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IFERROR(VLOOKUP(B268,input_572104!L:R,7,FALSE),VLOOKUP(tables_572104!C268,input_572104!A:H,8,FALSE))</f>
        <v>1440</v>
      </c>
      <c r="P268" s="40">
        <f t="shared" ca="1" si="13"/>
        <v>1.6666666667438262E-3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input_572104!A$2</f>
        <v>572104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IFERROR(VLOOKUP(B269,input_572104!L:R,7,FALSE),VLOOKUP(tables_572104!C269,input_572104!A:H,8,FALSE))</f>
        <v>320</v>
      </c>
      <c r="P269" s="40">
        <f t="shared" ca="1" si="13"/>
        <v>3.7037037038751696E-4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input_572104!A$2</f>
        <v>572104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IFERROR(VLOOKUP(B270,input_572104!L:R,7,FALSE),VLOOKUP(tables_572104!C270,input_572104!A:H,8,FALSE))</f>
        <v>4239.5657099999999</v>
      </c>
      <c r="P270" s="40">
        <f t="shared" ca="1" si="13"/>
        <v>4.9069047571716129E-3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input_572104!A$2</f>
        <v>572104</v>
      </c>
      <c r="B271" s="7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IFERROR(VLOOKUP(B271,input_572104!L:R,7,FALSE),VLOOKUP(tables_572104!C271,input_572104!A:H,8,FALSE))</f>
        <v>193.66737000000001</v>
      </c>
      <c r="P271" s="40">
        <f t="shared" ca="1" si="13"/>
        <v>2.241520486214884E-4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input_572104!A$2</f>
        <v>572104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IFERROR(VLOOKUP(B272,input_572104!L:R,7,FALSE),VLOOKUP(tables_572104!C272,input_572104!A:H,8,FALSE))</f>
        <v>4239.5657099999999</v>
      </c>
      <c r="P272" s="40">
        <f t="shared" ca="1" si="13"/>
        <v>4.9069047571716129E-3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input_572104!A$2</f>
        <v>572104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IFERROR(VLOOKUP(B273,input_572104!L:R,7,FALSE),VLOOKUP(tables_572104!C273,input_572104!A:H,8,FALSE))</f>
        <v>193.66737000000001</v>
      </c>
      <c r="P273" s="40">
        <f t="shared" ca="1" si="13"/>
        <v>2.241520486214884E-4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input_572104!A$2</f>
        <v>572104</v>
      </c>
      <c r="B274" s="71">
        <v>770</v>
      </c>
      <c r="C274" s="7" t="str">
        <f t="shared" si="12"/>
        <v>PremiumSS4color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">
        <v>35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IFERROR(VLOOKUP(B274,input_572104!L:R,7,FALSE),VLOOKUP(tables_572104!C274,input_572104!A:H,8,FALSE))</f>
        <v>1296</v>
      </c>
      <c r="P274" s="40">
        <f t="shared" ca="1" si="13"/>
        <v>1.5000000000694436E-3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input_572104!A$2</f>
        <v>572104</v>
      </c>
      <c r="B275" s="71">
        <v>771</v>
      </c>
      <c r="C275" s="7" t="str">
        <f t="shared" si="12"/>
        <v>PremiumSS5color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">
        <v>35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IFERROR(VLOOKUP(B275,input_572104!L:R,7,FALSE),VLOOKUP(tables_572104!C275,input_572104!A:H,8,FALSE))</f>
        <v>144</v>
      </c>
      <c r="P275" s="40">
        <f t="shared" ca="1" si="13"/>
        <v>1.6666666667438263E-4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input_572104!A$2</f>
        <v>572104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IFERROR(VLOOKUP(B276,input_572104!L:R,7,FALSE),VLOOKUP(tables_572104!C276,input_572104!A:H,8,FALSE))</f>
        <v>288</v>
      </c>
      <c r="P276" s="40">
        <f t="shared" ca="1" si="13"/>
        <v>3.3333333334876526E-4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input_572104!A$2</f>
        <v>572104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IFERROR(VLOOKUP(B277,input_572104!L:R,7,FALSE),VLOOKUP(tables_572104!C277,input_572104!A:H,8,FALSE))</f>
        <v>32</v>
      </c>
      <c r="P277" s="40">
        <f t="shared" ca="1" si="13"/>
        <v>3.7037037038751696E-5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input_572104!A$2</f>
        <v>572104</v>
      </c>
      <c r="B278" s="7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IFERROR(VLOOKUP(B278,input_572104!L:R,7,FALSE),VLOOKUP(tables_572104!C278,input_572104!A:H,8,FALSE))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input_572104!A$2</f>
        <v>572104</v>
      </c>
      <c r="B279" s="7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IFERROR(VLOOKUP(B279,input_572104!L:R,7,FALSE),VLOOKUP(tables_572104!C279,input_572104!A:H,8,FALSE))</f>
        <v>4052.16</v>
      </c>
      <c r="P279" s="40">
        <f t="shared" ca="1" si="13"/>
        <v>4.6900000002171264E-3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input_572104!A$2</f>
        <v>572104</v>
      </c>
      <c r="B280" s="7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IFERROR(VLOOKUP(B280,input_572104!L:R,7,FALSE),VLOOKUP(tables_572104!C280,input_572104!A:H,8,FALSE))</f>
        <v>450.24</v>
      </c>
      <c r="P280" s="40">
        <f t="shared" ca="1" si="13"/>
        <v>5.2111111113523631E-4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input_572104!A$2</f>
        <v>572104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IFERROR(VLOOKUP(B281,input_572104!L:R,7,FALSE),VLOOKUP(tables_572104!C281,input_572104!A:H,8,FALSE))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input_572104!A$2</f>
        <v>572104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IFERROR(VLOOKUP(B282,input_572104!L:R,7,FALSE),VLOOKUP(tables_572104!C282,input_572104!A:H,8,FALSE))</f>
        <v>4052.16</v>
      </c>
      <c r="P282" s="40">
        <f t="shared" ca="1" si="13"/>
        <v>4.6900000002171264E-3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input_572104!A$2</f>
        <v>572104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IFERROR(VLOOKUP(B283,input_572104!L:R,7,FALSE),VLOOKUP(tables_572104!C283,input_572104!A:H,8,FALSE))</f>
        <v>450.24</v>
      </c>
      <c r="P283" s="40">
        <f t="shared" ca="1" si="13"/>
        <v>5.2111111113523631E-4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input_572104!A$2</f>
        <v>572104</v>
      </c>
      <c r="B284" s="5">
        <v>848</v>
      </c>
      <c r="C284" s="7" t="str">
        <f t="shared" si="12"/>
        <v>PremiumSS5R5onlycolor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">
        <v>35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IFERROR(VLOOKUP(B284,input_572104!L:R,7,FALSE),VLOOKUP(tables_572104!C284,input_572104!A:H,8,FALSE))</f>
        <v>1440</v>
      </c>
      <c r="P284" s="40">
        <f t="shared" ca="1" si="13"/>
        <v>1.6666666667438262E-3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input_572104!A$2</f>
        <v>572104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IFERROR(VLOOKUP(B285,input_572104!L:R,7,FALSE),VLOOKUP(tables_572104!C285,input_572104!A:H,8,FALSE))</f>
        <v>320</v>
      </c>
      <c r="P285" s="40">
        <f t="shared" ca="1" si="13"/>
        <v>3.7037037038751696E-4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input_572104!A$2</f>
        <v>572104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IFERROR(VLOOKUP(B286,input_572104!L:R,7,FALSE),VLOOKUP(tables_572104!C286,input_572104!A:H,8,FALSE))</f>
        <v>4239.5657099999999</v>
      </c>
      <c r="P286" s="40">
        <f t="shared" ca="1" si="13"/>
        <v>4.9069047571716129E-3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input_572104!A$2</f>
        <v>572104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IFERROR(VLOOKUP(B287,input_572104!L:R,7,FALSE),VLOOKUP(tables_572104!C287,input_572104!A:H,8,FALSE))</f>
        <v>193.66737000000001</v>
      </c>
      <c r="P287" s="40">
        <f t="shared" ca="1" si="13"/>
        <v>2.241520486214884E-4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input_572104!A$2</f>
        <v>572104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IFERROR(VLOOKUP(B288,input_572104!L:R,7,FALSE),VLOOKUP(tables_572104!C288,input_572104!A:H,8,FALSE))</f>
        <v>4239.5657099999999</v>
      </c>
      <c r="P288" s="40">
        <f t="shared" ca="1" si="13"/>
        <v>4.9069047571716129E-3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input_572104!A$2</f>
        <v>572104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IFERROR(VLOOKUP(B289,input_572104!L:R,7,FALSE),VLOOKUP(tables_572104!C289,input_572104!A:H,8,FALSE))</f>
        <v>193.66737000000001</v>
      </c>
      <c r="P289" s="40">
        <f t="shared" ca="1" si="13"/>
        <v>2.241520486214884E-4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input_572104!A$2</f>
        <v>572104</v>
      </c>
      <c r="B290" s="5">
        <v>862</v>
      </c>
      <c r="C290" s="7" t="str">
        <f t="shared" si="12"/>
        <v>Premium4R3lesscolor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">
        <v>35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IFERROR(VLOOKUP(B290,input_572104!L:R,7,FALSE),VLOOKUP(tables_572104!C290,input_572104!A:H,8,FALSE))</f>
        <v>18761.04</v>
      </c>
      <c r="P290" s="40">
        <f t="shared" ca="1" si="13"/>
        <v>2.1714166667671942E-2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input_572104!A$2</f>
        <v>572104</v>
      </c>
      <c r="B291" s="5">
        <v>863</v>
      </c>
      <c r="C291" s="7" t="str">
        <f t="shared" si="12"/>
        <v>Premium5R3lesscolor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">
        <v>35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IFERROR(VLOOKUP(B291,input_572104!L:R,7,FALSE),VLOOKUP(tables_572104!C291,input_572104!A:H,8,FALSE))</f>
        <v>1285.50857</v>
      </c>
      <c r="P291" s="40">
        <f t="shared" ca="1" si="13"/>
        <v>1.487857141272585E-3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input_572104!A$2</f>
        <v>572104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IFERROR(VLOOKUP(B292,input_572104!L:R,7,FALSE),VLOOKUP(tables_572104!C292,input_572104!A:H,8,FALSE))</f>
        <v>4239.5657099999999</v>
      </c>
      <c r="P292" s="40">
        <f t="shared" ca="1" si="13"/>
        <v>4.9069047571716129E-3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input_572104!A$2</f>
        <v>572104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IFERROR(VLOOKUP(B293,input_572104!L:R,7,FALSE),VLOOKUP(tables_572104!C293,input_572104!A:H,8,FALSE))</f>
        <v>193.66737000000001</v>
      </c>
      <c r="P293" s="40">
        <f t="shared" ca="1" si="13"/>
        <v>2.241520486214884E-4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input_572104!A$2</f>
        <v>572104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IFERROR(VLOOKUP(B294,input_572104!L:R,7,FALSE),VLOOKUP(tables_572104!C294,input_572104!A:H,8,FALSE))</f>
        <v>320</v>
      </c>
      <c r="P294" s="40">
        <f t="shared" ca="1" si="13"/>
        <v>3.7037037038751696E-4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input_572104!A$2</f>
        <v>572104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IFERROR(VLOOKUP(B295,input_572104!L:R,7,FALSE),VLOOKUP(tables_572104!C295,input_572104!A:H,8,FALSE))</f>
        <v>320</v>
      </c>
      <c r="P295" s="40">
        <f t="shared" ca="1" si="13"/>
        <v>3.7037037038751696E-4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input_572104!A$2</f>
        <v>572104</v>
      </c>
      <c r="B296" s="5">
        <v>937</v>
      </c>
      <c r="C296" s="7" t="str">
        <f t="shared" si="12"/>
        <v>PremiumSS5R5onlycolor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">
        <v>35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IFERROR(VLOOKUP(B296,input_572104!L:R,7,FALSE),VLOOKUP(tables_572104!C296,input_572104!A:H,8,FALSE))</f>
        <v>1440</v>
      </c>
      <c r="P296" s="40">
        <f t="shared" ca="1" si="13"/>
        <v>1.6666666667438262E-3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input_572104!A$2</f>
        <v>572104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IFERROR(VLOOKUP(B297,input_572104!L:R,7,FALSE),VLOOKUP(tables_572104!C297,input_572104!A:H,8,FALSE))</f>
        <v>4239.5657099999999</v>
      </c>
      <c r="P297" s="40">
        <f t="shared" ca="1" si="13"/>
        <v>4.9069047571716129E-3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input_572104!A$2</f>
        <v>572104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IFERROR(VLOOKUP(B298,input_572104!L:R,7,FALSE),VLOOKUP(tables_572104!C298,input_572104!A:H,8,FALSE))</f>
        <v>193.66737000000001</v>
      </c>
      <c r="P298" s="40">
        <f t="shared" ca="1" si="13"/>
        <v>2.241520486214884E-4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input_572104!A$2</f>
        <v>572104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IFERROR(VLOOKUP(B299,input_572104!L:R,7,FALSE),VLOOKUP(tables_572104!C299,input_572104!A:H,8,FALSE))</f>
        <v>320</v>
      </c>
      <c r="P299" s="40">
        <f t="shared" ca="1" si="13"/>
        <v>3.7037037038751696E-4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input_572104!A$2</f>
        <v>572104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IFERROR(VLOOKUP(B300,input_572104!L:R,7,FALSE),VLOOKUP(tables_572104!C300,input_572104!A:H,8,FALSE))</f>
        <v>320</v>
      </c>
      <c r="P300" s="40">
        <f t="shared" ca="1" si="13"/>
        <v>3.7037037038751696E-4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input_572104!A$2</f>
        <v>572104</v>
      </c>
      <c r="B301" s="5">
        <v>1012</v>
      </c>
      <c r="C301" s="7" t="str">
        <f t="shared" si="12"/>
        <v>PremiumSS5R5onlycolor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">
        <v>35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IFERROR(VLOOKUP(B301,input_572104!L:R,7,FALSE),VLOOKUP(tables_572104!C301,input_572104!A:H,8,FALSE))</f>
        <v>1440</v>
      </c>
      <c r="P301" s="40">
        <f t="shared" ca="1" si="13"/>
        <v>1.6666666667438262E-3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input_572104!A$2</f>
        <v>572104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IFERROR(VLOOKUP(B302,input_572104!L:R,7,FALSE),VLOOKUP(tables_572104!C302,input_572104!A:H,8,FALSE))</f>
        <v>320</v>
      </c>
      <c r="P302" s="40">
        <f t="shared" ca="1" si="13"/>
        <v>3.7037037038751696E-4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input_572104!A$2</f>
        <v>572104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IFERROR(VLOOKUP(B303,input_572104!L:R,7,FALSE),VLOOKUP(tables_572104!C303,input_572104!A:H,8,FALSE))</f>
        <v>4239.5657099999999</v>
      </c>
      <c r="P303" s="40">
        <f t="shared" ca="1" si="13"/>
        <v>4.9069047571716129E-3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input_572104!A$2</f>
        <v>572104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IFERROR(VLOOKUP(B304,input_572104!L:R,7,FALSE),VLOOKUP(tables_572104!C304,input_572104!A:H,8,FALSE))</f>
        <v>193.66737000000001</v>
      </c>
      <c r="P304" s="40">
        <f t="shared" ca="1" si="13"/>
        <v>2.241520486214884E-4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input_572104!A$2</f>
        <v>572104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IFERROR(VLOOKUP(B305,input_572104!L:R,7,FALSE),VLOOKUP(tables_572104!C305,input_572104!A:H,8,FALSE))</f>
        <v>320</v>
      </c>
      <c r="P305" s="40">
        <f t="shared" ca="1" si="13"/>
        <v>3.7037037038751696E-4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input_572104!A$2</f>
        <v>572104</v>
      </c>
      <c r="B306" s="5">
        <v>1026</v>
      </c>
      <c r="C306" s="7" t="str">
        <f t="shared" si="12"/>
        <v>Premium4R3lesscolor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">
        <v>35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IFERROR(VLOOKUP(B306,input_572104!L:R,7,FALSE),VLOOKUP(tables_572104!C306,input_572104!A:H,8,FALSE))</f>
        <v>18761.04</v>
      </c>
      <c r="P306" s="40">
        <f t="shared" ref="P306:P310" ca="1" si="15">O306/SUM(O:O)</f>
        <v>2.1714166667671942E-2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input_572104!A$2</f>
        <v>572104</v>
      </c>
      <c r="B307" s="5">
        <v>1027</v>
      </c>
      <c r="C307" s="7" t="str">
        <f t="shared" si="12"/>
        <v>Premium5R3lesscolor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">
        <v>35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IFERROR(VLOOKUP(B307,input_572104!L:R,7,FALSE),VLOOKUP(tables_572104!C307,input_572104!A:H,8,FALSE))</f>
        <v>1285.50857</v>
      </c>
      <c r="P307" s="40">
        <f t="shared" ca="1" si="15"/>
        <v>1.487857141272585E-3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input_572104!A$2</f>
        <v>572104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IFERROR(VLOOKUP(B308,input_572104!L:R,7,FALSE),VLOOKUP(tables_572104!C308,input_572104!A:H,8,FALSE))</f>
        <v>320</v>
      </c>
      <c r="P308" s="40">
        <f t="shared" ca="1" si="15"/>
        <v>3.7037037038751696E-4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input_572104!A$2</f>
        <v>572104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IFERROR(VLOOKUP(B309,input_572104!L:R,7,FALSE),VLOOKUP(tables_572104!C309,input_572104!A:H,8,FALSE))</f>
        <v>320</v>
      </c>
      <c r="P309" s="40">
        <f t="shared" ca="1" si="15"/>
        <v>3.7037037038751696E-4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input_572104!A$2</f>
        <v>572104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IFERROR(VLOOKUP(B310,input_572104!L:R,7,FALSE),VLOOKUP(tables_572104!C310,input_572104!A:H,8,FALSE))</f>
        <v>320</v>
      </c>
      <c r="P310" s="40">
        <f t="shared" ca="1" si="15"/>
        <v>3.7037037038751696E-4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input_572104!A$2</f>
        <v>572104</v>
      </c>
      <c r="B311" s="5">
        <v>1067</v>
      </c>
      <c r="C311" s="7" t="str">
        <f t="shared" si="12"/>
        <v>Premium4R3lesscolor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">
        <v>35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IFERROR(VLOOKUP(B311,input_572104!L:R,7,FALSE),VLOOKUP(tables_572104!C311,input_572104!A:H,8,FALSE))</f>
        <v>18761.04</v>
      </c>
      <c r="P311" s="40">
        <f t="shared" ref="P311:P319" ca="1" si="16">O311/SUM(O:O)</f>
        <v>2.1714166667671942E-2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input_572104!A$2</f>
        <v>572104</v>
      </c>
      <c r="B312" s="5">
        <v>1068</v>
      </c>
      <c r="C312" s="7" t="str">
        <f t="shared" si="12"/>
        <v>Premium5R3lesscolor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">
        <v>35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IFERROR(VLOOKUP(B312,input_572104!L:R,7,FALSE),VLOOKUP(tables_572104!C312,input_572104!A:H,8,FALSE))</f>
        <v>1285.50857</v>
      </c>
      <c r="P312" s="40">
        <f t="shared" ca="1" si="16"/>
        <v>1.487857141272585E-3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input_572104!A$2</f>
        <v>572104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IFERROR(VLOOKUP(B313,input_572104!L:R,7,FALSE),VLOOKUP(tables_572104!C313,input_572104!A:H,8,FALSE))</f>
        <v>320</v>
      </c>
      <c r="P313" s="40">
        <f t="shared" ca="1" si="16"/>
        <v>3.7037037038751696E-4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input_572104!A$2</f>
        <v>572104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IFERROR(VLOOKUP(B314,input_572104!L:R,7,FALSE),VLOOKUP(tables_572104!C314,input_572104!A:H,8,FALSE))</f>
        <v>320</v>
      </c>
      <c r="P314" s="40">
        <f t="shared" ca="1" si="16"/>
        <v>3.7037037038751696E-4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input_572104!A$2</f>
        <v>572104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IFERROR(VLOOKUP(B315,input_572104!L:R,7,FALSE),VLOOKUP(tables_572104!C315,input_572104!A:H,8,FALSE))</f>
        <v>320</v>
      </c>
      <c r="P315" s="40">
        <f t="shared" ca="1" si="16"/>
        <v>3.7037037038751696E-4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input_572104!A$2</f>
        <v>572104</v>
      </c>
      <c r="B316" s="5">
        <v>1100</v>
      </c>
      <c r="C316" s="7" t="str">
        <f t="shared" si="12"/>
        <v>PremiumSS5R5onlycolor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">
        <v>35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IFERROR(VLOOKUP(B316,input_572104!L:R,7,FALSE),VLOOKUP(tables_572104!C316,input_572104!A:H,8,FALSE))</f>
        <v>1440</v>
      </c>
      <c r="P316" s="40">
        <f t="shared" ca="1" si="16"/>
        <v>1.6666666667438262E-3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input_572104!A$2</f>
        <v>572104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IFERROR(VLOOKUP(B317,input_572104!L:R,7,FALSE),VLOOKUP(tables_572104!C317,input_572104!A:H,8,FALSE))</f>
        <v>320</v>
      </c>
      <c r="P317" s="40">
        <f t="shared" ca="1" si="16"/>
        <v>3.7037037038751696E-4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input_572104!A$2</f>
        <v>572104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IFERROR(VLOOKUP(B318,input_572104!L:R,7,FALSE),VLOOKUP(tables_572104!C318,input_572104!A:H,8,FALSE))</f>
        <v>4239.5657099999999</v>
      </c>
      <c r="P318" s="40">
        <f t="shared" ca="1" si="16"/>
        <v>4.9069047571716129E-3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input_572104!A$2</f>
        <v>572104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IFERROR(VLOOKUP(B319,input_572104!L:R,7,FALSE),VLOOKUP(tables_572104!C319,input_572104!A:H,8,FALSE))</f>
        <v>193.66737000000001</v>
      </c>
      <c r="P319" s="40">
        <f t="shared" ca="1" si="16"/>
        <v>2.241520486214884E-4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input_572104!A$2</f>
        <v>572104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IFERROR(VLOOKUP(B320,input_572104!L:R,7,FALSE),VLOOKUP(tables_572104!C320,input_572104!A:H,8,FALSE))</f>
        <v>320</v>
      </c>
      <c r="P320" s="40">
        <f t="shared" ref="P320:P324" ca="1" si="17">O320/SUM(O:O)</f>
        <v>3.7037037038751696E-4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input_572104!A$2</f>
        <v>572104</v>
      </c>
      <c r="B321" s="5">
        <v>1137</v>
      </c>
      <c r="C321" s="7" t="str">
        <f t="shared" si="12"/>
        <v>PremiumSS5R5onlycolor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">
        <v>35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IFERROR(VLOOKUP(B321,input_572104!L:R,7,FALSE),VLOOKUP(tables_572104!C321,input_572104!A:H,8,FALSE))</f>
        <v>1440</v>
      </c>
      <c r="P321" s="40">
        <f t="shared" ca="1" si="17"/>
        <v>1.6666666667438262E-3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input_572104!A$2</f>
        <v>572104</v>
      </c>
      <c r="B322" s="5">
        <v>1139</v>
      </c>
      <c r="C322" s="7" t="str">
        <f t="shared" ref="C322:C330" si="18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IFERROR(VLOOKUP(B322,input_572104!L:R,7,FALSE),VLOOKUP(tables_572104!C322,input_572104!A:H,8,FALSE))</f>
        <v>320</v>
      </c>
      <c r="P322" s="40">
        <f t="shared" ca="1" si="17"/>
        <v>3.7037037038751696E-4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input_572104!A$2</f>
        <v>572104</v>
      </c>
      <c r="B323" s="5">
        <v>1141</v>
      </c>
      <c r="C323" s="7" t="str">
        <f t="shared" si="18"/>
        <v>PremiumSS5R5only</v>
      </c>
      <c r="D323" s="7" t="str">
        <f t="shared" ref="D323:D330" si="1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IFERROR(VLOOKUP(B323,input_572104!L:R,7,FALSE),VLOOKUP(tables_572104!C323,input_572104!A:H,8,FALSE))</f>
        <v>320</v>
      </c>
      <c r="P323" s="40">
        <f t="shared" ca="1" si="17"/>
        <v>3.7037037038751696E-4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input_572104!A$2</f>
        <v>572104</v>
      </c>
      <c r="B324" s="2">
        <v>1143</v>
      </c>
      <c r="C324" s="86" t="str">
        <f t="shared" si="18"/>
        <v>Premium4R3less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IFERROR(VLOOKUP(B324,input_572104!L:R,7,FALSE),VLOOKUP(tables_572104!C324,input_572104!A:H,8,FALSE))</f>
        <v>4239.5657099999999</v>
      </c>
      <c r="P324" s="40">
        <f t="shared" ca="1" si="17"/>
        <v>4.9069047571716129E-3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input_572104!A$2</f>
        <v>572104</v>
      </c>
      <c r="B325" s="2">
        <v>1144</v>
      </c>
      <c r="C325" s="86" t="str">
        <f t="shared" si="18"/>
        <v>Premium5R3less</v>
      </c>
      <c r="D325" s="7" t="str">
        <f t="shared" si="1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IFERROR(VLOOKUP(B325,input_572104!L:R,7,FALSE),VLOOKUP(tables_572104!C325,input_572104!A:H,8,FALSE))</f>
        <v>193.66737000000001</v>
      </c>
      <c r="P325" s="40">
        <f t="shared" ref="P325:P330" ca="1" si="20">O325/SUM(O:O)</f>
        <v>2.241520486214884E-4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input_572104!A$2</f>
        <v>572104</v>
      </c>
      <c r="B326" s="2">
        <v>1151</v>
      </c>
      <c r="C326" s="86" t="str">
        <f t="shared" si="18"/>
        <v>Premium4R3lesscolor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">
        <v>35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IFERROR(VLOOKUP(B326,input_572104!L:R,7,FALSE),VLOOKUP(tables_572104!C326,input_572104!A:H,8,FALSE))</f>
        <v>18761.04</v>
      </c>
      <c r="P326" s="40">
        <f t="shared" ca="1" si="20"/>
        <v>2.1714166667671942E-2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input_572104!A$2</f>
        <v>572104</v>
      </c>
      <c r="B327" s="2">
        <v>1152</v>
      </c>
      <c r="C327" s="86" t="str">
        <f t="shared" si="18"/>
        <v>Premium5R3lesscolor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">
        <v>35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IFERROR(VLOOKUP(B327,input_572104!L:R,7,FALSE),VLOOKUP(tables_572104!C327,input_572104!A:H,8,FALSE))</f>
        <v>1285.50857</v>
      </c>
      <c r="P327" s="40">
        <f t="shared" ca="1" si="20"/>
        <v>1.487857141272585E-3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input_572104!A$2</f>
        <v>572104</v>
      </c>
      <c r="B328" s="2">
        <v>1153</v>
      </c>
      <c r="C328" s="86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IFERROR(VLOOKUP(B328,input_572104!L:R,7,FALSE),VLOOKUP(tables_572104!C328,input_572104!A:H,8,FALSE))</f>
        <v>320</v>
      </c>
      <c r="P328" s="40">
        <f t="shared" ca="1" si="20"/>
        <v>3.7037037038751696E-4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input_572104!A$2</f>
        <v>572104</v>
      </c>
      <c r="B329" s="2">
        <v>1155</v>
      </c>
      <c r="C329" s="86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IFERROR(VLOOKUP(B329,input_572104!L:R,7,FALSE),VLOOKUP(tables_572104!C329,input_572104!A:H,8,FALSE))</f>
        <v>320</v>
      </c>
      <c r="P329" s="40">
        <f t="shared" ca="1" si="20"/>
        <v>3.7037037038751696E-4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input_572104!A$2</f>
        <v>572104</v>
      </c>
      <c r="B330" s="2">
        <v>1157</v>
      </c>
      <c r="C330" s="86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IFERROR(VLOOKUP(B330,input_572104!L:R,7,FALSE),VLOOKUP(tables_572104!C330,input_572104!A:H,8,FALSE))</f>
        <v>320</v>
      </c>
      <c r="P330" s="40">
        <f t="shared" ca="1" si="20"/>
        <v>3.7037037038751696E-4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input_572104!A$2</f>
        <v>572104</v>
      </c>
      <c r="B331" s="52">
        <v>1214</v>
      </c>
      <c r="C331" s="86" t="str">
        <f t="shared" ref="C331:C340" si="21">D331&amp;J331&amp;E331&amp;F331&amp;G331</f>
        <v>PremiumSS5R5only</v>
      </c>
      <c r="D331" s="7" t="str">
        <f t="shared" ref="D331:D340" si="22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IFERROR(VLOOKUP(B331,input_572104!L:R,7,FALSE),VLOOKUP(tables_572104!C331,input_572104!A:H,8,FALSE))</f>
        <v>320</v>
      </c>
      <c r="P331" s="40">
        <f t="shared" ref="P331:P340" ca="1" si="23">O331/SUM(O:O)</f>
        <v>3.7037037038751696E-4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input_572104!A$2</f>
        <v>572104</v>
      </c>
      <c r="B332" s="52">
        <v>1212</v>
      </c>
      <c r="C332" s="86" t="str">
        <f t="shared" si="21"/>
        <v>PremiumSS5R5only</v>
      </c>
      <c r="D332" s="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IFERROR(VLOOKUP(B332,input_572104!L:R,7,FALSE),VLOOKUP(tables_572104!C332,input_572104!A:H,8,FALSE))</f>
        <v>320</v>
      </c>
      <c r="P332" s="40">
        <f t="shared" ca="1" si="23"/>
        <v>3.7037037038751696E-4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input_572104!A$2</f>
        <v>572104</v>
      </c>
      <c r="B333" s="52">
        <v>1208</v>
      </c>
      <c r="C333" s="86" t="str">
        <f t="shared" si="21"/>
        <v>PremiumSS5R5onlycolor</v>
      </c>
      <c r="D333" s="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">
        <v>35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IFERROR(VLOOKUP(B333,input_572104!L:R,7,FALSE),VLOOKUP(tables_572104!C333,input_572104!A:H,8,FALSE))</f>
        <v>1440</v>
      </c>
      <c r="P333" s="40">
        <f t="shared" ca="1" si="23"/>
        <v>1.6666666667438262E-3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input_572104!A$2</f>
        <v>572104</v>
      </c>
      <c r="B334" s="96">
        <v>1210</v>
      </c>
      <c r="C334" s="86" t="str">
        <f t="shared" si="21"/>
        <v>Premium4R3less</v>
      </c>
      <c r="D334" s="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IFERROR(VLOOKUP(B334,input_572104!L:R,7,FALSE),VLOOKUP(tables_572104!C334,input_572104!A:H,8,FALSE))</f>
        <v>4239.5657099999999</v>
      </c>
      <c r="P334" s="40">
        <f t="shared" ca="1" si="23"/>
        <v>4.9069047571716129E-3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input_572104!A$2</f>
        <v>572104</v>
      </c>
      <c r="B335" s="52">
        <v>1211</v>
      </c>
      <c r="C335" s="86" t="str">
        <f t="shared" si="21"/>
        <v>Premium5R3less</v>
      </c>
      <c r="D335" s="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IFERROR(VLOOKUP(B335,input_572104!L:R,7,FALSE),VLOOKUP(tables_572104!C335,input_572104!A:H,8,FALSE))</f>
        <v>193.66737000000001</v>
      </c>
      <c r="P335" s="40">
        <f t="shared" ca="1" si="23"/>
        <v>2.241520486214884E-4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input_572104!A$2</f>
        <v>572104</v>
      </c>
      <c r="B336" s="2">
        <v>1224</v>
      </c>
      <c r="C336" s="86" t="str">
        <f t="shared" si="21"/>
        <v>Premium4R3lesscolor</v>
      </c>
      <c r="D336" s="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">
        <v>35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IFERROR(VLOOKUP(B336,input_572104!L:R,7,FALSE),VLOOKUP(tables_572104!C336,input_572104!A:H,8,FALSE))</f>
        <v>18761.04</v>
      </c>
      <c r="P336" s="40">
        <f t="shared" ca="1" si="23"/>
        <v>2.1714166667671942E-2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input_572104!A$2</f>
        <v>572104</v>
      </c>
      <c r="B337" s="2">
        <v>1225</v>
      </c>
      <c r="C337" s="86" t="str">
        <f t="shared" si="21"/>
        <v>Premium5R3lesscolor</v>
      </c>
      <c r="D337" s="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">
        <v>35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IFERROR(VLOOKUP(B337,input_572104!L:R,7,FALSE),VLOOKUP(tables_572104!C337,input_572104!A:H,8,FALSE))</f>
        <v>1285.50857</v>
      </c>
      <c r="P337" s="40">
        <f t="shared" ca="1" si="23"/>
        <v>1.487857141272585E-3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input_572104!A$2</f>
        <v>572104</v>
      </c>
      <c r="B338" s="2">
        <v>1226</v>
      </c>
      <c r="C338" s="86" t="str">
        <f t="shared" si="21"/>
        <v>PremiumSS5R5only</v>
      </c>
      <c r="D338" s="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IFERROR(VLOOKUP(B338,input_572104!L:R,7,FALSE),VLOOKUP(tables_572104!C338,input_572104!A:H,8,FALSE))</f>
        <v>320</v>
      </c>
      <c r="P338" s="40">
        <f t="shared" ca="1" si="23"/>
        <v>3.7037037038751696E-4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input_572104!A$2</f>
        <v>572104</v>
      </c>
      <c r="B339" s="2">
        <v>1228</v>
      </c>
      <c r="C339" s="86" t="str">
        <f t="shared" si="21"/>
        <v>PremiumSS5R5only</v>
      </c>
      <c r="D339" s="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IFERROR(VLOOKUP(B339,input_572104!L:R,7,FALSE),VLOOKUP(tables_572104!C339,input_572104!A:H,8,FALSE))</f>
        <v>320</v>
      </c>
      <c r="P339" s="40">
        <f t="shared" ca="1" si="23"/>
        <v>3.7037037038751696E-4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input_572104!A$2</f>
        <v>572104</v>
      </c>
      <c r="B340" s="2">
        <v>1230</v>
      </c>
      <c r="C340" s="86" t="str">
        <f t="shared" si="21"/>
        <v>PremiumSS5R5only</v>
      </c>
      <c r="D340" s="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IFERROR(VLOOKUP(B340,input_572104!L:R,7,FALSE),VLOOKUP(tables_572104!C340,input_572104!A:H,8,FALSE))</f>
        <v>320</v>
      </c>
      <c r="P340" s="40">
        <f t="shared" ca="1" si="23"/>
        <v>3.7037037038751696E-4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input_572104!A$2</f>
        <v>572104</v>
      </c>
      <c r="B341" s="2">
        <v>1244</v>
      </c>
      <c r="C341" s="86" t="str">
        <f t="shared" ref="C341" si="24">D341&amp;J341&amp;E341&amp;F341&amp;G341</f>
        <v>PremiumSS5R5onlycolor</v>
      </c>
      <c r="D341" s="7" t="str">
        <f t="shared" ref="D341" si="25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">
        <v>35</v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IFERROR(VLOOKUP(B341,input_572104!L:R,7,FALSE),VLOOKUP(tables_572104!C341,input_572104!A:H,8,FALSE))</f>
        <v>1440</v>
      </c>
      <c r="P341" s="40">
        <f t="shared" ref="P341" ca="1" si="26">O341/SUM(O:O)</f>
        <v>1.6666666667438262E-3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input_572104!A$2</f>
        <v>572104</v>
      </c>
      <c r="B342" s="2">
        <v>1246</v>
      </c>
      <c r="C342" s="86" t="str">
        <f t="shared" ref="C342:C346" si="27">D342&amp;J342&amp;E342&amp;F342&amp;G342</f>
        <v>PremiumSS5R5only</v>
      </c>
      <c r="D342" s="7" t="str">
        <f t="shared" ref="D342:D346" si="28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IFERROR(VLOOKUP(B342,input_572104!L:R,7,FALSE),VLOOKUP(tables_572104!C342,input_572104!A:H,8,FALSE))</f>
        <v>320</v>
      </c>
      <c r="P342" s="40">
        <f t="shared" ref="P342:P346" ca="1" si="29">O342/SUM(O:O)</f>
        <v>3.7037037038751696E-4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input_572104!A$2</f>
        <v>572104</v>
      </c>
      <c r="B343" s="2">
        <v>1248</v>
      </c>
      <c r="C343" s="86" t="str">
        <f t="shared" si="27"/>
        <v>Premium4R3less</v>
      </c>
      <c r="D343" s="7" t="str">
        <f t="shared" si="28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IFERROR(VLOOKUP(B343,input_572104!L:R,7,FALSE),VLOOKUP(tables_572104!C343,input_572104!A:H,8,FALSE))</f>
        <v>4239.5657099999999</v>
      </c>
      <c r="P343" s="40">
        <f t="shared" ca="1" si="29"/>
        <v>4.9069047571716129E-3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input_572104!A$2</f>
        <v>572104</v>
      </c>
      <c r="B344" s="2">
        <v>1249</v>
      </c>
      <c r="C344" s="86" t="str">
        <f t="shared" si="27"/>
        <v>Premium5R3less</v>
      </c>
      <c r="D344" s="7" t="str">
        <f t="shared" si="28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IFERROR(VLOOKUP(B344,input_572104!L:R,7,FALSE),VLOOKUP(tables_572104!C344,input_572104!A:H,8,FALSE))</f>
        <v>193.66737000000001</v>
      </c>
      <c r="P344" s="40">
        <f t="shared" ca="1" si="29"/>
        <v>2.241520486214884E-4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input_572104!A$2</f>
        <v>572104</v>
      </c>
      <c r="B345" s="2">
        <v>1250</v>
      </c>
      <c r="C345" s="86" t="str">
        <f t="shared" si="27"/>
        <v>PremiumSS5R5only</v>
      </c>
      <c r="D345" s="7" t="str">
        <f t="shared" si="28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IFERROR(VLOOKUP(B345,input_572104!L:R,7,FALSE),VLOOKUP(tables_572104!C345,input_572104!A:H,8,FALSE))</f>
        <v>320</v>
      </c>
      <c r="P345" s="40">
        <f t="shared" ca="1" si="29"/>
        <v>3.7037037038751696E-4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input_572104!A$2</f>
        <v>572104</v>
      </c>
      <c r="B346" s="1">
        <v>1260</v>
      </c>
      <c r="C346" s="86" t="str">
        <f t="shared" si="27"/>
        <v>PremiumSS5R5onlycolor</v>
      </c>
      <c r="D346" s="7" t="str">
        <f t="shared" si="28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">
        <v>35</v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IFERROR(VLOOKUP(B346,input_572104!L:R,7,FALSE),VLOOKUP(tables_572104!C346,input_572104!A:H,8,FALSE))</f>
        <v>1440</v>
      </c>
      <c r="P346" s="40">
        <f t="shared" ca="1" si="29"/>
        <v>1.6666666667438262E-3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input_572104!A$2</f>
        <v>572104</v>
      </c>
      <c r="B347" s="1">
        <v>1262</v>
      </c>
      <c r="C347" s="86" t="str">
        <f t="shared" ref="C347:C356" si="30">D347&amp;J347&amp;E347&amp;F347&amp;G347</f>
        <v>PremiumSS5R5only</v>
      </c>
      <c r="D347" s="7" t="str">
        <f t="shared" ref="D347:D356" si="31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IFERROR(VLOOKUP(B347,input_572104!L:R,7,FALSE),VLOOKUP(tables_572104!C347,input_572104!A:H,8,FALSE))</f>
        <v>320</v>
      </c>
      <c r="P347" s="40">
        <f t="shared" ref="P347:P350" ca="1" si="32">O347/SUM(O:O)</f>
        <v>3.7037037038751696E-4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input_572104!A$2</f>
        <v>572104</v>
      </c>
      <c r="B348" s="1">
        <v>1264</v>
      </c>
      <c r="C348" s="86" t="str">
        <f t="shared" si="30"/>
        <v>PremiumSS5R5only</v>
      </c>
      <c r="D348" s="7" t="str">
        <f t="shared" si="3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IFERROR(VLOOKUP(B348,input_572104!L:R,7,FALSE),VLOOKUP(tables_572104!C348,input_572104!A:H,8,FALSE))</f>
        <v>320</v>
      </c>
      <c r="P348" s="40">
        <f t="shared" ca="1" si="32"/>
        <v>3.7037037038751696E-4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input_572104!A$2</f>
        <v>572104</v>
      </c>
      <c r="B349" s="1">
        <v>1266</v>
      </c>
      <c r="C349" s="86" t="str">
        <f t="shared" si="30"/>
        <v>Premium4R3less</v>
      </c>
      <c r="D349" s="7" t="str">
        <f t="shared" si="3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IFERROR(VLOOKUP(B349,input_572104!L:R,7,FALSE),VLOOKUP(tables_572104!C349,input_572104!A:H,8,FALSE))</f>
        <v>4239.5657099999999</v>
      </c>
      <c r="P349" s="40">
        <f t="shared" ca="1" si="32"/>
        <v>4.9069047571716129E-3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input_572104!A$2</f>
        <v>572104</v>
      </c>
      <c r="B350" s="1">
        <v>1267</v>
      </c>
      <c r="C350" s="86" t="str">
        <f t="shared" si="30"/>
        <v>Premium5R3less</v>
      </c>
      <c r="D350" s="7" t="str">
        <f t="shared" si="3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IFERROR(VLOOKUP(B350,input_572104!L:R,7,FALSE),VLOOKUP(tables_572104!C350,input_572104!A:H,8,FALSE))</f>
        <v>193.66737000000001</v>
      </c>
      <c r="P350" s="40">
        <f t="shared" ca="1" si="32"/>
        <v>2.241520486214884E-4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input_572104!A$2</f>
        <v>572104</v>
      </c>
      <c r="B351" s="102">
        <v>1332</v>
      </c>
      <c r="C351" s="86" t="str">
        <f t="shared" si="30"/>
        <v>PremiumSS5R5onlycolor</v>
      </c>
      <c r="D351" s="7" t="str">
        <f t="shared" si="31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 t="s">
        <v>35</v>
      </c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IFERROR(VLOOKUP(B351,input_572104!L:R,7,FALSE),VLOOKUP(tables_572104!C351,input_572104!A:H,8,FALSE))</f>
        <v>1440</v>
      </c>
      <c r="P351" s="40">
        <f t="shared" ref="P351:P356" ca="1" si="33">O351/SUM(O:O)</f>
        <v>1.6666666667438262E-3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input_572104!A$2</f>
        <v>572104</v>
      </c>
      <c r="B352" s="102">
        <v>1336</v>
      </c>
      <c r="C352" s="86" t="str">
        <f t="shared" si="30"/>
        <v>PremiumSS5R5only</v>
      </c>
      <c r="D352" s="7" t="str">
        <f t="shared" si="3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IFERROR(VLOOKUP(B352,input_572104!L:R,7,FALSE),VLOOKUP(tables_572104!C352,input_572104!A:H,8,FALSE))</f>
        <v>320</v>
      </c>
      <c r="P352" s="40">
        <f t="shared" ca="1" si="33"/>
        <v>3.7037037038751696E-4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input_572104!A$2</f>
        <v>572104</v>
      </c>
      <c r="B353" s="102">
        <v>1338</v>
      </c>
      <c r="C353" s="86" t="str">
        <f t="shared" si="30"/>
        <v>PremiumSS5R5only</v>
      </c>
      <c r="D353" s="7" t="str">
        <f t="shared" si="3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IFERROR(VLOOKUP(B353,input_572104!L:R,7,FALSE),VLOOKUP(tables_572104!C353,input_572104!A:H,8,FALSE))</f>
        <v>320</v>
      </c>
      <c r="P353" s="40">
        <f t="shared" ca="1" si="33"/>
        <v>3.7037037038751696E-4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input_572104!A$2</f>
        <v>572104</v>
      </c>
      <c r="B354" s="102">
        <v>1334</v>
      </c>
      <c r="C354" s="86" t="str">
        <f t="shared" si="30"/>
        <v>Premium4R3less</v>
      </c>
      <c r="D354" s="7" t="str">
        <f t="shared" si="3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IFERROR(VLOOKUP(B354,input_572104!L:R,7,FALSE),VLOOKUP(tables_572104!C354,input_572104!A:H,8,FALSE))</f>
        <v>4239.5657099999999</v>
      </c>
      <c r="P354" s="40">
        <f t="shared" ca="1" si="33"/>
        <v>4.9069047571716129E-3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input_572104!A$2</f>
        <v>572104</v>
      </c>
      <c r="B355" s="102">
        <v>1335</v>
      </c>
      <c r="C355" s="86" t="str">
        <f t="shared" si="30"/>
        <v>Premium5R3less</v>
      </c>
      <c r="D355" s="7" t="str">
        <f t="shared" si="3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IFERROR(VLOOKUP(B355,input_572104!L:R,7,FALSE),VLOOKUP(tables_572104!C355,input_572104!A:H,8,FALSE))</f>
        <v>193.66737000000001</v>
      </c>
      <c r="P355" s="40">
        <f t="shared" ca="1" si="33"/>
        <v>2.241520486214884E-4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input_572104!A$2</f>
        <v>572104</v>
      </c>
      <c r="B356" s="1">
        <v>786</v>
      </c>
      <c r="C356" s="86" t="str">
        <f t="shared" si="30"/>
        <v>PremiumSSS5R3lesscolor</v>
      </c>
      <c r="D356" s="7" t="str">
        <f t="shared" si="31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35</v>
      </c>
      <c r="H356" s="7" t="str">
        <f>VLOOKUP(B356,[1]characters!$A:$C,3,FALSE)</f>
        <v>ヘイウェイ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dragon</v>
      </c>
      <c r="N356" s="7" t="str">
        <f>VLOOKUP(B356,[1]characters!$A:$G,7,FALSE)</f>
        <v>男性</v>
      </c>
      <c r="O356" s="39">
        <f>IFERROR(VLOOKUP(B356,input_572104!L:R,7,FALSE),VLOOKUP(tables_572104!C356,input_572104!A:H,8,FALSE))</f>
        <v>10368</v>
      </c>
      <c r="P356" s="40">
        <f t="shared" ca="1" si="33"/>
        <v>1.2000000000555549E-2</v>
      </c>
      <c r="Q356" s="76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294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9"/>
  <sheetViews>
    <sheetView showGridLines="0" tabSelected="1" zoomScale="90" zoomScaleNormal="90" zoomScalePageLayoutView="90" workbookViewId="0">
      <pane ySplit="1" topLeftCell="A2" activePane="bottomLeft" state="frozen"/>
      <selection activeCell="L296" sqref="L296"/>
      <selection pane="bottomLeft" activeCell="A4" sqref="A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85">
        <v>572104</v>
      </c>
      <c r="B2" s="87">
        <v>435</v>
      </c>
      <c r="C2" s="86" t="str">
        <f t="shared" ref="C2:C3" si="0">D2&amp;J2&amp;E2&amp;F2&amp;G2</f>
        <v>PremiumSS5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曝弾の密偵 D.R.T.H.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v>10</v>
      </c>
      <c r="P2" s="40">
        <f>O2/SUM(O:O)</f>
        <v>0.33333333333333331</v>
      </c>
      <c r="Q2" s="76">
        <v>80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85">
        <v>572104</v>
      </c>
      <c r="B3" s="87">
        <v>475</v>
      </c>
      <c r="C3" s="86" t="str">
        <f t="shared" si="0"/>
        <v>PremiumSS5</v>
      </c>
      <c r="D3" s="7" t="str">
        <f t="shared" ref="D3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" si="2">IF(K3="yellow","color","")</f>
        <v/>
      </c>
      <c r="H3" s="7" t="str">
        <f>VLOOKUP(B3,[1]characters!$A:$C,3,FALSE)</f>
        <v>緋王 キング・ドライグ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dragon</v>
      </c>
      <c r="N3" s="7" t="str">
        <f>VLOOKUP(B3,[1]characters!$A:$G,7,FALSE)</f>
        <v>不明</v>
      </c>
      <c r="O3" s="39">
        <v>10</v>
      </c>
      <c r="P3" s="40">
        <f>O3/SUM(O:O)</f>
        <v>0.33333333333333331</v>
      </c>
      <c r="Q3" s="76">
        <v>80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85">
        <v>572104</v>
      </c>
      <c r="B4" s="87">
        <v>771</v>
      </c>
      <c r="C4" s="86" t="str">
        <f t="shared" ref="C4" si="3">D4&amp;J4&amp;E4&amp;F4&amp;G4</f>
        <v>PremiumSS5</v>
      </c>
      <c r="D4" s="7" t="str">
        <f t="shared" ref="D4" si="4">IF(OR(I4="PremiumSS",I4="PremiumSSw"),"PremiumSS",IF(I4="PremiumSSS",I4,IF(I4="PremiumW",IF(J4=5,"premium",I4),"Premium")))</f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ref="G4" si="5">IF(K4="yellow","color","")</f>
        <v/>
      </c>
      <c r="H4" s="7" t="str">
        <f>VLOOKUP(B4,[1]characters!$A:$C,3,FALSE)</f>
        <v>天織羽鶴 ハヅル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animal</v>
      </c>
      <c r="N4" s="7" t="str">
        <f>VLOOKUP(B4,[1]characters!$A:$G,7,FALSE)</f>
        <v>女性</v>
      </c>
      <c r="O4" s="39">
        <v>10</v>
      </c>
      <c r="P4" s="40">
        <f>O4/SUM(O:O)</f>
        <v>0.33333333333333331</v>
      </c>
      <c r="Q4" s="76">
        <v>80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95"/>
      <c r="B5"/>
    </row>
    <row r="6" spans="1:22" ht="21" customHeight="1" x14ac:dyDescent="0.15">
      <c r="A6" s="95"/>
      <c r="B6"/>
    </row>
    <row r="7" spans="1:22" ht="21" customHeight="1" x14ac:dyDescent="0.15">
      <c r="A7" s="95"/>
      <c r="B7" s="95"/>
    </row>
    <row r="8" spans="1:22" ht="21" customHeight="1" x14ac:dyDescent="0.15">
      <c r="A8" s="95"/>
      <c r="B8" s="95"/>
    </row>
    <row r="9" spans="1:22" ht="21" customHeight="1" x14ac:dyDescent="0.15">
      <c r="A9" s="95"/>
      <c r="B9" s="95"/>
    </row>
    <row r="10" spans="1:22" ht="21" customHeight="1" x14ac:dyDescent="0.15">
      <c r="A10" s="95"/>
      <c r="B10" s="95"/>
    </row>
    <row r="11" spans="1:22" ht="21" customHeight="1" x14ac:dyDescent="0.15">
      <c r="A11" s="95"/>
      <c r="B11" s="95"/>
    </row>
    <row r="12" spans="1:22" ht="21" customHeight="1" x14ac:dyDescent="0.15">
      <c r="A12" s="95"/>
      <c r="B12" s="95"/>
    </row>
    <row r="13" spans="1:22" ht="21" customHeight="1" x14ac:dyDescent="0.15">
      <c r="A13" s="95"/>
      <c r="B13" s="95"/>
    </row>
    <row r="14" spans="1:22" ht="21" customHeight="1" x14ac:dyDescent="0.15">
      <c r="A14" s="95"/>
      <c r="B14" s="95"/>
    </row>
    <row r="15" spans="1:22" ht="21" customHeight="1" x14ac:dyDescent="0.15">
      <c r="A15" s="95"/>
      <c r="B15" s="95"/>
    </row>
    <row r="16" spans="1:22" ht="21" customHeight="1" x14ac:dyDescent="0.15">
      <c r="A16" s="95"/>
      <c r="B16" s="95"/>
    </row>
    <row r="17" spans="1:2" ht="21" customHeight="1" x14ac:dyDescent="0.15">
      <c r="A17" s="95"/>
      <c r="B17" s="95"/>
    </row>
    <row r="18" spans="1:2" ht="21" customHeight="1" x14ac:dyDescent="0.15">
      <c r="A18" s="95"/>
      <c r="B18" s="95"/>
    </row>
    <row r="19" spans="1:2" ht="21" customHeight="1" x14ac:dyDescent="0.15">
      <c r="A19" s="95"/>
      <c r="B19" s="95"/>
    </row>
    <row r="20" spans="1:2" ht="21" customHeight="1" x14ac:dyDescent="0.15">
      <c r="A20" s="95"/>
      <c r="B20" s="95"/>
    </row>
    <row r="21" spans="1:2" ht="21" customHeight="1" x14ac:dyDescent="0.15">
      <c r="A21" s="95"/>
      <c r="B21" s="95"/>
    </row>
    <row r="22" spans="1:2" ht="21" customHeight="1" x14ac:dyDescent="0.15">
      <c r="A22" s="95"/>
      <c r="B22" s="95"/>
    </row>
    <row r="23" spans="1:2" ht="21" customHeight="1" x14ac:dyDescent="0.15">
      <c r="A23" s="95"/>
      <c r="B23" s="95"/>
    </row>
    <row r="24" spans="1:2" ht="21" customHeight="1" x14ac:dyDescent="0.15">
      <c r="A24" s="95"/>
      <c r="B24" s="95"/>
    </row>
    <row r="25" spans="1:2" ht="21" customHeight="1" x14ac:dyDescent="0.15">
      <c r="A25" s="95"/>
      <c r="B25" s="95"/>
    </row>
    <row r="26" spans="1:2" ht="21" customHeight="1" x14ac:dyDescent="0.15">
      <c r="A26" s="95"/>
      <c r="B26" s="95"/>
    </row>
    <row r="27" spans="1:2" ht="21" customHeight="1" x14ac:dyDescent="0.15">
      <c r="A27" s="95"/>
      <c r="B27" s="95"/>
    </row>
    <row r="28" spans="1:2" ht="21" customHeight="1" x14ac:dyDescent="0.15">
      <c r="A28" s="95"/>
      <c r="B28" s="95"/>
    </row>
    <row r="29" spans="1:2" ht="21" customHeight="1" x14ac:dyDescent="0.15">
      <c r="A29" s="95"/>
      <c r="B29" s="95"/>
    </row>
    <row r="30" spans="1:2" ht="21" customHeight="1" x14ac:dyDescent="0.15">
      <c r="A30" s="95"/>
      <c r="B30" s="95"/>
    </row>
    <row r="31" spans="1:2" ht="21" customHeight="1" x14ac:dyDescent="0.15">
      <c r="A31" s="95"/>
      <c r="B31" s="95"/>
    </row>
    <row r="32" spans="1:2" ht="21" customHeight="1" x14ac:dyDescent="0.15">
      <c r="A32" s="95"/>
      <c r="B32" s="95"/>
    </row>
    <row r="33" spans="1:2" ht="21" customHeight="1" x14ac:dyDescent="0.15">
      <c r="A33" s="95"/>
      <c r="B33" s="95"/>
    </row>
    <row r="34" spans="1:2" ht="21" customHeight="1" x14ac:dyDescent="0.15">
      <c r="A34" s="95"/>
      <c r="B34" s="95"/>
    </row>
    <row r="35" spans="1:2" ht="21" customHeight="1" x14ac:dyDescent="0.15">
      <c r="A35" s="95"/>
      <c r="B35" s="95"/>
    </row>
    <row r="36" spans="1:2" ht="21" customHeight="1" x14ac:dyDescent="0.15">
      <c r="A36" s="95"/>
      <c r="B36" s="95"/>
    </row>
    <row r="37" spans="1:2" ht="21" customHeight="1" x14ac:dyDescent="0.15">
      <c r="A37" s="95"/>
      <c r="B37" s="95"/>
    </row>
    <row r="38" spans="1:2" ht="21" customHeight="1" x14ac:dyDescent="0.15">
      <c r="A38" s="95"/>
      <c r="B38" s="95"/>
    </row>
    <row r="39" spans="1:2" ht="21" customHeight="1" x14ac:dyDescent="0.15">
      <c r="A39" s="95"/>
      <c r="B39" s="95"/>
    </row>
  </sheetData>
  <autoFilter ref="A1:V3"/>
  <sortState ref="A2:V114">
    <sortCondition ref="G2"/>
  </sortState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5"/>
  <sheetViews>
    <sheetView topLeftCell="A11" workbookViewId="0">
      <selection activeCell="F65" sqref="F63:F6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572105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786</v>
      </c>
      <c r="M3" s="31" t="str">
        <f>VLOOKUP(L3,[1]characters!$A:$C,3,FALSE)</f>
        <v>ヘイウェイ</v>
      </c>
      <c r="N3" s="54">
        <v>1.6E-2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VLOOKUP(L3,tables_572105!B:C,2,FALSE)</f>
        <v>PremiumSSS5R3lesscolor</v>
      </c>
      <c r="R3" s="53">
        <f t="shared" ref="R3:R20" si="1">N3*A$51</f>
        <v>13824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VLOOKUP(L4,tables_572105!B:C,2,FALSE)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3.7037037037037046E-4</v>
      </c>
      <c r="F5">
        <f>(COUNTIF(tables_572105!C:C,input_572105!A28)+COUNTIF(tables_572105!C:C,input_572105!A29))</f>
        <v>54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VLOOKUP(L5,tables_572105!B:C,2,FALSE)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(COUNTIF(tables_572105!C:C,input_572105!A43)+COUNTIF(tables_572105!C:C,input_572105!A44))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VLOOKUP(L6,tables_572105!B:C,2,FALSE)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5.1888888888888887E-3</v>
      </c>
      <c r="F7">
        <f>(COUNTIF(tables_572105!C:C,input_572105!A26)+COUNTIF(tables_572105!C:C,input_572105!A18)+COUNTIF(tables_572105!C:C,input_572105!A20)+COUNTIF(tables_572105!C:C,input_572105!A22))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VLOOKUP(L7,tables_572105!B:C,2,FALSE)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2.3349999999999996E-2</v>
      </c>
      <c r="F8">
        <f>(COUNTIF(tables_572105!C:C,input_572105!A40)+COUNTIF(tables_572105!C:C,input_572105!A33)+COUNTIF(tables_572105!C:C,input_572105!A35)+COUNTIF(tables_572105!C:C,input_572105!A37))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VLOOKUP(L8,tables_572105!B:C,2,FALSE)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VLOOKUP(L9,tables_572105!B:C,2,FALSE)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0.93399999999999994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VLOOKUP(L10,tables_572105!B:C,2,FALSE)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VLOOKUP(L11,tables_572105!B:C,2,FALSE)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1.6E-2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VLOOKUP(L12,tables_572105!B:C,2,FALSE)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VLOOKUP(L13,tables_572105!B:C,2,FALSE)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VLOOKUP(L14,tables_572105!B:C,2,FALSE)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VLOOKUP(L15,tables_572105!B:C,2,FALSE)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VLOOKUP(L16,tables_572105!B:C,2,FALSE)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>SUMIF(Q:Q,A17,N:N)</f>
        <v>0</v>
      </c>
      <c r="D17" s="66">
        <f t="shared" ref="D17:D47" si="2">B17-C17</f>
        <v>0</v>
      </c>
      <c r="E17">
        <f>COUNTIF(tables_572105!C:C,input_572105!A17)-COUNTIF(Q:Q,A17)</f>
        <v>15</v>
      </c>
      <c r="F17" s="37">
        <f>IFERROR(B17/E17,0)</f>
        <v>0</v>
      </c>
      <c r="G17">
        <f t="shared" ref="G17:G46" si="3">A$51*B17</f>
        <v>0</v>
      </c>
      <c r="H17">
        <f t="shared" ref="H17:H46" si="4">IFERROR(ROUND(G17/E17,5),0)</f>
        <v>0</v>
      </c>
      <c r="I17">
        <f t="shared" ref="I17:I46" si="5">MOD(H17,1)</f>
        <v>0</v>
      </c>
      <c r="J17">
        <f t="shared" ref="J17:J46" si="6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VLOOKUP(L17,tables_572105!B:C,2,FALSE)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8.4233333333333382E-2</v>
      </c>
      <c r="C18" s="75">
        <f t="shared" ref="C18:C46" si="7">SUMIF(Q:Q,A18,N:N)</f>
        <v>0</v>
      </c>
      <c r="D18" s="66">
        <f t="shared" si="2"/>
        <v>8.4233333333333382E-2</v>
      </c>
      <c r="E18">
        <f>COUNTIF(tables_572105!C:C,input_572105!A18)-COUNTIF(Q:Q,A18)</f>
        <v>15</v>
      </c>
      <c r="F18" s="37">
        <f>IFERROR(B18/E18,0)</f>
        <v>5.6155555555555585E-3</v>
      </c>
      <c r="G18">
        <f t="shared" si="3"/>
        <v>72777.600000000049</v>
      </c>
      <c r="H18">
        <f t="shared" si="4"/>
        <v>4851.84</v>
      </c>
      <c r="I18">
        <f t="shared" si="5"/>
        <v>0.84000000000014552</v>
      </c>
      <c r="J18">
        <f t="shared" si="6"/>
        <v>1.1904761904759842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VLOOKUP(L18,tables_572105!B:C,2,FALSE)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7"/>
        <v>0</v>
      </c>
      <c r="D19" s="66">
        <f t="shared" si="2"/>
        <v>0</v>
      </c>
      <c r="E19">
        <f>COUNTIF(tables_572105!C:C,input_572105!A19)-COUNTIF(Q:Q,A19)</f>
        <v>40</v>
      </c>
      <c r="F19" s="37">
        <f t="shared" ref="F19:F31" si="8">IFERROR(B19/E19,0)</f>
        <v>0</v>
      </c>
      <c r="G19">
        <f t="shared" si="3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VLOOKUP(L19,tables_572105!B:C,2,FALSE)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0.18679999999999999</v>
      </c>
      <c r="C20" s="75">
        <f t="shared" si="7"/>
        <v>0</v>
      </c>
      <c r="D20" s="66">
        <f t="shared" si="2"/>
        <v>0.18679999999999999</v>
      </c>
      <c r="E20">
        <f>COUNTIF(tables_572105!C:C,input_572105!A20)-COUNTIF(Q:Q,A20)</f>
        <v>40</v>
      </c>
      <c r="F20" s="37">
        <f t="shared" si="8"/>
        <v>4.6699999999999997E-3</v>
      </c>
      <c r="G20">
        <f t="shared" si="3"/>
        <v>161395.19999999998</v>
      </c>
      <c r="H20">
        <f t="shared" si="4"/>
        <v>4034.88</v>
      </c>
      <c r="I20">
        <f t="shared" si="5"/>
        <v>0.88000000000010914</v>
      </c>
      <c r="J20">
        <f t="shared" si="6"/>
        <v>1.1363636363634955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VLOOKUP(L20,tables_572105!B:C,2,FALSE)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2.0755555555555555E-2</v>
      </c>
      <c r="C21" s="75">
        <f t="shared" si="7"/>
        <v>0</v>
      </c>
      <c r="D21" s="66">
        <f t="shared" si="2"/>
        <v>2.0755555555555555E-2</v>
      </c>
      <c r="E21">
        <f>COUNTIF(tables_572105!C:C,input_572105!A21)-COUNTIF(Q:Q,A21)</f>
        <v>40</v>
      </c>
      <c r="F21" s="37">
        <f t="shared" si="8"/>
        <v>5.1888888888888883E-4</v>
      </c>
      <c r="G21">
        <f t="shared" si="3"/>
        <v>17932.8</v>
      </c>
      <c r="H21">
        <f t="shared" si="4"/>
        <v>448.32</v>
      </c>
      <c r="I21">
        <f t="shared" si="5"/>
        <v>0.31999999999999318</v>
      </c>
      <c r="J21">
        <f t="shared" si="6"/>
        <v>3.1250000000000666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6.828999999999999E-2</v>
      </c>
      <c r="C22" s="75">
        <f t="shared" si="7"/>
        <v>0</v>
      </c>
      <c r="D22" s="66">
        <f t="shared" si="2"/>
        <v>6.828999999999999E-2</v>
      </c>
      <c r="E22">
        <f>COUNTIF(tables_572105!C:C,input_572105!A22)-COUNTIF(Q:Q,A22)</f>
        <v>14</v>
      </c>
      <c r="F22" s="37">
        <f t="shared" si="8"/>
        <v>4.8778571428571421E-3</v>
      </c>
      <c r="G22">
        <f t="shared" si="3"/>
        <v>59002.55999999999</v>
      </c>
      <c r="H22">
        <f t="shared" si="4"/>
        <v>4214.46857</v>
      </c>
      <c r="I22">
        <f t="shared" si="5"/>
        <v>0.46856999999999971</v>
      </c>
      <c r="J22">
        <f t="shared" si="6"/>
        <v>2.1341528480269769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4.3544444444444524E-3</v>
      </c>
      <c r="C23" s="75">
        <f t="shared" si="7"/>
        <v>0</v>
      </c>
      <c r="D23" s="66">
        <f t="shared" si="2"/>
        <v>4.3544444444444524E-3</v>
      </c>
      <c r="E23">
        <f>COUNTIF(tables_572105!C:C,input_572105!A23)-COUNTIF(Q:Q,A23)</f>
        <v>19</v>
      </c>
      <c r="F23" s="37">
        <f t="shared" si="8"/>
        <v>2.2918128654970802E-4</v>
      </c>
      <c r="G23">
        <f t="shared" si="3"/>
        <v>3762.2400000000071</v>
      </c>
      <c r="H23">
        <f t="shared" si="4"/>
        <v>198.01263</v>
      </c>
      <c r="I23">
        <f t="shared" si="5"/>
        <v>1.2630000000001473E-2</v>
      </c>
      <c r="J23">
        <f t="shared" si="6"/>
        <v>79.176563737124567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7"/>
        <v>0</v>
      </c>
      <c r="D24" s="66">
        <f t="shared" si="2"/>
        <v>0</v>
      </c>
      <c r="E24">
        <f>COUNTIF(tables_572105!C:C,input_572105!A24)-COUNTIF(Q:Q,A24)</f>
        <v>3</v>
      </c>
      <c r="F24" s="37">
        <f t="shared" si="8"/>
        <v>0</v>
      </c>
      <c r="G24">
        <f t="shared" si="3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1.4009999999999998E-2</v>
      </c>
      <c r="C25" s="75">
        <f t="shared" si="7"/>
        <v>0</v>
      </c>
      <c r="D25" s="66">
        <f t="shared" si="2"/>
        <v>1.4009999999999998E-2</v>
      </c>
      <c r="E25">
        <f>COUNTIF(tables_572105!C:C,input_572105!A25)-COUNTIF(Q:Q,A25)</f>
        <v>3</v>
      </c>
      <c r="F25" s="37">
        <f t="shared" si="8"/>
        <v>4.6699999999999997E-3</v>
      </c>
      <c r="G25">
        <f t="shared" si="3"/>
        <v>12104.639999999998</v>
      </c>
      <c r="H25">
        <f t="shared" si="4"/>
        <v>4034.88</v>
      </c>
      <c r="I25">
        <f t="shared" si="5"/>
        <v>0.88000000000010914</v>
      </c>
      <c r="J25">
        <f t="shared" si="6"/>
        <v>1.1363636363634955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1.5566666666666667E-3</v>
      </c>
      <c r="C26" s="75">
        <f t="shared" si="7"/>
        <v>0</v>
      </c>
      <c r="D26" s="66">
        <f t="shared" si="2"/>
        <v>1.5566666666666667E-3</v>
      </c>
      <c r="E26">
        <f>COUNTIF(tables_572105!C:C,input_572105!A26)-COUNTIF(Q:Q,A26)</f>
        <v>3</v>
      </c>
      <c r="F26" s="37">
        <f t="shared" si="8"/>
        <v>5.1888888888888894E-4</v>
      </c>
      <c r="G26">
        <f t="shared" si="3"/>
        <v>1344.96</v>
      </c>
      <c r="H26">
        <f t="shared" si="4"/>
        <v>448.32</v>
      </c>
      <c r="I26">
        <f t="shared" si="5"/>
        <v>0.31999999999999318</v>
      </c>
      <c r="J26">
        <f t="shared" si="6"/>
        <v>3.1250000000000666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6.6666666666666688E-3</v>
      </c>
      <c r="C27" s="75">
        <f t="shared" si="7"/>
        <v>0</v>
      </c>
      <c r="D27" s="66">
        <f t="shared" si="2"/>
        <v>6.6666666666666688E-3</v>
      </c>
      <c r="E27">
        <f>COUNTIF(tables_572105!C:C,input_572105!A27)-COUNTIF(Q:Q,A27)</f>
        <v>20</v>
      </c>
      <c r="F27" s="37">
        <f>IFERROR(B27/E27,0)</f>
        <v>3.3333333333333343E-4</v>
      </c>
      <c r="G27">
        <f t="shared" si="3"/>
        <v>5760.0000000000018</v>
      </c>
      <c r="H27">
        <f t="shared" si="4"/>
        <v>288</v>
      </c>
      <c r="I27">
        <f t="shared" si="5"/>
        <v>0</v>
      </c>
      <c r="J27">
        <f t="shared" si="6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7.4074074074074103E-4</v>
      </c>
      <c r="C28" s="75">
        <f t="shared" si="7"/>
        <v>0</v>
      </c>
      <c r="D28" s="66">
        <f t="shared" si="2"/>
        <v>7.4074074074074103E-4</v>
      </c>
      <c r="E28">
        <f>COUNTIF(tables_572105!C:C,input_572105!A28)-COUNTIF(Q:Q,A28)</f>
        <v>20</v>
      </c>
      <c r="F28" s="37">
        <f t="shared" si="8"/>
        <v>3.703703703703705E-5</v>
      </c>
      <c r="G28">
        <f t="shared" si="3"/>
        <v>640.00000000000023</v>
      </c>
      <c r="H28">
        <f t="shared" si="4"/>
        <v>32</v>
      </c>
      <c r="I28">
        <f t="shared" si="5"/>
        <v>0</v>
      </c>
      <c r="J28">
        <f t="shared" si="6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1.2592592592592596E-2</v>
      </c>
      <c r="C29" s="75">
        <f t="shared" si="7"/>
        <v>0</v>
      </c>
      <c r="D29" s="66">
        <f t="shared" si="2"/>
        <v>1.2592592592592596E-2</v>
      </c>
      <c r="E29">
        <f>COUNTIF(tables_572105!C:C,input_572105!A29)-COUNTIF(Q:Q,A29)</f>
        <v>34</v>
      </c>
      <c r="F29" s="37">
        <f t="shared" si="8"/>
        <v>3.7037037037037046E-4</v>
      </c>
      <c r="G29">
        <f t="shared" si="3"/>
        <v>10880.000000000004</v>
      </c>
      <c r="H29">
        <f t="shared" si="4"/>
        <v>320</v>
      </c>
      <c r="I29">
        <f t="shared" si="5"/>
        <v>0</v>
      </c>
      <c r="J29">
        <f t="shared" si="6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7"/>
        <v>0</v>
      </c>
      <c r="D30" s="66">
        <f t="shared" si="2"/>
        <v>0</v>
      </c>
      <c r="E30">
        <f>COUNTIF(tables_572105!C:C,input_572105!A30)-COUNTIF(Q:Q,A30)</f>
        <v>0</v>
      </c>
      <c r="F30" s="37">
        <f t="shared" si="8"/>
        <v>0</v>
      </c>
      <c r="G30">
        <f t="shared" si="3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7"/>
        <v>0</v>
      </c>
      <c r="D31" s="66">
        <f t="shared" si="2"/>
        <v>0</v>
      </c>
      <c r="E31">
        <f>COUNTIF(tables_572105!C:C,input_572105!A31)-COUNTIF(Q:Q,A31)</f>
        <v>0</v>
      </c>
      <c r="F31" s="37">
        <f t="shared" si="8"/>
        <v>0</v>
      </c>
      <c r="G31">
        <f t="shared" si="3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7"/>
        <v>0</v>
      </c>
      <c r="D32" s="66">
        <f t="shared" si="2"/>
        <v>0</v>
      </c>
      <c r="E32">
        <f>COUNTIF(tables_572105!C:C,input_572105!A32)-COUNTIF(Q:Q,A32)</f>
        <v>5</v>
      </c>
      <c r="F32" s="37">
        <f>IFERROR(B32/E32,0)</f>
        <v>0</v>
      </c>
      <c r="G32">
        <f t="shared" si="3"/>
        <v>0</v>
      </c>
      <c r="H32">
        <f t="shared" si="4"/>
        <v>0</v>
      </c>
      <c r="I32">
        <f t="shared" si="5"/>
        <v>0</v>
      </c>
      <c r="J32">
        <f t="shared" si="6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0.1230500000000001</v>
      </c>
      <c r="C33" s="75">
        <f t="shared" si="7"/>
        <v>0</v>
      </c>
      <c r="D33" s="66">
        <f t="shared" si="2"/>
        <v>0.1230500000000001</v>
      </c>
      <c r="E33">
        <f>COUNTIF(tables_572105!C:C,input_572105!A33)-COUNTIF(Q:Q,A33)</f>
        <v>5</v>
      </c>
      <c r="F33" s="37">
        <f>IFERROR(B33/E33,0)</f>
        <v>2.4610000000000021E-2</v>
      </c>
      <c r="G33">
        <f t="shared" si="3"/>
        <v>106315.20000000008</v>
      </c>
      <c r="H33">
        <f t="shared" si="4"/>
        <v>21263.040000000001</v>
      </c>
      <c r="I33">
        <f t="shared" si="5"/>
        <v>4.0000000000873115E-2</v>
      </c>
      <c r="J33">
        <f t="shared" si="6"/>
        <v>24.999999999454303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7"/>
        <v>0</v>
      </c>
      <c r="D34" s="66">
        <f t="shared" si="2"/>
        <v>0</v>
      </c>
      <c r="E34">
        <f>COUNTIF(tables_572105!C:C,input_572105!A34)-COUNTIF(Q:Q,A34)</f>
        <v>12</v>
      </c>
      <c r="F34" s="37">
        <f t="shared" ref="F34:F41" si="9">IFERROR(B34/E34,0)</f>
        <v>0</v>
      </c>
      <c r="G34">
        <f t="shared" si="3"/>
        <v>0</v>
      </c>
      <c r="H34">
        <f t="shared" si="4"/>
        <v>0</v>
      </c>
      <c r="I34">
        <f t="shared" si="5"/>
        <v>0</v>
      </c>
      <c r="J34">
        <f t="shared" si="6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0.25217999999999996</v>
      </c>
      <c r="C35" s="75">
        <f t="shared" si="7"/>
        <v>0</v>
      </c>
      <c r="D35" s="66">
        <f t="shared" si="2"/>
        <v>0.25217999999999996</v>
      </c>
      <c r="E35">
        <f>COUNTIF(tables_572105!C:C,input_572105!A35)-COUNTIF(Q:Q,A35)</f>
        <v>12</v>
      </c>
      <c r="F35" s="37">
        <f t="shared" si="9"/>
        <v>2.1014999999999995E-2</v>
      </c>
      <c r="G35">
        <f t="shared" si="3"/>
        <v>217883.51999999996</v>
      </c>
      <c r="H35">
        <f t="shared" si="4"/>
        <v>18156.96</v>
      </c>
      <c r="I35">
        <f t="shared" si="5"/>
        <v>0.95999999999912689</v>
      </c>
      <c r="J35">
        <f t="shared" si="6"/>
        <v>1.041666666667614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1.532E-2</v>
      </c>
      <c r="C36" s="75">
        <f t="shared" si="7"/>
        <v>0</v>
      </c>
      <c r="D36" s="66">
        <f t="shared" si="2"/>
        <v>1.532E-2</v>
      </c>
      <c r="E36">
        <f>COUNTIF(tables_572105!C:C,input_572105!A36)-COUNTIF(Q:Q,A36)</f>
        <v>12</v>
      </c>
      <c r="F36" s="37">
        <f t="shared" si="9"/>
        <v>1.2766666666666666E-3</v>
      </c>
      <c r="G36">
        <f t="shared" si="3"/>
        <v>13236.48</v>
      </c>
      <c r="H36">
        <f t="shared" si="4"/>
        <v>1103.04</v>
      </c>
      <c r="I36">
        <f t="shared" si="5"/>
        <v>3.999999999996362E-2</v>
      </c>
      <c r="J36">
        <f t="shared" si="6"/>
        <v>25.000000000022737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0.13175499999999998</v>
      </c>
      <c r="C37" s="75">
        <f t="shared" si="7"/>
        <v>0</v>
      </c>
      <c r="D37" s="66">
        <f t="shared" si="2"/>
        <v>0.13175499999999998</v>
      </c>
      <c r="E37">
        <f>COUNTIF(tables_572105!C:C,input_572105!A37)-COUNTIF(Q:Q,A37)</f>
        <v>6</v>
      </c>
      <c r="F37" s="37">
        <f t="shared" si="9"/>
        <v>2.1959166666666665E-2</v>
      </c>
      <c r="G37">
        <f t="shared" si="3"/>
        <v>113836.31999999999</v>
      </c>
      <c r="H37">
        <f t="shared" si="4"/>
        <v>18972.72</v>
      </c>
      <c r="I37">
        <f t="shared" si="5"/>
        <v>0.72000000000116415</v>
      </c>
      <c r="J37">
        <f t="shared" si="6"/>
        <v>1.3888888888866433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8.3449999999999983E-3</v>
      </c>
      <c r="C38" s="75">
        <f t="shared" si="7"/>
        <v>0</v>
      </c>
      <c r="D38" s="66">
        <f t="shared" si="2"/>
        <v>8.3449999999999983E-3</v>
      </c>
      <c r="E38">
        <f>COUNTIF(tables_572105!C:C,input_572105!A38)-COUNTIF(Q:Q,A38)</f>
        <v>7</v>
      </c>
      <c r="F38" s="37">
        <f t="shared" si="9"/>
        <v>1.1921428571428569E-3</v>
      </c>
      <c r="G38">
        <f t="shared" si="3"/>
        <v>7210.0799999999981</v>
      </c>
      <c r="H38">
        <f t="shared" si="4"/>
        <v>1030.01143</v>
      </c>
      <c r="I38">
        <f t="shared" si="5"/>
        <v>1.1430000000018481E-2</v>
      </c>
      <c r="J38">
        <f t="shared" si="6"/>
        <v>87.489063866875171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7"/>
        <v>0</v>
      </c>
      <c r="D39" s="66">
        <f t="shared" si="2"/>
        <v>0</v>
      </c>
      <c r="E39">
        <f>COUNTIF(tables_572105!C:C,input_572105!A39)-COUNTIF(Q:Q,A39)</f>
        <v>1</v>
      </c>
      <c r="F39" s="37">
        <f t="shared" si="9"/>
        <v>0</v>
      </c>
      <c r="G39">
        <f t="shared" si="3"/>
        <v>0</v>
      </c>
      <c r="H39">
        <f t="shared" si="4"/>
        <v>0</v>
      </c>
      <c r="I39">
        <f t="shared" si="5"/>
        <v>0</v>
      </c>
      <c r="J39">
        <f t="shared" si="6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2.1014999999999995E-2</v>
      </c>
      <c r="C40" s="75">
        <f t="shared" si="7"/>
        <v>0</v>
      </c>
      <c r="D40" s="66">
        <f t="shared" si="2"/>
        <v>2.1014999999999995E-2</v>
      </c>
      <c r="E40">
        <f>COUNTIF(tables_572105!C:C,input_572105!A40)-COUNTIF(Q:Q,A40)</f>
        <v>1</v>
      </c>
      <c r="F40" s="37">
        <f t="shared" si="9"/>
        <v>2.1014999999999995E-2</v>
      </c>
      <c r="G40">
        <f t="shared" si="3"/>
        <v>18156.959999999995</v>
      </c>
      <c r="H40">
        <f t="shared" si="4"/>
        <v>18156.96</v>
      </c>
      <c r="I40">
        <f t="shared" si="5"/>
        <v>0.95999999999912689</v>
      </c>
      <c r="J40">
        <f t="shared" si="6"/>
        <v>1.041666666667614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2.3349999999999998E-3</v>
      </c>
      <c r="C41" s="75">
        <f t="shared" si="7"/>
        <v>0</v>
      </c>
      <c r="D41" s="66">
        <f t="shared" si="2"/>
        <v>2.3349999999999998E-3</v>
      </c>
      <c r="E41">
        <f>COUNTIF(tables_572105!C:C,input_572105!A41)-COUNTIF(Q:Q,A41)</f>
        <v>1</v>
      </c>
      <c r="F41" s="37">
        <f t="shared" si="9"/>
        <v>2.3349999999999998E-3</v>
      </c>
      <c r="G41">
        <f t="shared" si="3"/>
        <v>2017.4399999999998</v>
      </c>
      <c r="H41">
        <f t="shared" si="4"/>
        <v>2017.44</v>
      </c>
      <c r="I41">
        <f t="shared" si="5"/>
        <v>0.44000000000005457</v>
      </c>
      <c r="J41">
        <f t="shared" si="6"/>
        <v>2.2727272727269909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1.2E-2</v>
      </c>
      <c r="C42" s="75">
        <f t="shared" si="7"/>
        <v>0</v>
      </c>
      <c r="D42" s="66">
        <f t="shared" si="2"/>
        <v>1.2E-2</v>
      </c>
      <c r="E42">
        <f>COUNTIF(tables_572105!C:C,input_572105!A42)-COUNTIF(Q:Q,A42)</f>
        <v>8</v>
      </c>
      <c r="F42" s="37">
        <f>IFERROR(B42/E42,0)</f>
        <v>1.5E-3</v>
      </c>
      <c r="G42">
        <f t="shared" si="3"/>
        <v>10368</v>
      </c>
      <c r="H42">
        <f t="shared" si="4"/>
        <v>1296</v>
      </c>
      <c r="I42">
        <f t="shared" si="5"/>
        <v>0</v>
      </c>
      <c r="J42">
        <f t="shared" si="6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1.3333333333333333E-3</v>
      </c>
      <c r="C43" s="75">
        <f t="shared" si="7"/>
        <v>0</v>
      </c>
      <c r="D43" s="66">
        <f t="shared" si="2"/>
        <v>1.3333333333333333E-3</v>
      </c>
      <c r="E43">
        <f>COUNTIF(tables_572105!C:C,input_572105!A43)-COUNTIF(Q:Q,A43)</f>
        <v>8</v>
      </c>
      <c r="F43" s="37">
        <f t="shared" ref="F43:F46" si="10">IFERROR(B43/E43,0)</f>
        <v>1.6666666666666666E-4</v>
      </c>
      <c r="G43">
        <f t="shared" si="3"/>
        <v>1152</v>
      </c>
      <c r="H43">
        <f t="shared" si="4"/>
        <v>144</v>
      </c>
      <c r="I43">
        <f t="shared" si="5"/>
        <v>0</v>
      </c>
      <c r="J43">
        <f t="shared" si="6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1.6666666666666666E-2</v>
      </c>
      <c r="C44" s="75">
        <f t="shared" si="7"/>
        <v>0</v>
      </c>
      <c r="D44" s="66">
        <f t="shared" si="2"/>
        <v>1.6666666666666666E-2</v>
      </c>
      <c r="E44">
        <f>COUNTIF(tables_572105!C:C,input_572105!A44)-COUNTIF(Q:Q,A44)</f>
        <v>10</v>
      </c>
      <c r="F44" s="37">
        <f t="shared" si="10"/>
        <v>1.6666666666666666E-3</v>
      </c>
      <c r="G44">
        <f t="shared" si="3"/>
        <v>14400</v>
      </c>
      <c r="H44">
        <f t="shared" si="4"/>
        <v>1440</v>
      </c>
      <c r="I44">
        <f t="shared" si="5"/>
        <v>0</v>
      </c>
      <c r="J44">
        <f t="shared" si="6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7"/>
        <v>0</v>
      </c>
      <c r="D45" s="66">
        <f t="shared" si="2"/>
        <v>0</v>
      </c>
      <c r="E45">
        <f>COUNTIF(tables_572105!C:C,input_572105!A45)-COUNTIF(Q:Q,A45)</f>
        <v>0</v>
      </c>
      <c r="F45" s="37">
        <f t="shared" si="10"/>
        <v>0</v>
      </c>
      <c r="G45">
        <f t="shared" si="3"/>
        <v>0</v>
      </c>
      <c r="H45">
        <f t="shared" si="4"/>
        <v>0</v>
      </c>
      <c r="I45">
        <f t="shared" si="5"/>
        <v>0</v>
      </c>
      <c r="J45">
        <f t="shared" si="6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1.6E-2</v>
      </c>
      <c r="C46" s="75">
        <f t="shared" si="7"/>
        <v>1.6E-2</v>
      </c>
      <c r="D46" s="66">
        <f t="shared" si="2"/>
        <v>0</v>
      </c>
      <c r="E46">
        <f>COUNTIF(tables_572105!C:C,input_572105!A46)-COUNTIF(Q:Q,A46)</f>
        <v>0</v>
      </c>
      <c r="F46" s="37">
        <f t="shared" si="10"/>
        <v>0</v>
      </c>
      <c r="G46">
        <f t="shared" si="3"/>
        <v>13824</v>
      </c>
      <c r="H46">
        <f t="shared" si="4"/>
        <v>0</v>
      </c>
      <c r="I46">
        <f t="shared" si="5"/>
        <v>0</v>
      </c>
      <c r="J46">
        <f t="shared" si="6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1.6E-2</v>
      </c>
      <c r="D47" s="36">
        <f t="shared" si="2"/>
        <v>0.98399999999999999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  <c r="H49" s="92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47"/>
    </row>
    <row r="51" spans="1:8" x14ac:dyDescent="0.15">
      <c r="A51" s="26">
        <f>LCM(F5-I5,F7-I6)*1000*2*2</f>
        <v>864000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SUMIF(tables_572105!C:C,input_572105!A55,tables_572105!O:O)</f>
        <v>0</v>
      </c>
      <c r="C55" s="46">
        <f t="shared" ref="C55:C61" ca="1" si="11">B55/B$62</f>
        <v>0</v>
      </c>
      <c r="E55">
        <v>3</v>
      </c>
      <c r="F55">
        <f ca="1">SUMIF(tables_572105!J:J,input_572105!E55,tables_572105!O:O)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SUMIF(tables_572105!C:C,input_572105!A56,tables_572105!O:O)</f>
        <v>161395.2000000001</v>
      </c>
      <c r="C56" s="46">
        <f t="shared" ca="1" si="11"/>
        <v>0.86898690558235714</v>
      </c>
      <c r="E56">
        <v>4</v>
      </c>
      <c r="F56">
        <f ca="1">SUMIF(tables_572105!J:J,input_572105!E56,tables_572105!O:O)</f>
        <v>777599.99998000043</v>
      </c>
      <c r="G56">
        <f ca="1">F56/A51</f>
        <v>0.89999999997685232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SUMIF(tables_572105!C:C,input_572105!A57,tables_572105!O:O)</f>
        <v>5760</v>
      </c>
      <c r="C57" s="46">
        <f t="shared" ca="1" si="11"/>
        <v>3.1013094417642991E-2</v>
      </c>
      <c r="E57">
        <v>5</v>
      </c>
      <c r="F57">
        <f ca="1">SUMIF(tables_572105!J:J,input_572105!E57,tables_572105!O:O)</f>
        <v>86399.99997999995</v>
      </c>
      <c r="G57">
        <f ca="1">F57/A51</f>
        <v>9.99999999768518E-2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SUMIF(tables_572105!C:C,input_572105!A58,tables_572105!O:O)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SUMIF(tables_572105!C:C,input_572105!A59,tables_572105!O:O)</f>
        <v>17932.799999999992</v>
      </c>
      <c r="C59" s="46">
        <f t="shared" ca="1" si="11"/>
        <v>9.6554100620261804E-2</v>
      </c>
      <c r="E59" t="s">
        <v>37</v>
      </c>
      <c r="F59" s="47"/>
    </row>
    <row r="60" spans="1:8" x14ac:dyDescent="0.15">
      <c r="A60" s="27" t="s">
        <v>91</v>
      </c>
      <c r="B60">
        <f ca="1">SUMIF(tables_572105!C:C,input_572105!A60,tables_572105!O:O)</f>
        <v>640</v>
      </c>
      <c r="C60" s="46">
        <f t="shared" ca="1" si="11"/>
        <v>3.44589937973811E-3</v>
      </c>
      <c r="E60" t="s">
        <v>190</v>
      </c>
      <c r="F60" s="47">
        <f ca="1">SUMIF(tables_572105!I:I,input_572105!E60,tables_572105!P:P)</f>
        <v>0.20962138262544552</v>
      </c>
    </row>
    <row r="61" spans="1:8" x14ac:dyDescent="0.15">
      <c r="A61" s="27" t="s">
        <v>92</v>
      </c>
      <c r="B61">
        <f>SUMIF(tables_572105!C:C,input_572105!A61,tables_572105!O:O)</f>
        <v>0</v>
      </c>
      <c r="C61" s="46">
        <f t="shared" ca="1" si="11"/>
        <v>0</v>
      </c>
      <c r="E61" t="s">
        <v>191</v>
      </c>
      <c r="F61" s="47">
        <f ca="1">SUMIF(tables_572105!I:I,input_572105!E61,tables_572105!P:P)</f>
        <v>0.19035000000881247</v>
      </c>
    </row>
    <row r="62" spans="1:8" x14ac:dyDescent="0.15">
      <c r="A62" s="33" t="s">
        <v>42</v>
      </c>
      <c r="B62">
        <f ca="1">SUM(B55:B61)</f>
        <v>185728.00000000009</v>
      </c>
      <c r="C62" s="47">
        <f ca="1">SUM(C55:C61)</f>
        <v>1</v>
      </c>
      <c r="E62" t="s">
        <v>192</v>
      </c>
      <c r="F62" s="47">
        <f ca="1">SUMIF(tables_572105!I:I,input_572105!E62,tables_572105!P:P)</f>
        <v>0.53402861736268625</v>
      </c>
    </row>
    <row r="63" spans="1:8" x14ac:dyDescent="0.15">
      <c r="E63" t="s">
        <v>193</v>
      </c>
      <c r="F63" s="104">
        <f ca="1">SUMIF(tables_572105!I:I,input_572105!E63,tables_572105!P:P)</f>
        <v>4.4074074076114501E-2</v>
      </c>
      <c r="G63" s="84"/>
    </row>
    <row r="64" spans="1:8" x14ac:dyDescent="0.15">
      <c r="E64" t="s">
        <v>253</v>
      </c>
      <c r="F64" s="104">
        <f ca="1">SUMIF(tables_572105!I:I,input_572105!E64,tables_572105!P:P)</f>
        <v>5.9259259262002756E-3</v>
      </c>
    </row>
    <row r="65" spans="5:6" x14ac:dyDescent="0.15">
      <c r="E65" t="s">
        <v>254</v>
      </c>
      <c r="F65" s="104">
        <f ca="1">SUMIF(tables_572105!I:I,input_572105!E65,tables_572105!P:P)</f>
        <v>1.6000000000740745E-2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31" activePane="bottomLeft" state="frozen"/>
      <selection activeCell="U32" sqref="U32"/>
      <selection pane="bottomLeft" activeCell="G1" sqref="G1:G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input_572105!A$2</f>
        <v>572105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">
        <v>35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IFERROR(VLOOKUP(B2,input_572105!L:R,7,FALSE),VLOOKUP(tables_572105!C2,input_572105!A:H,8,FALSE))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input_572105!A$2</f>
        <v>572105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">
        <v>35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IFERROR(VLOOKUP(B3,input_572105!L:R,7,FALSE),VLOOKUP(tables_572105!C3,input_572105!A:H,8,FALSE))</f>
        <v>21263.040000000001</v>
      </c>
      <c r="P3" s="40">
        <f t="shared" ca="1" si="1"/>
        <v>2.4610000001139359E-2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input_572105!A$2</f>
        <v>572105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IFERROR(VLOOKUP(B4,input_572105!L:R,7,FALSE),VLOOKUP(tables_572105!C4,input_572105!A:H,8,FALSE))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input_572105!A$2</f>
        <v>572105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IFERROR(VLOOKUP(B5,input_572105!L:R,7,FALSE),VLOOKUP(tables_572105!C5,input_572105!A:H,8,FALSE))</f>
        <v>4851.84</v>
      </c>
      <c r="P5" s="40">
        <f t="shared" ca="1" si="1"/>
        <v>5.6155555558155363E-3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input_572105!A$2</f>
        <v>572105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IFERROR(VLOOKUP(B6,input_572105!L:R,7,FALSE),VLOOKUP(tables_572105!C6,input_572105!A:H,8,FALSE))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input_572105!A$2</f>
        <v>572105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IFERROR(VLOOKUP(B7,input_572105!L:R,7,FALSE),VLOOKUP(tables_572105!C7,input_572105!A:H,8,FALSE))</f>
        <v>4851.84</v>
      </c>
      <c r="P7" s="40">
        <f t="shared" ca="1" si="1"/>
        <v>5.6155555558155363E-3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input_572105!A$2</f>
        <v>572105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IFERROR(VLOOKUP(B8,input_572105!L:R,7,FALSE),VLOOKUP(tables_572105!C8,input_572105!A:H,8,FALSE))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input_572105!A$2</f>
        <v>572105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IFERROR(VLOOKUP(B9,input_572105!L:R,7,FALSE),VLOOKUP(tables_572105!C9,input_572105!A:H,8,FALSE))</f>
        <v>4851.84</v>
      </c>
      <c r="P9" s="40">
        <f t="shared" ca="1" si="1"/>
        <v>5.6155555558155363E-3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input_572105!A$2</f>
        <v>572105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">
        <v>35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IFERROR(VLOOKUP(B10,input_572105!L:R,7,FALSE),VLOOKUP(tables_572105!C10,input_572105!A:H,8,FALSE))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input_572105!A$2</f>
        <v>572105</v>
      </c>
      <c r="B11" s="8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">
        <v>35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IFERROR(VLOOKUP(B11,input_572105!L:R,7,FALSE),VLOOKUP(tables_572105!C11,input_572105!A:H,8,FALSE))</f>
        <v>21263.040000000001</v>
      </c>
      <c r="P11" s="40">
        <f t="shared" ca="1" si="1"/>
        <v>2.4610000001139359E-2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input_572105!A$2</f>
        <v>572105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IFERROR(VLOOKUP(B12,input_572105!L:R,7,FALSE),VLOOKUP(tables_572105!C12,input_572105!A:H,8,FALSE))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input_572105!A$2</f>
        <v>572105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IFERROR(VLOOKUP(B13,input_572105!L:R,7,FALSE),VLOOKUP(tables_572105!C13,input_572105!A:H,8,FALSE))</f>
        <v>4851.84</v>
      </c>
      <c r="P13" s="40">
        <f t="shared" ca="1" si="1"/>
        <v>5.6155555558155363E-3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input_572105!A$2</f>
        <v>572105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IFERROR(VLOOKUP(B14,input_572105!L:R,7,FALSE),VLOOKUP(tables_572105!C14,input_572105!A:H,8,FALSE))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input_572105!A$2</f>
        <v>572105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IFERROR(VLOOKUP(B15,input_572105!L:R,7,FALSE),VLOOKUP(tables_572105!C15,input_572105!A:H,8,FALSE))</f>
        <v>4851.84</v>
      </c>
      <c r="P15" s="40">
        <f t="shared" ca="1" si="1"/>
        <v>5.6155555558155363E-3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input_572105!A$2</f>
        <v>572105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IFERROR(VLOOKUP(B16,input_572105!L:R,7,FALSE),VLOOKUP(tables_572105!C16,input_572105!A:H,8,FALSE))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input_572105!A$2</f>
        <v>572105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IFERROR(VLOOKUP(B17,input_572105!L:R,7,FALSE),VLOOKUP(tables_572105!C17,input_572105!A:H,8,FALSE))</f>
        <v>4851.84</v>
      </c>
      <c r="P17" s="40">
        <f t="shared" ca="1" si="1"/>
        <v>5.6155555558155363E-3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input_572105!A$2</f>
        <v>572105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">
        <v>35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IFERROR(VLOOKUP(B18,input_572105!L:R,7,FALSE),VLOOKUP(tables_572105!C18,input_572105!A:H,8,FALSE))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input_572105!A$2</f>
        <v>572105</v>
      </c>
      <c r="B19" s="10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">
        <v>35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IFERROR(VLOOKUP(B19,input_572105!L:R,7,FALSE),VLOOKUP(tables_572105!C19,input_572105!A:H,8,FALSE))</f>
        <v>21263.040000000001</v>
      </c>
      <c r="P19" s="40">
        <f t="shared" ca="1" si="1"/>
        <v>2.4610000001139359E-2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input_572105!A$2</f>
        <v>572105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IFERROR(VLOOKUP(B20,input_572105!L:R,7,FALSE),VLOOKUP(tables_572105!C20,input_572105!A:H,8,FALSE))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input_572105!A$2</f>
        <v>572105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IFERROR(VLOOKUP(B21,input_572105!L:R,7,FALSE),VLOOKUP(tables_572105!C21,input_572105!A:H,8,FALSE))</f>
        <v>4851.84</v>
      </c>
      <c r="P21" s="40">
        <f t="shared" ca="1" si="1"/>
        <v>5.6155555558155363E-3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input_572105!A$2</f>
        <v>572105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IFERROR(VLOOKUP(B22,input_572105!L:R,7,FALSE),VLOOKUP(tables_572105!C22,input_572105!A:H,8,FALSE))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input_572105!A$2</f>
        <v>572105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IFERROR(VLOOKUP(B23,input_572105!L:R,7,FALSE),VLOOKUP(tables_572105!C23,input_572105!A:H,8,FALSE))</f>
        <v>4851.84</v>
      </c>
      <c r="P23" s="40">
        <f t="shared" ca="1" si="1"/>
        <v>5.6155555558155363E-3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input_572105!A$2</f>
        <v>572105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IFERROR(VLOOKUP(B24,input_572105!L:R,7,FALSE),VLOOKUP(tables_572105!C24,input_572105!A:H,8,FALSE))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input_572105!A$2</f>
        <v>572105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IFERROR(VLOOKUP(B25,input_572105!L:R,7,FALSE),VLOOKUP(tables_572105!C25,input_572105!A:H,8,FALSE))</f>
        <v>4851.84</v>
      </c>
      <c r="P25" s="40">
        <f t="shared" ca="1" si="1"/>
        <v>5.6155555558155363E-3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input_572105!A$2</f>
        <v>572105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">
        <v>35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IFERROR(VLOOKUP(B26,input_572105!L:R,7,FALSE),VLOOKUP(tables_572105!C26,input_572105!A:H,8,FALSE))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input_572105!A$2</f>
        <v>572105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">
        <v>35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IFERROR(VLOOKUP(B27,input_572105!L:R,7,FALSE),VLOOKUP(tables_572105!C27,input_572105!A:H,8,FALSE))</f>
        <v>21263.040000000001</v>
      </c>
      <c r="P27" s="40">
        <f t="shared" ca="1" si="1"/>
        <v>2.4610000001139359E-2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input_572105!A$2</f>
        <v>572105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IFERROR(VLOOKUP(B28,input_572105!L:R,7,FALSE),VLOOKUP(tables_572105!C28,input_572105!A:H,8,FALSE))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input_572105!A$2</f>
        <v>572105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IFERROR(VLOOKUP(B29,input_572105!L:R,7,FALSE),VLOOKUP(tables_572105!C29,input_572105!A:H,8,FALSE))</f>
        <v>4851.84</v>
      </c>
      <c r="P29" s="40">
        <f t="shared" ca="1" si="1"/>
        <v>5.6155555558155363E-3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input_572105!A$2</f>
        <v>572105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IFERROR(VLOOKUP(B30,input_572105!L:R,7,FALSE),VLOOKUP(tables_572105!C30,input_572105!A:H,8,FALSE))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input_572105!A$2</f>
        <v>572105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IFERROR(VLOOKUP(B31,input_572105!L:R,7,FALSE),VLOOKUP(tables_572105!C31,input_572105!A:H,8,FALSE))</f>
        <v>4851.84</v>
      </c>
      <c r="P31" s="40">
        <f t="shared" ca="1" si="1"/>
        <v>5.6155555558155363E-3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input_572105!A$2</f>
        <v>572105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IFERROR(VLOOKUP(B32,input_572105!L:R,7,FALSE),VLOOKUP(tables_572105!C32,input_572105!A:H,8,FALSE))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input_572105!A$2</f>
        <v>572105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IFERROR(VLOOKUP(B33,input_572105!L:R,7,FALSE),VLOOKUP(tables_572105!C33,input_572105!A:H,8,FALSE))</f>
        <v>4851.84</v>
      </c>
      <c r="P33" s="40">
        <f t="shared" ca="1" si="1"/>
        <v>5.6155555558155363E-3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input_572105!A$2</f>
        <v>572105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">
        <v>35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IFERROR(VLOOKUP(B34,input_572105!L:R,7,FALSE),VLOOKUP(tables_572105!C34,input_572105!A:H,8,FALSE))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input_572105!A$2</f>
        <v>572105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">
        <v>35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IFERROR(VLOOKUP(B35,input_572105!L:R,7,FALSE),VLOOKUP(tables_572105!C35,input_572105!A:H,8,FALSE))</f>
        <v>21263.040000000001</v>
      </c>
      <c r="P35" s="40">
        <f t="shared" ca="1" si="1"/>
        <v>2.4610000001139359E-2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input_572105!A$2</f>
        <v>572105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IFERROR(VLOOKUP(B36,input_572105!L:R,7,FALSE),VLOOKUP(tables_572105!C36,input_572105!A:H,8,FALSE))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input_572105!A$2</f>
        <v>572105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IFERROR(VLOOKUP(B37,input_572105!L:R,7,FALSE),VLOOKUP(tables_572105!C37,input_572105!A:H,8,FALSE))</f>
        <v>4851.84</v>
      </c>
      <c r="P37" s="40">
        <f t="shared" ca="1" si="1"/>
        <v>5.6155555558155363E-3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input_572105!A$2</f>
        <v>572105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IFERROR(VLOOKUP(B38,input_572105!L:R,7,FALSE),VLOOKUP(tables_572105!C38,input_572105!A:H,8,FALSE))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input_572105!A$2</f>
        <v>572105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IFERROR(VLOOKUP(B39,input_572105!L:R,7,FALSE),VLOOKUP(tables_572105!C39,input_572105!A:H,8,FALSE))</f>
        <v>4851.84</v>
      </c>
      <c r="P39" s="40">
        <f t="shared" ca="1" si="1"/>
        <v>5.6155555558155363E-3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input_572105!A$2</f>
        <v>572105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IFERROR(VLOOKUP(B40,input_572105!L:R,7,FALSE),VLOOKUP(tables_572105!C40,input_572105!A:H,8,FALSE))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input_572105!A$2</f>
        <v>572105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IFERROR(VLOOKUP(B41,input_572105!L:R,7,FALSE),VLOOKUP(tables_572105!C41,input_572105!A:H,8,FALSE))</f>
        <v>4851.84</v>
      </c>
      <c r="P41" s="40">
        <f t="shared" ca="1" si="1"/>
        <v>5.6155555558155363E-3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input_572105!A$2</f>
        <v>572105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">
        <v>35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IFERROR(VLOOKUP(B42,input_572105!L:R,7,FALSE),VLOOKUP(tables_572105!C42,input_572105!A:H,8,FALSE))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input_572105!A$2</f>
        <v>572105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">
        <v>35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IFERROR(VLOOKUP(B43,input_572105!L:R,7,FALSE),VLOOKUP(tables_572105!C43,input_572105!A:H,8,FALSE))</f>
        <v>18156.96</v>
      </c>
      <c r="P43" s="40">
        <f t="shared" ca="1" si="1"/>
        <v>2.1015000000972919E-2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input_572105!A$2</f>
        <v>572105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">
        <v>35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IFERROR(VLOOKUP(B44,input_572105!L:R,7,FALSE),VLOOKUP(tables_572105!C44,input_572105!A:H,8,FALSE))</f>
        <v>2017.44</v>
      </c>
      <c r="P44" s="40">
        <f t="shared" ca="1" si="1"/>
        <v>2.3350000001081026E-3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input_572105!A$2</f>
        <v>572105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IFERROR(VLOOKUP(B45,input_572105!L:R,7,FALSE),VLOOKUP(tables_572105!C45,input_572105!A:H,8,FALSE))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input_572105!A$2</f>
        <v>572105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IFERROR(VLOOKUP(B46,input_572105!L:R,7,FALSE),VLOOKUP(tables_572105!C46,input_572105!A:H,8,FALSE))</f>
        <v>4034.88</v>
      </c>
      <c r="P46" s="40">
        <f t="shared" ca="1" si="1"/>
        <v>4.6700000002162052E-3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input_572105!A$2</f>
        <v>572105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IFERROR(VLOOKUP(B47,input_572105!L:R,7,FALSE),VLOOKUP(tables_572105!C47,input_572105!A:H,8,FALSE))</f>
        <v>448.32</v>
      </c>
      <c r="P47" s="40">
        <f t="shared" ca="1" si="1"/>
        <v>5.188888889129116E-4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input_572105!A$2</f>
        <v>572105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IFERROR(VLOOKUP(B48,input_572105!L:R,7,FALSE),VLOOKUP(tables_572105!C48,input_572105!A:H,8,FALSE))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input_572105!A$2</f>
        <v>572105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IFERROR(VLOOKUP(B49,input_572105!L:R,7,FALSE),VLOOKUP(tables_572105!C49,input_572105!A:H,8,FALSE))</f>
        <v>4034.88</v>
      </c>
      <c r="P49" s="40">
        <f t="shared" ca="1" si="1"/>
        <v>4.6700000002162052E-3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input_572105!A$2</f>
        <v>572105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IFERROR(VLOOKUP(B50,input_572105!L:R,7,FALSE),VLOOKUP(tables_572105!C50,input_572105!A:H,8,FALSE))</f>
        <v>448.32</v>
      </c>
      <c r="P50" s="40">
        <f t="shared" ca="1" si="1"/>
        <v>5.188888889129116E-4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input_572105!A$2</f>
        <v>572105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IFERROR(VLOOKUP(B51,input_572105!L:R,7,FALSE),VLOOKUP(tables_572105!C51,input_572105!A:H,8,FALSE))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input_572105!A$2</f>
        <v>572105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IFERROR(VLOOKUP(B52,input_572105!L:R,7,FALSE),VLOOKUP(tables_572105!C52,input_572105!A:H,8,FALSE))</f>
        <v>4034.88</v>
      </c>
      <c r="P52" s="40">
        <f t="shared" ca="1" si="1"/>
        <v>4.6700000002162052E-3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input_572105!A$2</f>
        <v>572105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IFERROR(VLOOKUP(B53,input_572105!L:R,7,FALSE),VLOOKUP(tables_572105!C53,input_572105!A:H,8,FALSE))</f>
        <v>448.32</v>
      </c>
      <c r="P53" s="40">
        <f t="shared" ca="1" si="1"/>
        <v>5.188888889129116E-4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input_572105!A$2</f>
        <v>572105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">
        <v>35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IFERROR(VLOOKUP(B54,input_572105!L:R,7,FALSE),VLOOKUP(tables_572105!C54,input_572105!A:H,8,FALSE))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input_572105!A$2</f>
        <v>572105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">
        <v>35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IFERROR(VLOOKUP(B55,input_572105!L:R,7,FALSE),VLOOKUP(tables_572105!C55,input_572105!A:H,8,FALSE))</f>
        <v>18156.96</v>
      </c>
      <c r="P55" s="40">
        <f t="shared" ca="1" si="1"/>
        <v>2.1015000000972919E-2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input_572105!A$2</f>
        <v>572105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">
        <v>35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IFERROR(VLOOKUP(B56,input_572105!L:R,7,FALSE),VLOOKUP(tables_572105!C56,input_572105!A:H,8,FALSE))</f>
        <v>1103.04</v>
      </c>
      <c r="P56" s="40">
        <f t="shared" ca="1" si="1"/>
        <v>1.2766666667257719E-3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input_572105!A$2</f>
        <v>572105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IFERROR(VLOOKUP(B57,input_572105!L:R,7,FALSE),VLOOKUP(tables_572105!C57,input_572105!A:H,8,FALSE))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input_572105!A$2</f>
        <v>572105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IFERROR(VLOOKUP(B58,input_572105!L:R,7,FALSE),VLOOKUP(tables_572105!C58,input_572105!A:H,8,FALSE))</f>
        <v>4034.88</v>
      </c>
      <c r="P58" s="40">
        <f t="shared" ca="1" si="1"/>
        <v>4.6700000002162052E-3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input_572105!A$2</f>
        <v>572105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IFERROR(VLOOKUP(B59,input_572105!L:R,7,FALSE),VLOOKUP(tables_572105!C59,input_572105!A:H,8,FALSE))</f>
        <v>448.32</v>
      </c>
      <c r="P59" s="40">
        <f t="shared" ca="1" si="1"/>
        <v>5.188888889129116E-4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input_572105!A$2</f>
        <v>572105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IFERROR(VLOOKUP(B60,input_572105!L:R,7,FALSE),VLOOKUP(tables_572105!C60,input_572105!A:H,8,FALSE))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input_572105!A$2</f>
        <v>572105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IFERROR(VLOOKUP(B61,input_572105!L:R,7,FALSE),VLOOKUP(tables_572105!C61,input_572105!A:H,8,FALSE))</f>
        <v>4034.88</v>
      </c>
      <c r="P61" s="40">
        <f t="shared" ca="1" si="1"/>
        <v>4.6700000002162052E-3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input_572105!A$2</f>
        <v>572105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IFERROR(VLOOKUP(B62,input_572105!L:R,7,FALSE),VLOOKUP(tables_572105!C62,input_572105!A:H,8,FALSE))</f>
        <v>448.32</v>
      </c>
      <c r="P62" s="40">
        <f t="shared" ca="1" si="1"/>
        <v>5.188888889129116E-4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input_572105!A$2</f>
        <v>572105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IFERROR(VLOOKUP(B63,input_572105!L:R,7,FALSE),VLOOKUP(tables_572105!C63,input_572105!A:H,8,FALSE))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input_572105!A$2</f>
        <v>572105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IFERROR(VLOOKUP(B64,input_572105!L:R,7,FALSE),VLOOKUP(tables_572105!C64,input_572105!A:H,8,FALSE))</f>
        <v>4034.88</v>
      </c>
      <c r="P64" s="40">
        <f t="shared" ca="1" si="1"/>
        <v>4.6700000002162052E-3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input_572105!A$2</f>
        <v>572105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IFERROR(VLOOKUP(B65,input_572105!L:R,7,FALSE),VLOOKUP(tables_572105!C65,input_572105!A:H,8,FALSE))</f>
        <v>448.32</v>
      </c>
      <c r="P65" s="40">
        <f t="shared" ca="1" si="1"/>
        <v>5.188888889129116E-4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input_572105!A$2</f>
        <v>572105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">
        <v>35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IFERROR(VLOOKUP(B66,input_572105!L:R,7,FALSE),VLOOKUP(tables_572105!C66,input_572105!A:H,8,FALSE))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input_572105!A$2</f>
        <v>572105</v>
      </c>
      <c r="B67" s="6">
        <v>191</v>
      </c>
      <c r="C67" s="7" t="str">
        <f t="shared" si="3"/>
        <v>Premium4color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">
        <v>35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IFERROR(VLOOKUP(B67,input_572105!L:R,7,FALSE),VLOOKUP(tables_572105!C67,input_572105!A:H,8,FALSE))</f>
        <v>18156.96</v>
      </c>
      <c r="P67" s="40">
        <f t="shared" ca="1" si="4"/>
        <v>2.1015000000972919E-2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input_572105!A$2</f>
        <v>572105</v>
      </c>
      <c r="B68" s="6">
        <v>192</v>
      </c>
      <c r="C68" s="7" t="str">
        <f t="shared" si="3"/>
        <v>Premium5color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">
        <v>35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IFERROR(VLOOKUP(B68,input_572105!L:R,7,FALSE),VLOOKUP(tables_572105!C68,input_572105!A:H,8,FALSE))</f>
        <v>1103.04</v>
      </c>
      <c r="P68" s="40">
        <f t="shared" ca="1" si="4"/>
        <v>1.2766666667257719E-3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input_572105!A$2</f>
        <v>572105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IFERROR(VLOOKUP(B69,input_572105!L:R,7,FALSE),VLOOKUP(tables_572105!C69,input_572105!A:H,8,FALSE))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input_572105!A$2</f>
        <v>572105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IFERROR(VLOOKUP(B70,input_572105!L:R,7,FALSE),VLOOKUP(tables_572105!C70,input_572105!A:H,8,FALSE))</f>
        <v>4034.88</v>
      </c>
      <c r="P70" s="40">
        <f t="shared" ca="1" si="4"/>
        <v>4.6700000002162052E-3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input_572105!A$2</f>
        <v>572105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IFERROR(VLOOKUP(B71,input_572105!L:R,7,FALSE),VLOOKUP(tables_572105!C71,input_572105!A:H,8,FALSE))</f>
        <v>448.32</v>
      </c>
      <c r="P71" s="40">
        <f t="shared" ca="1" si="4"/>
        <v>5.188888889129116E-4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input_572105!A$2</f>
        <v>572105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IFERROR(VLOOKUP(B72,input_572105!L:R,7,FALSE),VLOOKUP(tables_572105!C72,input_572105!A:H,8,FALSE))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input_572105!A$2</f>
        <v>572105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IFERROR(VLOOKUP(B73,input_572105!L:R,7,FALSE),VLOOKUP(tables_572105!C73,input_572105!A:H,8,FALSE))</f>
        <v>4034.88</v>
      </c>
      <c r="P73" s="40">
        <f t="shared" ca="1" si="4"/>
        <v>4.6700000002162052E-3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input_572105!A$2</f>
        <v>572105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IFERROR(VLOOKUP(B74,input_572105!L:R,7,FALSE),VLOOKUP(tables_572105!C74,input_572105!A:H,8,FALSE))</f>
        <v>448.32</v>
      </c>
      <c r="P74" s="40">
        <f t="shared" ca="1" si="4"/>
        <v>5.188888889129116E-4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input_572105!A$2</f>
        <v>572105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IFERROR(VLOOKUP(B75,input_572105!L:R,7,FALSE),VLOOKUP(tables_572105!C75,input_572105!A:H,8,FALSE))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input_572105!A$2</f>
        <v>572105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IFERROR(VLOOKUP(B76,input_572105!L:R,7,FALSE),VLOOKUP(tables_572105!C76,input_572105!A:H,8,FALSE))</f>
        <v>4034.88</v>
      </c>
      <c r="P76" s="40">
        <f t="shared" ca="1" si="4"/>
        <v>4.6700000002162052E-3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input_572105!A$2</f>
        <v>572105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IFERROR(VLOOKUP(B77,input_572105!L:R,7,FALSE),VLOOKUP(tables_572105!C77,input_572105!A:H,8,FALSE))</f>
        <v>448.32</v>
      </c>
      <c r="P77" s="40">
        <f t="shared" ca="1" si="4"/>
        <v>5.188888889129116E-4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input_572105!A$2</f>
        <v>572105</v>
      </c>
      <c r="B78" s="5">
        <v>202</v>
      </c>
      <c r="C78" s="7" t="str">
        <f t="shared" si="3"/>
        <v>Premium3color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">
        <v>35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IFERROR(VLOOKUP(B78,input_572105!L:R,7,FALSE),VLOOKUP(tables_572105!C78,input_572105!A:H,8,FALSE))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input_572105!A$2</f>
        <v>572105</v>
      </c>
      <c r="B79" s="5">
        <v>203</v>
      </c>
      <c r="C79" s="7" t="str">
        <f t="shared" si="3"/>
        <v>Premium4color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">
        <v>35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IFERROR(VLOOKUP(B79,input_572105!L:R,7,FALSE),VLOOKUP(tables_572105!C79,input_572105!A:H,8,FALSE))</f>
        <v>18156.96</v>
      </c>
      <c r="P79" s="40">
        <f t="shared" ca="1" si="4"/>
        <v>2.1015000000972919E-2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input_572105!A$2</f>
        <v>572105</v>
      </c>
      <c r="B80" s="5">
        <v>204</v>
      </c>
      <c r="C80" s="7" t="str">
        <f t="shared" si="3"/>
        <v>Premium5color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">
        <v>35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IFERROR(VLOOKUP(B80,input_572105!L:R,7,FALSE),VLOOKUP(tables_572105!C80,input_572105!A:H,8,FALSE))</f>
        <v>1103.04</v>
      </c>
      <c r="P80" s="40">
        <f t="shared" ca="1" si="4"/>
        <v>1.2766666667257719E-3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input_572105!A$2</f>
        <v>572105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IFERROR(VLOOKUP(B81,input_572105!L:R,7,FALSE),VLOOKUP(tables_572105!C81,input_572105!A:H,8,FALSE))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input_572105!A$2</f>
        <v>572105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IFERROR(VLOOKUP(B82,input_572105!L:R,7,FALSE),VLOOKUP(tables_572105!C82,input_572105!A:H,8,FALSE))</f>
        <v>4034.88</v>
      </c>
      <c r="P82" s="40">
        <f t="shared" ca="1" si="4"/>
        <v>4.6700000002162052E-3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input_572105!A$2</f>
        <v>572105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IFERROR(VLOOKUP(B83,input_572105!L:R,7,FALSE),VLOOKUP(tables_572105!C83,input_572105!A:H,8,FALSE))</f>
        <v>448.32</v>
      </c>
      <c r="P83" s="40">
        <f t="shared" ca="1" si="4"/>
        <v>5.188888889129116E-4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input_572105!A$2</f>
        <v>572105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IFERROR(VLOOKUP(B84,input_572105!L:R,7,FALSE),VLOOKUP(tables_572105!C84,input_572105!A:H,8,FALSE))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input_572105!A$2</f>
        <v>572105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IFERROR(VLOOKUP(B85,input_572105!L:R,7,FALSE),VLOOKUP(tables_572105!C85,input_572105!A:H,8,FALSE))</f>
        <v>4034.88</v>
      </c>
      <c r="P85" s="40">
        <f t="shared" ca="1" si="4"/>
        <v>4.6700000002162052E-3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input_572105!A$2</f>
        <v>572105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IFERROR(VLOOKUP(B86,input_572105!L:R,7,FALSE),VLOOKUP(tables_572105!C86,input_572105!A:H,8,FALSE))</f>
        <v>448.32</v>
      </c>
      <c r="P86" s="40">
        <f t="shared" ca="1" si="4"/>
        <v>5.188888889129116E-4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input_572105!A$2</f>
        <v>572105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IFERROR(VLOOKUP(B87,input_572105!L:R,7,FALSE),VLOOKUP(tables_572105!C87,input_572105!A:H,8,FALSE))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input_572105!A$2</f>
        <v>572105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IFERROR(VLOOKUP(B88,input_572105!L:R,7,FALSE),VLOOKUP(tables_572105!C88,input_572105!A:H,8,FALSE))</f>
        <v>4034.88</v>
      </c>
      <c r="P88" s="40">
        <f t="shared" ca="1" si="4"/>
        <v>4.6700000002162052E-3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input_572105!A$2</f>
        <v>572105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IFERROR(VLOOKUP(B89,input_572105!L:R,7,FALSE),VLOOKUP(tables_572105!C89,input_572105!A:H,8,FALSE))</f>
        <v>448.32</v>
      </c>
      <c r="P89" s="40">
        <f t="shared" ca="1" si="4"/>
        <v>5.188888889129116E-4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input_572105!A$2</f>
        <v>572105</v>
      </c>
      <c r="B90" s="5">
        <v>214</v>
      </c>
      <c r="C90" s="7" t="str">
        <f t="shared" si="3"/>
        <v>Premium3color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">
        <v>35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IFERROR(VLOOKUP(B90,input_572105!L:R,7,FALSE),VLOOKUP(tables_572105!C90,input_572105!A:H,8,FALSE))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input_572105!A$2</f>
        <v>572105</v>
      </c>
      <c r="B91" s="5">
        <v>215</v>
      </c>
      <c r="C91" s="7" t="str">
        <f t="shared" si="3"/>
        <v>Premium4color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">
        <v>35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IFERROR(VLOOKUP(B91,input_572105!L:R,7,FALSE),VLOOKUP(tables_572105!C91,input_572105!A:H,8,FALSE))</f>
        <v>18156.96</v>
      </c>
      <c r="P91" s="40">
        <f t="shared" ca="1" si="4"/>
        <v>2.1015000000972919E-2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input_572105!A$2</f>
        <v>572105</v>
      </c>
      <c r="B92" s="5">
        <v>216</v>
      </c>
      <c r="C92" s="7" t="str">
        <f t="shared" si="3"/>
        <v>Premium5color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">
        <v>35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IFERROR(VLOOKUP(B92,input_572105!L:R,7,FALSE),VLOOKUP(tables_572105!C92,input_572105!A:H,8,FALSE))</f>
        <v>1103.04</v>
      </c>
      <c r="P92" s="40">
        <f t="shared" ca="1" si="4"/>
        <v>1.2766666667257719E-3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input_572105!A$2</f>
        <v>572105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IFERROR(VLOOKUP(B93,input_572105!L:R,7,FALSE),VLOOKUP(tables_572105!C93,input_572105!A:H,8,FALSE))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input_572105!A$2</f>
        <v>572105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IFERROR(VLOOKUP(B94,input_572105!L:R,7,FALSE),VLOOKUP(tables_572105!C94,input_572105!A:H,8,FALSE))</f>
        <v>4034.88</v>
      </c>
      <c r="P94" s="40">
        <f t="shared" ca="1" si="4"/>
        <v>4.6700000002162052E-3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input_572105!A$2</f>
        <v>572105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IFERROR(VLOOKUP(B95,input_572105!L:R,7,FALSE),VLOOKUP(tables_572105!C95,input_572105!A:H,8,FALSE))</f>
        <v>448.32</v>
      </c>
      <c r="P95" s="40">
        <f t="shared" ca="1" si="4"/>
        <v>5.188888889129116E-4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input_572105!A$2</f>
        <v>572105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IFERROR(VLOOKUP(B96,input_572105!L:R,7,FALSE),VLOOKUP(tables_572105!C96,input_572105!A:H,8,FALSE))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input_572105!A$2</f>
        <v>572105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IFERROR(VLOOKUP(B97,input_572105!L:R,7,FALSE),VLOOKUP(tables_572105!C97,input_572105!A:H,8,FALSE))</f>
        <v>4034.88</v>
      </c>
      <c r="P97" s="40">
        <f t="shared" ca="1" si="4"/>
        <v>4.6700000002162052E-3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input_572105!A$2</f>
        <v>572105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IFERROR(VLOOKUP(B98,input_572105!L:R,7,FALSE),VLOOKUP(tables_572105!C98,input_572105!A:H,8,FALSE))</f>
        <v>448.32</v>
      </c>
      <c r="P98" s="40">
        <f t="shared" ca="1" si="4"/>
        <v>5.188888889129116E-4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input_572105!A$2</f>
        <v>572105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IFERROR(VLOOKUP(B99,input_572105!L:R,7,FALSE),VLOOKUP(tables_572105!C99,input_572105!A:H,8,FALSE))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input_572105!A$2</f>
        <v>572105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IFERROR(VLOOKUP(B100,input_572105!L:R,7,FALSE),VLOOKUP(tables_572105!C100,input_572105!A:H,8,FALSE))</f>
        <v>4034.88</v>
      </c>
      <c r="P100" s="40">
        <f t="shared" ca="1" si="4"/>
        <v>4.6700000002162052E-3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input_572105!A$2</f>
        <v>572105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IFERROR(VLOOKUP(B101,input_572105!L:R,7,FALSE),VLOOKUP(tables_572105!C101,input_572105!A:H,8,FALSE))</f>
        <v>448.32</v>
      </c>
      <c r="P101" s="40">
        <f t="shared" ca="1" si="4"/>
        <v>5.188888889129116E-4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input_572105!A$2</f>
        <v>572105</v>
      </c>
      <c r="B102" s="5">
        <v>226</v>
      </c>
      <c r="C102" s="7" t="str">
        <f t="shared" si="3"/>
        <v>Premium3color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">
        <v>35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IFERROR(VLOOKUP(B102,input_572105!L:R,7,FALSE),VLOOKUP(tables_572105!C102,input_572105!A:H,8,FALSE))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input_572105!A$2</f>
        <v>572105</v>
      </c>
      <c r="B103" s="5">
        <v>227</v>
      </c>
      <c r="C103" s="7" t="str">
        <f t="shared" si="3"/>
        <v>Premium4color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">
        <v>35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IFERROR(VLOOKUP(B103,input_572105!L:R,7,FALSE),VLOOKUP(tables_572105!C103,input_572105!A:H,8,FALSE))</f>
        <v>18156.96</v>
      </c>
      <c r="P103" s="40">
        <f t="shared" ca="1" si="4"/>
        <v>2.1015000000972919E-2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input_572105!A$2</f>
        <v>572105</v>
      </c>
      <c r="B104" s="5">
        <v>228</v>
      </c>
      <c r="C104" s="7" t="str">
        <f t="shared" si="3"/>
        <v>Premium5color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">
        <v>35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IFERROR(VLOOKUP(B104,input_572105!L:R,7,FALSE),VLOOKUP(tables_572105!C104,input_572105!A:H,8,FALSE))</f>
        <v>1103.04</v>
      </c>
      <c r="P104" s="40">
        <f t="shared" ca="1" si="4"/>
        <v>1.2766666667257719E-3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input_572105!A$2</f>
        <v>572105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IFERROR(VLOOKUP(B105,input_572105!L:R,7,FALSE),VLOOKUP(tables_572105!C105,input_572105!A:H,8,FALSE))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input_572105!A$2</f>
        <v>572105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IFERROR(VLOOKUP(B106,input_572105!L:R,7,FALSE),VLOOKUP(tables_572105!C106,input_572105!A:H,8,FALSE))</f>
        <v>4034.88</v>
      </c>
      <c r="P106" s="40">
        <f t="shared" ca="1" si="4"/>
        <v>4.6700000002162052E-3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input_572105!A$2</f>
        <v>572105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IFERROR(VLOOKUP(B107,input_572105!L:R,7,FALSE),VLOOKUP(tables_572105!C107,input_572105!A:H,8,FALSE))</f>
        <v>448.32</v>
      </c>
      <c r="P107" s="40">
        <f t="shared" ca="1" si="4"/>
        <v>5.188888889129116E-4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input_572105!A$2</f>
        <v>572105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IFERROR(VLOOKUP(B108,input_572105!L:R,7,FALSE),VLOOKUP(tables_572105!C108,input_572105!A:H,8,FALSE))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input_572105!A$2</f>
        <v>572105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IFERROR(VLOOKUP(B109,input_572105!L:R,7,FALSE),VLOOKUP(tables_572105!C109,input_572105!A:H,8,FALSE))</f>
        <v>4034.88</v>
      </c>
      <c r="P109" s="40">
        <f t="shared" ca="1" si="4"/>
        <v>4.6700000002162052E-3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input_572105!A$2</f>
        <v>572105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IFERROR(VLOOKUP(B110,input_572105!L:R,7,FALSE),VLOOKUP(tables_572105!C110,input_572105!A:H,8,FALSE))</f>
        <v>448.32</v>
      </c>
      <c r="P110" s="40">
        <f t="shared" ca="1" si="4"/>
        <v>5.188888889129116E-4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input_572105!A$2</f>
        <v>572105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IFERROR(VLOOKUP(B111,input_572105!L:R,7,FALSE),VLOOKUP(tables_572105!C111,input_572105!A:H,8,FALSE))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input_572105!A$2</f>
        <v>572105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IFERROR(VLOOKUP(B112,input_572105!L:R,7,FALSE),VLOOKUP(tables_572105!C112,input_572105!A:H,8,FALSE))</f>
        <v>4034.88</v>
      </c>
      <c r="P112" s="40">
        <f t="shared" ca="1" si="4"/>
        <v>4.6700000002162052E-3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input_572105!A$2</f>
        <v>572105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IFERROR(VLOOKUP(B113,input_572105!L:R,7,FALSE),VLOOKUP(tables_572105!C113,input_572105!A:H,8,FALSE))</f>
        <v>448.32</v>
      </c>
      <c r="P113" s="40">
        <f t="shared" ca="1" si="4"/>
        <v>5.188888889129116E-4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input_572105!A$2</f>
        <v>572105</v>
      </c>
      <c r="B114" s="5">
        <v>238</v>
      </c>
      <c r="C114" s="7" t="str">
        <f t="shared" si="3"/>
        <v>Premium3color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">
        <v>35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IFERROR(VLOOKUP(B114,input_572105!L:R,7,FALSE),VLOOKUP(tables_572105!C114,input_572105!A:H,8,FALSE))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input_572105!A$2</f>
        <v>572105</v>
      </c>
      <c r="B115" s="5">
        <v>239</v>
      </c>
      <c r="C115" s="7" t="str">
        <f t="shared" si="3"/>
        <v>Premium4color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">
        <v>35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IFERROR(VLOOKUP(B115,input_572105!L:R,7,FALSE),VLOOKUP(tables_572105!C115,input_572105!A:H,8,FALSE))</f>
        <v>18156.96</v>
      </c>
      <c r="P115" s="40">
        <f t="shared" ca="1" si="4"/>
        <v>2.1015000000972919E-2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input_572105!A$2</f>
        <v>572105</v>
      </c>
      <c r="B116" s="5">
        <v>240</v>
      </c>
      <c r="C116" s="7" t="str">
        <f t="shared" si="3"/>
        <v>Premium5color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">
        <v>35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IFERROR(VLOOKUP(B116,input_572105!L:R,7,FALSE),VLOOKUP(tables_572105!C116,input_572105!A:H,8,FALSE))</f>
        <v>1103.04</v>
      </c>
      <c r="P116" s="40">
        <f t="shared" ca="1" si="4"/>
        <v>1.2766666667257719E-3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input_572105!A$2</f>
        <v>572105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IFERROR(VLOOKUP(B117,input_572105!L:R,7,FALSE),VLOOKUP(tables_572105!C117,input_572105!A:H,8,FALSE))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input_572105!A$2</f>
        <v>572105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IFERROR(VLOOKUP(B118,input_572105!L:R,7,FALSE),VLOOKUP(tables_572105!C118,input_572105!A:H,8,FALSE))</f>
        <v>4034.88</v>
      </c>
      <c r="P118" s="40">
        <f t="shared" ca="1" si="4"/>
        <v>4.6700000002162052E-3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input_572105!A$2</f>
        <v>572105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IFERROR(VLOOKUP(B119,input_572105!L:R,7,FALSE),VLOOKUP(tables_572105!C119,input_572105!A:H,8,FALSE))</f>
        <v>448.32</v>
      </c>
      <c r="P119" s="40">
        <f t="shared" ca="1" si="4"/>
        <v>5.188888889129116E-4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input_572105!A$2</f>
        <v>572105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IFERROR(VLOOKUP(B120,input_572105!L:R,7,FALSE),VLOOKUP(tables_572105!C120,input_572105!A:H,8,FALSE))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input_572105!A$2</f>
        <v>572105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IFERROR(VLOOKUP(B121,input_572105!L:R,7,FALSE),VLOOKUP(tables_572105!C121,input_572105!A:H,8,FALSE))</f>
        <v>4034.88</v>
      </c>
      <c r="P121" s="40">
        <f t="shared" ca="1" si="4"/>
        <v>4.6700000002162052E-3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input_572105!A$2</f>
        <v>572105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IFERROR(VLOOKUP(B122,input_572105!L:R,7,FALSE),VLOOKUP(tables_572105!C122,input_572105!A:H,8,FALSE))</f>
        <v>448.32</v>
      </c>
      <c r="P122" s="40">
        <f t="shared" ca="1" si="4"/>
        <v>5.188888889129116E-4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input_572105!A$2</f>
        <v>572105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IFERROR(VLOOKUP(B123,input_572105!L:R,7,FALSE),VLOOKUP(tables_572105!C123,input_572105!A:H,8,FALSE))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input_572105!A$2</f>
        <v>572105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IFERROR(VLOOKUP(B124,input_572105!L:R,7,FALSE),VLOOKUP(tables_572105!C124,input_572105!A:H,8,FALSE))</f>
        <v>4034.88</v>
      </c>
      <c r="P124" s="40">
        <f t="shared" ca="1" si="4"/>
        <v>4.6700000002162052E-3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input_572105!A$2</f>
        <v>572105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IFERROR(VLOOKUP(B125,input_572105!L:R,7,FALSE),VLOOKUP(tables_572105!C125,input_572105!A:H,8,FALSE))</f>
        <v>448.32</v>
      </c>
      <c r="P125" s="40">
        <f t="shared" ca="1" si="4"/>
        <v>5.188888889129116E-4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input_572105!A$2</f>
        <v>572105</v>
      </c>
      <c r="B126" s="6">
        <v>250</v>
      </c>
      <c r="C126" s="7" t="str">
        <f t="shared" si="3"/>
        <v>Premium3color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">
        <v>35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IFERROR(VLOOKUP(B126,input_572105!L:R,7,FALSE),VLOOKUP(tables_572105!C126,input_572105!A:H,8,FALSE))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input_572105!A$2</f>
        <v>572105</v>
      </c>
      <c r="B127" s="6">
        <v>251</v>
      </c>
      <c r="C127" s="7" t="str">
        <f t="shared" si="3"/>
        <v>Premium4color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">
        <v>35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IFERROR(VLOOKUP(B127,input_572105!L:R,7,FALSE),VLOOKUP(tables_572105!C127,input_572105!A:H,8,FALSE))</f>
        <v>18156.96</v>
      </c>
      <c r="P127" s="40">
        <f t="shared" ca="1" si="4"/>
        <v>2.1015000000972919E-2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input_572105!A$2</f>
        <v>572105</v>
      </c>
      <c r="B128" s="6">
        <v>252</v>
      </c>
      <c r="C128" s="7" t="str">
        <f t="shared" si="3"/>
        <v>Premium5color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">
        <v>35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IFERROR(VLOOKUP(B128,input_572105!L:R,7,FALSE),VLOOKUP(tables_572105!C128,input_572105!A:H,8,FALSE))</f>
        <v>1103.04</v>
      </c>
      <c r="P128" s="40">
        <f t="shared" ca="1" si="4"/>
        <v>1.2766666667257719E-3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input_572105!A$2</f>
        <v>572105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IFERROR(VLOOKUP(B129,input_572105!L:R,7,FALSE),VLOOKUP(tables_572105!C129,input_572105!A:H,8,FALSE))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input_572105!A$2</f>
        <v>572105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IFERROR(VLOOKUP(B130,input_572105!L:R,7,FALSE),VLOOKUP(tables_572105!C130,input_572105!A:H,8,FALSE))</f>
        <v>4034.88</v>
      </c>
      <c r="P130" s="40">
        <f t="shared" ref="P130:P193" ca="1" si="7">O130/SUM(O:O)</f>
        <v>4.6700000002162052E-3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input_572105!A$2</f>
        <v>572105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IFERROR(VLOOKUP(B131,input_572105!L:R,7,FALSE),VLOOKUP(tables_572105!C131,input_572105!A:H,8,FALSE))</f>
        <v>448.32</v>
      </c>
      <c r="P131" s="40">
        <f t="shared" ca="1" si="7"/>
        <v>5.188888889129116E-4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input_572105!A$2</f>
        <v>572105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IFERROR(VLOOKUP(B132,input_572105!L:R,7,FALSE),VLOOKUP(tables_572105!C132,input_572105!A:H,8,FALSE))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input_572105!A$2</f>
        <v>572105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IFERROR(VLOOKUP(B133,input_572105!L:R,7,FALSE),VLOOKUP(tables_572105!C133,input_572105!A:H,8,FALSE))</f>
        <v>4034.88</v>
      </c>
      <c r="P133" s="40">
        <f t="shared" ca="1" si="7"/>
        <v>4.6700000002162052E-3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input_572105!A$2</f>
        <v>572105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IFERROR(VLOOKUP(B134,input_572105!L:R,7,FALSE),VLOOKUP(tables_572105!C134,input_572105!A:H,8,FALSE))</f>
        <v>448.32</v>
      </c>
      <c r="P134" s="40">
        <f t="shared" ca="1" si="7"/>
        <v>5.188888889129116E-4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input_572105!A$2</f>
        <v>572105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IFERROR(VLOOKUP(B135,input_572105!L:R,7,FALSE),VLOOKUP(tables_572105!C135,input_572105!A:H,8,FALSE))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input_572105!A$2</f>
        <v>572105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IFERROR(VLOOKUP(B136,input_572105!L:R,7,FALSE),VLOOKUP(tables_572105!C136,input_572105!A:H,8,FALSE))</f>
        <v>4034.88</v>
      </c>
      <c r="P136" s="40">
        <f t="shared" ca="1" si="7"/>
        <v>4.6700000002162052E-3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input_572105!A$2</f>
        <v>572105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IFERROR(VLOOKUP(B137,input_572105!L:R,7,FALSE),VLOOKUP(tables_572105!C137,input_572105!A:H,8,FALSE))</f>
        <v>448.32</v>
      </c>
      <c r="P137" s="40">
        <f t="shared" ca="1" si="7"/>
        <v>5.188888889129116E-4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input_572105!A$2</f>
        <v>572105</v>
      </c>
      <c r="B138" s="6">
        <v>320</v>
      </c>
      <c r="C138" s="7" t="str">
        <f t="shared" si="6"/>
        <v>PremiumSS4color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">
        <v>35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IFERROR(VLOOKUP(B138,input_572105!L:R,7,FALSE),VLOOKUP(tables_572105!C138,input_572105!A:H,8,FALSE))</f>
        <v>1296</v>
      </c>
      <c r="P138" s="40">
        <f t="shared" ca="1" si="7"/>
        <v>1.5000000000694447E-3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input_572105!A$2</f>
        <v>572105</v>
      </c>
      <c r="B139" s="6">
        <v>321</v>
      </c>
      <c r="C139" s="7" t="str">
        <f t="shared" si="6"/>
        <v>PremiumSS5color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">
        <v>35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IFERROR(VLOOKUP(B139,input_572105!L:R,7,FALSE),VLOOKUP(tables_572105!C139,input_572105!A:H,8,FALSE))</f>
        <v>144</v>
      </c>
      <c r="P139" s="40">
        <f t="shared" ca="1" si="7"/>
        <v>1.6666666667438277E-4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input_572105!A$2</f>
        <v>572105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IFERROR(VLOOKUP(B140,input_572105!L:R,7,FALSE),VLOOKUP(tables_572105!C140,input_572105!A:H,8,FALSE))</f>
        <v>288</v>
      </c>
      <c r="P140" s="40">
        <f t="shared" ca="1" si="7"/>
        <v>3.3333333334876553E-4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input_572105!A$2</f>
        <v>572105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IFERROR(VLOOKUP(B141,input_572105!L:R,7,FALSE),VLOOKUP(tables_572105!C141,input_572105!A:H,8,FALSE))</f>
        <v>32</v>
      </c>
      <c r="P141" s="40">
        <f t="shared" ca="1" si="7"/>
        <v>3.7037037038751723E-5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input_572105!A$2</f>
        <v>572105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IFERROR(VLOOKUP(B142,input_572105!L:R,7,FALSE),VLOOKUP(tables_572105!C142,input_572105!A:H,8,FALSE))</f>
        <v>288</v>
      </c>
      <c r="P142" s="40">
        <f t="shared" ca="1" si="7"/>
        <v>3.3333333334876553E-4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input_572105!A$2</f>
        <v>572105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IFERROR(VLOOKUP(B143,input_572105!L:R,7,FALSE),VLOOKUP(tables_572105!C143,input_572105!A:H,8,FALSE))</f>
        <v>32</v>
      </c>
      <c r="P143" s="40">
        <f t="shared" ca="1" si="7"/>
        <v>3.7037037038751723E-5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input_572105!A$2</f>
        <v>572105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IFERROR(VLOOKUP(B144,input_572105!L:R,7,FALSE),VLOOKUP(tables_572105!C144,input_572105!A:H,8,FALSE))</f>
        <v>288</v>
      </c>
      <c r="P144" s="40">
        <f t="shared" ca="1" si="7"/>
        <v>3.3333333334876553E-4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input_572105!A$2</f>
        <v>572105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IFERROR(VLOOKUP(B145,input_572105!L:R,7,FALSE),VLOOKUP(tables_572105!C145,input_572105!A:H,8,FALSE))</f>
        <v>32</v>
      </c>
      <c r="P145" s="40">
        <f t="shared" ca="1" si="7"/>
        <v>3.7037037038751723E-5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input_572105!A$2</f>
        <v>572105</v>
      </c>
      <c r="B146" s="6">
        <v>380</v>
      </c>
      <c r="C146" s="7" t="str">
        <f t="shared" si="6"/>
        <v>Premium3color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">
        <v>35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IFERROR(VLOOKUP(B146,input_572105!L:R,7,FALSE),VLOOKUP(tables_572105!C146,input_572105!A:H,8,FALSE))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input_572105!A$2</f>
        <v>572105</v>
      </c>
      <c r="B147" s="6">
        <v>381</v>
      </c>
      <c r="C147" s="7" t="str">
        <f t="shared" si="6"/>
        <v>Premium4color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">
        <v>35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IFERROR(VLOOKUP(B147,input_572105!L:R,7,FALSE),VLOOKUP(tables_572105!C147,input_572105!A:H,8,FALSE))</f>
        <v>18156.96</v>
      </c>
      <c r="P147" s="40">
        <f t="shared" ca="1" si="7"/>
        <v>2.1015000000972919E-2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input_572105!A$2</f>
        <v>572105</v>
      </c>
      <c r="B148" s="6">
        <v>382</v>
      </c>
      <c r="C148" s="7" t="str">
        <f t="shared" si="6"/>
        <v>Premium5color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">
        <v>35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IFERROR(VLOOKUP(B148,input_572105!L:R,7,FALSE),VLOOKUP(tables_572105!C148,input_572105!A:H,8,FALSE))</f>
        <v>1103.04</v>
      </c>
      <c r="P148" s="40">
        <f t="shared" ca="1" si="7"/>
        <v>1.2766666667257719E-3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input_572105!A$2</f>
        <v>572105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IFERROR(VLOOKUP(B149,input_572105!L:R,7,FALSE),VLOOKUP(tables_572105!C149,input_572105!A:H,8,FALSE))</f>
        <v>288</v>
      </c>
      <c r="P149" s="40">
        <f t="shared" ca="1" si="7"/>
        <v>3.3333333334876553E-4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input_572105!A$2</f>
        <v>572105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IFERROR(VLOOKUP(B150,input_572105!L:R,7,FALSE),VLOOKUP(tables_572105!C150,input_572105!A:H,8,FALSE))</f>
        <v>32</v>
      </c>
      <c r="P150" s="40">
        <f t="shared" ca="1" si="7"/>
        <v>3.7037037038751723E-5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input_572105!A$2</f>
        <v>572105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IFERROR(VLOOKUP(B151,input_572105!L:R,7,FALSE),VLOOKUP(tables_572105!C151,input_572105!A:H,8,FALSE))</f>
        <v>288</v>
      </c>
      <c r="P151" s="40">
        <f t="shared" ca="1" si="7"/>
        <v>3.3333333334876553E-4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input_572105!A$2</f>
        <v>572105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IFERROR(VLOOKUP(B152,input_572105!L:R,7,FALSE),VLOOKUP(tables_572105!C152,input_572105!A:H,8,FALSE))</f>
        <v>32</v>
      </c>
      <c r="P152" s="40">
        <f t="shared" ca="1" si="7"/>
        <v>3.7037037038751723E-5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input_572105!A$2</f>
        <v>572105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IFERROR(VLOOKUP(B153,input_572105!L:R,7,FALSE),VLOOKUP(tables_572105!C153,input_572105!A:H,8,FALSE))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input_572105!A$2</f>
        <v>572105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IFERROR(VLOOKUP(B154,input_572105!L:R,7,FALSE),VLOOKUP(tables_572105!C154,input_572105!A:H,8,FALSE))</f>
        <v>4034.88</v>
      </c>
      <c r="P154" s="40">
        <f t="shared" ca="1" si="7"/>
        <v>4.6700000002162052E-3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input_572105!A$2</f>
        <v>572105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IFERROR(VLOOKUP(B155,input_572105!L:R,7,FALSE),VLOOKUP(tables_572105!C155,input_572105!A:H,8,FALSE))</f>
        <v>448.32</v>
      </c>
      <c r="P155" s="40">
        <f t="shared" ca="1" si="7"/>
        <v>5.188888889129116E-4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input_572105!A$2</f>
        <v>572105</v>
      </c>
      <c r="B156" s="6">
        <v>390</v>
      </c>
      <c r="C156" s="7" t="str">
        <f t="shared" si="6"/>
        <v>PremiumSS4color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">
        <v>35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IFERROR(VLOOKUP(B156,input_572105!L:R,7,FALSE),VLOOKUP(tables_572105!C156,input_572105!A:H,8,FALSE))</f>
        <v>1296</v>
      </c>
      <c r="P156" s="40">
        <f t="shared" ca="1" si="7"/>
        <v>1.5000000000694447E-3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input_572105!A$2</f>
        <v>572105</v>
      </c>
      <c r="B157" s="6">
        <v>391</v>
      </c>
      <c r="C157" s="7" t="str">
        <f t="shared" si="6"/>
        <v>PremiumSS5color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">
        <v>35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IFERROR(VLOOKUP(B157,input_572105!L:R,7,FALSE),VLOOKUP(tables_572105!C157,input_572105!A:H,8,FALSE))</f>
        <v>144</v>
      </c>
      <c r="P157" s="40">
        <f t="shared" ca="1" si="7"/>
        <v>1.6666666667438277E-4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input_572105!A$2</f>
        <v>572105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IFERROR(VLOOKUP(B158,input_572105!L:R,7,FALSE),VLOOKUP(tables_572105!C158,input_572105!A:H,8,FALSE))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input_572105!A$2</f>
        <v>572105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IFERROR(VLOOKUP(B159,input_572105!L:R,7,FALSE),VLOOKUP(tables_572105!C159,input_572105!A:H,8,FALSE))</f>
        <v>4034.88</v>
      </c>
      <c r="P159" s="40">
        <f t="shared" ca="1" si="7"/>
        <v>4.6700000002162052E-3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input_572105!A$2</f>
        <v>572105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IFERROR(VLOOKUP(B160,input_572105!L:R,7,FALSE),VLOOKUP(tables_572105!C160,input_572105!A:H,8,FALSE))</f>
        <v>448.32</v>
      </c>
      <c r="P160" s="40">
        <f t="shared" ca="1" si="7"/>
        <v>5.188888889129116E-4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input_572105!A$2</f>
        <v>572105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IFERROR(VLOOKUP(B161,input_572105!L:R,7,FALSE),VLOOKUP(tables_572105!C161,input_572105!A:H,8,FALSE))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input_572105!A$2</f>
        <v>572105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IFERROR(VLOOKUP(B162,input_572105!L:R,7,FALSE),VLOOKUP(tables_572105!C162,input_572105!A:H,8,FALSE))</f>
        <v>4034.88</v>
      </c>
      <c r="P162" s="40">
        <f t="shared" ca="1" si="7"/>
        <v>4.6700000002162052E-3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input_572105!A$2</f>
        <v>572105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IFERROR(VLOOKUP(B163,input_572105!L:R,7,FALSE),VLOOKUP(tables_572105!C163,input_572105!A:H,8,FALSE))</f>
        <v>448.32</v>
      </c>
      <c r="P163" s="40">
        <f t="shared" ca="1" si="7"/>
        <v>5.188888889129116E-4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input_572105!A$2</f>
        <v>572105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IFERROR(VLOOKUP(B164,input_572105!L:R,7,FALSE),VLOOKUP(tables_572105!C164,input_572105!A:H,8,FALSE))</f>
        <v>288</v>
      </c>
      <c r="P164" s="40">
        <f t="shared" ca="1" si="7"/>
        <v>3.3333333334876553E-4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input_572105!A$2</f>
        <v>572105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IFERROR(VLOOKUP(B165,input_572105!L:R,7,FALSE),VLOOKUP(tables_572105!C165,input_572105!A:H,8,FALSE))</f>
        <v>32</v>
      </c>
      <c r="P165" s="40">
        <f t="shared" ca="1" si="7"/>
        <v>3.7037037038751723E-5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input_572105!A$2</f>
        <v>572105</v>
      </c>
      <c r="B166" s="6">
        <v>400</v>
      </c>
      <c r="C166" s="7" t="str">
        <f t="shared" si="6"/>
        <v>Premium3color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">
        <v>35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IFERROR(VLOOKUP(B166,input_572105!L:R,7,FALSE),VLOOKUP(tables_572105!C166,input_572105!A:H,8,FALSE))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input_572105!A$2</f>
        <v>572105</v>
      </c>
      <c r="B167" s="6">
        <v>401</v>
      </c>
      <c r="C167" s="7" t="str">
        <f t="shared" si="6"/>
        <v>Premium4color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">
        <v>35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IFERROR(VLOOKUP(B167,input_572105!L:R,7,FALSE),VLOOKUP(tables_572105!C167,input_572105!A:H,8,FALSE))</f>
        <v>18156.96</v>
      </c>
      <c r="P167" s="40">
        <f t="shared" ca="1" si="7"/>
        <v>2.1015000000972919E-2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input_572105!A$2</f>
        <v>572105</v>
      </c>
      <c r="B168" s="6">
        <v>402</v>
      </c>
      <c r="C168" s="7" t="str">
        <f t="shared" si="6"/>
        <v>Premium5color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">
        <v>35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IFERROR(VLOOKUP(B168,input_572105!L:R,7,FALSE),VLOOKUP(tables_572105!C168,input_572105!A:H,8,FALSE))</f>
        <v>1103.04</v>
      </c>
      <c r="P168" s="40">
        <f t="shared" ca="1" si="7"/>
        <v>1.2766666667257719E-3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input_572105!A$2</f>
        <v>572105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IFERROR(VLOOKUP(B169,input_572105!L:R,7,FALSE),VLOOKUP(tables_572105!C169,input_572105!A:H,8,FALSE))</f>
        <v>288</v>
      </c>
      <c r="P169" s="40">
        <f t="shared" ca="1" si="7"/>
        <v>3.3333333334876553E-4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input_572105!A$2</f>
        <v>572105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IFERROR(VLOOKUP(B170,input_572105!L:R,7,FALSE),VLOOKUP(tables_572105!C170,input_572105!A:H,8,FALSE))</f>
        <v>32</v>
      </c>
      <c r="P170" s="40">
        <f t="shared" ca="1" si="7"/>
        <v>3.7037037038751723E-5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input_572105!A$2</f>
        <v>572105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IFERROR(VLOOKUP(B171,input_572105!L:R,7,FALSE),VLOOKUP(tables_572105!C171,input_572105!A:H,8,FALSE))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input_572105!A$2</f>
        <v>572105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IFERROR(VLOOKUP(B172,input_572105!L:R,7,FALSE),VLOOKUP(tables_572105!C172,input_572105!A:H,8,FALSE))</f>
        <v>4034.88</v>
      </c>
      <c r="P172" s="40">
        <f t="shared" ca="1" si="7"/>
        <v>4.6700000002162052E-3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input_572105!A$2</f>
        <v>572105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IFERROR(VLOOKUP(B173,input_572105!L:R,7,FALSE),VLOOKUP(tables_572105!C173,input_572105!A:H,8,FALSE))</f>
        <v>448.32</v>
      </c>
      <c r="P173" s="40">
        <f t="shared" ca="1" si="7"/>
        <v>5.188888889129116E-4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input_572105!A$2</f>
        <v>572105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IFERROR(VLOOKUP(B174,input_572105!L:R,7,FALSE),VLOOKUP(tables_572105!C174,input_572105!A:H,8,FALSE))</f>
        <v>288</v>
      </c>
      <c r="P174" s="40">
        <f t="shared" ca="1" si="7"/>
        <v>3.3333333334876553E-4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input_572105!A$2</f>
        <v>572105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IFERROR(VLOOKUP(B175,input_572105!L:R,7,FALSE),VLOOKUP(tables_572105!C175,input_572105!A:H,8,FALSE))</f>
        <v>32</v>
      </c>
      <c r="P175" s="40">
        <f t="shared" ca="1" si="7"/>
        <v>3.7037037038751723E-5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input_572105!A$2</f>
        <v>572105</v>
      </c>
      <c r="B176" s="6">
        <v>434</v>
      </c>
      <c r="C176" s="7" t="str">
        <f t="shared" si="6"/>
        <v>PremiumSS4color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">
        <v>35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IFERROR(VLOOKUP(B176,input_572105!L:R,7,FALSE),VLOOKUP(tables_572105!C176,input_572105!A:H,8,FALSE))</f>
        <v>1296</v>
      </c>
      <c r="P176" s="40">
        <f t="shared" ca="1" si="7"/>
        <v>1.5000000000694447E-3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input_572105!A$2</f>
        <v>572105</v>
      </c>
      <c r="B177" s="6">
        <v>435</v>
      </c>
      <c r="C177" s="7" t="str">
        <f t="shared" si="6"/>
        <v>PremiumSS5color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">
        <v>35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IFERROR(VLOOKUP(B177,input_572105!L:R,7,FALSE),VLOOKUP(tables_572105!C177,input_572105!A:H,8,FALSE))</f>
        <v>144</v>
      </c>
      <c r="P177" s="40">
        <f t="shared" ca="1" si="7"/>
        <v>1.6666666667438277E-4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input_572105!A$2</f>
        <v>572105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IFERROR(VLOOKUP(B178,input_572105!L:R,7,FALSE),VLOOKUP(tables_572105!C178,input_572105!A:H,8,FALSE))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input_572105!A$2</f>
        <v>572105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IFERROR(VLOOKUP(B179,input_572105!L:R,7,FALSE),VLOOKUP(tables_572105!C179,input_572105!A:H,8,FALSE))</f>
        <v>4034.88</v>
      </c>
      <c r="P179" s="40">
        <f t="shared" ca="1" si="7"/>
        <v>4.6700000002162052E-3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input_572105!A$2</f>
        <v>572105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IFERROR(VLOOKUP(B180,input_572105!L:R,7,FALSE),VLOOKUP(tables_572105!C180,input_572105!A:H,8,FALSE))</f>
        <v>448.32</v>
      </c>
      <c r="P180" s="40">
        <f t="shared" ca="1" si="7"/>
        <v>5.188888889129116E-4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input_572105!A$2</f>
        <v>572105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IFERROR(VLOOKUP(B181,input_572105!L:R,7,FALSE),VLOOKUP(tables_572105!C181,input_572105!A:H,8,FALSE))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input_572105!A$2</f>
        <v>572105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IFERROR(VLOOKUP(B182,input_572105!L:R,7,FALSE),VLOOKUP(tables_572105!C182,input_572105!A:H,8,FALSE))</f>
        <v>4034.88</v>
      </c>
      <c r="P182" s="40">
        <f t="shared" ca="1" si="7"/>
        <v>4.6700000002162052E-3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input_572105!A$2</f>
        <v>572105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IFERROR(VLOOKUP(B183,input_572105!L:R,7,FALSE),VLOOKUP(tables_572105!C183,input_572105!A:H,8,FALSE))</f>
        <v>448.32</v>
      </c>
      <c r="P183" s="40">
        <f t="shared" ca="1" si="7"/>
        <v>5.188888889129116E-4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input_572105!A$2</f>
        <v>572105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IFERROR(VLOOKUP(B184,input_572105!L:R,7,FALSE),VLOOKUP(tables_572105!C184,input_572105!A:H,8,FALSE))</f>
        <v>288</v>
      </c>
      <c r="P184" s="40">
        <f t="shared" ca="1" si="7"/>
        <v>3.3333333334876553E-4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input_572105!A$2</f>
        <v>572105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IFERROR(VLOOKUP(B185,input_572105!L:R,7,FALSE),VLOOKUP(tables_572105!C185,input_572105!A:H,8,FALSE))</f>
        <v>32</v>
      </c>
      <c r="P185" s="40">
        <f t="shared" ca="1" si="7"/>
        <v>3.7037037038751723E-5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input_572105!A$2</f>
        <v>572105</v>
      </c>
      <c r="B186" s="8">
        <v>462</v>
      </c>
      <c r="C186" s="7" t="str">
        <f t="shared" si="6"/>
        <v>Premium3color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">
        <v>35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IFERROR(VLOOKUP(B186,input_572105!L:R,7,FALSE),VLOOKUP(tables_572105!C186,input_572105!A:H,8,FALSE))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input_572105!A$2</f>
        <v>572105</v>
      </c>
      <c r="B187" s="8">
        <v>463</v>
      </c>
      <c r="C187" s="7" t="str">
        <f t="shared" si="6"/>
        <v>Premium4color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">
        <v>35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IFERROR(VLOOKUP(B187,input_572105!L:R,7,FALSE),VLOOKUP(tables_572105!C187,input_572105!A:H,8,FALSE))</f>
        <v>18156.96</v>
      </c>
      <c r="P187" s="40">
        <f t="shared" ca="1" si="7"/>
        <v>2.1015000000972919E-2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input_572105!A$2</f>
        <v>572105</v>
      </c>
      <c r="B188" s="8">
        <v>464</v>
      </c>
      <c r="C188" s="7" t="str">
        <f t="shared" si="6"/>
        <v>Premium5color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">
        <v>35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IFERROR(VLOOKUP(B188,input_572105!L:R,7,FALSE),VLOOKUP(tables_572105!C188,input_572105!A:H,8,FALSE))</f>
        <v>1103.04</v>
      </c>
      <c r="P188" s="40">
        <f t="shared" ca="1" si="7"/>
        <v>1.2766666667257719E-3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input_572105!A$2</f>
        <v>572105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IFERROR(VLOOKUP(B189,input_572105!L:R,7,FALSE),VLOOKUP(tables_572105!C189,input_572105!A:H,8,FALSE))</f>
        <v>288</v>
      </c>
      <c r="P189" s="40">
        <f t="shared" ca="1" si="7"/>
        <v>3.3333333334876553E-4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input_572105!A$2</f>
        <v>572105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IFERROR(VLOOKUP(B190,input_572105!L:R,7,FALSE),VLOOKUP(tables_572105!C190,input_572105!A:H,8,FALSE))</f>
        <v>32</v>
      </c>
      <c r="P190" s="40">
        <f t="shared" ca="1" si="7"/>
        <v>3.7037037038751723E-5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input_572105!A$2</f>
        <v>572105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IFERROR(VLOOKUP(B191,input_572105!L:R,7,FALSE),VLOOKUP(tables_572105!C191,input_572105!A:H,8,FALSE))</f>
        <v>288</v>
      </c>
      <c r="P191" s="40">
        <f t="shared" ca="1" si="7"/>
        <v>3.3333333334876553E-4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input_572105!A$2</f>
        <v>572105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IFERROR(VLOOKUP(B192,input_572105!L:R,7,FALSE),VLOOKUP(tables_572105!C192,input_572105!A:H,8,FALSE))</f>
        <v>32</v>
      </c>
      <c r="P192" s="40">
        <f t="shared" ca="1" si="7"/>
        <v>3.7037037038751723E-5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input_572105!A$2</f>
        <v>572105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IFERROR(VLOOKUP(B193,input_572105!L:R,7,FALSE),VLOOKUP(tables_572105!C193,input_572105!A:H,8,FALSE))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input_572105!A$2</f>
        <v>572105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IFERROR(VLOOKUP(B194,input_572105!L:R,7,FALSE),VLOOKUP(tables_572105!C194,input_572105!A:H,8,FALSE))</f>
        <v>4034.88</v>
      </c>
      <c r="P194" s="40">
        <f t="shared" ref="P194:P257" ca="1" si="10">O194/SUM(O:O)</f>
        <v>4.6700000002162052E-3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input_572105!A$2</f>
        <v>572105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IFERROR(VLOOKUP(B195,input_572105!L:R,7,FALSE),VLOOKUP(tables_572105!C195,input_572105!A:H,8,FALSE))</f>
        <v>448.32</v>
      </c>
      <c r="P195" s="40">
        <f t="shared" ca="1" si="10"/>
        <v>5.188888889129116E-4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input_572105!A$2</f>
        <v>572105</v>
      </c>
      <c r="B196" s="6">
        <v>474</v>
      </c>
      <c r="C196" s="7" t="str">
        <f t="shared" si="9"/>
        <v>PremiumSS4color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">
        <v>35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IFERROR(VLOOKUP(B196,input_572105!L:R,7,FALSE),VLOOKUP(tables_572105!C196,input_572105!A:H,8,FALSE))</f>
        <v>1296</v>
      </c>
      <c r="P196" s="40">
        <f t="shared" ca="1" si="10"/>
        <v>1.5000000000694447E-3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input_572105!A$2</f>
        <v>572105</v>
      </c>
      <c r="B197" s="6">
        <v>475</v>
      </c>
      <c r="C197" s="7" t="str">
        <f t="shared" si="9"/>
        <v>PremiumSS5color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">
        <v>35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IFERROR(VLOOKUP(B197,input_572105!L:R,7,FALSE),VLOOKUP(tables_572105!C197,input_572105!A:H,8,FALSE))</f>
        <v>144</v>
      </c>
      <c r="P197" s="40">
        <f t="shared" ca="1" si="10"/>
        <v>1.6666666667438277E-4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input_572105!A$2</f>
        <v>572105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IFERROR(VLOOKUP(B198,input_572105!L:R,7,FALSE),VLOOKUP(tables_572105!C198,input_572105!A:H,8,FALSE))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input_572105!A$2</f>
        <v>572105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IFERROR(VLOOKUP(B199,input_572105!L:R,7,FALSE),VLOOKUP(tables_572105!C199,input_572105!A:H,8,FALSE))</f>
        <v>4034.88</v>
      </c>
      <c r="P199" s="40">
        <f t="shared" ca="1" si="10"/>
        <v>4.6700000002162052E-3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input_572105!A$2</f>
        <v>572105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IFERROR(VLOOKUP(B200,input_572105!L:R,7,FALSE),VLOOKUP(tables_572105!C200,input_572105!A:H,8,FALSE))</f>
        <v>448.32</v>
      </c>
      <c r="P200" s="40">
        <f t="shared" ca="1" si="10"/>
        <v>5.188888889129116E-4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input_572105!A$2</f>
        <v>572105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IFERROR(VLOOKUP(B201,input_572105!L:R,7,FALSE),VLOOKUP(tables_572105!C201,input_572105!A:H,8,FALSE))</f>
        <v>288</v>
      </c>
      <c r="P201" s="40">
        <f t="shared" ca="1" si="10"/>
        <v>3.3333333334876553E-4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input_572105!A$2</f>
        <v>572105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IFERROR(VLOOKUP(B202,input_572105!L:R,7,FALSE),VLOOKUP(tables_572105!C202,input_572105!A:H,8,FALSE))</f>
        <v>32</v>
      </c>
      <c r="P202" s="40">
        <f t="shared" ca="1" si="10"/>
        <v>3.7037037038751723E-5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input_572105!A$2</f>
        <v>572105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IFERROR(VLOOKUP(B203,input_572105!L:R,7,FALSE),VLOOKUP(tables_572105!C203,input_572105!A:H,8,FALSE))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input_572105!A$2</f>
        <v>572105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IFERROR(VLOOKUP(B204,input_572105!L:R,7,FALSE),VLOOKUP(tables_572105!C204,input_572105!A:H,8,FALSE))</f>
        <v>4034.88</v>
      </c>
      <c r="P204" s="40">
        <f t="shared" ca="1" si="10"/>
        <v>4.6700000002162052E-3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input_572105!A$2</f>
        <v>572105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IFERROR(VLOOKUP(B205,input_572105!L:R,7,FALSE),VLOOKUP(tables_572105!C205,input_572105!A:H,8,FALSE))</f>
        <v>448.32</v>
      </c>
      <c r="P205" s="40">
        <f t="shared" ca="1" si="10"/>
        <v>5.188888889129116E-4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input_572105!A$2</f>
        <v>572105</v>
      </c>
      <c r="B206" s="6">
        <v>492</v>
      </c>
      <c r="C206" s="7" t="str">
        <f t="shared" si="9"/>
        <v>PremiumSS4color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">
        <v>35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IFERROR(VLOOKUP(B206,input_572105!L:R,7,FALSE),VLOOKUP(tables_572105!C206,input_572105!A:H,8,FALSE))</f>
        <v>1296</v>
      </c>
      <c r="P206" s="40">
        <f t="shared" ca="1" si="10"/>
        <v>1.5000000000694447E-3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input_572105!A$2</f>
        <v>572105</v>
      </c>
      <c r="B207" s="6">
        <v>493</v>
      </c>
      <c r="C207" s="7" t="str">
        <f t="shared" si="9"/>
        <v>PremiumSS5color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">
        <v>35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IFERROR(VLOOKUP(B207,input_572105!L:R,7,FALSE),VLOOKUP(tables_572105!C207,input_572105!A:H,8,FALSE))</f>
        <v>144</v>
      </c>
      <c r="P207" s="40">
        <f t="shared" ca="1" si="10"/>
        <v>1.6666666667438277E-4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input_572105!A$2</f>
        <v>572105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IFERROR(VLOOKUP(B208,input_572105!L:R,7,FALSE),VLOOKUP(tables_572105!C208,input_572105!A:H,8,FALSE))</f>
        <v>288</v>
      </c>
      <c r="P208" s="40">
        <f t="shared" ca="1" si="10"/>
        <v>3.3333333334876553E-4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input_572105!A$2</f>
        <v>572105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IFERROR(VLOOKUP(B209,input_572105!L:R,7,FALSE),VLOOKUP(tables_572105!C209,input_572105!A:H,8,FALSE))</f>
        <v>32</v>
      </c>
      <c r="P209" s="40">
        <f t="shared" ca="1" si="10"/>
        <v>3.7037037038751723E-5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input_572105!A$2</f>
        <v>572105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IFERROR(VLOOKUP(B210,input_572105!L:R,7,FALSE),VLOOKUP(tables_572105!C210,input_572105!A:H,8,FALSE))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input_572105!A$2</f>
        <v>572105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IFERROR(VLOOKUP(B211,input_572105!L:R,7,FALSE),VLOOKUP(tables_572105!C211,input_572105!A:H,8,FALSE))</f>
        <v>4034.88</v>
      </c>
      <c r="P211" s="40">
        <f t="shared" ca="1" si="10"/>
        <v>4.6700000002162052E-3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input_572105!A$2</f>
        <v>572105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IFERROR(VLOOKUP(B212,input_572105!L:R,7,FALSE),VLOOKUP(tables_572105!C212,input_572105!A:H,8,FALSE))</f>
        <v>448.32</v>
      </c>
      <c r="P212" s="40">
        <f t="shared" ca="1" si="10"/>
        <v>5.188888889129116E-4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input_572105!A$2</f>
        <v>572105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IFERROR(VLOOKUP(B213,input_572105!L:R,7,FALSE),VLOOKUP(tables_572105!C213,input_572105!A:H,8,FALSE))</f>
        <v>288</v>
      </c>
      <c r="P213" s="40">
        <f t="shared" ca="1" si="10"/>
        <v>3.3333333334876553E-4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input_572105!A$2</f>
        <v>572105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IFERROR(VLOOKUP(B214,input_572105!L:R,7,FALSE),VLOOKUP(tables_572105!C214,input_572105!A:H,8,FALSE))</f>
        <v>32</v>
      </c>
      <c r="P214" s="40">
        <f t="shared" ca="1" si="10"/>
        <v>3.7037037038751723E-5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input_572105!A$2</f>
        <v>572105</v>
      </c>
      <c r="B215" s="6">
        <v>560</v>
      </c>
      <c r="C215" s="7" t="str">
        <f t="shared" si="9"/>
        <v>premium5R3lesscolor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">
        <v>35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IFERROR(VLOOKUP(B215,input_572105!L:R,7,FALSE),VLOOKUP(tables_572105!C215,input_572105!A:H,8,FALSE))</f>
        <v>1030.01143</v>
      </c>
      <c r="P215" s="40">
        <f t="shared" ca="1" si="10"/>
        <v>1.1921428588514884E-3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input_572105!A$2</f>
        <v>572105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IFERROR(VLOOKUP(B216,input_572105!L:R,7,FALSE),VLOOKUP(tables_572105!C216,input_572105!A:H,8,FALSE))</f>
        <v>198.01263</v>
      </c>
      <c r="P216" s="40">
        <f t="shared" ca="1" si="10"/>
        <v>2.2918128473283251E-4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input_572105!A$2</f>
        <v>572105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IFERROR(VLOOKUP(B217,input_572105!L:R,7,FALSE),VLOOKUP(tables_572105!C217,input_572105!A:H,8,FALSE))</f>
        <v>198.01263</v>
      </c>
      <c r="P217" s="40">
        <f t="shared" ca="1" si="10"/>
        <v>2.2918128473283251E-4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input_572105!A$2</f>
        <v>572105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IFERROR(VLOOKUP(B218,input_572105!L:R,7,FALSE),VLOOKUP(tables_572105!C218,input_572105!A:H,8,FALSE))</f>
        <v>198.01263</v>
      </c>
      <c r="P218" s="40">
        <f t="shared" ca="1" si="10"/>
        <v>2.2918128473283251E-4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input_572105!A$2</f>
        <v>572105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IFERROR(VLOOKUP(B219,input_572105!L:R,7,FALSE),VLOOKUP(tables_572105!C219,input_572105!A:H,8,FALSE))</f>
        <v>198.01263</v>
      </c>
      <c r="P219" s="40">
        <f t="shared" ca="1" si="10"/>
        <v>2.2918128473283251E-4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input_572105!A$2</f>
        <v>572105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IFERROR(VLOOKUP(B220,input_572105!L:R,7,FALSE),VLOOKUP(tables_572105!C220,input_572105!A:H,8,FALSE))</f>
        <v>198.01263</v>
      </c>
      <c r="P220" s="40">
        <f t="shared" ca="1" si="10"/>
        <v>2.2918128473283251E-4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input_572105!A$2</f>
        <v>572105</v>
      </c>
      <c r="B221" s="6">
        <v>586</v>
      </c>
      <c r="C221" s="7" t="str">
        <f t="shared" si="9"/>
        <v>PremiumSS4color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">
        <v>35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IFERROR(VLOOKUP(B221,input_572105!L:R,7,FALSE),VLOOKUP(tables_572105!C221,input_572105!A:H,8,FALSE))</f>
        <v>1296</v>
      </c>
      <c r="P221" s="40">
        <f t="shared" ca="1" si="10"/>
        <v>1.5000000000694447E-3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input_572105!A$2</f>
        <v>572105</v>
      </c>
      <c r="B222" s="6">
        <v>587</v>
      </c>
      <c r="C222" s="7" t="str">
        <f t="shared" si="9"/>
        <v>PremiumSS5color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">
        <v>35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IFERROR(VLOOKUP(B222,input_572105!L:R,7,FALSE),VLOOKUP(tables_572105!C222,input_572105!A:H,8,FALSE))</f>
        <v>144</v>
      </c>
      <c r="P222" s="40">
        <f t="shared" ca="1" si="10"/>
        <v>1.6666666667438277E-4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input_572105!A$2</f>
        <v>572105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IFERROR(VLOOKUP(B223,input_572105!L:R,7,FALSE),VLOOKUP(tables_572105!C223,input_572105!A:H,8,FALSE))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input_572105!A$2</f>
        <v>572105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IFERROR(VLOOKUP(B224,input_572105!L:R,7,FALSE),VLOOKUP(tables_572105!C224,input_572105!A:H,8,FALSE))</f>
        <v>4034.88</v>
      </c>
      <c r="P224" s="40">
        <f t="shared" ca="1" si="10"/>
        <v>4.6700000002162052E-3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input_572105!A$2</f>
        <v>572105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IFERROR(VLOOKUP(B225,input_572105!L:R,7,FALSE),VLOOKUP(tables_572105!C225,input_572105!A:H,8,FALSE))</f>
        <v>448.32</v>
      </c>
      <c r="P225" s="40">
        <f t="shared" ca="1" si="10"/>
        <v>5.188888889129116E-4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input_572105!A$2</f>
        <v>572105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IFERROR(VLOOKUP(B226,input_572105!L:R,7,FALSE),VLOOKUP(tables_572105!C226,input_572105!A:H,8,FALSE))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input_572105!A$2</f>
        <v>572105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IFERROR(VLOOKUP(B227,input_572105!L:R,7,FALSE),VLOOKUP(tables_572105!C227,input_572105!A:H,8,FALSE))</f>
        <v>4034.88</v>
      </c>
      <c r="P227" s="40">
        <f t="shared" ca="1" si="10"/>
        <v>4.6700000002162052E-3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input_572105!A$2</f>
        <v>572105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IFERROR(VLOOKUP(B228,input_572105!L:R,7,FALSE),VLOOKUP(tables_572105!C228,input_572105!A:H,8,FALSE))</f>
        <v>448.32</v>
      </c>
      <c r="P228" s="40">
        <f t="shared" ca="1" si="10"/>
        <v>5.188888889129116E-4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input_572105!A$2</f>
        <v>572105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IFERROR(VLOOKUP(B229,input_572105!L:R,7,FALSE),VLOOKUP(tables_572105!C229,input_572105!A:H,8,FALSE))</f>
        <v>288</v>
      </c>
      <c r="P229" s="40">
        <f t="shared" ca="1" si="10"/>
        <v>3.3333333334876553E-4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input_572105!A$2</f>
        <v>572105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IFERROR(VLOOKUP(B230,input_572105!L:R,7,FALSE),VLOOKUP(tables_572105!C230,input_572105!A:H,8,FALSE))</f>
        <v>32</v>
      </c>
      <c r="P230" s="40">
        <f t="shared" ca="1" si="10"/>
        <v>3.7037037038751723E-5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input_572105!A$2</f>
        <v>572105</v>
      </c>
      <c r="B231" s="6">
        <v>596</v>
      </c>
      <c r="C231" s="7" t="str">
        <f t="shared" si="9"/>
        <v>Premium3color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">
        <v>35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IFERROR(VLOOKUP(B231,input_572105!L:R,7,FALSE),VLOOKUP(tables_572105!C231,input_572105!A:H,8,FALSE))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input_572105!A$2</f>
        <v>572105</v>
      </c>
      <c r="B232" s="6">
        <v>597</v>
      </c>
      <c r="C232" s="7" t="str">
        <f t="shared" si="9"/>
        <v>Premium4color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">
        <v>35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IFERROR(VLOOKUP(B232,input_572105!L:R,7,FALSE),VLOOKUP(tables_572105!C232,input_572105!A:H,8,FALSE))</f>
        <v>18156.96</v>
      </c>
      <c r="P232" s="40">
        <f t="shared" ca="1" si="10"/>
        <v>2.1015000000972919E-2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input_572105!A$2</f>
        <v>572105</v>
      </c>
      <c r="B233" s="6">
        <v>598</v>
      </c>
      <c r="C233" s="7" t="str">
        <f t="shared" si="9"/>
        <v>Premium5color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">
        <v>35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IFERROR(VLOOKUP(B233,input_572105!L:R,7,FALSE),VLOOKUP(tables_572105!C233,input_572105!A:H,8,FALSE))</f>
        <v>1103.04</v>
      </c>
      <c r="P233" s="40">
        <f t="shared" ca="1" si="10"/>
        <v>1.2766666667257719E-3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input_572105!A$2</f>
        <v>572105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IFERROR(VLOOKUP(B234,input_572105!L:R,7,FALSE),VLOOKUP(tables_572105!C234,input_572105!A:H,8,FALSE))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input_572105!A$2</f>
        <v>572105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IFERROR(VLOOKUP(B235,input_572105!L:R,7,FALSE),VLOOKUP(tables_572105!C235,input_572105!A:H,8,FALSE))</f>
        <v>4034.88</v>
      </c>
      <c r="P235" s="40">
        <f t="shared" ca="1" si="10"/>
        <v>4.6700000002162052E-3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input_572105!A$2</f>
        <v>572105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IFERROR(VLOOKUP(B236,input_572105!L:R,7,FALSE),VLOOKUP(tables_572105!C236,input_572105!A:H,8,FALSE))</f>
        <v>448.32</v>
      </c>
      <c r="P236" s="40">
        <f t="shared" ca="1" si="10"/>
        <v>5.188888889129116E-4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input_572105!A$2</f>
        <v>572105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IFERROR(VLOOKUP(B237,input_572105!L:R,7,FALSE),VLOOKUP(tables_572105!C237,input_572105!A:H,8,FALSE))</f>
        <v>288</v>
      </c>
      <c r="P237" s="40">
        <f t="shared" ca="1" si="10"/>
        <v>3.3333333334876553E-4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input_572105!A$2</f>
        <v>572105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IFERROR(VLOOKUP(B238,input_572105!L:R,7,FALSE),VLOOKUP(tables_572105!C238,input_572105!A:H,8,FALSE))</f>
        <v>32</v>
      </c>
      <c r="P238" s="40">
        <f t="shared" ca="1" si="10"/>
        <v>3.7037037038751723E-5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input_572105!A$2</f>
        <v>572105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IFERROR(VLOOKUP(B239,input_572105!L:R,7,FALSE),VLOOKUP(tables_572105!C239,input_572105!A:H,8,FALSE))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input_572105!A$2</f>
        <v>572105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IFERROR(VLOOKUP(B240,input_572105!L:R,7,FALSE),VLOOKUP(tables_572105!C240,input_572105!A:H,8,FALSE))</f>
        <v>4034.88</v>
      </c>
      <c r="P240" s="40">
        <f t="shared" ca="1" si="10"/>
        <v>4.6700000002162052E-3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input_572105!A$2</f>
        <v>572105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IFERROR(VLOOKUP(B241,input_572105!L:R,7,FALSE),VLOOKUP(tables_572105!C241,input_572105!A:H,8,FALSE))</f>
        <v>448.32</v>
      </c>
      <c r="P241" s="40">
        <f t="shared" ca="1" si="10"/>
        <v>5.188888889129116E-4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input_572105!A$2</f>
        <v>572105</v>
      </c>
      <c r="B242" s="6">
        <v>658</v>
      </c>
      <c r="C242" s="7" t="str">
        <f t="shared" si="9"/>
        <v>PremiumSS4color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">
        <v>35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IFERROR(VLOOKUP(B242,input_572105!L:R,7,FALSE),VLOOKUP(tables_572105!C242,input_572105!A:H,8,FALSE))</f>
        <v>1296</v>
      </c>
      <c r="P242" s="40">
        <f t="shared" ca="1" si="10"/>
        <v>1.5000000000694447E-3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input_572105!A$2</f>
        <v>572105</v>
      </c>
      <c r="B243" s="6">
        <v>659</v>
      </c>
      <c r="C243" s="7" t="str">
        <f t="shared" si="9"/>
        <v>PremiumSS5color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">
        <v>35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IFERROR(VLOOKUP(B243,input_572105!L:R,7,FALSE),VLOOKUP(tables_572105!C243,input_572105!A:H,8,FALSE))</f>
        <v>144</v>
      </c>
      <c r="P243" s="40">
        <f t="shared" ca="1" si="10"/>
        <v>1.6666666667438277E-4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input_572105!A$2</f>
        <v>572105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IFERROR(VLOOKUP(B244,input_572105!L:R,7,FALSE),VLOOKUP(tables_572105!C244,input_572105!A:H,8,FALSE))</f>
        <v>288</v>
      </c>
      <c r="P244" s="40">
        <f t="shared" ca="1" si="10"/>
        <v>3.3333333334876553E-4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input_572105!A$2</f>
        <v>572105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IFERROR(VLOOKUP(B245,input_572105!L:R,7,FALSE),VLOOKUP(tables_572105!C245,input_572105!A:H,8,FALSE))</f>
        <v>32</v>
      </c>
      <c r="P245" s="40">
        <f t="shared" ca="1" si="10"/>
        <v>3.7037037038751723E-5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input_572105!A$2</f>
        <v>572105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IFERROR(VLOOKUP(B246,input_572105!L:R,7,FALSE),VLOOKUP(tables_572105!C246,input_572105!A:H,8,FALSE))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input_572105!A$2</f>
        <v>572105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IFERROR(VLOOKUP(B247,input_572105!L:R,7,FALSE),VLOOKUP(tables_572105!C247,input_572105!A:H,8,FALSE))</f>
        <v>4034.88</v>
      </c>
      <c r="P247" s="40">
        <f t="shared" ca="1" si="10"/>
        <v>4.6700000002162052E-3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input_572105!A$2</f>
        <v>572105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IFERROR(VLOOKUP(B248,input_572105!L:R,7,FALSE),VLOOKUP(tables_572105!C248,input_572105!A:H,8,FALSE))</f>
        <v>448.32</v>
      </c>
      <c r="P248" s="40">
        <f t="shared" ca="1" si="10"/>
        <v>5.188888889129116E-4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input_572105!A$2</f>
        <v>572105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IFERROR(VLOOKUP(B249,input_572105!L:R,7,FALSE),VLOOKUP(tables_572105!C249,input_572105!A:H,8,FALSE))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input_572105!A$2</f>
        <v>572105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IFERROR(VLOOKUP(B250,input_572105!L:R,7,FALSE),VLOOKUP(tables_572105!C250,input_572105!A:H,8,FALSE))</f>
        <v>4034.88</v>
      </c>
      <c r="P250" s="40">
        <f t="shared" ca="1" si="10"/>
        <v>4.6700000002162052E-3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input_572105!A$2</f>
        <v>572105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IFERROR(VLOOKUP(B251,input_572105!L:R,7,FALSE),VLOOKUP(tables_572105!C251,input_572105!A:H,8,FALSE))</f>
        <v>448.32</v>
      </c>
      <c r="P251" s="40">
        <f t="shared" ca="1" si="10"/>
        <v>5.188888889129116E-4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input_572105!A$2</f>
        <v>572105</v>
      </c>
      <c r="B252" s="52">
        <v>668</v>
      </c>
      <c r="C252" s="7" t="str">
        <f t="shared" si="9"/>
        <v>Premium3color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">
        <v>35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IFERROR(VLOOKUP(B252,input_572105!L:R,7,FALSE),VLOOKUP(tables_572105!C252,input_572105!A:H,8,FALSE))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input_572105!A$2</f>
        <v>572105</v>
      </c>
      <c r="B253" s="52">
        <v>669</v>
      </c>
      <c r="C253" s="7" t="str">
        <f t="shared" si="9"/>
        <v>Premium4color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">
        <v>35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IFERROR(VLOOKUP(B253,input_572105!L:R,7,FALSE),VLOOKUP(tables_572105!C253,input_572105!A:H,8,FALSE))</f>
        <v>18156.96</v>
      </c>
      <c r="P253" s="40">
        <f t="shared" ca="1" si="10"/>
        <v>2.1015000000972919E-2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input_572105!A$2</f>
        <v>572105</v>
      </c>
      <c r="B254" s="52">
        <v>670</v>
      </c>
      <c r="C254" s="7" t="str">
        <f t="shared" si="9"/>
        <v>Premium5color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">
        <v>35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IFERROR(VLOOKUP(B254,input_572105!L:R,7,FALSE),VLOOKUP(tables_572105!C254,input_572105!A:H,8,FALSE))</f>
        <v>1103.04</v>
      </c>
      <c r="P254" s="40">
        <f t="shared" ca="1" si="10"/>
        <v>1.2766666667257719E-3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input_572105!A$2</f>
        <v>572105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IFERROR(VLOOKUP(B255,input_572105!L:R,7,FALSE),VLOOKUP(tables_572105!C255,input_572105!A:H,8,FALSE))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input_572105!A$2</f>
        <v>572105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IFERROR(VLOOKUP(B256,input_572105!L:R,7,FALSE),VLOOKUP(tables_572105!C256,input_572105!A:H,8,FALSE))</f>
        <v>4034.88</v>
      </c>
      <c r="P256" s="40">
        <f t="shared" ca="1" si="10"/>
        <v>4.6700000002162052E-3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input_572105!A$2</f>
        <v>572105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IFERROR(VLOOKUP(B257,input_572105!L:R,7,FALSE),VLOOKUP(tables_572105!C257,input_572105!A:H,8,FALSE))</f>
        <v>448.32</v>
      </c>
      <c r="P257" s="40">
        <f t="shared" ca="1" si="10"/>
        <v>5.188888889129116E-4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input_572105!A$2</f>
        <v>572105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IFERROR(VLOOKUP(B258,input_572105!L:R,7,FALSE),VLOOKUP(tables_572105!C258,input_572105!A:H,8,FALSE))</f>
        <v>288</v>
      </c>
      <c r="P258" s="40">
        <f t="shared" ref="P258:P305" ca="1" si="13">O258/SUM(O:O)</f>
        <v>3.3333333334876553E-4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input_572105!A$2</f>
        <v>572105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IFERROR(VLOOKUP(B259,input_572105!L:R,7,FALSE),VLOOKUP(tables_572105!C259,input_572105!A:H,8,FALSE))</f>
        <v>32</v>
      </c>
      <c r="P259" s="40">
        <f t="shared" ca="1" si="13"/>
        <v>3.7037037038751723E-5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input_572105!A$2</f>
        <v>572105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IFERROR(VLOOKUP(B260,input_572105!L:R,7,FALSE),VLOOKUP(tables_572105!C260,input_572105!A:H,8,FALSE))</f>
        <v>288</v>
      </c>
      <c r="P260" s="40">
        <f t="shared" ca="1" si="13"/>
        <v>3.3333333334876553E-4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input_572105!A$2</f>
        <v>572105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IFERROR(VLOOKUP(B261,input_572105!L:R,7,FALSE),VLOOKUP(tables_572105!C261,input_572105!A:H,8,FALSE))</f>
        <v>32</v>
      </c>
      <c r="P261" s="40">
        <f t="shared" ca="1" si="13"/>
        <v>3.7037037038751723E-5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input_572105!A$2</f>
        <v>572105</v>
      </c>
      <c r="B262" s="52">
        <v>728</v>
      </c>
      <c r="C262" s="7" t="str">
        <f t="shared" si="12"/>
        <v>Premium4R3lesscolor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">
        <v>35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IFERROR(VLOOKUP(B262,input_572105!L:R,7,FALSE),VLOOKUP(tables_572105!C262,input_572105!A:H,8,FALSE))</f>
        <v>18972.72</v>
      </c>
      <c r="P262" s="40">
        <f t="shared" ca="1" si="13"/>
        <v>2.19591666676833E-2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input_572105!A$2</f>
        <v>572105</v>
      </c>
      <c r="B263" s="52">
        <v>729</v>
      </c>
      <c r="C263" s="7" t="str">
        <f t="shared" si="12"/>
        <v>Premium5R3lesscolor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">
        <v>35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IFERROR(VLOOKUP(B263,input_572105!L:R,7,FALSE),VLOOKUP(tables_572105!C263,input_572105!A:H,8,FALSE))</f>
        <v>1030.01143</v>
      </c>
      <c r="P263" s="40">
        <f t="shared" ca="1" si="13"/>
        <v>1.1921428588514884E-3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input_572105!A$2</f>
        <v>572105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IFERROR(VLOOKUP(B264,input_572105!L:R,7,FALSE),VLOOKUP(tables_572105!C264,input_572105!A:H,8,FALSE))</f>
        <v>4214.46857</v>
      </c>
      <c r="P264" s="40">
        <f t="shared" ca="1" si="13"/>
        <v>4.8778571414295315E-3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input_572105!A$2</f>
        <v>572105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IFERROR(VLOOKUP(B265,input_572105!L:R,7,FALSE),VLOOKUP(tables_572105!C265,input_572105!A:H,8,FALSE))</f>
        <v>198.01263</v>
      </c>
      <c r="P265" s="40">
        <f t="shared" ca="1" si="13"/>
        <v>2.2918128473283251E-4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input_572105!A$2</f>
        <v>572105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IFERROR(VLOOKUP(B266,input_572105!L:R,7,FALSE),VLOOKUP(tables_572105!C266,input_572105!A:H,8,FALSE))</f>
        <v>320</v>
      </c>
      <c r="P266" s="40">
        <f t="shared" ca="1" si="13"/>
        <v>3.7037037038751723E-4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input_572105!A$2</f>
        <v>572105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IFERROR(VLOOKUP(B267,input_572105!L:R,7,FALSE),VLOOKUP(tables_572105!C267,input_572105!A:H,8,FALSE))</f>
        <v>320</v>
      </c>
      <c r="P267" s="40">
        <f t="shared" ca="1" si="13"/>
        <v>3.7037037038751723E-4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input_572105!A$2</f>
        <v>572105</v>
      </c>
      <c r="B268" s="52">
        <v>742</v>
      </c>
      <c r="C268" s="7" t="str">
        <f t="shared" si="12"/>
        <v>PremiumSS5R5onlycolor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">
        <v>35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IFERROR(VLOOKUP(B268,input_572105!L:R,7,FALSE),VLOOKUP(tables_572105!C268,input_572105!A:H,8,FALSE))</f>
        <v>1440</v>
      </c>
      <c r="P268" s="40">
        <f t="shared" ca="1" si="13"/>
        <v>1.6666666667438275E-3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input_572105!A$2</f>
        <v>572105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IFERROR(VLOOKUP(B269,input_572105!L:R,7,FALSE),VLOOKUP(tables_572105!C269,input_572105!A:H,8,FALSE))</f>
        <v>320</v>
      </c>
      <c r="P269" s="40">
        <f t="shared" ca="1" si="13"/>
        <v>3.7037037038751723E-4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input_572105!A$2</f>
        <v>572105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IFERROR(VLOOKUP(B270,input_572105!L:R,7,FALSE),VLOOKUP(tables_572105!C270,input_572105!A:H,8,FALSE))</f>
        <v>4214.46857</v>
      </c>
      <c r="P270" s="40">
        <f t="shared" ca="1" si="13"/>
        <v>4.8778571414295315E-3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input_572105!A$2</f>
        <v>572105</v>
      </c>
      <c r="B271" s="7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IFERROR(VLOOKUP(B271,input_572105!L:R,7,FALSE),VLOOKUP(tables_572105!C271,input_572105!A:H,8,FALSE))</f>
        <v>198.01263</v>
      </c>
      <c r="P271" s="40">
        <f t="shared" ca="1" si="13"/>
        <v>2.2918128473283251E-4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input_572105!A$2</f>
        <v>572105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IFERROR(VLOOKUP(B272,input_572105!L:R,7,FALSE),VLOOKUP(tables_572105!C272,input_572105!A:H,8,FALSE))</f>
        <v>4214.46857</v>
      </c>
      <c r="P272" s="40">
        <f t="shared" ca="1" si="13"/>
        <v>4.8778571414295315E-3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input_572105!A$2</f>
        <v>572105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IFERROR(VLOOKUP(B273,input_572105!L:R,7,FALSE),VLOOKUP(tables_572105!C273,input_572105!A:H,8,FALSE))</f>
        <v>198.01263</v>
      </c>
      <c r="P273" s="40">
        <f t="shared" ca="1" si="13"/>
        <v>2.2918128473283251E-4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input_572105!A$2</f>
        <v>572105</v>
      </c>
      <c r="B274" s="71">
        <v>770</v>
      </c>
      <c r="C274" s="7" t="str">
        <f t="shared" si="12"/>
        <v>PremiumSS4color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">
        <v>35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IFERROR(VLOOKUP(B274,input_572105!L:R,7,FALSE),VLOOKUP(tables_572105!C274,input_572105!A:H,8,FALSE))</f>
        <v>1296</v>
      </c>
      <c r="P274" s="40">
        <f t="shared" ca="1" si="13"/>
        <v>1.5000000000694447E-3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input_572105!A$2</f>
        <v>572105</v>
      </c>
      <c r="B275" s="71">
        <v>771</v>
      </c>
      <c r="C275" s="7" t="str">
        <f t="shared" si="12"/>
        <v>PremiumSS5color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">
        <v>35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IFERROR(VLOOKUP(B275,input_572105!L:R,7,FALSE),VLOOKUP(tables_572105!C275,input_572105!A:H,8,FALSE))</f>
        <v>144</v>
      </c>
      <c r="P275" s="40">
        <f t="shared" ca="1" si="13"/>
        <v>1.6666666667438277E-4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input_572105!A$2</f>
        <v>572105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IFERROR(VLOOKUP(B276,input_572105!L:R,7,FALSE),VLOOKUP(tables_572105!C276,input_572105!A:H,8,FALSE))</f>
        <v>288</v>
      </c>
      <c r="P276" s="40">
        <f t="shared" ca="1" si="13"/>
        <v>3.3333333334876553E-4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input_572105!A$2</f>
        <v>572105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IFERROR(VLOOKUP(B277,input_572105!L:R,7,FALSE),VLOOKUP(tables_572105!C277,input_572105!A:H,8,FALSE))</f>
        <v>32</v>
      </c>
      <c r="P277" s="40">
        <f t="shared" ca="1" si="13"/>
        <v>3.7037037038751723E-5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input_572105!A$2</f>
        <v>572105</v>
      </c>
      <c r="B278" s="7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IFERROR(VLOOKUP(B278,input_572105!L:R,7,FALSE),VLOOKUP(tables_572105!C278,input_572105!A:H,8,FALSE))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input_572105!A$2</f>
        <v>572105</v>
      </c>
      <c r="B279" s="7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IFERROR(VLOOKUP(B279,input_572105!L:R,7,FALSE),VLOOKUP(tables_572105!C279,input_572105!A:H,8,FALSE))</f>
        <v>4034.88</v>
      </c>
      <c r="P279" s="40">
        <f t="shared" ca="1" si="13"/>
        <v>4.6700000002162052E-3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input_572105!A$2</f>
        <v>572105</v>
      </c>
      <c r="B280" s="7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IFERROR(VLOOKUP(B280,input_572105!L:R,7,FALSE),VLOOKUP(tables_572105!C280,input_572105!A:H,8,FALSE))</f>
        <v>448.32</v>
      </c>
      <c r="P280" s="40">
        <f t="shared" ca="1" si="13"/>
        <v>5.188888889129116E-4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input_572105!A$2</f>
        <v>572105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IFERROR(VLOOKUP(B281,input_572105!L:R,7,FALSE),VLOOKUP(tables_572105!C281,input_572105!A:H,8,FALSE))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input_572105!A$2</f>
        <v>572105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IFERROR(VLOOKUP(B282,input_572105!L:R,7,FALSE),VLOOKUP(tables_572105!C282,input_572105!A:H,8,FALSE))</f>
        <v>4034.88</v>
      </c>
      <c r="P282" s="40">
        <f t="shared" ca="1" si="13"/>
        <v>4.6700000002162052E-3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input_572105!A$2</f>
        <v>572105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IFERROR(VLOOKUP(B283,input_572105!L:R,7,FALSE),VLOOKUP(tables_572105!C283,input_572105!A:H,8,FALSE))</f>
        <v>448.32</v>
      </c>
      <c r="P283" s="40">
        <f t="shared" ca="1" si="13"/>
        <v>5.188888889129116E-4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input_572105!A$2</f>
        <v>572105</v>
      </c>
      <c r="B284" s="5">
        <v>848</v>
      </c>
      <c r="C284" s="7" t="str">
        <f t="shared" si="12"/>
        <v>PremiumSS5R5onlycolor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">
        <v>35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IFERROR(VLOOKUP(B284,input_572105!L:R,7,FALSE),VLOOKUP(tables_572105!C284,input_572105!A:H,8,FALSE))</f>
        <v>1440</v>
      </c>
      <c r="P284" s="40">
        <f t="shared" ca="1" si="13"/>
        <v>1.6666666667438275E-3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input_572105!A$2</f>
        <v>572105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IFERROR(VLOOKUP(B285,input_572105!L:R,7,FALSE),VLOOKUP(tables_572105!C285,input_572105!A:H,8,FALSE))</f>
        <v>320</v>
      </c>
      <c r="P285" s="40">
        <f t="shared" ca="1" si="13"/>
        <v>3.7037037038751723E-4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input_572105!A$2</f>
        <v>572105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IFERROR(VLOOKUP(B286,input_572105!L:R,7,FALSE),VLOOKUP(tables_572105!C286,input_572105!A:H,8,FALSE))</f>
        <v>4214.46857</v>
      </c>
      <c r="P286" s="40">
        <f t="shared" ca="1" si="13"/>
        <v>4.8778571414295315E-3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input_572105!A$2</f>
        <v>572105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IFERROR(VLOOKUP(B287,input_572105!L:R,7,FALSE),VLOOKUP(tables_572105!C287,input_572105!A:H,8,FALSE))</f>
        <v>198.01263</v>
      </c>
      <c r="P287" s="40">
        <f t="shared" ca="1" si="13"/>
        <v>2.2918128473283251E-4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input_572105!A$2</f>
        <v>572105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IFERROR(VLOOKUP(B288,input_572105!L:R,7,FALSE),VLOOKUP(tables_572105!C288,input_572105!A:H,8,FALSE))</f>
        <v>4214.46857</v>
      </c>
      <c r="P288" s="40">
        <f t="shared" ca="1" si="13"/>
        <v>4.8778571414295315E-3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input_572105!A$2</f>
        <v>572105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IFERROR(VLOOKUP(B289,input_572105!L:R,7,FALSE),VLOOKUP(tables_572105!C289,input_572105!A:H,8,FALSE))</f>
        <v>198.01263</v>
      </c>
      <c r="P289" s="40">
        <f t="shared" ca="1" si="13"/>
        <v>2.2918128473283251E-4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input_572105!A$2</f>
        <v>572105</v>
      </c>
      <c r="B290" s="5">
        <v>862</v>
      </c>
      <c r="C290" s="7" t="str">
        <f t="shared" si="12"/>
        <v>Premium4R3lesscolor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">
        <v>35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IFERROR(VLOOKUP(B290,input_572105!L:R,7,FALSE),VLOOKUP(tables_572105!C290,input_572105!A:H,8,FALSE))</f>
        <v>18972.72</v>
      </c>
      <c r="P290" s="40">
        <f t="shared" ca="1" si="13"/>
        <v>2.19591666676833E-2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input_572105!A$2</f>
        <v>572105</v>
      </c>
      <c r="B291" s="5">
        <v>863</v>
      </c>
      <c r="C291" s="7" t="str">
        <f t="shared" si="12"/>
        <v>Premium5R3lesscolor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">
        <v>35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IFERROR(VLOOKUP(B291,input_572105!L:R,7,FALSE),VLOOKUP(tables_572105!C291,input_572105!A:H,8,FALSE))</f>
        <v>1030.01143</v>
      </c>
      <c r="P291" s="40">
        <f t="shared" ca="1" si="13"/>
        <v>1.1921428588514884E-3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input_572105!A$2</f>
        <v>572105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IFERROR(VLOOKUP(B292,input_572105!L:R,7,FALSE),VLOOKUP(tables_572105!C292,input_572105!A:H,8,FALSE))</f>
        <v>4214.46857</v>
      </c>
      <c r="P292" s="40">
        <f t="shared" ca="1" si="13"/>
        <v>4.8778571414295315E-3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input_572105!A$2</f>
        <v>572105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IFERROR(VLOOKUP(B293,input_572105!L:R,7,FALSE),VLOOKUP(tables_572105!C293,input_572105!A:H,8,FALSE))</f>
        <v>198.01263</v>
      </c>
      <c r="P293" s="40">
        <f t="shared" ca="1" si="13"/>
        <v>2.2918128473283251E-4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input_572105!A$2</f>
        <v>572105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IFERROR(VLOOKUP(B294,input_572105!L:R,7,FALSE),VLOOKUP(tables_572105!C294,input_572105!A:H,8,FALSE))</f>
        <v>320</v>
      </c>
      <c r="P294" s="40">
        <f t="shared" ca="1" si="13"/>
        <v>3.7037037038751723E-4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input_572105!A$2</f>
        <v>572105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IFERROR(VLOOKUP(B295,input_572105!L:R,7,FALSE),VLOOKUP(tables_572105!C295,input_572105!A:H,8,FALSE))</f>
        <v>320</v>
      </c>
      <c r="P295" s="40">
        <f t="shared" ca="1" si="13"/>
        <v>3.7037037038751723E-4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input_572105!A$2</f>
        <v>572105</v>
      </c>
      <c r="B296" s="5">
        <v>937</v>
      </c>
      <c r="C296" s="7" t="str">
        <f t="shared" si="12"/>
        <v>PremiumSS5R5onlycolor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">
        <v>35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IFERROR(VLOOKUP(B296,input_572105!L:R,7,FALSE),VLOOKUP(tables_572105!C296,input_572105!A:H,8,FALSE))</f>
        <v>1440</v>
      </c>
      <c r="P296" s="40">
        <f t="shared" ca="1" si="13"/>
        <v>1.6666666667438275E-3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input_572105!A$2</f>
        <v>572105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IFERROR(VLOOKUP(B297,input_572105!L:R,7,FALSE),VLOOKUP(tables_572105!C297,input_572105!A:H,8,FALSE))</f>
        <v>4214.46857</v>
      </c>
      <c r="P297" s="40">
        <f t="shared" ca="1" si="13"/>
        <v>4.8778571414295315E-3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input_572105!A$2</f>
        <v>572105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IFERROR(VLOOKUP(B298,input_572105!L:R,7,FALSE),VLOOKUP(tables_572105!C298,input_572105!A:H,8,FALSE))</f>
        <v>198.01263</v>
      </c>
      <c r="P298" s="40">
        <f t="shared" ca="1" si="13"/>
        <v>2.2918128473283251E-4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input_572105!A$2</f>
        <v>572105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IFERROR(VLOOKUP(B299,input_572105!L:R,7,FALSE),VLOOKUP(tables_572105!C299,input_572105!A:H,8,FALSE))</f>
        <v>320</v>
      </c>
      <c r="P299" s="40">
        <f t="shared" ca="1" si="13"/>
        <v>3.7037037038751723E-4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input_572105!A$2</f>
        <v>572105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IFERROR(VLOOKUP(B300,input_572105!L:R,7,FALSE),VLOOKUP(tables_572105!C300,input_572105!A:H,8,FALSE))</f>
        <v>320</v>
      </c>
      <c r="P300" s="40">
        <f t="shared" ca="1" si="13"/>
        <v>3.7037037038751723E-4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input_572105!A$2</f>
        <v>572105</v>
      </c>
      <c r="B301" s="5">
        <v>1012</v>
      </c>
      <c r="C301" s="7" t="str">
        <f t="shared" si="12"/>
        <v>PremiumSS5R5onlycolor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">
        <v>35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IFERROR(VLOOKUP(B301,input_572105!L:R,7,FALSE),VLOOKUP(tables_572105!C301,input_572105!A:H,8,FALSE))</f>
        <v>1440</v>
      </c>
      <c r="P301" s="40">
        <f t="shared" ca="1" si="13"/>
        <v>1.6666666667438275E-3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input_572105!A$2</f>
        <v>572105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IFERROR(VLOOKUP(B302,input_572105!L:R,7,FALSE),VLOOKUP(tables_572105!C302,input_572105!A:H,8,FALSE))</f>
        <v>320</v>
      </c>
      <c r="P302" s="40">
        <f t="shared" ca="1" si="13"/>
        <v>3.7037037038751723E-4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input_572105!A$2</f>
        <v>572105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IFERROR(VLOOKUP(B303,input_572105!L:R,7,FALSE),VLOOKUP(tables_572105!C303,input_572105!A:H,8,FALSE))</f>
        <v>4214.46857</v>
      </c>
      <c r="P303" s="40">
        <f t="shared" ca="1" si="13"/>
        <v>4.8778571414295315E-3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input_572105!A$2</f>
        <v>572105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IFERROR(VLOOKUP(B304,input_572105!L:R,7,FALSE),VLOOKUP(tables_572105!C304,input_572105!A:H,8,FALSE))</f>
        <v>198.01263</v>
      </c>
      <c r="P304" s="40">
        <f t="shared" ca="1" si="13"/>
        <v>2.2918128473283251E-4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input_572105!A$2</f>
        <v>572105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IFERROR(VLOOKUP(B305,input_572105!L:R,7,FALSE),VLOOKUP(tables_572105!C305,input_572105!A:H,8,FALSE))</f>
        <v>320</v>
      </c>
      <c r="P305" s="40">
        <f t="shared" ca="1" si="13"/>
        <v>3.7037037038751723E-4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input_572105!A$2</f>
        <v>572105</v>
      </c>
      <c r="B306" s="5">
        <v>1026</v>
      </c>
      <c r="C306" s="7" t="str">
        <f t="shared" si="12"/>
        <v>Premium4R3lesscolor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">
        <v>35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IFERROR(VLOOKUP(B306,input_572105!L:R,7,FALSE),VLOOKUP(tables_572105!C306,input_572105!A:H,8,FALSE))</f>
        <v>18972.72</v>
      </c>
      <c r="P306" s="40">
        <f t="shared" ref="P306:P310" ca="1" si="15">O306/SUM(O:O)</f>
        <v>2.19591666676833E-2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input_572105!A$2</f>
        <v>572105</v>
      </c>
      <c r="B307" s="5">
        <v>1027</v>
      </c>
      <c r="C307" s="7" t="str">
        <f t="shared" si="12"/>
        <v>Premium5R3lesscolor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">
        <v>35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IFERROR(VLOOKUP(B307,input_572105!L:R,7,FALSE),VLOOKUP(tables_572105!C307,input_572105!A:H,8,FALSE))</f>
        <v>1030.01143</v>
      </c>
      <c r="P307" s="40">
        <f t="shared" ca="1" si="15"/>
        <v>1.1921428588514884E-3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input_572105!A$2</f>
        <v>572105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IFERROR(VLOOKUP(B308,input_572105!L:R,7,FALSE),VLOOKUP(tables_572105!C308,input_572105!A:H,8,FALSE))</f>
        <v>320</v>
      </c>
      <c r="P308" s="40">
        <f t="shared" ca="1" si="15"/>
        <v>3.7037037038751723E-4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input_572105!A$2</f>
        <v>572105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IFERROR(VLOOKUP(B309,input_572105!L:R,7,FALSE),VLOOKUP(tables_572105!C309,input_572105!A:H,8,FALSE))</f>
        <v>320</v>
      </c>
      <c r="P309" s="40">
        <f t="shared" ca="1" si="15"/>
        <v>3.7037037038751723E-4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input_572105!A$2</f>
        <v>572105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IFERROR(VLOOKUP(B310,input_572105!L:R,7,FALSE),VLOOKUP(tables_572105!C310,input_572105!A:H,8,FALSE))</f>
        <v>320</v>
      </c>
      <c r="P310" s="40">
        <f t="shared" ca="1" si="15"/>
        <v>3.7037037038751723E-4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input_572105!A$2</f>
        <v>572105</v>
      </c>
      <c r="B311" s="5">
        <v>1067</v>
      </c>
      <c r="C311" s="7" t="str">
        <f t="shared" si="12"/>
        <v>Premium4R3lesscolor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">
        <v>35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IFERROR(VLOOKUP(B311,input_572105!L:R,7,FALSE),VLOOKUP(tables_572105!C311,input_572105!A:H,8,FALSE))</f>
        <v>18972.72</v>
      </c>
      <c r="P311" s="40">
        <f t="shared" ref="P311:P319" ca="1" si="16">O311/SUM(O:O)</f>
        <v>2.19591666676833E-2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input_572105!A$2</f>
        <v>572105</v>
      </c>
      <c r="B312" s="5">
        <v>1068</v>
      </c>
      <c r="C312" s="7" t="str">
        <f t="shared" si="12"/>
        <v>Premium5R3lesscolor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">
        <v>35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IFERROR(VLOOKUP(B312,input_572105!L:R,7,FALSE),VLOOKUP(tables_572105!C312,input_572105!A:H,8,FALSE))</f>
        <v>1030.01143</v>
      </c>
      <c r="P312" s="40">
        <f t="shared" ca="1" si="16"/>
        <v>1.1921428588514884E-3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input_572105!A$2</f>
        <v>572105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IFERROR(VLOOKUP(B313,input_572105!L:R,7,FALSE),VLOOKUP(tables_572105!C313,input_572105!A:H,8,FALSE))</f>
        <v>320</v>
      </c>
      <c r="P313" s="40">
        <f t="shared" ca="1" si="16"/>
        <v>3.7037037038751723E-4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input_572105!A$2</f>
        <v>572105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IFERROR(VLOOKUP(B314,input_572105!L:R,7,FALSE),VLOOKUP(tables_572105!C314,input_572105!A:H,8,FALSE))</f>
        <v>320</v>
      </c>
      <c r="P314" s="40">
        <f t="shared" ca="1" si="16"/>
        <v>3.7037037038751723E-4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input_572105!A$2</f>
        <v>572105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IFERROR(VLOOKUP(B315,input_572105!L:R,7,FALSE),VLOOKUP(tables_572105!C315,input_572105!A:H,8,FALSE))</f>
        <v>320</v>
      </c>
      <c r="P315" s="40">
        <f t="shared" ca="1" si="16"/>
        <v>3.7037037038751723E-4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input_572105!A$2</f>
        <v>572105</v>
      </c>
      <c r="B316" s="5">
        <v>1100</v>
      </c>
      <c r="C316" s="7" t="str">
        <f t="shared" si="12"/>
        <v>PremiumSS5R5onlycolor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">
        <v>35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IFERROR(VLOOKUP(B316,input_572105!L:R,7,FALSE),VLOOKUP(tables_572105!C316,input_572105!A:H,8,FALSE))</f>
        <v>1440</v>
      </c>
      <c r="P316" s="40">
        <f t="shared" ca="1" si="16"/>
        <v>1.6666666667438275E-3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input_572105!A$2</f>
        <v>572105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IFERROR(VLOOKUP(B317,input_572105!L:R,7,FALSE),VLOOKUP(tables_572105!C317,input_572105!A:H,8,FALSE))</f>
        <v>320</v>
      </c>
      <c r="P317" s="40">
        <f t="shared" ca="1" si="16"/>
        <v>3.7037037038751723E-4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input_572105!A$2</f>
        <v>572105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IFERROR(VLOOKUP(B318,input_572105!L:R,7,FALSE),VLOOKUP(tables_572105!C318,input_572105!A:H,8,FALSE))</f>
        <v>4214.46857</v>
      </c>
      <c r="P318" s="40">
        <f t="shared" ca="1" si="16"/>
        <v>4.8778571414295315E-3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input_572105!A$2</f>
        <v>572105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IFERROR(VLOOKUP(B319,input_572105!L:R,7,FALSE),VLOOKUP(tables_572105!C319,input_572105!A:H,8,FALSE))</f>
        <v>198.01263</v>
      </c>
      <c r="P319" s="40">
        <f t="shared" ca="1" si="16"/>
        <v>2.2918128473283251E-4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input_572105!A$2</f>
        <v>572105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IFERROR(VLOOKUP(B320,input_572105!L:R,7,FALSE),VLOOKUP(tables_572105!C320,input_572105!A:H,8,FALSE))</f>
        <v>320</v>
      </c>
      <c r="P320" s="40">
        <f t="shared" ref="P320:P324" ca="1" si="17">O320/SUM(O:O)</f>
        <v>3.7037037038751723E-4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input_572105!A$2</f>
        <v>572105</v>
      </c>
      <c r="B321" s="5">
        <v>1137</v>
      </c>
      <c r="C321" s="7" t="str">
        <f t="shared" si="12"/>
        <v>PremiumSS5R5onlycolor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">
        <v>35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IFERROR(VLOOKUP(B321,input_572105!L:R,7,FALSE),VLOOKUP(tables_572105!C321,input_572105!A:H,8,FALSE))</f>
        <v>1440</v>
      </c>
      <c r="P321" s="40">
        <f t="shared" ca="1" si="17"/>
        <v>1.6666666667438275E-3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input_572105!A$2</f>
        <v>572105</v>
      </c>
      <c r="B322" s="5">
        <v>1139</v>
      </c>
      <c r="C322" s="7" t="str">
        <f t="shared" ref="C322:C324" si="18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IFERROR(VLOOKUP(B322,input_572105!L:R,7,FALSE),VLOOKUP(tables_572105!C322,input_572105!A:H,8,FALSE))</f>
        <v>320</v>
      </c>
      <c r="P322" s="40">
        <f t="shared" ca="1" si="17"/>
        <v>3.7037037038751723E-4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input_572105!A$2</f>
        <v>572105</v>
      </c>
      <c r="B323" s="5">
        <v>1141</v>
      </c>
      <c r="C323" s="7" t="str">
        <f t="shared" si="18"/>
        <v>PremiumSS5R5only</v>
      </c>
      <c r="D323" s="7" t="str">
        <f t="shared" ref="D323:D324" si="1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IFERROR(VLOOKUP(B323,input_572105!L:R,7,FALSE),VLOOKUP(tables_572105!C323,input_572105!A:H,8,FALSE))</f>
        <v>320</v>
      </c>
      <c r="P323" s="40">
        <f t="shared" ca="1" si="17"/>
        <v>3.7037037038751723E-4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input_572105!A$2</f>
        <v>572105</v>
      </c>
      <c r="B324" s="2">
        <v>1143</v>
      </c>
      <c r="C324" s="7" t="str">
        <f t="shared" si="18"/>
        <v>Premium4R3less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IFERROR(VLOOKUP(B324,input_572105!L:R,7,FALSE),VLOOKUP(tables_572105!C324,input_572105!A:H,8,FALSE))</f>
        <v>4214.46857</v>
      </c>
      <c r="P324" s="40">
        <f t="shared" ca="1" si="17"/>
        <v>4.8778571414295315E-3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input_572105!A$2</f>
        <v>572105</v>
      </c>
      <c r="B325" s="2">
        <v>1144</v>
      </c>
      <c r="C325" s="7" t="str">
        <f t="shared" ref="C325:C330" si="20">D325&amp;J325&amp;E325&amp;F325&amp;G325</f>
        <v>Premium5R3less</v>
      </c>
      <c r="D325" s="7" t="str">
        <f t="shared" ref="D325:D330" si="21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IFERROR(VLOOKUP(B325,input_572105!L:R,7,FALSE),VLOOKUP(tables_572105!C325,input_572105!A:H,8,FALSE))</f>
        <v>198.01263</v>
      </c>
      <c r="P325" s="40">
        <f t="shared" ref="P325:P330" ca="1" si="22">O325/SUM(O:O)</f>
        <v>2.2918128473283251E-4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input_572105!A$2</f>
        <v>572105</v>
      </c>
      <c r="B326" s="2">
        <v>1151</v>
      </c>
      <c r="C326" s="7" t="str">
        <f t="shared" si="20"/>
        <v>Premium4R3lesscolor</v>
      </c>
      <c r="D326" s="7" t="str">
        <f t="shared" si="2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">
        <v>35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IFERROR(VLOOKUP(B326,input_572105!L:R,7,FALSE),VLOOKUP(tables_572105!C326,input_572105!A:H,8,FALSE))</f>
        <v>18972.72</v>
      </c>
      <c r="P326" s="40">
        <f t="shared" ca="1" si="22"/>
        <v>2.19591666676833E-2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input_572105!A$2</f>
        <v>572105</v>
      </c>
      <c r="B327" s="2">
        <v>1152</v>
      </c>
      <c r="C327" s="7" t="str">
        <f t="shared" si="20"/>
        <v>Premium5R3lesscolor</v>
      </c>
      <c r="D327" s="7" t="str">
        <f t="shared" si="2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">
        <v>35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IFERROR(VLOOKUP(B327,input_572105!L:R,7,FALSE),VLOOKUP(tables_572105!C327,input_572105!A:H,8,FALSE))</f>
        <v>1030.01143</v>
      </c>
      <c r="P327" s="40">
        <f t="shared" ca="1" si="22"/>
        <v>1.1921428588514884E-3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input_572105!A$2</f>
        <v>572105</v>
      </c>
      <c r="B328" s="2">
        <v>1153</v>
      </c>
      <c r="C328" s="7" t="str">
        <f t="shared" si="20"/>
        <v>PremiumSS5R5only</v>
      </c>
      <c r="D328" s="7" t="str">
        <f t="shared" si="2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IFERROR(VLOOKUP(B328,input_572105!L:R,7,FALSE),VLOOKUP(tables_572105!C328,input_572105!A:H,8,FALSE))</f>
        <v>320</v>
      </c>
      <c r="P328" s="40">
        <f t="shared" ca="1" si="22"/>
        <v>3.7037037038751723E-4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input_572105!A$2</f>
        <v>572105</v>
      </c>
      <c r="B329" s="2">
        <v>1155</v>
      </c>
      <c r="C329" s="7" t="str">
        <f t="shared" si="20"/>
        <v>PremiumSS5R5only</v>
      </c>
      <c r="D329" s="7" t="str">
        <f t="shared" si="2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IFERROR(VLOOKUP(B329,input_572105!L:R,7,FALSE),VLOOKUP(tables_572105!C329,input_572105!A:H,8,FALSE))</f>
        <v>320</v>
      </c>
      <c r="P329" s="40">
        <f t="shared" ca="1" si="22"/>
        <v>3.7037037038751723E-4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input_572105!A$2</f>
        <v>572105</v>
      </c>
      <c r="B330" s="2">
        <v>1157</v>
      </c>
      <c r="C330" s="7" t="str">
        <f t="shared" si="20"/>
        <v>PremiumSS5R5only</v>
      </c>
      <c r="D330" s="7" t="str">
        <f t="shared" si="2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IFERROR(VLOOKUP(B330,input_572105!L:R,7,FALSE),VLOOKUP(tables_572105!C330,input_572105!A:H,8,FALSE))</f>
        <v>320</v>
      </c>
      <c r="P330" s="40">
        <f t="shared" ca="1" si="22"/>
        <v>3.7037037038751723E-4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input_572105!A$2</f>
        <v>572105</v>
      </c>
      <c r="B331" s="52">
        <v>1214</v>
      </c>
      <c r="C331" s="7" t="str">
        <f t="shared" ref="C331:C340" si="23">D331&amp;J331&amp;E331&amp;F331&amp;G331</f>
        <v>PremiumSS5R5only</v>
      </c>
      <c r="D331" s="7" t="str">
        <f t="shared" ref="D331:D340" si="2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IFERROR(VLOOKUP(B331,input_572105!L:R,7,FALSE),VLOOKUP(tables_572105!C331,input_572105!A:H,8,FALSE))</f>
        <v>320</v>
      </c>
      <c r="P331" s="40">
        <f t="shared" ref="P331:P340" ca="1" si="25">O331/SUM(O:O)</f>
        <v>3.7037037038751723E-4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input_572105!A$2</f>
        <v>572105</v>
      </c>
      <c r="B332" s="52">
        <v>1212</v>
      </c>
      <c r="C332" s="7" t="str">
        <f t="shared" si="23"/>
        <v>PremiumSS5R5only</v>
      </c>
      <c r="D332" s="7" t="str">
        <f t="shared" si="2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IFERROR(VLOOKUP(B332,input_572105!L:R,7,FALSE),VLOOKUP(tables_572105!C332,input_572105!A:H,8,FALSE))</f>
        <v>320</v>
      </c>
      <c r="P332" s="40">
        <f t="shared" ca="1" si="25"/>
        <v>3.7037037038751723E-4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input_572105!A$2</f>
        <v>572105</v>
      </c>
      <c r="B333" s="52">
        <v>1208</v>
      </c>
      <c r="C333" s="7" t="str">
        <f t="shared" si="23"/>
        <v>PremiumSS5R5onlycolor</v>
      </c>
      <c r="D333" s="7" t="str">
        <f t="shared" si="2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">
        <v>35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IFERROR(VLOOKUP(B333,input_572105!L:R,7,FALSE),VLOOKUP(tables_572105!C333,input_572105!A:H,8,FALSE))</f>
        <v>1440</v>
      </c>
      <c r="P333" s="40">
        <f t="shared" ca="1" si="25"/>
        <v>1.6666666667438275E-3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input_572105!A$2</f>
        <v>572105</v>
      </c>
      <c r="B334" s="96">
        <v>1210</v>
      </c>
      <c r="C334" s="7" t="str">
        <f t="shared" si="23"/>
        <v>Premium4R3less</v>
      </c>
      <c r="D334" s="7" t="str">
        <f t="shared" si="2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IFERROR(VLOOKUP(B334,input_572105!L:R,7,FALSE),VLOOKUP(tables_572105!C334,input_572105!A:H,8,FALSE))</f>
        <v>4214.46857</v>
      </c>
      <c r="P334" s="40">
        <f t="shared" ca="1" si="25"/>
        <v>4.8778571414295315E-3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input_572105!A$2</f>
        <v>572105</v>
      </c>
      <c r="B335" s="52">
        <v>1211</v>
      </c>
      <c r="C335" s="7" t="str">
        <f t="shared" si="23"/>
        <v>Premium5R3less</v>
      </c>
      <c r="D335" s="7" t="str">
        <f t="shared" si="2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IFERROR(VLOOKUP(B335,input_572105!L:R,7,FALSE),VLOOKUP(tables_572105!C335,input_572105!A:H,8,FALSE))</f>
        <v>198.01263</v>
      </c>
      <c r="P335" s="40">
        <f t="shared" ca="1" si="25"/>
        <v>2.2918128473283251E-4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input_572105!A$2</f>
        <v>572105</v>
      </c>
      <c r="B336" s="2">
        <v>1224</v>
      </c>
      <c r="C336" s="7" t="str">
        <f t="shared" si="23"/>
        <v>Premium4R3lesscolor</v>
      </c>
      <c r="D336" s="7" t="str">
        <f t="shared" si="24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">
        <v>35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IFERROR(VLOOKUP(B336,input_572105!L:R,7,FALSE),VLOOKUP(tables_572105!C336,input_572105!A:H,8,FALSE))</f>
        <v>18972.72</v>
      </c>
      <c r="P336" s="40">
        <f t="shared" ca="1" si="25"/>
        <v>2.19591666676833E-2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input_572105!A$2</f>
        <v>572105</v>
      </c>
      <c r="B337" s="2">
        <v>1225</v>
      </c>
      <c r="C337" s="7" t="str">
        <f t="shared" si="23"/>
        <v>Premium5R3lesscolor</v>
      </c>
      <c r="D337" s="7" t="str">
        <f t="shared" si="24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">
        <v>35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IFERROR(VLOOKUP(B337,input_572105!L:R,7,FALSE),VLOOKUP(tables_572105!C337,input_572105!A:H,8,FALSE))</f>
        <v>1030.01143</v>
      </c>
      <c r="P337" s="40">
        <f t="shared" ca="1" si="25"/>
        <v>1.1921428588514884E-3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input_572105!A$2</f>
        <v>572105</v>
      </c>
      <c r="B338" s="2">
        <v>1226</v>
      </c>
      <c r="C338" s="7" t="str">
        <f t="shared" si="23"/>
        <v>PremiumSS5R5only</v>
      </c>
      <c r="D338" s="7" t="str">
        <f t="shared" si="24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IFERROR(VLOOKUP(B338,input_572105!L:R,7,FALSE),VLOOKUP(tables_572105!C338,input_572105!A:H,8,FALSE))</f>
        <v>320</v>
      </c>
      <c r="P338" s="40">
        <f t="shared" ca="1" si="25"/>
        <v>3.7037037038751723E-4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input_572105!A$2</f>
        <v>572105</v>
      </c>
      <c r="B339" s="2">
        <v>1228</v>
      </c>
      <c r="C339" s="7" t="str">
        <f t="shared" si="23"/>
        <v>PremiumSS5R5only</v>
      </c>
      <c r="D339" s="7" t="str">
        <f t="shared" si="24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IFERROR(VLOOKUP(B339,input_572105!L:R,7,FALSE),VLOOKUP(tables_572105!C339,input_572105!A:H,8,FALSE))</f>
        <v>320</v>
      </c>
      <c r="P339" s="40">
        <f t="shared" ca="1" si="25"/>
        <v>3.7037037038751723E-4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input_572105!A$2</f>
        <v>572105</v>
      </c>
      <c r="B340" s="2">
        <v>1230</v>
      </c>
      <c r="C340" s="7" t="str">
        <f t="shared" si="23"/>
        <v>PremiumSS5R5only</v>
      </c>
      <c r="D340" s="7" t="str">
        <f t="shared" si="24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IFERROR(VLOOKUP(B340,input_572105!L:R,7,FALSE),VLOOKUP(tables_572105!C340,input_572105!A:H,8,FALSE))</f>
        <v>320</v>
      </c>
      <c r="P340" s="40">
        <f t="shared" ca="1" si="25"/>
        <v>3.7037037038751723E-4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input_572105!A$2</f>
        <v>572105</v>
      </c>
      <c r="B341" s="2">
        <v>1244</v>
      </c>
      <c r="C341" s="7" t="str">
        <f t="shared" ref="C341" si="26">D341&amp;J341&amp;E341&amp;F341&amp;G341</f>
        <v>PremiumSS5R5onlycolor</v>
      </c>
      <c r="D341" s="7" t="str">
        <f t="shared" ref="D341" si="27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">
        <v>35</v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IFERROR(VLOOKUP(B341,input_572105!L:R,7,FALSE),VLOOKUP(tables_572105!C341,input_572105!A:H,8,FALSE))</f>
        <v>1440</v>
      </c>
      <c r="P341" s="40">
        <f t="shared" ref="P341" ca="1" si="28">O341/SUM(O:O)</f>
        <v>1.6666666667438275E-3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input_572105!A$2</f>
        <v>572105</v>
      </c>
      <c r="B342" s="2">
        <v>1246</v>
      </c>
      <c r="C342" s="7" t="str">
        <f t="shared" ref="C342:C346" si="29">D342&amp;J342&amp;E342&amp;F342&amp;G342</f>
        <v>PremiumSS5R5only</v>
      </c>
      <c r="D342" s="7" t="str">
        <f t="shared" ref="D342:D346" si="30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IFERROR(VLOOKUP(B342,input_572105!L:R,7,FALSE),VLOOKUP(tables_572105!C342,input_572105!A:H,8,FALSE))</f>
        <v>320</v>
      </c>
      <c r="P342" s="40">
        <f t="shared" ref="P342:P346" ca="1" si="31">O342/SUM(O:O)</f>
        <v>3.7037037038751723E-4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input_572105!A$2</f>
        <v>572105</v>
      </c>
      <c r="B343" s="2">
        <v>1248</v>
      </c>
      <c r="C343" s="7" t="str">
        <f t="shared" si="29"/>
        <v>Premium4R3less</v>
      </c>
      <c r="D343" s="7" t="str">
        <f t="shared" si="30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IFERROR(VLOOKUP(B343,input_572105!L:R,7,FALSE),VLOOKUP(tables_572105!C343,input_572105!A:H,8,FALSE))</f>
        <v>4214.46857</v>
      </c>
      <c r="P343" s="40">
        <f t="shared" ca="1" si="31"/>
        <v>4.8778571414295315E-3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input_572105!A$2</f>
        <v>572105</v>
      </c>
      <c r="B344" s="2">
        <v>1249</v>
      </c>
      <c r="C344" s="7" t="str">
        <f t="shared" si="29"/>
        <v>Premium5R3less</v>
      </c>
      <c r="D344" s="7" t="str">
        <f t="shared" si="30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IFERROR(VLOOKUP(B344,input_572105!L:R,7,FALSE),VLOOKUP(tables_572105!C344,input_572105!A:H,8,FALSE))</f>
        <v>198.01263</v>
      </c>
      <c r="P344" s="40">
        <f t="shared" ca="1" si="31"/>
        <v>2.2918128473283251E-4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input_572105!A$2</f>
        <v>572105</v>
      </c>
      <c r="B345" s="2">
        <v>1250</v>
      </c>
      <c r="C345" s="7" t="str">
        <f t="shared" si="29"/>
        <v>PremiumSS5R5only</v>
      </c>
      <c r="D345" s="7" t="str">
        <f t="shared" si="30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IFERROR(VLOOKUP(B345,input_572105!L:R,7,FALSE),VLOOKUP(tables_572105!C345,input_572105!A:H,8,FALSE))</f>
        <v>320</v>
      </c>
      <c r="P345" s="40">
        <f t="shared" ca="1" si="31"/>
        <v>3.7037037038751723E-4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input_572105!A$2</f>
        <v>572105</v>
      </c>
      <c r="B346" s="1">
        <v>1260</v>
      </c>
      <c r="C346" s="7" t="str">
        <f t="shared" si="29"/>
        <v>PremiumSS5R5onlycolor</v>
      </c>
      <c r="D346" s="7" t="str">
        <f t="shared" si="30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">
        <v>35</v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IFERROR(VLOOKUP(B346,input_572105!L:R,7,FALSE),VLOOKUP(tables_572105!C346,input_572105!A:H,8,FALSE))</f>
        <v>1440</v>
      </c>
      <c r="P346" s="40">
        <f t="shared" ca="1" si="31"/>
        <v>1.6666666667438275E-3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input_572105!A$2</f>
        <v>572105</v>
      </c>
      <c r="B347" s="1">
        <v>1262</v>
      </c>
      <c r="C347" s="7" t="str">
        <f t="shared" ref="C347:C356" si="32">D347&amp;J347&amp;E347&amp;F347&amp;G347</f>
        <v>PremiumSS5R5only</v>
      </c>
      <c r="D347" s="7" t="str">
        <f t="shared" ref="D347:D356" si="33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IFERROR(VLOOKUP(B347,input_572105!L:R,7,FALSE),VLOOKUP(tables_572105!C347,input_572105!A:H,8,FALSE))</f>
        <v>320</v>
      </c>
      <c r="P347" s="40">
        <f t="shared" ref="P347:P350" ca="1" si="34">O347/SUM(O:O)</f>
        <v>3.7037037038751723E-4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input_572105!A$2</f>
        <v>572105</v>
      </c>
      <c r="B348" s="1">
        <v>1264</v>
      </c>
      <c r="C348" s="7" t="str">
        <f t="shared" si="32"/>
        <v>PremiumSS5R5only</v>
      </c>
      <c r="D348" s="7" t="str">
        <f t="shared" si="33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IFERROR(VLOOKUP(B348,input_572105!L:R,7,FALSE),VLOOKUP(tables_572105!C348,input_572105!A:H,8,FALSE))</f>
        <v>320</v>
      </c>
      <c r="P348" s="40">
        <f t="shared" ca="1" si="34"/>
        <v>3.7037037038751723E-4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input_572105!A$2</f>
        <v>572105</v>
      </c>
      <c r="B349" s="1">
        <v>1266</v>
      </c>
      <c r="C349" s="7" t="str">
        <f t="shared" si="32"/>
        <v>Premium4R3less</v>
      </c>
      <c r="D349" s="7" t="str">
        <f t="shared" si="33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IFERROR(VLOOKUP(B349,input_572105!L:R,7,FALSE),VLOOKUP(tables_572105!C349,input_572105!A:H,8,FALSE))</f>
        <v>4214.46857</v>
      </c>
      <c r="P349" s="40">
        <f t="shared" ca="1" si="34"/>
        <v>4.8778571414295315E-3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input_572105!A$2</f>
        <v>572105</v>
      </c>
      <c r="B350" s="1">
        <v>1267</v>
      </c>
      <c r="C350" s="7" t="str">
        <f t="shared" si="32"/>
        <v>Premium5R3less</v>
      </c>
      <c r="D350" s="7" t="str">
        <f t="shared" si="33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IFERROR(VLOOKUP(B350,input_572105!L:R,7,FALSE),VLOOKUP(tables_572105!C350,input_572105!A:H,8,FALSE))</f>
        <v>198.01263</v>
      </c>
      <c r="P350" s="40">
        <f t="shared" ca="1" si="34"/>
        <v>2.2918128473283251E-4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input_572105!A$2</f>
        <v>572105</v>
      </c>
      <c r="B351" s="102">
        <v>1332</v>
      </c>
      <c r="C351" s="86" t="str">
        <f t="shared" si="32"/>
        <v>PremiumSS5R5onlycolor</v>
      </c>
      <c r="D351" s="7" t="str">
        <f t="shared" si="33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 t="s">
        <v>35</v>
      </c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IFERROR(VLOOKUP(B351,input_572105!L:R,7,FALSE),VLOOKUP(tables_572105!C351,input_572105!A:H,8,FALSE))</f>
        <v>1440</v>
      </c>
      <c r="P351" s="40">
        <f t="shared" ref="P351:P356" ca="1" si="35">O351/SUM(O:O)</f>
        <v>1.6666666667438275E-3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input_572105!A$2</f>
        <v>572105</v>
      </c>
      <c r="B352" s="102">
        <v>1336</v>
      </c>
      <c r="C352" s="86" t="str">
        <f t="shared" si="32"/>
        <v>PremiumSS5R5only</v>
      </c>
      <c r="D352" s="7" t="str">
        <f t="shared" si="33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IFERROR(VLOOKUP(B352,input_572105!L:R,7,FALSE),VLOOKUP(tables_572105!C352,input_572105!A:H,8,FALSE))</f>
        <v>320</v>
      </c>
      <c r="P352" s="40">
        <f t="shared" ca="1" si="35"/>
        <v>3.7037037038751723E-4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input_572105!A$2</f>
        <v>572105</v>
      </c>
      <c r="B353" s="102">
        <v>1338</v>
      </c>
      <c r="C353" s="86" t="str">
        <f t="shared" si="32"/>
        <v>PremiumSS5R5only</v>
      </c>
      <c r="D353" s="7" t="str">
        <f t="shared" si="33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IFERROR(VLOOKUP(B353,input_572105!L:R,7,FALSE),VLOOKUP(tables_572105!C353,input_572105!A:H,8,FALSE))</f>
        <v>320</v>
      </c>
      <c r="P353" s="40">
        <f t="shared" ca="1" si="35"/>
        <v>3.7037037038751723E-4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input_572105!A$2</f>
        <v>572105</v>
      </c>
      <c r="B354" s="102">
        <v>1334</v>
      </c>
      <c r="C354" s="86" t="str">
        <f t="shared" si="32"/>
        <v>Premium4R3less</v>
      </c>
      <c r="D354" s="7" t="str">
        <f t="shared" si="3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IFERROR(VLOOKUP(B354,input_572105!L:R,7,FALSE),VLOOKUP(tables_572105!C354,input_572105!A:H,8,FALSE))</f>
        <v>4214.46857</v>
      </c>
      <c r="P354" s="40">
        <f t="shared" ca="1" si="35"/>
        <v>4.8778571414295315E-3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input_572105!A$2</f>
        <v>572105</v>
      </c>
      <c r="B355" s="102">
        <v>1335</v>
      </c>
      <c r="C355" s="86" t="str">
        <f t="shared" si="32"/>
        <v>Premium5R3less</v>
      </c>
      <c r="D355" s="7" t="str">
        <f t="shared" si="33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IFERROR(VLOOKUP(B355,input_572105!L:R,7,FALSE),VLOOKUP(tables_572105!C355,input_572105!A:H,8,FALSE))</f>
        <v>198.01263</v>
      </c>
      <c r="P355" s="40">
        <f t="shared" ca="1" si="35"/>
        <v>2.2918128473283251E-4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input_572105!A$2</f>
        <v>572105</v>
      </c>
      <c r="B356" s="1">
        <v>786</v>
      </c>
      <c r="C356" s="86" t="str">
        <f t="shared" si="32"/>
        <v>PremiumSSS5R3lesscolor</v>
      </c>
      <c r="D356" s="7" t="str">
        <f t="shared" si="33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35</v>
      </c>
      <c r="H356" s="7" t="str">
        <f>VLOOKUP(B356,[1]characters!$A:$C,3,FALSE)</f>
        <v>ヘイウェイ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dragon</v>
      </c>
      <c r="N356" s="7" t="str">
        <f>VLOOKUP(B356,[1]characters!$A:$G,7,FALSE)</f>
        <v>男性</v>
      </c>
      <c r="O356" s="39">
        <f>IFERROR(VLOOKUP(B356,input_572105!L:R,7,FALSE),VLOOKUP(tables_572105!C356,input_572105!A:H,8,FALSE))</f>
        <v>13824</v>
      </c>
      <c r="P356" s="40">
        <f t="shared" ca="1" si="35"/>
        <v>1.6000000000740745E-2</v>
      </c>
      <c r="Q356" s="76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5"/>
  <sheetViews>
    <sheetView topLeftCell="A15" workbookViewId="0">
      <selection activeCell="F65" sqref="F63:F6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572106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786</v>
      </c>
      <c r="M3" s="31" t="str">
        <f>VLOOKUP(L3,[1]characters!$A:$C,3,FALSE)</f>
        <v>ヘイウェイ</v>
      </c>
      <c r="N3" s="54">
        <v>0.02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VLOOKUP(L3,tables_572106!B:C,2,FALSE)</f>
        <v>PremiumSSS5R3lesscolor</v>
      </c>
      <c r="R3" s="53">
        <f t="shared" ref="R3:R20" si="1">N3*A$51</f>
        <v>17280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VLOOKUP(L4,tables_572106!B:C,2,FALSE)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3.7037037037037046E-4</v>
      </c>
      <c r="F5">
        <f>(COUNTIF(tables_572106!C:C,input_572106!A28)+COUNTIF(tables_572106!C:C,input_572106!A29))</f>
        <v>54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VLOOKUP(L5,tables_572106!B:C,2,FALSE)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(COUNTIF(tables_572106!C:C,input_572106!A43)+COUNTIF(tables_572106!C:C,input_572106!A44))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VLOOKUP(L6,tables_572106!B:C,2,FALSE)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5.1666666666666666E-3</v>
      </c>
      <c r="F7">
        <f>(COUNTIF(tables_572106!C:C,input_572106!A25)+COUNTIF(tables_572106!C:C,input_572106!A18)+COUNTIF(tables_572106!C:C,input_572106!A20)+COUNTIF(tables_572106!C:C,input_572106!A22))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VLOOKUP(L7,tables_572106!B:C,2,FALSE)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2.3249999999999996E-2</v>
      </c>
      <c r="F8">
        <f>(COUNTIF(tables_572106!C:C,input_572106!A40)+COUNTIF(tables_572106!C:C,input_572106!A33)+COUNTIF(tables_572106!C:C,input_572106!A35)+COUNTIF(tables_572106!C:C,input_572106!A37))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VLOOKUP(L8,tables_572106!B:C,2,FALSE)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VLOOKUP(L9,tables_572106!B:C,2,FALSE)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0.92999999999999994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VLOOKUP(L10,tables_572106!B:C,2,FALSE)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247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VLOOKUP(L11,tables_572106!B:C,2,FALSE)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0.02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VLOOKUP(L12,tables_572106!B:C,2,FALSE)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VLOOKUP(L13,tables_572106!B:C,2,FALSE)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VLOOKUP(L14,tables_572106!B:C,2,FALSE)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VLOOKUP(L15,tables_572106!B:C,2,FALSE)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VLOOKUP(L16,tables_572106!B:C,2,FALSE)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6" si="2">SUMIF(Q:Q,A17,N:N)</f>
        <v>0</v>
      </c>
      <c r="D17" s="66">
        <f t="shared" ref="D17:D47" si="3">B17-C17</f>
        <v>0</v>
      </c>
      <c r="E17">
        <f>COUNTIF(tables_572106!C:C,input_572106!A17)-COUNTIF(Q:Q,A17)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VLOOKUP(L17,tables_572106!B:C,2,FALSE)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8.550000000000002E-2</v>
      </c>
      <c r="C18" s="75">
        <f t="shared" si="2"/>
        <v>0</v>
      </c>
      <c r="D18" s="66">
        <f t="shared" si="3"/>
        <v>8.550000000000002E-2</v>
      </c>
      <c r="E18">
        <f>COUNTIF(tables_572106!C:C,input_572106!A18)-COUNTIF(Q:Q,A18)</f>
        <v>15</v>
      </c>
      <c r="F18" s="37">
        <f>IFERROR(B18/E18,0)</f>
        <v>5.7000000000000011E-3</v>
      </c>
      <c r="G18">
        <f t="shared" si="4"/>
        <v>73872.000000000015</v>
      </c>
      <c r="H18">
        <f t="shared" si="5"/>
        <v>4924.8</v>
      </c>
      <c r="I18">
        <f t="shared" si="6"/>
        <v>0.8000000000001819</v>
      </c>
      <c r="J18">
        <f t="shared" si="7"/>
        <v>1.2499999999997158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VLOOKUP(L18,tables_572106!B:C,2,FALSE)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COUNTIF(tables_572106!C:C,input_572106!A19)-COUNTIF(Q:Q,A19)</f>
        <v>40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VLOOKUP(L19,tables_572106!B:C,2,FALSE)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0.186</v>
      </c>
      <c r="C20" s="75">
        <f t="shared" si="2"/>
        <v>0</v>
      </c>
      <c r="D20" s="66">
        <f t="shared" si="3"/>
        <v>0.186</v>
      </c>
      <c r="E20">
        <f>COUNTIF(tables_572106!C:C,input_572106!A20)-COUNTIF(Q:Q,A20)</f>
        <v>40</v>
      </c>
      <c r="F20" s="37">
        <f t="shared" si="8"/>
        <v>4.6499999999999996E-3</v>
      </c>
      <c r="G20">
        <f t="shared" si="4"/>
        <v>160704</v>
      </c>
      <c r="H20">
        <f t="shared" si="5"/>
        <v>4017.6</v>
      </c>
      <c r="I20">
        <f t="shared" si="6"/>
        <v>0.59999999999990905</v>
      </c>
      <c r="J20">
        <f t="shared" si="7"/>
        <v>1.6666666666669192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VLOOKUP(L20,tables_572106!B:C,2,FALSE)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2.0666666666666667E-2</v>
      </c>
      <c r="C21" s="75">
        <f t="shared" si="2"/>
        <v>0</v>
      </c>
      <c r="D21" s="66">
        <f t="shared" si="3"/>
        <v>2.0666666666666667E-2</v>
      </c>
      <c r="E21">
        <f>COUNTIF(tables_572106!C:C,input_572106!A21)-COUNTIF(Q:Q,A21)</f>
        <v>40</v>
      </c>
      <c r="F21" s="37">
        <f t="shared" si="8"/>
        <v>5.1666666666666668E-4</v>
      </c>
      <c r="G21">
        <f t="shared" si="4"/>
        <v>17856</v>
      </c>
      <c r="H21">
        <f t="shared" si="5"/>
        <v>446.4</v>
      </c>
      <c r="I21">
        <f t="shared" si="6"/>
        <v>0.39999999999997726</v>
      </c>
      <c r="J21">
        <f t="shared" si="7"/>
        <v>2.5000000000001421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6.7883333333333323E-2</v>
      </c>
      <c r="C22" s="75">
        <f t="shared" si="2"/>
        <v>0</v>
      </c>
      <c r="D22" s="66">
        <f t="shared" si="3"/>
        <v>6.7883333333333323E-2</v>
      </c>
      <c r="E22">
        <f>COUNTIF(tables_572106!C:C,input_572106!A22)-COUNTIF(Q:Q,A22)</f>
        <v>14</v>
      </c>
      <c r="F22" s="37">
        <f t="shared" si="8"/>
        <v>4.8488095238095235E-3</v>
      </c>
      <c r="G22">
        <f t="shared" si="4"/>
        <v>58651.19999999999</v>
      </c>
      <c r="H22">
        <f t="shared" si="5"/>
        <v>4189.3714300000001</v>
      </c>
      <c r="I22">
        <f t="shared" si="6"/>
        <v>0.37143000000014581</v>
      </c>
      <c r="J22">
        <f t="shared" si="7"/>
        <v>2.6922973373168766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4.4500000000000095E-3</v>
      </c>
      <c r="C23" s="75">
        <f t="shared" si="2"/>
        <v>0</v>
      </c>
      <c r="D23" s="66">
        <f t="shared" si="3"/>
        <v>4.4500000000000095E-3</v>
      </c>
      <c r="E23">
        <f>COUNTIF(tables_572106!C:C,input_572106!A23)-COUNTIF(Q:Q,A23)</f>
        <v>19</v>
      </c>
      <c r="F23" s="37">
        <f t="shared" si="8"/>
        <v>2.3421052631578996E-4</v>
      </c>
      <c r="G23">
        <f t="shared" si="4"/>
        <v>3844.8000000000084</v>
      </c>
      <c r="H23">
        <f t="shared" si="5"/>
        <v>202.35789</v>
      </c>
      <c r="I23">
        <f t="shared" si="6"/>
        <v>0.3578899999999976</v>
      </c>
      <c r="J23">
        <f t="shared" si="7"/>
        <v>2.7941546285171608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COUNTIF(tables_572106!C:C,input_572106!A24)-COUNTIF(Q:Q,A24)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1.3950000000000001E-2</v>
      </c>
      <c r="C25" s="75">
        <f t="shared" si="2"/>
        <v>0</v>
      </c>
      <c r="D25" s="66">
        <f t="shared" si="3"/>
        <v>1.3950000000000001E-2</v>
      </c>
      <c r="E25">
        <f>COUNTIF(tables_572106!C:C,input_572106!A25)-COUNTIF(Q:Q,A25)</f>
        <v>3</v>
      </c>
      <c r="F25" s="37">
        <f t="shared" si="8"/>
        <v>4.6500000000000005E-3</v>
      </c>
      <c r="G25">
        <f t="shared" si="4"/>
        <v>12052.800000000001</v>
      </c>
      <c r="H25">
        <f t="shared" si="5"/>
        <v>4017.6</v>
      </c>
      <c r="I25">
        <f t="shared" si="6"/>
        <v>0.59999999999990905</v>
      </c>
      <c r="J25">
        <f t="shared" si="7"/>
        <v>1.6666666666669192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1.5500000000000002E-3</v>
      </c>
      <c r="C26" s="75">
        <f t="shared" si="2"/>
        <v>0</v>
      </c>
      <c r="D26" s="66">
        <f t="shared" si="3"/>
        <v>1.5500000000000002E-3</v>
      </c>
      <c r="E26">
        <f>COUNTIF(tables_572106!C:C,input_572106!A26)-COUNTIF(Q:Q,A26)</f>
        <v>3</v>
      </c>
      <c r="F26" s="37">
        <f t="shared" si="8"/>
        <v>5.1666666666666668E-4</v>
      </c>
      <c r="G26">
        <f t="shared" si="4"/>
        <v>1339.2</v>
      </c>
      <c r="H26">
        <f t="shared" si="5"/>
        <v>446.4</v>
      </c>
      <c r="I26">
        <f t="shared" si="6"/>
        <v>0.39999999999997726</v>
      </c>
      <c r="J26">
        <f t="shared" si="7"/>
        <v>2.5000000000001421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6.6666666666666688E-3</v>
      </c>
      <c r="C27" s="75">
        <f t="shared" si="2"/>
        <v>0</v>
      </c>
      <c r="D27" s="66">
        <f t="shared" si="3"/>
        <v>6.6666666666666688E-3</v>
      </c>
      <c r="E27">
        <f>COUNTIF(tables_572106!C:C,input_572106!A27)-COUNTIF(Q:Q,A27)</f>
        <v>20</v>
      </c>
      <c r="F27" s="37">
        <f>IFERROR(B27/E27,0)</f>
        <v>3.3333333333333343E-4</v>
      </c>
      <c r="G27">
        <f t="shared" si="4"/>
        <v>5760.0000000000018</v>
      </c>
      <c r="H27">
        <f t="shared" si="5"/>
        <v>288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7.4074074074074103E-4</v>
      </c>
      <c r="C28" s="75">
        <f t="shared" si="2"/>
        <v>0</v>
      </c>
      <c r="D28" s="66">
        <f t="shared" si="3"/>
        <v>7.4074074074074103E-4</v>
      </c>
      <c r="E28">
        <f>COUNTIF(tables_572106!C:C,input_572106!A28)-COUNTIF(Q:Q,A28)</f>
        <v>20</v>
      </c>
      <c r="F28" s="37">
        <f t="shared" si="8"/>
        <v>3.703703703703705E-5</v>
      </c>
      <c r="G28">
        <f t="shared" si="4"/>
        <v>640.00000000000023</v>
      </c>
      <c r="H28">
        <f t="shared" si="5"/>
        <v>32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1.2592592592592596E-2</v>
      </c>
      <c r="C29" s="75">
        <f t="shared" si="2"/>
        <v>0</v>
      </c>
      <c r="D29" s="66">
        <f t="shared" si="3"/>
        <v>1.2592592592592596E-2</v>
      </c>
      <c r="E29">
        <f>COUNTIF(tables_572106!C:C,input_572106!A29)-COUNTIF(Q:Q,A29)</f>
        <v>34</v>
      </c>
      <c r="F29" s="37">
        <f t="shared" si="8"/>
        <v>3.7037037037037046E-4</v>
      </c>
      <c r="G29">
        <f t="shared" si="4"/>
        <v>10880.000000000004</v>
      </c>
      <c r="H29">
        <f t="shared" si="5"/>
        <v>320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COUNTIF(tables_572106!C:C,input_572106!A30)-COUNTIF(Q:Q,A30)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COUNTIF(tables_572106!C:C,input_572106!A31)-COUNTIF(Q:Q,A31)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COUNTIF(tables_572106!C:C,input_572106!A32)-COUNTIF(Q:Q,A32)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0.12275000000000008</v>
      </c>
      <c r="C33" s="75">
        <f t="shared" si="2"/>
        <v>0</v>
      </c>
      <c r="D33" s="66">
        <f t="shared" si="3"/>
        <v>0.12275000000000008</v>
      </c>
      <c r="E33">
        <f>COUNTIF(tables_572106!C:C,input_572106!A33)-COUNTIF(Q:Q,A33)</f>
        <v>5</v>
      </c>
      <c r="F33" s="37">
        <f>IFERROR(B33/E33,0)</f>
        <v>2.4550000000000016E-2</v>
      </c>
      <c r="G33">
        <f t="shared" si="4"/>
        <v>106056.00000000007</v>
      </c>
      <c r="H33">
        <f t="shared" si="5"/>
        <v>21211.200000000001</v>
      </c>
      <c r="I33">
        <f t="shared" si="6"/>
        <v>0.2000000000007276</v>
      </c>
      <c r="J33">
        <f t="shared" si="7"/>
        <v>4.9999999999818101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COUNTIF(tables_572106!C:C,input_572106!A34)-COUNTIF(Q:Q,A34)</f>
        <v>12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0.25109999999999999</v>
      </c>
      <c r="C35" s="75">
        <f t="shared" si="2"/>
        <v>0</v>
      </c>
      <c r="D35" s="66">
        <f t="shared" si="3"/>
        <v>0.25109999999999999</v>
      </c>
      <c r="E35">
        <f>COUNTIF(tables_572106!C:C,input_572106!A35)-COUNTIF(Q:Q,A35)</f>
        <v>12</v>
      </c>
      <c r="F35" s="37">
        <f t="shared" si="9"/>
        <v>2.0924999999999999E-2</v>
      </c>
      <c r="G35">
        <f t="shared" si="4"/>
        <v>216950.39999999999</v>
      </c>
      <c r="H35">
        <f t="shared" si="5"/>
        <v>18079.2</v>
      </c>
      <c r="I35">
        <f t="shared" si="6"/>
        <v>0.2000000000007276</v>
      </c>
      <c r="J35">
        <f t="shared" si="7"/>
        <v>4.9999999999818101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1.3399999999999995E-2</v>
      </c>
      <c r="C36" s="75">
        <f t="shared" si="2"/>
        <v>0</v>
      </c>
      <c r="D36" s="66">
        <f t="shared" si="3"/>
        <v>1.3399999999999995E-2</v>
      </c>
      <c r="E36">
        <f>COUNTIF(tables_572106!C:C,input_572106!A36)-COUNTIF(Q:Q,A36)</f>
        <v>12</v>
      </c>
      <c r="F36" s="37">
        <f t="shared" si="9"/>
        <v>1.1166666666666662E-3</v>
      </c>
      <c r="G36">
        <f t="shared" si="4"/>
        <v>11577.599999999997</v>
      </c>
      <c r="H36">
        <f t="shared" si="5"/>
        <v>964.8</v>
      </c>
      <c r="I36">
        <f t="shared" si="6"/>
        <v>0.79999999999995453</v>
      </c>
      <c r="J36">
        <f t="shared" si="7"/>
        <v>1.2500000000000711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0.13322499999999998</v>
      </c>
      <c r="C37" s="75">
        <f t="shared" si="2"/>
        <v>0</v>
      </c>
      <c r="D37" s="66">
        <f t="shared" si="3"/>
        <v>0.13322499999999998</v>
      </c>
      <c r="E37">
        <f>COUNTIF(tables_572106!C:C,input_572106!A37)-COUNTIF(Q:Q,A37)</f>
        <v>6</v>
      </c>
      <c r="F37" s="37">
        <f t="shared" si="9"/>
        <v>2.2204166666666664E-2</v>
      </c>
      <c r="G37">
        <f t="shared" si="4"/>
        <v>115106.39999999998</v>
      </c>
      <c r="H37">
        <f t="shared" si="5"/>
        <v>19184.400000000001</v>
      </c>
      <c r="I37">
        <f t="shared" si="6"/>
        <v>0.40000000000145519</v>
      </c>
      <c r="J37">
        <f t="shared" si="7"/>
        <v>2.4999999999909051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6.2749999999999976E-3</v>
      </c>
      <c r="C38" s="75">
        <f t="shared" si="2"/>
        <v>0</v>
      </c>
      <c r="D38" s="66">
        <f t="shared" si="3"/>
        <v>6.2749999999999976E-3</v>
      </c>
      <c r="E38">
        <f>COUNTIF(tables_572106!C:C,input_572106!A38)-COUNTIF(Q:Q,A38)</f>
        <v>7</v>
      </c>
      <c r="F38" s="37">
        <f t="shared" si="9"/>
        <v>8.9642857142857113E-4</v>
      </c>
      <c r="G38">
        <f t="shared" si="4"/>
        <v>5421.5999999999976</v>
      </c>
      <c r="H38">
        <f t="shared" si="5"/>
        <v>774.51428999999996</v>
      </c>
      <c r="I38">
        <f t="shared" si="6"/>
        <v>0.51428999999995995</v>
      </c>
      <c r="J38">
        <f t="shared" si="7"/>
        <v>1.9444282408759219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COUNTIF(tables_572106!C:C,input_572106!A39)-COUNTIF(Q:Q,A39)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2.0924999999999996E-2</v>
      </c>
      <c r="C40" s="75">
        <f t="shared" si="2"/>
        <v>0</v>
      </c>
      <c r="D40" s="66">
        <f t="shared" si="3"/>
        <v>2.0924999999999996E-2</v>
      </c>
      <c r="E40">
        <f>COUNTIF(tables_572106!C:C,input_572106!A40)-COUNTIF(Q:Q,A40)</f>
        <v>1</v>
      </c>
      <c r="F40" s="37">
        <f t="shared" si="9"/>
        <v>2.0924999999999996E-2</v>
      </c>
      <c r="G40">
        <f t="shared" si="4"/>
        <v>18079.199999999997</v>
      </c>
      <c r="H40">
        <f t="shared" si="5"/>
        <v>18079.2</v>
      </c>
      <c r="I40">
        <f t="shared" si="6"/>
        <v>0.2000000000007276</v>
      </c>
      <c r="J40">
        <f t="shared" si="7"/>
        <v>4.9999999999818101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2.3249999999999998E-3</v>
      </c>
      <c r="C41" s="75">
        <f t="shared" si="2"/>
        <v>0</v>
      </c>
      <c r="D41" s="66">
        <f t="shared" si="3"/>
        <v>2.3249999999999998E-3</v>
      </c>
      <c r="E41">
        <f>COUNTIF(tables_572106!C:C,input_572106!A41)-COUNTIF(Q:Q,A41)</f>
        <v>1</v>
      </c>
      <c r="F41" s="37">
        <f t="shared" si="9"/>
        <v>2.3249999999999998E-3</v>
      </c>
      <c r="G41">
        <f t="shared" si="4"/>
        <v>2008.7999999999997</v>
      </c>
      <c r="H41">
        <f t="shared" si="5"/>
        <v>2008.8</v>
      </c>
      <c r="I41">
        <f t="shared" si="6"/>
        <v>0.79999999999995453</v>
      </c>
      <c r="J41">
        <f t="shared" si="7"/>
        <v>1.2500000000000711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1.2E-2</v>
      </c>
      <c r="C42" s="75">
        <f t="shared" si="2"/>
        <v>0</v>
      </c>
      <c r="D42" s="66">
        <f t="shared" si="3"/>
        <v>1.2E-2</v>
      </c>
      <c r="E42">
        <f>COUNTIF(tables_572106!C:C,input_572106!A42)-COUNTIF(Q:Q,A42)</f>
        <v>8</v>
      </c>
      <c r="F42" s="37">
        <f>IFERROR(B42/E42,0)</f>
        <v>1.5E-3</v>
      </c>
      <c r="G42">
        <f t="shared" si="4"/>
        <v>10368</v>
      </c>
      <c r="H42">
        <f t="shared" si="5"/>
        <v>1296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1.3333333333333333E-3</v>
      </c>
      <c r="C43" s="75">
        <f t="shared" si="2"/>
        <v>0</v>
      </c>
      <c r="D43" s="66">
        <f t="shared" si="3"/>
        <v>1.3333333333333333E-3</v>
      </c>
      <c r="E43">
        <f>COUNTIF(tables_572106!C:C,input_572106!A43)-COUNTIF(Q:Q,A43)</f>
        <v>8</v>
      </c>
      <c r="F43" s="37">
        <f t="shared" ref="F43:F46" si="10">IFERROR(B43/E43,0)</f>
        <v>1.6666666666666666E-4</v>
      </c>
      <c r="G43">
        <f t="shared" si="4"/>
        <v>1152</v>
      </c>
      <c r="H43">
        <f t="shared" si="5"/>
        <v>144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1.6666666666666666E-2</v>
      </c>
      <c r="C44" s="75">
        <f t="shared" si="2"/>
        <v>0</v>
      </c>
      <c r="D44" s="66">
        <f t="shared" si="3"/>
        <v>1.6666666666666666E-2</v>
      </c>
      <c r="E44">
        <f>COUNTIF(tables_572106!C:C,input_572106!A44)-COUNTIF(Q:Q,A44)</f>
        <v>10</v>
      </c>
      <c r="F44" s="37">
        <f t="shared" si="10"/>
        <v>1.6666666666666666E-3</v>
      </c>
      <c r="G44">
        <f t="shared" si="4"/>
        <v>14400</v>
      </c>
      <c r="H44">
        <f t="shared" si="5"/>
        <v>1440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COUNTIF(tables_572106!C:C,input_572106!A45)-COUNTIF(Q:Q,A45)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0.02</v>
      </c>
      <c r="C46" s="75">
        <f t="shared" si="2"/>
        <v>0.02</v>
      </c>
      <c r="D46" s="66">
        <f t="shared" si="3"/>
        <v>0</v>
      </c>
      <c r="E46">
        <f>COUNTIF(tables_572106!C:C,input_572106!A46)-COUNTIF(Q:Q,A46)</f>
        <v>0</v>
      </c>
      <c r="F46" s="37">
        <f t="shared" si="10"/>
        <v>0</v>
      </c>
      <c r="G46">
        <f t="shared" si="4"/>
        <v>17280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0.02</v>
      </c>
      <c r="D47" s="36">
        <f t="shared" si="3"/>
        <v>0.98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  <c r="H49" s="92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47"/>
    </row>
    <row r="51" spans="1:8" x14ac:dyDescent="0.15">
      <c r="A51" s="26">
        <f>LCM(F5-I5,F7-I6)*1000*2*2</f>
        <v>864000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SUMIF(tables_572106!C:C,input_572106!A55,tables_572106!O:O)</f>
        <v>0</v>
      </c>
      <c r="C55" s="46">
        <f t="shared" ref="C55:C61" ca="1" si="11">B55/B$62</f>
        <v>0</v>
      </c>
      <c r="E55">
        <v>3</v>
      </c>
      <c r="F55">
        <f ca="1">SUMIF(tables_572106!J:J,input_572106!E55,tables_572106!O:O)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SUMIF(tables_572106!C:C,input_572106!A56,tables_572106!O:O)</f>
        <v>160704.00000000012</v>
      </c>
      <c r="C56" s="46">
        <f t="shared" ca="1" si="11"/>
        <v>0.86885813148788937</v>
      </c>
      <c r="E56">
        <v>4</v>
      </c>
      <c r="F56">
        <f ca="1">SUMIF(tables_572106!J:J,input_572106!E56,tables_572106!O:O)</f>
        <v>777600.00002000015</v>
      </c>
      <c r="G56">
        <f ca="1">F56/A51</f>
        <v>0.90000000002314828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SUMIF(tables_572106!C:C,input_572106!A57,tables_572106!O:O)</f>
        <v>5760</v>
      </c>
      <c r="C57" s="46">
        <f t="shared" ca="1" si="11"/>
        <v>3.1141868512110708E-2</v>
      </c>
      <c r="E57">
        <v>5</v>
      </c>
      <c r="F57">
        <f ca="1">SUMIF(tables_572106!J:J,input_572106!E57,tables_572106!O:O)</f>
        <v>86399.999940000009</v>
      </c>
      <c r="G57">
        <f ca="1">F57/A51</f>
        <v>9.9999999930555569E-2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SUMIF(tables_572106!C:C,input_572106!A58,tables_572106!O:O)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SUMIF(tables_572106!C:C,input_572106!A59,tables_572106!O:O)</f>
        <v>17855.999999999996</v>
      </c>
      <c r="C59" s="46">
        <f t="shared" ca="1" si="11"/>
        <v>9.6539792387543177E-2</v>
      </c>
      <c r="E59" t="s">
        <v>37</v>
      </c>
      <c r="F59" s="47"/>
    </row>
    <row r="60" spans="1:8" x14ac:dyDescent="0.15">
      <c r="A60" s="27" t="s">
        <v>91</v>
      </c>
      <c r="B60">
        <f ca="1">SUMIF(tables_572106!C:C,input_572106!A60,tables_572106!O:O)</f>
        <v>640</v>
      </c>
      <c r="C60" s="46">
        <f t="shared" ca="1" si="11"/>
        <v>3.4602076124567453E-3</v>
      </c>
      <c r="E60" t="s">
        <v>190</v>
      </c>
      <c r="F60" s="47">
        <f ca="1">SUMIF(tables_572106!I:I,input_572106!E60,tables_572106!P:P)</f>
        <v>0.21031748119029237</v>
      </c>
    </row>
    <row r="61" spans="1:8" x14ac:dyDescent="0.15">
      <c r="A61" s="27" t="s">
        <v>92</v>
      </c>
      <c r="B61">
        <f>SUMIF(tables_572106!C:C,input_572106!A61,tables_572106!O:O)</f>
        <v>0</v>
      </c>
      <c r="C61" s="46">
        <f t="shared" ca="1" si="11"/>
        <v>0</v>
      </c>
      <c r="E61" t="s">
        <v>191</v>
      </c>
      <c r="F61" s="47">
        <f ca="1">SUMIF(tables_572106!I:I,input_572106!E61,tables_572106!P:P)</f>
        <v>0.18891666667541285</v>
      </c>
    </row>
    <row r="62" spans="1:8" x14ac:dyDescent="0.15">
      <c r="A62" s="33" t="s">
        <v>42</v>
      </c>
      <c r="B62">
        <f ca="1">SUM(B55:B61)</f>
        <v>184960.00000000012</v>
      </c>
      <c r="C62" s="47">
        <f ca="1">SUM(C55:C61)</f>
        <v>1</v>
      </c>
      <c r="E62" t="s">
        <v>192</v>
      </c>
      <c r="F62" s="47">
        <f ca="1">SUMIF(tables_572106!I:I,input_572106!E62,tables_572106!P:P)</f>
        <v>0.53076585213105387</v>
      </c>
    </row>
    <row r="63" spans="1:8" x14ac:dyDescent="0.15">
      <c r="E63" t="s">
        <v>193</v>
      </c>
      <c r="F63" s="104">
        <f ca="1">SUMIF(tables_572106!I:I,input_572106!E63,tables_572106!P:P)</f>
        <v>4.4074074076114481E-2</v>
      </c>
      <c r="G63" s="84"/>
    </row>
    <row r="64" spans="1:8" x14ac:dyDescent="0.15">
      <c r="E64" t="s">
        <v>253</v>
      </c>
      <c r="F64" s="104">
        <f ca="1">SUMIF(tables_572106!I:I,input_572106!E64,tables_572106!P:P)</f>
        <v>5.9259259262002704E-3</v>
      </c>
    </row>
    <row r="65" spans="5:6" x14ac:dyDescent="0.15">
      <c r="E65" t="s">
        <v>255</v>
      </c>
      <c r="F65" s="104">
        <f ca="1">SUMIF(tables_572106!I:I,input_572106!E65,tables_572106!P:P)</f>
        <v>2.0000000000925916E-2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6"/>
  <sheetViews>
    <sheetView showGridLines="0" zoomScale="70" zoomScaleNormal="70" zoomScalePageLayoutView="70" workbookViewId="0">
      <pane ySplit="1" topLeftCell="A324" activePane="bottomLeft" state="frozen"/>
      <selection activeCell="B13" sqref="B13"/>
      <selection pane="bottomLeft" activeCell="G1" sqref="G1:G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input_572106!A$2</f>
        <v>572106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">
        <v>35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IFERROR(VLOOKUP(B2,input_572106!L:R,7,FALSE),VLOOKUP(tables_572106!C2,input_572106!A:H,8,FALSE))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input_572106!A$2</f>
        <v>572106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">
        <v>35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IFERROR(VLOOKUP(B3,input_572106!L:R,7,FALSE),VLOOKUP(tables_572106!C3,input_572106!A:H,8,FALSE))</f>
        <v>21211.200000000001</v>
      </c>
      <c r="P3" s="40">
        <f t="shared" ca="1" si="1"/>
        <v>2.4550000001136565E-2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input_572106!A$2</f>
        <v>572106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IFERROR(VLOOKUP(B4,input_572106!L:R,7,FALSE),VLOOKUP(tables_572106!C4,input_572106!A:H,8,FALSE))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input_572106!A$2</f>
        <v>572106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IFERROR(VLOOKUP(B5,input_572106!L:R,7,FALSE),VLOOKUP(tables_572106!C5,input_572106!A:H,8,FALSE))</f>
        <v>4924.8</v>
      </c>
      <c r="P5" s="40">
        <f t="shared" ca="1" si="1"/>
        <v>5.7000000002638863E-3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input_572106!A$2</f>
        <v>572106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IFERROR(VLOOKUP(B6,input_572106!L:R,7,FALSE),VLOOKUP(tables_572106!C6,input_572106!A:H,8,FALSE))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input_572106!A$2</f>
        <v>572106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IFERROR(VLOOKUP(B7,input_572106!L:R,7,FALSE),VLOOKUP(tables_572106!C7,input_572106!A:H,8,FALSE))</f>
        <v>4924.8</v>
      </c>
      <c r="P7" s="40">
        <f t="shared" ca="1" si="1"/>
        <v>5.7000000002638863E-3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input_572106!A$2</f>
        <v>572106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IFERROR(VLOOKUP(B8,input_572106!L:R,7,FALSE),VLOOKUP(tables_572106!C8,input_572106!A:H,8,FALSE))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input_572106!A$2</f>
        <v>572106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IFERROR(VLOOKUP(B9,input_572106!L:R,7,FALSE),VLOOKUP(tables_572106!C9,input_572106!A:H,8,FALSE))</f>
        <v>4924.8</v>
      </c>
      <c r="P9" s="40">
        <f t="shared" ca="1" si="1"/>
        <v>5.7000000002638863E-3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input_572106!A$2</f>
        <v>572106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">
        <v>35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IFERROR(VLOOKUP(B10,input_572106!L:R,7,FALSE),VLOOKUP(tables_572106!C10,input_572106!A:H,8,FALSE))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input_572106!A$2</f>
        <v>572106</v>
      </c>
      <c r="B11" s="8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">
        <v>35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IFERROR(VLOOKUP(B11,input_572106!L:R,7,FALSE),VLOOKUP(tables_572106!C11,input_572106!A:H,8,FALSE))</f>
        <v>21211.200000000001</v>
      </c>
      <c r="P11" s="40">
        <f t="shared" ca="1" si="1"/>
        <v>2.4550000001136565E-2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input_572106!A$2</f>
        <v>572106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IFERROR(VLOOKUP(B12,input_572106!L:R,7,FALSE),VLOOKUP(tables_572106!C12,input_572106!A:H,8,FALSE))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input_572106!A$2</f>
        <v>572106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IFERROR(VLOOKUP(B13,input_572106!L:R,7,FALSE),VLOOKUP(tables_572106!C13,input_572106!A:H,8,FALSE))</f>
        <v>4924.8</v>
      </c>
      <c r="P13" s="40">
        <f t="shared" ca="1" si="1"/>
        <v>5.7000000002638863E-3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input_572106!A$2</f>
        <v>572106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IFERROR(VLOOKUP(B14,input_572106!L:R,7,FALSE),VLOOKUP(tables_572106!C14,input_572106!A:H,8,FALSE))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input_572106!A$2</f>
        <v>572106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IFERROR(VLOOKUP(B15,input_572106!L:R,7,FALSE),VLOOKUP(tables_572106!C15,input_572106!A:H,8,FALSE))</f>
        <v>4924.8</v>
      </c>
      <c r="P15" s="40">
        <f t="shared" ca="1" si="1"/>
        <v>5.7000000002638863E-3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input_572106!A$2</f>
        <v>572106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IFERROR(VLOOKUP(B16,input_572106!L:R,7,FALSE),VLOOKUP(tables_572106!C16,input_572106!A:H,8,FALSE))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input_572106!A$2</f>
        <v>572106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IFERROR(VLOOKUP(B17,input_572106!L:R,7,FALSE),VLOOKUP(tables_572106!C17,input_572106!A:H,8,FALSE))</f>
        <v>4924.8</v>
      </c>
      <c r="P17" s="40">
        <f t="shared" ca="1" si="1"/>
        <v>5.7000000002638863E-3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input_572106!A$2</f>
        <v>572106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">
        <v>35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IFERROR(VLOOKUP(B18,input_572106!L:R,7,FALSE),VLOOKUP(tables_572106!C18,input_572106!A:H,8,FALSE))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input_572106!A$2</f>
        <v>572106</v>
      </c>
      <c r="B19" s="10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">
        <v>35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IFERROR(VLOOKUP(B19,input_572106!L:R,7,FALSE),VLOOKUP(tables_572106!C19,input_572106!A:H,8,FALSE))</f>
        <v>21211.200000000001</v>
      </c>
      <c r="P19" s="40">
        <f t="shared" ca="1" si="1"/>
        <v>2.4550000001136565E-2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input_572106!A$2</f>
        <v>572106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IFERROR(VLOOKUP(B20,input_572106!L:R,7,FALSE),VLOOKUP(tables_572106!C20,input_572106!A:H,8,FALSE))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input_572106!A$2</f>
        <v>572106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IFERROR(VLOOKUP(B21,input_572106!L:R,7,FALSE),VLOOKUP(tables_572106!C21,input_572106!A:H,8,FALSE))</f>
        <v>4924.8</v>
      </c>
      <c r="P21" s="40">
        <f t="shared" ca="1" si="1"/>
        <v>5.7000000002638863E-3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input_572106!A$2</f>
        <v>572106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IFERROR(VLOOKUP(B22,input_572106!L:R,7,FALSE),VLOOKUP(tables_572106!C22,input_572106!A:H,8,FALSE))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input_572106!A$2</f>
        <v>572106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IFERROR(VLOOKUP(B23,input_572106!L:R,7,FALSE),VLOOKUP(tables_572106!C23,input_572106!A:H,8,FALSE))</f>
        <v>4924.8</v>
      </c>
      <c r="P23" s="40">
        <f t="shared" ca="1" si="1"/>
        <v>5.7000000002638863E-3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input_572106!A$2</f>
        <v>572106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IFERROR(VLOOKUP(B24,input_572106!L:R,7,FALSE),VLOOKUP(tables_572106!C24,input_572106!A:H,8,FALSE))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input_572106!A$2</f>
        <v>572106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IFERROR(VLOOKUP(B25,input_572106!L:R,7,FALSE),VLOOKUP(tables_572106!C25,input_572106!A:H,8,FALSE))</f>
        <v>4924.8</v>
      </c>
      <c r="P25" s="40">
        <f t="shared" ca="1" si="1"/>
        <v>5.7000000002638863E-3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input_572106!A$2</f>
        <v>572106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">
        <v>35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IFERROR(VLOOKUP(B26,input_572106!L:R,7,FALSE),VLOOKUP(tables_572106!C26,input_572106!A:H,8,FALSE))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input_572106!A$2</f>
        <v>572106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">
        <v>35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IFERROR(VLOOKUP(B27,input_572106!L:R,7,FALSE),VLOOKUP(tables_572106!C27,input_572106!A:H,8,FALSE))</f>
        <v>21211.200000000001</v>
      </c>
      <c r="P27" s="40">
        <f t="shared" ca="1" si="1"/>
        <v>2.4550000001136565E-2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input_572106!A$2</f>
        <v>572106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IFERROR(VLOOKUP(B28,input_572106!L:R,7,FALSE),VLOOKUP(tables_572106!C28,input_572106!A:H,8,FALSE))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input_572106!A$2</f>
        <v>572106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IFERROR(VLOOKUP(B29,input_572106!L:R,7,FALSE),VLOOKUP(tables_572106!C29,input_572106!A:H,8,FALSE))</f>
        <v>4924.8</v>
      </c>
      <c r="P29" s="40">
        <f t="shared" ca="1" si="1"/>
        <v>5.7000000002638863E-3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input_572106!A$2</f>
        <v>572106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IFERROR(VLOOKUP(B30,input_572106!L:R,7,FALSE),VLOOKUP(tables_572106!C30,input_572106!A:H,8,FALSE))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input_572106!A$2</f>
        <v>572106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IFERROR(VLOOKUP(B31,input_572106!L:R,7,FALSE),VLOOKUP(tables_572106!C31,input_572106!A:H,8,FALSE))</f>
        <v>4924.8</v>
      </c>
      <c r="P31" s="40">
        <f t="shared" ca="1" si="1"/>
        <v>5.7000000002638863E-3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input_572106!A$2</f>
        <v>572106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IFERROR(VLOOKUP(B32,input_572106!L:R,7,FALSE),VLOOKUP(tables_572106!C32,input_572106!A:H,8,FALSE))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input_572106!A$2</f>
        <v>572106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IFERROR(VLOOKUP(B33,input_572106!L:R,7,FALSE),VLOOKUP(tables_572106!C33,input_572106!A:H,8,FALSE))</f>
        <v>4924.8</v>
      </c>
      <c r="P33" s="40">
        <f t="shared" ca="1" si="1"/>
        <v>5.7000000002638863E-3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input_572106!A$2</f>
        <v>572106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">
        <v>35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IFERROR(VLOOKUP(B34,input_572106!L:R,7,FALSE),VLOOKUP(tables_572106!C34,input_572106!A:H,8,FALSE))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input_572106!A$2</f>
        <v>572106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">
        <v>35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IFERROR(VLOOKUP(B35,input_572106!L:R,7,FALSE),VLOOKUP(tables_572106!C35,input_572106!A:H,8,FALSE))</f>
        <v>21211.200000000001</v>
      </c>
      <c r="P35" s="40">
        <f t="shared" ca="1" si="1"/>
        <v>2.4550000001136565E-2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input_572106!A$2</f>
        <v>572106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IFERROR(VLOOKUP(B36,input_572106!L:R,7,FALSE),VLOOKUP(tables_572106!C36,input_572106!A:H,8,FALSE))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input_572106!A$2</f>
        <v>572106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IFERROR(VLOOKUP(B37,input_572106!L:R,7,FALSE),VLOOKUP(tables_572106!C37,input_572106!A:H,8,FALSE))</f>
        <v>4924.8</v>
      </c>
      <c r="P37" s="40">
        <f t="shared" ca="1" si="1"/>
        <v>5.7000000002638863E-3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input_572106!A$2</f>
        <v>572106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IFERROR(VLOOKUP(B38,input_572106!L:R,7,FALSE),VLOOKUP(tables_572106!C38,input_572106!A:H,8,FALSE))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input_572106!A$2</f>
        <v>572106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IFERROR(VLOOKUP(B39,input_572106!L:R,7,FALSE),VLOOKUP(tables_572106!C39,input_572106!A:H,8,FALSE))</f>
        <v>4924.8</v>
      </c>
      <c r="P39" s="40">
        <f t="shared" ca="1" si="1"/>
        <v>5.7000000002638863E-3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input_572106!A$2</f>
        <v>572106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IFERROR(VLOOKUP(B40,input_572106!L:R,7,FALSE),VLOOKUP(tables_572106!C40,input_572106!A:H,8,FALSE))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input_572106!A$2</f>
        <v>572106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IFERROR(VLOOKUP(B41,input_572106!L:R,7,FALSE),VLOOKUP(tables_572106!C41,input_572106!A:H,8,FALSE))</f>
        <v>4924.8</v>
      </c>
      <c r="P41" s="40">
        <f t="shared" ca="1" si="1"/>
        <v>5.7000000002638863E-3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input_572106!A$2</f>
        <v>572106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">
        <v>35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IFERROR(VLOOKUP(B42,input_572106!L:R,7,FALSE),VLOOKUP(tables_572106!C42,input_572106!A:H,8,FALSE))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input_572106!A$2</f>
        <v>572106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">
        <v>35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IFERROR(VLOOKUP(B43,input_572106!L:R,7,FALSE),VLOOKUP(tables_572106!C43,input_572106!A:H,8,FALSE))</f>
        <v>18079.2</v>
      </c>
      <c r="P43" s="40">
        <f t="shared" ca="1" si="1"/>
        <v>2.0925000000968742E-2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input_572106!A$2</f>
        <v>572106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">
        <v>35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IFERROR(VLOOKUP(B44,input_572106!L:R,7,FALSE),VLOOKUP(tables_572106!C44,input_572106!A:H,8,FALSE))</f>
        <v>2008.8</v>
      </c>
      <c r="P44" s="40">
        <f t="shared" ca="1" si="1"/>
        <v>2.3250000001076377E-3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input_572106!A$2</f>
        <v>572106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IFERROR(VLOOKUP(B45,input_572106!L:R,7,FALSE),VLOOKUP(tables_572106!C45,input_572106!A:H,8,FALSE))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input_572106!A$2</f>
        <v>572106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IFERROR(VLOOKUP(B46,input_572106!L:R,7,FALSE),VLOOKUP(tables_572106!C46,input_572106!A:H,8,FALSE))</f>
        <v>4017.6</v>
      </c>
      <c r="P46" s="40">
        <f t="shared" ca="1" si="1"/>
        <v>4.6500000002152753E-3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input_572106!A$2</f>
        <v>572106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IFERROR(VLOOKUP(B47,input_572106!L:R,7,FALSE),VLOOKUP(tables_572106!C47,input_572106!A:H,8,FALSE))</f>
        <v>446.4</v>
      </c>
      <c r="P47" s="40">
        <f t="shared" ca="1" si="1"/>
        <v>5.1666666669058614E-4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input_572106!A$2</f>
        <v>572106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IFERROR(VLOOKUP(B48,input_572106!L:R,7,FALSE),VLOOKUP(tables_572106!C48,input_572106!A:H,8,FALSE))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input_572106!A$2</f>
        <v>572106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IFERROR(VLOOKUP(B49,input_572106!L:R,7,FALSE),VLOOKUP(tables_572106!C49,input_572106!A:H,8,FALSE))</f>
        <v>4017.6</v>
      </c>
      <c r="P49" s="40">
        <f t="shared" ca="1" si="1"/>
        <v>4.6500000002152753E-3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input_572106!A$2</f>
        <v>572106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IFERROR(VLOOKUP(B50,input_572106!L:R,7,FALSE),VLOOKUP(tables_572106!C50,input_572106!A:H,8,FALSE))</f>
        <v>446.4</v>
      </c>
      <c r="P50" s="40">
        <f t="shared" ca="1" si="1"/>
        <v>5.1666666669058614E-4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input_572106!A$2</f>
        <v>572106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IFERROR(VLOOKUP(B51,input_572106!L:R,7,FALSE),VLOOKUP(tables_572106!C51,input_572106!A:H,8,FALSE))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input_572106!A$2</f>
        <v>572106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IFERROR(VLOOKUP(B52,input_572106!L:R,7,FALSE),VLOOKUP(tables_572106!C52,input_572106!A:H,8,FALSE))</f>
        <v>4017.6</v>
      </c>
      <c r="P52" s="40">
        <f t="shared" ca="1" si="1"/>
        <v>4.6500000002152753E-3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input_572106!A$2</f>
        <v>572106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IFERROR(VLOOKUP(B53,input_572106!L:R,7,FALSE),VLOOKUP(tables_572106!C53,input_572106!A:H,8,FALSE))</f>
        <v>446.4</v>
      </c>
      <c r="P53" s="40">
        <f t="shared" ca="1" si="1"/>
        <v>5.1666666669058614E-4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input_572106!A$2</f>
        <v>572106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">
        <v>35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IFERROR(VLOOKUP(B54,input_572106!L:R,7,FALSE),VLOOKUP(tables_572106!C54,input_572106!A:H,8,FALSE))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input_572106!A$2</f>
        <v>572106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">
        <v>35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IFERROR(VLOOKUP(B55,input_572106!L:R,7,FALSE),VLOOKUP(tables_572106!C55,input_572106!A:H,8,FALSE))</f>
        <v>18079.2</v>
      </c>
      <c r="P55" s="40">
        <f t="shared" ca="1" si="1"/>
        <v>2.0925000000968742E-2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input_572106!A$2</f>
        <v>572106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">
        <v>35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IFERROR(VLOOKUP(B56,input_572106!L:R,7,FALSE),VLOOKUP(tables_572106!C56,input_572106!A:H,8,FALSE))</f>
        <v>964.8</v>
      </c>
      <c r="P56" s="40">
        <f t="shared" ca="1" si="1"/>
        <v>1.1166666667183636E-3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input_572106!A$2</f>
        <v>572106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IFERROR(VLOOKUP(B57,input_572106!L:R,7,FALSE),VLOOKUP(tables_572106!C57,input_572106!A:H,8,FALSE))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input_572106!A$2</f>
        <v>572106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IFERROR(VLOOKUP(B58,input_572106!L:R,7,FALSE),VLOOKUP(tables_572106!C58,input_572106!A:H,8,FALSE))</f>
        <v>4017.6</v>
      </c>
      <c r="P58" s="40">
        <f t="shared" ca="1" si="1"/>
        <v>4.6500000002152753E-3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input_572106!A$2</f>
        <v>572106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IFERROR(VLOOKUP(B59,input_572106!L:R,7,FALSE),VLOOKUP(tables_572106!C59,input_572106!A:H,8,FALSE))</f>
        <v>446.4</v>
      </c>
      <c r="P59" s="40">
        <f t="shared" ca="1" si="1"/>
        <v>5.1666666669058614E-4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input_572106!A$2</f>
        <v>572106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IFERROR(VLOOKUP(B60,input_572106!L:R,7,FALSE),VLOOKUP(tables_572106!C60,input_572106!A:H,8,FALSE))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input_572106!A$2</f>
        <v>572106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IFERROR(VLOOKUP(B61,input_572106!L:R,7,FALSE),VLOOKUP(tables_572106!C61,input_572106!A:H,8,FALSE))</f>
        <v>4017.6</v>
      </c>
      <c r="P61" s="40">
        <f t="shared" ca="1" si="1"/>
        <v>4.6500000002152753E-3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input_572106!A$2</f>
        <v>572106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IFERROR(VLOOKUP(B62,input_572106!L:R,7,FALSE),VLOOKUP(tables_572106!C62,input_572106!A:H,8,FALSE))</f>
        <v>446.4</v>
      </c>
      <c r="P62" s="40">
        <f t="shared" ca="1" si="1"/>
        <v>5.1666666669058614E-4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input_572106!A$2</f>
        <v>572106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IFERROR(VLOOKUP(B63,input_572106!L:R,7,FALSE),VLOOKUP(tables_572106!C63,input_572106!A:H,8,FALSE))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input_572106!A$2</f>
        <v>572106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IFERROR(VLOOKUP(B64,input_572106!L:R,7,FALSE),VLOOKUP(tables_572106!C64,input_572106!A:H,8,FALSE))</f>
        <v>4017.6</v>
      </c>
      <c r="P64" s="40">
        <f t="shared" ca="1" si="1"/>
        <v>4.6500000002152753E-3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input_572106!A$2</f>
        <v>572106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IFERROR(VLOOKUP(B65,input_572106!L:R,7,FALSE),VLOOKUP(tables_572106!C65,input_572106!A:H,8,FALSE))</f>
        <v>446.4</v>
      </c>
      <c r="P65" s="40">
        <f t="shared" ca="1" si="1"/>
        <v>5.1666666669058614E-4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input_572106!A$2</f>
        <v>572106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">
        <v>35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IFERROR(VLOOKUP(B66,input_572106!L:R,7,FALSE),VLOOKUP(tables_572106!C66,input_572106!A:H,8,FALSE))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input_572106!A$2</f>
        <v>572106</v>
      </c>
      <c r="B67" s="6">
        <v>191</v>
      </c>
      <c r="C67" s="7" t="str">
        <f t="shared" si="3"/>
        <v>Premium4color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">
        <v>35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IFERROR(VLOOKUP(B67,input_572106!L:R,7,FALSE),VLOOKUP(tables_572106!C67,input_572106!A:H,8,FALSE))</f>
        <v>18079.2</v>
      </c>
      <c r="P67" s="40">
        <f t="shared" ca="1" si="4"/>
        <v>2.0925000000968742E-2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input_572106!A$2</f>
        <v>572106</v>
      </c>
      <c r="B68" s="6">
        <v>192</v>
      </c>
      <c r="C68" s="7" t="str">
        <f t="shared" si="3"/>
        <v>Premium5color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">
        <v>35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IFERROR(VLOOKUP(B68,input_572106!L:R,7,FALSE),VLOOKUP(tables_572106!C68,input_572106!A:H,8,FALSE))</f>
        <v>964.8</v>
      </c>
      <c r="P68" s="40">
        <f t="shared" ca="1" si="4"/>
        <v>1.1166666667183636E-3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input_572106!A$2</f>
        <v>572106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IFERROR(VLOOKUP(B69,input_572106!L:R,7,FALSE),VLOOKUP(tables_572106!C69,input_572106!A:H,8,FALSE))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input_572106!A$2</f>
        <v>572106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IFERROR(VLOOKUP(B70,input_572106!L:R,7,FALSE),VLOOKUP(tables_572106!C70,input_572106!A:H,8,FALSE))</f>
        <v>4017.6</v>
      </c>
      <c r="P70" s="40">
        <f t="shared" ca="1" si="4"/>
        <v>4.6500000002152753E-3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input_572106!A$2</f>
        <v>572106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IFERROR(VLOOKUP(B71,input_572106!L:R,7,FALSE),VLOOKUP(tables_572106!C71,input_572106!A:H,8,FALSE))</f>
        <v>446.4</v>
      </c>
      <c r="P71" s="40">
        <f t="shared" ca="1" si="4"/>
        <v>5.1666666669058614E-4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input_572106!A$2</f>
        <v>572106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IFERROR(VLOOKUP(B72,input_572106!L:R,7,FALSE),VLOOKUP(tables_572106!C72,input_572106!A:H,8,FALSE))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input_572106!A$2</f>
        <v>572106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IFERROR(VLOOKUP(B73,input_572106!L:R,7,FALSE),VLOOKUP(tables_572106!C73,input_572106!A:H,8,FALSE))</f>
        <v>4017.6</v>
      </c>
      <c r="P73" s="40">
        <f t="shared" ca="1" si="4"/>
        <v>4.6500000002152753E-3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input_572106!A$2</f>
        <v>572106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IFERROR(VLOOKUP(B74,input_572106!L:R,7,FALSE),VLOOKUP(tables_572106!C74,input_572106!A:H,8,FALSE))</f>
        <v>446.4</v>
      </c>
      <c r="P74" s="40">
        <f t="shared" ca="1" si="4"/>
        <v>5.1666666669058614E-4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input_572106!A$2</f>
        <v>572106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IFERROR(VLOOKUP(B75,input_572106!L:R,7,FALSE),VLOOKUP(tables_572106!C75,input_572106!A:H,8,FALSE))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input_572106!A$2</f>
        <v>572106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IFERROR(VLOOKUP(B76,input_572106!L:R,7,FALSE),VLOOKUP(tables_572106!C76,input_572106!A:H,8,FALSE))</f>
        <v>4017.6</v>
      </c>
      <c r="P76" s="40">
        <f t="shared" ca="1" si="4"/>
        <v>4.6500000002152753E-3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input_572106!A$2</f>
        <v>572106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IFERROR(VLOOKUP(B77,input_572106!L:R,7,FALSE),VLOOKUP(tables_572106!C77,input_572106!A:H,8,FALSE))</f>
        <v>446.4</v>
      </c>
      <c r="P77" s="40">
        <f t="shared" ca="1" si="4"/>
        <v>5.1666666669058614E-4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input_572106!A$2</f>
        <v>572106</v>
      </c>
      <c r="B78" s="5">
        <v>202</v>
      </c>
      <c r="C78" s="7" t="str">
        <f t="shared" si="3"/>
        <v>Premium3color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">
        <v>35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IFERROR(VLOOKUP(B78,input_572106!L:R,7,FALSE),VLOOKUP(tables_572106!C78,input_572106!A:H,8,FALSE))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input_572106!A$2</f>
        <v>572106</v>
      </c>
      <c r="B79" s="5">
        <v>203</v>
      </c>
      <c r="C79" s="7" t="str">
        <f t="shared" si="3"/>
        <v>Premium4color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">
        <v>35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IFERROR(VLOOKUP(B79,input_572106!L:R,7,FALSE),VLOOKUP(tables_572106!C79,input_572106!A:H,8,FALSE))</f>
        <v>18079.2</v>
      </c>
      <c r="P79" s="40">
        <f t="shared" ca="1" si="4"/>
        <v>2.0925000000968742E-2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input_572106!A$2</f>
        <v>572106</v>
      </c>
      <c r="B80" s="5">
        <v>204</v>
      </c>
      <c r="C80" s="7" t="str">
        <f t="shared" si="3"/>
        <v>Premium5color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">
        <v>35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IFERROR(VLOOKUP(B80,input_572106!L:R,7,FALSE),VLOOKUP(tables_572106!C80,input_572106!A:H,8,FALSE))</f>
        <v>964.8</v>
      </c>
      <c r="P80" s="40">
        <f t="shared" ca="1" si="4"/>
        <v>1.1166666667183636E-3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input_572106!A$2</f>
        <v>572106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IFERROR(VLOOKUP(B81,input_572106!L:R,7,FALSE),VLOOKUP(tables_572106!C81,input_572106!A:H,8,FALSE))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input_572106!A$2</f>
        <v>572106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IFERROR(VLOOKUP(B82,input_572106!L:R,7,FALSE),VLOOKUP(tables_572106!C82,input_572106!A:H,8,FALSE))</f>
        <v>4017.6</v>
      </c>
      <c r="P82" s="40">
        <f t="shared" ca="1" si="4"/>
        <v>4.6500000002152753E-3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input_572106!A$2</f>
        <v>572106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IFERROR(VLOOKUP(B83,input_572106!L:R,7,FALSE),VLOOKUP(tables_572106!C83,input_572106!A:H,8,FALSE))</f>
        <v>446.4</v>
      </c>
      <c r="P83" s="40">
        <f t="shared" ca="1" si="4"/>
        <v>5.1666666669058614E-4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input_572106!A$2</f>
        <v>572106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IFERROR(VLOOKUP(B84,input_572106!L:R,7,FALSE),VLOOKUP(tables_572106!C84,input_572106!A:H,8,FALSE))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input_572106!A$2</f>
        <v>572106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IFERROR(VLOOKUP(B85,input_572106!L:R,7,FALSE),VLOOKUP(tables_572106!C85,input_572106!A:H,8,FALSE))</f>
        <v>4017.6</v>
      </c>
      <c r="P85" s="40">
        <f t="shared" ca="1" si="4"/>
        <v>4.6500000002152753E-3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input_572106!A$2</f>
        <v>572106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IFERROR(VLOOKUP(B86,input_572106!L:R,7,FALSE),VLOOKUP(tables_572106!C86,input_572106!A:H,8,FALSE))</f>
        <v>446.4</v>
      </c>
      <c r="P86" s="40">
        <f t="shared" ca="1" si="4"/>
        <v>5.1666666669058614E-4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input_572106!A$2</f>
        <v>572106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IFERROR(VLOOKUP(B87,input_572106!L:R,7,FALSE),VLOOKUP(tables_572106!C87,input_572106!A:H,8,FALSE))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input_572106!A$2</f>
        <v>572106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IFERROR(VLOOKUP(B88,input_572106!L:R,7,FALSE),VLOOKUP(tables_572106!C88,input_572106!A:H,8,FALSE))</f>
        <v>4017.6</v>
      </c>
      <c r="P88" s="40">
        <f t="shared" ca="1" si="4"/>
        <v>4.6500000002152753E-3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input_572106!A$2</f>
        <v>572106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IFERROR(VLOOKUP(B89,input_572106!L:R,7,FALSE),VLOOKUP(tables_572106!C89,input_572106!A:H,8,FALSE))</f>
        <v>446.4</v>
      </c>
      <c r="P89" s="40">
        <f t="shared" ca="1" si="4"/>
        <v>5.1666666669058614E-4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input_572106!A$2</f>
        <v>572106</v>
      </c>
      <c r="B90" s="5">
        <v>214</v>
      </c>
      <c r="C90" s="7" t="str">
        <f t="shared" si="3"/>
        <v>Premium3color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">
        <v>35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IFERROR(VLOOKUP(B90,input_572106!L:R,7,FALSE),VLOOKUP(tables_572106!C90,input_572106!A:H,8,FALSE))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input_572106!A$2</f>
        <v>572106</v>
      </c>
      <c r="B91" s="5">
        <v>215</v>
      </c>
      <c r="C91" s="7" t="str">
        <f t="shared" si="3"/>
        <v>Premium4color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">
        <v>35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IFERROR(VLOOKUP(B91,input_572106!L:R,7,FALSE),VLOOKUP(tables_572106!C91,input_572106!A:H,8,FALSE))</f>
        <v>18079.2</v>
      </c>
      <c r="P91" s="40">
        <f t="shared" ca="1" si="4"/>
        <v>2.0925000000968742E-2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input_572106!A$2</f>
        <v>572106</v>
      </c>
      <c r="B92" s="5">
        <v>216</v>
      </c>
      <c r="C92" s="7" t="str">
        <f t="shared" si="3"/>
        <v>Premium5color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">
        <v>35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IFERROR(VLOOKUP(B92,input_572106!L:R,7,FALSE),VLOOKUP(tables_572106!C92,input_572106!A:H,8,FALSE))</f>
        <v>964.8</v>
      </c>
      <c r="P92" s="40">
        <f t="shared" ca="1" si="4"/>
        <v>1.1166666667183636E-3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input_572106!A$2</f>
        <v>572106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IFERROR(VLOOKUP(B93,input_572106!L:R,7,FALSE),VLOOKUP(tables_572106!C93,input_572106!A:H,8,FALSE))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input_572106!A$2</f>
        <v>572106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IFERROR(VLOOKUP(B94,input_572106!L:R,7,FALSE),VLOOKUP(tables_572106!C94,input_572106!A:H,8,FALSE))</f>
        <v>4017.6</v>
      </c>
      <c r="P94" s="40">
        <f t="shared" ca="1" si="4"/>
        <v>4.6500000002152753E-3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input_572106!A$2</f>
        <v>572106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IFERROR(VLOOKUP(B95,input_572106!L:R,7,FALSE),VLOOKUP(tables_572106!C95,input_572106!A:H,8,FALSE))</f>
        <v>446.4</v>
      </c>
      <c r="P95" s="40">
        <f t="shared" ca="1" si="4"/>
        <v>5.1666666669058614E-4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input_572106!A$2</f>
        <v>572106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IFERROR(VLOOKUP(B96,input_572106!L:R,7,FALSE),VLOOKUP(tables_572106!C96,input_572106!A:H,8,FALSE))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input_572106!A$2</f>
        <v>572106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IFERROR(VLOOKUP(B97,input_572106!L:R,7,FALSE),VLOOKUP(tables_572106!C97,input_572106!A:H,8,FALSE))</f>
        <v>4017.6</v>
      </c>
      <c r="P97" s="40">
        <f t="shared" ca="1" si="4"/>
        <v>4.6500000002152753E-3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input_572106!A$2</f>
        <v>572106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IFERROR(VLOOKUP(B98,input_572106!L:R,7,FALSE),VLOOKUP(tables_572106!C98,input_572106!A:H,8,FALSE))</f>
        <v>446.4</v>
      </c>
      <c r="P98" s="40">
        <f t="shared" ca="1" si="4"/>
        <v>5.1666666669058614E-4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input_572106!A$2</f>
        <v>572106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IFERROR(VLOOKUP(B99,input_572106!L:R,7,FALSE),VLOOKUP(tables_572106!C99,input_572106!A:H,8,FALSE))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input_572106!A$2</f>
        <v>572106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IFERROR(VLOOKUP(B100,input_572106!L:R,7,FALSE),VLOOKUP(tables_572106!C100,input_572106!A:H,8,FALSE))</f>
        <v>4017.6</v>
      </c>
      <c r="P100" s="40">
        <f t="shared" ca="1" si="4"/>
        <v>4.6500000002152753E-3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input_572106!A$2</f>
        <v>572106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IFERROR(VLOOKUP(B101,input_572106!L:R,7,FALSE),VLOOKUP(tables_572106!C101,input_572106!A:H,8,FALSE))</f>
        <v>446.4</v>
      </c>
      <c r="P101" s="40">
        <f t="shared" ca="1" si="4"/>
        <v>5.1666666669058614E-4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input_572106!A$2</f>
        <v>572106</v>
      </c>
      <c r="B102" s="5">
        <v>226</v>
      </c>
      <c r="C102" s="7" t="str">
        <f t="shared" si="3"/>
        <v>Premium3color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">
        <v>35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IFERROR(VLOOKUP(B102,input_572106!L:R,7,FALSE),VLOOKUP(tables_572106!C102,input_572106!A:H,8,FALSE))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input_572106!A$2</f>
        <v>572106</v>
      </c>
      <c r="B103" s="5">
        <v>227</v>
      </c>
      <c r="C103" s="7" t="str">
        <f t="shared" si="3"/>
        <v>Premium4color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">
        <v>35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IFERROR(VLOOKUP(B103,input_572106!L:R,7,FALSE),VLOOKUP(tables_572106!C103,input_572106!A:H,8,FALSE))</f>
        <v>18079.2</v>
      </c>
      <c r="P103" s="40">
        <f t="shared" ca="1" si="4"/>
        <v>2.0925000000968742E-2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input_572106!A$2</f>
        <v>572106</v>
      </c>
      <c r="B104" s="5">
        <v>228</v>
      </c>
      <c r="C104" s="7" t="str">
        <f t="shared" si="3"/>
        <v>Premium5color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">
        <v>35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IFERROR(VLOOKUP(B104,input_572106!L:R,7,FALSE),VLOOKUP(tables_572106!C104,input_572106!A:H,8,FALSE))</f>
        <v>964.8</v>
      </c>
      <c r="P104" s="40">
        <f t="shared" ca="1" si="4"/>
        <v>1.1166666667183636E-3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input_572106!A$2</f>
        <v>572106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IFERROR(VLOOKUP(B105,input_572106!L:R,7,FALSE),VLOOKUP(tables_572106!C105,input_572106!A:H,8,FALSE))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input_572106!A$2</f>
        <v>572106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IFERROR(VLOOKUP(B106,input_572106!L:R,7,FALSE),VLOOKUP(tables_572106!C106,input_572106!A:H,8,FALSE))</f>
        <v>4017.6</v>
      </c>
      <c r="P106" s="40">
        <f t="shared" ca="1" si="4"/>
        <v>4.6500000002152753E-3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input_572106!A$2</f>
        <v>572106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IFERROR(VLOOKUP(B107,input_572106!L:R,7,FALSE),VLOOKUP(tables_572106!C107,input_572106!A:H,8,FALSE))</f>
        <v>446.4</v>
      </c>
      <c r="P107" s="40">
        <f t="shared" ca="1" si="4"/>
        <v>5.1666666669058614E-4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input_572106!A$2</f>
        <v>572106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IFERROR(VLOOKUP(B108,input_572106!L:R,7,FALSE),VLOOKUP(tables_572106!C108,input_572106!A:H,8,FALSE))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input_572106!A$2</f>
        <v>572106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IFERROR(VLOOKUP(B109,input_572106!L:R,7,FALSE),VLOOKUP(tables_572106!C109,input_572106!A:H,8,FALSE))</f>
        <v>4017.6</v>
      </c>
      <c r="P109" s="40">
        <f t="shared" ca="1" si="4"/>
        <v>4.6500000002152753E-3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input_572106!A$2</f>
        <v>572106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IFERROR(VLOOKUP(B110,input_572106!L:R,7,FALSE),VLOOKUP(tables_572106!C110,input_572106!A:H,8,FALSE))</f>
        <v>446.4</v>
      </c>
      <c r="P110" s="40">
        <f t="shared" ca="1" si="4"/>
        <v>5.1666666669058614E-4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input_572106!A$2</f>
        <v>572106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IFERROR(VLOOKUP(B111,input_572106!L:R,7,FALSE),VLOOKUP(tables_572106!C111,input_572106!A:H,8,FALSE))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input_572106!A$2</f>
        <v>572106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IFERROR(VLOOKUP(B112,input_572106!L:R,7,FALSE),VLOOKUP(tables_572106!C112,input_572106!A:H,8,FALSE))</f>
        <v>4017.6</v>
      </c>
      <c r="P112" s="40">
        <f t="shared" ca="1" si="4"/>
        <v>4.6500000002152753E-3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input_572106!A$2</f>
        <v>572106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IFERROR(VLOOKUP(B113,input_572106!L:R,7,FALSE),VLOOKUP(tables_572106!C113,input_572106!A:H,8,FALSE))</f>
        <v>446.4</v>
      </c>
      <c r="P113" s="40">
        <f t="shared" ca="1" si="4"/>
        <v>5.1666666669058614E-4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input_572106!A$2</f>
        <v>572106</v>
      </c>
      <c r="B114" s="5">
        <v>238</v>
      </c>
      <c r="C114" s="7" t="str">
        <f t="shared" si="3"/>
        <v>Premium3color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">
        <v>35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IFERROR(VLOOKUP(B114,input_572106!L:R,7,FALSE),VLOOKUP(tables_572106!C114,input_572106!A:H,8,FALSE))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input_572106!A$2</f>
        <v>572106</v>
      </c>
      <c r="B115" s="5">
        <v>239</v>
      </c>
      <c r="C115" s="7" t="str">
        <f t="shared" si="3"/>
        <v>Premium4color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">
        <v>35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IFERROR(VLOOKUP(B115,input_572106!L:R,7,FALSE),VLOOKUP(tables_572106!C115,input_572106!A:H,8,FALSE))</f>
        <v>18079.2</v>
      </c>
      <c r="P115" s="40">
        <f t="shared" ca="1" si="4"/>
        <v>2.0925000000968742E-2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input_572106!A$2</f>
        <v>572106</v>
      </c>
      <c r="B116" s="5">
        <v>240</v>
      </c>
      <c r="C116" s="7" t="str">
        <f t="shared" si="3"/>
        <v>Premium5color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">
        <v>35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IFERROR(VLOOKUP(B116,input_572106!L:R,7,FALSE),VLOOKUP(tables_572106!C116,input_572106!A:H,8,FALSE))</f>
        <v>964.8</v>
      </c>
      <c r="P116" s="40">
        <f t="shared" ca="1" si="4"/>
        <v>1.1166666667183636E-3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input_572106!A$2</f>
        <v>572106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IFERROR(VLOOKUP(B117,input_572106!L:R,7,FALSE),VLOOKUP(tables_572106!C117,input_572106!A:H,8,FALSE))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input_572106!A$2</f>
        <v>572106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IFERROR(VLOOKUP(B118,input_572106!L:R,7,FALSE),VLOOKUP(tables_572106!C118,input_572106!A:H,8,FALSE))</f>
        <v>4017.6</v>
      </c>
      <c r="P118" s="40">
        <f t="shared" ca="1" si="4"/>
        <v>4.6500000002152753E-3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input_572106!A$2</f>
        <v>572106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IFERROR(VLOOKUP(B119,input_572106!L:R,7,FALSE),VLOOKUP(tables_572106!C119,input_572106!A:H,8,FALSE))</f>
        <v>446.4</v>
      </c>
      <c r="P119" s="40">
        <f t="shared" ca="1" si="4"/>
        <v>5.1666666669058614E-4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input_572106!A$2</f>
        <v>572106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IFERROR(VLOOKUP(B120,input_572106!L:R,7,FALSE),VLOOKUP(tables_572106!C120,input_572106!A:H,8,FALSE))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input_572106!A$2</f>
        <v>572106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IFERROR(VLOOKUP(B121,input_572106!L:R,7,FALSE),VLOOKUP(tables_572106!C121,input_572106!A:H,8,FALSE))</f>
        <v>4017.6</v>
      </c>
      <c r="P121" s="40">
        <f t="shared" ca="1" si="4"/>
        <v>4.6500000002152753E-3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input_572106!A$2</f>
        <v>572106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IFERROR(VLOOKUP(B122,input_572106!L:R,7,FALSE),VLOOKUP(tables_572106!C122,input_572106!A:H,8,FALSE))</f>
        <v>446.4</v>
      </c>
      <c r="P122" s="40">
        <f t="shared" ca="1" si="4"/>
        <v>5.1666666669058614E-4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input_572106!A$2</f>
        <v>572106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IFERROR(VLOOKUP(B123,input_572106!L:R,7,FALSE),VLOOKUP(tables_572106!C123,input_572106!A:H,8,FALSE))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input_572106!A$2</f>
        <v>572106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IFERROR(VLOOKUP(B124,input_572106!L:R,7,FALSE),VLOOKUP(tables_572106!C124,input_572106!A:H,8,FALSE))</f>
        <v>4017.6</v>
      </c>
      <c r="P124" s="40">
        <f t="shared" ca="1" si="4"/>
        <v>4.6500000002152753E-3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input_572106!A$2</f>
        <v>572106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IFERROR(VLOOKUP(B125,input_572106!L:R,7,FALSE),VLOOKUP(tables_572106!C125,input_572106!A:H,8,FALSE))</f>
        <v>446.4</v>
      </c>
      <c r="P125" s="40">
        <f t="shared" ca="1" si="4"/>
        <v>5.1666666669058614E-4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input_572106!A$2</f>
        <v>572106</v>
      </c>
      <c r="B126" s="6">
        <v>250</v>
      </c>
      <c r="C126" s="7" t="str">
        <f t="shared" si="3"/>
        <v>Premium3color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">
        <v>35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IFERROR(VLOOKUP(B126,input_572106!L:R,7,FALSE),VLOOKUP(tables_572106!C126,input_572106!A:H,8,FALSE))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input_572106!A$2</f>
        <v>572106</v>
      </c>
      <c r="B127" s="6">
        <v>251</v>
      </c>
      <c r="C127" s="7" t="str">
        <f t="shared" si="3"/>
        <v>Premium4color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">
        <v>35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IFERROR(VLOOKUP(B127,input_572106!L:R,7,FALSE),VLOOKUP(tables_572106!C127,input_572106!A:H,8,FALSE))</f>
        <v>18079.2</v>
      </c>
      <c r="P127" s="40">
        <f t="shared" ca="1" si="4"/>
        <v>2.0925000000968742E-2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input_572106!A$2</f>
        <v>572106</v>
      </c>
      <c r="B128" s="6">
        <v>252</v>
      </c>
      <c r="C128" s="7" t="str">
        <f t="shared" si="3"/>
        <v>Premium5color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">
        <v>35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IFERROR(VLOOKUP(B128,input_572106!L:R,7,FALSE),VLOOKUP(tables_572106!C128,input_572106!A:H,8,FALSE))</f>
        <v>964.8</v>
      </c>
      <c r="P128" s="40">
        <f t="shared" ca="1" si="4"/>
        <v>1.1166666667183636E-3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input_572106!A$2</f>
        <v>572106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IFERROR(VLOOKUP(B129,input_572106!L:R,7,FALSE),VLOOKUP(tables_572106!C129,input_572106!A:H,8,FALSE))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input_572106!A$2</f>
        <v>572106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IFERROR(VLOOKUP(B130,input_572106!L:R,7,FALSE),VLOOKUP(tables_572106!C130,input_572106!A:H,8,FALSE))</f>
        <v>4017.6</v>
      </c>
      <c r="P130" s="40">
        <f t="shared" ref="P130:P193" ca="1" si="7">O130/SUM(O:O)</f>
        <v>4.6500000002152753E-3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input_572106!A$2</f>
        <v>572106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IFERROR(VLOOKUP(B131,input_572106!L:R,7,FALSE),VLOOKUP(tables_572106!C131,input_572106!A:H,8,FALSE))</f>
        <v>446.4</v>
      </c>
      <c r="P131" s="40">
        <f t="shared" ca="1" si="7"/>
        <v>5.1666666669058614E-4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input_572106!A$2</f>
        <v>572106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IFERROR(VLOOKUP(B132,input_572106!L:R,7,FALSE),VLOOKUP(tables_572106!C132,input_572106!A:H,8,FALSE))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input_572106!A$2</f>
        <v>572106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IFERROR(VLOOKUP(B133,input_572106!L:R,7,FALSE),VLOOKUP(tables_572106!C133,input_572106!A:H,8,FALSE))</f>
        <v>4017.6</v>
      </c>
      <c r="P133" s="40">
        <f t="shared" ca="1" si="7"/>
        <v>4.6500000002152753E-3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input_572106!A$2</f>
        <v>572106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IFERROR(VLOOKUP(B134,input_572106!L:R,7,FALSE),VLOOKUP(tables_572106!C134,input_572106!A:H,8,FALSE))</f>
        <v>446.4</v>
      </c>
      <c r="P134" s="40">
        <f t="shared" ca="1" si="7"/>
        <v>5.1666666669058614E-4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input_572106!A$2</f>
        <v>572106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IFERROR(VLOOKUP(B135,input_572106!L:R,7,FALSE),VLOOKUP(tables_572106!C135,input_572106!A:H,8,FALSE))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input_572106!A$2</f>
        <v>572106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IFERROR(VLOOKUP(B136,input_572106!L:R,7,FALSE),VLOOKUP(tables_572106!C136,input_572106!A:H,8,FALSE))</f>
        <v>4017.6</v>
      </c>
      <c r="P136" s="40">
        <f t="shared" ca="1" si="7"/>
        <v>4.6500000002152753E-3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input_572106!A$2</f>
        <v>572106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IFERROR(VLOOKUP(B137,input_572106!L:R,7,FALSE),VLOOKUP(tables_572106!C137,input_572106!A:H,8,FALSE))</f>
        <v>446.4</v>
      </c>
      <c r="P137" s="40">
        <f t="shared" ca="1" si="7"/>
        <v>5.1666666669058614E-4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input_572106!A$2</f>
        <v>572106</v>
      </c>
      <c r="B138" s="6">
        <v>320</v>
      </c>
      <c r="C138" s="7" t="str">
        <f t="shared" si="6"/>
        <v>PremiumSS4color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">
        <v>35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IFERROR(VLOOKUP(B138,input_572106!L:R,7,FALSE),VLOOKUP(tables_572106!C138,input_572106!A:H,8,FALSE))</f>
        <v>1296</v>
      </c>
      <c r="P138" s="40">
        <f t="shared" ca="1" si="7"/>
        <v>1.5000000000694438E-3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input_572106!A$2</f>
        <v>572106</v>
      </c>
      <c r="B139" s="6">
        <v>321</v>
      </c>
      <c r="C139" s="7" t="str">
        <f t="shared" si="6"/>
        <v>PremiumSS5color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">
        <v>35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IFERROR(VLOOKUP(B139,input_572106!L:R,7,FALSE),VLOOKUP(tables_572106!C139,input_572106!A:H,8,FALSE))</f>
        <v>144</v>
      </c>
      <c r="P139" s="40">
        <f t="shared" ca="1" si="7"/>
        <v>1.6666666667438263E-4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input_572106!A$2</f>
        <v>572106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IFERROR(VLOOKUP(B140,input_572106!L:R,7,FALSE),VLOOKUP(tables_572106!C140,input_572106!A:H,8,FALSE))</f>
        <v>288</v>
      </c>
      <c r="P140" s="40">
        <f t="shared" ca="1" si="7"/>
        <v>3.3333333334876526E-4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input_572106!A$2</f>
        <v>572106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IFERROR(VLOOKUP(B141,input_572106!L:R,7,FALSE),VLOOKUP(tables_572106!C141,input_572106!A:H,8,FALSE))</f>
        <v>32</v>
      </c>
      <c r="P141" s="40">
        <f t="shared" ca="1" si="7"/>
        <v>3.7037037038751696E-5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input_572106!A$2</f>
        <v>572106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IFERROR(VLOOKUP(B142,input_572106!L:R,7,FALSE),VLOOKUP(tables_572106!C142,input_572106!A:H,8,FALSE))</f>
        <v>288</v>
      </c>
      <c r="P142" s="40">
        <f t="shared" ca="1" si="7"/>
        <v>3.3333333334876526E-4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input_572106!A$2</f>
        <v>572106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IFERROR(VLOOKUP(B143,input_572106!L:R,7,FALSE),VLOOKUP(tables_572106!C143,input_572106!A:H,8,FALSE))</f>
        <v>32</v>
      </c>
      <c r="P143" s="40">
        <f t="shared" ca="1" si="7"/>
        <v>3.7037037038751696E-5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input_572106!A$2</f>
        <v>572106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IFERROR(VLOOKUP(B144,input_572106!L:R,7,FALSE),VLOOKUP(tables_572106!C144,input_572106!A:H,8,FALSE))</f>
        <v>288</v>
      </c>
      <c r="P144" s="40">
        <f t="shared" ca="1" si="7"/>
        <v>3.3333333334876526E-4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input_572106!A$2</f>
        <v>572106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IFERROR(VLOOKUP(B145,input_572106!L:R,7,FALSE),VLOOKUP(tables_572106!C145,input_572106!A:H,8,FALSE))</f>
        <v>32</v>
      </c>
      <c r="P145" s="40">
        <f t="shared" ca="1" si="7"/>
        <v>3.7037037038751696E-5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input_572106!A$2</f>
        <v>572106</v>
      </c>
      <c r="B146" s="6">
        <v>380</v>
      </c>
      <c r="C146" s="7" t="str">
        <f t="shared" si="6"/>
        <v>Premium3color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">
        <v>35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IFERROR(VLOOKUP(B146,input_572106!L:R,7,FALSE),VLOOKUP(tables_572106!C146,input_572106!A:H,8,FALSE))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input_572106!A$2</f>
        <v>572106</v>
      </c>
      <c r="B147" s="6">
        <v>381</v>
      </c>
      <c r="C147" s="7" t="str">
        <f t="shared" si="6"/>
        <v>Premium4color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">
        <v>35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IFERROR(VLOOKUP(B147,input_572106!L:R,7,FALSE),VLOOKUP(tables_572106!C147,input_572106!A:H,8,FALSE))</f>
        <v>18079.2</v>
      </c>
      <c r="P147" s="40">
        <f t="shared" ca="1" si="7"/>
        <v>2.0925000000968742E-2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input_572106!A$2</f>
        <v>572106</v>
      </c>
      <c r="B148" s="6">
        <v>382</v>
      </c>
      <c r="C148" s="7" t="str">
        <f t="shared" si="6"/>
        <v>Premium5color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">
        <v>35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IFERROR(VLOOKUP(B148,input_572106!L:R,7,FALSE),VLOOKUP(tables_572106!C148,input_572106!A:H,8,FALSE))</f>
        <v>964.8</v>
      </c>
      <c r="P148" s="40">
        <f t="shared" ca="1" si="7"/>
        <v>1.1166666667183636E-3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input_572106!A$2</f>
        <v>572106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IFERROR(VLOOKUP(B149,input_572106!L:R,7,FALSE),VLOOKUP(tables_572106!C149,input_572106!A:H,8,FALSE))</f>
        <v>288</v>
      </c>
      <c r="P149" s="40">
        <f t="shared" ca="1" si="7"/>
        <v>3.3333333334876526E-4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input_572106!A$2</f>
        <v>572106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IFERROR(VLOOKUP(B150,input_572106!L:R,7,FALSE),VLOOKUP(tables_572106!C150,input_572106!A:H,8,FALSE))</f>
        <v>32</v>
      </c>
      <c r="P150" s="40">
        <f t="shared" ca="1" si="7"/>
        <v>3.7037037038751696E-5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input_572106!A$2</f>
        <v>572106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IFERROR(VLOOKUP(B151,input_572106!L:R,7,FALSE),VLOOKUP(tables_572106!C151,input_572106!A:H,8,FALSE))</f>
        <v>288</v>
      </c>
      <c r="P151" s="40">
        <f t="shared" ca="1" si="7"/>
        <v>3.3333333334876526E-4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input_572106!A$2</f>
        <v>572106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IFERROR(VLOOKUP(B152,input_572106!L:R,7,FALSE),VLOOKUP(tables_572106!C152,input_572106!A:H,8,FALSE))</f>
        <v>32</v>
      </c>
      <c r="P152" s="40">
        <f t="shared" ca="1" si="7"/>
        <v>3.7037037038751696E-5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input_572106!A$2</f>
        <v>572106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IFERROR(VLOOKUP(B153,input_572106!L:R,7,FALSE),VLOOKUP(tables_572106!C153,input_572106!A:H,8,FALSE))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input_572106!A$2</f>
        <v>572106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IFERROR(VLOOKUP(B154,input_572106!L:R,7,FALSE),VLOOKUP(tables_572106!C154,input_572106!A:H,8,FALSE))</f>
        <v>4017.6</v>
      </c>
      <c r="P154" s="40">
        <f t="shared" ca="1" si="7"/>
        <v>4.6500000002152753E-3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input_572106!A$2</f>
        <v>572106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IFERROR(VLOOKUP(B155,input_572106!L:R,7,FALSE),VLOOKUP(tables_572106!C155,input_572106!A:H,8,FALSE))</f>
        <v>446.4</v>
      </c>
      <c r="P155" s="40">
        <f t="shared" ca="1" si="7"/>
        <v>5.1666666669058614E-4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input_572106!A$2</f>
        <v>572106</v>
      </c>
      <c r="B156" s="6">
        <v>390</v>
      </c>
      <c r="C156" s="7" t="str">
        <f t="shared" si="6"/>
        <v>PremiumSS4color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">
        <v>35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IFERROR(VLOOKUP(B156,input_572106!L:R,7,FALSE),VLOOKUP(tables_572106!C156,input_572106!A:H,8,FALSE))</f>
        <v>1296</v>
      </c>
      <c r="P156" s="40">
        <f t="shared" ca="1" si="7"/>
        <v>1.5000000000694438E-3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input_572106!A$2</f>
        <v>572106</v>
      </c>
      <c r="B157" s="6">
        <v>391</v>
      </c>
      <c r="C157" s="7" t="str">
        <f t="shared" si="6"/>
        <v>PremiumSS5color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">
        <v>35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IFERROR(VLOOKUP(B157,input_572106!L:R,7,FALSE),VLOOKUP(tables_572106!C157,input_572106!A:H,8,FALSE))</f>
        <v>144</v>
      </c>
      <c r="P157" s="40">
        <f t="shared" ca="1" si="7"/>
        <v>1.6666666667438263E-4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input_572106!A$2</f>
        <v>572106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IFERROR(VLOOKUP(B158,input_572106!L:R,7,FALSE),VLOOKUP(tables_572106!C158,input_572106!A:H,8,FALSE))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input_572106!A$2</f>
        <v>572106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IFERROR(VLOOKUP(B159,input_572106!L:R,7,FALSE),VLOOKUP(tables_572106!C159,input_572106!A:H,8,FALSE))</f>
        <v>4017.6</v>
      </c>
      <c r="P159" s="40">
        <f t="shared" ca="1" si="7"/>
        <v>4.6500000002152753E-3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input_572106!A$2</f>
        <v>572106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IFERROR(VLOOKUP(B160,input_572106!L:R,7,FALSE),VLOOKUP(tables_572106!C160,input_572106!A:H,8,FALSE))</f>
        <v>446.4</v>
      </c>
      <c r="P160" s="40">
        <f t="shared" ca="1" si="7"/>
        <v>5.1666666669058614E-4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input_572106!A$2</f>
        <v>572106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IFERROR(VLOOKUP(B161,input_572106!L:R,7,FALSE),VLOOKUP(tables_572106!C161,input_572106!A:H,8,FALSE))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input_572106!A$2</f>
        <v>572106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IFERROR(VLOOKUP(B162,input_572106!L:R,7,FALSE),VLOOKUP(tables_572106!C162,input_572106!A:H,8,FALSE))</f>
        <v>4017.6</v>
      </c>
      <c r="P162" s="40">
        <f t="shared" ca="1" si="7"/>
        <v>4.6500000002152753E-3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input_572106!A$2</f>
        <v>572106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IFERROR(VLOOKUP(B163,input_572106!L:R,7,FALSE),VLOOKUP(tables_572106!C163,input_572106!A:H,8,FALSE))</f>
        <v>446.4</v>
      </c>
      <c r="P163" s="40">
        <f t="shared" ca="1" si="7"/>
        <v>5.1666666669058614E-4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input_572106!A$2</f>
        <v>572106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IFERROR(VLOOKUP(B164,input_572106!L:R,7,FALSE),VLOOKUP(tables_572106!C164,input_572106!A:H,8,FALSE))</f>
        <v>288</v>
      </c>
      <c r="P164" s="40">
        <f t="shared" ca="1" si="7"/>
        <v>3.3333333334876526E-4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input_572106!A$2</f>
        <v>572106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IFERROR(VLOOKUP(B165,input_572106!L:R,7,FALSE),VLOOKUP(tables_572106!C165,input_572106!A:H,8,FALSE))</f>
        <v>32</v>
      </c>
      <c r="P165" s="40">
        <f t="shared" ca="1" si="7"/>
        <v>3.7037037038751696E-5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input_572106!A$2</f>
        <v>572106</v>
      </c>
      <c r="B166" s="6">
        <v>400</v>
      </c>
      <c r="C166" s="7" t="str">
        <f t="shared" si="6"/>
        <v>Premium3color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">
        <v>35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IFERROR(VLOOKUP(B166,input_572106!L:R,7,FALSE),VLOOKUP(tables_572106!C166,input_572106!A:H,8,FALSE))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input_572106!A$2</f>
        <v>572106</v>
      </c>
      <c r="B167" s="6">
        <v>401</v>
      </c>
      <c r="C167" s="7" t="str">
        <f t="shared" si="6"/>
        <v>Premium4color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">
        <v>35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IFERROR(VLOOKUP(B167,input_572106!L:R,7,FALSE),VLOOKUP(tables_572106!C167,input_572106!A:H,8,FALSE))</f>
        <v>18079.2</v>
      </c>
      <c r="P167" s="40">
        <f t="shared" ca="1" si="7"/>
        <v>2.0925000000968742E-2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input_572106!A$2</f>
        <v>572106</v>
      </c>
      <c r="B168" s="6">
        <v>402</v>
      </c>
      <c r="C168" s="7" t="str">
        <f t="shared" si="6"/>
        <v>Premium5color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">
        <v>35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IFERROR(VLOOKUP(B168,input_572106!L:R,7,FALSE),VLOOKUP(tables_572106!C168,input_572106!A:H,8,FALSE))</f>
        <v>964.8</v>
      </c>
      <c r="P168" s="40">
        <f t="shared" ca="1" si="7"/>
        <v>1.1166666667183636E-3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input_572106!A$2</f>
        <v>572106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IFERROR(VLOOKUP(B169,input_572106!L:R,7,FALSE),VLOOKUP(tables_572106!C169,input_572106!A:H,8,FALSE))</f>
        <v>288</v>
      </c>
      <c r="P169" s="40">
        <f t="shared" ca="1" si="7"/>
        <v>3.3333333334876526E-4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input_572106!A$2</f>
        <v>572106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IFERROR(VLOOKUP(B170,input_572106!L:R,7,FALSE),VLOOKUP(tables_572106!C170,input_572106!A:H,8,FALSE))</f>
        <v>32</v>
      </c>
      <c r="P170" s="40">
        <f t="shared" ca="1" si="7"/>
        <v>3.7037037038751696E-5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input_572106!A$2</f>
        <v>572106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IFERROR(VLOOKUP(B171,input_572106!L:R,7,FALSE),VLOOKUP(tables_572106!C171,input_572106!A:H,8,FALSE))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input_572106!A$2</f>
        <v>572106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IFERROR(VLOOKUP(B172,input_572106!L:R,7,FALSE),VLOOKUP(tables_572106!C172,input_572106!A:H,8,FALSE))</f>
        <v>4017.6</v>
      </c>
      <c r="P172" s="40">
        <f t="shared" ca="1" si="7"/>
        <v>4.6500000002152753E-3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input_572106!A$2</f>
        <v>572106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IFERROR(VLOOKUP(B173,input_572106!L:R,7,FALSE),VLOOKUP(tables_572106!C173,input_572106!A:H,8,FALSE))</f>
        <v>446.4</v>
      </c>
      <c r="P173" s="40">
        <f t="shared" ca="1" si="7"/>
        <v>5.1666666669058614E-4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input_572106!A$2</f>
        <v>572106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IFERROR(VLOOKUP(B174,input_572106!L:R,7,FALSE),VLOOKUP(tables_572106!C174,input_572106!A:H,8,FALSE))</f>
        <v>288</v>
      </c>
      <c r="P174" s="40">
        <f t="shared" ca="1" si="7"/>
        <v>3.3333333334876526E-4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input_572106!A$2</f>
        <v>572106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IFERROR(VLOOKUP(B175,input_572106!L:R,7,FALSE),VLOOKUP(tables_572106!C175,input_572106!A:H,8,FALSE))</f>
        <v>32</v>
      </c>
      <c r="P175" s="40">
        <f t="shared" ca="1" si="7"/>
        <v>3.7037037038751696E-5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input_572106!A$2</f>
        <v>572106</v>
      </c>
      <c r="B176" s="6">
        <v>434</v>
      </c>
      <c r="C176" s="7" t="str">
        <f t="shared" si="6"/>
        <v>PremiumSS4color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">
        <v>35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IFERROR(VLOOKUP(B176,input_572106!L:R,7,FALSE),VLOOKUP(tables_572106!C176,input_572106!A:H,8,FALSE))</f>
        <v>1296</v>
      </c>
      <c r="P176" s="40">
        <f t="shared" ca="1" si="7"/>
        <v>1.5000000000694438E-3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input_572106!A$2</f>
        <v>572106</v>
      </c>
      <c r="B177" s="6">
        <v>435</v>
      </c>
      <c r="C177" s="7" t="str">
        <f t="shared" si="6"/>
        <v>PremiumSS5color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">
        <v>35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IFERROR(VLOOKUP(B177,input_572106!L:R,7,FALSE),VLOOKUP(tables_572106!C177,input_572106!A:H,8,FALSE))</f>
        <v>144</v>
      </c>
      <c r="P177" s="40">
        <f t="shared" ca="1" si="7"/>
        <v>1.6666666667438263E-4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input_572106!A$2</f>
        <v>572106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IFERROR(VLOOKUP(B178,input_572106!L:R,7,FALSE),VLOOKUP(tables_572106!C178,input_572106!A:H,8,FALSE))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input_572106!A$2</f>
        <v>572106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IFERROR(VLOOKUP(B179,input_572106!L:R,7,FALSE),VLOOKUP(tables_572106!C179,input_572106!A:H,8,FALSE))</f>
        <v>4017.6</v>
      </c>
      <c r="P179" s="40">
        <f t="shared" ca="1" si="7"/>
        <v>4.6500000002152753E-3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input_572106!A$2</f>
        <v>572106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IFERROR(VLOOKUP(B180,input_572106!L:R,7,FALSE),VLOOKUP(tables_572106!C180,input_572106!A:H,8,FALSE))</f>
        <v>446.4</v>
      </c>
      <c r="P180" s="40">
        <f t="shared" ca="1" si="7"/>
        <v>5.1666666669058614E-4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input_572106!A$2</f>
        <v>572106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IFERROR(VLOOKUP(B181,input_572106!L:R,7,FALSE),VLOOKUP(tables_572106!C181,input_572106!A:H,8,FALSE))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input_572106!A$2</f>
        <v>572106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IFERROR(VLOOKUP(B182,input_572106!L:R,7,FALSE),VLOOKUP(tables_572106!C182,input_572106!A:H,8,FALSE))</f>
        <v>4017.6</v>
      </c>
      <c r="P182" s="40">
        <f t="shared" ca="1" si="7"/>
        <v>4.6500000002152753E-3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input_572106!A$2</f>
        <v>572106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IFERROR(VLOOKUP(B183,input_572106!L:R,7,FALSE),VLOOKUP(tables_572106!C183,input_572106!A:H,8,FALSE))</f>
        <v>446.4</v>
      </c>
      <c r="P183" s="40">
        <f t="shared" ca="1" si="7"/>
        <v>5.1666666669058614E-4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input_572106!A$2</f>
        <v>572106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IFERROR(VLOOKUP(B184,input_572106!L:R,7,FALSE),VLOOKUP(tables_572106!C184,input_572106!A:H,8,FALSE))</f>
        <v>288</v>
      </c>
      <c r="P184" s="40">
        <f t="shared" ca="1" si="7"/>
        <v>3.3333333334876526E-4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input_572106!A$2</f>
        <v>572106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IFERROR(VLOOKUP(B185,input_572106!L:R,7,FALSE),VLOOKUP(tables_572106!C185,input_572106!A:H,8,FALSE))</f>
        <v>32</v>
      </c>
      <c r="P185" s="40">
        <f t="shared" ca="1" si="7"/>
        <v>3.7037037038751696E-5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input_572106!A$2</f>
        <v>572106</v>
      </c>
      <c r="B186" s="8">
        <v>462</v>
      </c>
      <c r="C186" s="7" t="str">
        <f t="shared" si="6"/>
        <v>Premium3color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">
        <v>35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IFERROR(VLOOKUP(B186,input_572106!L:R,7,FALSE),VLOOKUP(tables_572106!C186,input_572106!A:H,8,FALSE))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input_572106!A$2</f>
        <v>572106</v>
      </c>
      <c r="B187" s="8">
        <v>463</v>
      </c>
      <c r="C187" s="7" t="str">
        <f t="shared" si="6"/>
        <v>Premium4color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">
        <v>35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IFERROR(VLOOKUP(B187,input_572106!L:R,7,FALSE),VLOOKUP(tables_572106!C187,input_572106!A:H,8,FALSE))</f>
        <v>18079.2</v>
      </c>
      <c r="P187" s="40">
        <f t="shared" ca="1" si="7"/>
        <v>2.0925000000968742E-2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input_572106!A$2</f>
        <v>572106</v>
      </c>
      <c r="B188" s="8">
        <v>464</v>
      </c>
      <c r="C188" s="7" t="str">
        <f t="shared" si="6"/>
        <v>Premium5color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">
        <v>35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IFERROR(VLOOKUP(B188,input_572106!L:R,7,FALSE),VLOOKUP(tables_572106!C188,input_572106!A:H,8,FALSE))</f>
        <v>964.8</v>
      </c>
      <c r="P188" s="40">
        <f t="shared" ca="1" si="7"/>
        <v>1.1166666667183636E-3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input_572106!A$2</f>
        <v>572106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IFERROR(VLOOKUP(B189,input_572106!L:R,7,FALSE),VLOOKUP(tables_572106!C189,input_572106!A:H,8,FALSE))</f>
        <v>288</v>
      </c>
      <c r="P189" s="40">
        <f t="shared" ca="1" si="7"/>
        <v>3.3333333334876526E-4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input_572106!A$2</f>
        <v>572106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IFERROR(VLOOKUP(B190,input_572106!L:R,7,FALSE),VLOOKUP(tables_572106!C190,input_572106!A:H,8,FALSE))</f>
        <v>32</v>
      </c>
      <c r="P190" s="40">
        <f t="shared" ca="1" si="7"/>
        <v>3.7037037038751696E-5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input_572106!A$2</f>
        <v>572106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IFERROR(VLOOKUP(B191,input_572106!L:R,7,FALSE),VLOOKUP(tables_572106!C191,input_572106!A:H,8,FALSE))</f>
        <v>288</v>
      </c>
      <c r="P191" s="40">
        <f t="shared" ca="1" si="7"/>
        <v>3.3333333334876526E-4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input_572106!A$2</f>
        <v>572106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IFERROR(VLOOKUP(B192,input_572106!L:R,7,FALSE),VLOOKUP(tables_572106!C192,input_572106!A:H,8,FALSE))</f>
        <v>32</v>
      </c>
      <c r="P192" s="40">
        <f t="shared" ca="1" si="7"/>
        <v>3.7037037038751696E-5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input_572106!A$2</f>
        <v>572106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IFERROR(VLOOKUP(B193,input_572106!L:R,7,FALSE),VLOOKUP(tables_572106!C193,input_572106!A:H,8,FALSE))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input_572106!A$2</f>
        <v>572106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IFERROR(VLOOKUP(B194,input_572106!L:R,7,FALSE),VLOOKUP(tables_572106!C194,input_572106!A:H,8,FALSE))</f>
        <v>4017.6</v>
      </c>
      <c r="P194" s="40">
        <f t="shared" ref="P194:P257" ca="1" si="10">O194/SUM(O:O)</f>
        <v>4.6500000002152753E-3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input_572106!A$2</f>
        <v>572106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IFERROR(VLOOKUP(B195,input_572106!L:R,7,FALSE),VLOOKUP(tables_572106!C195,input_572106!A:H,8,FALSE))</f>
        <v>446.4</v>
      </c>
      <c r="P195" s="40">
        <f t="shared" ca="1" si="10"/>
        <v>5.1666666669058614E-4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input_572106!A$2</f>
        <v>572106</v>
      </c>
      <c r="B196" s="6">
        <v>474</v>
      </c>
      <c r="C196" s="7" t="str">
        <f t="shared" si="9"/>
        <v>PremiumSS4color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">
        <v>35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IFERROR(VLOOKUP(B196,input_572106!L:R,7,FALSE),VLOOKUP(tables_572106!C196,input_572106!A:H,8,FALSE))</f>
        <v>1296</v>
      </c>
      <c r="P196" s="40">
        <f t="shared" ca="1" si="10"/>
        <v>1.5000000000694438E-3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input_572106!A$2</f>
        <v>572106</v>
      </c>
      <c r="B197" s="6">
        <v>475</v>
      </c>
      <c r="C197" s="7" t="str">
        <f t="shared" si="9"/>
        <v>PremiumSS5color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">
        <v>35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IFERROR(VLOOKUP(B197,input_572106!L:R,7,FALSE),VLOOKUP(tables_572106!C197,input_572106!A:H,8,FALSE))</f>
        <v>144</v>
      </c>
      <c r="P197" s="40">
        <f t="shared" ca="1" si="10"/>
        <v>1.6666666667438263E-4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input_572106!A$2</f>
        <v>572106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IFERROR(VLOOKUP(B198,input_572106!L:R,7,FALSE),VLOOKUP(tables_572106!C198,input_572106!A:H,8,FALSE))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input_572106!A$2</f>
        <v>572106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IFERROR(VLOOKUP(B199,input_572106!L:R,7,FALSE),VLOOKUP(tables_572106!C199,input_572106!A:H,8,FALSE))</f>
        <v>4017.6</v>
      </c>
      <c r="P199" s="40">
        <f t="shared" ca="1" si="10"/>
        <v>4.6500000002152753E-3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input_572106!A$2</f>
        <v>572106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IFERROR(VLOOKUP(B200,input_572106!L:R,7,FALSE),VLOOKUP(tables_572106!C200,input_572106!A:H,8,FALSE))</f>
        <v>446.4</v>
      </c>
      <c r="P200" s="40">
        <f t="shared" ca="1" si="10"/>
        <v>5.1666666669058614E-4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input_572106!A$2</f>
        <v>572106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IFERROR(VLOOKUP(B201,input_572106!L:R,7,FALSE),VLOOKUP(tables_572106!C201,input_572106!A:H,8,FALSE))</f>
        <v>288</v>
      </c>
      <c r="P201" s="40">
        <f t="shared" ca="1" si="10"/>
        <v>3.3333333334876526E-4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input_572106!A$2</f>
        <v>572106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IFERROR(VLOOKUP(B202,input_572106!L:R,7,FALSE),VLOOKUP(tables_572106!C202,input_572106!A:H,8,FALSE))</f>
        <v>32</v>
      </c>
      <c r="P202" s="40">
        <f t="shared" ca="1" si="10"/>
        <v>3.7037037038751696E-5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input_572106!A$2</f>
        <v>572106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IFERROR(VLOOKUP(B203,input_572106!L:R,7,FALSE),VLOOKUP(tables_572106!C203,input_572106!A:H,8,FALSE))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input_572106!A$2</f>
        <v>572106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IFERROR(VLOOKUP(B204,input_572106!L:R,7,FALSE),VLOOKUP(tables_572106!C204,input_572106!A:H,8,FALSE))</f>
        <v>4017.6</v>
      </c>
      <c r="P204" s="40">
        <f t="shared" ca="1" si="10"/>
        <v>4.6500000002152753E-3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input_572106!A$2</f>
        <v>572106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IFERROR(VLOOKUP(B205,input_572106!L:R,7,FALSE),VLOOKUP(tables_572106!C205,input_572106!A:H,8,FALSE))</f>
        <v>446.4</v>
      </c>
      <c r="P205" s="40">
        <f t="shared" ca="1" si="10"/>
        <v>5.1666666669058614E-4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input_572106!A$2</f>
        <v>572106</v>
      </c>
      <c r="B206" s="6">
        <v>492</v>
      </c>
      <c r="C206" s="7" t="str">
        <f t="shared" si="9"/>
        <v>PremiumSS4color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">
        <v>35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IFERROR(VLOOKUP(B206,input_572106!L:R,7,FALSE),VLOOKUP(tables_572106!C206,input_572106!A:H,8,FALSE))</f>
        <v>1296</v>
      </c>
      <c r="P206" s="40">
        <f t="shared" ca="1" si="10"/>
        <v>1.5000000000694438E-3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input_572106!A$2</f>
        <v>572106</v>
      </c>
      <c r="B207" s="6">
        <v>493</v>
      </c>
      <c r="C207" s="7" t="str">
        <f t="shared" si="9"/>
        <v>PremiumSS5color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">
        <v>35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IFERROR(VLOOKUP(B207,input_572106!L:R,7,FALSE),VLOOKUP(tables_572106!C207,input_572106!A:H,8,FALSE))</f>
        <v>144</v>
      </c>
      <c r="P207" s="40">
        <f t="shared" ca="1" si="10"/>
        <v>1.6666666667438263E-4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input_572106!A$2</f>
        <v>572106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IFERROR(VLOOKUP(B208,input_572106!L:R,7,FALSE),VLOOKUP(tables_572106!C208,input_572106!A:H,8,FALSE))</f>
        <v>288</v>
      </c>
      <c r="P208" s="40">
        <f t="shared" ca="1" si="10"/>
        <v>3.3333333334876526E-4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input_572106!A$2</f>
        <v>572106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IFERROR(VLOOKUP(B209,input_572106!L:R,7,FALSE),VLOOKUP(tables_572106!C209,input_572106!A:H,8,FALSE))</f>
        <v>32</v>
      </c>
      <c r="P209" s="40">
        <f t="shared" ca="1" si="10"/>
        <v>3.7037037038751696E-5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input_572106!A$2</f>
        <v>572106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IFERROR(VLOOKUP(B210,input_572106!L:R,7,FALSE),VLOOKUP(tables_572106!C210,input_572106!A:H,8,FALSE))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input_572106!A$2</f>
        <v>572106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IFERROR(VLOOKUP(B211,input_572106!L:R,7,FALSE),VLOOKUP(tables_572106!C211,input_572106!A:H,8,FALSE))</f>
        <v>4017.6</v>
      </c>
      <c r="P211" s="40">
        <f t="shared" ca="1" si="10"/>
        <v>4.6500000002152753E-3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input_572106!A$2</f>
        <v>572106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IFERROR(VLOOKUP(B212,input_572106!L:R,7,FALSE),VLOOKUP(tables_572106!C212,input_572106!A:H,8,FALSE))</f>
        <v>446.4</v>
      </c>
      <c r="P212" s="40">
        <f t="shared" ca="1" si="10"/>
        <v>5.1666666669058614E-4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input_572106!A$2</f>
        <v>572106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IFERROR(VLOOKUP(B213,input_572106!L:R,7,FALSE),VLOOKUP(tables_572106!C213,input_572106!A:H,8,FALSE))</f>
        <v>288</v>
      </c>
      <c r="P213" s="40">
        <f t="shared" ca="1" si="10"/>
        <v>3.3333333334876526E-4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input_572106!A$2</f>
        <v>572106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IFERROR(VLOOKUP(B214,input_572106!L:R,7,FALSE),VLOOKUP(tables_572106!C214,input_572106!A:H,8,FALSE))</f>
        <v>32</v>
      </c>
      <c r="P214" s="40">
        <f t="shared" ca="1" si="10"/>
        <v>3.7037037038751696E-5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input_572106!A$2</f>
        <v>572106</v>
      </c>
      <c r="B215" s="6">
        <v>560</v>
      </c>
      <c r="C215" s="7" t="str">
        <f t="shared" si="9"/>
        <v>premium5R3lesscolor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">
        <v>35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IFERROR(VLOOKUP(B215,input_572106!L:R,7,FALSE),VLOOKUP(tables_572106!C215,input_572106!A:H,8,FALSE))</f>
        <v>774.51428999999996</v>
      </c>
      <c r="P215" s="40">
        <f t="shared" ca="1" si="10"/>
        <v>8.9642857643038975E-4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input_572106!A$2</f>
        <v>572106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IFERROR(VLOOKUP(B216,input_572106!L:R,7,FALSE),VLOOKUP(tables_572106!C216,input_572106!A:H,8,FALSE))</f>
        <v>202.35789</v>
      </c>
      <c r="P216" s="40">
        <f t="shared" ca="1" si="10"/>
        <v>2.342105208441763E-4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input_572106!A$2</f>
        <v>572106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IFERROR(VLOOKUP(B217,input_572106!L:R,7,FALSE),VLOOKUP(tables_572106!C217,input_572106!A:H,8,FALSE))</f>
        <v>202.35789</v>
      </c>
      <c r="P217" s="40">
        <f t="shared" ca="1" si="10"/>
        <v>2.342105208441763E-4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input_572106!A$2</f>
        <v>572106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IFERROR(VLOOKUP(B218,input_572106!L:R,7,FALSE),VLOOKUP(tables_572106!C218,input_572106!A:H,8,FALSE))</f>
        <v>202.35789</v>
      </c>
      <c r="P218" s="40">
        <f t="shared" ca="1" si="10"/>
        <v>2.342105208441763E-4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input_572106!A$2</f>
        <v>572106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IFERROR(VLOOKUP(B219,input_572106!L:R,7,FALSE),VLOOKUP(tables_572106!C219,input_572106!A:H,8,FALSE))</f>
        <v>202.35789</v>
      </c>
      <c r="P219" s="40">
        <f t="shared" ca="1" si="10"/>
        <v>2.342105208441763E-4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input_572106!A$2</f>
        <v>572106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IFERROR(VLOOKUP(B220,input_572106!L:R,7,FALSE),VLOOKUP(tables_572106!C220,input_572106!A:H,8,FALSE))</f>
        <v>202.35789</v>
      </c>
      <c r="P220" s="40">
        <f t="shared" ca="1" si="10"/>
        <v>2.342105208441763E-4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input_572106!A$2</f>
        <v>572106</v>
      </c>
      <c r="B221" s="6">
        <v>586</v>
      </c>
      <c r="C221" s="7" t="str">
        <f t="shared" si="9"/>
        <v>PremiumSS4color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">
        <v>35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IFERROR(VLOOKUP(B221,input_572106!L:R,7,FALSE),VLOOKUP(tables_572106!C221,input_572106!A:H,8,FALSE))</f>
        <v>1296</v>
      </c>
      <c r="P221" s="40">
        <f t="shared" ca="1" si="10"/>
        <v>1.5000000000694438E-3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input_572106!A$2</f>
        <v>572106</v>
      </c>
      <c r="B222" s="6">
        <v>587</v>
      </c>
      <c r="C222" s="7" t="str">
        <f t="shared" si="9"/>
        <v>PremiumSS5color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">
        <v>35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IFERROR(VLOOKUP(B222,input_572106!L:R,7,FALSE),VLOOKUP(tables_572106!C222,input_572106!A:H,8,FALSE))</f>
        <v>144</v>
      </c>
      <c r="P222" s="40">
        <f t="shared" ca="1" si="10"/>
        <v>1.6666666667438263E-4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input_572106!A$2</f>
        <v>572106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IFERROR(VLOOKUP(B223,input_572106!L:R,7,FALSE),VLOOKUP(tables_572106!C223,input_572106!A:H,8,FALSE))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input_572106!A$2</f>
        <v>572106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IFERROR(VLOOKUP(B224,input_572106!L:R,7,FALSE),VLOOKUP(tables_572106!C224,input_572106!A:H,8,FALSE))</f>
        <v>4017.6</v>
      </c>
      <c r="P224" s="40">
        <f t="shared" ca="1" si="10"/>
        <v>4.6500000002152753E-3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input_572106!A$2</f>
        <v>572106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IFERROR(VLOOKUP(B225,input_572106!L:R,7,FALSE),VLOOKUP(tables_572106!C225,input_572106!A:H,8,FALSE))</f>
        <v>446.4</v>
      </c>
      <c r="P225" s="40">
        <f t="shared" ca="1" si="10"/>
        <v>5.1666666669058614E-4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input_572106!A$2</f>
        <v>572106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IFERROR(VLOOKUP(B226,input_572106!L:R,7,FALSE),VLOOKUP(tables_572106!C226,input_572106!A:H,8,FALSE))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input_572106!A$2</f>
        <v>572106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IFERROR(VLOOKUP(B227,input_572106!L:R,7,FALSE),VLOOKUP(tables_572106!C227,input_572106!A:H,8,FALSE))</f>
        <v>4017.6</v>
      </c>
      <c r="P227" s="40">
        <f t="shared" ca="1" si="10"/>
        <v>4.6500000002152753E-3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input_572106!A$2</f>
        <v>572106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IFERROR(VLOOKUP(B228,input_572106!L:R,7,FALSE),VLOOKUP(tables_572106!C228,input_572106!A:H,8,FALSE))</f>
        <v>446.4</v>
      </c>
      <c r="P228" s="40">
        <f t="shared" ca="1" si="10"/>
        <v>5.1666666669058614E-4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input_572106!A$2</f>
        <v>572106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IFERROR(VLOOKUP(B229,input_572106!L:R,7,FALSE),VLOOKUP(tables_572106!C229,input_572106!A:H,8,FALSE))</f>
        <v>288</v>
      </c>
      <c r="P229" s="40">
        <f t="shared" ca="1" si="10"/>
        <v>3.3333333334876526E-4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input_572106!A$2</f>
        <v>572106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IFERROR(VLOOKUP(B230,input_572106!L:R,7,FALSE),VLOOKUP(tables_572106!C230,input_572106!A:H,8,FALSE))</f>
        <v>32</v>
      </c>
      <c r="P230" s="40">
        <f t="shared" ca="1" si="10"/>
        <v>3.7037037038751696E-5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input_572106!A$2</f>
        <v>572106</v>
      </c>
      <c r="B231" s="6">
        <v>596</v>
      </c>
      <c r="C231" s="7" t="str">
        <f t="shared" si="9"/>
        <v>Premium3color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">
        <v>35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IFERROR(VLOOKUP(B231,input_572106!L:R,7,FALSE),VLOOKUP(tables_572106!C231,input_572106!A:H,8,FALSE))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input_572106!A$2</f>
        <v>572106</v>
      </c>
      <c r="B232" s="6">
        <v>597</v>
      </c>
      <c r="C232" s="7" t="str">
        <f t="shared" si="9"/>
        <v>Premium4color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">
        <v>35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IFERROR(VLOOKUP(B232,input_572106!L:R,7,FALSE),VLOOKUP(tables_572106!C232,input_572106!A:H,8,FALSE))</f>
        <v>18079.2</v>
      </c>
      <c r="P232" s="40">
        <f t="shared" ca="1" si="10"/>
        <v>2.0925000000968742E-2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input_572106!A$2</f>
        <v>572106</v>
      </c>
      <c r="B233" s="6">
        <v>598</v>
      </c>
      <c r="C233" s="7" t="str">
        <f t="shared" si="9"/>
        <v>Premium5color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">
        <v>35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IFERROR(VLOOKUP(B233,input_572106!L:R,7,FALSE),VLOOKUP(tables_572106!C233,input_572106!A:H,8,FALSE))</f>
        <v>964.8</v>
      </c>
      <c r="P233" s="40">
        <f t="shared" ca="1" si="10"/>
        <v>1.1166666667183636E-3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input_572106!A$2</f>
        <v>572106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IFERROR(VLOOKUP(B234,input_572106!L:R,7,FALSE),VLOOKUP(tables_572106!C234,input_572106!A:H,8,FALSE))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input_572106!A$2</f>
        <v>572106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IFERROR(VLOOKUP(B235,input_572106!L:R,7,FALSE),VLOOKUP(tables_572106!C235,input_572106!A:H,8,FALSE))</f>
        <v>4017.6</v>
      </c>
      <c r="P235" s="40">
        <f t="shared" ca="1" si="10"/>
        <v>4.6500000002152753E-3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input_572106!A$2</f>
        <v>572106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IFERROR(VLOOKUP(B236,input_572106!L:R,7,FALSE),VLOOKUP(tables_572106!C236,input_572106!A:H,8,FALSE))</f>
        <v>446.4</v>
      </c>
      <c r="P236" s="40">
        <f t="shared" ca="1" si="10"/>
        <v>5.1666666669058614E-4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input_572106!A$2</f>
        <v>572106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IFERROR(VLOOKUP(B237,input_572106!L:R,7,FALSE),VLOOKUP(tables_572106!C237,input_572106!A:H,8,FALSE))</f>
        <v>288</v>
      </c>
      <c r="P237" s="40">
        <f t="shared" ca="1" si="10"/>
        <v>3.3333333334876526E-4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input_572106!A$2</f>
        <v>572106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IFERROR(VLOOKUP(B238,input_572106!L:R,7,FALSE),VLOOKUP(tables_572106!C238,input_572106!A:H,8,FALSE))</f>
        <v>32</v>
      </c>
      <c r="P238" s="40">
        <f t="shared" ca="1" si="10"/>
        <v>3.7037037038751696E-5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input_572106!A$2</f>
        <v>572106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IFERROR(VLOOKUP(B239,input_572106!L:R,7,FALSE),VLOOKUP(tables_572106!C239,input_572106!A:H,8,FALSE))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input_572106!A$2</f>
        <v>572106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IFERROR(VLOOKUP(B240,input_572106!L:R,7,FALSE),VLOOKUP(tables_572106!C240,input_572106!A:H,8,FALSE))</f>
        <v>4017.6</v>
      </c>
      <c r="P240" s="40">
        <f t="shared" ca="1" si="10"/>
        <v>4.6500000002152753E-3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input_572106!A$2</f>
        <v>572106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IFERROR(VLOOKUP(B241,input_572106!L:R,7,FALSE),VLOOKUP(tables_572106!C241,input_572106!A:H,8,FALSE))</f>
        <v>446.4</v>
      </c>
      <c r="P241" s="40">
        <f t="shared" ca="1" si="10"/>
        <v>5.1666666669058614E-4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input_572106!A$2</f>
        <v>572106</v>
      </c>
      <c r="B242" s="6">
        <v>658</v>
      </c>
      <c r="C242" s="7" t="str">
        <f t="shared" si="9"/>
        <v>PremiumSS4color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">
        <v>35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IFERROR(VLOOKUP(B242,input_572106!L:R,7,FALSE),VLOOKUP(tables_572106!C242,input_572106!A:H,8,FALSE))</f>
        <v>1296</v>
      </c>
      <c r="P242" s="40">
        <f t="shared" ca="1" si="10"/>
        <v>1.5000000000694438E-3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input_572106!A$2</f>
        <v>572106</v>
      </c>
      <c r="B243" s="6">
        <v>659</v>
      </c>
      <c r="C243" s="7" t="str">
        <f t="shared" si="9"/>
        <v>PremiumSS5color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">
        <v>35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IFERROR(VLOOKUP(B243,input_572106!L:R,7,FALSE),VLOOKUP(tables_572106!C243,input_572106!A:H,8,FALSE))</f>
        <v>144</v>
      </c>
      <c r="P243" s="40">
        <f t="shared" ca="1" si="10"/>
        <v>1.6666666667438263E-4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input_572106!A$2</f>
        <v>572106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IFERROR(VLOOKUP(B244,input_572106!L:R,7,FALSE),VLOOKUP(tables_572106!C244,input_572106!A:H,8,FALSE))</f>
        <v>288</v>
      </c>
      <c r="P244" s="40">
        <f t="shared" ca="1" si="10"/>
        <v>3.3333333334876526E-4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input_572106!A$2</f>
        <v>572106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IFERROR(VLOOKUP(B245,input_572106!L:R,7,FALSE),VLOOKUP(tables_572106!C245,input_572106!A:H,8,FALSE))</f>
        <v>32</v>
      </c>
      <c r="P245" s="40">
        <f t="shared" ca="1" si="10"/>
        <v>3.7037037038751696E-5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input_572106!A$2</f>
        <v>572106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IFERROR(VLOOKUP(B246,input_572106!L:R,7,FALSE),VLOOKUP(tables_572106!C246,input_572106!A:H,8,FALSE))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input_572106!A$2</f>
        <v>572106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IFERROR(VLOOKUP(B247,input_572106!L:R,7,FALSE),VLOOKUP(tables_572106!C247,input_572106!A:H,8,FALSE))</f>
        <v>4017.6</v>
      </c>
      <c r="P247" s="40">
        <f t="shared" ca="1" si="10"/>
        <v>4.6500000002152753E-3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input_572106!A$2</f>
        <v>572106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IFERROR(VLOOKUP(B248,input_572106!L:R,7,FALSE),VLOOKUP(tables_572106!C248,input_572106!A:H,8,FALSE))</f>
        <v>446.4</v>
      </c>
      <c r="P248" s="40">
        <f t="shared" ca="1" si="10"/>
        <v>5.1666666669058614E-4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input_572106!A$2</f>
        <v>572106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IFERROR(VLOOKUP(B249,input_572106!L:R,7,FALSE),VLOOKUP(tables_572106!C249,input_572106!A:H,8,FALSE))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input_572106!A$2</f>
        <v>572106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IFERROR(VLOOKUP(B250,input_572106!L:R,7,FALSE),VLOOKUP(tables_572106!C250,input_572106!A:H,8,FALSE))</f>
        <v>4017.6</v>
      </c>
      <c r="P250" s="40">
        <f t="shared" ca="1" si="10"/>
        <v>4.6500000002152753E-3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input_572106!A$2</f>
        <v>572106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IFERROR(VLOOKUP(B251,input_572106!L:R,7,FALSE),VLOOKUP(tables_572106!C251,input_572106!A:H,8,FALSE))</f>
        <v>446.4</v>
      </c>
      <c r="P251" s="40">
        <f t="shared" ca="1" si="10"/>
        <v>5.1666666669058614E-4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input_572106!A$2</f>
        <v>572106</v>
      </c>
      <c r="B252" s="52">
        <v>668</v>
      </c>
      <c r="C252" s="7" t="str">
        <f t="shared" si="9"/>
        <v>Premium3color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">
        <v>35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IFERROR(VLOOKUP(B252,input_572106!L:R,7,FALSE),VLOOKUP(tables_572106!C252,input_572106!A:H,8,FALSE))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input_572106!A$2</f>
        <v>572106</v>
      </c>
      <c r="B253" s="52">
        <v>669</v>
      </c>
      <c r="C253" s="7" t="str">
        <f t="shared" si="9"/>
        <v>Premium4color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">
        <v>35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IFERROR(VLOOKUP(B253,input_572106!L:R,7,FALSE),VLOOKUP(tables_572106!C253,input_572106!A:H,8,FALSE))</f>
        <v>18079.2</v>
      </c>
      <c r="P253" s="40">
        <f t="shared" ca="1" si="10"/>
        <v>2.0925000000968742E-2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input_572106!A$2</f>
        <v>572106</v>
      </c>
      <c r="B254" s="52">
        <v>670</v>
      </c>
      <c r="C254" s="7" t="str">
        <f t="shared" si="9"/>
        <v>Premium5color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">
        <v>35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IFERROR(VLOOKUP(B254,input_572106!L:R,7,FALSE),VLOOKUP(tables_572106!C254,input_572106!A:H,8,FALSE))</f>
        <v>964.8</v>
      </c>
      <c r="P254" s="40">
        <f t="shared" ca="1" si="10"/>
        <v>1.1166666667183636E-3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input_572106!A$2</f>
        <v>572106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IFERROR(VLOOKUP(B255,input_572106!L:R,7,FALSE),VLOOKUP(tables_572106!C255,input_572106!A:H,8,FALSE))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input_572106!A$2</f>
        <v>572106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IFERROR(VLOOKUP(B256,input_572106!L:R,7,FALSE),VLOOKUP(tables_572106!C256,input_572106!A:H,8,FALSE))</f>
        <v>4017.6</v>
      </c>
      <c r="P256" s="40">
        <f t="shared" ca="1" si="10"/>
        <v>4.6500000002152753E-3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input_572106!A$2</f>
        <v>572106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IFERROR(VLOOKUP(B257,input_572106!L:R,7,FALSE),VLOOKUP(tables_572106!C257,input_572106!A:H,8,FALSE))</f>
        <v>446.4</v>
      </c>
      <c r="P257" s="40">
        <f t="shared" ca="1" si="10"/>
        <v>5.1666666669058614E-4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input_572106!A$2</f>
        <v>572106</v>
      </c>
      <c r="B258" s="52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IFERROR(VLOOKUP(B258,input_572106!L:R,7,FALSE),VLOOKUP(tables_572106!C258,input_572106!A:H,8,FALSE))</f>
        <v>288</v>
      </c>
      <c r="P258" s="40">
        <f t="shared" ref="P258:P305" ca="1" si="13">O258/SUM(O:O)</f>
        <v>3.3333333334876526E-4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input_572106!A$2</f>
        <v>572106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IFERROR(VLOOKUP(B259,input_572106!L:R,7,FALSE),VLOOKUP(tables_572106!C259,input_572106!A:H,8,FALSE))</f>
        <v>32</v>
      </c>
      <c r="P259" s="40">
        <f t="shared" ca="1" si="13"/>
        <v>3.7037037038751696E-5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input_572106!A$2</f>
        <v>572106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IFERROR(VLOOKUP(B260,input_572106!L:R,7,FALSE),VLOOKUP(tables_572106!C260,input_572106!A:H,8,FALSE))</f>
        <v>288</v>
      </c>
      <c r="P260" s="40">
        <f t="shared" ca="1" si="13"/>
        <v>3.3333333334876526E-4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input_572106!A$2</f>
        <v>572106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IFERROR(VLOOKUP(B261,input_572106!L:R,7,FALSE),VLOOKUP(tables_572106!C261,input_572106!A:H,8,FALSE))</f>
        <v>32</v>
      </c>
      <c r="P261" s="40">
        <f t="shared" ca="1" si="13"/>
        <v>3.7037037038751696E-5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input_572106!A$2</f>
        <v>572106</v>
      </c>
      <c r="B262" s="52">
        <v>728</v>
      </c>
      <c r="C262" s="7" t="str">
        <f t="shared" si="12"/>
        <v>Premium4R3lesscolor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">
        <v>35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IFERROR(VLOOKUP(B262,input_572106!L:R,7,FALSE),VLOOKUP(tables_572106!C262,input_572106!A:H,8,FALSE))</f>
        <v>19184.400000000001</v>
      </c>
      <c r="P262" s="40">
        <f t="shared" ca="1" si="13"/>
        <v>2.220416666769463E-2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input_572106!A$2</f>
        <v>572106</v>
      </c>
      <c r="B263" s="52">
        <v>729</v>
      </c>
      <c r="C263" s="7" t="str">
        <f t="shared" si="12"/>
        <v>Premium5R3lesscolor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">
        <v>35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IFERROR(VLOOKUP(B263,input_572106!L:R,7,FALSE),VLOOKUP(tables_572106!C263,input_572106!A:H,8,FALSE))</f>
        <v>774.51428999999996</v>
      </c>
      <c r="P263" s="40">
        <f t="shared" ca="1" si="13"/>
        <v>8.9642857643038975E-4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input_572106!A$2</f>
        <v>572106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IFERROR(VLOOKUP(B264,input_572106!L:R,7,FALSE),VLOOKUP(tables_572106!C264,input_572106!A:H,8,FALSE))</f>
        <v>4189.3714300000001</v>
      </c>
      <c r="P264" s="40">
        <f t="shared" ca="1" si="13"/>
        <v>4.8488095256874432E-3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input_572106!A$2</f>
        <v>572106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IFERROR(VLOOKUP(B265,input_572106!L:R,7,FALSE),VLOOKUP(tables_572106!C265,input_572106!A:H,8,FALSE))</f>
        <v>202.35789</v>
      </c>
      <c r="P265" s="40">
        <f t="shared" ca="1" si="13"/>
        <v>2.342105208441763E-4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input_572106!A$2</f>
        <v>572106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IFERROR(VLOOKUP(B266,input_572106!L:R,7,FALSE),VLOOKUP(tables_572106!C266,input_572106!A:H,8,FALSE))</f>
        <v>320</v>
      </c>
      <c r="P266" s="40">
        <f t="shared" ca="1" si="13"/>
        <v>3.7037037038751696E-4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input_572106!A$2</f>
        <v>572106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IFERROR(VLOOKUP(B267,input_572106!L:R,7,FALSE),VLOOKUP(tables_572106!C267,input_572106!A:H,8,FALSE))</f>
        <v>320</v>
      </c>
      <c r="P267" s="40">
        <f t="shared" ca="1" si="13"/>
        <v>3.7037037038751696E-4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input_572106!A$2</f>
        <v>572106</v>
      </c>
      <c r="B268" s="52">
        <v>742</v>
      </c>
      <c r="C268" s="7" t="str">
        <f t="shared" si="12"/>
        <v>PremiumSS5R5onlycolor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">
        <v>35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IFERROR(VLOOKUP(B268,input_572106!L:R,7,FALSE),VLOOKUP(tables_572106!C268,input_572106!A:H,8,FALSE))</f>
        <v>1440</v>
      </c>
      <c r="P268" s="40">
        <f t="shared" ca="1" si="13"/>
        <v>1.6666666667438264E-3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input_572106!A$2</f>
        <v>572106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IFERROR(VLOOKUP(B269,input_572106!L:R,7,FALSE),VLOOKUP(tables_572106!C269,input_572106!A:H,8,FALSE))</f>
        <v>320</v>
      </c>
      <c r="P269" s="40">
        <f t="shared" ca="1" si="13"/>
        <v>3.7037037038751696E-4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input_572106!A$2</f>
        <v>572106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IFERROR(VLOOKUP(B270,input_572106!L:R,7,FALSE),VLOOKUP(tables_572106!C270,input_572106!A:H,8,FALSE))</f>
        <v>4189.3714300000001</v>
      </c>
      <c r="P270" s="40">
        <f t="shared" ca="1" si="13"/>
        <v>4.8488095256874432E-3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input_572106!A$2</f>
        <v>572106</v>
      </c>
      <c r="B271" s="7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IFERROR(VLOOKUP(B271,input_572106!L:R,7,FALSE),VLOOKUP(tables_572106!C271,input_572106!A:H,8,FALSE))</f>
        <v>202.35789</v>
      </c>
      <c r="P271" s="40">
        <f t="shared" ca="1" si="13"/>
        <v>2.342105208441763E-4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input_572106!A$2</f>
        <v>572106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IFERROR(VLOOKUP(B272,input_572106!L:R,7,FALSE),VLOOKUP(tables_572106!C272,input_572106!A:H,8,FALSE))</f>
        <v>4189.3714300000001</v>
      </c>
      <c r="P272" s="40">
        <f t="shared" ca="1" si="13"/>
        <v>4.8488095256874432E-3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input_572106!A$2</f>
        <v>572106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IFERROR(VLOOKUP(B273,input_572106!L:R,7,FALSE),VLOOKUP(tables_572106!C273,input_572106!A:H,8,FALSE))</f>
        <v>202.35789</v>
      </c>
      <c r="P273" s="40">
        <f t="shared" ca="1" si="13"/>
        <v>2.342105208441763E-4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input_572106!A$2</f>
        <v>572106</v>
      </c>
      <c r="B274" s="71">
        <v>770</v>
      </c>
      <c r="C274" s="7" t="str">
        <f t="shared" si="12"/>
        <v>PremiumSS4color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">
        <v>35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IFERROR(VLOOKUP(B274,input_572106!L:R,7,FALSE),VLOOKUP(tables_572106!C274,input_572106!A:H,8,FALSE))</f>
        <v>1296</v>
      </c>
      <c r="P274" s="40">
        <f t="shared" ca="1" si="13"/>
        <v>1.5000000000694438E-3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input_572106!A$2</f>
        <v>572106</v>
      </c>
      <c r="B275" s="71">
        <v>771</v>
      </c>
      <c r="C275" s="7" t="str">
        <f t="shared" si="12"/>
        <v>PremiumSS5color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">
        <v>35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IFERROR(VLOOKUP(B275,input_572106!L:R,7,FALSE),VLOOKUP(tables_572106!C275,input_572106!A:H,8,FALSE))</f>
        <v>144</v>
      </c>
      <c r="P275" s="40">
        <f t="shared" ca="1" si="13"/>
        <v>1.6666666667438263E-4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input_572106!A$2</f>
        <v>572106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IFERROR(VLOOKUP(B276,input_572106!L:R,7,FALSE),VLOOKUP(tables_572106!C276,input_572106!A:H,8,FALSE))</f>
        <v>288</v>
      </c>
      <c r="P276" s="40">
        <f t="shared" ca="1" si="13"/>
        <v>3.3333333334876526E-4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input_572106!A$2</f>
        <v>572106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IFERROR(VLOOKUP(B277,input_572106!L:R,7,FALSE),VLOOKUP(tables_572106!C277,input_572106!A:H,8,FALSE))</f>
        <v>32</v>
      </c>
      <c r="P277" s="40">
        <f t="shared" ca="1" si="13"/>
        <v>3.7037037038751696E-5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input_572106!A$2</f>
        <v>572106</v>
      </c>
      <c r="B278" s="7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IFERROR(VLOOKUP(B278,input_572106!L:R,7,FALSE),VLOOKUP(tables_572106!C278,input_572106!A:H,8,FALSE))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input_572106!A$2</f>
        <v>572106</v>
      </c>
      <c r="B279" s="7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IFERROR(VLOOKUP(B279,input_572106!L:R,7,FALSE),VLOOKUP(tables_572106!C279,input_572106!A:H,8,FALSE))</f>
        <v>4017.6</v>
      </c>
      <c r="P279" s="40">
        <f t="shared" ca="1" si="13"/>
        <v>4.6500000002152753E-3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input_572106!A$2</f>
        <v>572106</v>
      </c>
      <c r="B280" s="7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IFERROR(VLOOKUP(B280,input_572106!L:R,7,FALSE),VLOOKUP(tables_572106!C280,input_572106!A:H,8,FALSE))</f>
        <v>446.4</v>
      </c>
      <c r="P280" s="40">
        <f t="shared" ca="1" si="13"/>
        <v>5.1666666669058614E-4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input_572106!A$2</f>
        <v>572106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IFERROR(VLOOKUP(B281,input_572106!L:R,7,FALSE),VLOOKUP(tables_572106!C281,input_572106!A:H,8,FALSE))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input_572106!A$2</f>
        <v>572106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IFERROR(VLOOKUP(B282,input_572106!L:R,7,FALSE),VLOOKUP(tables_572106!C282,input_572106!A:H,8,FALSE))</f>
        <v>4017.6</v>
      </c>
      <c r="P282" s="40">
        <f t="shared" ca="1" si="13"/>
        <v>4.6500000002152753E-3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input_572106!A$2</f>
        <v>572106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IFERROR(VLOOKUP(B283,input_572106!L:R,7,FALSE),VLOOKUP(tables_572106!C283,input_572106!A:H,8,FALSE))</f>
        <v>446.4</v>
      </c>
      <c r="P283" s="40">
        <f t="shared" ca="1" si="13"/>
        <v>5.1666666669058614E-4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input_572106!A$2</f>
        <v>572106</v>
      </c>
      <c r="B284" s="5">
        <v>848</v>
      </c>
      <c r="C284" s="7" t="str">
        <f t="shared" si="12"/>
        <v>PremiumSS5R5onlycolor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">
        <v>35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IFERROR(VLOOKUP(B284,input_572106!L:R,7,FALSE),VLOOKUP(tables_572106!C284,input_572106!A:H,8,FALSE))</f>
        <v>1440</v>
      </c>
      <c r="P284" s="40">
        <f t="shared" ca="1" si="13"/>
        <v>1.6666666667438264E-3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input_572106!A$2</f>
        <v>572106</v>
      </c>
      <c r="B285" s="5">
        <v>850</v>
      </c>
      <c r="C285" s="7" t="str">
        <f t="shared" ref="C285:C290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IFERROR(VLOOKUP(B285,input_572106!L:R,7,FALSE),VLOOKUP(tables_572106!C285,input_572106!A:H,8,FALSE))</f>
        <v>320</v>
      </c>
      <c r="P285" s="40">
        <f t="shared" ca="1" si="13"/>
        <v>3.7037037038751696E-4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input_572106!A$2</f>
        <v>572106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IFERROR(VLOOKUP(B286,input_572106!L:R,7,FALSE),VLOOKUP(tables_572106!C286,input_572106!A:H,8,FALSE))</f>
        <v>4189.3714300000001</v>
      </c>
      <c r="P286" s="40">
        <f t="shared" ca="1" si="13"/>
        <v>4.8488095256874432E-3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input_572106!A$2</f>
        <v>572106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IFERROR(VLOOKUP(B287,input_572106!L:R,7,FALSE),VLOOKUP(tables_572106!C287,input_572106!A:H,8,FALSE))</f>
        <v>202.35789</v>
      </c>
      <c r="P287" s="40">
        <f t="shared" ca="1" si="13"/>
        <v>2.342105208441763E-4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input_572106!A$2</f>
        <v>572106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IFERROR(VLOOKUP(B288,input_572106!L:R,7,FALSE),VLOOKUP(tables_572106!C288,input_572106!A:H,8,FALSE))</f>
        <v>4189.3714300000001</v>
      </c>
      <c r="P288" s="40">
        <f t="shared" ca="1" si="13"/>
        <v>4.8488095256874432E-3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input_572106!A$2</f>
        <v>572106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IFERROR(VLOOKUP(B289,input_572106!L:R,7,FALSE),VLOOKUP(tables_572106!C289,input_572106!A:H,8,FALSE))</f>
        <v>202.35789</v>
      </c>
      <c r="P289" s="40">
        <f t="shared" ca="1" si="13"/>
        <v>2.342105208441763E-4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input_572106!A$2</f>
        <v>572106</v>
      </c>
      <c r="B290" s="5">
        <v>862</v>
      </c>
      <c r="C290" s="7" t="str">
        <f t="shared" si="15"/>
        <v>Premium4R3lesscolor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">
        <v>35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IFERROR(VLOOKUP(B290,input_572106!L:R,7,FALSE),VLOOKUP(tables_572106!C290,input_572106!A:H,8,FALSE))</f>
        <v>19184.400000000001</v>
      </c>
      <c r="P290" s="40">
        <f t="shared" ca="1" si="13"/>
        <v>2.220416666769463E-2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input_572106!A$2</f>
        <v>572106</v>
      </c>
      <c r="B291" s="5">
        <v>863</v>
      </c>
      <c r="C291" s="7" t="str">
        <f t="shared" ref="C291:C300" si="16">D291&amp;J291&amp;E291&amp;F291&amp;G291</f>
        <v>Premium5R3lesscolor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">
        <v>35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IFERROR(VLOOKUP(B291,input_572106!L:R,7,FALSE),VLOOKUP(tables_572106!C291,input_572106!A:H,8,FALSE))</f>
        <v>774.51428999999996</v>
      </c>
      <c r="P291" s="40">
        <f t="shared" ca="1" si="13"/>
        <v>8.9642857643038975E-4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input_572106!A$2</f>
        <v>572106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IFERROR(VLOOKUP(B292,input_572106!L:R,7,FALSE),VLOOKUP(tables_572106!C292,input_572106!A:H,8,FALSE))</f>
        <v>4189.3714300000001</v>
      </c>
      <c r="P292" s="40">
        <f t="shared" ca="1" si="13"/>
        <v>4.8488095256874432E-3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input_572106!A$2</f>
        <v>572106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IFERROR(VLOOKUP(B293,input_572106!L:R,7,FALSE),VLOOKUP(tables_572106!C293,input_572106!A:H,8,FALSE))</f>
        <v>202.35789</v>
      </c>
      <c r="P293" s="40">
        <f t="shared" ca="1" si="13"/>
        <v>2.342105208441763E-4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input_572106!A$2</f>
        <v>572106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IFERROR(VLOOKUP(B294,input_572106!L:R,7,FALSE),VLOOKUP(tables_572106!C294,input_572106!A:H,8,FALSE))</f>
        <v>320</v>
      </c>
      <c r="P294" s="40">
        <f t="shared" ca="1" si="13"/>
        <v>3.7037037038751696E-4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input_572106!A$2</f>
        <v>572106</v>
      </c>
      <c r="B295" s="5">
        <v>868</v>
      </c>
      <c r="C295" s="7" t="str">
        <f t="shared" si="16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IFERROR(VLOOKUP(B295,input_572106!L:R,7,FALSE),VLOOKUP(tables_572106!C295,input_572106!A:H,8,FALSE))</f>
        <v>320</v>
      </c>
      <c r="P295" s="40">
        <f t="shared" ca="1" si="13"/>
        <v>3.7037037038751696E-4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input_572106!A$2</f>
        <v>572106</v>
      </c>
      <c r="B296" s="5">
        <v>937</v>
      </c>
      <c r="C296" s="7" t="str">
        <f t="shared" si="16"/>
        <v>PremiumSS5R5onlycolor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">
        <v>35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IFERROR(VLOOKUP(B296,input_572106!L:R,7,FALSE),VLOOKUP(tables_572106!C296,input_572106!A:H,8,FALSE))</f>
        <v>1440</v>
      </c>
      <c r="P296" s="40">
        <f t="shared" ca="1" si="13"/>
        <v>1.6666666667438264E-3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input_572106!A$2</f>
        <v>572106</v>
      </c>
      <c r="B297" s="5">
        <v>939</v>
      </c>
      <c r="C297" s="7" t="str">
        <f t="shared" si="16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IFERROR(VLOOKUP(B297,input_572106!L:R,7,FALSE),VLOOKUP(tables_572106!C297,input_572106!A:H,8,FALSE))</f>
        <v>4189.3714300000001</v>
      </c>
      <c r="P297" s="40">
        <f t="shared" ca="1" si="13"/>
        <v>4.8488095256874432E-3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input_572106!A$2</f>
        <v>572106</v>
      </c>
      <c r="B298" s="5">
        <v>940</v>
      </c>
      <c r="C298" s="7" t="str">
        <f t="shared" si="16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IFERROR(VLOOKUP(B298,input_572106!L:R,7,FALSE),VLOOKUP(tables_572106!C298,input_572106!A:H,8,FALSE))</f>
        <v>202.35789</v>
      </c>
      <c r="P298" s="40">
        <f t="shared" ca="1" si="13"/>
        <v>2.342105208441763E-4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input_572106!A$2</f>
        <v>572106</v>
      </c>
      <c r="B299" s="5">
        <v>941</v>
      </c>
      <c r="C299" s="7" t="str">
        <f t="shared" si="16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IFERROR(VLOOKUP(B299,input_572106!L:R,7,FALSE),VLOOKUP(tables_572106!C299,input_572106!A:H,8,FALSE))</f>
        <v>320</v>
      </c>
      <c r="P299" s="40">
        <f t="shared" ca="1" si="13"/>
        <v>3.7037037038751696E-4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input_572106!A$2</f>
        <v>572106</v>
      </c>
      <c r="B300" s="5">
        <v>943</v>
      </c>
      <c r="C300" s="7" t="str">
        <f t="shared" si="16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IFERROR(VLOOKUP(B300,input_572106!L:R,7,FALSE),VLOOKUP(tables_572106!C300,input_572106!A:H,8,FALSE))</f>
        <v>320</v>
      </c>
      <c r="P300" s="40">
        <f t="shared" ca="1" si="13"/>
        <v>3.7037037038751696E-4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input_572106!A$2</f>
        <v>572106</v>
      </c>
      <c r="B301" s="5">
        <v>1012</v>
      </c>
      <c r="C301" s="7" t="str">
        <f t="shared" ref="C301:C305" si="17">D301&amp;J301&amp;E301&amp;F301&amp;G301</f>
        <v>PremiumSS5R5onlycolor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">
        <v>35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IFERROR(VLOOKUP(B301,input_572106!L:R,7,FALSE),VLOOKUP(tables_572106!C301,input_572106!A:H,8,FALSE))</f>
        <v>1440</v>
      </c>
      <c r="P301" s="40">
        <f t="shared" ca="1" si="13"/>
        <v>1.6666666667438264E-3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input_572106!A$2</f>
        <v>572106</v>
      </c>
      <c r="B302" s="5">
        <v>1014</v>
      </c>
      <c r="C302" s="7" t="str">
        <f t="shared" si="17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IFERROR(VLOOKUP(B302,input_572106!L:R,7,FALSE),VLOOKUP(tables_572106!C302,input_572106!A:H,8,FALSE))</f>
        <v>320</v>
      </c>
      <c r="P302" s="40">
        <f t="shared" ca="1" si="13"/>
        <v>3.7037037038751696E-4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input_572106!A$2</f>
        <v>572106</v>
      </c>
      <c r="B303" s="5">
        <v>1016</v>
      </c>
      <c r="C303" s="7" t="str">
        <f t="shared" si="17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IFERROR(VLOOKUP(B303,input_572106!L:R,7,FALSE),VLOOKUP(tables_572106!C303,input_572106!A:H,8,FALSE))</f>
        <v>4189.3714300000001</v>
      </c>
      <c r="P303" s="40">
        <f t="shared" ca="1" si="13"/>
        <v>4.8488095256874432E-3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input_572106!A$2</f>
        <v>572106</v>
      </c>
      <c r="B304" s="5">
        <v>1017</v>
      </c>
      <c r="C304" s="7" t="str">
        <f t="shared" si="17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IFERROR(VLOOKUP(B304,input_572106!L:R,7,FALSE),VLOOKUP(tables_572106!C304,input_572106!A:H,8,FALSE))</f>
        <v>202.35789</v>
      </c>
      <c r="P304" s="40">
        <f t="shared" ca="1" si="13"/>
        <v>2.342105208441763E-4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input_572106!A$2</f>
        <v>572106</v>
      </c>
      <c r="B305" s="5">
        <v>1018</v>
      </c>
      <c r="C305" s="7" t="str">
        <f t="shared" si="17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IFERROR(VLOOKUP(B305,input_572106!L:R,7,FALSE),VLOOKUP(tables_572106!C305,input_572106!A:H,8,FALSE))</f>
        <v>320</v>
      </c>
      <c r="P305" s="40">
        <f t="shared" ca="1" si="13"/>
        <v>3.7037037038751696E-4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input_572106!A$2</f>
        <v>572106</v>
      </c>
      <c r="B306" s="5">
        <v>1026</v>
      </c>
      <c r="C306" s="7" t="str">
        <f t="shared" ref="C306:C310" si="18">D306&amp;J306&amp;E306&amp;F306&amp;G306</f>
        <v>Premium4R3lesscolor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">
        <v>35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IFERROR(VLOOKUP(B306,input_572106!L:R,7,FALSE),VLOOKUP(tables_572106!C306,input_572106!A:H,8,FALSE))</f>
        <v>19184.400000000001</v>
      </c>
      <c r="P306" s="40">
        <f t="shared" ref="P306:P310" ca="1" si="19">O306/SUM(O:O)</f>
        <v>2.220416666769463E-2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input_572106!A$2</f>
        <v>572106</v>
      </c>
      <c r="B307" s="5">
        <v>1027</v>
      </c>
      <c r="C307" s="7" t="str">
        <f t="shared" si="18"/>
        <v>Premium5R3lesscolor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">
        <v>35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IFERROR(VLOOKUP(B307,input_572106!L:R,7,FALSE),VLOOKUP(tables_572106!C307,input_572106!A:H,8,FALSE))</f>
        <v>774.51428999999996</v>
      </c>
      <c r="P307" s="40">
        <f t="shared" ca="1" si="19"/>
        <v>8.9642857643038975E-4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input_572106!A$2</f>
        <v>572106</v>
      </c>
      <c r="B308" s="5">
        <v>1028</v>
      </c>
      <c r="C308" s="7" t="str">
        <f t="shared" si="18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IFERROR(VLOOKUP(B308,input_572106!L:R,7,FALSE),VLOOKUP(tables_572106!C308,input_572106!A:H,8,FALSE))</f>
        <v>320</v>
      </c>
      <c r="P308" s="40">
        <f t="shared" ca="1" si="19"/>
        <v>3.7037037038751696E-4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input_572106!A$2</f>
        <v>572106</v>
      </c>
      <c r="B309" s="5">
        <v>1031</v>
      </c>
      <c r="C309" s="7" t="str">
        <f t="shared" si="18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IFERROR(VLOOKUP(B309,input_572106!L:R,7,FALSE),VLOOKUP(tables_572106!C309,input_572106!A:H,8,FALSE))</f>
        <v>320</v>
      </c>
      <c r="P309" s="40">
        <f t="shared" ca="1" si="19"/>
        <v>3.7037037038751696E-4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input_572106!A$2</f>
        <v>572106</v>
      </c>
      <c r="B310" s="5">
        <v>1033</v>
      </c>
      <c r="C310" s="7" t="str">
        <f t="shared" si="18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IFERROR(VLOOKUP(B310,input_572106!L:R,7,FALSE),VLOOKUP(tables_572106!C310,input_572106!A:H,8,FALSE))</f>
        <v>320</v>
      </c>
      <c r="P310" s="40">
        <f t="shared" ca="1" si="19"/>
        <v>3.7037037038751696E-4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input_572106!A$2</f>
        <v>572106</v>
      </c>
      <c r="B311" s="5">
        <v>1067</v>
      </c>
      <c r="C311" s="7" t="str">
        <f t="shared" ref="C311:C319" si="20">D311&amp;J311&amp;E311&amp;F311&amp;G311</f>
        <v>Premium4R3lesscolor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">
        <v>35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IFERROR(VLOOKUP(B311,input_572106!L:R,7,FALSE),VLOOKUP(tables_572106!C311,input_572106!A:H,8,FALSE))</f>
        <v>19184.400000000001</v>
      </c>
      <c r="P311" s="40">
        <f t="shared" ref="P311:P319" ca="1" si="21">O311/SUM(O:O)</f>
        <v>2.220416666769463E-2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input_572106!A$2</f>
        <v>572106</v>
      </c>
      <c r="B312" s="5">
        <v>1068</v>
      </c>
      <c r="C312" s="7" t="str">
        <f t="shared" si="20"/>
        <v>Premium5R3lesscolor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">
        <v>35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IFERROR(VLOOKUP(B312,input_572106!L:R,7,FALSE),VLOOKUP(tables_572106!C312,input_572106!A:H,8,FALSE))</f>
        <v>774.51428999999996</v>
      </c>
      <c r="P312" s="40">
        <f t="shared" ca="1" si="21"/>
        <v>8.9642857643038975E-4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input_572106!A$2</f>
        <v>572106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IFERROR(VLOOKUP(B313,input_572106!L:R,7,FALSE),VLOOKUP(tables_572106!C313,input_572106!A:H,8,FALSE))</f>
        <v>320</v>
      </c>
      <c r="P313" s="40">
        <f t="shared" ca="1" si="21"/>
        <v>3.7037037038751696E-4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input_572106!A$2</f>
        <v>572106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IFERROR(VLOOKUP(B314,input_572106!L:R,7,FALSE),VLOOKUP(tables_572106!C314,input_572106!A:H,8,FALSE))</f>
        <v>320</v>
      </c>
      <c r="P314" s="40">
        <f t="shared" ca="1" si="21"/>
        <v>3.7037037038751696E-4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input_572106!A$2</f>
        <v>572106</v>
      </c>
      <c r="B315" s="5">
        <v>1074</v>
      </c>
      <c r="C315" s="7" t="str">
        <f t="shared" si="20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IFERROR(VLOOKUP(B315,input_572106!L:R,7,FALSE),VLOOKUP(tables_572106!C315,input_572106!A:H,8,FALSE))</f>
        <v>320</v>
      </c>
      <c r="P315" s="40">
        <f t="shared" ca="1" si="21"/>
        <v>3.7037037038751696E-4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input_572106!A$2</f>
        <v>572106</v>
      </c>
      <c r="B316" s="5">
        <v>1100</v>
      </c>
      <c r="C316" s="7" t="str">
        <f t="shared" si="20"/>
        <v>PremiumSS5R5onlycolor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">
        <v>35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IFERROR(VLOOKUP(B316,input_572106!L:R,7,FALSE),VLOOKUP(tables_572106!C316,input_572106!A:H,8,FALSE))</f>
        <v>1440</v>
      </c>
      <c r="P316" s="40">
        <f t="shared" ca="1" si="21"/>
        <v>1.6666666667438264E-3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input_572106!A$2</f>
        <v>572106</v>
      </c>
      <c r="B317" s="5">
        <v>1102</v>
      </c>
      <c r="C317" s="7" t="str">
        <f t="shared" si="20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IFERROR(VLOOKUP(B317,input_572106!L:R,7,FALSE),VLOOKUP(tables_572106!C317,input_572106!A:H,8,FALSE))</f>
        <v>320</v>
      </c>
      <c r="P317" s="40">
        <f t="shared" ca="1" si="21"/>
        <v>3.7037037038751696E-4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input_572106!A$2</f>
        <v>572106</v>
      </c>
      <c r="B318" s="5">
        <v>1104</v>
      </c>
      <c r="C318" s="7" t="str">
        <f t="shared" si="20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IFERROR(VLOOKUP(B318,input_572106!L:R,7,FALSE),VLOOKUP(tables_572106!C318,input_572106!A:H,8,FALSE))</f>
        <v>4189.3714300000001</v>
      </c>
      <c r="P318" s="40">
        <f t="shared" ca="1" si="21"/>
        <v>4.8488095256874432E-3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input_572106!A$2</f>
        <v>572106</v>
      </c>
      <c r="B319" s="5">
        <v>1105</v>
      </c>
      <c r="C319" s="7" t="str">
        <f t="shared" si="20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IFERROR(VLOOKUP(B319,input_572106!L:R,7,FALSE),VLOOKUP(tables_572106!C319,input_572106!A:H,8,FALSE))</f>
        <v>202.35789</v>
      </c>
      <c r="P319" s="40">
        <f t="shared" ca="1" si="21"/>
        <v>2.342105208441763E-4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input_572106!A$2</f>
        <v>572106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IFERROR(VLOOKUP(B320,input_572106!L:R,7,FALSE),VLOOKUP(tables_572106!C320,input_572106!A:H,8,FALSE))</f>
        <v>320</v>
      </c>
      <c r="P320" s="40">
        <f t="shared" ref="P320:P324" ca="1" si="23">O320/SUM(O:O)</f>
        <v>3.7037037038751696E-4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input_572106!A$2</f>
        <v>572106</v>
      </c>
      <c r="B321" s="5">
        <v>1137</v>
      </c>
      <c r="C321" s="7" t="str">
        <f t="shared" si="22"/>
        <v>PremiumSS5R5onlycolor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">
        <v>35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IFERROR(VLOOKUP(B321,input_572106!L:R,7,FALSE),VLOOKUP(tables_572106!C321,input_572106!A:H,8,FALSE))</f>
        <v>1440</v>
      </c>
      <c r="P321" s="40">
        <f t="shared" ca="1" si="23"/>
        <v>1.6666666667438264E-3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input_572106!A$2</f>
        <v>572106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IFERROR(VLOOKUP(B322,input_572106!L:R,7,FALSE),VLOOKUP(tables_572106!C322,input_572106!A:H,8,FALSE))</f>
        <v>320</v>
      </c>
      <c r="P322" s="40">
        <f t="shared" ca="1" si="23"/>
        <v>3.7037037038751696E-4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input_572106!A$2</f>
        <v>572106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IFERROR(VLOOKUP(B323,input_572106!L:R,7,FALSE),VLOOKUP(tables_572106!C323,input_572106!A:H,8,FALSE))</f>
        <v>320</v>
      </c>
      <c r="P323" s="40">
        <f t="shared" ca="1" si="23"/>
        <v>3.7037037038751696E-4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input_572106!A$2</f>
        <v>572106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IFERROR(VLOOKUP(B324,input_572106!L:R,7,FALSE),VLOOKUP(tables_572106!C324,input_572106!A:H,8,FALSE))</f>
        <v>4189.3714300000001</v>
      </c>
      <c r="P324" s="40">
        <f t="shared" ca="1" si="23"/>
        <v>4.8488095256874432E-3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input_572106!A$2</f>
        <v>572106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IFERROR(VLOOKUP(B325,input_572106!L:R,7,FALSE),VLOOKUP(tables_572106!C325,input_572106!A:H,8,FALSE))</f>
        <v>202.35789</v>
      </c>
      <c r="P325" s="40">
        <f t="shared" ref="P325:P330" ca="1" si="26">O325/SUM(O:O)</f>
        <v>2.342105208441763E-4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input_572106!A$2</f>
        <v>572106</v>
      </c>
      <c r="B326" s="2">
        <v>1151</v>
      </c>
      <c r="C326" s="7" t="str">
        <f t="shared" si="25"/>
        <v>Premium4R3lesscolor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">
        <v>35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IFERROR(VLOOKUP(B326,input_572106!L:R,7,FALSE),VLOOKUP(tables_572106!C326,input_572106!A:H,8,FALSE))</f>
        <v>19184.400000000001</v>
      </c>
      <c r="P326" s="40">
        <f t="shared" ca="1" si="26"/>
        <v>2.220416666769463E-2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input_572106!A$2</f>
        <v>572106</v>
      </c>
      <c r="B327" s="2">
        <v>1152</v>
      </c>
      <c r="C327" s="7" t="str">
        <f t="shared" si="25"/>
        <v>Premium5R3lesscolor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">
        <v>35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IFERROR(VLOOKUP(B327,input_572106!L:R,7,FALSE),VLOOKUP(tables_572106!C327,input_572106!A:H,8,FALSE))</f>
        <v>774.51428999999996</v>
      </c>
      <c r="P327" s="40">
        <f t="shared" ca="1" si="26"/>
        <v>8.9642857643038975E-4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input_572106!A$2</f>
        <v>572106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IFERROR(VLOOKUP(B328,input_572106!L:R,7,FALSE),VLOOKUP(tables_572106!C328,input_572106!A:H,8,FALSE))</f>
        <v>320</v>
      </c>
      <c r="P328" s="40">
        <f t="shared" ca="1" si="26"/>
        <v>3.7037037038751696E-4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input_572106!A$2</f>
        <v>572106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IFERROR(VLOOKUP(B329,input_572106!L:R,7,FALSE),VLOOKUP(tables_572106!C329,input_572106!A:H,8,FALSE))</f>
        <v>320</v>
      </c>
      <c r="P329" s="40">
        <f t="shared" ca="1" si="26"/>
        <v>3.7037037038751696E-4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input_572106!A$2</f>
        <v>572106</v>
      </c>
      <c r="B330" s="2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IFERROR(VLOOKUP(B330,input_572106!L:R,7,FALSE),VLOOKUP(tables_572106!C330,input_572106!A:H,8,FALSE))</f>
        <v>320</v>
      </c>
      <c r="P330" s="40">
        <f t="shared" ca="1" si="26"/>
        <v>3.7037037038751696E-4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input_572106!A$2</f>
        <v>572106</v>
      </c>
      <c r="B331" s="52">
        <v>1214</v>
      </c>
      <c r="C331" s="7" t="str">
        <f t="shared" ref="C331:C340" si="27">D331&amp;J331&amp;E331&amp;F331&amp;G331</f>
        <v>PremiumSS5R5only</v>
      </c>
      <c r="D331" s="7" t="str">
        <f t="shared" ref="D331:D340" si="28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IFERROR(VLOOKUP(B331,input_572106!L:R,7,FALSE),VLOOKUP(tables_572106!C331,input_572106!A:H,8,FALSE))</f>
        <v>320</v>
      </c>
      <c r="P331" s="40">
        <f t="shared" ref="P331:P340" ca="1" si="29">O331/SUM(O:O)</f>
        <v>3.7037037038751696E-4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input_572106!A$2</f>
        <v>572106</v>
      </c>
      <c r="B332" s="52">
        <v>1212</v>
      </c>
      <c r="C332" s="7" t="str">
        <f t="shared" si="27"/>
        <v>PremiumSS5R5only</v>
      </c>
      <c r="D332" s="7" t="str">
        <f t="shared" si="2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IFERROR(VLOOKUP(B332,input_572106!L:R,7,FALSE),VLOOKUP(tables_572106!C332,input_572106!A:H,8,FALSE))</f>
        <v>320</v>
      </c>
      <c r="P332" s="40">
        <f t="shared" ca="1" si="29"/>
        <v>3.7037037038751696E-4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input_572106!A$2</f>
        <v>572106</v>
      </c>
      <c r="B333" s="52">
        <v>1208</v>
      </c>
      <c r="C333" s="7" t="str">
        <f t="shared" si="27"/>
        <v>PremiumSS5R5onlycolor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">
        <v>35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IFERROR(VLOOKUP(B333,input_572106!L:R,7,FALSE),VLOOKUP(tables_572106!C333,input_572106!A:H,8,FALSE))</f>
        <v>1440</v>
      </c>
      <c r="P333" s="40">
        <f t="shared" ca="1" si="29"/>
        <v>1.6666666667438264E-3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input_572106!A$2</f>
        <v>572106</v>
      </c>
      <c r="B334" s="96">
        <v>1210</v>
      </c>
      <c r="C334" s="7" t="str">
        <f t="shared" si="27"/>
        <v>Premium4R3less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IFERROR(VLOOKUP(B334,input_572106!L:R,7,FALSE),VLOOKUP(tables_572106!C334,input_572106!A:H,8,FALSE))</f>
        <v>4189.3714300000001</v>
      </c>
      <c r="P334" s="40">
        <f t="shared" ca="1" si="29"/>
        <v>4.8488095256874432E-3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input_572106!A$2</f>
        <v>572106</v>
      </c>
      <c r="B335" s="52">
        <v>1211</v>
      </c>
      <c r="C335" s="7" t="str">
        <f t="shared" si="27"/>
        <v>Premium5R3less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IFERROR(VLOOKUP(B335,input_572106!L:R,7,FALSE),VLOOKUP(tables_572106!C335,input_572106!A:H,8,FALSE))</f>
        <v>202.35789</v>
      </c>
      <c r="P335" s="40">
        <f t="shared" ca="1" si="29"/>
        <v>2.342105208441763E-4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input_572106!A$2</f>
        <v>572106</v>
      </c>
      <c r="B336" s="2">
        <v>1224</v>
      </c>
      <c r="C336" s="7" t="str">
        <f t="shared" si="27"/>
        <v>Premium4R3lesscolor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">
        <v>35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IFERROR(VLOOKUP(B336,input_572106!L:R,7,FALSE),VLOOKUP(tables_572106!C336,input_572106!A:H,8,FALSE))</f>
        <v>19184.400000000001</v>
      </c>
      <c r="P336" s="40">
        <f t="shared" ca="1" si="29"/>
        <v>2.220416666769463E-2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input_572106!A$2</f>
        <v>572106</v>
      </c>
      <c r="B337" s="2">
        <v>1225</v>
      </c>
      <c r="C337" s="7" t="str">
        <f t="shared" si="27"/>
        <v>Premium5R3lesscolor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">
        <v>35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IFERROR(VLOOKUP(B337,input_572106!L:R,7,FALSE),VLOOKUP(tables_572106!C337,input_572106!A:H,8,FALSE))</f>
        <v>774.51428999999996</v>
      </c>
      <c r="P337" s="40">
        <f t="shared" ca="1" si="29"/>
        <v>8.9642857643038975E-4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input_572106!A$2</f>
        <v>572106</v>
      </c>
      <c r="B338" s="2">
        <v>1226</v>
      </c>
      <c r="C338" s="7" t="str">
        <f t="shared" si="27"/>
        <v>PremiumSS5R5only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IFERROR(VLOOKUP(B338,input_572106!L:R,7,FALSE),VLOOKUP(tables_572106!C338,input_572106!A:H,8,FALSE))</f>
        <v>320</v>
      </c>
      <c r="P338" s="40">
        <f t="shared" ca="1" si="29"/>
        <v>3.7037037038751696E-4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input_572106!A$2</f>
        <v>572106</v>
      </c>
      <c r="B339" s="2">
        <v>1228</v>
      </c>
      <c r="C339" s="7" t="str">
        <f t="shared" si="27"/>
        <v>PremiumSS5R5only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IFERROR(VLOOKUP(B339,input_572106!L:R,7,FALSE),VLOOKUP(tables_572106!C339,input_572106!A:H,8,FALSE))</f>
        <v>320</v>
      </c>
      <c r="P339" s="40">
        <f t="shared" ca="1" si="29"/>
        <v>3.7037037038751696E-4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input_572106!A$2</f>
        <v>572106</v>
      </c>
      <c r="B340" s="2">
        <v>1230</v>
      </c>
      <c r="C340" s="7" t="str">
        <f t="shared" si="27"/>
        <v>PremiumSS5R5only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IFERROR(VLOOKUP(B340,input_572106!L:R,7,FALSE),VLOOKUP(tables_572106!C340,input_572106!A:H,8,FALSE))</f>
        <v>320</v>
      </c>
      <c r="P340" s="40">
        <f t="shared" ca="1" si="29"/>
        <v>3.7037037038751696E-4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input_572106!A$2</f>
        <v>572106</v>
      </c>
      <c r="B341" s="2">
        <v>1244</v>
      </c>
      <c r="C341" s="7" t="str">
        <f t="shared" ref="C341" si="30">D341&amp;J341&amp;E341&amp;F341&amp;G341</f>
        <v>PremiumSS5R5onlycolor</v>
      </c>
      <c r="D341" s="7" t="str">
        <f t="shared" ref="D341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">
        <v>35</v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IFERROR(VLOOKUP(B341,input_572106!L:R,7,FALSE),VLOOKUP(tables_572106!C341,input_572106!A:H,8,FALSE))</f>
        <v>1440</v>
      </c>
      <c r="P341" s="40">
        <f t="shared" ref="P341" ca="1" si="32">O341/SUM(O:O)</f>
        <v>1.6666666667438264E-3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input_572106!A$2</f>
        <v>572106</v>
      </c>
      <c r="B342" s="2">
        <v>1246</v>
      </c>
      <c r="C342" s="7" t="str">
        <f t="shared" ref="C342:C346" si="33">D342&amp;J342&amp;E342&amp;F342&amp;G342</f>
        <v>PremiumSS5R5only</v>
      </c>
      <c r="D342" s="7" t="str">
        <f t="shared" ref="D342:D346" si="34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IFERROR(VLOOKUP(B342,input_572106!L:R,7,FALSE),VLOOKUP(tables_572106!C342,input_572106!A:H,8,FALSE))</f>
        <v>320</v>
      </c>
      <c r="P342" s="40">
        <f t="shared" ref="P342:P346" ca="1" si="35">O342/SUM(O:O)</f>
        <v>3.7037037038751696E-4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input_572106!A$2</f>
        <v>572106</v>
      </c>
      <c r="B343" s="2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IFERROR(VLOOKUP(B343,input_572106!L:R,7,FALSE),VLOOKUP(tables_572106!C343,input_572106!A:H,8,FALSE))</f>
        <v>4189.3714300000001</v>
      </c>
      <c r="P343" s="40">
        <f t="shared" ca="1" si="35"/>
        <v>4.8488095256874432E-3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input_572106!A$2</f>
        <v>572106</v>
      </c>
      <c r="B344" s="2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IFERROR(VLOOKUP(B344,input_572106!L:R,7,FALSE),VLOOKUP(tables_572106!C344,input_572106!A:H,8,FALSE))</f>
        <v>202.35789</v>
      </c>
      <c r="P344" s="40">
        <f t="shared" ca="1" si="35"/>
        <v>2.342105208441763E-4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input_572106!A$2</f>
        <v>572106</v>
      </c>
      <c r="B345" s="2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IFERROR(VLOOKUP(B345,input_572106!L:R,7,FALSE),VLOOKUP(tables_572106!C345,input_572106!A:H,8,FALSE))</f>
        <v>320</v>
      </c>
      <c r="P345" s="40">
        <f t="shared" ca="1" si="35"/>
        <v>3.7037037038751696E-4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input_572106!A$2</f>
        <v>572106</v>
      </c>
      <c r="B346" s="1">
        <v>1260</v>
      </c>
      <c r="C346" s="7" t="str">
        <f t="shared" si="33"/>
        <v>PremiumSS5R5onlycolor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">
        <v>35</v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IFERROR(VLOOKUP(B346,input_572106!L:R,7,FALSE),VLOOKUP(tables_572106!C346,input_572106!A:H,8,FALSE))</f>
        <v>1440</v>
      </c>
      <c r="P346" s="40">
        <f t="shared" ca="1" si="35"/>
        <v>1.6666666667438264E-3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input_572106!A$2</f>
        <v>572106</v>
      </c>
      <c r="B347" s="1">
        <v>1262</v>
      </c>
      <c r="C347" s="7" t="str">
        <f t="shared" ref="C347:C356" si="36">D347&amp;J347&amp;E347&amp;F347&amp;G347</f>
        <v>PremiumSS5R5only</v>
      </c>
      <c r="D347" s="7" t="str">
        <f t="shared" ref="D347:D356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IFERROR(VLOOKUP(B347,input_572106!L:R,7,FALSE),VLOOKUP(tables_572106!C347,input_572106!A:H,8,FALSE))</f>
        <v>320</v>
      </c>
      <c r="P347" s="40">
        <f t="shared" ref="P347:P350" ca="1" si="38">O347/SUM(O:O)</f>
        <v>3.7037037038751696E-4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input_572106!A$2</f>
        <v>572106</v>
      </c>
      <c r="B348" s="1">
        <v>1264</v>
      </c>
      <c r="C348" s="7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IFERROR(VLOOKUP(B348,input_572106!L:R,7,FALSE),VLOOKUP(tables_572106!C348,input_572106!A:H,8,FALSE))</f>
        <v>320</v>
      </c>
      <c r="P348" s="40">
        <f t="shared" ca="1" si="38"/>
        <v>3.7037037038751696E-4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input_572106!A$2</f>
        <v>572106</v>
      </c>
      <c r="B349" s="1">
        <v>1266</v>
      </c>
      <c r="C349" s="7" t="str">
        <f t="shared" si="36"/>
        <v>Premium4R3less</v>
      </c>
      <c r="D349" s="7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IFERROR(VLOOKUP(B349,input_572106!L:R,7,FALSE),VLOOKUP(tables_572106!C349,input_572106!A:H,8,FALSE))</f>
        <v>4189.3714300000001</v>
      </c>
      <c r="P349" s="40">
        <f t="shared" ca="1" si="38"/>
        <v>4.8488095256874432E-3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input_572106!A$2</f>
        <v>572106</v>
      </c>
      <c r="B350" s="1">
        <v>1267</v>
      </c>
      <c r="C350" s="7" t="str">
        <f t="shared" si="36"/>
        <v>Premium5R3less</v>
      </c>
      <c r="D350" s="7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IFERROR(VLOOKUP(B350,input_572106!L:R,7,FALSE),VLOOKUP(tables_572106!C350,input_572106!A:H,8,FALSE))</f>
        <v>202.35789</v>
      </c>
      <c r="P350" s="40">
        <f t="shared" ca="1" si="38"/>
        <v>2.342105208441763E-4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input_572106!A$2</f>
        <v>572106</v>
      </c>
      <c r="B351" s="102">
        <v>1332</v>
      </c>
      <c r="C351" s="86" t="str">
        <f t="shared" si="36"/>
        <v>PremiumSS5R5onlycolor</v>
      </c>
      <c r="D351" s="7" t="str">
        <f t="shared" si="37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 t="s">
        <v>35</v>
      </c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IFERROR(VLOOKUP(B351,input_572106!L:R,7,FALSE),VLOOKUP(tables_572106!C351,input_572106!A:H,8,FALSE))</f>
        <v>1440</v>
      </c>
      <c r="P351" s="40">
        <f t="shared" ref="P351:P356" ca="1" si="39">O351/SUM(O:O)</f>
        <v>1.6666666667438264E-3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input_572106!A$2</f>
        <v>572106</v>
      </c>
      <c r="B352" s="102">
        <v>1336</v>
      </c>
      <c r="C352" s="86" t="str">
        <f t="shared" si="36"/>
        <v>PremiumSS5R5only</v>
      </c>
      <c r="D352" s="7" t="str">
        <f t="shared" si="37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IFERROR(VLOOKUP(B352,input_572106!L:R,7,FALSE),VLOOKUP(tables_572106!C352,input_572106!A:H,8,FALSE))</f>
        <v>320</v>
      </c>
      <c r="P352" s="40">
        <f t="shared" ca="1" si="39"/>
        <v>3.7037037038751696E-4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input_572106!A$2</f>
        <v>572106</v>
      </c>
      <c r="B353" s="102">
        <v>1338</v>
      </c>
      <c r="C353" s="86" t="str">
        <f t="shared" si="36"/>
        <v>PremiumSS5R5only</v>
      </c>
      <c r="D353" s="7" t="str">
        <f t="shared" si="37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IFERROR(VLOOKUP(B353,input_572106!L:R,7,FALSE),VLOOKUP(tables_572106!C353,input_572106!A:H,8,FALSE))</f>
        <v>320</v>
      </c>
      <c r="P353" s="40">
        <f t="shared" ca="1" si="39"/>
        <v>3.7037037038751696E-4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input_572106!A$2</f>
        <v>572106</v>
      </c>
      <c r="B354" s="102">
        <v>1334</v>
      </c>
      <c r="C354" s="86" t="str">
        <f t="shared" si="36"/>
        <v>Premium4R3less</v>
      </c>
      <c r="D354" s="7" t="str">
        <f t="shared" si="37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IFERROR(VLOOKUP(B354,input_572106!L:R,7,FALSE),VLOOKUP(tables_572106!C354,input_572106!A:H,8,FALSE))</f>
        <v>4189.3714300000001</v>
      </c>
      <c r="P354" s="40">
        <f t="shared" ca="1" si="39"/>
        <v>4.8488095256874432E-3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input_572106!A$2</f>
        <v>572106</v>
      </c>
      <c r="B355" s="102">
        <v>1335</v>
      </c>
      <c r="C355" s="86" t="str">
        <f t="shared" si="36"/>
        <v>Premium5R3less</v>
      </c>
      <c r="D355" s="7" t="str">
        <f t="shared" si="37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IFERROR(VLOOKUP(B355,input_572106!L:R,7,FALSE),VLOOKUP(tables_572106!C355,input_572106!A:H,8,FALSE))</f>
        <v>202.35789</v>
      </c>
      <c r="P355" s="40">
        <f t="shared" ca="1" si="39"/>
        <v>2.342105208441763E-4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input_572106!A$2</f>
        <v>572106</v>
      </c>
      <c r="B356" s="1">
        <v>786</v>
      </c>
      <c r="C356" s="86" t="str">
        <f t="shared" si="36"/>
        <v>PremiumSSS5R3lesscolor</v>
      </c>
      <c r="D356" s="7" t="str">
        <f t="shared" si="37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35</v>
      </c>
      <c r="H356" s="7" t="str">
        <f>VLOOKUP(B356,[1]characters!$A:$C,3,FALSE)</f>
        <v>ヘイウェイ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dragon</v>
      </c>
      <c r="N356" s="7" t="str">
        <f>VLOOKUP(B356,[1]characters!$A:$G,7,FALSE)</f>
        <v>男性</v>
      </c>
      <c r="O356" s="39">
        <f>IFERROR(VLOOKUP(B356,input_572106!L:R,7,FALSE),VLOOKUP(tables_572106!C356,input_572106!A:H,8,FALSE))</f>
        <v>17280</v>
      </c>
      <c r="P356" s="40">
        <f t="shared" ca="1" si="39"/>
        <v>2.0000000000925916E-2</v>
      </c>
      <c r="Q356" s="76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65"/>
  <sheetViews>
    <sheetView topLeftCell="A13" workbookViewId="0">
      <selection activeCell="F63" sqref="F63:F6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572100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786</v>
      </c>
      <c r="M3" s="31" t="str">
        <f>VLOOKUP(L3,[1]characters!$A:$C,3,FALSE)</f>
        <v>ヘイウェイ</v>
      </c>
      <c r="N3" s="54">
        <v>2.4E-2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VLOOKUP(L3,tables_572100!B:C,2,FALSE)</f>
        <v>PremiumSSS5R3lesscolor</v>
      </c>
      <c r="R3" s="53">
        <f t="shared" ref="R3:R20" si="1">N3*A$51</f>
        <v>20736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VLOOKUP(L4,tables_572100!B:C,2,FALSE)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3.7037037037037046E-4</v>
      </c>
      <c r="F5">
        <f>(COUNTIF(tables_572100!C:C,input_572100!A28)+COUNTIF(tables_572100!C:C,input_572100!A29))</f>
        <v>54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VLOOKUP(L5,tables_572100!B:C,2,FALSE)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(COUNTIF(tables_572100!C:C,input_572100!A43)+COUNTIF(tables_572100!C:C,input_572100!A44))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VLOOKUP(L6,tables_572100!B:C,2,FALSE)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5.1444444444444445E-3</v>
      </c>
      <c r="F7">
        <f>(COUNTIF(tables_572100!C:C,input_572100!A25)+COUNTIF(tables_572100!C:C,input_572100!A18)+COUNTIF(tables_572100!C:C,input_572100!A20)+COUNTIF(tables_572100!C:C,input_572100!A22))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VLOOKUP(L7,tables_572100!B:C,2,FALSE)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2.315E-2</v>
      </c>
      <c r="F8">
        <f>(COUNTIF(tables_572100!C:C,input_572100!A40)+COUNTIF(tables_572100!C:C,input_572100!A33)+COUNTIF(tables_572100!C:C,input_572100!A35)+COUNTIF(tables_572100!C:C,input_572100!A37))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VLOOKUP(L8,tables_572100!B:C,2,FALSE)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VLOOKUP(L9,tables_572100!B:C,2,FALSE)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0.92599999999999993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VLOOKUP(L10,tables_572100!B:C,2,FALSE)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VLOOKUP(L11,tables_572100!B:C,2,FALSE)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2.4E-2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VLOOKUP(L12,tables_572100!B:C,2,FALSE)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VLOOKUP(L13,tables_572100!B:C,2,FALSE)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VLOOKUP(L14,tables_572100!B:C,2,FALSE)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VLOOKUP(L15,tables_572100!B:C,2,FALSE)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VLOOKUP(L16,tables_572100!B:C,2,FALSE)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5" si="2">SUMIF(Q:Q,A17,N:N)</f>
        <v>0</v>
      </c>
      <c r="D17" s="66">
        <f t="shared" ref="D17:D47" si="3">B17-C17</f>
        <v>0</v>
      </c>
      <c r="E17">
        <f>COUNTIF(tables_572100!C:C,input_572100!A17)-COUNTIF(Q:Q,A17)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VLOOKUP(L17,tables_572100!B:C,2,FALSE)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8.6766666666666714E-2</v>
      </c>
      <c r="C18" s="75">
        <f t="shared" si="2"/>
        <v>0</v>
      </c>
      <c r="D18" s="66">
        <f t="shared" si="3"/>
        <v>8.6766666666666714E-2</v>
      </c>
      <c r="E18">
        <f>COUNTIF(tables_572100!C:C,input_572100!A18)-COUNTIF(Q:Q,A18)</f>
        <v>15</v>
      </c>
      <c r="F18" s="37">
        <f>IFERROR(B18/E18,0)</f>
        <v>5.784444444444448E-3</v>
      </c>
      <c r="G18">
        <f t="shared" si="4"/>
        <v>74966.400000000038</v>
      </c>
      <c r="H18">
        <f t="shared" si="5"/>
        <v>4997.76</v>
      </c>
      <c r="I18">
        <f t="shared" si="6"/>
        <v>0.76000000000021828</v>
      </c>
      <c r="J18">
        <f t="shared" si="7"/>
        <v>1.3157894736838327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VLOOKUP(L18,tables_572100!B:C,2,FALSE)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COUNTIF(tables_572100!C:C,input_572100!A19)-COUNTIF(Q:Q,A19)</f>
        <v>40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VLOOKUP(L19,tables_572100!B:C,2,FALSE)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0.1852</v>
      </c>
      <c r="C20" s="75">
        <f t="shared" si="2"/>
        <v>0</v>
      </c>
      <c r="D20" s="66">
        <f t="shared" si="3"/>
        <v>0.1852</v>
      </c>
      <c r="E20">
        <f>COUNTIF(tables_572100!C:C,input_572100!A20)-COUNTIF(Q:Q,A20)</f>
        <v>40</v>
      </c>
      <c r="F20" s="37">
        <f t="shared" si="8"/>
        <v>4.6300000000000004E-3</v>
      </c>
      <c r="G20">
        <f t="shared" si="4"/>
        <v>160012.80000000002</v>
      </c>
      <c r="H20">
        <f t="shared" si="5"/>
        <v>4000.32</v>
      </c>
      <c r="I20">
        <f t="shared" si="6"/>
        <v>0.32000000000016371</v>
      </c>
      <c r="J20">
        <f t="shared" si="7"/>
        <v>3.1249999999984013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VLOOKUP(L20,tables_572100!B:C,2,FALSE)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2.0577777777777778E-2</v>
      </c>
      <c r="C21" s="75">
        <f t="shared" si="2"/>
        <v>0</v>
      </c>
      <c r="D21" s="66">
        <f t="shared" si="3"/>
        <v>2.0577777777777778E-2</v>
      </c>
      <c r="E21">
        <f>COUNTIF(tables_572100!C:C,input_572100!A21)-COUNTIF(Q:Q,A21)</f>
        <v>40</v>
      </c>
      <c r="F21" s="37">
        <f t="shared" si="8"/>
        <v>5.1444444444444443E-4</v>
      </c>
      <c r="G21">
        <f t="shared" si="4"/>
        <v>17779.2</v>
      </c>
      <c r="H21">
        <f t="shared" si="5"/>
        <v>444.48</v>
      </c>
      <c r="I21">
        <f t="shared" si="6"/>
        <v>0.48000000000001819</v>
      </c>
      <c r="J21">
        <f t="shared" si="7"/>
        <v>2.0833333333332544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6.7476666666666657E-2</v>
      </c>
      <c r="C22" s="75">
        <f t="shared" si="2"/>
        <v>0</v>
      </c>
      <c r="D22" s="66">
        <f t="shared" si="3"/>
        <v>6.7476666666666657E-2</v>
      </c>
      <c r="E22">
        <f>COUNTIF(tables_572100!C:C,input_572100!A22)-COUNTIF(Q:Q,A22)</f>
        <v>14</v>
      </c>
      <c r="F22" s="37">
        <f t="shared" si="8"/>
        <v>4.8197619047619039E-3</v>
      </c>
      <c r="G22">
        <f t="shared" si="4"/>
        <v>58299.839999999989</v>
      </c>
      <c r="H22">
        <f t="shared" si="5"/>
        <v>4164.2742900000003</v>
      </c>
      <c r="I22">
        <f t="shared" si="6"/>
        <v>0.27429000000029191</v>
      </c>
      <c r="J22">
        <f t="shared" si="7"/>
        <v>3.6457763680737023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4.5455555555555596E-3</v>
      </c>
      <c r="C23" s="75">
        <f t="shared" si="2"/>
        <v>0</v>
      </c>
      <c r="D23" s="66">
        <f t="shared" si="3"/>
        <v>4.5455555555555596E-3</v>
      </c>
      <c r="E23">
        <f>COUNTIF(tables_572100!C:C,input_572100!A23)-COUNTIF(Q:Q,A23)</f>
        <v>19</v>
      </c>
      <c r="F23" s="37">
        <f t="shared" si="8"/>
        <v>2.3923976608187155E-4</v>
      </c>
      <c r="G23">
        <f t="shared" si="4"/>
        <v>3927.3600000000033</v>
      </c>
      <c r="H23">
        <f t="shared" si="5"/>
        <v>206.70316</v>
      </c>
      <c r="I23">
        <f t="shared" si="6"/>
        <v>0.7031599999999969</v>
      </c>
      <c r="J23">
        <f t="shared" si="7"/>
        <v>1.4221514306843455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COUNTIF(tables_572100!C:C,input_572100!A24)-COUNTIF(Q:Q,A24)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1.3890000000000001E-2</v>
      </c>
      <c r="C25" s="75">
        <f t="shared" si="2"/>
        <v>0</v>
      </c>
      <c r="D25" s="66">
        <f t="shared" si="3"/>
        <v>1.3890000000000001E-2</v>
      </c>
      <c r="E25">
        <f>COUNTIF(tables_572100!C:C,input_572100!A25)-COUNTIF(Q:Q,A25)</f>
        <v>3</v>
      </c>
      <c r="F25" s="37">
        <f t="shared" si="8"/>
        <v>4.6300000000000004E-3</v>
      </c>
      <c r="G25">
        <f t="shared" si="4"/>
        <v>12000.960000000001</v>
      </c>
      <c r="H25">
        <f t="shared" si="5"/>
        <v>4000.32</v>
      </c>
      <c r="I25">
        <f t="shared" si="6"/>
        <v>0.32000000000016371</v>
      </c>
      <c r="J25">
        <f t="shared" si="7"/>
        <v>3.1249999999984013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1.5433333333333332E-3</v>
      </c>
      <c r="C26" s="75">
        <f t="shared" si="2"/>
        <v>0</v>
      </c>
      <c r="D26" s="66">
        <f t="shared" si="3"/>
        <v>1.5433333333333332E-3</v>
      </c>
      <c r="E26">
        <f>COUNTIF(tables_572100!C:C,input_572100!A26)-COUNTIF(Q:Q,A26)</f>
        <v>3</v>
      </c>
      <c r="F26" s="37">
        <f t="shared" si="8"/>
        <v>5.1444444444444443E-4</v>
      </c>
      <c r="G26">
        <f t="shared" si="4"/>
        <v>1333.4399999999998</v>
      </c>
      <c r="H26">
        <f t="shared" si="5"/>
        <v>444.48</v>
      </c>
      <c r="I26">
        <f t="shared" si="6"/>
        <v>0.48000000000001819</v>
      </c>
      <c r="J26">
        <f t="shared" si="7"/>
        <v>2.0833333333332544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6.6666666666666688E-3</v>
      </c>
      <c r="C27" s="75">
        <f t="shared" si="2"/>
        <v>0</v>
      </c>
      <c r="D27" s="66">
        <f t="shared" si="3"/>
        <v>6.6666666666666688E-3</v>
      </c>
      <c r="E27">
        <f>COUNTIF(tables_572100!C:C,input_572100!A27)-COUNTIF(Q:Q,A27)</f>
        <v>20</v>
      </c>
      <c r="F27" s="37">
        <f>IFERROR(B27/E27,0)</f>
        <v>3.3333333333333343E-4</v>
      </c>
      <c r="G27">
        <f t="shared" si="4"/>
        <v>5760.0000000000018</v>
      </c>
      <c r="H27">
        <f t="shared" si="5"/>
        <v>288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7.4074074074074103E-4</v>
      </c>
      <c r="C28" s="75">
        <f t="shared" si="2"/>
        <v>0</v>
      </c>
      <c r="D28" s="66">
        <f t="shared" si="3"/>
        <v>7.4074074074074103E-4</v>
      </c>
      <c r="E28">
        <f>COUNTIF(tables_572100!C:C,input_572100!A28)-COUNTIF(Q:Q,A28)</f>
        <v>20</v>
      </c>
      <c r="F28" s="37">
        <f t="shared" si="8"/>
        <v>3.703703703703705E-5</v>
      </c>
      <c r="G28">
        <f t="shared" si="4"/>
        <v>640.00000000000023</v>
      </c>
      <c r="H28">
        <f t="shared" si="5"/>
        <v>32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1.2592592592592596E-2</v>
      </c>
      <c r="C29" s="75">
        <f t="shared" si="2"/>
        <v>0</v>
      </c>
      <c r="D29" s="66">
        <f t="shared" si="3"/>
        <v>1.2592592592592596E-2</v>
      </c>
      <c r="E29">
        <f>COUNTIF(tables_572100!C:C,input_572100!A29)-COUNTIF(Q:Q,A29)</f>
        <v>34</v>
      </c>
      <c r="F29" s="37">
        <f t="shared" si="8"/>
        <v>3.7037037037037046E-4</v>
      </c>
      <c r="G29">
        <f t="shared" si="4"/>
        <v>10880.000000000004</v>
      </c>
      <c r="H29">
        <f t="shared" si="5"/>
        <v>320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COUNTIF(tables_572100!C:C,input_572100!A30)-COUNTIF(Q:Q,A30)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COUNTIF(tables_572100!C:C,input_572100!A31)-COUNTIF(Q:Q,A31)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COUNTIF(tables_572100!C:C,input_572100!A32)-COUNTIF(Q:Q,A32)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0.12245</v>
      </c>
      <c r="C33" s="75">
        <f t="shared" si="2"/>
        <v>0</v>
      </c>
      <c r="D33" s="66">
        <f t="shared" si="3"/>
        <v>0.12245</v>
      </c>
      <c r="E33">
        <f>COUNTIF(tables_572100!C:C,input_572100!A33)-COUNTIF(Q:Q,A33)</f>
        <v>5</v>
      </c>
      <c r="F33" s="37">
        <f>IFERROR(B33/E33,0)</f>
        <v>2.4490000000000001E-2</v>
      </c>
      <c r="G33">
        <f t="shared" si="4"/>
        <v>105796.8</v>
      </c>
      <c r="H33">
        <f t="shared" si="5"/>
        <v>21159.360000000001</v>
      </c>
      <c r="I33">
        <f t="shared" si="6"/>
        <v>0.36000000000058208</v>
      </c>
      <c r="J33">
        <f t="shared" si="7"/>
        <v>2.7777777777732866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COUNTIF(tables_572100!C:C,input_572100!A34)-COUNTIF(Q:Q,A34)</f>
        <v>12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0.25002000000000002</v>
      </c>
      <c r="C35" s="75">
        <f t="shared" si="2"/>
        <v>0</v>
      </c>
      <c r="D35" s="66">
        <f t="shared" si="3"/>
        <v>0.25002000000000002</v>
      </c>
      <c r="E35">
        <f>COUNTIF(tables_572100!C:C,input_572100!A35)-COUNTIF(Q:Q,A35)</f>
        <v>12</v>
      </c>
      <c r="F35" s="37">
        <f t="shared" si="9"/>
        <v>2.0835000000000003E-2</v>
      </c>
      <c r="G35">
        <f t="shared" si="4"/>
        <v>216017.28000000003</v>
      </c>
      <c r="H35">
        <f t="shared" si="5"/>
        <v>18001.439999999999</v>
      </c>
      <c r="I35">
        <f t="shared" si="6"/>
        <v>0.43999999999869033</v>
      </c>
      <c r="J35">
        <f t="shared" si="7"/>
        <v>2.2727272727340377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1.1479999999999997E-2</v>
      </c>
      <c r="C36" s="75">
        <f t="shared" si="2"/>
        <v>0</v>
      </c>
      <c r="D36" s="66">
        <f t="shared" si="3"/>
        <v>1.1479999999999997E-2</v>
      </c>
      <c r="E36">
        <f>COUNTIF(tables_572100!C:C,input_572100!A36)-COUNTIF(Q:Q,A36)</f>
        <v>12</v>
      </c>
      <c r="F36" s="37">
        <f t="shared" si="9"/>
        <v>9.5666666666666643E-4</v>
      </c>
      <c r="G36">
        <f t="shared" si="4"/>
        <v>9918.7199999999975</v>
      </c>
      <c r="H36">
        <f t="shared" si="5"/>
        <v>826.56</v>
      </c>
      <c r="I36">
        <f t="shared" si="6"/>
        <v>0.55999999999994543</v>
      </c>
      <c r="J36">
        <f t="shared" si="7"/>
        <v>1.7857142857144597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0.13469500000000001</v>
      </c>
      <c r="C37" s="75">
        <f t="shared" si="2"/>
        <v>0</v>
      </c>
      <c r="D37" s="66">
        <f t="shared" si="3"/>
        <v>0.13469500000000001</v>
      </c>
      <c r="E37">
        <f>COUNTIF(tables_572100!C:C,input_572100!A37)-COUNTIF(Q:Q,A37)</f>
        <v>6</v>
      </c>
      <c r="F37" s="37">
        <f t="shared" si="9"/>
        <v>2.2449166666666669E-2</v>
      </c>
      <c r="G37">
        <f t="shared" si="4"/>
        <v>116376.48000000001</v>
      </c>
      <c r="H37">
        <f t="shared" si="5"/>
        <v>19396.080000000002</v>
      </c>
      <c r="I37">
        <f t="shared" si="6"/>
        <v>8.000000000174623E-2</v>
      </c>
      <c r="J37">
        <f t="shared" si="7"/>
        <v>12.499999999727152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4.2050000000000004E-3</v>
      </c>
      <c r="C38" s="75">
        <f t="shared" si="2"/>
        <v>0</v>
      </c>
      <c r="D38" s="66">
        <f t="shared" si="3"/>
        <v>4.2050000000000004E-3</v>
      </c>
      <c r="E38">
        <f>COUNTIF(tables_572100!C:C,input_572100!A38)-COUNTIF(Q:Q,A38)</f>
        <v>7</v>
      </c>
      <c r="F38" s="37">
        <f t="shared" si="9"/>
        <v>6.007142857142858E-4</v>
      </c>
      <c r="G38">
        <f t="shared" si="4"/>
        <v>3633.1200000000003</v>
      </c>
      <c r="H38">
        <f t="shared" si="5"/>
        <v>519.01714000000004</v>
      </c>
      <c r="I38">
        <f t="shared" si="6"/>
        <v>1.7140000000040345E-2</v>
      </c>
      <c r="J38">
        <f t="shared" si="7"/>
        <v>58.3430571760587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COUNTIF(tables_572100!C:C,input_572100!A39)-COUNTIF(Q:Q,A39)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2.0834999999999999E-2</v>
      </c>
      <c r="C40" s="75">
        <f t="shared" si="2"/>
        <v>0</v>
      </c>
      <c r="D40" s="66">
        <f t="shared" si="3"/>
        <v>2.0834999999999999E-2</v>
      </c>
      <c r="E40">
        <f>COUNTIF(tables_572100!C:C,input_572100!A40)-COUNTIF(Q:Q,A40)</f>
        <v>1</v>
      </c>
      <c r="F40" s="37">
        <f t="shared" si="9"/>
        <v>2.0834999999999999E-2</v>
      </c>
      <c r="G40">
        <f t="shared" si="4"/>
        <v>18001.439999999999</v>
      </c>
      <c r="H40">
        <f t="shared" si="5"/>
        <v>18001.439999999999</v>
      </c>
      <c r="I40">
        <f t="shared" si="6"/>
        <v>0.43999999999869033</v>
      </c>
      <c r="J40">
        <f t="shared" si="7"/>
        <v>2.2727272727340377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2.3150000000000002E-3</v>
      </c>
      <c r="C41" s="75">
        <f t="shared" si="2"/>
        <v>0</v>
      </c>
      <c r="D41" s="66">
        <f t="shared" si="3"/>
        <v>2.3150000000000002E-3</v>
      </c>
      <c r="E41">
        <f>COUNTIF(tables_572100!C:C,input_572100!A41)-COUNTIF(Q:Q,A41)</f>
        <v>1</v>
      </c>
      <c r="F41" s="37">
        <f t="shared" si="9"/>
        <v>2.3150000000000002E-3</v>
      </c>
      <c r="G41">
        <f t="shared" si="4"/>
        <v>2000.16</v>
      </c>
      <c r="H41">
        <f t="shared" si="5"/>
        <v>2000.16</v>
      </c>
      <c r="I41">
        <f t="shared" si="6"/>
        <v>0.16000000000008185</v>
      </c>
      <c r="J41">
        <f t="shared" si="7"/>
        <v>6.2499999999968026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1.2E-2</v>
      </c>
      <c r="C42" s="75">
        <f t="shared" si="2"/>
        <v>0</v>
      </c>
      <c r="D42" s="66">
        <f t="shared" si="3"/>
        <v>1.2E-2</v>
      </c>
      <c r="E42">
        <f>COUNTIF(tables_572100!C:C,input_572100!A42)-COUNTIF(Q:Q,A42)</f>
        <v>8</v>
      </c>
      <c r="F42" s="37">
        <f>IFERROR(B42/E42,0)</f>
        <v>1.5E-3</v>
      </c>
      <c r="G42">
        <f t="shared" si="4"/>
        <v>10368</v>
      </c>
      <c r="H42">
        <f t="shared" si="5"/>
        <v>1296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1.3333333333333333E-3</v>
      </c>
      <c r="C43" s="75">
        <f t="shared" si="2"/>
        <v>0</v>
      </c>
      <c r="D43" s="66">
        <f t="shared" si="3"/>
        <v>1.3333333333333333E-3</v>
      </c>
      <c r="E43">
        <f>COUNTIF(tables_572100!C:C,input_572100!A43)-COUNTIF(Q:Q,A43)</f>
        <v>8</v>
      </c>
      <c r="F43" s="37">
        <f t="shared" ref="F43:F46" si="10">IFERROR(B43/E43,0)</f>
        <v>1.6666666666666666E-4</v>
      </c>
      <c r="G43">
        <f t="shared" si="4"/>
        <v>1152</v>
      </c>
      <c r="H43">
        <f t="shared" si="5"/>
        <v>144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1.6666666666666666E-2</v>
      </c>
      <c r="C44" s="75">
        <f t="shared" si="2"/>
        <v>0</v>
      </c>
      <c r="D44" s="66">
        <f t="shared" si="3"/>
        <v>1.6666666666666666E-2</v>
      </c>
      <c r="E44">
        <f>COUNTIF(tables_572100!C:C,input_572100!A44)-COUNTIF(Q:Q,A44)</f>
        <v>10</v>
      </c>
      <c r="F44" s="37">
        <f t="shared" si="10"/>
        <v>1.6666666666666666E-3</v>
      </c>
      <c r="G44">
        <f t="shared" si="4"/>
        <v>14400</v>
      </c>
      <c r="H44">
        <f t="shared" si="5"/>
        <v>1440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COUNTIF(tables_572100!C:C,input_572100!A45)-COUNTIF(Q:Q,A45)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2.4E-2</v>
      </c>
      <c r="C46" s="75">
        <f>SUMIF(Q:Q,A46,N:N)</f>
        <v>2.4E-2</v>
      </c>
      <c r="D46" s="66">
        <f t="shared" si="3"/>
        <v>0</v>
      </c>
      <c r="E46">
        <f>COUNTIF(tables_572100!C:C,input_572100!A46)-COUNTIF(Q:Q,A46)</f>
        <v>0</v>
      </c>
      <c r="F46" s="37">
        <f t="shared" si="10"/>
        <v>0</v>
      </c>
      <c r="G46">
        <f t="shared" si="4"/>
        <v>20736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1.0000000000000002</v>
      </c>
      <c r="C47" s="34">
        <f>SUM(C17:C46)</f>
        <v>2.4E-2</v>
      </c>
      <c r="D47" s="36">
        <f t="shared" si="3"/>
        <v>0.9760000000000002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  <c r="H49" s="92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47"/>
    </row>
    <row r="51" spans="1:8" x14ac:dyDescent="0.15">
      <c r="A51" s="26">
        <f>LCM(F5-I5,F7-I6)*1000*2*2</f>
        <v>864000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SUMIF(tables_572100!C:C,input_572100!A55,tables_572100!O:O)</f>
        <v>0</v>
      </c>
      <c r="C55" s="46">
        <f t="shared" ref="C55:C61" ca="1" si="11">B55/B$62</f>
        <v>0</v>
      </c>
      <c r="E55">
        <v>3</v>
      </c>
      <c r="F55">
        <f ca="1">SUMIF(tables_572100!J:J,input_572100!E55,tables_572100!O:O)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SUMIF(tables_572100!C:C,input_572100!A56,tables_572100!O:O)</f>
        <v>160012.80000000016</v>
      </c>
      <c r="C56" s="46">
        <f t="shared" ca="1" si="11"/>
        <v>0.86872828353022957</v>
      </c>
      <c r="E56">
        <v>4</v>
      </c>
      <c r="F56">
        <f ca="1">SUMIF(tables_572100!J:J,input_572100!E56,tables_572100!O:O)</f>
        <v>777600.00005999906</v>
      </c>
      <c r="G56">
        <f ca="1">F56/A51</f>
        <v>0.90000000006944336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SUMIF(tables_572100!C:C,input_572100!A57,tables_572100!O:O)</f>
        <v>5760</v>
      </c>
      <c r="C57" s="46">
        <f t="shared" ca="1" si="11"/>
        <v>3.1271716469770651E-2</v>
      </c>
      <c r="E57">
        <v>5</v>
      </c>
      <c r="F57">
        <f ca="1">SUMIF(tables_572100!J:J,input_572100!E57,tables_572100!O:O)</f>
        <v>86400.000019999992</v>
      </c>
      <c r="G57">
        <f ca="1">F57/A51</f>
        <v>0.10000000002314814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SUMIF(tables_572100!C:C,input_572100!A58,tables_572100!O:O)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SUMIF(tables_572100!C:C,input_572100!A59,tables_572100!O:O)</f>
        <v>17779.19999999999</v>
      </c>
      <c r="C59" s="46">
        <f t="shared" ca="1" si="11"/>
        <v>9.652536483669201E-2</v>
      </c>
      <c r="E59" t="s">
        <v>37</v>
      </c>
      <c r="F59" s="47"/>
    </row>
    <row r="60" spans="1:8" x14ac:dyDescent="0.15">
      <c r="A60" s="27" t="s">
        <v>91</v>
      </c>
      <c r="B60">
        <f ca="1">SUMIF(tables_572100!C:C,input_572100!A60,tables_572100!O:O)</f>
        <v>640</v>
      </c>
      <c r="C60" s="46">
        <f t="shared" ca="1" si="11"/>
        <v>3.4746351633078501E-3</v>
      </c>
      <c r="E60" t="s">
        <v>190</v>
      </c>
      <c r="F60" s="47">
        <f ca="1">SUMIF(tables_572100!I:I,input_572100!E60,tables_572100!P:P)</f>
        <v>0.21101357977212867</v>
      </c>
    </row>
    <row r="61" spans="1:8" x14ac:dyDescent="0.15">
      <c r="A61" s="27" t="s">
        <v>92</v>
      </c>
      <c r="B61">
        <f>SUMIF(tables_572100!C:C,input_572100!A61,tables_572100!O:O)</f>
        <v>0</v>
      </c>
      <c r="C61" s="46">
        <f t="shared" ca="1" si="11"/>
        <v>0</v>
      </c>
      <c r="E61" t="s">
        <v>191</v>
      </c>
      <c r="F61" s="47">
        <f ca="1">SUMIF(tables_572100!I:I,input_572100!E61,tables_572100!P:P)</f>
        <v>0.18748333331597397</v>
      </c>
    </row>
    <row r="62" spans="1:8" x14ac:dyDescent="0.15">
      <c r="A62" s="33" t="s">
        <v>42</v>
      </c>
      <c r="B62">
        <f ca="1">SUM(B55:B61)</f>
        <v>184192.00000000015</v>
      </c>
      <c r="C62" s="47">
        <f ca="1">SUM(C55:C61)</f>
        <v>1.0000000000000002</v>
      </c>
      <c r="E62" t="s">
        <v>192</v>
      </c>
      <c r="F62" s="47">
        <f ca="1">SUMIF(tables_572100!I:I,input_572100!E62,tables_572100!P:P)</f>
        <v>0.52750308691875047</v>
      </c>
    </row>
    <row r="63" spans="1:8" x14ac:dyDescent="0.15">
      <c r="E63" t="s">
        <v>193</v>
      </c>
      <c r="F63" s="104">
        <f ca="1">SUMIF(tables_572100!I:I,input_572100!E63,tables_572100!P:P)</f>
        <v>4.4074074069993176E-2</v>
      </c>
      <c r="G63" s="84"/>
    </row>
    <row r="64" spans="1:8" x14ac:dyDescent="0.15">
      <c r="E64" t="s">
        <v>253</v>
      </c>
      <c r="F64" s="104">
        <f ca="1">SUMIF(tables_572100!I:I,input_572100!E64,tables_572100!P:P)</f>
        <v>5.9259259253772369E-3</v>
      </c>
    </row>
    <row r="65" spans="5:6" x14ac:dyDescent="0.15">
      <c r="E65" t="s">
        <v>255</v>
      </c>
      <c r="F65" s="104">
        <f ca="1">SUMIF(tables_572100!I:I,input_572100!E65,tables_572100!P:P)</f>
        <v>2.3999999997777806E-2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56"/>
  <sheetViews>
    <sheetView showGridLines="0" zoomScale="70" zoomScaleNormal="70" zoomScalePageLayoutView="70" workbookViewId="0">
      <pane ySplit="1" topLeftCell="A341" activePane="bottomLeft" state="frozen"/>
      <selection activeCell="B13" sqref="B13"/>
      <selection pane="bottomLeft" activeCell="G1" sqref="G1:G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input_572100!A$2</f>
        <v>572100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">
        <v>35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IFERROR(VLOOKUP(B2,input_572100!L:R,7,FALSE),VLOOKUP(tables_572100!C2,input_572100!A:H,8,FALSE))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input_572100!A$2</f>
        <v>572100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">
        <v>35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IFERROR(VLOOKUP(B3,input_572100!L:R,7,FALSE),VLOOKUP(tables_572100!C3,input_572100!A:H,8,FALSE))</f>
        <v>21159.360000000001</v>
      </c>
      <c r="P3" s="40">
        <f t="shared" ca="1" si="1"/>
        <v>2.4489999997732437E-2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input_572100!A$2</f>
        <v>572100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IFERROR(VLOOKUP(B4,input_572100!L:R,7,FALSE),VLOOKUP(tables_572100!C4,input_572100!A:H,8,FALSE))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input_572100!A$2</f>
        <v>572100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IFERROR(VLOOKUP(B5,input_572100!L:R,7,FALSE),VLOOKUP(tables_572100!C5,input_572100!A:H,8,FALSE))</f>
        <v>4997.76</v>
      </c>
      <c r="P5" s="40">
        <f t="shared" ca="1" si="1"/>
        <v>5.7844444439088547E-3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input_572100!A$2</f>
        <v>572100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IFERROR(VLOOKUP(B6,input_572100!L:R,7,FALSE),VLOOKUP(tables_572100!C6,input_572100!A:H,8,FALSE))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input_572100!A$2</f>
        <v>572100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IFERROR(VLOOKUP(B7,input_572100!L:R,7,FALSE),VLOOKUP(tables_572100!C7,input_572100!A:H,8,FALSE))</f>
        <v>4997.76</v>
      </c>
      <c r="P7" s="40">
        <f t="shared" ca="1" si="1"/>
        <v>5.7844444439088547E-3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input_572100!A$2</f>
        <v>572100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IFERROR(VLOOKUP(B8,input_572100!L:R,7,FALSE),VLOOKUP(tables_572100!C8,input_572100!A:H,8,FALSE))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input_572100!A$2</f>
        <v>572100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IFERROR(VLOOKUP(B9,input_572100!L:R,7,FALSE),VLOOKUP(tables_572100!C9,input_572100!A:H,8,FALSE))</f>
        <v>4997.76</v>
      </c>
      <c r="P9" s="40">
        <f t="shared" ca="1" si="1"/>
        <v>5.7844444439088547E-3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input_572100!A$2</f>
        <v>572100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">
        <v>35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IFERROR(VLOOKUP(B10,input_572100!L:R,7,FALSE),VLOOKUP(tables_572100!C10,input_572100!A:H,8,FALSE))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input_572100!A$2</f>
        <v>572100</v>
      </c>
      <c r="B11" s="8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">
        <v>35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IFERROR(VLOOKUP(B11,input_572100!L:R,7,FALSE),VLOOKUP(tables_572100!C11,input_572100!A:H,8,FALSE))</f>
        <v>21159.360000000001</v>
      </c>
      <c r="P11" s="40">
        <f t="shared" ca="1" si="1"/>
        <v>2.4489999997732437E-2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input_572100!A$2</f>
        <v>572100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IFERROR(VLOOKUP(B12,input_572100!L:R,7,FALSE),VLOOKUP(tables_572100!C12,input_572100!A:H,8,FALSE))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input_572100!A$2</f>
        <v>572100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IFERROR(VLOOKUP(B13,input_572100!L:R,7,FALSE),VLOOKUP(tables_572100!C13,input_572100!A:H,8,FALSE))</f>
        <v>4997.76</v>
      </c>
      <c r="P13" s="40">
        <f t="shared" ca="1" si="1"/>
        <v>5.7844444439088547E-3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input_572100!A$2</f>
        <v>572100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IFERROR(VLOOKUP(B14,input_572100!L:R,7,FALSE),VLOOKUP(tables_572100!C14,input_572100!A:H,8,FALSE))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input_572100!A$2</f>
        <v>572100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IFERROR(VLOOKUP(B15,input_572100!L:R,7,FALSE),VLOOKUP(tables_572100!C15,input_572100!A:H,8,FALSE))</f>
        <v>4997.76</v>
      </c>
      <c r="P15" s="40">
        <f t="shared" ca="1" si="1"/>
        <v>5.7844444439088547E-3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input_572100!A$2</f>
        <v>572100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IFERROR(VLOOKUP(B16,input_572100!L:R,7,FALSE),VLOOKUP(tables_572100!C16,input_572100!A:H,8,FALSE))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input_572100!A$2</f>
        <v>572100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IFERROR(VLOOKUP(B17,input_572100!L:R,7,FALSE),VLOOKUP(tables_572100!C17,input_572100!A:H,8,FALSE))</f>
        <v>4997.76</v>
      </c>
      <c r="P17" s="40">
        <f t="shared" ca="1" si="1"/>
        <v>5.7844444439088547E-3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input_572100!A$2</f>
        <v>572100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">
        <v>35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IFERROR(VLOOKUP(B18,input_572100!L:R,7,FALSE),VLOOKUP(tables_572100!C18,input_572100!A:H,8,FALSE))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input_572100!A$2</f>
        <v>572100</v>
      </c>
      <c r="B19" s="10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">
        <v>35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IFERROR(VLOOKUP(B19,input_572100!L:R,7,FALSE),VLOOKUP(tables_572100!C19,input_572100!A:H,8,FALSE))</f>
        <v>21159.360000000001</v>
      </c>
      <c r="P19" s="40">
        <f t="shared" ca="1" si="1"/>
        <v>2.4489999997732437E-2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input_572100!A$2</f>
        <v>572100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IFERROR(VLOOKUP(B20,input_572100!L:R,7,FALSE),VLOOKUP(tables_572100!C20,input_572100!A:H,8,FALSE))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input_572100!A$2</f>
        <v>572100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IFERROR(VLOOKUP(B21,input_572100!L:R,7,FALSE),VLOOKUP(tables_572100!C21,input_572100!A:H,8,FALSE))</f>
        <v>4997.76</v>
      </c>
      <c r="P21" s="40">
        <f t="shared" ca="1" si="1"/>
        <v>5.7844444439088547E-3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input_572100!A$2</f>
        <v>572100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IFERROR(VLOOKUP(B22,input_572100!L:R,7,FALSE),VLOOKUP(tables_572100!C22,input_572100!A:H,8,FALSE))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input_572100!A$2</f>
        <v>572100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IFERROR(VLOOKUP(B23,input_572100!L:R,7,FALSE),VLOOKUP(tables_572100!C23,input_572100!A:H,8,FALSE))</f>
        <v>4997.76</v>
      </c>
      <c r="P23" s="40">
        <f t="shared" ca="1" si="1"/>
        <v>5.7844444439088547E-3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input_572100!A$2</f>
        <v>572100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IFERROR(VLOOKUP(B24,input_572100!L:R,7,FALSE),VLOOKUP(tables_572100!C24,input_572100!A:H,8,FALSE))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input_572100!A$2</f>
        <v>572100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IFERROR(VLOOKUP(B25,input_572100!L:R,7,FALSE),VLOOKUP(tables_572100!C25,input_572100!A:H,8,FALSE))</f>
        <v>4997.76</v>
      </c>
      <c r="P25" s="40">
        <f t="shared" ca="1" si="1"/>
        <v>5.7844444439088547E-3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input_572100!A$2</f>
        <v>572100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">
        <v>35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IFERROR(VLOOKUP(B26,input_572100!L:R,7,FALSE),VLOOKUP(tables_572100!C26,input_572100!A:H,8,FALSE))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input_572100!A$2</f>
        <v>572100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">
        <v>35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IFERROR(VLOOKUP(B27,input_572100!L:R,7,FALSE),VLOOKUP(tables_572100!C27,input_572100!A:H,8,FALSE))</f>
        <v>21159.360000000001</v>
      </c>
      <c r="P27" s="40">
        <f t="shared" ca="1" si="1"/>
        <v>2.4489999997732437E-2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input_572100!A$2</f>
        <v>572100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IFERROR(VLOOKUP(B28,input_572100!L:R,7,FALSE),VLOOKUP(tables_572100!C28,input_572100!A:H,8,FALSE))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input_572100!A$2</f>
        <v>572100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IFERROR(VLOOKUP(B29,input_572100!L:R,7,FALSE),VLOOKUP(tables_572100!C29,input_572100!A:H,8,FALSE))</f>
        <v>4997.76</v>
      </c>
      <c r="P29" s="40">
        <f t="shared" ca="1" si="1"/>
        <v>5.7844444439088547E-3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input_572100!A$2</f>
        <v>572100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IFERROR(VLOOKUP(B30,input_572100!L:R,7,FALSE),VLOOKUP(tables_572100!C30,input_572100!A:H,8,FALSE))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input_572100!A$2</f>
        <v>572100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IFERROR(VLOOKUP(B31,input_572100!L:R,7,FALSE),VLOOKUP(tables_572100!C31,input_572100!A:H,8,FALSE))</f>
        <v>4997.76</v>
      </c>
      <c r="P31" s="40">
        <f t="shared" ca="1" si="1"/>
        <v>5.7844444439088547E-3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input_572100!A$2</f>
        <v>572100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IFERROR(VLOOKUP(B32,input_572100!L:R,7,FALSE),VLOOKUP(tables_572100!C32,input_572100!A:H,8,FALSE))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input_572100!A$2</f>
        <v>572100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IFERROR(VLOOKUP(B33,input_572100!L:R,7,FALSE),VLOOKUP(tables_572100!C33,input_572100!A:H,8,FALSE))</f>
        <v>4997.76</v>
      </c>
      <c r="P33" s="40">
        <f t="shared" ca="1" si="1"/>
        <v>5.7844444439088547E-3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input_572100!A$2</f>
        <v>572100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">
        <v>35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IFERROR(VLOOKUP(B34,input_572100!L:R,7,FALSE),VLOOKUP(tables_572100!C34,input_572100!A:H,8,FALSE))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input_572100!A$2</f>
        <v>572100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">
        <v>35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IFERROR(VLOOKUP(B35,input_572100!L:R,7,FALSE),VLOOKUP(tables_572100!C35,input_572100!A:H,8,FALSE))</f>
        <v>21159.360000000001</v>
      </c>
      <c r="P35" s="40">
        <f t="shared" ca="1" si="1"/>
        <v>2.4489999997732437E-2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input_572100!A$2</f>
        <v>572100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IFERROR(VLOOKUP(B36,input_572100!L:R,7,FALSE),VLOOKUP(tables_572100!C36,input_572100!A:H,8,FALSE))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input_572100!A$2</f>
        <v>572100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IFERROR(VLOOKUP(B37,input_572100!L:R,7,FALSE),VLOOKUP(tables_572100!C37,input_572100!A:H,8,FALSE))</f>
        <v>4997.76</v>
      </c>
      <c r="P37" s="40">
        <f t="shared" ca="1" si="1"/>
        <v>5.7844444439088547E-3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input_572100!A$2</f>
        <v>572100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IFERROR(VLOOKUP(B38,input_572100!L:R,7,FALSE),VLOOKUP(tables_572100!C38,input_572100!A:H,8,FALSE))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input_572100!A$2</f>
        <v>572100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IFERROR(VLOOKUP(B39,input_572100!L:R,7,FALSE),VLOOKUP(tables_572100!C39,input_572100!A:H,8,FALSE))</f>
        <v>4997.76</v>
      </c>
      <c r="P39" s="40">
        <f t="shared" ca="1" si="1"/>
        <v>5.7844444439088547E-3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input_572100!A$2</f>
        <v>572100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IFERROR(VLOOKUP(B40,input_572100!L:R,7,FALSE),VLOOKUP(tables_572100!C40,input_572100!A:H,8,FALSE))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input_572100!A$2</f>
        <v>572100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IFERROR(VLOOKUP(B41,input_572100!L:R,7,FALSE),VLOOKUP(tables_572100!C41,input_572100!A:H,8,FALSE))</f>
        <v>4997.76</v>
      </c>
      <c r="P41" s="40">
        <f t="shared" ca="1" si="1"/>
        <v>5.7844444439088547E-3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input_572100!A$2</f>
        <v>572100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">
        <v>35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IFERROR(VLOOKUP(B42,input_572100!L:R,7,FALSE),VLOOKUP(tables_572100!C42,input_572100!A:H,8,FALSE))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input_572100!A$2</f>
        <v>572100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">
        <v>35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IFERROR(VLOOKUP(B43,input_572100!L:R,7,FALSE),VLOOKUP(tables_572100!C43,input_572100!A:H,8,FALSE))</f>
        <v>18001.439999999999</v>
      </c>
      <c r="P43" s="40">
        <f t="shared" ca="1" si="1"/>
        <v>2.0834999998070855E-2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input_572100!A$2</f>
        <v>572100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">
        <v>35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IFERROR(VLOOKUP(B44,input_572100!L:R,7,FALSE),VLOOKUP(tables_572100!C44,input_572100!A:H,8,FALSE))</f>
        <v>2000.16</v>
      </c>
      <c r="P44" s="40">
        <f t="shared" ca="1" si="1"/>
        <v>2.3149999997856508E-3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input_572100!A$2</f>
        <v>572100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IFERROR(VLOOKUP(B45,input_572100!L:R,7,FALSE),VLOOKUP(tables_572100!C45,input_572100!A:H,8,FALSE))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input_572100!A$2</f>
        <v>572100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IFERROR(VLOOKUP(B46,input_572100!L:R,7,FALSE),VLOOKUP(tables_572100!C46,input_572100!A:H,8,FALSE))</f>
        <v>4000.32</v>
      </c>
      <c r="P46" s="40">
        <f t="shared" ca="1" si="1"/>
        <v>4.6299999995713017E-3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input_572100!A$2</f>
        <v>572100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IFERROR(VLOOKUP(B47,input_572100!L:R,7,FALSE),VLOOKUP(tables_572100!C47,input_572100!A:H,8,FALSE))</f>
        <v>444.48</v>
      </c>
      <c r="P47" s="40">
        <f t="shared" ca="1" si="1"/>
        <v>5.1444444439681131E-4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input_572100!A$2</f>
        <v>572100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IFERROR(VLOOKUP(B48,input_572100!L:R,7,FALSE),VLOOKUP(tables_572100!C48,input_572100!A:H,8,FALSE))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input_572100!A$2</f>
        <v>572100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IFERROR(VLOOKUP(B49,input_572100!L:R,7,FALSE),VLOOKUP(tables_572100!C49,input_572100!A:H,8,FALSE))</f>
        <v>4000.32</v>
      </c>
      <c r="P49" s="40">
        <f t="shared" ca="1" si="1"/>
        <v>4.6299999995713017E-3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input_572100!A$2</f>
        <v>572100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IFERROR(VLOOKUP(B50,input_572100!L:R,7,FALSE),VLOOKUP(tables_572100!C50,input_572100!A:H,8,FALSE))</f>
        <v>444.48</v>
      </c>
      <c r="P50" s="40">
        <f t="shared" ca="1" si="1"/>
        <v>5.1444444439681131E-4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input_572100!A$2</f>
        <v>572100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IFERROR(VLOOKUP(B51,input_572100!L:R,7,FALSE),VLOOKUP(tables_572100!C51,input_572100!A:H,8,FALSE))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input_572100!A$2</f>
        <v>572100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IFERROR(VLOOKUP(B52,input_572100!L:R,7,FALSE),VLOOKUP(tables_572100!C52,input_572100!A:H,8,FALSE))</f>
        <v>4000.32</v>
      </c>
      <c r="P52" s="40">
        <f t="shared" ca="1" si="1"/>
        <v>4.6299999995713017E-3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input_572100!A$2</f>
        <v>572100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IFERROR(VLOOKUP(B53,input_572100!L:R,7,FALSE),VLOOKUP(tables_572100!C53,input_572100!A:H,8,FALSE))</f>
        <v>444.48</v>
      </c>
      <c r="P53" s="40">
        <f t="shared" ca="1" si="1"/>
        <v>5.1444444439681131E-4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input_572100!A$2</f>
        <v>572100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">
        <v>35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IFERROR(VLOOKUP(B54,input_572100!L:R,7,FALSE),VLOOKUP(tables_572100!C54,input_572100!A:H,8,FALSE))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input_572100!A$2</f>
        <v>572100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">
        <v>35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IFERROR(VLOOKUP(B55,input_572100!L:R,7,FALSE),VLOOKUP(tables_572100!C55,input_572100!A:H,8,FALSE))</f>
        <v>18001.439999999999</v>
      </c>
      <c r="P55" s="40">
        <f t="shared" ca="1" si="1"/>
        <v>2.0834999998070855E-2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input_572100!A$2</f>
        <v>572100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">
        <v>35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IFERROR(VLOOKUP(B56,input_572100!L:R,7,FALSE),VLOOKUP(tables_572100!C56,input_572100!A:H,8,FALSE))</f>
        <v>826.56</v>
      </c>
      <c r="P56" s="40">
        <f t="shared" ca="1" si="1"/>
        <v>9.5666666657808744E-4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input_572100!A$2</f>
        <v>572100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IFERROR(VLOOKUP(B57,input_572100!L:R,7,FALSE),VLOOKUP(tables_572100!C57,input_572100!A:H,8,FALSE))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input_572100!A$2</f>
        <v>572100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IFERROR(VLOOKUP(B58,input_572100!L:R,7,FALSE),VLOOKUP(tables_572100!C58,input_572100!A:H,8,FALSE))</f>
        <v>4000.32</v>
      </c>
      <c r="P58" s="40">
        <f t="shared" ca="1" si="1"/>
        <v>4.6299999995713017E-3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input_572100!A$2</f>
        <v>572100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IFERROR(VLOOKUP(B59,input_572100!L:R,7,FALSE),VLOOKUP(tables_572100!C59,input_572100!A:H,8,FALSE))</f>
        <v>444.48</v>
      </c>
      <c r="P59" s="40">
        <f t="shared" ca="1" si="1"/>
        <v>5.1444444439681131E-4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input_572100!A$2</f>
        <v>572100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IFERROR(VLOOKUP(B60,input_572100!L:R,7,FALSE),VLOOKUP(tables_572100!C60,input_572100!A:H,8,FALSE))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input_572100!A$2</f>
        <v>572100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IFERROR(VLOOKUP(B61,input_572100!L:R,7,FALSE),VLOOKUP(tables_572100!C61,input_572100!A:H,8,FALSE))</f>
        <v>4000.32</v>
      </c>
      <c r="P61" s="40">
        <f t="shared" ca="1" si="1"/>
        <v>4.6299999995713017E-3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input_572100!A$2</f>
        <v>572100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IFERROR(VLOOKUP(B62,input_572100!L:R,7,FALSE),VLOOKUP(tables_572100!C62,input_572100!A:H,8,FALSE))</f>
        <v>444.48</v>
      </c>
      <c r="P62" s="40">
        <f t="shared" ca="1" si="1"/>
        <v>5.1444444439681131E-4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input_572100!A$2</f>
        <v>572100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IFERROR(VLOOKUP(B63,input_572100!L:R,7,FALSE),VLOOKUP(tables_572100!C63,input_572100!A:H,8,FALSE))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input_572100!A$2</f>
        <v>572100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IFERROR(VLOOKUP(B64,input_572100!L:R,7,FALSE),VLOOKUP(tables_572100!C64,input_572100!A:H,8,FALSE))</f>
        <v>4000.32</v>
      </c>
      <c r="P64" s="40">
        <f t="shared" ca="1" si="1"/>
        <v>4.6299999995713017E-3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input_572100!A$2</f>
        <v>572100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IFERROR(VLOOKUP(B65,input_572100!L:R,7,FALSE),VLOOKUP(tables_572100!C65,input_572100!A:H,8,FALSE))</f>
        <v>444.48</v>
      </c>
      <c r="P65" s="40">
        <f t="shared" ca="1" si="1"/>
        <v>5.1444444439681131E-4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input_572100!A$2</f>
        <v>572100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">
        <v>35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IFERROR(VLOOKUP(B66,input_572100!L:R,7,FALSE),VLOOKUP(tables_572100!C66,input_572100!A:H,8,FALSE))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input_572100!A$2</f>
        <v>572100</v>
      </c>
      <c r="B67" s="6">
        <v>191</v>
      </c>
      <c r="C67" s="7" t="str">
        <f t="shared" si="3"/>
        <v>Premium4color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">
        <v>35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IFERROR(VLOOKUP(B67,input_572100!L:R,7,FALSE),VLOOKUP(tables_572100!C67,input_572100!A:H,8,FALSE))</f>
        <v>18001.439999999999</v>
      </c>
      <c r="P67" s="40">
        <f t="shared" ca="1" si="4"/>
        <v>2.0834999998070855E-2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input_572100!A$2</f>
        <v>572100</v>
      </c>
      <c r="B68" s="6">
        <v>192</v>
      </c>
      <c r="C68" s="7" t="str">
        <f t="shared" si="3"/>
        <v>Premium5color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">
        <v>35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IFERROR(VLOOKUP(B68,input_572100!L:R,7,FALSE),VLOOKUP(tables_572100!C68,input_572100!A:H,8,FALSE))</f>
        <v>826.56</v>
      </c>
      <c r="P68" s="40">
        <f t="shared" ca="1" si="4"/>
        <v>9.5666666657808744E-4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input_572100!A$2</f>
        <v>572100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IFERROR(VLOOKUP(B69,input_572100!L:R,7,FALSE),VLOOKUP(tables_572100!C69,input_572100!A:H,8,FALSE))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input_572100!A$2</f>
        <v>572100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IFERROR(VLOOKUP(B70,input_572100!L:R,7,FALSE),VLOOKUP(tables_572100!C70,input_572100!A:H,8,FALSE))</f>
        <v>4000.32</v>
      </c>
      <c r="P70" s="40">
        <f t="shared" ca="1" si="4"/>
        <v>4.6299999995713017E-3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input_572100!A$2</f>
        <v>572100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IFERROR(VLOOKUP(B71,input_572100!L:R,7,FALSE),VLOOKUP(tables_572100!C71,input_572100!A:H,8,FALSE))</f>
        <v>444.48</v>
      </c>
      <c r="P71" s="40">
        <f t="shared" ca="1" si="4"/>
        <v>5.1444444439681131E-4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input_572100!A$2</f>
        <v>572100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IFERROR(VLOOKUP(B72,input_572100!L:R,7,FALSE),VLOOKUP(tables_572100!C72,input_572100!A:H,8,FALSE))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input_572100!A$2</f>
        <v>572100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IFERROR(VLOOKUP(B73,input_572100!L:R,7,FALSE),VLOOKUP(tables_572100!C73,input_572100!A:H,8,FALSE))</f>
        <v>4000.32</v>
      </c>
      <c r="P73" s="40">
        <f t="shared" ca="1" si="4"/>
        <v>4.6299999995713017E-3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input_572100!A$2</f>
        <v>572100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IFERROR(VLOOKUP(B74,input_572100!L:R,7,FALSE),VLOOKUP(tables_572100!C74,input_572100!A:H,8,FALSE))</f>
        <v>444.48</v>
      </c>
      <c r="P74" s="40">
        <f t="shared" ca="1" si="4"/>
        <v>5.1444444439681131E-4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input_572100!A$2</f>
        <v>572100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IFERROR(VLOOKUP(B75,input_572100!L:R,7,FALSE),VLOOKUP(tables_572100!C75,input_572100!A:H,8,FALSE))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input_572100!A$2</f>
        <v>572100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IFERROR(VLOOKUP(B76,input_572100!L:R,7,FALSE),VLOOKUP(tables_572100!C76,input_572100!A:H,8,FALSE))</f>
        <v>4000.32</v>
      </c>
      <c r="P76" s="40">
        <f t="shared" ca="1" si="4"/>
        <v>4.6299999995713017E-3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input_572100!A$2</f>
        <v>572100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IFERROR(VLOOKUP(B77,input_572100!L:R,7,FALSE),VLOOKUP(tables_572100!C77,input_572100!A:H,8,FALSE))</f>
        <v>444.48</v>
      </c>
      <c r="P77" s="40">
        <f t="shared" ca="1" si="4"/>
        <v>5.1444444439681131E-4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input_572100!A$2</f>
        <v>572100</v>
      </c>
      <c r="B78" s="5">
        <v>202</v>
      </c>
      <c r="C78" s="7" t="str">
        <f t="shared" si="3"/>
        <v>Premium3color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">
        <v>35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IFERROR(VLOOKUP(B78,input_572100!L:R,7,FALSE),VLOOKUP(tables_572100!C78,input_572100!A:H,8,FALSE))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input_572100!A$2</f>
        <v>572100</v>
      </c>
      <c r="B79" s="5">
        <v>203</v>
      </c>
      <c r="C79" s="7" t="str">
        <f t="shared" si="3"/>
        <v>Premium4color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">
        <v>35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IFERROR(VLOOKUP(B79,input_572100!L:R,7,FALSE),VLOOKUP(tables_572100!C79,input_572100!A:H,8,FALSE))</f>
        <v>18001.439999999999</v>
      </c>
      <c r="P79" s="40">
        <f t="shared" ca="1" si="4"/>
        <v>2.0834999998070855E-2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input_572100!A$2</f>
        <v>572100</v>
      </c>
      <c r="B80" s="5">
        <v>204</v>
      </c>
      <c r="C80" s="7" t="str">
        <f t="shared" si="3"/>
        <v>Premium5color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">
        <v>35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IFERROR(VLOOKUP(B80,input_572100!L:R,7,FALSE),VLOOKUP(tables_572100!C80,input_572100!A:H,8,FALSE))</f>
        <v>826.56</v>
      </c>
      <c r="P80" s="40">
        <f t="shared" ca="1" si="4"/>
        <v>9.5666666657808744E-4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input_572100!A$2</f>
        <v>572100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IFERROR(VLOOKUP(B81,input_572100!L:R,7,FALSE),VLOOKUP(tables_572100!C81,input_572100!A:H,8,FALSE))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input_572100!A$2</f>
        <v>572100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IFERROR(VLOOKUP(B82,input_572100!L:R,7,FALSE),VLOOKUP(tables_572100!C82,input_572100!A:H,8,FALSE))</f>
        <v>4000.32</v>
      </c>
      <c r="P82" s="40">
        <f t="shared" ca="1" si="4"/>
        <v>4.6299999995713017E-3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input_572100!A$2</f>
        <v>572100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IFERROR(VLOOKUP(B83,input_572100!L:R,7,FALSE),VLOOKUP(tables_572100!C83,input_572100!A:H,8,FALSE))</f>
        <v>444.48</v>
      </c>
      <c r="P83" s="40">
        <f t="shared" ca="1" si="4"/>
        <v>5.1444444439681131E-4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input_572100!A$2</f>
        <v>572100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IFERROR(VLOOKUP(B84,input_572100!L:R,7,FALSE),VLOOKUP(tables_572100!C84,input_572100!A:H,8,FALSE))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input_572100!A$2</f>
        <v>572100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IFERROR(VLOOKUP(B85,input_572100!L:R,7,FALSE),VLOOKUP(tables_572100!C85,input_572100!A:H,8,FALSE))</f>
        <v>4000.32</v>
      </c>
      <c r="P85" s="40">
        <f t="shared" ca="1" si="4"/>
        <v>4.6299999995713017E-3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input_572100!A$2</f>
        <v>572100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IFERROR(VLOOKUP(B86,input_572100!L:R,7,FALSE),VLOOKUP(tables_572100!C86,input_572100!A:H,8,FALSE))</f>
        <v>444.48</v>
      </c>
      <c r="P86" s="40">
        <f t="shared" ca="1" si="4"/>
        <v>5.1444444439681131E-4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input_572100!A$2</f>
        <v>572100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IFERROR(VLOOKUP(B87,input_572100!L:R,7,FALSE),VLOOKUP(tables_572100!C87,input_572100!A:H,8,FALSE))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input_572100!A$2</f>
        <v>572100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IFERROR(VLOOKUP(B88,input_572100!L:R,7,FALSE),VLOOKUP(tables_572100!C88,input_572100!A:H,8,FALSE))</f>
        <v>4000.32</v>
      </c>
      <c r="P88" s="40">
        <f t="shared" ca="1" si="4"/>
        <v>4.6299999995713017E-3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input_572100!A$2</f>
        <v>572100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IFERROR(VLOOKUP(B89,input_572100!L:R,7,FALSE),VLOOKUP(tables_572100!C89,input_572100!A:H,8,FALSE))</f>
        <v>444.48</v>
      </c>
      <c r="P89" s="40">
        <f t="shared" ca="1" si="4"/>
        <v>5.1444444439681131E-4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input_572100!A$2</f>
        <v>572100</v>
      </c>
      <c r="B90" s="5">
        <v>214</v>
      </c>
      <c r="C90" s="7" t="str">
        <f t="shared" si="3"/>
        <v>Premium3color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">
        <v>35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IFERROR(VLOOKUP(B90,input_572100!L:R,7,FALSE),VLOOKUP(tables_572100!C90,input_572100!A:H,8,FALSE))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input_572100!A$2</f>
        <v>572100</v>
      </c>
      <c r="B91" s="5">
        <v>215</v>
      </c>
      <c r="C91" s="7" t="str">
        <f t="shared" si="3"/>
        <v>Premium4color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">
        <v>35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IFERROR(VLOOKUP(B91,input_572100!L:R,7,FALSE),VLOOKUP(tables_572100!C91,input_572100!A:H,8,FALSE))</f>
        <v>18001.439999999999</v>
      </c>
      <c r="P91" s="40">
        <f t="shared" ca="1" si="4"/>
        <v>2.0834999998070855E-2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input_572100!A$2</f>
        <v>572100</v>
      </c>
      <c r="B92" s="5">
        <v>216</v>
      </c>
      <c r="C92" s="7" t="str">
        <f t="shared" si="3"/>
        <v>Premium5color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">
        <v>35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IFERROR(VLOOKUP(B92,input_572100!L:R,7,FALSE),VLOOKUP(tables_572100!C92,input_572100!A:H,8,FALSE))</f>
        <v>826.56</v>
      </c>
      <c r="P92" s="40">
        <f t="shared" ca="1" si="4"/>
        <v>9.5666666657808744E-4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input_572100!A$2</f>
        <v>572100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IFERROR(VLOOKUP(B93,input_572100!L:R,7,FALSE),VLOOKUP(tables_572100!C93,input_572100!A:H,8,FALSE))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input_572100!A$2</f>
        <v>572100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IFERROR(VLOOKUP(B94,input_572100!L:R,7,FALSE),VLOOKUP(tables_572100!C94,input_572100!A:H,8,FALSE))</f>
        <v>4000.32</v>
      </c>
      <c r="P94" s="40">
        <f t="shared" ca="1" si="4"/>
        <v>4.6299999995713017E-3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input_572100!A$2</f>
        <v>572100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IFERROR(VLOOKUP(B95,input_572100!L:R,7,FALSE),VLOOKUP(tables_572100!C95,input_572100!A:H,8,FALSE))</f>
        <v>444.48</v>
      </c>
      <c r="P95" s="40">
        <f t="shared" ca="1" si="4"/>
        <v>5.1444444439681131E-4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input_572100!A$2</f>
        <v>572100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IFERROR(VLOOKUP(B96,input_572100!L:R,7,FALSE),VLOOKUP(tables_572100!C96,input_572100!A:H,8,FALSE))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input_572100!A$2</f>
        <v>572100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IFERROR(VLOOKUP(B97,input_572100!L:R,7,FALSE),VLOOKUP(tables_572100!C97,input_572100!A:H,8,FALSE))</f>
        <v>4000.32</v>
      </c>
      <c r="P97" s="40">
        <f t="shared" ca="1" si="4"/>
        <v>4.6299999995713017E-3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input_572100!A$2</f>
        <v>572100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IFERROR(VLOOKUP(B98,input_572100!L:R,7,FALSE),VLOOKUP(tables_572100!C98,input_572100!A:H,8,FALSE))</f>
        <v>444.48</v>
      </c>
      <c r="P98" s="40">
        <f t="shared" ca="1" si="4"/>
        <v>5.1444444439681131E-4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input_572100!A$2</f>
        <v>572100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IFERROR(VLOOKUP(B99,input_572100!L:R,7,FALSE),VLOOKUP(tables_572100!C99,input_572100!A:H,8,FALSE))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input_572100!A$2</f>
        <v>572100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IFERROR(VLOOKUP(B100,input_572100!L:R,7,FALSE),VLOOKUP(tables_572100!C100,input_572100!A:H,8,FALSE))</f>
        <v>4000.32</v>
      </c>
      <c r="P100" s="40">
        <f t="shared" ca="1" si="4"/>
        <v>4.6299999995713017E-3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input_572100!A$2</f>
        <v>572100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IFERROR(VLOOKUP(B101,input_572100!L:R,7,FALSE),VLOOKUP(tables_572100!C101,input_572100!A:H,8,FALSE))</f>
        <v>444.48</v>
      </c>
      <c r="P101" s="40">
        <f t="shared" ca="1" si="4"/>
        <v>5.1444444439681131E-4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input_572100!A$2</f>
        <v>572100</v>
      </c>
      <c r="B102" s="5">
        <v>226</v>
      </c>
      <c r="C102" s="7" t="str">
        <f t="shared" si="3"/>
        <v>Premium3color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">
        <v>35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IFERROR(VLOOKUP(B102,input_572100!L:R,7,FALSE),VLOOKUP(tables_572100!C102,input_572100!A:H,8,FALSE))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input_572100!A$2</f>
        <v>572100</v>
      </c>
      <c r="B103" s="5">
        <v>227</v>
      </c>
      <c r="C103" s="7" t="str">
        <f t="shared" si="3"/>
        <v>Premium4color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">
        <v>35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IFERROR(VLOOKUP(B103,input_572100!L:R,7,FALSE),VLOOKUP(tables_572100!C103,input_572100!A:H,8,FALSE))</f>
        <v>18001.439999999999</v>
      </c>
      <c r="P103" s="40">
        <f t="shared" ca="1" si="4"/>
        <v>2.0834999998070855E-2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input_572100!A$2</f>
        <v>572100</v>
      </c>
      <c r="B104" s="5">
        <v>228</v>
      </c>
      <c r="C104" s="7" t="str">
        <f t="shared" si="3"/>
        <v>Premium5color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">
        <v>35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IFERROR(VLOOKUP(B104,input_572100!L:R,7,FALSE),VLOOKUP(tables_572100!C104,input_572100!A:H,8,FALSE))</f>
        <v>826.56</v>
      </c>
      <c r="P104" s="40">
        <f t="shared" ca="1" si="4"/>
        <v>9.5666666657808744E-4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input_572100!A$2</f>
        <v>572100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IFERROR(VLOOKUP(B105,input_572100!L:R,7,FALSE),VLOOKUP(tables_572100!C105,input_572100!A:H,8,FALSE))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input_572100!A$2</f>
        <v>572100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IFERROR(VLOOKUP(B106,input_572100!L:R,7,FALSE),VLOOKUP(tables_572100!C106,input_572100!A:H,8,FALSE))</f>
        <v>4000.32</v>
      </c>
      <c r="P106" s="40">
        <f t="shared" ca="1" si="4"/>
        <v>4.6299999995713017E-3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input_572100!A$2</f>
        <v>572100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IFERROR(VLOOKUP(B107,input_572100!L:R,7,FALSE),VLOOKUP(tables_572100!C107,input_572100!A:H,8,FALSE))</f>
        <v>444.48</v>
      </c>
      <c r="P107" s="40">
        <f t="shared" ca="1" si="4"/>
        <v>5.1444444439681131E-4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input_572100!A$2</f>
        <v>572100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IFERROR(VLOOKUP(B108,input_572100!L:R,7,FALSE),VLOOKUP(tables_572100!C108,input_572100!A:H,8,FALSE))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input_572100!A$2</f>
        <v>572100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IFERROR(VLOOKUP(B109,input_572100!L:R,7,FALSE),VLOOKUP(tables_572100!C109,input_572100!A:H,8,FALSE))</f>
        <v>4000.32</v>
      </c>
      <c r="P109" s="40">
        <f t="shared" ca="1" si="4"/>
        <v>4.6299999995713017E-3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input_572100!A$2</f>
        <v>572100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IFERROR(VLOOKUP(B110,input_572100!L:R,7,FALSE),VLOOKUP(tables_572100!C110,input_572100!A:H,8,FALSE))</f>
        <v>444.48</v>
      </c>
      <c r="P110" s="40">
        <f t="shared" ca="1" si="4"/>
        <v>5.1444444439681131E-4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input_572100!A$2</f>
        <v>572100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IFERROR(VLOOKUP(B111,input_572100!L:R,7,FALSE),VLOOKUP(tables_572100!C111,input_572100!A:H,8,FALSE))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input_572100!A$2</f>
        <v>572100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IFERROR(VLOOKUP(B112,input_572100!L:R,7,FALSE),VLOOKUP(tables_572100!C112,input_572100!A:H,8,FALSE))</f>
        <v>4000.32</v>
      </c>
      <c r="P112" s="40">
        <f t="shared" ca="1" si="4"/>
        <v>4.6299999995713017E-3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input_572100!A$2</f>
        <v>572100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IFERROR(VLOOKUP(B113,input_572100!L:R,7,FALSE),VLOOKUP(tables_572100!C113,input_572100!A:H,8,FALSE))</f>
        <v>444.48</v>
      </c>
      <c r="P113" s="40">
        <f t="shared" ca="1" si="4"/>
        <v>5.1444444439681131E-4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input_572100!A$2</f>
        <v>572100</v>
      </c>
      <c r="B114" s="5">
        <v>238</v>
      </c>
      <c r="C114" s="7" t="str">
        <f t="shared" si="3"/>
        <v>Premium3color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">
        <v>35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IFERROR(VLOOKUP(B114,input_572100!L:R,7,FALSE),VLOOKUP(tables_572100!C114,input_572100!A:H,8,FALSE))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input_572100!A$2</f>
        <v>572100</v>
      </c>
      <c r="B115" s="5">
        <v>239</v>
      </c>
      <c r="C115" s="7" t="str">
        <f t="shared" si="3"/>
        <v>Premium4color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">
        <v>35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IFERROR(VLOOKUP(B115,input_572100!L:R,7,FALSE),VLOOKUP(tables_572100!C115,input_572100!A:H,8,FALSE))</f>
        <v>18001.439999999999</v>
      </c>
      <c r="P115" s="40">
        <f t="shared" ca="1" si="4"/>
        <v>2.0834999998070855E-2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input_572100!A$2</f>
        <v>572100</v>
      </c>
      <c r="B116" s="5">
        <v>240</v>
      </c>
      <c r="C116" s="7" t="str">
        <f t="shared" si="3"/>
        <v>Premium5color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">
        <v>35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IFERROR(VLOOKUP(B116,input_572100!L:R,7,FALSE),VLOOKUP(tables_572100!C116,input_572100!A:H,8,FALSE))</f>
        <v>826.56</v>
      </c>
      <c r="P116" s="40">
        <f t="shared" ca="1" si="4"/>
        <v>9.5666666657808744E-4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input_572100!A$2</f>
        <v>572100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IFERROR(VLOOKUP(B117,input_572100!L:R,7,FALSE),VLOOKUP(tables_572100!C117,input_572100!A:H,8,FALSE))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input_572100!A$2</f>
        <v>572100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IFERROR(VLOOKUP(B118,input_572100!L:R,7,FALSE),VLOOKUP(tables_572100!C118,input_572100!A:H,8,FALSE))</f>
        <v>4000.32</v>
      </c>
      <c r="P118" s="40">
        <f t="shared" ca="1" si="4"/>
        <v>4.6299999995713017E-3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input_572100!A$2</f>
        <v>572100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IFERROR(VLOOKUP(B119,input_572100!L:R,7,FALSE),VLOOKUP(tables_572100!C119,input_572100!A:H,8,FALSE))</f>
        <v>444.48</v>
      </c>
      <c r="P119" s="40">
        <f t="shared" ca="1" si="4"/>
        <v>5.1444444439681131E-4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input_572100!A$2</f>
        <v>572100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IFERROR(VLOOKUP(B120,input_572100!L:R,7,FALSE),VLOOKUP(tables_572100!C120,input_572100!A:H,8,FALSE))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input_572100!A$2</f>
        <v>572100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IFERROR(VLOOKUP(B121,input_572100!L:R,7,FALSE),VLOOKUP(tables_572100!C121,input_572100!A:H,8,FALSE))</f>
        <v>4000.32</v>
      </c>
      <c r="P121" s="40">
        <f t="shared" ca="1" si="4"/>
        <v>4.6299999995713017E-3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input_572100!A$2</f>
        <v>572100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IFERROR(VLOOKUP(B122,input_572100!L:R,7,FALSE),VLOOKUP(tables_572100!C122,input_572100!A:H,8,FALSE))</f>
        <v>444.48</v>
      </c>
      <c r="P122" s="40">
        <f t="shared" ca="1" si="4"/>
        <v>5.1444444439681131E-4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input_572100!A$2</f>
        <v>572100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IFERROR(VLOOKUP(B123,input_572100!L:R,7,FALSE),VLOOKUP(tables_572100!C123,input_572100!A:H,8,FALSE))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input_572100!A$2</f>
        <v>572100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IFERROR(VLOOKUP(B124,input_572100!L:R,7,FALSE),VLOOKUP(tables_572100!C124,input_572100!A:H,8,FALSE))</f>
        <v>4000.32</v>
      </c>
      <c r="P124" s="40">
        <f t="shared" ca="1" si="4"/>
        <v>4.6299999995713017E-3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input_572100!A$2</f>
        <v>572100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IFERROR(VLOOKUP(B125,input_572100!L:R,7,FALSE),VLOOKUP(tables_572100!C125,input_572100!A:H,8,FALSE))</f>
        <v>444.48</v>
      </c>
      <c r="P125" s="40">
        <f t="shared" ca="1" si="4"/>
        <v>5.1444444439681131E-4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input_572100!A$2</f>
        <v>572100</v>
      </c>
      <c r="B126" s="6">
        <v>250</v>
      </c>
      <c r="C126" s="7" t="str">
        <f t="shared" si="3"/>
        <v>Premium3color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">
        <v>35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IFERROR(VLOOKUP(B126,input_572100!L:R,7,FALSE),VLOOKUP(tables_572100!C126,input_572100!A:H,8,FALSE))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input_572100!A$2</f>
        <v>572100</v>
      </c>
      <c r="B127" s="6">
        <v>251</v>
      </c>
      <c r="C127" s="7" t="str">
        <f t="shared" si="3"/>
        <v>Premium4color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">
        <v>35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IFERROR(VLOOKUP(B127,input_572100!L:R,7,FALSE),VLOOKUP(tables_572100!C127,input_572100!A:H,8,FALSE))</f>
        <v>18001.439999999999</v>
      </c>
      <c r="P127" s="40">
        <f t="shared" ca="1" si="4"/>
        <v>2.0834999998070855E-2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input_572100!A$2</f>
        <v>572100</v>
      </c>
      <c r="B128" s="6">
        <v>252</v>
      </c>
      <c r="C128" s="7" t="str">
        <f t="shared" si="3"/>
        <v>Premium5color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">
        <v>35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IFERROR(VLOOKUP(B128,input_572100!L:R,7,FALSE),VLOOKUP(tables_572100!C128,input_572100!A:H,8,FALSE))</f>
        <v>826.56</v>
      </c>
      <c r="P128" s="40">
        <f t="shared" ca="1" si="4"/>
        <v>9.5666666657808744E-4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input_572100!A$2</f>
        <v>572100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IFERROR(VLOOKUP(B129,input_572100!L:R,7,FALSE),VLOOKUP(tables_572100!C129,input_572100!A:H,8,FALSE))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input_572100!A$2</f>
        <v>572100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IFERROR(VLOOKUP(B130,input_572100!L:R,7,FALSE),VLOOKUP(tables_572100!C130,input_572100!A:H,8,FALSE))</f>
        <v>4000.32</v>
      </c>
      <c r="P130" s="40">
        <f t="shared" ref="P130:P193" ca="1" si="7">O130/SUM(O:O)</f>
        <v>4.6299999995713017E-3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input_572100!A$2</f>
        <v>572100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IFERROR(VLOOKUP(B131,input_572100!L:R,7,FALSE),VLOOKUP(tables_572100!C131,input_572100!A:H,8,FALSE))</f>
        <v>444.48</v>
      </c>
      <c r="P131" s="40">
        <f t="shared" ca="1" si="7"/>
        <v>5.1444444439681131E-4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input_572100!A$2</f>
        <v>572100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IFERROR(VLOOKUP(B132,input_572100!L:R,7,FALSE),VLOOKUP(tables_572100!C132,input_572100!A:H,8,FALSE))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input_572100!A$2</f>
        <v>572100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IFERROR(VLOOKUP(B133,input_572100!L:R,7,FALSE),VLOOKUP(tables_572100!C133,input_572100!A:H,8,FALSE))</f>
        <v>4000.32</v>
      </c>
      <c r="P133" s="40">
        <f t="shared" ca="1" si="7"/>
        <v>4.6299999995713017E-3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input_572100!A$2</f>
        <v>572100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IFERROR(VLOOKUP(B134,input_572100!L:R,7,FALSE),VLOOKUP(tables_572100!C134,input_572100!A:H,8,FALSE))</f>
        <v>444.48</v>
      </c>
      <c r="P134" s="40">
        <f t="shared" ca="1" si="7"/>
        <v>5.1444444439681131E-4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input_572100!A$2</f>
        <v>572100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IFERROR(VLOOKUP(B135,input_572100!L:R,7,FALSE),VLOOKUP(tables_572100!C135,input_572100!A:H,8,FALSE))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input_572100!A$2</f>
        <v>572100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IFERROR(VLOOKUP(B136,input_572100!L:R,7,FALSE),VLOOKUP(tables_572100!C136,input_572100!A:H,8,FALSE))</f>
        <v>4000.32</v>
      </c>
      <c r="P136" s="40">
        <f t="shared" ca="1" si="7"/>
        <v>4.6299999995713017E-3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input_572100!A$2</f>
        <v>572100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IFERROR(VLOOKUP(B137,input_572100!L:R,7,FALSE),VLOOKUP(tables_572100!C137,input_572100!A:H,8,FALSE))</f>
        <v>444.48</v>
      </c>
      <c r="P137" s="40">
        <f t="shared" ca="1" si="7"/>
        <v>5.1444444439681131E-4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input_572100!A$2</f>
        <v>572100</v>
      </c>
      <c r="B138" s="6">
        <v>320</v>
      </c>
      <c r="C138" s="7" t="str">
        <f t="shared" si="6"/>
        <v>PremiumSS4color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">
        <v>35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IFERROR(VLOOKUP(B138,input_572100!L:R,7,FALSE),VLOOKUP(tables_572100!C138,input_572100!A:H,8,FALSE))</f>
        <v>1296</v>
      </c>
      <c r="P138" s="40">
        <f t="shared" ca="1" si="7"/>
        <v>1.4999999998611129E-3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input_572100!A$2</f>
        <v>572100</v>
      </c>
      <c r="B139" s="6">
        <v>321</v>
      </c>
      <c r="C139" s="7" t="str">
        <f t="shared" si="6"/>
        <v>PremiumSS5color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">
        <v>35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IFERROR(VLOOKUP(B139,input_572100!L:R,7,FALSE),VLOOKUP(tables_572100!C139,input_572100!A:H,8,FALSE))</f>
        <v>144</v>
      </c>
      <c r="P139" s="40">
        <f t="shared" ca="1" si="7"/>
        <v>1.6666666665123478E-4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input_572100!A$2</f>
        <v>572100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IFERROR(VLOOKUP(B140,input_572100!L:R,7,FALSE),VLOOKUP(tables_572100!C140,input_572100!A:H,8,FALSE))</f>
        <v>288</v>
      </c>
      <c r="P140" s="40">
        <f t="shared" ca="1" si="7"/>
        <v>3.3333333330246956E-4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input_572100!A$2</f>
        <v>572100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IFERROR(VLOOKUP(B141,input_572100!L:R,7,FALSE),VLOOKUP(tables_572100!C141,input_572100!A:H,8,FALSE))</f>
        <v>32</v>
      </c>
      <c r="P141" s="40">
        <f t="shared" ca="1" si="7"/>
        <v>3.7037037033607725E-5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input_572100!A$2</f>
        <v>572100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IFERROR(VLOOKUP(B142,input_572100!L:R,7,FALSE),VLOOKUP(tables_572100!C142,input_572100!A:H,8,FALSE))</f>
        <v>288</v>
      </c>
      <c r="P142" s="40">
        <f t="shared" ca="1" si="7"/>
        <v>3.3333333330246956E-4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input_572100!A$2</f>
        <v>572100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IFERROR(VLOOKUP(B143,input_572100!L:R,7,FALSE),VLOOKUP(tables_572100!C143,input_572100!A:H,8,FALSE))</f>
        <v>32</v>
      </c>
      <c r="P143" s="40">
        <f t="shared" ca="1" si="7"/>
        <v>3.7037037033607725E-5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input_572100!A$2</f>
        <v>572100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IFERROR(VLOOKUP(B144,input_572100!L:R,7,FALSE),VLOOKUP(tables_572100!C144,input_572100!A:H,8,FALSE))</f>
        <v>288</v>
      </c>
      <c r="P144" s="40">
        <f t="shared" ca="1" si="7"/>
        <v>3.3333333330246956E-4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input_572100!A$2</f>
        <v>572100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IFERROR(VLOOKUP(B145,input_572100!L:R,7,FALSE),VLOOKUP(tables_572100!C145,input_572100!A:H,8,FALSE))</f>
        <v>32</v>
      </c>
      <c r="P145" s="40">
        <f t="shared" ca="1" si="7"/>
        <v>3.7037037033607725E-5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input_572100!A$2</f>
        <v>572100</v>
      </c>
      <c r="B146" s="6">
        <v>380</v>
      </c>
      <c r="C146" s="7" t="str">
        <f t="shared" si="6"/>
        <v>Premium3color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">
        <v>35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IFERROR(VLOOKUP(B146,input_572100!L:R,7,FALSE),VLOOKUP(tables_572100!C146,input_572100!A:H,8,FALSE))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input_572100!A$2</f>
        <v>572100</v>
      </c>
      <c r="B147" s="6">
        <v>381</v>
      </c>
      <c r="C147" s="7" t="str">
        <f t="shared" si="6"/>
        <v>Premium4color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">
        <v>35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IFERROR(VLOOKUP(B147,input_572100!L:R,7,FALSE),VLOOKUP(tables_572100!C147,input_572100!A:H,8,FALSE))</f>
        <v>18001.439999999999</v>
      </c>
      <c r="P147" s="40">
        <f t="shared" ca="1" si="7"/>
        <v>2.0834999998070855E-2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input_572100!A$2</f>
        <v>572100</v>
      </c>
      <c r="B148" s="6">
        <v>382</v>
      </c>
      <c r="C148" s="7" t="str">
        <f t="shared" si="6"/>
        <v>Premium5color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">
        <v>35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IFERROR(VLOOKUP(B148,input_572100!L:R,7,FALSE),VLOOKUP(tables_572100!C148,input_572100!A:H,8,FALSE))</f>
        <v>826.56</v>
      </c>
      <c r="P148" s="40">
        <f t="shared" ca="1" si="7"/>
        <v>9.5666666657808744E-4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input_572100!A$2</f>
        <v>572100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IFERROR(VLOOKUP(B149,input_572100!L:R,7,FALSE),VLOOKUP(tables_572100!C149,input_572100!A:H,8,FALSE))</f>
        <v>288</v>
      </c>
      <c r="P149" s="40">
        <f t="shared" ca="1" si="7"/>
        <v>3.3333333330246956E-4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input_572100!A$2</f>
        <v>572100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IFERROR(VLOOKUP(B150,input_572100!L:R,7,FALSE),VLOOKUP(tables_572100!C150,input_572100!A:H,8,FALSE))</f>
        <v>32</v>
      </c>
      <c r="P150" s="40">
        <f t="shared" ca="1" si="7"/>
        <v>3.7037037033607725E-5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input_572100!A$2</f>
        <v>572100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IFERROR(VLOOKUP(B151,input_572100!L:R,7,FALSE),VLOOKUP(tables_572100!C151,input_572100!A:H,8,FALSE))</f>
        <v>288</v>
      </c>
      <c r="P151" s="40">
        <f t="shared" ca="1" si="7"/>
        <v>3.3333333330246956E-4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input_572100!A$2</f>
        <v>572100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IFERROR(VLOOKUP(B152,input_572100!L:R,7,FALSE),VLOOKUP(tables_572100!C152,input_572100!A:H,8,FALSE))</f>
        <v>32</v>
      </c>
      <c r="P152" s="40">
        <f t="shared" ca="1" si="7"/>
        <v>3.7037037033607725E-5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input_572100!A$2</f>
        <v>572100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IFERROR(VLOOKUP(B153,input_572100!L:R,7,FALSE),VLOOKUP(tables_572100!C153,input_572100!A:H,8,FALSE))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input_572100!A$2</f>
        <v>572100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IFERROR(VLOOKUP(B154,input_572100!L:R,7,FALSE),VLOOKUP(tables_572100!C154,input_572100!A:H,8,FALSE))</f>
        <v>4000.32</v>
      </c>
      <c r="P154" s="40">
        <f t="shared" ca="1" si="7"/>
        <v>4.6299999995713017E-3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input_572100!A$2</f>
        <v>572100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IFERROR(VLOOKUP(B155,input_572100!L:R,7,FALSE),VLOOKUP(tables_572100!C155,input_572100!A:H,8,FALSE))</f>
        <v>444.48</v>
      </c>
      <c r="P155" s="40">
        <f t="shared" ca="1" si="7"/>
        <v>5.1444444439681131E-4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input_572100!A$2</f>
        <v>572100</v>
      </c>
      <c r="B156" s="6">
        <v>390</v>
      </c>
      <c r="C156" s="7" t="str">
        <f t="shared" si="6"/>
        <v>PremiumSS4color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">
        <v>35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IFERROR(VLOOKUP(B156,input_572100!L:R,7,FALSE),VLOOKUP(tables_572100!C156,input_572100!A:H,8,FALSE))</f>
        <v>1296</v>
      </c>
      <c r="P156" s="40">
        <f t="shared" ca="1" si="7"/>
        <v>1.4999999998611129E-3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input_572100!A$2</f>
        <v>572100</v>
      </c>
      <c r="B157" s="6">
        <v>391</v>
      </c>
      <c r="C157" s="7" t="str">
        <f t="shared" si="6"/>
        <v>PremiumSS5color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">
        <v>35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IFERROR(VLOOKUP(B157,input_572100!L:R,7,FALSE),VLOOKUP(tables_572100!C157,input_572100!A:H,8,FALSE))</f>
        <v>144</v>
      </c>
      <c r="P157" s="40">
        <f t="shared" ca="1" si="7"/>
        <v>1.6666666665123478E-4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input_572100!A$2</f>
        <v>572100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IFERROR(VLOOKUP(B158,input_572100!L:R,7,FALSE),VLOOKUP(tables_572100!C158,input_572100!A:H,8,FALSE))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input_572100!A$2</f>
        <v>572100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IFERROR(VLOOKUP(B159,input_572100!L:R,7,FALSE),VLOOKUP(tables_572100!C159,input_572100!A:H,8,FALSE))</f>
        <v>4000.32</v>
      </c>
      <c r="P159" s="40">
        <f t="shared" ca="1" si="7"/>
        <v>4.6299999995713017E-3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input_572100!A$2</f>
        <v>572100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IFERROR(VLOOKUP(B160,input_572100!L:R,7,FALSE),VLOOKUP(tables_572100!C160,input_572100!A:H,8,FALSE))</f>
        <v>444.48</v>
      </c>
      <c r="P160" s="40">
        <f t="shared" ca="1" si="7"/>
        <v>5.1444444439681131E-4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input_572100!A$2</f>
        <v>572100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IFERROR(VLOOKUP(B161,input_572100!L:R,7,FALSE),VLOOKUP(tables_572100!C161,input_572100!A:H,8,FALSE))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input_572100!A$2</f>
        <v>572100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IFERROR(VLOOKUP(B162,input_572100!L:R,7,FALSE),VLOOKUP(tables_572100!C162,input_572100!A:H,8,FALSE))</f>
        <v>4000.32</v>
      </c>
      <c r="P162" s="40">
        <f t="shared" ca="1" si="7"/>
        <v>4.6299999995713017E-3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input_572100!A$2</f>
        <v>572100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IFERROR(VLOOKUP(B163,input_572100!L:R,7,FALSE),VLOOKUP(tables_572100!C163,input_572100!A:H,8,FALSE))</f>
        <v>444.48</v>
      </c>
      <c r="P163" s="40">
        <f t="shared" ca="1" si="7"/>
        <v>5.1444444439681131E-4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input_572100!A$2</f>
        <v>572100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IFERROR(VLOOKUP(B164,input_572100!L:R,7,FALSE),VLOOKUP(tables_572100!C164,input_572100!A:H,8,FALSE))</f>
        <v>288</v>
      </c>
      <c r="P164" s="40">
        <f t="shared" ca="1" si="7"/>
        <v>3.3333333330246956E-4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input_572100!A$2</f>
        <v>572100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IFERROR(VLOOKUP(B165,input_572100!L:R,7,FALSE),VLOOKUP(tables_572100!C165,input_572100!A:H,8,FALSE))</f>
        <v>32</v>
      </c>
      <c r="P165" s="40">
        <f t="shared" ca="1" si="7"/>
        <v>3.7037037033607725E-5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input_572100!A$2</f>
        <v>572100</v>
      </c>
      <c r="B166" s="6">
        <v>400</v>
      </c>
      <c r="C166" s="7" t="str">
        <f t="shared" si="6"/>
        <v>Premium3color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">
        <v>35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IFERROR(VLOOKUP(B166,input_572100!L:R,7,FALSE),VLOOKUP(tables_572100!C166,input_572100!A:H,8,FALSE))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input_572100!A$2</f>
        <v>572100</v>
      </c>
      <c r="B167" s="6">
        <v>401</v>
      </c>
      <c r="C167" s="7" t="str">
        <f t="shared" si="6"/>
        <v>Premium4color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">
        <v>35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IFERROR(VLOOKUP(B167,input_572100!L:R,7,FALSE),VLOOKUP(tables_572100!C167,input_572100!A:H,8,FALSE))</f>
        <v>18001.439999999999</v>
      </c>
      <c r="P167" s="40">
        <f t="shared" ca="1" si="7"/>
        <v>2.0834999998070855E-2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input_572100!A$2</f>
        <v>572100</v>
      </c>
      <c r="B168" s="6">
        <v>402</v>
      </c>
      <c r="C168" s="7" t="str">
        <f t="shared" si="6"/>
        <v>Premium5color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">
        <v>35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IFERROR(VLOOKUP(B168,input_572100!L:R,7,FALSE),VLOOKUP(tables_572100!C168,input_572100!A:H,8,FALSE))</f>
        <v>826.56</v>
      </c>
      <c r="P168" s="40">
        <f t="shared" ca="1" si="7"/>
        <v>9.5666666657808744E-4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input_572100!A$2</f>
        <v>572100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IFERROR(VLOOKUP(B169,input_572100!L:R,7,FALSE),VLOOKUP(tables_572100!C169,input_572100!A:H,8,FALSE))</f>
        <v>288</v>
      </c>
      <c r="P169" s="40">
        <f t="shared" ca="1" si="7"/>
        <v>3.3333333330246956E-4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input_572100!A$2</f>
        <v>572100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IFERROR(VLOOKUP(B170,input_572100!L:R,7,FALSE),VLOOKUP(tables_572100!C170,input_572100!A:H,8,FALSE))</f>
        <v>32</v>
      </c>
      <c r="P170" s="40">
        <f t="shared" ca="1" si="7"/>
        <v>3.7037037033607725E-5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input_572100!A$2</f>
        <v>572100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IFERROR(VLOOKUP(B171,input_572100!L:R,7,FALSE),VLOOKUP(tables_572100!C171,input_572100!A:H,8,FALSE))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input_572100!A$2</f>
        <v>572100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IFERROR(VLOOKUP(B172,input_572100!L:R,7,FALSE),VLOOKUP(tables_572100!C172,input_572100!A:H,8,FALSE))</f>
        <v>4000.32</v>
      </c>
      <c r="P172" s="40">
        <f t="shared" ca="1" si="7"/>
        <v>4.6299999995713017E-3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input_572100!A$2</f>
        <v>572100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IFERROR(VLOOKUP(B173,input_572100!L:R,7,FALSE),VLOOKUP(tables_572100!C173,input_572100!A:H,8,FALSE))</f>
        <v>444.48</v>
      </c>
      <c r="P173" s="40">
        <f t="shared" ca="1" si="7"/>
        <v>5.1444444439681131E-4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input_572100!A$2</f>
        <v>572100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IFERROR(VLOOKUP(B174,input_572100!L:R,7,FALSE),VLOOKUP(tables_572100!C174,input_572100!A:H,8,FALSE))</f>
        <v>288</v>
      </c>
      <c r="P174" s="40">
        <f t="shared" ca="1" si="7"/>
        <v>3.3333333330246956E-4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input_572100!A$2</f>
        <v>572100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IFERROR(VLOOKUP(B175,input_572100!L:R,7,FALSE),VLOOKUP(tables_572100!C175,input_572100!A:H,8,FALSE))</f>
        <v>32</v>
      </c>
      <c r="P175" s="40">
        <f t="shared" ca="1" si="7"/>
        <v>3.7037037033607725E-5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input_572100!A$2</f>
        <v>572100</v>
      </c>
      <c r="B176" s="6">
        <v>434</v>
      </c>
      <c r="C176" s="7" t="str">
        <f t="shared" si="6"/>
        <v>PremiumSS4color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">
        <v>35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IFERROR(VLOOKUP(B176,input_572100!L:R,7,FALSE),VLOOKUP(tables_572100!C176,input_572100!A:H,8,FALSE))</f>
        <v>1296</v>
      </c>
      <c r="P176" s="40">
        <f t="shared" ca="1" si="7"/>
        <v>1.4999999998611129E-3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input_572100!A$2</f>
        <v>572100</v>
      </c>
      <c r="B177" s="6">
        <v>435</v>
      </c>
      <c r="C177" s="7" t="str">
        <f t="shared" si="6"/>
        <v>PremiumSS5color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">
        <v>35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IFERROR(VLOOKUP(B177,input_572100!L:R,7,FALSE),VLOOKUP(tables_572100!C177,input_572100!A:H,8,FALSE))</f>
        <v>144</v>
      </c>
      <c r="P177" s="40">
        <f t="shared" ca="1" si="7"/>
        <v>1.6666666665123478E-4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input_572100!A$2</f>
        <v>572100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IFERROR(VLOOKUP(B178,input_572100!L:R,7,FALSE),VLOOKUP(tables_572100!C178,input_572100!A:H,8,FALSE))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input_572100!A$2</f>
        <v>572100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IFERROR(VLOOKUP(B179,input_572100!L:R,7,FALSE),VLOOKUP(tables_572100!C179,input_572100!A:H,8,FALSE))</f>
        <v>4000.32</v>
      </c>
      <c r="P179" s="40">
        <f t="shared" ca="1" si="7"/>
        <v>4.6299999995713017E-3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input_572100!A$2</f>
        <v>572100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IFERROR(VLOOKUP(B180,input_572100!L:R,7,FALSE),VLOOKUP(tables_572100!C180,input_572100!A:H,8,FALSE))</f>
        <v>444.48</v>
      </c>
      <c r="P180" s="40">
        <f t="shared" ca="1" si="7"/>
        <v>5.1444444439681131E-4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input_572100!A$2</f>
        <v>572100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IFERROR(VLOOKUP(B181,input_572100!L:R,7,FALSE),VLOOKUP(tables_572100!C181,input_572100!A:H,8,FALSE))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input_572100!A$2</f>
        <v>572100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IFERROR(VLOOKUP(B182,input_572100!L:R,7,FALSE),VLOOKUP(tables_572100!C182,input_572100!A:H,8,FALSE))</f>
        <v>4000.32</v>
      </c>
      <c r="P182" s="40">
        <f t="shared" ca="1" si="7"/>
        <v>4.6299999995713017E-3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input_572100!A$2</f>
        <v>572100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IFERROR(VLOOKUP(B183,input_572100!L:R,7,FALSE),VLOOKUP(tables_572100!C183,input_572100!A:H,8,FALSE))</f>
        <v>444.48</v>
      </c>
      <c r="P183" s="40">
        <f t="shared" ca="1" si="7"/>
        <v>5.1444444439681131E-4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input_572100!A$2</f>
        <v>572100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IFERROR(VLOOKUP(B184,input_572100!L:R,7,FALSE),VLOOKUP(tables_572100!C184,input_572100!A:H,8,FALSE))</f>
        <v>288</v>
      </c>
      <c r="P184" s="40">
        <f t="shared" ca="1" si="7"/>
        <v>3.3333333330246956E-4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input_572100!A$2</f>
        <v>572100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IFERROR(VLOOKUP(B185,input_572100!L:R,7,FALSE),VLOOKUP(tables_572100!C185,input_572100!A:H,8,FALSE))</f>
        <v>32</v>
      </c>
      <c r="P185" s="40">
        <f t="shared" ca="1" si="7"/>
        <v>3.7037037033607725E-5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input_572100!A$2</f>
        <v>572100</v>
      </c>
      <c r="B186" s="8">
        <v>462</v>
      </c>
      <c r="C186" s="7" t="str">
        <f t="shared" si="6"/>
        <v>Premium3color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">
        <v>35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IFERROR(VLOOKUP(B186,input_572100!L:R,7,FALSE),VLOOKUP(tables_572100!C186,input_572100!A:H,8,FALSE))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input_572100!A$2</f>
        <v>572100</v>
      </c>
      <c r="B187" s="8">
        <v>463</v>
      </c>
      <c r="C187" s="7" t="str">
        <f t="shared" si="6"/>
        <v>Premium4color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">
        <v>35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IFERROR(VLOOKUP(B187,input_572100!L:R,7,FALSE),VLOOKUP(tables_572100!C187,input_572100!A:H,8,FALSE))</f>
        <v>18001.439999999999</v>
      </c>
      <c r="P187" s="40">
        <f t="shared" ca="1" si="7"/>
        <v>2.0834999998070855E-2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input_572100!A$2</f>
        <v>572100</v>
      </c>
      <c r="B188" s="8">
        <v>464</v>
      </c>
      <c r="C188" s="7" t="str">
        <f t="shared" si="6"/>
        <v>Premium5color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">
        <v>35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IFERROR(VLOOKUP(B188,input_572100!L:R,7,FALSE),VLOOKUP(tables_572100!C188,input_572100!A:H,8,FALSE))</f>
        <v>826.56</v>
      </c>
      <c r="P188" s="40">
        <f t="shared" ca="1" si="7"/>
        <v>9.5666666657808744E-4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input_572100!A$2</f>
        <v>572100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IFERROR(VLOOKUP(B189,input_572100!L:R,7,FALSE),VLOOKUP(tables_572100!C189,input_572100!A:H,8,FALSE))</f>
        <v>288</v>
      </c>
      <c r="P189" s="40">
        <f t="shared" ca="1" si="7"/>
        <v>3.3333333330246956E-4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input_572100!A$2</f>
        <v>572100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IFERROR(VLOOKUP(B190,input_572100!L:R,7,FALSE),VLOOKUP(tables_572100!C190,input_572100!A:H,8,FALSE))</f>
        <v>32</v>
      </c>
      <c r="P190" s="40">
        <f t="shared" ca="1" si="7"/>
        <v>3.7037037033607725E-5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input_572100!A$2</f>
        <v>572100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IFERROR(VLOOKUP(B191,input_572100!L:R,7,FALSE),VLOOKUP(tables_572100!C191,input_572100!A:H,8,FALSE))</f>
        <v>288</v>
      </c>
      <c r="P191" s="40">
        <f t="shared" ca="1" si="7"/>
        <v>3.3333333330246956E-4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input_572100!A$2</f>
        <v>572100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IFERROR(VLOOKUP(B192,input_572100!L:R,7,FALSE),VLOOKUP(tables_572100!C192,input_572100!A:H,8,FALSE))</f>
        <v>32</v>
      </c>
      <c r="P192" s="40">
        <f t="shared" ca="1" si="7"/>
        <v>3.7037037033607725E-5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input_572100!A$2</f>
        <v>572100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IFERROR(VLOOKUP(B193,input_572100!L:R,7,FALSE),VLOOKUP(tables_572100!C193,input_572100!A:H,8,FALSE))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input_572100!A$2</f>
        <v>572100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IFERROR(VLOOKUP(B194,input_572100!L:R,7,FALSE),VLOOKUP(tables_572100!C194,input_572100!A:H,8,FALSE))</f>
        <v>4000.32</v>
      </c>
      <c r="P194" s="40">
        <f t="shared" ref="P194:P257" ca="1" si="10">O194/SUM(O:O)</f>
        <v>4.6299999995713017E-3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input_572100!A$2</f>
        <v>572100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IFERROR(VLOOKUP(B195,input_572100!L:R,7,FALSE),VLOOKUP(tables_572100!C195,input_572100!A:H,8,FALSE))</f>
        <v>444.48</v>
      </c>
      <c r="P195" s="40">
        <f t="shared" ca="1" si="10"/>
        <v>5.1444444439681131E-4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input_572100!A$2</f>
        <v>572100</v>
      </c>
      <c r="B196" s="6">
        <v>474</v>
      </c>
      <c r="C196" s="7" t="str">
        <f t="shared" si="9"/>
        <v>PremiumSS4color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">
        <v>35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IFERROR(VLOOKUP(B196,input_572100!L:R,7,FALSE),VLOOKUP(tables_572100!C196,input_572100!A:H,8,FALSE))</f>
        <v>1296</v>
      </c>
      <c r="P196" s="40">
        <f t="shared" ca="1" si="10"/>
        <v>1.4999999998611129E-3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input_572100!A$2</f>
        <v>572100</v>
      </c>
      <c r="B197" s="6">
        <v>475</v>
      </c>
      <c r="C197" s="7" t="str">
        <f t="shared" si="9"/>
        <v>PremiumSS5color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">
        <v>35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IFERROR(VLOOKUP(B197,input_572100!L:R,7,FALSE),VLOOKUP(tables_572100!C197,input_572100!A:H,8,FALSE))</f>
        <v>144</v>
      </c>
      <c r="P197" s="40">
        <f t="shared" ca="1" si="10"/>
        <v>1.6666666665123478E-4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input_572100!A$2</f>
        <v>572100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IFERROR(VLOOKUP(B198,input_572100!L:R,7,FALSE),VLOOKUP(tables_572100!C198,input_572100!A:H,8,FALSE))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input_572100!A$2</f>
        <v>572100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IFERROR(VLOOKUP(B199,input_572100!L:R,7,FALSE),VLOOKUP(tables_572100!C199,input_572100!A:H,8,FALSE))</f>
        <v>4000.32</v>
      </c>
      <c r="P199" s="40">
        <f t="shared" ca="1" si="10"/>
        <v>4.6299999995713017E-3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input_572100!A$2</f>
        <v>572100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IFERROR(VLOOKUP(B200,input_572100!L:R,7,FALSE),VLOOKUP(tables_572100!C200,input_572100!A:H,8,FALSE))</f>
        <v>444.48</v>
      </c>
      <c r="P200" s="40">
        <f t="shared" ca="1" si="10"/>
        <v>5.1444444439681131E-4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input_572100!A$2</f>
        <v>572100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IFERROR(VLOOKUP(B201,input_572100!L:R,7,FALSE),VLOOKUP(tables_572100!C201,input_572100!A:H,8,FALSE))</f>
        <v>288</v>
      </c>
      <c r="P201" s="40">
        <f t="shared" ca="1" si="10"/>
        <v>3.3333333330246956E-4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input_572100!A$2</f>
        <v>572100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IFERROR(VLOOKUP(B202,input_572100!L:R,7,FALSE),VLOOKUP(tables_572100!C202,input_572100!A:H,8,FALSE))</f>
        <v>32</v>
      </c>
      <c r="P202" s="40">
        <f t="shared" ca="1" si="10"/>
        <v>3.7037037033607725E-5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input_572100!A$2</f>
        <v>572100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IFERROR(VLOOKUP(B203,input_572100!L:R,7,FALSE),VLOOKUP(tables_572100!C203,input_572100!A:H,8,FALSE))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input_572100!A$2</f>
        <v>572100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IFERROR(VLOOKUP(B204,input_572100!L:R,7,FALSE),VLOOKUP(tables_572100!C204,input_572100!A:H,8,FALSE))</f>
        <v>4000.32</v>
      </c>
      <c r="P204" s="40">
        <f t="shared" ca="1" si="10"/>
        <v>4.6299999995713017E-3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input_572100!A$2</f>
        <v>572100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IFERROR(VLOOKUP(B205,input_572100!L:R,7,FALSE),VLOOKUP(tables_572100!C205,input_572100!A:H,8,FALSE))</f>
        <v>444.48</v>
      </c>
      <c r="P205" s="40">
        <f t="shared" ca="1" si="10"/>
        <v>5.1444444439681131E-4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input_572100!A$2</f>
        <v>572100</v>
      </c>
      <c r="B206" s="6">
        <v>492</v>
      </c>
      <c r="C206" s="7" t="str">
        <f t="shared" si="9"/>
        <v>PremiumSS4color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">
        <v>35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IFERROR(VLOOKUP(B206,input_572100!L:R,7,FALSE),VLOOKUP(tables_572100!C206,input_572100!A:H,8,FALSE))</f>
        <v>1296</v>
      </c>
      <c r="P206" s="40">
        <f t="shared" ca="1" si="10"/>
        <v>1.4999999998611129E-3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input_572100!A$2</f>
        <v>572100</v>
      </c>
      <c r="B207" s="6">
        <v>493</v>
      </c>
      <c r="C207" s="7" t="str">
        <f t="shared" si="9"/>
        <v>PremiumSS5color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">
        <v>35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IFERROR(VLOOKUP(B207,input_572100!L:R,7,FALSE),VLOOKUP(tables_572100!C207,input_572100!A:H,8,FALSE))</f>
        <v>144</v>
      </c>
      <c r="P207" s="40">
        <f t="shared" ca="1" si="10"/>
        <v>1.6666666665123478E-4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input_572100!A$2</f>
        <v>572100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IFERROR(VLOOKUP(B208,input_572100!L:R,7,FALSE),VLOOKUP(tables_572100!C208,input_572100!A:H,8,FALSE))</f>
        <v>288</v>
      </c>
      <c r="P208" s="40">
        <f t="shared" ca="1" si="10"/>
        <v>3.3333333330246956E-4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input_572100!A$2</f>
        <v>572100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IFERROR(VLOOKUP(B209,input_572100!L:R,7,FALSE),VLOOKUP(tables_572100!C209,input_572100!A:H,8,FALSE))</f>
        <v>32</v>
      </c>
      <c r="P209" s="40">
        <f t="shared" ca="1" si="10"/>
        <v>3.7037037033607725E-5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input_572100!A$2</f>
        <v>572100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IFERROR(VLOOKUP(B210,input_572100!L:R,7,FALSE),VLOOKUP(tables_572100!C210,input_572100!A:H,8,FALSE))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input_572100!A$2</f>
        <v>572100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IFERROR(VLOOKUP(B211,input_572100!L:R,7,FALSE),VLOOKUP(tables_572100!C211,input_572100!A:H,8,FALSE))</f>
        <v>4000.32</v>
      </c>
      <c r="P211" s="40">
        <f t="shared" ca="1" si="10"/>
        <v>4.6299999995713017E-3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input_572100!A$2</f>
        <v>572100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IFERROR(VLOOKUP(B212,input_572100!L:R,7,FALSE),VLOOKUP(tables_572100!C212,input_572100!A:H,8,FALSE))</f>
        <v>444.48</v>
      </c>
      <c r="P212" s="40">
        <f t="shared" ca="1" si="10"/>
        <v>5.1444444439681131E-4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input_572100!A$2</f>
        <v>572100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IFERROR(VLOOKUP(B213,input_572100!L:R,7,FALSE),VLOOKUP(tables_572100!C213,input_572100!A:H,8,FALSE))</f>
        <v>288</v>
      </c>
      <c r="P213" s="40">
        <f t="shared" ca="1" si="10"/>
        <v>3.3333333330246956E-4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input_572100!A$2</f>
        <v>572100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IFERROR(VLOOKUP(B214,input_572100!L:R,7,FALSE),VLOOKUP(tables_572100!C214,input_572100!A:H,8,FALSE))</f>
        <v>32</v>
      </c>
      <c r="P214" s="40">
        <f t="shared" ca="1" si="10"/>
        <v>3.7037037033607725E-5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input_572100!A$2</f>
        <v>572100</v>
      </c>
      <c r="B215" s="6">
        <v>560</v>
      </c>
      <c r="C215" s="7" t="str">
        <f t="shared" si="9"/>
        <v>premium5R3lesscolor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">
        <v>35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IFERROR(VLOOKUP(B215,input_572100!L:R,7,FALSE),VLOOKUP(tables_572100!C215,input_572100!A:H,8,FALSE))</f>
        <v>519.01714000000004</v>
      </c>
      <c r="P215" s="40">
        <f t="shared" ca="1" si="10"/>
        <v>6.007142823517865E-4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input_572100!A$2</f>
        <v>572100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IFERROR(VLOOKUP(B216,input_572100!L:R,7,FALSE),VLOOKUP(tables_572100!C216,input_572100!A:H,8,FALSE))</f>
        <v>206.70316</v>
      </c>
      <c r="P216" s="40">
        <f t="shared" ca="1" si="10"/>
        <v>2.3923976849636697E-4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input_572100!A$2</f>
        <v>572100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IFERROR(VLOOKUP(B217,input_572100!L:R,7,FALSE),VLOOKUP(tables_572100!C217,input_572100!A:H,8,FALSE))</f>
        <v>206.70316</v>
      </c>
      <c r="P217" s="40">
        <f t="shared" ca="1" si="10"/>
        <v>2.3923976849636697E-4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input_572100!A$2</f>
        <v>572100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IFERROR(VLOOKUP(B218,input_572100!L:R,7,FALSE),VLOOKUP(tables_572100!C218,input_572100!A:H,8,FALSE))</f>
        <v>206.70316</v>
      </c>
      <c r="P218" s="40">
        <f t="shared" ca="1" si="10"/>
        <v>2.3923976849636697E-4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input_572100!A$2</f>
        <v>572100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IFERROR(VLOOKUP(B219,input_572100!L:R,7,FALSE),VLOOKUP(tables_572100!C219,input_572100!A:H,8,FALSE))</f>
        <v>206.70316</v>
      </c>
      <c r="P219" s="40">
        <f t="shared" ca="1" si="10"/>
        <v>2.3923976849636697E-4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input_572100!A$2</f>
        <v>572100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IFERROR(VLOOKUP(B220,input_572100!L:R,7,FALSE),VLOOKUP(tables_572100!C220,input_572100!A:H,8,FALSE))</f>
        <v>206.70316</v>
      </c>
      <c r="P220" s="40">
        <f t="shared" ca="1" si="10"/>
        <v>2.3923976849636697E-4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input_572100!A$2</f>
        <v>572100</v>
      </c>
      <c r="B221" s="6">
        <v>586</v>
      </c>
      <c r="C221" s="7" t="str">
        <f t="shared" si="9"/>
        <v>PremiumSS4color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">
        <v>35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IFERROR(VLOOKUP(B221,input_572100!L:R,7,FALSE),VLOOKUP(tables_572100!C221,input_572100!A:H,8,FALSE))</f>
        <v>1296</v>
      </c>
      <c r="P221" s="40">
        <f t="shared" ca="1" si="10"/>
        <v>1.4999999998611129E-3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input_572100!A$2</f>
        <v>572100</v>
      </c>
      <c r="B222" s="6">
        <v>587</v>
      </c>
      <c r="C222" s="7" t="str">
        <f t="shared" si="9"/>
        <v>PremiumSS5color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">
        <v>35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IFERROR(VLOOKUP(B222,input_572100!L:R,7,FALSE),VLOOKUP(tables_572100!C222,input_572100!A:H,8,FALSE))</f>
        <v>144</v>
      </c>
      <c r="P222" s="40">
        <f t="shared" ca="1" si="10"/>
        <v>1.6666666665123478E-4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input_572100!A$2</f>
        <v>572100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IFERROR(VLOOKUP(B223,input_572100!L:R,7,FALSE),VLOOKUP(tables_572100!C223,input_572100!A:H,8,FALSE))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input_572100!A$2</f>
        <v>572100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IFERROR(VLOOKUP(B224,input_572100!L:R,7,FALSE),VLOOKUP(tables_572100!C224,input_572100!A:H,8,FALSE))</f>
        <v>4000.32</v>
      </c>
      <c r="P224" s="40">
        <f t="shared" ca="1" si="10"/>
        <v>4.6299999995713017E-3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input_572100!A$2</f>
        <v>572100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IFERROR(VLOOKUP(B225,input_572100!L:R,7,FALSE),VLOOKUP(tables_572100!C225,input_572100!A:H,8,FALSE))</f>
        <v>444.48</v>
      </c>
      <c r="P225" s="40">
        <f t="shared" ca="1" si="10"/>
        <v>5.1444444439681131E-4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input_572100!A$2</f>
        <v>572100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IFERROR(VLOOKUP(B226,input_572100!L:R,7,FALSE),VLOOKUP(tables_572100!C226,input_572100!A:H,8,FALSE))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input_572100!A$2</f>
        <v>572100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IFERROR(VLOOKUP(B227,input_572100!L:R,7,FALSE),VLOOKUP(tables_572100!C227,input_572100!A:H,8,FALSE))</f>
        <v>4000.32</v>
      </c>
      <c r="P227" s="40">
        <f t="shared" ca="1" si="10"/>
        <v>4.6299999995713017E-3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input_572100!A$2</f>
        <v>572100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IFERROR(VLOOKUP(B228,input_572100!L:R,7,FALSE),VLOOKUP(tables_572100!C228,input_572100!A:H,8,FALSE))</f>
        <v>444.48</v>
      </c>
      <c r="P228" s="40">
        <f t="shared" ca="1" si="10"/>
        <v>5.1444444439681131E-4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input_572100!A$2</f>
        <v>572100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IFERROR(VLOOKUP(B229,input_572100!L:R,7,FALSE),VLOOKUP(tables_572100!C229,input_572100!A:H,8,FALSE))</f>
        <v>288</v>
      </c>
      <c r="P229" s="40">
        <f t="shared" ca="1" si="10"/>
        <v>3.3333333330246956E-4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input_572100!A$2</f>
        <v>572100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IFERROR(VLOOKUP(B230,input_572100!L:R,7,FALSE),VLOOKUP(tables_572100!C230,input_572100!A:H,8,FALSE))</f>
        <v>32</v>
      </c>
      <c r="P230" s="40">
        <f t="shared" ca="1" si="10"/>
        <v>3.7037037033607725E-5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input_572100!A$2</f>
        <v>572100</v>
      </c>
      <c r="B231" s="6">
        <v>596</v>
      </c>
      <c r="C231" s="7" t="str">
        <f t="shared" si="9"/>
        <v>Premium3color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">
        <v>35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IFERROR(VLOOKUP(B231,input_572100!L:R,7,FALSE),VLOOKUP(tables_572100!C231,input_572100!A:H,8,FALSE))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input_572100!A$2</f>
        <v>572100</v>
      </c>
      <c r="B232" s="6">
        <v>597</v>
      </c>
      <c r="C232" s="7" t="str">
        <f t="shared" si="9"/>
        <v>Premium4color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">
        <v>35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IFERROR(VLOOKUP(B232,input_572100!L:R,7,FALSE),VLOOKUP(tables_572100!C232,input_572100!A:H,8,FALSE))</f>
        <v>18001.439999999999</v>
      </c>
      <c r="P232" s="40">
        <f t="shared" ca="1" si="10"/>
        <v>2.0834999998070855E-2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input_572100!A$2</f>
        <v>572100</v>
      </c>
      <c r="B233" s="6">
        <v>598</v>
      </c>
      <c r="C233" s="7" t="str">
        <f t="shared" si="9"/>
        <v>Premium5color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">
        <v>35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IFERROR(VLOOKUP(B233,input_572100!L:R,7,FALSE),VLOOKUP(tables_572100!C233,input_572100!A:H,8,FALSE))</f>
        <v>826.56</v>
      </c>
      <c r="P233" s="40">
        <f t="shared" ca="1" si="10"/>
        <v>9.5666666657808744E-4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input_572100!A$2</f>
        <v>572100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IFERROR(VLOOKUP(B234,input_572100!L:R,7,FALSE),VLOOKUP(tables_572100!C234,input_572100!A:H,8,FALSE))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input_572100!A$2</f>
        <v>572100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IFERROR(VLOOKUP(B235,input_572100!L:R,7,FALSE),VLOOKUP(tables_572100!C235,input_572100!A:H,8,FALSE))</f>
        <v>4000.32</v>
      </c>
      <c r="P235" s="40">
        <f t="shared" ca="1" si="10"/>
        <v>4.6299999995713017E-3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input_572100!A$2</f>
        <v>572100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IFERROR(VLOOKUP(B236,input_572100!L:R,7,FALSE),VLOOKUP(tables_572100!C236,input_572100!A:H,8,FALSE))</f>
        <v>444.48</v>
      </c>
      <c r="P236" s="40">
        <f t="shared" ca="1" si="10"/>
        <v>5.1444444439681131E-4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input_572100!A$2</f>
        <v>572100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IFERROR(VLOOKUP(B237,input_572100!L:R,7,FALSE),VLOOKUP(tables_572100!C237,input_572100!A:H,8,FALSE))</f>
        <v>288</v>
      </c>
      <c r="P237" s="40">
        <f t="shared" ca="1" si="10"/>
        <v>3.3333333330246956E-4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input_572100!A$2</f>
        <v>572100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IFERROR(VLOOKUP(B238,input_572100!L:R,7,FALSE),VLOOKUP(tables_572100!C238,input_572100!A:H,8,FALSE))</f>
        <v>32</v>
      </c>
      <c r="P238" s="40">
        <f t="shared" ca="1" si="10"/>
        <v>3.7037037033607725E-5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input_572100!A$2</f>
        <v>572100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IFERROR(VLOOKUP(B239,input_572100!L:R,7,FALSE),VLOOKUP(tables_572100!C239,input_572100!A:H,8,FALSE))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input_572100!A$2</f>
        <v>572100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IFERROR(VLOOKUP(B240,input_572100!L:R,7,FALSE),VLOOKUP(tables_572100!C240,input_572100!A:H,8,FALSE))</f>
        <v>4000.32</v>
      </c>
      <c r="P240" s="40">
        <f t="shared" ca="1" si="10"/>
        <v>4.6299999995713017E-3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input_572100!A$2</f>
        <v>572100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IFERROR(VLOOKUP(B241,input_572100!L:R,7,FALSE),VLOOKUP(tables_572100!C241,input_572100!A:H,8,FALSE))</f>
        <v>444.48</v>
      </c>
      <c r="P241" s="40">
        <f t="shared" ca="1" si="10"/>
        <v>5.1444444439681131E-4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input_572100!A$2</f>
        <v>572100</v>
      </c>
      <c r="B242" s="6">
        <v>658</v>
      </c>
      <c r="C242" s="7" t="str">
        <f t="shared" si="9"/>
        <v>PremiumSS4color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">
        <v>35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IFERROR(VLOOKUP(B242,input_572100!L:R,7,FALSE),VLOOKUP(tables_572100!C242,input_572100!A:H,8,FALSE))</f>
        <v>1296</v>
      </c>
      <c r="P242" s="40">
        <f t="shared" ca="1" si="10"/>
        <v>1.4999999998611129E-3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input_572100!A$2</f>
        <v>572100</v>
      </c>
      <c r="B243" s="6">
        <v>659</v>
      </c>
      <c r="C243" s="7" t="str">
        <f t="shared" si="9"/>
        <v>PremiumSS5color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">
        <v>35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IFERROR(VLOOKUP(B243,input_572100!L:R,7,FALSE),VLOOKUP(tables_572100!C243,input_572100!A:H,8,FALSE))</f>
        <v>144</v>
      </c>
      <c r="P243" s="40">
        <f t="shared" ca="1" si="10"/>
        <v>1.6666666665123478E-4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input_572100!A$2</f>
        <v>572100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IFERROR(VLOOKUP(B244,input_572100!L:R,7,FALSE),VLOOKUP(tables_572100!C244,input_572100!A:H,8,FALSE))</f>
        <v>288</v>
      </c>
      <c r="P244" s="40">
        <f t="shared" ca="1" si="10"/>
        <v>3.3333333330246956E-4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input_572100!A$2</f>
        <v>572100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IFERROR(VLOOKUP(B245,input_572100!L:R,7,FALSE),VLOOKUP(tables_572100!C245,input_572100!A:H,8,FALSE))</f>
        <v>32</v>
      </c>
      <c r="P245" s="40">
        <f t="shared" ca="1" si="10"/>
        <v>3.7037037033607725E-5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input_572100!A$2</f>
        <v>572100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IFERROR(VLOOKUP(B246,input_572100!L:R,7,FALSE),VLOOKUP(tables_572100!C246,input_572100!A:H,8,FALSE))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input_572100!A$2</f>
        <v>572100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IFERROR(VLOOKUP(B247,input_572100!L:R,7,FALSE),VLOOKUP(tables_572100!C247,input_572100!A:H,8,FALSE))</f>
        <v>4000.32</v>
      </c>
      <c r="P247" s="40">
        <f t="shared" ca="1" si="10"/>
        <v>4.6299999995713017E-3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input_572100!A$2</f>
        <v>572100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IFERROR(VLOOKUP(B248,input_572100!L:R,7,FALSE),VLOOKUP(tables_572100!C248,input_572100!A:H,8,FALSE))</f>
        <v>444.48</v>
      </c>
      <c r="P248" s="40">
        <f t="shared" ca="1" si="10"/>
        <v>5.1444444439681131E-4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input_572100!A$2</f>
        <v>572100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IFERROR(VLOOKUP(B249,input_572100!L:R,7,FALSE),VLOOKUP(tables_572100!C249,input_572100!A:H,8,FALSE))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input_572100!A$2</f>
        <v>572100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IFERROR(VLOOKUP(B250,input_572100!L:R,7,FALSE),VLOOKUP(tables_572100!C250,input_572100!A:H,8,FALSE))</f>
        <v>4000.32</v>
      </c>
      <c r="P250" s="40">
        <f t="shared" ca="1" si="10"/>
        <v>4.6299999995713017E-3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input_572100!A$2</f>
        <v>572100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IFERROR(VLOOKUP(B251,input_572100!L:R,7,FALSE),VLOOKUP(tables_572100!C251,input_572100!A:H,8,FALSE))</f>
        <v>444.48</v>
      </c>
      <c r="P251" s="40">
        <f t="shared" ca="1" si="10"/>
        <v>5.1444444439681131E-4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input_572100!A$2</f>
        <v>572100</v>
      </c>
      <c r="B252" s="52">
        <v>668</v>
      </c>
      <c r="C252" s="7" t="str">
        <f t="shared" si="9"/>
        <v>Premium3color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">
        <v>35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IFERROR(VLOOKUP(B252,input_572100!L:R,7,FALSE),VLOOKUP(tables_572100!C252,input_572100!A:H,8,FALSE))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input_572100!A$2</f>
        <v>572100</v>
      </c>
      <c r="B253" s="52">
        <v>669</v>
      </c>
      <c r="C253" s="7" t="str">
        <f t="shared" si="9"/>
        <v>Premium4color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">
        <v>35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IFERROR(VLOOKUP(B253,input_572100!L:R,7,FALSE),VLOOKUP(tables_572100!C253,input_572100!A:H,8,FALSE))</f>
        <v>18001.439999999999</v>
      </c>
      <c r="P253" s="40">
        <f t="shared" ca="1" si="10"/>
        <v>2.0834999998070855E-2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input_572100!A$2</f>
        <v>572100</v>
      </c>
      <c r="B254" s="52">
        <v>670</v>
      </c>
      <c r="C254" s="7" t="str">
        <f t="shared" si="9"/>
        <v>Premium5color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">
        <v>35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IFERROR(VLOOKUP(B254,input_572100!L:R,7,FALSE),VLOOKUP(tables_572100!C254,input_572100!A:H,8,FALSE))</f>
        <v>826.56</v>
      </c>
      <c r="P254" s="40">
        <f t="shared" ca="1" si="10"/>
        <v>9.5666666657808744E-4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input_572100!A$2</f>
        <v>572100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IFERROR(VLOOKUP(B255,input_572100!L:R,7,FALSE),VLOOKUP(tables_572100!C255,input_572100!A:H,8,FALSE))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input_572100!A$2</f>
        <v>572100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IFERROR(VLOOKUP(B256,input_572100!L:R,7,FALSE),VLOOKUP(tables_572100!C256,input_572100!A:H,8,FALSE))</f>
        <v>4000.32</v>
      </c>
      <c r="P256" s="40">
        <f t="shared" ca="1" si="10"/>
        <v>4.6299999995713017E-3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input_572100!A$2</f>
        <v>572100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IFERROR(VLOOKUP(B257,input_572100!L:R,7,FALSE),VLOOKUP(tables_572100!C257,input_572100!A:H,8,FALSE))</f>
        <v>444.48</v>
      </c>
      <c r="P257" s="40">
        <f t="shared" ca="1" si="10"/>
        <v>5.1444444439681131E-4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input_572100!A$2</f>
        <v>572100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IFERROR(VLOOKUP(B258,input_572100!L:R,7,FALSE),VLOOKUP(tables_572100!C258,input_572100!A:H,8,FALSE))</f>
        <v>288</v>
      </c>
      <c r="P258" s="40">
        <f t="shared" ref="P258:P321" ca="1" si="13">O258/SUM(O:O)</f>
        <v>3.3333333330246956E-4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input_572100!A$2</f>
        <v>572100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IFERROR(VLOOKUP(B259,input_572100!L:R,7,FALSE),VLOOKUP(tables_572100!C259,input_572100!A:H,8,FALSE))</f>
        <v>32</v>
      </c>
      <c r="P259" s="40">
        <f t="shared" ca="1" si="13"/>
        <v>3.7037037033607725E-5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input_572100!A$2</f>
        <v>572100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IFERROR(VLOOKUP(B260,input_572100!L:R,7,FALSE),VLOOKUP(tables_572100!C260,input_572100!A:H,8,FALSE))</f>
        <v>288</v>
      </c>
      <c r="P260" s="40">
        <f t="shared" ca="1" si="13"/>
        <v>3.3333333330246956E-4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input_572100!A$2</f>
        <v>572100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IFERROR(VLOOKUP(B261,input_572100!L:R,7,FALSE),VLOOKUP(tables_572100!C261,input_572100!A:H,8,FALSE))</f>
        <v>32</v>
      </c>
      <c r="P261" s="40">
        <f t="shared" ca="1" si="13"/>
        <v>3.7037037033607725E-5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input_572100!A$2</f>
        <v>572100</v>
      </c>
      <c r="B262" s="52">
        <v>728</v>
      </c>
      <c r="C262" s="7" t="str">
        <f t="shared" si="12"/>
        <v>Premium4R3lesscolor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">
        <v>35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IFERROR(VLOOKUP(B262,input_572100!L:R,7,FALSE),VLOOKUP(tables_572100!C262,input_572100!A:H,8,FALSE))</f>
        <v>19396.080000000002</v>
      </c>
      <c r="P262" s="40">
        <f t="shared" ca="1" si="13"/>
        <v>2.2449166664588068E-2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input_572100!A$2</f>
        <v>572100</v>
      </c>
      <c r="B263" s="52">
        <v>729</v>
      </c>
      <c r="C263" s="7" t="str">
        <f t="shared" si="12"/>
        <v>Premium5R3lesscolor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">
        <v>35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IFERROR(VLOOKUP(B263,input_572100!L:R,7,FALSE),VLOOKUP(tables_572100!C263,input_572100!A:H,8,FALSE))</f>
        <v>519.01714000000004</v>
      </c>
      <c r="P263" s="40">
        <f t="shared" ca="1" si="13"/>
        <v>6.007142823517865E-4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input_572100!A$2</f>
        <v>572100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IFERROR(VLOOKUP(B264,input_572100!L:R,7,FALSE),VLOOKUP(tables_572100!C264,input_572100!A:H,8,FALSE))</f>
        <v>4164.2742900000003</v>
      </c>
      <c r="P264" s="40">
        <f t="shared" ca="1" si="13"/>
        <v>4.8197619092759537E-3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input_572100!A$2</f>
        <v>572100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IFERROR(VLOOKUP(B265,input_572100!L:R,7,FALSE),VLOOKUP(tables_572100!C265,input_572100!A:H,8,FALSE))</f>
        <v>206.70316</v>
      </c>
      <c r="P265" s="40">
        <f t="shared" ca="1" si="13"/>
        <v>2.3923976849636697E-4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input_572100!A$2</f>
        <v>572100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IFERROR(VLOOKUP(B266,input_572100!L:R,7,FALSE),VLOOKUP(tables_572100!C266,input_572100!A:H,8,FALSE))</f>
        <v>320</v>
      </c>
      <c r="P266" s="40">
        <f t="shared" ca="1" si="13"/>
        <v>3.7037037033607725E-4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input_572100!A$2</f>
        <v>572100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IFERROR(VLOOKUP(B267,input_572100!L:R,7,FALSE),VLOOKUP(tables_572100!C267,input_572100!A:H,8,FALSE))</f>
        <v>320</v>
      </c>
      <c r="P267" s="40">
        <f t="shared" ca="1" si="13"/>
        <v>3.7037037033607725E-4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input_572100!A$2</f>
        <v>572100</v>
      </c>
      <c r="B268" s="52">
        <v>742</v>
      </c>
      <c r="C268" s="7" t="str">
        <f t="shared" si="12"/>
        <v>PremiumSS5R5onlycolor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">
        <v>35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IFERROR(VLOOKUP(B268,input_572100!L:R,7,FALSE),VLOOKUP(tables_572100!C268,input_572100!A:H,8,FALSE))</f>
        <v>1440</v>
      </c>
      <c r="P268" s="40">
        <f t="shared" ca="1" si="13"/>
        <v>1.6666666665123477E-3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input_572100!A$2</f>
        <v>572100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IFERROR(VLOOKUP(B269,input_572100!L:R,7,FALSE),VLOOKUP(tables_572100!C269,input_572100!A:H,8,FALSE))</f>
        <v>320</v>
      </c>
      <c r="P269" s="40">
        <f t="shared" ca="1" si="13"/>
        <v>3.7037037033607725E-4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input_572100!A$2</f>
        <v>572100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IFERROR(VLOOKUP(B270,input_572100!L:R,7,FALSE),VLOOKUP(tables_572100!C270,input_572100!A:H,8,FALSE))</f>
        <v>4164.2742900000003</v>
      </c>
      <c r="P270" s="40">
        <f t="shared" ca="1" si="13"/>
        <v>4.8197619092759537E-3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input_572100!A$2</f>
        <v>572100</v>
      </c>
      <c r="B271" s="7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IFERROR(VLOOKUP(B271,input_572100!L:R,7,FALSE),VLOOKUP(tables_572100!C271,input_572100!A:H,8,FALSE))</f>
        <v>206.70316</v>
      </c>
      <c r="P271" s="40">
        <f t="shared" ca="1" si="13"/>
        <v>2.3923976849636697E-4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input_572100!A$2</f>
        <v>572100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IFERROR(VLOOKUP(B272,input_572100!L:R,7,FALSE),VLOOKUP(tables_572100!C272,input_572100!A:H,8,FALSE))</f>
        <v>4164.2742900000003</v>
      </c>
      <c r="P272" s="40">
        <f t="shared" ca="1" si="13"/>
        <v>4.8197619092759537E-3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input_572100!A$2</f>
        <v>572100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IFERROR(VLOOKUP(B273,input_572100!L:R,7,FALSE),VLOOKUP(tables_572100!C273,input_572100!A:H,8,FALSE))</f>
        <v>206.70316</v>
      </c>
      <c r="P273" s="40">
        <f t="shared" ca="1" si="13"/>
        <v>2.3923976849636697E-4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input_572100!A$2</f>
        <v>572100</v>
      </c>
      <c r="B274" s="71">
        <v>770</v>
      </c>
      <c r="C274" s="7" t="str">
        <f t="shared" si="12"/>
        <v>PremiumSS4color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">
        <v>35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IFERROR(VLOOKUP(B274,input_572100!L:R,7,FALSE),VLOOKUP(tables_572100!C274,input_572100!A:H,8,FALSE))</f>
        <v>1296</v>
      </c>
      <c r="P274" s="40">
        <f t="shared" ca="1" si="13"/>
        <v>1.4999999998611129E-3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input_572100!A$2</f>
        <v>572100</v>
      </c>
      <c r="B275" s="71">
        <v>771</v>
      </c>
      <c r="C275" s="7" t="str">
        <f t="shared" si="12"/>
        <v>PremiumSS5color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">
        <v>35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IFERROR(VLOOKUP(B275,input_572100!L:R,7,FALSE),VLOOKUP(tables_572100!C275,input_572100!A:H,8,FALSE))</f>
        <v>144</v>
      </c>
      <c r="P275" s="40">
        <f t="shared" ca="1" si="13"/>
        <v>1.6666666665123478E-4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input_572100!A$2</f>
        <v>572100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IFERROR(VLOOKUP(B276,input_572100!L:R,7,FALSE),VLOOKUP(tables_572100!C276,input_572100!A:H,8,FALSE))</f>
        <v>288</v>
      </c>
      <c r="P276" s="40">
        <f t="shared" ca="1" si="13"/>
        <v>3.3333333330246956E-4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input_572100!A$2</f>
        <v>572100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IFERROR(VLOOKUP(B277,input_572100!L:R,7,FALSE),VLOOKUP(tables_572100!C277,input_572100!A:H,8,FALSE))</f>
        <v>32</v>
      </c>
      <c r="P277" s="40">
        <f t="shared" ca="1" si="13"/>
        <v>3.7037037033607725E-5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input_572100!A$2</f>
        <v>572100</v>
      </c>
      <c r="B278" s="7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IFERROR(VLOOKUP(B278,input_572100!L:R,7,FALSE),VLOOKUP(tables_572100!C278,input_572100!A:H,8,FALSE))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input_572100!A$2</f>
        <v>572100</v>
      </c>
      <c r="B279" s="7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IFERROR(VLOOKUP(B279,input_572100!L:R,7,FALSE),VLOOKUP(tables_572100!C279,input_572100!A:H,8,FALSE))</f>
        <v>4000.32</v>
      </c>
      <c r="P279" s="40">
        <f t="shared" ca="1" si="13"/>
        <v>4.6299999995713017E-3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input_572100!A$2</f>
        <v>572100</v>
      </c>
      <c r="B280" s="7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IFERROR(VLOOKUP(B280,input_572100!L:R,7,FALSE),VLOOKUP(tables_572100!C280,input_572100!A:H,8,FALSE))</f>
        <v>444.48</v>
      </c>
      <c r="P280" s="40">
        <f t="shared" ca="1" si="13"/>
        <v>5.1444444439681131E-4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input_572100!A$2</f>
        <v>572100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IFERROR(VLOOKUP(B281,input_572100!L:R,7,FALSE),VLOOKUP(tables_572100!C281,input_572100!A:H,8,FALSE))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input_572100!A$2</f>
        <v>572100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IFERROR(VLOOKUP(B282,input_572100!L:R,7,FALSE),VLOOKUP(tables_572100!C282,input_572100!A:H,8,FALSE))</f>
        <v>4000.32</v>
      </c>
      <c r="P282" s="40">
        <f t="shared" ca="1" si="13"/>
        <v>4.6299999995713017E-3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input_572100!A$2</f>
        <v>572100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IFERROR(VLOOKUP(B283,input_572100!L:R,7,FALSE),VLOOKUP(tables_572100!C283,input_572100!A:H,8,FALSE))</f>
        <v>444.48</v>
      </c>
      <c r="P283" s="40">
        <f t="shared" ca="1" si="13"/>
        <v>5.1444444439681131E-4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input_572100!A$2</f>
        <v>572100</v>
      </c>
      <c r="B284" s="5">
        <v>848</v>
      </c>
      <c r="C284" s="7" t="str">
        <f t="shared" si="12"/>
        <v>PremiumSS5R5onlycolor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">
        <v>35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IFERROR(VLOOKUP(B284,input_572100!L:R,7,FALSE),VLOOKUP(tables_572100!C284,input_572100!A:H,8,FALSE))</f>
        <v>1440</v>
      </c>
      <c r="P284" s="40">
        <f t="shared" ca="1" si="13"/>
        <v>1.6666666665123477E-3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input_572100!A$2</f>
        <v>572100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IFERROR(VLOOKUP(B285,input_572100!L:R,7,FALSE),VLOOKUP(tables_572100!C285,input_572100!A:H,8,FALSE))</f>
        <v>320</v>
      </c>
      <c r="P285" s="40">
        <f t="shared" ca="1" si="13"/>
        <v>3.7037037033607725E-4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input_572100!A$2</f>
        <v>572100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IFERROR(VLOOKUP(B286,input_572100!L:R,7,FALSE),VLOOKUP(tables_572100!C286,input_572100!A:H,8,FALSE))</f>
        <v>4164.2742900000003</v>
      </c>
      <c r="P286" s="40">
        <f t="shared" ca="1" si="13"/>
        <v>4.8197619092759537E-3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input_572100!A$2</f>
        <v>572100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IFERROR(VLOOKUP(B287,input_572100!L:R,7,FALSE),VLOOKUP(tables_572100!C287,input_572100!A:H,8,FALSE))</f>
        <v>206.70316</v>
      </c>
      <c r="P287" s="40">
        <f t="shared" ca="1" si="13"/>
        <v>2.3923976849636697E-4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input_572100!A$2</f>
        <v>572100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IFERROR(VLOOKUP(B288,input_572100!L:R,7,FALSE),VLOOKUP(tables_572100!C288,input_572100!A:H,8,FALSE))</f>
        <v>4164.2742900000003</v>
      </c>
      <c r="P288" s="40">
        <f t="shared" ca="1" si="13"/>
        <v>4.8197619092759537E-3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input_572100!A$2</f>
        <v>572100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IFERROR(VLOOKUP(B289,input_572100!L:R,7,FALSE),VLOOKUP(tables_572100!C289,input_572100!A:H,8,FALSE))</f>
        <v>206.70316</v>
      </c>
      <c r="P289" s="40">
        <f t="shared" ca="1" si="13"/>
        <v>2.3923976849636697E-4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input_572100!A$2</f>
        <v>572100</v>
      </c>
      <c r="B290" s="5">
        <v>862</v>
      </c>
      <c r="C290" s="7" t="str">
        <f t="shared" si="12"/>
        <v>Premium4R3lesscolor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">
        <v>35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IFERROR(VLOOKUP(B290,input_572100!L:R,7,FALSE),VLOOKUP(tables_572100!C290,input_572100!A:H,8,FALSE))</f>
        <v>19396.080000000002</v>
      </c>
      <c r="P290" s="40">
        <f t="shared" ca="1" si="13"/>
        <v>2.2449166664588068E-2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input_572100!A$2</f>
        <v>572100</v>
      </c>
      <c r="B291" s="5">
        <v>863</v>
      </c>
      <c r="C291" s="7" t="str">
        <f t="shared" si="12"/>
        <v>Premium5R3lesscolor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">
        <v>35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IFERROR(VLOOKUP(B291,input_572100!L:R,7,FALSE),VLOOKUP(tables_572100!C291,input_572100!A:H,8,FALSE))</f>
        <v>519.01714000000004</v>
      </c>
      <c r="P291" s="40">
        <f t="shared" ca="1" si="13"/>
        <v>6.007142823517865E-4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input_572100!A$2</f>
        <v>572100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IFERROR(VLOOKUP(B292,input_572100!L:R,7,FALSE),VLOOKUP(tables_572100!C292,input_572100!A:H,8,FALSE))</f>
        <v>4164.2742900000003</v>
      </c>
      <c r="P292" s="40">
        <f t="shared" ca="1" si="13"/>
        <v>4.8197619092759537E-3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input_572100!A$2</f>
        <v>572100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IFERROR(VLOOKUP(B293,input_572100!L:R,7,FALSE),VLOOKUP(tables_572100!C293,input_572100!A:H,8,FALSE))</f>
        <v>206.70316</v>
      </c>
      <c r="P293" s="40">
        <f t="shared" ca="1" si="13"/>
        <v>2.3923976849636697E-4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input_572100!A$2</f>
        <v>572100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IFERROR(VLOOKUP(B294,input_572100!L:R,7,FALSE),VLOOKUP(tables_572100!C294,input_572100!A:H,8,FALSE))</f>
        <v>320</v>
      </c>
      <c r="P294" s="40">
        <f t="shared" ca="1" si="13"/>
        <v>3.7037037033607725E-4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input_572100!A$2</f>
        <v>572100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IFERROR(VLOOKUP(B295,input_572100!L:R,7,FALSE),VLOOKUP(tables_572100!C295,input_572100!A:H,8,FALSE))</f>
        <v>320</v>
      </c>
      <c r="P295" s="40">
        <f t="shared" ca="1" si="13"/>
        <v>3.7037037033607725E-4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input_572100!A$2</f>
        <v>572100</v>
      </c>
      <c r="B296" s="5">
        <v>937</v>
      </c>
      <c r="C296" s="7" t="str">
        <f t="shared" si="12"/>
        <v>PremiumSS5R5onlycolor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">
        <v>35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IFERROR(VLOOKUP(B296,input_572100!L:R,7,FALSE),VLOOKUP(tables_572100!C296,input_572100!A:H,8,FALSE))</f>
        <v>1440</v>
      </c>
      <c r="P296" s="40">
        <f t="shared" ca="1" si="13"/>
        <v>1.6666666665123477E-3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input_572100!A$2</f>
        <v>572100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IFERROR(VLOOKUP(B297,input_572100!L:R,7,FALSE),VLOOKUP(tables_572100!C297,input_572100!A:H,8,FALSE))</f>
        <v>4164.2742900000003</v>
      </c>
      <c r="P297" s="40">
        <f t="shared" ca="1" si="13"/>
        <v>4.8197619092759537E-3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input_572100!A$2</f>
        <v>572100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IFERROR(VLOOKUP(B298,input_572100!L:R,7,FALSE),VLOOKUP(tables_572100!C298,input_572100!A:H,8,FALSE))</f>
        <v>206.70316</v>
      </c>
      <c r="P298" s="40">
        <f t="shared" ca="1" si="13"/>
        <v>2.3923976849636697E-4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input_572100!A$2</f>
        <v>572100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IFERROR(VLOOKUP(B299,input_572100!L:R,7,FALSE),VLOOKUP(tables_572100!C299,input_572100!A:H,8,FALSE))</f>
        <v>320</v>
      </c>
      <c r="P299" s="40">
        <f t="shared" ca="1" si="13"/>
        <v>3.7037037033607725E-4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input_572100!A$2</f>
        <v>572100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IFERROR(VLOOKUP(B300,input_572100!L:R,7,FALSE),VLOOKUP(tables_572100!C300,input_572100!A:H,8,FALSE))</f>
        <v>320</v>
      </c>
      <c r="P300" s="40">
        <f t="shared" ca="1" si="13"/>
        <v>3.7037037033607725E-4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input_572100!A$2</f>
        <v>572100</v>
      </c>
      <c r="B301" s="5">
        <v>1012</v>
      </c>
      <c r="C301" s="7" t="str">
        <f t="shared" si="12"/>
        <v>PremiumSS5R5onlycolor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">
        <v>35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IFERROR(VLOOKUP(B301,input_572100!L:R,7,FALSE),VLOOKUP(tables_572100!C301,input_572100!A:H,8,FALSE))</f>
        <v>1440</v>
      </c>
      <c r="P301" s="40">
        <f t="shared" ca="1" si="13"/>
        <v>1.6666666665123477E-3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input_572100!A$2</f>
        <v>572100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IFERROR(VLOOKUP(B302,input_572100!L:R,7,FALSE),VLOOKUP(tables_572100!C302,input_572100!A:H,8,FALSE))</f>
        <v>320</v>
      </c>
      <c r="P302" s="40">
        <f t="shared" ca="1" si="13"/>
        <v>3.7037037033607725E-4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input_572100!A$2</f>
        <v>572100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IFERROR(VLOOKUP(B303,input_572100!L:R,7,FALSE),VLOOKUP(tables_572100!C303,input_572100!A:H,8,FALSE))</f>
        <v>4164.2742900000003</v>
      </c>
      <c r="P303" s="40">
        <f t="shared" ca="1" si="13"/>
        <v>4.8197619092759537E-3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input_572100!A$2</f>
        <v>572100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IFERROR(VLOOKUP(B304,input_572100!L:R,7,FALSE),VLOOKUP(tables_572100!C304,input_572100!A:H,8,FALSE))</f>
        <v>206.70316</v>
      </c>
      <c r="P304" s="40">
        <f t="shared" ca="1" si="13"/>
        <v>2.3923976849636697E-4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input_572100!A$2</f>
        <v>572100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IFERROR(VLOOKUP(B305,input_572100!L:R,7,FALSE),VLOOKUP(tables_572100!C305,input_572100!A:H,8,FALSE))</f>
        <v>320</v>
      </c>
      <c r="P305" s="40">
        <f t="shared" ca="1" si="13"/>
        <v>3.7037037033607725E-4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input_572100!A$2</f>
        <v>572100</v>
      </c>
      <c r="B306" s="5">
        <v>1026</v>
      </c>
      <c r="C306" s="7" t="str">
        <f t="shared" si="12"/>
        <v>Premium4R3lesscolor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">
        <v>35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IFERROR(VLOOKUP(B306,input_572100!L:R,7,FALSE),VLOOKUP(tables_572100!C306,input_572100!A:H,8,FALSE))</f>
        <v>19396.080000000002</v>
      </c>
      <c r="P306" s="40">
        <f t="shared" ca="1" si="13"/>
        <v>2.2449166664588068E-2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input_572100!A$2</f>
        <v>572100</v>
      </c>
      <c r="B307" s="5">
        <v>1027</v>
      </c>
      <c r="C307" s="7" t="str">
        <f t="shared" si="12"/>
        <v>Premium5R3lesscolor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">
        <v>35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IFERROR(VLOOKUP(B307,input_572100!L:R,7,FALSE),VLOOKUP(tables_572100!C307,input_572100!A:H,8,FALSE))</f>
        <v>519.01714000000004</v>
      </c>
      <c r="P307" s="40">
        <f t="shared" ca="1" si="13"/>
        <v>6.007142823517865E-4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input_572100!A$2</f>
        <v>572100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IFERROR(VLOOKUP(B308,input_572100!L:R,7,FALSE),VLOOKUP(tables_572100!C308,input_572100!A:H,8,FALSE))</f>
        <v>320</v>
      </c>
      <c r="P308" s="40">
        <f t="shared" ca="1" si="13"/>
        <v>3.7037037033607725E-4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input_572100!A$2</f>
        <v>572100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IFERROR(VLOOKUP(B309,input_572100!L:R,7,FALSE),VLOOKUP(tables_572100!C309,input_572100!A:H,8,FALSE))</f>
        <v>320</v>
      </c>
      <c r="P309" s="40">
        <f t="shared" ca="1" si="13"/>
        <v>3.7037037033607725E-4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input_572100!A$2</f>
        <v>572100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IFERROR(VLOOKUP(B310,input_572100!L:R,7,FALSE),VLOOKUP(tables_572100!C310,input_572100!A:H,8,FALSE))</f>
        <v>320</v>
      </c>
      <c r="P310" s="40">
        <f t="shared" ca="1" si="13"/>
        <v>3.7037037033607725E-4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input_572100!A$2</f>
        <v>572100</v>
      </c>
      <c r="B311" s="5">
        <v>1067</v>
      </c>
      <c r="C311" s="7" t="str">
        <f t="shared" si="12"/>
        <v>Premium4R3lesscolor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">
        <v>35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IFERROR(VLOOKUP(B311,input_572100!L:R,7,FALSE),VLOOKUP(tables_572100!C311,input_572100!A:H,8,FALSE))</f>
        <v>19396.080000000002</v>
      </c>
      <c r="P311" s="40">
        <f t="shared" ca="1" si="13"/>
        <v>2.2449166664588068E-2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input_572100!A$2</f>
        <v>572100</v>
      </c>
      <c r="B312" s="5">
        <v>1068</v>
      </c>
      <c r="C312" s="7" t="str">
        <f t="shared" si="12"/>
        <v>Premium5R3lesscolor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">
        <v>35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IFERROR(VLOOKUP(B312,input_572100!L:R,7,FALSE),VLOOKUP(tables_572100!C312,input_572100!A:H,8,FALSE))</f>
        <v>519.01714000000004</v>
      </c>
      <c r="P312" s="40">
        <f t="shared" ca="1" si="13"/>
        <v>6.007142823517865E-4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input_572100!A$2</f>
        <v>572100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IFERROR(VLOOKUP(B313,input_572100!L:R,7,FALSE),VLOOKUP(tables_572100!C313,input_572100!A:H,8,FALSE))</f>
        <v>320</v>
      </c>
      <c r="P313" s="40">
        <f t="shared" ca="1" si="13"/>
        <v>3.7037037033607725E-4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input_572100!A$2</f>
        <v>572100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IFERROR(VLOOKUP(B314,input_572100!L:R,7,FALSE),VLOOKUP(tables_572100!C314,input_572100!A:H,8,FALSE))</f>
        <v>320</v>
      </c>
      <c r="P314" s="40">
        <f t="shared" ca="1" si="13"/>
        <v>3.7037037033607725E-4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input_572100!A$2</f>
        <v>572100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IFERROR(VLOOKUP(B315,input_572100!L:R,7,FALSE),VLOOKUP(tables_572100!C315,input_572100!A:H,8,FALSE))</f>
        <v>320</v>
      </c>
      <c r="P315" s="40">
        <f t="shared" ca="1" si="13"/>
        <v>3.7037037033607725E-4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input_572100!A$2</f>
        <v>572100</v>
      </c>
      <c r="B316" s="5">
        <v>1100</v>
      </c>
      <c r="C316" s="7" t="str">
        <f t="shared" si="12"/>
        <v>PremiumSS5R5onlycolor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">
        <v>35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IFERROR(VLOOKUP(B316,input_572100!L:R,7,FALSE),VLOOKUP(tables_572100!C316,input_572100!A:H,8,FALSE))</f>
        <v>1440</v>
      </c>
      <c r="P316" s="40">
        <f t="shared" ca="1" si="13"/>
        <v>1.6666666665123477E-3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input_572100!A$2</f>
        <v>572100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IFERROR(VLOOKUP(B317,input_572100!L:R,7,FALSE),VLOOKUP(tables_572100!C317,input_572100!A:H,8,FALSE))</f>
        <v>320</v>
      </c>
      <c r="P317" s="40">
        <f t="shared" ca="1" si="13"/>
        <v>3.7037037033607725E-4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input_572100!A$2</f>
        <v>572100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IFERROR(VLOOKUP(B318,input_572100!L:R,7,FALSE),VLOOKUP(tables_572100!C318,input_572100!A:H,8,FALSE))</f>
        <v>4164.2742900000003</v>
      </c>
      <c r="P318" s="40">
        <f t="shared" ca="1" si="13"/>
        <v>4.8197619092759537E-3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input_572100!A$2</f>
        <v>572100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IFERROR(VLOOKUP(B319,input_572100!L:R,7,FALSE),VLOOKUP(tables_572100!C319,input_572100!A:H,8,FALSE))</f>
        <v>206.70316</v>
      </c>
      <c r="P319" s="40">
        <f t="shared" ca="1" si="13"/>
        <v>2.3923976849636697E-4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input_572100!A$2</f>
        <v>572100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IFERROR(VLOOKUP(B320,input_572100!L:R,7,FALSE),VLOOKUP(tables_572100!C320,input_572100!A:H,8,FALSE))</f>
        <v>320</v>
      </c>
      <c r="P320" s="40">
        <f t="shared" ca="1" si="13"/>
        <v>3.7037037033607725E-4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input_572100!A$2</f>
        <v>572100</v>
      </c>
      <c r="B321" s="5">
        <v>1137</v>
      </c>
      <c r="C321" s="7" t="str">
        <f t="shared" si="12"/>
        <v>PremiumSS5R5onlycolor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">
        <v>35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IFERROR(VLOOKUP(B321,input_572100!L:R,7,FALSE),VLOOKUP(tables_572100!C321,input_572100!A:H,8,FALSE))</f>
        <v>1440</v>
      </c>
      <c r="P321" s="40">
        <f t="shared" ca="1" si="13"/>
        <v>1.6666666665123477E-3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input_572100!A$2</f>
        <v>572100</v>
      </c>
      <c r="B322" s="5">
        <v>1139</v>
      </c>
      <c r="C322" s="7" t="str">
        <f t="shared" ref="C322:C341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IFERROR(VLOOKUP(B322,input_572100!L:R,7,FALSE),VLOOKUP(tables_572100!C322,input_572100!A:H,8,FALSE))</f>
        <v>320</v>
      </c>
      <c r="P322" s="40">
        <f t="shared" ref="P322:P341" ca="1" si="16">O322/SUM(O:O)</f>
        <v>3.7037037033607725E-4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input_572100!A$2</f>
        <v>572100</v>
      </c>
      <c r="B323" s="5">
        <v>1141</v>
      </c>
      <c r="C323" s="7" t="str">
        <f t="shared" si="15"/>
        <v>PremiumSS5R5only</v>
      </c>
      <c r="D323" s="7" t="str">
        <f t="shared" ref="D323:D341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IFERROR(VLOOKUP(B323,input_572100!L:R,7,FALSE),VLOOKUP(tables_572100!C323,input_572100!A:H,8,FALSE))</f>
        <v>320</v>
      </c>
      <c r="P323" s="40">
        <f t="shared" ca="1" si="16"/>
        <v>3.7037037033607725E-4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input_572100!A$2</f>
        <v>572100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IFERROR(VLOOKUP(B324,input_572100!L:R,7,FALSE),VLOOKUP(tables_572100!C324,input_572100!A:H,8,FALSE))</f>
        <v>4164.2742900000003</v>
      </c>
      <c r="P324" s="40">
        <f t="shared" ca="1" si="16"/>
        <v>4.8197619092759537E-3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input_572100!A$2</f>
        <v>572100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IFERROR(VLOOKUP(B325,input_572100!L:R,7,FALSE),VLOOKUP(tables_572100!C325,input_572100!A:H,8,FALSE))</f>
        <v>206.70316</v>
      </c>
      <c r="P325" s="40">
        <f t="shared" ca="1" si="16"/>
        <v>2.3923976849636697E-4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input_572100!A$2</f>
        <v>572100</v>
      </c>
      <c r="B326" s="2">
        <v>1151</v>
      </c>
      <c r="C326" s="7" t="str">
        <f t="shared" si="15"/>
        <v>Premium4R3lesscolor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">
        <v>35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IFERROR(VLOOKUP(B326,input_572100!L:R,7,FALSE),VLOOKUP(tables_572100!C326,input_572100!A:H,8,FALSE))</f>
        <v>19396.080000000002</v>
      </c>
      <c r="P326" s="40">
        <f t="shared" ca="1" si="16"/>
        <v>2.2449166664588068E-2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input_572100!A$2</f>
        <v>572100</v>
      </c>
      <c r="B327" s="2">
        <v>1152</v>
      </c>
      <c r="C327" s="7" t="str">
        <f t="shared" si="15"/>
        <v>Premium5R3lesscolor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">
        <v>35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IFERROR(VLOOKUP(B327,input_572100!L:R,7,FALSE),VLOOKUP(tables_572100!C327,input_572100!A:H,8,FALSE))</f>
        <v>519.01714000000004</v>
      </c>
      <c r="P327" s="40">
        <f t="shared" ca="1" si="16"/>
        <v>6.007142823517865E-4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input_572100!A$2</f>
        <v>572100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IFERROR(VLOOKUP(B328,input_572100!L:R,7,FALSE),VLOOKUP(tables_572100!C328,input_572100!A:H,8,FALSE))</f>
        <v>320</v>
      </c>
      <c r="P328" s="40">
        <f t="shared" ca="1" si="16"/>
        <v>3.7037037033607725E-4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input_572100!A$2</f>
        <v>572100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IFERROR(VLOOKUP(B329,input_572100!L:R,7,FALSE),VLOOKUP(tables_572100!C329,input_572100!A:H,8,FALSE))</f>
        <v>320</v>
      </c>
      <c r="P329" s="40">
        <f t="shared" ca="1" si="16"/>
        <v>3.7037037033607725E-4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input_572100!A$2</f>
        <v>572100</v>
      </c>
      <c r="B330" s="2">
        <v>1157</v>
      </c>
      <c r="C330" s="7" t="str">
        <f t="shared" si="15"/>
        <v>PremiumSS5R5only</v>
      </c>
      <c r="D330" s="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IFERROR(VLOOKUP(B330,input_572100!L:R,7,FALSE),VLOOKUP(tables_572100!C330,input_572100!A:H,8,FALSE))</f>
        <v>320</v>
      </c>
      <c r="P330" s="40">
        <f t="shared" ca="1" si="16"/>
        <v>3.7037037033607725E-4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input_572100!A$2</f>
        <v>572100</v>
      </c>
      <c r="B331" s="52">
        <v>1214</v>
      </c>
      <c r="C331" s="7" t="str">
        <f t="shared" si="15"/>
        <v>PremiumSS5R5only</v>
      </c>
      <c r="D331" s="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IFERROR(VLOOKUP(B331,input_572100!L:R,7,FALSE),VLOOKUP(tables_572100!C331,input_572100!A:H,8,FALSE))</f>
        <v>320</v>
      </c>
      <c r="P331" s="40">
        <f t="shared" ca="1" si="16"/>
        <v>3.7037037033607725E-4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input_572100!A$2</f>
        <v>572100</v>
      </c>
      <c r="B332" s="52">
        <v>1212</v>
      </c>
      <c r="C332" s="7" t="str">
        <f t="shared" si="15"/>
        <v>PremiumSS5R5only</v>
      </c>
      <c r="D332" s="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IFERROR(VLOOKUP(B332,input_572100!L:R,7,FALSE),VLOOKUP(tables_572100!C332,input_572100!A:H,8,FALSE))</f>
        <v>320</v>
      </c>
      <c r="P332" s="40">
        <f t="shared" ca="1" si="16"/>
        <v>3.7037037033607725E-4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input_572100!A$2</f>
        <v>572100</v>
      </c>
      <c r="B333" s="52">
        <v>1208</v>
      </c>
      <c r="C333" s="7" t="str">
        <f t="shared" si="15"/>
        <v>PremiumSS5R5onlycolor</v>
      </c>
      <c r="D333" s="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">
        <v>35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IFERROR(VLOOKUP(B333,input_572100!L:R,7,FALSE),VLOOKUP(tables_572100!C333,input_572100!A:H,8,FALSE))</f>
        <v>1440</v>
      </c>
      <c r="P333" s="40">
        <f t="shared" ca="1" si="16"/>
        <v>1.6666666665123477E-3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input_572100!A$2</f>
        <v>572100</v>
      </c>
      <c r="B334" s="96">
        <v>1210</v>
      </c>
      <c r="C334" s="7" t="str">
        <f t="shared" si="15"/>
        <v>Premium4R3less</v>
      </c>
      <c r="D334" s="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IFERROR(VLOOKUP(B334,input_572100!L:R,7,FALSE),VLOOKUP(tables_572100!C334,input_572100!A:H,8,FALSE))</f>
        <v>4164.2742900000003</v>
      </c>
      <c r="P334" s="40">
        <f t="shared" ca="1" si="16"/>
        <v>4.8197619092759537E-3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input_572100!A$2</f>
        <v>572100</v>
      </c>
      <c r="B335" s="52">
        <v>1211</v>
      </c>
      <c r="C335" s="7" t="str">
        <f t="shared" si="15"/>
        <v>Premium5R3less</v>
      </c>
      <c r="D335" s="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IFERROR(VLOOKUP(B335,input_572100!L:R,7,FALSE),VLOOKUP(tables_572100!C335,input_572100!A:H,8,FALSE))</f>
        <v>206.70316</v>
      </c>
      <c r="P335" s="40">
        <f t="shared" ca="1" si="16"/>
        <v>2.3923976849636697E-4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input_572100!A$2</f>
        <v>572100</v>
      </c>
      <c r="B336" s="2">
        <v>1224</v>
      </c>
      <c r="C336" s="7" t="str">
        <f t="shared" si="15"/>
        <v>Premium4R3lesscolor</v>
      </c>
      <c r="D336" s="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">
        <v>35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IFERROR(VLOOKUP(B336,input_572100!L:R,7,FALSE),VLOOKUP(tables_572100!C336,input_572100!A:H,8,FALSE))</f>
        <v>19396.080000000002</v>
      </c>
      <c r="P336" s="40">
        <f t="shared" ca="1" si="16"/>
        <v>2.2449166664588068E-2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input_572100!A$2</f>
        <v>572100</v>
      </c>
      <c r="B337" s="2">
        <v>1225</v>
      </c>
      <c r="C337" s="7" t="str">
        <f t="shared" si="15"/>
        <v>Premium5R3lesscolor</v>
      </c>
      <c r="D337" s="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">
        <v>35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IFERROR(VLOOKUP(B337,input_572100!L:R,7,FALSE),VLOOKUP(tables_572100!C337,input_572100!A:H,8,FALSE))</f>
        <v>519.01714000000004</v>
      </c>
      <c r="P337" s="40">
        <f t="shared" ca="1" si="16"/>
        <v>6.007142823517865E-4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input_572100!A$2</f>
        <v>572100</v>
      </c>
      <c r="B338" s="2">
        <v>1226</v>
      </c>
      <c r="C338" s="7" t="str">
        <f t="shared" si="15"/>
        <v>PremiumSS5R5only</v>
      </c>
      <c r="D338" s="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IFERROR(VLOOKUP(B338,input_572100!L:R,7,FALSE),VLOOKUP(tables_572100!C338,input_572100!A:H,8,FALSE))</f>
        <v>320</v>
      </c>
      <c r="P338" s="40">
        <f t="shared" ca="1" si="16"/>
        <v>3.7037037033607725E-4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input_572100!A$2</f>
        <v>572100</v>
      </c>
      <c r="B339" s="2">
        <v>1228</v>
      </c>
      <c r="C339" s="7" t="str">
        <f t="shared" si="15"/>
        <v>PremiumSS5R5only</v>
      </c>
      <c r="D339" s="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IFERROR(VLOOKUP(B339,input_572100!L:R,7,FALSE),VLOOKUP(tables_572100!C339,input_572100!A:H,8,FALSE))</f>
        <v>320</v>
      </c>
      <c r="P339" s="40">
        <f t="shared" ca="1" si="16"/>
        <v>3.7037037033607725E-4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input_572100!A$2</f>
        <v>572100</v>
      </c>
      <c r="B340" s="2">
        <v>1230</v>
      </c>
      <c r="C340" s="7" t="str">
        <f t="shared" si="15"/>
        <v>PremiumSS5R5only</v>
      </c>
      <c r="D340" s="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IFERROR(VLOOKUP(B340,input_572100!L:R,7,FALSE),VLOOKUP(tables_572100!C340,input_572100!A:H,8,FALSE))</f>
        <v>320</v>
      </c>
      <c r="P340" s="40">
        <f t="shared" ca="1" si="16"/>
        <v>3.7037037033607725E-4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input_572100!A$2</f>
        <v>572100</v>
      </c>
      <c r="B341" s="2">
        <v>1244</v>
      </c>
      <c r="C341" s="7" t="str">
        <f t="shared" si="15"/>
        <v>PremiumSS5R5onlycolor</v>
      </c>
      <c r="D341" s="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">
        <v>35</v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IFERROR(VLOOKUP(B341,input_572100!L:R,7,FALSE),VLOOKUP(tables_572100!C341,input_572100!A:H,8,FALSE))</f>
        <v>1440</v>
      </c>
      <c r="P341" s="40">
        <f t="shared" ca="1" si="16"/>
        <v>1.6666666665123477E-3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input_572100!A$2</f>
        <v>572100</v>
      </c>
      <c r="B342" s="2">
        <v>1246</v>
      </c>
      <c r="C342" s="7" t="str">
        <f t="shared" ref="C342:C346" si="18">D342&amp;J342&amp;E342&amp;F342&amp;G342</f>
        <v>PremiumSS5R5only</v>
      </c>
      <c r="D342" s="7" t="str">
        <f t="shared" ref="D342:D346" si="19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IFERROR(VLOOKUP(B342,input_572100!L:R,7,FALSE),VLOOKUP(tables_572100!C342,input_572100!A:H,8,FALSE))</f>
        <v>320</v>
      </c>
      <c r="P342" s="40">
        <f t="shared" ref="P342:P346" ca="1" si="20">O342/SUM(O:O)</f>
        <v>3.7037037033607725E-4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input_572100!A$2</f>
        <v>572100</v>
      </c>
      <c r="B343" s="2">
        <v>1248</v>
      </c>
      <c r="C343" s="7" t="str">
        <f t="shared" si="18"/>
        <v>Premium4R3less</v>
      </c>
      <c r="D343" s="7" t="str">
        <f t="shared" si="19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IFERROR(VLOOKUP(B343,input_572100!L:R,7,FALSE),VLOOKUP(tables_572100!C343,input_572100!A:H,8,FALSE))</f>
        <v>4164.2742900000003</v>
      </c>
      <c r="P343" s="40">
        <f t="shared" ca="1" si="20"/>
        <v>4.8197619092759537E-3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input_572100!A$2</f>
        <v>572100</v>
      </c>
      <c r="B344" s="2">
        <v>1249</v>
      </c>
      <c r="C344" s="7" t="str">
        <f t="shared" si="18"/>
        <v>Premium5R3less</v>
      </c>
      <c r="D344" s="7" t="str">
        <f t="shared" si="19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IFERROR(VLOOKUP(B344,input_572100!L:R,7,FALSE),VLOOKUP(tables_572100!C344,input_572100!A:H,8,FALSE))</f>
        <v>206.70316</v>
      </c>
      <c r="P344" s="40">
        <f t="shared" ca="1" si="20"/>
        <v>2.3923976849636697E-4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input_572100!A$2</f>
        <v>572100</v>
      </c>
      <c r="B345" s="2">
        <v>1250</v>
      </c>
      <c r="C345" s="7" t="str">
        <f t="shared" si="18"/>
        <v>PremiumSS5R5only</v>
      </c>
      <c r="D345" s="7" t="str">
        <f t="shared" si="19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IFERROR(VLOOKUP(B345,input_572100!L:R,7,FALSE),VLOOKUP(tables_572100!C345,input_572100!A:H,8,FALSE))</f>
        <v>320</v>
      </c>
      <c r="P345" s="40">
        <f t="shared" ca="1" si="20"/>
        <v>3.7037037033607725E-4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input_572100!A$2</f>
        <v>572100</v>
      </c>
      <c r="B346" s="1">
        <v>1260</v>
      </c>
      <c r="C346" s="7" t="str">
        <f t="shared" si="18"/>
        <v>PremiumSS5R5onlycolor</v>
      </c>
      <c r="D346" s="7" t="str">
        <f t="shared" si="19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">
        <v>35</v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IFERROR(VLOOKUP(B346,input_572100!L:R,7,FALSE),VLOOKUP(tables_572100!C346,input_572100!A:H,8,FALSE))</f>
        <v>1440</v>
      </c>
      <c r="P346" s="40">
        <f t="shared" ca="1" si="20"/>
        <v>1.6666666665123477E-3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input_572100!A$2</f>
        <v>572100</v>
      </c>
      <c r="B347" s="1">
        <v>1262</v>
      </c>
      <c r="C347" s="7" t="str">
        <f t="shared" ref="C347:C356" si="21">D347&amp;J347&amp;E347&amp;F347&amp;G347</f>
        <v>PremiumSS5R5only</v>
      </c>
      <c r="D347" s="7" t="str">
        <f t="shared" ref="D347:D356" si="22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IFERROR(VLOOKUP(B347,input_572100!L:R,7,FALSE),VLOOKUP(tables_572100!C347,input_572100!A:H,8,FALSE))</f>
        <v>320</v>
      </c>
      <c r="P347" s="40">
        <f t="shared" ref="P347:P350" ca="1" si="23">O347/SUM(O:O)</f>
        <v>3.7037037033607725E-4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input_572100!A$2</f>
        <v>572100</v>
      </c>
      <c r="B348" s="1">
        <v>1264</v>
      </c>
      <c r="C348" s="7" t="str">
        <f t="shared" si="21"/>
        <v>PremiumSS5R5only</v>
      </c>
      <c r="D348" s="7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IFERROR(VLOOKUP(B348,input_572100!L:R,7,FALSE),VLOOKUP(tables_572100!C348,input_572100!A:H,8,FALSE))</f>
        <v>320</v>
      </c>
      <c r="P348" s="40">
        <f t="shared" ca="1" si="23"/>
        <v>3.7037037033607725E-4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input_572100!A$2</f>
        <v>572100</v>
      </c>
      <c r="B349" s="1">
        <v>1266</v>
      </c>
      <c r="C349" s="7" t="str">
        <f t="shared" si="21"/>
        <v>Premium4R3less</v>
      </c>
      <c r="D349" s="7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IFERROR(VLOOKUP(B349,input_572100!L:R,7,FALSE),VLOOKUP(tables_572100!C349,input_572100!A:H,8,FALSE))</f>
        <v>4164.2742900000003</v>
      </c>
      <c r="P349" s="40">
        <f t="shared" ca="1" si="23"/>
        <v>4.8197619092759537E-3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input_572100!A$2</f>
        <v>572100</v>
      </c>
      <c r="B350" s="1">
        <v>1267</v>
      </c>
      <c r="C350" s="7" t="str">
        <f t="shared" si="21"/>
        <v>Premium5R3less</v>
      </c>
      <c r="D350" s="7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IFERROR(VLOOKUP(B350,input_572100!L:R,7,FALSE),VLOOKUP(tables_572100!C350,input_572100!A:H,8,FALSE))</f>
        <v>206.70316</v>
      </c>
      <c r="P350" s="40">
        <f t="shared" ca="1" si="23"/>
        <v>2.3923976849636697E-4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input_572100!A$2</f>
        <v>572100</v>
      </c>
      <c r="B351" s="102">
        <v>1332</v>
      </c>
      <c r="C351" s="86" t="str">
        <f t="shared" si="21"/>
        <v>PremiumSS5R5onlycolor</v>
      </c>
      <c r="D351" s="7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 t="s">
        <v>35</v>
      </c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IFERROR(VLOOKUP(B351,input_572100!L:R,7,FALSE),VLOOKUP(tables_572100!C351,input_572100!A:H,8,FALSE))</f>
        <v>1440</v>
      </c>
      <c r="P351" s="40">
        <f t="shared" ref="P351:P355" ca="1" si="24">O351/SUM(O:O)</f>
        <v>1.6666666665123477E-3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input_572100!A$2</f>
        <v>572100</v>
      </c>
      <c r="B352" s="102">
        <v>1336</v>
      </c>
      <c r="C352" s="86" t="str">
        <f t="shared" si="21"/>
        <v>PremiumSS5R5only</v>
      </c>
      <c r="D352" s="7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IFERROR(VLOOKUP(B352,input_572100!L:R,7,FALSE),VLOOKUP(tables_572100!C352,input_572100!A:H,8,FALSE))</f>
        <v>320</v>
      </c>
      <c r="P352" s="40">
        <f t="shared" ca="1" si="24"/>
        <v>3.7037037033607725E-4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input_572100!A$2</f>
        <v>572100</v>
      </c>
      <c r="B353" s="102">
        <v>1338</v>
      </c>
      <c r="C353" s="86" t="str">
        <f t="shared" si="21"/>
        <v>PremiumSS5R5only</v>
      </c>
      <c r="D353" s="7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IFERROR(VLOOKUP(B353,input_572100!L:R,7,FALSE),VLOOKUP(tables_572100!C353,input_572100!A:H,8,FALSE))</f>
        <v>320</v>
      </c>
      <c r="P353" s="40">
        <f t="shared" ca="1" si="24"/>
        <v>3.7037037033607725E-4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input_572100!A$2</f>
        <v>572100</v>
      </c>
      <c r="B354" s="102">
        <v>1334</v>
      </c>
      <c r="C354" s="86" t="str">
        <f t="shared" si="21"/>
        <v>Premium4R3less</v>
      </c>
      <c r="D354" s="7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IFERROR(VLOOKUP(B354,input_572100!L:R,7,FALSE),VLOOKUP(tables_572100!C354,input_572100!A:H,8,FALSE))</f>
        <v>4164.2742900000003</v>
      </c>
      <c r="P354" s="40">
        <f t="shared" ca="1" si="24"/>
        <v>4.8197619092759537E-3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input_572100!A$2</f>
        <v>572100</v>
      </c>
      <c r="B355" s="102">
        <v>1335</v>
      </c>
      <c r="C355" s="86" t="str">
        <f t="shared" si="21"/>
        <v>Premium5R3less</v>
      </c>
      <c r="D355" s="7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IFERROR(VLOOKUP(B355,input_572100!L:R,7,FALSE),VLOOKUP(tables_572100!C355,input_572100!A:H,8,FALSE))</f>
        <v>206.70316</v>
      </c>
      <c r="P355" s="40">
        <f t="shared" ca="1" si="24"/>
        <v>2.3923976849636697E-4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input_572100!A$2</f>
        <v>572100</v>
      </c>
      <c r="B356" s="1">
        <v>786</v>
      </c>
      <c r="C356" s="86" t="str">
        <f t="shared" si="21"/>
        <v>PremiumSSS5R3lesscolor</v>
      </c>
      <c r="D356" s="7" t="str">
        <f t="shared" si="22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35</v>
      </c>
      <c r="H356" s="7" t="str">
        <f>VLOOKUP(B356,[1]characters!$A:$C,3,FALSE)</f>
        <v>ヘイウェイ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dragon</v>
      </c>
      <c r="N356" s="7" t="str">
        <f>VLOOKUP(B356,[1]characters!$A:$G,7,FALSE)</f>
        <v>男性</v>
      </c>
      <c r="O356" s="39">
        <f>IFERROR(VLOOKUP(B356,input_572100!L:R,7,FALSE),VLOOKUP(tables_572100!C356,input_572100!A:H,8,FALSE))</f>
        <v>20736</v>
      </c>
      <c r="P356" s="40">
        <f ca="1">O356/SUM(O:O)</f>
        <v>2.3999999997777806E-2</v>
      </c>
      <c r="Q356" s="76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4"/>
  <sheetViews>
    <sheetView showGridLines="0" workbookViewId="0">
      <pane ySplit="1" topLeftCell="A2" activePane="bottomLeft" state="frozen"/>
      <selection activeCell="M24" sqref="M24"/>
      <selection pane="bottomLeft" activeCell="P2" sqref="P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2" t="s">
        <v>11</v>
      </c>
      <c r="C1" s="14" t="s">
        <v>12</v>
      </c>
      <c r="D1" s="14" t="s">
        <v>13</v>
      </c>
      <c r="E1" s="14" t="s">
        <v>14</v>
      </c>
      <c r="F1" s="13" t="s">
        <v>2</v>
      </c>
      <c r="G1" s="44" t="s">
        <v>71</v>
      </c>
      <c r="H1" s="44" t="s">
        <v>72</v>
      </c>
      <c r="I1" s="45" t="s">
        <v>73</v>
      </c>
      <c r="J1" s="45" t="s">
        <v>74</v>
      </c>
      <c r="K1" s="45" t="s">
        <v>75</v>
      </c>
      <c r="L1" s="45" t="s">
        <v>76</v>
      </c>
      <c r="M1" s="45" t="s">
        <v>77</v>
      </c>
      <c r="N1" s="13" t="s">
        <v>15</v>
      </c>
      <c r="O1" s="13" t="s">
        <v>16</v>
      </c>
      <c r="P1" s="13" t="s">
        <v>17</v>
      </c>
      <c r="Q1" s="13" t="s">
        <v>18</v>
      </c>
    </row>
    <row r="2" spans="1:17" ht="21" customHeight="1" x14ac:dyDescent="0.15">
      <c r="A2" s="97">
        <v>572103</v>
      </c>
      <c r="B2" s="97" t="str">
        <f>A2&amp;1</f>
        <v>5721031</v>
      </c>
      <c r="C2" s="69" t="s">
        <v>257</v>
      </c>
      <c r="D2" s="69">
        <v>1000000</v>
      </c>
      <c r="E2" s="69" t="s">
        <v>258</v>
      </c>
      <c r="F2" s="69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69" t="s">
        <v>259</v>
      </c>
      <c r="O2" s="69" t="s">
        <v>260</v>
      </c>
      <c r="P2" s="69" t="s">
        <v>261</v>
      </c>
      <c r="Q2" s="70" t="s">
        <v>262</v>
      </c>
    </row>
    <row r="3" spans="1:17" ht="21" customHeight="1" x14ac:dyDescent="0.15">
      <c r="A3" s="97">
        <v>572105</v>
      </c>
      <c r="B3" s="97" t="str">
        <f>A3&amp;1</f>
        <v>5721051</v>
      </c>
      <c r="C3" s="2" t="s">
        <v>263</v>
      </c>
      <c r="D3" s="2">
        <v>125</v>
      </c>
      <c r="E3" s="2">
        <v>4</v>
      </c>
      <c r="F3" s="69">
        <v>1</v>
      </c>
      <c r="G3" s="2">
        <v>0</v>
      </c>
      <c r="H3" s="2">
        <v>0</v>
      </c>
      <c r="I3" s="2">
        <v>0</v>
      </c>
      <c r="J3" s="2">
        <v>0</v>
      </c>
      <c r="K3" s="2">
        <v>1</v>
      </c>
      <c r="L3" s="2">
        <v>1</v>
      </c>
      <c r="M3" s="2">
        <v>1</v>
      </c>
      <c r="N3" s="69" t="s">
        <v>259</v>
      </c>
      <c r="O3" s="69" t="s">
        <v>264</v>
      </c>
      <c r="P3" s="69" t="s">
        <v>261</v>
      </c>
      <c r="Q3" s="70" t="s">
        <v>265</v>
      </c>
    </row>
    <row r="4" spans="1:17" ht="21" customHeight="1" x14ac:dyDescent="0.15">
      <c r="A4" s="97">
        <v>572106</v>
      </c>
      <c r="B4" s="97" t="str">
        <f>A4&amp;1</f>
        <v>5721061</v>
      </c>
      <c r="C4" s="2" t="s">
        <v>266</v>
      </c>
      <c r="D4" s="2">
        <v>1</v>
      </c>
      <c r="E4" s="2">
        <v>3</v>
      </c>
      <c r="F4" s="69">
        <v>1</v>
      </c>
      <c r="G4" s="2">
        <v>0</v>
      </c>
      <c r="H4" s="2">
        <v>0</v>
      </c>
      <c r="I4" s="2">
        <v>0</v>
      </c>
      <c r="J4" s="2">
        <v>0</v>
      </c>
      <c r="K4" s="2">
        <v>1</v>
      </c>
      <c r="L4" s="2">
        <v>1</v>
      </c>
      <c r="M4" s="2">
        <v>1</v>
      </c>
      <c r="N4" s="69" t="s">
        <v>259</v>
      </c>
      <c r="O4" s="69" t="s">
        <v>267</v>
      </c>
      <c r="P4" s="69" t="s">
        <v>261</v>
      </c>
      <c r="Q4" s="70" t="s">
        <v>268</v>
      </c>
    </row>
  </sheetData>
  <autoFilter ref="A1:F1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14" workbookViewId="0">
      <selection activeCell="B254" sqref="B254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20</v>
      </c>
      <c r="B1" s="3" t="s">
        <v>21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2">
        <v>668</v>
      </c>
      <c r="B246" s="7" t="str">
        <f>VLOOKUP(A246,[1]characters!$A:$C,3,FALSE)</f>
        <v>アグニ</v>
      </c>
    </row>
    <row r="247" spans="1:2" x14ac:dyDescent="0.15">
      <c r="A247" s="52">
        <v>669</v>
      </c>
      <c r="B247" s="7" t="str">
        <f>VLOOKUP(A247,[1]characters!$A:$C,3,FALSE)</f>
        <v>天地の仲界 アグニ</v>
      </c>
    </row>
    <row r="248" spans="1:2" x14ac:dyDescent="0.15">
      <c r="A248" s="52">
        <v>670</v>
      </c>
      <c r="B248" s="7" t="str">
        <f>VLOOKUP(A248,[1]characters!$A:$C,3,FALSE)</f>
        <v>陽天の噴煙 アグニ</v>
      </c>
    </row>
    <row r="249" spans="1:2" x14ac:dyDescent="0.15">
      <c r="A249" s="52">
        <v>671</v>
      </c>
      <c r="B249" s="7" t="str">
        <f>VLOOKUP(A249,[1]characters!$A:$C,3,FALSE)</f>
        <v>ハヌマーン</v>
      </c>
    </row>
    <row r="250" spans="1:2" x14ac:dyDescent="0.15">
      <c r="A250" s="52">
        <v>672</v>
      </c>
      <c r="B250" s="7" t="str">
        <f>VLOOKUP(A250,[1]characters!$A:$C,3,FALSE)</f>
        <v>西遊韋駄天 ハヌマーン</v>
      </c>
    </row>
    <row r="251" spans="1:2" x14ac:dyDescent="0.15">
      <c r="A251" s="52">
        <v>673</v>
      </c>
      <c r="B251" s="7" t="str">
        <f>VLOOKUP(A251,[1]characters!$A:$C,3,FALSE)</f>
        <v>変幻自在の猿王 ハヌマーン</v>
      </c>
    </row>
    <row r="252" spans="1:2" x14ac:dyDescent="0.15">
      <c r="A252" s="52">
        <v>674</v>
      </c>
      <c r="B252" s="7" t="str">
        <f>VLOOKUP(A252,[1]characters!$A:$C,3,FALSE)</f>
        <v>サラスヴァティ</v>
      </c>
    </row>
    <row r="253" spans="1:2" x14ac:dyDescent="0.15">
      <c r="A253" s="52">
        <v>675</v>
      </c>
      <c r="B253" s="7" t="str">
        <f>VLOOKUP(A253,[1]characters!$A:$C,3,FALSE)</f>
        <v>芸楽の奔流 サラスヴァティ</v>
      </c>
    </row>
    <row r="254" spans="1:2" x14ac:dyDescent="0.15">
      <c r="A254" s="52">
        <v>676</v>
      </c>
      <c r="B254" s="7" t="str">
        <f>VLOOKUP(A254,[1]characters!$A:$C,3,FALSE)</f>
        <v>ヴィシュヌ</v>
      </c>
    </row>
    <row r="255" spans="1:2" x14ac:dyDescent="0.15">
      <c r="A255" s="52">
        <v>677</v>
      </c>
      <c r="B255" s="7" t="str">
        <f>VLOOKUP(A255,[1]characters!$A:$C,3,FALSE)</f>
        <v>武遊闊歩 ヴィシュヌ</v>
      </c>
    </row>
    <row r="256" spans="1:2" x14ac:dyDescent="0.15">
      <c r="A256" s="52">
        <v>770</v>
      </c>
      <c r="B256" s="7" t="str">
        <f>VLOOKUP(A256,[1]characters!$A:$C,3,FALSE)</f>
        <v>ハヅル</v>
      </c>
    </row>
    <row r="257" spans="1:2" x14ac:dyDescent="0.15">
      <c r="A257" s="52">
        <v>771</v>
      </c>
      <c r="B257" s="7" t="str">
        <f>VLOOKUP(A257,[1]characters!$A:$C,3,FALSE)</f>
        <v>天織羽鶴 ハヅル</v>
      </c>
    </row>
    <row r="258" spans="1:2" x14ac:dyDescent="0.15">
      <c r="A258" s="52">
        <v>772</v>
      </c>
      <c r="B258" s="7" t="str">
        <f>VLOOKUP(A258,[1]characters!$A:$C,3,FALSE)</f>
        <v>イナバ</v>
      </c>
    </row>
    <row r="259" spans="1:2" x14ac:dyDescent="0.15">
      <c r="A259" s="52">
        <v>773</v>
      </c>
      <c r="B259" s="7" t="str">
        <f>VLOOKUP(A259,[1]characters!$A:$C,3,FALSE)</f>
        <v>浮跳天兎 イナバ</v>
      </c>
    </row>
    <row r="260" spans="1:2" x14ac:dyDescent="0.15">
      <c r="A260" s="52">
        <v>774</v>
      </c>
      <c r="B260" s="7" t="str">
        <f>VLOOKUP(A260,[1]characters!$A:$C,3,FALSE)</f>
        <v>ミズチ</v>
      </c>
    </row>
    <row r="261" spans="1:2" x14ac:dyDescent="0.15">
      <c r="A261" s="52">
        <v>775</v>
      </c>
      <c r="B261" s="7" t="str">
        <f>VLOOKUP(A261,[1]characters!$A:$C,3,FALSE)</f>
        <v>水底霊竜 ミズチ</v>
      </c>
    </row>
    <row r="262" spans="1:2" x14ac:dyDescent="0.15">
      <c r="A262" s="52">
        <v>776</v>
      </c>
      <c r="B262" s="7" t="str">
        <f>VLOOKUP(A262,[1]characters!$A:$C,3,FALSE)</f>
        <v>水竜底主 ミズチ</v>
      </c>
    </row>
    <row r="263" spans="1:2" x14ac:dyDescent="0.15">
      <c r="A263" s="52">
        <v>777</v>
      </c>
      <c r="B263" s="7" t="str">
        <f>VLOOKUP(A263,[1]characters!$A:$C,3,FALSE)</f>
        <v>ガメック</v>
      </c>
    </row>
    <row r="264" spans="1:2" x14ac:dyDescent="0.15">
      <c r="A264" s="52">
        <v>778</v>
      </c>
      <c r="B264" s="7" t="str">
        <f>VLOOKUP(A264,[1]characters!$A:$C,3,FALSE)</f>
        <v>一亀懸明 ガメック</v>
      </c>
    </row>
    <row r="265" spans="1:2" x14ac:dyDescent="0.15">
      <c r="A265" s="52">
        <v>779</v>
      </c>
      <c r="B265" s="7" t="str">
        <f>VLOOKUP(A265,[1]characters!$A:$C,3,FALSE)</f>
        <v>頑堅咬亀 ガメック</v>
      </c>
    </row>
    <row r="266" spans="1:2" x14ac:dyDescent="0.15">
      <c r="A266" s="52">
        <v>779</v>
      </c>
      <c r="B266" s="7" t="str">
        <f>VLOOKUP(A266,[1]characters!$A:$C,3,FALSE)</f>
        <v>頑堅咬亀 ガメック</v>
      </c>
    </row>
  </sheetData>
  <phoneticPr fontId="1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2" t="s">
        <v>44</v>
      </c>
      <c r="B1" s="32"/>
    </row>
    <row r="2" spans="1:2" x14ac:dyDescent="0.15">
      <c r="A2" s="27" t="s">
        <v>1</v>
      </c>
      <c r="B2" s="31" t="s">
        <v>48</v>
      </c>
    </row>
    <row r="3" spans="1:2" x14ac:dyDescent="0.15">
      <c r="A3" s="6">
        <v>166</v>
      </c>
      <c r="B3" s="31" t="str">
        <f>VLOOKUP(A3,[1]characters!$A:$C,3,FALSE)</f>
        <v>ベリアル</v>
      </c>
    </row>
    <row r="4" spans="1:2" x14ac:dyDescent="0.15">
      <c r="A4" s="6">
        <v>167</v>
      </c>
      <c r="B4" s="31" t="str">
        <f>VLOOKUP(A4,[1]characters!$A:$C,3,FALSE)</f>
        <v>逆徒 ベリアル</v>
      </c>
    </row>
    <row r="5" spans="1:2" x14ac:dyDescent="0.15">
      <c r="A5" s="6">
        <v>168</v>
      </c>
      <c r="B5" s="31" t="str">
        <f>VLOOKUP(A5,[1]characters!$A:$C,3,FALSE)</f>
        <v>猛進の大逆者 ベリアル</v>
      </c>
    </row>
    <row r="6" spans="1:2" x14ac:dyDescent="0.15">
      <c r="A6" s="27">
        <v>169</v>
      </c>
      <c r="B6" s="31" t="str">
        <f>VLOOKUP(A6,[1]characters!$A:$C,3,FALSE)</f>
        <v>オセ</v>
      </c>
    </row>
    <row r="7" spans="1:2" x14ac:dyDescent="0.15">
      <c r="A7" s="27">
        <v>170</v>
      </c>
      <c r="B7" s="31" t="str">
        <f>VLOOKUP(A7,[1]characters!$A:$C,3,FALSE)</f>
        <v>識徒 オセ</v>
      </c>
    </row>
    <row r="8" spans="1:2" x14ac:dyDescent="0.15">
      <c r="A8" s="27">
        <v>171</v>
      </c>
      <c r="B8" s="31" t="str">
        <f>VLOOKUP(A8,[1]characters!$A:$C,3,FALSE)</f>
        <v>精解の預知者 オセ</v>
      </c>
    </row>
    <row r="9" spans="1:2" x14ac:dyDescent="0.15">
      <c r="A9" s="27">
        <v>172</v>
      </c>
      <c r="B9" s="31" t="str">
        <f>VLOOKUP(A9,[1]characters!$A:$C,3,FALSE)</f>
        <v>フォルネウス</v>
      </c>
    </row>
    <row r="10" spans="1:2" x14ac:dyDescent="0.15">
      <c r="A10" s="27">
        <v>173</v>
      </c>
      <c r="B10" s="31" t="str">
        <f>VLOOKUP(A10,[1]characters!$A:$C,3,FALSE)</f>
        <v>公爵 フォルネウス</v>
      </c>
    </row>
    <row r="11" spans="1:2" x14ac:dyDescent="0.15">
      <c r="A11" s="27">
        <v>174</v>
      </c>
      <c r="B11" s="31" t="str">
        <f>VLOOKUP(A11,[1]characters!$A:$C,3,FALSE)</f>
        <v>偽愛の大公爵 フォルネウス</v>
      </c>
    </row>
    <row r="12" spans="1:2" x14ac:dyDescent="0.15">
      <c r="A12" s="27">
        <v>235</v>
      </c>
      <c r="B12" s="31" t="str">
        <f>VLOOKUP(A12,[1]characters!$A:$C,3,FALSE)</f>
        <v>イザナミ</v>
      </c>
    </row>
    <row r="13" spans="1:2" x14ac:dyDescent="0.15">
      <c r="A13" s="27">
        <v>236</v>
      </c>
      <c r="B13" s="31" t="str">
        <f>VLOOKUP(A13,[1]characters!$A:$C,3,FALSE)</f>
        <v>神産 イザナミ</v>
      </c>
    </row>
    <row r="14" spans="1:2" x14ac:dyDescent="0.15">
      <c r="A14" s="27">
        <v>237</v>
      </c>
      <c r="B14" s="31" t="str">
        <f>VLOOKUP(A14,[1]characters!$A:$C,3,FALSE)</f>
        <v>森羅万象の神母 イザナミ</v>
      </c>
    </row>
  </sheetData>
  <phoneticPr fontId="1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確率の考え方</vt:lpstr>
      <vt:lpstr>Sheet1</vt:lpstr>
      <vt:lpstr>output</vt:lpstr>
      <vt:lpstr>input_572101</vt:lpstr>
      <vt:lpstr>tables_572101</vt:lpstr>
      <vt:lpstr>input_572103</vt:lpstr>
      <vt:lpstr>tables_572103</vt:lpstr>
      <vt:lpstr>input_572104</vt:lpstr>
      <vt:lpstr>tables_572104</vt:lpstr>
      <vt:lpstr>tables_settle_572104</vt:lpstr>
      <vt:lpstr>input_572105</vt:lpstr>
      <vt:lpstr>tables_572105</vt:lpstr>
      <vt:lpstr>input_572106</vt:lpstr>
      <vt:lpstr>tables_572106</vt:lpstr>
      <vt:lpstr>input_572100</vt:lpstr>
      <vt:lpstr>tables_572100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2017-04-13T06:05:11Z</dcterms:modified>
</cp:coreProperties>
</file>