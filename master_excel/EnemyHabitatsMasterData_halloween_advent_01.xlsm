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240" yWindow="460" windowWidth="22680" windowHeight="21140" tabRatio="740" firstSheet="1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enemy_habitat_S!$B$1:$AA$9</definedName>
    <definedName name="_xlnm._FilterDatabase" localSheetId="2" hidden="1">enemy_habitats!$B$1:$AJ$41</definedName>
    <definedName name="_xlnm._FilterDatabase" localSheetId="4" hidden="1">enemy_skill_sets!$A$1:$R$272</definedName>
    <definedName name="_xlnm._FilterDatabase" localSheetId="6" hidden="1">enemy_skill_triggers!$A$1:$G$1</definedName>
    <definedName name="_xlnm._FilterDatabase" localSheetId="5" hidden="1">enemy_skills!$A$1:$AB$238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22" l="1"/>
  <c r="G47" i="22"/>
  <c r="F47" i="22"/>
  <c r="D47" i="22"/>
  <c r="C47" i="22"/>
  <c r="A47" i="22"/>
  <c r="N46" i="22"/>
  <c r="G46" i="22"/>
  <c r="F46" i="22"/>
  <c r="D46" i="22"/>
  <c r="C46" i="22"/>
  <c r="A46" i="22"/>
  <c r="N45" i="22"/>
  <c r="G45" i="22"/>
  <c r="F45" i="22"/>
  <c r="D45" i="22"/>
  <c r="C45" i="22"/>
  <c r="A45" i="22"/>
  <c r="C40" i="18"/>
  <c r="D40" i="18"/>
  <c r="C39" i="18"/>
  <c r="D39" i="18"/>
  <c r="C38" i="18"/>
  <c r="D38" i="18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N44" i="22"/>
  <c r="G44" i="22"/>
  <c r="F44" i="22"/>
  <c r="D44" i="22"/>
  <c r="C44" i="22"/>
  <c r="A44" i="22"/>
  <c r="N43" i="22"/>
  <c r="G43" i="22"/>
  <c r="F43" i="22"/>
  <c r="D43" i="22"/>
  <c r="C43" i="22"/>
  <c r="A43" i="22"/>
  <c r="N42" i="22"/>
  <c r="G42" i="22"/>
  <c r="F42" i="22"/>
  <c r="D42" i="22"/>
  <c r="C42" i="22"/>
  <c r="A42" i="22"/>
  <c r="N41" i="22"/>
  <c r="G41" i="22"/>
  <c r="F41" i="22"/>
  <c r="D41" i="22"/>
  <c r="C41" i="22"/>
  <c r="A41" i="22"/>
  <c r="N33" i="22"/>
  <c r="G33" i="22"/>
  <c r="F33" i="22"/>
  <c r="D33" i="22"/>
  <c r="C33" i="22"/>
  <c r="A33" i="22"/>
  <c r="N30" i="22"/>
  <c r="G30" i="22"/>
  <c r="F30" i="22"/>
  <c r="D30" i="22"/>
  <c r="C30" i="22"/>
  <c r="A30" i="22"/>
  <c r="N40" i="22"/>
  <c r="G40" i="22"/>
  <c r="F40" i="22"/>
  <c r="D40" i="22"/>
  <c r="C40" i="22"/>
  <c r="A40" i="22"/>
  <c r="N39" i="22"/>
  <c r="G39" i="22"/>
  <c r="F39" i="22"/>
  <c r="D39" i="22"/>
  <c r="C39" i="22"/>
  <c r="A39" i="22"/>
  <c r="N38" i="22"/>
  <c r="G38" i="22"/>
  <c r="F38" i="22"/>
  <c r="D38" i="22"/>
  <c r="C38" i="22"/>
  <c r="A38" i="22"/>
  <c r="N37" i="22"/>
  <c r="G37" i="22"/>
  <c r="F37" i="22"/>
  <c r="D37" i="22"/>
  <c r="C37" i="22"/>
  <c r="A37" i="22"/>
  <c r="N36" i="22"/>
  <c r="G36" i="22"/>
  <c r="F36" i="22"/>
  <c r="D36" i="22"/>
  <c r="C36" i="22"/>
  <c r="A36" i="22"/>
  <c r="N35" i="22"/>
  <c r="G35" i="22"/>
  <c r="F35" i="22"/>
  <c r="D35" i="22"/>
  <c r="C35" i="22"/>
  <c r="A35" i="22"/>
  <c r="N34" i="22"/>
  <c r="G34" i="22"/>
  <c r="F34" i="22"/>
  <c r="D34" i="22"/>
  <c r="C34" i="22"/>
  <c r="A34" i="22"/>
  <c r="N32" i="22"/>
  <c r="G32" i="22"/>
  <c r="F32" i="22"/>
  <c r="D32" i="22"/>
  <c r="C32" i="22"/>
  <c r="A32" i="22"/>
  <c r="N31" i="22"/>
  <c r="G31" i="22"/>
  <c r="F31" i="22"/>
  <c r="D31" i="22"/>
  <c r="C31" i="22"/>
  <c r="A31" i="22"/>
  <c r="N29" i="22"/>
  <c r="G29" i="22"/>
  <c r="F29" i="22"/>
  <c r="D29" i="22"/>
  <c r="C29" i="22"/>
  <c r="A29" i="22"/>
  <c r="N28" i="22"/>
  <c r="G28" i="22"/>
  <c r="F28" i="22"/>
  <c r="D28" i="22"/>
  <c r="C28" i="22"/>
  <c r="A28" i="22"/>
  <c r="N27" i="22"/>
  <c r="G27" i="22"/>
  <c r="F27" i="22"/>
  <c r="D27" i="22"/>
  <c r="C27" i="22"/>
  <c r="A27" i="22"/>
  <c r="N26" i="22"/>
  <c r="G26" i="22"/>
  <c r="F26" i="22"/>
  <c r="D26" i="22"/>
  <c r="C26" i="22"/>
  <c r="A26" i="22"/>
  <c r="N25" i="22"/>
  <c r="G25" i="22"/>
  <c r="F25" i="22"/>
  <c r="D25" i="22"/>
  <c r="C25" i="22"/>
  <c r="A25" i="22"/>
  <c r="N24" i="22"/>
  <c r="G24" i="22"/>
  <c r="F24" i="22"/>
  <c r="D24" i="22"/>
  <c r="C24" i="22"/>
  <c r="A24" i="22"/>
  <c r="N23" i="22"/>
  <c r="G23" i="22"/>
  <c r="F23" i="22"/>
  <c r="D23" i="22"/>
  <c r="C23" i="22"/>
  <c r="A23" i="22"/>
  <c r="N22" i="22"/>
  <c r="G22" i="22"/>
  <c r="F22" i="22"/>
  <c r="D22" i="22"/>
  <c r="C22" i="22"/>
  <c r="A22" i="22"/>
  <c r="N21" i="22"/>
  <c r="G21" i="22"/>
  <c r="F21" i="22"/>
  <c r="D21" i="22"/>
  <c r="C21" i="22"/>
  <c r="A21" i="22"/>
  <c r="N20" i="22"/>
  <c r="G20" i="22"/>
  <c r="F20" i="22"/>
  <c r="D20" i="22"/>
  <c r="C20" i="22"/>
  <c r="A20" i="22"/>
  <c r="N19" i="22"/>
  <c r="G19" i="22"/>
  <c r="F19" i="22"/>
  <c r="D19" i="22"/>
  <c r="C19" i="22"/>
  <c r="A19" i="22"/>
  <c r="N18" i="22"/>
  <c r="G18" i="22"/>
  <c r="F18" i="22"/>
  <c r="D18" i="22"/>
  <c r="C18" i="22"/>
  <c r="A18" i="22"/>
  <c r="N17" i="22"/>
  <c r="G17" i="22"/>
  <c r="F17" i="22"/>
  <c r="D17" i="22"/>
  <c r="C17" i="22"/>
  <c r="A17" i="22"/>
  <c r="N16" i="22"/>
  <c r="G16" i="22"/>
  <c r="F16" i="22"/>
  <c r="D16" i="22"/>
  <c r="C16" i="22"/>
  <c r="A16" i="22"/>
  <c r="N15" i="22"/>
  <c r="G15" i="22"/>
  <c r="F15" i="22"/>
  <c r="D15" i="22"/>
  <c r="C15" i="22"/>
  <c r="A15" i="22"/>
  <c r="N14" i="22"/>
  <c r="G14" i="22"/>
  <c r="F14" i="22"/>
  <c r="D14" i="22"/>
  <c r="C14" i="22"/>
  <c r="A14" i="22"/>
  <c r="N13" i="22"/>
  <c r="G13" i="22"/>
  <c r="F13" i="22"/>
  <c r="D13" i="22"/>
  <c r="C13" i="22"/>
  <c r="A13" i="22"/>
  <c r="N12" i="22"/>
  <c r="G12" i="22"/>
  <c r="F12" i="22"/>
  <c r="D12" i="22"/>
  <c r="C12" i="22"/>
  <c r="A12" i="22"/>
  <c r="N11" i="22"/>
  <c r="G11" i="22"/>
  <c r="F11" i="22"/>
  <c r="D11" i="22"/>
  <c r="C11" i="22"/>
  <c r="A11" i="22"/>
  <c r="N10" i="22"/>
  <c r="G10" i="22"/>
  <c r="F10" i="22"/>
  <c r="D10" i="22"/>
  <c r="C10" i="22"/>
  <c r="A10" i="22"/>
  <c r="N9" i="22"/>
  <c r="G9" i="22"/>
  <c r="F9" i="22"/>
  <c r="D9" i="22"/>
  <c r="C9" i="22"/>
  <c r="A9" i="22"/>
  <c r="N8" i="22"/>
  <c r="G8" i="22"/>
  <c r="F8" i="22"/>
  <c r="D8" i="22"/>
  <c r="C8" i="22"/>
  <c r="A8" i="22"/>
  <c r="N7" i="22"/>
  <c r="G7" i="22"/>
  <c r="F7" i="22"/>
  <c r="D7" i="22"/>
  <c r="C7" i="22"/>
  <c r="A7" i="22"/>
  <c r="N6" i="22"/>
  <c r="G6" i="22"/>
  <c r="F6" i="22"/>
  <c r="D6" i="22"/>
  <c r="C6" i="22"/>
  <c r="A6" i="22"/>
  <c r="N5" i="22"/>
  <c r="G5" i="22"/>
  <c r="F5" i="22"/>
  <c r="D5" i="22"/>
  <c r="C5" i="22"/>
  <c r="A5" i="22"/>
  <c r="N4" i="22"/>
  <c r="G4" i="22"/>
  <c r="F4" i="22"/>
  <c r="D4" i="22"/>
  <c r="C4" i="22"/>
  <c r="A4" i="22"/>
  <c r="B30" i="21"/>
  <c r="I30" i="21"/>
  <c r="J30" i="21"/>
  <c r="G30" i="21"/>
  <c r="F30" i="21"/>
  <c r="D30" i="21"/>
  <c r="C30" i="21"/>
  <c r="B29" i="21"/>
  <c r="I29" i="21"/>
  <c r="J29" i="21"/>
  <c r="G29" i="21"/>
  <c r="F29" i="21"/>
  <c r="D29" i="21"/>
  <c r="C29" i="21"/>
  <c r="B28" i="21"/>
  <c r="I28" i="21"/>
  <c r="J28" i="21"/>
  <c r="G28" i="21"/>
  <c r="F28" i="21"/>
  <c r="D28" i="21"/>
  <c r="C28" i="21"/>
  <c r="B27" i="21"/>
  <c r="I27" i="21"/>
  <c r="J27" i="21"/>
  <c r="G27" i="21"/>
  <c r="F27" i="21"/>
  <c r="D27" i="21"/>
  <c r="C27" i="21"/>
  <c r="B26" i="21"/>
  <c r="I26" i="21"/>
  <c r="J26" i="21"/>
  <c r="G26" i="21"/>
  <c r="F26" i="21"/>
  <c r="D26" i="21"/>
  <c r="C26" i="21"/>
  <c r="B25" i="21"/>
  <c r="I25" i="21"/>
  <c r="J25" i="21"/>
  <c r="G25" i="21"/>
  <c r="F25" i="21"/>
  <c r="D25" i="21"/>
  <c r="C25" i="21"/>
  <c r="B24" i="21"/>
  <c r="I24" i="21"/>
  <c r="J24" i="21"/>
  <c r="G24" i="21"/>
  <c r="F24" i="21"/>
  <c r="D24" i="21"/>
  <c r="C24" i="21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54" i="21"/>
  <c r="I54" i="21"/>
  <c r="J54" i="21"/>
  <c r="G54" i="21"/>
  <c r="F54" i="21"/>
  <c r="D54" i="21"/>
  <c r="C54" i="21"/>
  <c r="B53" i="21"/>
  <c r="I53" i="21"/>
  <c r="J53" i="21"/>
  <c r="G53" i="21"/>
  <c r="F53" i="21"/>
  <c r="D53" i="21"/>
  <c r="C53" i="21"/>
  <c r="B52" i="21"/>
  <c r="I52" i="21"/>
  <c r="J52" i="21"/>
  <c r="G52" i="21"/>
  <c r="F52" i="21"/>
  <c r="D52" i="21"/>
  <c r="C52" i="21"/>
  <c r="B51" i="21"/>
  <c r="I51" i="21"/>
  <c r="J51" i="21"/>
  <c r="G51" i="21"/>
  <c r="F51" i="21"/>
  <c r="D51" i="21"/>
  <c r="C51" i="21"/>
  <c r="B50" i="21"/>
  <c r="I50" i="21"/>
  <c r="J50" i="21"/>
  <c r="G50" i="21"/>
  <c r="F50" i="21"/>
  <c r="D50" i="21"/>
  <c r="C50" i="21"/>
  <c r="B49" i="21"/>
  <c r="I49" i="21"/>
  <c r="J49" i="21"/>
  <c r="G49" i="21"/>
  <c r="F49" i="21"/>
  <c r="D49" i="21"/>
  <c r="C49" i="21"/>
  <c r="B48" i="21"/>
  <c r="I48" i="21"/>
  <c r="J48" i="21"/>
  <c r="G48" i="21"/>
  <c r="F48" i="21"/>
  <c r="D48" i="21"/>
  <c r="C48" i="21"/>
  <c r="B47" i="21"/>
  <c r="I47" i="21"/>
  <c r="J47" i="21"/>
  <c r="G47" i="21"/>
  <c r="F47" i="21"/>
  <c r="D47" i="21"/>
  <c r="C47" i="21"/>
  <c r="B46" i="21"/>
  <c r="I46" i="21"/>
  <c r="J46" i="21"/>
  <c r="G46" i="21"/>
  <c r="F46" i="21"/>
  <c r="D46" i="21"/>
  <c r="C46" i="21"/>
  <c r="B45" i="21"/>
  <c r="I45" i="21"/>
  <c r="J45" i="21"/>
  <c r="G45" i="21"/>
  <c r="F45" i="21"/>
  <c r="D45" i="21"/>
  <c r="C45" i="21"/>
  <c r="B44" i="21"/>
  <c r="I44" i="21"/>
  <c r="J44" i="21"/>
  <c r="G44" i="21"/>
  <c r="F44" i="21"/>
  <c r="D44" i="21"/>
  <c r="C44" i="21"/>
  <c r="B43" i="21"/>
  <c r="I43" i="21"/>
  <c r="J43" i="21"/>
  <c r="G43" i="21"/>
  <c r="F43" i="21"/>
  <c r="D43" i="21"/>
  <c r="C43" i="21"/>
  <c r="B42" i="21"/>
  <c r="I42" i="21"/>
  <c r="J42" i="21"/>
  <c r="G42" i="21"/>
  <c r="F42" i="21"/>
  <c r="D42" i="21"/>
  <c r="C42" i="21"/>
  <c r="B41" i="21"/>
  <c r="I41" i="21"/>
  <c r="J41" i="21"/>
  <c r="G41" i="21"/>
  <c r="F41" i="21"/>
  <c r="D41" i="21"/>
  <c r="C41" i="21"/>
  <c r="B40" i="21"/>
  <c r="I40" i="21"/>
  <c r="J40" i="21"/>
  <c r="G40" i="21"/>
  <c r="F40" i="21"/>
  <c r="D40" i="21"/>
  <c r="C40" i="21"/>
  <c r="B39" i="21"/>
  <c r="I39" i="21"/>
  <c r="J39" i="21"/>
  <c r="G39" i="21"/>
  <c r="F39" i="21"/>
  <c r="D39" i="21"/>
  <c r="C39" i="21"/>
  <c r="B38" i="21"/>
  <c r="I38" i="21"/>
  <c r="J38" i="21"/>
  <c r="G38" i="21"/>
  <c r="F38" i="21"/>
  <c r="D38" i="21"/>
  <c r="C38" i="21"/>
  <c r="B37" i="21"/>
  <c r="I37" i="21"/>
  <c r="J37" i="21"/>
  <c r="G37" i="21"/>
  <c r="F37" i="21"/>
  <c r="D37" i="21"/>
  <c r="C37" i="21"/>
  <c r="B36" i="21"/>
  <c r="I36" i="21"/>
  <c r="J36" i="21"/>
  <c r="G36" i="21"/>
  <c r="F36" i="21"/>
  <c r="D36" i="21"/>
  <c r="C36" i="21"/>
  <c r="B35" i="21"/>
  <c r="I35" i="21"/>
  <c r="J35" i="21"/>
  <c r="G35" i="21"/>
  <c r="F35" i="21"/>
  <c r="D35" i="21"/>
  <c r="C35" i="21"/>
  <c r="B34" i="21"/>
  <c r="I34" i="21"/>
  <c r="J34" i="21"/>
  <c r="G34" i="21"/>
  <c r="F34" i="21"/>
  <c r="D34" i="21"/>
  <c r="C34" i="21"/>
  <c r="W2" i="7"/>
  <c r="W3" i="7"/>
  <c r="W4" i="7"/>
  <c r="W5" i="7"/>
  <c r="W6" i="7"/>
  <c r="W7" i="7"/>
  <c r="W8" i="7"/>
  <c r="B33" i="21"/>
  <c r="I33" i="21"/>
  <c r="J33" i="21"/>
  <c r="G33" i="21"/>
  <c r="F33" i="21"/>
  <c r="D33" i="21"/>
  <c r="C33" i="21"/>
  <c r="B32" i="21"/>
  <c r="I32" i="21"/>
  <c r="J32" i="21"/>
  <c r="G32" i="21"/>
  <c r="F32" i="21"/>
  <c r="D32" i="21"/>
  <c r="C32" i="21"/>
  <c r="B31" i="21"/>
  <c r="I31" i="21"/>
  <c r="J31" i="21"/>
  <c r="G31" i="21"/>
  <c r="F31" i="21"/>
  <c r="D31" i="21"/>
  <c r="C31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U2" i="7"/>
  <c r="U3" i="7"/>
  <c r="U4" i="7"/>
  <c r="U5" i="7"/>
  <c r="U6" i="7"/>
  <c r="U7" i="7"/>
  <c r="U8" i="7"/>
  <c r="AC31" i="1"/>
  <c r="AC21" i="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2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66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30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M57" i="10"/>
  <c r="T57" i="10"/>
  <c r="W57" i="10"/>
  <c r="V57" i="10"/>
  <c r="X57" i="10"/>
  <c r="U57" i="10"/>
  <c r="Y57" i="10"/>
  <c r="M58" i="10"/>
  <c r="M80" i="10"/>
  <c r="N80" i="10"/>
  <c r="Q80" i="10"/>
  <c r="P80" i="10"/>
  <c r="R80" i="10"/>
  <c r="O80" i="10"/>
  <c r="S80" i="10"/>
  <c r="N58" i="10"/>
  <c r="Q58" i="10"/>
  <c r="P58" i="10"/>
  <c r="R58" i="10"/>
  <c r="O58" i="10"/>
  <c r="S58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M113" i="10"/>
  <c r="T113" i="10"/>
  <c r="W113" i="10"/>
  <c r="V113" i="10"/>
  <c r="X113" i="10"/>
  <c r="U113" i="10"/>
  <c r="Y113" i="10"/>
  <c r="M114" i="10"/>
  <c r="M136" i="10"/>
  <c r="N136" i="10"/>
  <c r="Q136" i="10"/>
  <c r="P136" i="10"/>
  <c r="R136" i="10"/>
  <c r="O136" i="10"/>
  <c r="S136" i="10"/>
  <c r="N114" i="10"/>
  <c r="Q114" i="10"/>
  <c r="P114" i="10"/>
  <c r="R114" i="10"/>
  <c r="O114" i="10"/>
  <c r="S114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T80" i="10"/>
  <c r="W80" i="10"/>
  <c r="V80" i="10"/>
  <c r="X80" i="10"/>
  <c r="U80" i="10"/>
  <c r="Y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T58" i="10"/>
  <c r="W58" i="10"/>
  <c r="V58" i="10"/>
  <c r="X58" i="10"/>
  <c r="U58" i="10"/>
  <c r="Y58" i="10"/>
  <c r="G58" i="10"/>
  <c r="J58" i="10"/>
  <c r="I58" i="10"/>
  <c r="K58" i="10"/>
  <c r="H58" i="10"/>
  <c r="L58" i="10"/>
  <c r="M169" i="10"/>
  <c r="T169" i="10"/>
  <c r="W169" i="10"/>
  <c r="V169" i="10"/>
  <c r="X169" i="10"/>
  <c r="U169" i="10"/>
  <c r="Y169" i="10"/>
  <c r="M200" i="10"/>
  <c r="N200" i="10"/>
  <c r="Q200" i="10"/>
  <c r="P200" i="10"/>
  <c r="R200" i="10"/>
  <c r="O200" i="10"/>
  <c r="S200" i="10"/>
  <c r="M170" i="10"/>
  <c r="N170" i="10"/>
  <c r="Q170" i="10"/>
  <c r="P170" i="10"/>
  <c r="R170" i="10"/>
  <c r="O170" i="10"/>
  <c r="S170" i="10"/>
  <c r="N169" i="10"/>
  <c r="Q169" i="10"/>
  <c r="P169" i="10"/>
  <c r="R169" i="10"/>
  <c r="O169" i="10"/>
  <c r="S169" i="10"/>
  <c r="G169" i="10"/>
  <c r="J169" i="10"/>
  <c r="I169" i="10"/>
  <c r="K169" i="10"/>
  <c r="H169" i="10"/>
  <c r="L169" i="10"/>
  <c r="M168" i="10"/>
  <c r="T168" i="10"/>
  <c r="W168" i="10"/>
  <c r="V168" i="10"/>
  <c r="X168" i="10"/>
  <c r="U168" i="10"/>
  <c r="Y168" i="10"/>
  <c r="N168" i="10"/>
  <c r="Q168" i="10"/>
  <c r="P168" i="10"/>
  <c r="R168" i="10"/>
  <c r="O168" i="10"/>
  <c r="S168" i="10"/>
  <c r="G168" i="10"/>
  <c r="J168" i="10"/>
  <c r="I168" i="10"/>
  <c r="K168" i="10"/>
  <c r="H168" i="10"/>
  <c r="L168" i="10"/>
  <c r="M167" i="10"/>
  <c r="T167" i="10"/>
  <c r="W167" i="10"/>
  <c r="V167" i="10"/>
  <c r="X167" i="10"/>
  <c r="U167" i="10"/>
  <c r="Y167" i="10"/>
  <c r="N167" i="10"/>
  <c r="Q167" i="10"/>
  <c r="P167" i="10"/>
  <c r="R167" i="10"/>
  <c r="O167" i="10"/>
  <c r="S167" i="10"/>
  <c r="G167" i="10"/>
  <c r="J167" i="10"/>
  <c r="I167" i="10"/>
  <c r="K167" i="10"/>
  <c r="H167" i="10"/>
  <c r="L167" i="10"/>
  <c r="M166" i="10"/>
  <c r="T166" i="10"/>
  <c r="W166" i="10"/>
  <c r="V166" i="10"/>
  <c r="X166" i="10"/>
  <c r="U166" i="10"/>
  <c r="Y166" i="10"/>
  <c r="N166" i="10"/>
  <c r="Q166" i="10"/>
  <c r="P166" i="10"/>
  <c r="R166" i="10"/>
  <c r="O166" i="10"/>
  <c r="S166" i="10"/>
  <c r="G166" i="10"/>
  <c r="J166" i="10"/>
  <c r="I166" i="10"/>
  <c r="K166" i="10"/>
  <c r="H166" i="10"/>
  <c r="L166" i="10"/>
  <c r="M165" i="10"/>
  <c r="T165" i="10"/>
  <c r="W165" i="10"/>
  <c r="V165" i="10"/>
  <c r="X165" i="10"/>
  <c r="U165" i="10"/>
  <c r="Y165" i="10"/>
  <c r="N165" i="10"/>
  <c r="Q165" i="10"/>
  <c r="P165" i="10"/>
  <c r="R165" i="10"/>
  <c r="O165" i="10"/>
  <c r="S165" i="10"/>
  <c r="G165" i="10"/>
  <c r="J165" i="10"/>
  <c r="I165" i="10"/>
  <c r="K165" i="10"/>
  <c r="H165" i="10"/>
  <c r="L165" i="10"/>
  <c r="M164" i="10"/>
  <c r="T164" i="10"/>
  <c r="W164" i="10"/>
  <c r="V164" i="10"/>
  <c r="X164" i="10"/>
  <c r="U164" i="10"/>
  <c r="Y164" i="10"/>
  <c r="N164" i="10"/>
  <c r="Q164" i="10"/>
  <c r="P164" i="10"/>
  <c r="R164" i="10"/>
  <c r="O164" i="10"/>
  <c r="S164" i="10"/>
  <c r="G164" i="10"/>
  <c r="J164" i="10"/>
  <c r="I164" i="10"/>
  <c r="K164" i="10"/>
  <c r="H164" i="10"/>
  <c r="L164" i="10"/>
  <c r="M163" i="10"/>
  <c r="T163" i="10"/>
  <c r="W163" i="10"/>
  <c r="V163" i="10"/>
  <c r="X163" i="10"/>
  <c r="U163" i="10"/>
  <c r="Y163" i="10"/>
  <c r="N163" i="10"/>
  <c r="Q163" i="10"/>
  <c r="P163" i="10"/>
  <c r="R163" i="10"/>
  <c r="O163" i="10"/>
  <c r="S163" i="10"/>
  <c r="G163" i="10"/>
  <c r="J163" i="10"/>
  <c r="I163" i="10"/>
  <c r="K163" i="10"/>
  <c r="H163" i="10"/>
  <c r="L163" i="10"/>
  <c r="M162" i="10"/>
  <c r="T162" i="10"/>
  <c r="W162" i="10"/>
  <c r="V162" i="10"/>
  <c r="X162" i="10"/>
  <c r="U162" i="10"/>
  <c r="Y162" i="10"/>
  <c r="N162" i="10"/>
  <c r="Q162" i="10"/>
  <c r="P162" i="10"/>
  <c r="R162" i="10"/>
  <c r="O162" i="10"/>
  <c r="S162" i="10"/>
  <c r="G162" i="10"/>
  <c r="J162" i="10"/>
  <c r="I162" i="10"/>
  <c r="K162" i="10"/>
  <c r="H162" i="10"/>
  <c r="L162" i="10"/>
  <c r="M161" i="10"/>
  <c r="T161" i="10"/>
  <c r="W161" i="10"/>
  <c r="V161" i="10"/>
  <c r="X161" i="10"/>
  <c r="U161" i="10"/>
  <c r="Y161" i="10"/>
  <c r="N161" i="10"/>
  <c r="Q161" i="10"/>
  <c r="P161" i="10"/>
  <c r="R161" i="10"/>
  <c r="O161" i="10"/>
  <c r="S161" i="10"/>
  <c r="G161" i="10"/>
  <c r="J161" i="10"/>
  <c r="I161" i="10"/>
  <c r="K161" i="10"/>
  <c r="H161" i="10"/>
  <c r="L161" i="10"/>
  <c r="M160" i="10"/>
  <c r="T160" i="10"/>
  <c r="W160" i="10"/>
  <c r="V160" i="10"/>
  <c r="X160" i="10"/>
  <c r="U160" i="10"/>
  <c r="Y160" i="10"/>
  <c r="N160" i="10"/>
  <c r="Q160" i="10"/>
  <c r="P160" i="10"/>
  <c r="R160" i="10"/>
  <c r="O160" i="10"/>
  <c r="S160" i="10"/>
  <c r="G160" i="10"/>
  <c r="J160" i="10"/>
  <c r="I160" i="10"/>
  <c r="K160" i="10"/>
  <c r="H160" i="10"/>
  <c r="L160" i="10"/>
  <c r="M159" i="10"/>
  <c r="T159" i="10"/>
  <c r="W159" i="10"/>
  <c r="V159" i="10"/>
  <c r="X159" i="10"/>
  <c r="U159" i="10"/>
  <c r="Y159" i="10"/>
  <c r="N159" i="10"/>
  <c r="Q159" i="10"/>
  <c r="P159" i="10"/>
  <c r="R159" i="10"/>
  <c r="O159" i="10"/>
  <c r="S159" i="10"/>
  <c r="G159" i="10"/>
  <c r="J159" i="10"/>
  <c r="I159" i="10"/>
  <c r="K159" i="10"/>
  <c r="H159" i="10"/>
  <c r="L159" i="10"/>
  <c r="M158" i="10"/>
  <c r="T158" i="10"/>
  <c r="W158" i="10"/>
  <c r="V158" i="10"/>
  <c r="X158" i="10"/>
  <c r="U158" i="10"/>
  <c r="Y158" i="10"/>
  <c r="N158" i="10"/>
  <c r="Q158" i="10"/>
  <c r="P158" i="10"/>
  <c r="R158" i="10"/>
  <c r="O158" i="10"/>
  <c r="S158" i="10"/>
  <c r="G158" i="10"/>
  <c r="J158" i="10"/>
  <c r="I158" i="10"/>
  <c r="K158" i="10"/>
  <c r="H158" i="10"/>
  <c r="L158" i="10"/>
  <c r="M157" i="10"/>
  <c r="T157" i="10"/>
  <c r="W157" i="10"/>
  <c r="V157" i="10"/>
  <c r="X157" i="10"/>
  <c r="U157" i="10"/>
  <c r="Y157" i="10"/>
  <c r="N157" i="10"/>
  <c r="Q157" i="10"/>
  <c r="P157" i="10"/>
  <c r="R157" i="10"/>
  <c r="O157" i="10"/>
  <c r="S157" i="10"/>
  <c r="G157" i="10"/>
  <c r="J157" i="10"/>
  <c r="I157" i="10"/>
  <c r="K157" i="10"/>
  <c r="H157" i="10"/>
  <c r="L157" i="10"/>
  <c r="M156" i="10"/>
  <c r="T156" i="10"/>
  <c r="W156" i="10"/>
  <c r="V156" i="10"/>
  <c r="X156" i="10"/>
  <c r="U156" i="10"/>
  <c r="Y156" i="10"/>
  <c r="N156" i="10"/>
  <c r="Q156" i="10"/>
  <c r="P156" i="10"/>
  <c r="R156" i="10"/>
  <c r="O156" i="10"/>
  <c r="S156" i="10"/>
  <c r="G156" i="10"/>
  <c r="J156" i="10"/>
  <c r="I156" i="10"/>
  <c r="K156" i="10"/>
  <c r="H156" i="10"/>
  <c r="L156" i="10"/>
  <c r="M155" i="10"/>
  <c r="T155" i="10"/>
  <c r="W155" i="10"/>
  <c r="V155" i="10"/>
  <c r="X155" i="10"/>
  <c r="U155" i="10"/>
  <c r="Y155" i="10"/>
  <c r="N155" i="10"/>
  <c r="Q155" i="10"/>
  <c r="P155" i="10"/>
  <c r="R155" i="10"/>
  <c r="O155" i="10"/>
  <c r="S155" i="10"/>
  <c r="G155" i="10"/>
  <c r="J155" i="10"/>
  <c r="I155" i="10"/>
  <c r="K155" i="10"/>
  <c r="H155" i="10"/>
  <c r="L155" i="10"/>
  <c r="M154" i="10"/>
  <c r="T154" i="10"/>
  <c r="W154" i="10"/>
  <c r="V154" i="10"/>
  <c r="X154" i="10"/>
  <c r="U154" i="10"/>
  <c r="Y154" i="10"/>
  <c r="N154" i="10"/>
  <c r="Q154" i="10"/>
  <c r="P154" i="10"/>
  <c r="R154" i="10"/>
  <c r="O154" i="10"/>
  <c r="S154" i="10"/>
  <c r="G154" i="10"/>
  <c r="J154" i="10"/>
  <c r="I154" i="10"/>
  <c r="K154" i="10"/>
  <c r="H154" i="10"/>
  <c r="L154" i="10"/>
  <c r="M153" i="10"/>
  <c r="T153" i="10"/>
  <c r="W153" i="10"/>
  <c r="V153" i="10"/>
  <c r="X153" i="10"/>
  <c r="U153" i="10"/>
  <c r="Y153" i="10"/>
  <c r="N153" i="10"/>
  <c r="Q153" i="10"/>
  <c r="P153" i="10"/>
  <c r="R153" i="10"/>
  <c r="O153" i="10"/>
  <c r="S153" i="10"/>
  <c r="G153" i="10"/>
  <c r="J153" i="10"/>
  <c r="I153" i="10"/>
  <c r="K153" i="10"/>
  <c r="H153" i="10"/>
  <c r="L153" i="10"/>
  <c r="M152" i="10"/>
  <c r="T152" i="10"/>
  <c r="W152" i="10"/>
  <c r="V152" i="10"/>
  <c r="X152" i="10"/>
  <c r="U152" i="10"/>
  <c r="Y152" i="10"/>
  <c r="N152" i="10"/>
  <c r="Q152" i="10"/>
  <c r="P152" i="10"/>
  <c r="R152" i="10"/>
  <c r="O152" i="10"/>
  <c r="S152" i="10"/>
  <c r="G152" i="10"/>
  <c r="J152" i="10"/>
  <c r="I152" i="10"/>
  <c r="K152" i="10"/>
  <c r="H152" i="10"/>
  <c r="L152" i="10"/>
  <c r="M151" i="10"/>
  <c r="T151" i="10"/>
  <c r="W151" i="10"/>
  <c r="V151" i="10"/>
  <c r="X151" i="10"/>
  <c r="U151" i="10"/>
  <c r="Y151" i="10"/>
  <c r="N151" i="10"/>
  <c r="Q151" i="10"/>
  <c r="P151" i="10"/>
  <c r="R151" i="10"/>
  <c r="O151" i="10"/>
  <c r="S151" i="10"/>
  <c r="G151" i="10"/>
  <c r="J151" i="10"/>
  <c r="I151" i="10"/>
  <c r="K151" i="10"/>
  <c r="H151" i="10"/>
  <c r="L151" i="10"/>
  <c r="M150" i="10"/>
  <c r="T150" i="10"/>
  <c r="W150" i="10"/>
  <c r="V150" i="10"/>
  <c r="X150" i="10"/>
  <c r="U150" i="10"/>
  <c r="Y150" i="10"/>
  <c r="N150" i="10"/>
  <c r="Q150" i="10"/>
  <c r="P150" i="10"/>
  <c r="R150" i="10"/>
  <c r="O150" i="10"/>
  <c r="S150" i="10"/>
  <c r="G150" i="10"/>
  <c r="J150" i="10"/>
  <c r="I150" i="10"/>
  <c r="K150" i="10"/>
  <c r="H150" i="10"/>
  <c r="L150" i="10"/>
  <c r="M149" i="10"/>
  <c r="T149" i="10"/>
  <c r="W149" i="10"/>
  <c r="V149" i="10"/>
  <c r="X149" i="10"/>
  <c r="U149" i="10"/>
  <c r="Y149" i="10"/>
  <c r="N149" i="10"/>
  <c r="Q149" i="10"/>
  <c r="P149" i="10"/>
  <c r="R149" i="10"/>
  <c r="O149" i="10"/>
  <c r="S149" i="10"/>
  <c r="G149" i="10"/>
  <c r="J149" i="10"/>
  <c r="I149" i="10"/>
  <c r="K149" i="10"/>
  <c r="H149" i="10"/>
  <c r="L149" i="10"/>
  <c r="M148" i="10"/>
  <c r="T148" i="10"/>
  <c r="W148" i="10"/>
  <c r="V148" i="10"/>
  <c r="X148" i="10"/>
  <c r="U148" i="10"/>
  <c r="Y148" i="10"/>
  <c r="N148" i="10"/>
  <c r="Q148" i="10"/>
  <c r="P148" i="10"/>
  <c r="R148" i="10"/>
  <c r="O148" i="10"/>
  <c r="S148" i="10"/>
  <c r="G148" i="10"/>
  <c r="J148" i="10"/>
  <c r="I148" i="10"/>
  <c r="K148" i="10"/>
  <c r="H148" i="10"/>
  <c r="L148" i="10"/>
  <c r="M147" i="10"/>
  <c r="T147" i="10"/>
  <c r="W147" i="10"/>
  <c r="V147" i="10"/>
  <c r="X147" i="10"/>
  <c r="U147" i="10"/>
  <c r="Y147" i="10"/>
  <c r="N147" i="10"/>
  <c r="Q147" i="10"/>
  <c r="P147" i="10"/>
  <c r="R147" i="10"/>
  <c r="O147" i="10"/>
  <c r="S147" i="10"/>
  <c r="G147" i="10"/>
  <c r="J147" i="10"/>
  <c r="I147" i="10"/>
  <c r="K147" i="10"/>
  <c r="H147" i="10"/>
  <c r="L147" i="10"/>
  <c r="M146" i="10"/>
  <c r="T146" i="10"/>
  <c r="W146" i="10"/>
  <c r="V146" i="10"/>
  <c r="X146" i="10"/>
  <c r="U146" i="10"/>
  <c r="Y146" i="10"/>
  <c r="N146" i="10"/>
  <c r="Q146" i="10"/>
  <c r="P146" i="10"/>
  <c r="R146" i="10"/>
  <c r="O146" i="10"/>
  <c r="S146" i="10"/>
  <c r="G146" i="10"/>
  <c r="J146" i="10"/>
  <c r="I146" i="10"/>
  <c r="K146" i="10"/>
  <c r="H146" i="10"/>
  <c r="L146" i="10"/>
  <c r="M145" i="10"/>
  <c r="T145" i="10"/>
  <c r="W145" i="10"/>
  <c r="V145" i="10"/>
  <c r="X145" i="10"/>
  <c r="U145" i="10"/>
  <c r="Y145" i="10"/>
  <c r="N145" i="10"/>
  <c r="Q145" i="10"/>
  <c r="P145" i="10"/>
  <c r="R145" i="10"/>
  <c r="O145" i="10"/>
  <c r="S145" i="10"/>
  <c r="G145" i="10"/>
  <c r="J145" i="10"/>
  <c r="I145" i="10"/>
  <c r="K145" i="10"/>
  <c r="H145" i="10"/>
  <c r="L145" i="10"/>
  <c r="M144" i="10"/>
  <c r="T144" i="10"/>
  <c r="W144" i="10"/>
  <c r="V144" i="10"/>
  <c r="X144" i="10"/>
  <c r="U144" i="10"/>
  <c r="Y144" i="10"/>
  <c r="N144" i="10"/>
  <c r="Q144" i="10"/>
  <c r="P144" i="10"/>
  <c r="R144" i="10"/>
  <c r="O144" i="10"/>
  <c r="S144" i="10"/>
  <c r="G144" i="10"/>
  <c r="J144" i="10"/>
  <c r="I144" i="10"/>
  <c r="K144" i="10"/>
  <c r="H144" i="10"/>
  <c r="L144" i="10"/>
  <c r="M143" i="10"/>
  <c r="T143" i="10"/>
  <c r="W143" i="10"/>
  <c r="V143" i="10"/>
  <c r="X143" i="10"/>
  <c r="U143" i="10"/>
  <c r="Y143" i="10"/>
  <c r="N143" i="10"/>
  <c r="Q143" i="10"/>
  <c r="P143" i="10"/>
  <c r="R143" i="10"/>
  <c r="O143" i="10"/>
  <c r="S143" i="10"/>
  <c r="G143" i="10"/>
  <c r="J143" i="10"/>
  <c r="I143" i="10"/>
  <c r="K143" i="10"/>
  <c r="H143" i="10"/>
  <c r="L143" i="10"/>
  <c r="M142" i="10"/>
  <c r="T142" i="10"/>
  <c r="W142" i="10"/>
  <c r="V142" i="10"/>
  <c r="X142" i="10"/>
  <c r="U142" i="10"/>
  <c r="Y142" i="10"/>
  <c r="N142" i="10"/>
  <c r="Q142" i="10"/>
  <c r="P142" i="10"/>
  <c r="R142" i="10"/>
  <c r="O142" i="10"/>
  <c r="S142" i="10"/>
  <c r="G142" i="10"/>
  <c r="J142" i="10"/>
  <c r="I142" i="10"/>
  <c r="K142" i="10"/>
  <c r="H142" i="10"/>
  <c r="L142" i="10"/>
  <c r="M141" i="10"/>
  <c r="T141" i="10"/>
  <c r="W141" i="10"/>
  <c r="V141" i="10"/>
  <c r="X141" i="10"/>
  <c r="U141" i="10"/>
  <c r="Y141" i="10"/>
  <c r="N141" i="10"/>
  <c r="Q141" i="10"/>
  <c r="P141" i="10"/>
  <c r="R141" i="10"/>
  <c r="O141" i="10"/>
  <c r="S141" i="10"/>
  <c r="G141" i="10"/>
  <c r="J141" i="10"/>
  <c r="I141" i="10"/>
  <c r="K141" i="10"/>
  <c r="H141" i="10"/>
  <c r="L141" i="10"/>
  <c r="M140" i="10"/>
  <c r="T140" i="10"/>
  <c r="W140" i="10"/>
  <c r="V140" i="10"/>
  <c r="X140" i="10"/>
  <c r="U140" i="10"/>
  <c r="Y140" i="10"/>
  <c r="N140" i="10"/>
  <c r="Q140" i="10"/>
  <c r="P140" i="10"/>
  <c r="R140" i="10"/>
  <c r="O140" i="10"/>
  <c r="S140" i="10"/>
  <c r="G140" i="10"/>
  <c r="J140" i="10"/>
  <c r="I140" i="10"/>
  <c r="K140" i="10"/>
  <c r="H140" i="10"/>
  <c r="L140" i="10"/>
  <c r="M139" i="10"/>
  <c r="T139" i="10"/>
  <c r="W139" i="10"/>
  <c r="V139" i="10"/>
  <c r="X139" i="10"/>
  <c r="U139" i="10"/>
  <c r="Y139" i="10"/>
  <c r="N139" i="10"/>
  <c r="Q139" i="10"/>
  <c r="P139" i="10"/>
  <c r="R139" i="10"/>
  <c r="O139" i="10"/>
  <c r="S139" i="10"/>
  <c r="G139" i="10"/>
  <c r="J139" i="10"/>
  <c r="I139" i="10"/>
  <c r="K139" i="10"/>
  <c r="H139" i="10"/>
  <c r="L139" i="10"/>
  <c r="M138" i="10"/>
  <c r="T138" i="10"/>
  <c r="W138" i="10"/>
  <c r="V138" i="10"/>
  <c r="X138" i="10"/>
  <c r="U138" i="10"/>
  <c r="Y138" i="10"/>
  <c r="N138" i="10"/>
  <c r="Q138" i="10"/>
  <c r="P138" i="10"/>
  <c r="R138" i="10"/>
  <c r="O138" i="10"/>
  <c r="S138" i="10"/>
  <c r="G138" i="10"/>
  <c r="J138" i="10"/>
  <c r="I138" i="10"/>
  <c r="K138" i="10"/>
  <c r="H138" i="10"/>
  <c r="L138" i="10"/>
  <c r="M137" i="10"/>
  <c r="T137" i="10"/>
  <c r="W137" i="10"/>
  <c r="V137" i="10"/>
  <c r="X137" i="10"/>
  <c r="U137" i="10"/>
  <c r="Y137" i="10"/>
  <c r="N137" i="10"/>
  <c r="Q137" i="10"/>
  <c r="P137" i="10"/>
  <c r="R137" i="10"/>
  <c r="O137" i="10"/>
  <c r="S137" i="10"/>
  <c r="G137" i="10"/>
  <c r="J137" i="10"/>
  <c r="I137" i="10"/>
  <c r="K137" i="10"/>
  <c r="H137" i="10"/>
  <c r="L137" i="10"/>
  <c r="T136" i="10"/>
  <c r="W136" i="10"/>
  <c r="V136" i="10"/>
  <c r="X136" i="10"/>
  <c r="U136" i="10"/>
  <c r="Y136" i="10"/>
  <c r="G136" i="10"/>
  <c r="J136" i="10"/>
  <c r="I136" i="10"/>
  <c r="K136" i="10"/>
  <c r="H136" i="10"/>
  <c r="L136" i="10"/>
  <c r="M135" i="10"/>
  <c r="T135" i="10"/>
  <c r="W135" i="10"/>
  <c r="V135" i="10"/>
  <c r="X135" i="10"/>
  <c r="U135" i="10"/>
  <c r="Y135" i="10"/>
  <c r="N135" i="10"/>
  <c r="Q135" i="10"/>
  <c r="P135" i="10"/>
  <c r="R135" i="10"/>
  <c r="O135" i="10"/>
  <c r="S135" i="10"/>
  <c r="G135" i="10"/>
  <c r="J135" i="10"/>
  <c r="I135" i="10"/>
  <c r="K135" i="10"/>
  <c r="H135" i="10"/>
  <c r="L135" i="10"/>
  <c r="M134" i="10"/>
  <c r="T134" i="10"/>
  <c r="W134" i="10"/>
  <c r="V134" i="10"/>
  <c r="X134" i="10"/>
  <c r="U134" i="10"/>
  <c r="Y134" i="10"/>
  <c r="N134" i="10"/>
  <c r="Q134" i="10"/>
  <c r="P134" i="10"/>
  <c r="R134" i="10"/>
  <c r="O134" i="10"/>
  <c r="S134" i="10"/>
  <c r="G134" i="10"/>
  <c r="J134" i="10"/>
  <c r="I134" i="10"/>
  <c r="K134" i="10"/>
  <c r="H134" i="10"/>
  <c r="L134" i="10"/>
  <c r="M133" i="10"/>
  <c r="T133" i="10"/>
  <c r="W133" i="10"/>
  <c r="V133" i="10"/>
  <c r="X133" i="10"/>
  <c r="U133" i="10"/>
  <c r="Y133" i="10"/>
  <c r="N133" i="10"/>
  <c r="Q133" i="10"/>
  <c r="P133" i="10"/>
  <c r="R133" i="10"/>
  <c r="O133" i="10"/>
  <c r="S133" i="10"/>
  <c r="G133" i="10"/>
  <c r="J133" i="10"/>
  <c r="I133" i="10"/>
  <c r="K133" i="10"/>
  <c r="H133" i="10"/>
  <c r="L133" i="10"/>
  <c r="M132" i="10"/>
  <c r="T132" i="10"/>
  <c r="W132" i="10"/>
  <c r="V132" i="10"/>
  <c r="X132" i="10"/>
  <c r="U132" i="10"/>
  <c r="Y132" i="10"/>
  <c r="N132" i="10"/>
  <c r="Q132" i="10"/>
  <c r="P132" i="10"/>
  <c r="R132" i="10"/>
  <c r="O132" i="10"/>
  <c r="S132" i="10"/>
  <c r="G132" i="10"/>
  <c r="J132" i="10"/>
  <c r="I132" i="10"/>
  <c r="K132" i="10"/>
  <c r="H132" i="10"/>
  <c r="L132" i="10"/>
  <c r="M131" i="10"/>
  <c r="T131" i="10"/>
  <c r="W131" i="10"/>
  <c r="V131" i="10"/>
  <c r="X131" i="10"/>
  <c r="U131" i="10"/>
  <c r="Y131" i="10"/>
  <c r="N131" i="10"/>
  <c r="Q131" i="10"/>
  <c r="P131" i="10"/>
  <c r="R131" i="10"/>
  <c r="O131" i="10"/>
  <c r="S131" i="10"/>
  <c r="G131" i="10"/>
  <c r="J131" i="10"/>
  <c r="I131" i="10"/>
  <c r="K131" i="10"/>
  <c r="H131" i="10"/>
  <c r="L131" i="10"/>
  <c r="M130" i="10"/>
  <c r="T130" i="10"/>
  <c r="W130" i="10"/>
  <c r="V130" i="10"/>
  <c r="X130" i="10"/>
  <c r="U130" i="10"/>
  <c r="Y130" i="10"/>
  <c r="N130" i="10"/>
  <c r="Q130" i="10"/>
  <c r="P130" i="10"/>
  <c r="R130" i="10"/>
  <c r="O130" i="10"/>
  <c r="S130" i="10"/>
  <c r="G130" i="10"/>
  <c r="J130" i="10"/>
  <c r="I130" i="10"/>
  <c r="K130" i="10"/>
  <c r="H130" i="10"/>
  <c r="L130" i="10"/>
  <c r="M129" i="10"/>
  <c r="T129" i="10"/>
  <c r="W129" i="10"/>
  <c r="V129" i="10"/>
  <c r="X129" i="10"/>
  <c r="U129" i="10"/>
  <c r="Y129" i="10"/>
  <c r="N129" i="10"/>
  <c r="Q129" i="10"/>
  <c r="P129" i="10"/>
  <c r="R129" i="10"/>
  <c r="O129" i="10"/>
  <c r="S129" i="10"/>
  <c r="G129" i="10"/>
  <c r="J129" i="10"/>
  <c r="I129" i="10"/>
  <c r="K129" i="10"/>
  <c r="H129" i="10"/>
  <c r="L129" i="10"/>
  <c r="M128" i="10"/>
  <c r="T128" i="10"/>
  <c r="W128" i="10"/>
  <c r="V128" i="10"/>
  <c r="X128" i="10"/>
  <c r="U128" i="10"/>
  <c r="Y128" i="10"/>
  <c r="N128" i="10"/>
  <c r="Q128" i="10"/>
  <c r="P128" i="10"/>
  <c r="R128" i="10"/>
  <c r="O128" i="10"/>
  <c r="S128" i="10"/>
  <c r="G128" i="10"/>
  <c r="J128" i="10"/>
  <c r="I128" i="10"/>
  <c r="K128" i="10"/>
  <c r="H128" i="10"/>
  <c r="L128" i="10"/>
  <c r="M127" i="10"/>
  <c r="T127" i="10"/>
  <c r="W127" i="10"/>
  <c r="V127" i="10"/>
  <c r="X127" i="10"/>
  <c r="U127" i="10"/>
  <c r="Y127" i="10"/>
  <c r="N127" i="10"/>
  <c r="Q127" i="10"/>
  <c r="P127" i="10"/>
  <c r="R127" i="10"/>
  <c r="O127" i="10"/>
  <c r="S127" i="10"/>
  <c r="G127" i="10"/>
  <c r="J127" i="10"/>
  <c r="I127" i="10"/>
  <c r="K127" i="10"/>
  <c r="H127" i="10"/>
  <c r="L127" i="10"/>
  <c r="M126" i="10"/>
  <c r="T126" i="10"/>
  <c r="W126" i="10"/>
  <c r="V126" i="10"/>
  <c r="X126" i="10"/>
  <c r="U126" i="10"/>
  <c r="Y126" i="10"/>
  <c r="N126" i="10"/>
  <c r="Q126" i="10"/>
  <c r="P126" i="10"/>
  <c r="R126" i="10"/>
  <c r="O126" i="10"/>
  <c r="S126" i="10"/>
  <c r="G126" i="10"/>
  <c r="J126" i="10"/>
  <c r="I126" i="10"/>
  <c r="K126" i="10"/>
  <c r="H126" i="10"/>
  <c r="L126" i="10"/>
  <c r="M125" i="10"/>
  <c r="T125" i="10"/>
  <c r="W125" i="10"/>
  <c r="V125" i="10"/>
  <c r="X125" i="10"/>
  <c r="U125" i="10"/>
  <c r="Y125" i="10"/>
  <c r="N125" i="10"/>
  <c r="Q125" i="10"/>
  <c r="P125" i="10"/>
  <c r="R125" i="10"/>
  <c r="O125" i="10"/>
  <c r="S125" i="10"/>
  <c r="G125" i="10"/>
  <c r="J125" i="10"/>
  <c r="I125" i="10"/>
  <c r="K125" i="10"/>
  <c r="H125" i="10"/>
  <c r="L125" i="10"/>
  <c r="M124" i="10"/>
  <c r="T124" i="10"/>
  <c r="W124" i="10"/>
  <c r="V124" i="10"/>
  <c r="X124" i="10"/>
  <c r="U124" i="10"/>
  <c r="Y124" i="10"/>
  <c r="N124" i="10"/>
  <c r="Q124" i="10"/>
  <c r="P124" i="10"/>
  <c r="R124" i="10"/>
  <c r="O124" i="10"/>
  <c r="S124" i="10"/>
  <c r="G124" i="10"/>
  <c r="J124" i="10"/>
  <c r="I124" i="10"/>
  <c r="K124" i="10"/>
  <c r="H124" i="10"/>
  <c r="L124" i="10"/>
  <c r="M123" i="10"/>
  <c r="T123" i="10"/>
  <c r="W123" i="10"/>
  <c r="V123" i="10"/>
  <c r="X123" i="10"/>
  <c r="U123" i="10"/>
  <c r="Y123" i="10"/>
  <c r="N123" i="10"/>
  <c r="Q123" i="10"/>
  <c r="P123" i="10"/>
  <c r="R123" i="10"/>
  <c r="O123" i="10"/>
  <c r="S123" i="10"/>
  <c r="G123" i="10"/>
  <c r="J123" i="10"/>
  <c r="I123" i="10"/>
  <c r="K123" i="10"/>
  <c r="H123" i="10"/>
  <c r="L123" i="10"/>
  <c r="M122" i="10"/>
  <c r="T122" i="10"/>
  <c r="W122" i="10"/>
  <c r="V122" i="10"/>
  <c r="X122" i="10"/>
  <c r="U122" i="10"/>
  <c r="Y122" i="10"/>
  <c r="N122" i="10"/>
  <c r="Q122" i="10"/>
  <c r="P122" i="10"/>
  <c r="R122" i="10"/>
  <c r="O122" i="10"/>
  <c r="S122" i="10"/>
  <c r="G122" i="10"/>
  <c r="J122" i="10"/>
  <c r="I122" i="10"/>
  <c r="K122" i="10"/>
  <c r="H122" i="10"/>
  <c r="L122" i="10"/>
  <c r="M121" i="10"/>
  <c r="T121" i="10"/>
  <c r="W121" i="10"/>
  <c r="V121" i="10"/>
  <c r="X121" i="10"/>
  <c r="U121" i="10"/>
  <c r="Y121" i="10"/>
  <c r="N121" i="10"/>
  <c r="Q121" i="10"/>
  <c r="P121" i="10"/>
  <c r="R121" i="10"/>
  <c r="O121" i="10"/>
  <c r="S121" i="10"/>
  <c r="G121" i="10"/>
  <c r="J121" i="10"/>
  <c r="I121" i="10"/>
  <c r="K121" i="10"/>
  <c r="H121" i="10"/>
  <c r="L121" i="10"/>
  <c r="M120" i="10"/>
  <c r="T120" i="10"/>
  <c r="W120" i="10"/>
  <c r="V120" i="10"/>
  <c r="X120" i="10"/>
  <c r="U120" i="10"/>
  <c r="Y120" i="10"/>
  <c r="N120" i="10"/>
  <c r="Q120" i="10"/>
  <c r="P120" i="10"/>
  <c r="R120" i="10"/>
  <c r="O120" i="10"/>
  <c r="S120" i="10"/>
  <c r="G120" i="10"/>
  <c r="J120" i="10"/>
  <c r="I120" i="10"/>
  <c r="K120" i="10"/>
  <c r="H120" i="10"/>
  <c r="L120" i="10"/>
  <c r="M119" i="10"/>
  <c r="T119" i="10"/>
  <c r="W119" i="10"/>
  <c r="V119" i="10"/>
  <c r="X119" i="10"/>
  <c r="U119" i="10"/>
  <c r="Y119" i="10"/>
  <c r="N119" i="10"/>
  <c r="Q119" i="10"/>
  <c r="P119" i="10"/>
  <c r="R119" i="10"/>
  <c r="O119" i="10"/>
  <c r="S119" i="10"/>
  <c r="G119" i="10"/>
  <c r="J119" i="10"/>
  <c r="I119" i="10"/>
  <c r="K119" i="10"/>
  <c r="H119" i="10"/>
  <c r="L119" i="10"/>
  <c r="M118" i="10"/>
  <c r="T118" i="10"/>
  <c r="W118" i="10"/>
  <c r="V118" i="10"/>
  <c r="X118" i="10"/>
  <c r="U118" i="10"/>
  <c r="Y118" i="10"/>
  <c r="N118" i="10"/>
  <c r="Q118" i="10"/>
  <c r="P118" i="10"/>
  <c r="R118" i="10"/>
  <c r="O118" i="10"/>
  <c r="S118" i="10"/>
  <c r="G118" i="10"/>
  <c r="J118" i="10"/>
  <c r="I118" i="10"/>
  <c r="K118" i="10"/>
  <c r="H118" i="10"/>
  <c r="L118" i="10"/>
  <c r="M117" i="10"/>
  <c r="T117" i="10"/>
  <c r="W117" i="10"/>
  <c r="V117" i="10"/>
  <c r="X117" i="10"/>
  <c r="U117" i="10"/>
  <c r="Y117" i="10"/>
  <c r="N117" i="10"/>
  <c r="Q117" i="10"/>
  <c r="P117" i="10"/>
  <c r="R117" i="10"/>
  <c r="O117" i="10"/>
  <c r="S117" i="10"/>
  <c r="G117" i="10"/>
  <c r="J117" i="10"/>
  <c r="I117" i="10"/>
  <c r="K117" i="10"/>
  <c r="H117" i="10"/>
  <c r="L117" i="10"/>
  <c r="M116" i="10"/>
  <c r="T116" i="10"/>
  <c r="W116" i="10"/>
  <c r="V116" i="10"/>
  <c r="X116" i="10"/>
  <c r="U116" i="10"/>
  <c r="Y116" i="10"/>
  <c r="N116" i="10"/>
  <c r="Q116" i="10"/>
  <c r="P116" i="10"/>
  <c r="R116" i="10"/>
  <c r="O116" i="10"/>
  <c r="S116" i="10"/>
  <c r="G116" i="10"/>
  <c r="J116" i="10"/>
  <c r="I116" i="10"/>
  <c r="K116" i="10"/>
  <c r="H116" i="10"/>
  <c r="L116" i="10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T114" i="10"/>
  <c r="W114" i="10"/>
  <c r="V114" i="10"/>
  <c r="X114" i="10"/>
  <c r="U114" i="10"/>
  <c r="Y114" i="10"/>
  <c r="G114" i="10"/>
  <c r="J114" i="10"/>
  <c r="I114" i="10"/>
  <c r="K114" i="10"/>
  <c r="H114" i="10"/>
  <c r="L114" i="10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O2" i="9"/>
  <c r="N2" i="9"/>
  <c r="M2" i="9"/>
  <c r="L2" i="9"/>
  <c r="K2" i="9"/>
  <c r="J2" i="9"/>
  <c r="I2" i="9"/>
  <c r="H2" i="9"/>
  <c r="G2" i="9"/>
  <c r="E2" i="9"/>
  <c r="D2" i="9"/>
  <c r="A2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70" i="9"/>
  <c r="N70" i="9"/>
  <c r="M70" i="9"/>
  <c r="L70" i="9"/>
  <c r="K70" i="9"/>
  <c r="J70" i="9"/>
  <c r="I70" i="9"/>
  <c r="H70" i="9"/>
  <c r="G70" i="9"/>
  <c r="E70" i="9"/>
  <c r="D70" i="9"/>
  <c r="A70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193" i="9"/>
  <c r="N193" i="9"/>
  <c r="M193" i="9"/>
  <c r="L193" i="9"/>
  <c r="K193" i="9"/>
  <c r="J193" i="9"/>
  <c r="I193" i="9"/>
  <c r="H193" i="9"/>
  <c r="G193" i="9"/>
  <c r="E193" i="9"/>
  <c r="D193" i="9"/>
  <c r="A193" i="9"/>
  <c r="O192" i="9"/>
  <c r="N192" i="9"/>
  <c r="M192" i="9"/>
  <c r="L192" i="9"/>
  <c r="K192" i="9"/>
  <c r="J192" i="9"/>
  <c r="I192" i="9"/>
  <c r="H192" i="9"/>
  <c r="G192" i="9"/>
  <c r="E192" i="9"/>
  <c r="D192" i="9"/>
  <c r="A192" i="9"/>
  <c r="O191" i="9"/>
  <c r="N191" i="9"/>
  <c r="M191" i="9"/>
  <c r="L191" i="9"/>
  <c r="K191" i="9"/>
  <c r="J191" i="9"/>
  <c r="I191" i="9"/>
  <c r="H191" i="9"/>
  <c r="G191" i="9"/>
  <c r="E191" i="9"/>
  <c r="D191" i="9"/>
  <c r="A191" i="9"/>
  <c r="O190" i="9"/>
  <c r="N190" i="9"/>
  <c r="M190" i="9"/>
  <c r="L190" i="9"/>
  <c r="K190" i="9"/>
  <c r="J190" i="9"/>
  <c r="I190" i="9"/>
  <c r="H190" i="9"/>
  <c r="G190" i="9"/>
  <c r="E190" i="9"/>
  <c r="D190" i="9"/>
  <c r="A190" i="9"/>
  <c r="O189" i="9"/>
  <c r="N189" i="9"/>
  <c r="M189" i="9"/>
  <c r="L189" i="9"/>
  <c r="K189" i="9"/>
  <c r="J189" i="9"/>
  <c r="I189" i="9"/>
  <c r="H189" i="9"/>
  <c r="G189" i="9"/>
  <c r="E189" i="9"/>
  <c r="D189" i="9"/>
  <c r="A189" i="9"/>
  <c r="O188" i="9"/>
  <c r="N188" i="9"/>
  <c r="M188" i="9"/>
  <c r="L188" i="9"/>
  <c r="K188" i="9"/>
  <c r="J188" i="9"/>
  <c r="I188" i="9"/>
  <c r="H188" i="9"/>
  <c r="G188" i="9"/>
  <c r="E188" i="9"/>
  <c r="D188" i="9"/>
  <c r="A188" i="9"/>
  <c r="O187" i="9"/>
  <c r="N187" i="9"/>
  <c r="M187" i="9"/>
  <c r="L187" i="9"/>
  <c r="K187" i="9"/>
  <c r="J187" i="9"/>
  <c r="I187" i="9"/>
  <c r="H187" i="9"/>
  <c r="G187" i="9"/>
  <c r="E187" i="9"/>
  <c r="D187" i="9"/>
  <c r="A187" i="9"/>
  <c r="O186" i="9"/>
  <c r="N186" i="9"/>
  <c r="M186" i="9"/>
  <c r="L186" i="9"/>
  <c r="K186" i="9"/>
  <c r="J186" i="9"/>
  <c r="I186" i="9"/>
  <c r="H186" i="9"/>
  <c r="G186" i="9"/>
  <c r="E186" i="9"/>
  <c r="D186" i="9"/>
  <c r="A186" i="9"/>
  <c r="O185" i="9"/>
  <c r="N185" i="9"/>
  <c r="M185" i="9"/>
  <c r="L185" i="9"/>
  <c r="K185" i="9"/>
  <c r="J185" i="9"/>
  <c r="I185" i="9"/>
  <c r="H185" i="9"/>
  <c r="G185" i="9"/>
  <c r="E185" i="9"/>
  <c r="D185" i="9"/>
  <c r="A185" i="9"/>
  <c r="O184" i="9"/>
  <c r="N184" i="9"/>
  <c r="M184" i="9"/>
  <c r="L184" i="9"/>
  <c r="K184" i="9"/>
  <c r="J184" i="9"/>
  <c r="I184" i="9"/>
  <c r="H184" i="9"/>
  <c r="G184" i="9"/>
  <c r="E184" i="9"/>
  <c r="D184" i="9"/>
  <c r="A184" i="9"/>
  <c r="O183" i="9"/>
  <c r="N183" i="9"/>
  <c r="M183" i="9"/>
  <c r="L183" i="9"/>
  <c r="K183" i="9"/>
  <c r="J183" i="9"/>
  <c r="I183" i="9"/>
  <c r="H183" i="9"/>
  <c r="G183" i="9"/>
  <c r="E183" i="9"/>
  <c r="D183" i="9"/>
  <c r="A183" i="9"/>
  <c r="O182" i="9"/>
  <c r="N182" i="9"/>
  <c r="M182" i="9"/>
  <c r="L182" i="9"/>
  <c r="K182" i="9"/>
  <c r="J182" i="9"/>
  <c r="I182" i="9"/>
  <c r="H182" i="9"/>
  <c r="G182" i="9"/>
  <c r="E182" i="9"/>
  <c r="D182" i="9"/>
  <c r="A182" i="9"/>
  <c r="O181" i="9"/>
  <c r="N181" i="9"/>
  <c r="M181" i="9"/>
  <c r="L181" i="9"/>
  <c r="K181" i="9"/>
  <c r="J181" i="9"/>
  <c r="I181" i="9"/>
  <c r="H181" i="9"/>
  <c r="G181" i="9"/>
  <c r="E181" i="9"/>
  <c r="D181" i="9"/>
  <c r="A181" i="9"/>
  <c r="O180" i="9"/>
  <c r="N180" i="9"/>
  <c r="M180" i="9"/>
  <c r="L180" i="9"/>
  <c r="K180" i="9"/>
  <c r="J180" i="9"/>
  <c r="I180" i="9"/>
  <c r="H180" i="9"/>
  <c r="G180" i="9"/>
  <c r="E180" i="9"/>
  <c r="D180" i="9"/>
  <c r="A180" i="9"/>
  <c r="O179" i="9"/>
  <c r="N179" i="9"/>
  <c r="M179" i="9"/>
  <c r="L179" i="9"/>
  <c r="K179" i="9"/>
  <c r="J179" i="9"/>
  <c r="I179" i="9"/>
  <c r="H179" i="9"/>
  <c r="G179" i="9"/>
  <c r="E179" i="9"/>
  <c r="D179" i="9"/>
  <c r="A179" i="9"/>
  <c r="O178" i="9"/>
  <c r="N178" i="9"/>
  <c r="M178" i="9"/>
  <c r="L178" i="9"/>
  <c r="K178" i="9"/>
  <c r="J178" i="9"/>
  <c r="I178" i="9"/>
  <c r="H178" i="9"/>
  <c r="G178" i="9"/>
  <c r="E178" i="9"/>
  <c r="D178" i="9"/>
  <c r="A178" i="9"/>
  <c r="O177" i="9"/>
  <c r="N177" i="9"/>
  <c r="M177" i="9"/>
  <c r="L177" i="9"/>
  <c r="K177" i="9"/>
  <c r="J177" i="9"/>
  <c r="I177" i="9"/>
  <c r="H177" i="9"/>
  <c r="G177" i="9"/>
  <c r="E177" i="9"/>
  <c r="D177" i="9"/>
  <c r="A177" i="9"/>
  <c r="O176" i="9"/>
  <c r="N176" i="9"/>
  <c r="M176" i="9"/>
  <c r="L176" i="9"/>
  <c r="K176" i="9"/>
  <c r="J176" i="9"/>
  <c r="I176" i="9"/>
  <c r="H176" i="9"/>
  <c r="G176" i="9"/>
  <c r="E176" i="9"/>
  <c r="D176" i="9"/>
  <c r="A176" i="9"/>
  <c r="O175" i="9"/>
  <c r="N175" i="9"/>
  <c r="M175" i="9"/>
  <c r="L175" i="9"/>
  <c r="K175" i="9"/>
  <c r="J175" i="9"/>
  <c r="I175" i="9"/>
  <c r="H175" i="9"/>
  <c r="G175" i="9"/>
  <c r="E175" i="9"/>
  <c r="D175" i="9"/>
  <c r="A175" i="9"/>
  <c r="O174" i="9"/>
  <c r="N174" i="9"/>
  <c r="M174" i="9"/>
  <c r="L174" i="9"/>
  <c r="K174" i="9"/>
  <c r="J174" i="9"/>
  <c r="I174" i="9"/>
  <c r="H174" i="9"/>
  <c r="G174" i="9"/>
  <c r="E174" i="9"/>
  <c r="D174" i="9"/>
  <c r="A174" i="9"/>
  <c r="O173" i="9"/>
  <c r="N173" i="9"/>
  <c r="M173" i="9"/>
  <c r="L173" i="9"/>
  <c r="K173" i="9"/>
  <c r="J173" i="9"/>
  <c r="I173" i="9"/>
  <c r="H173" i="9"/>
  <c r="G173" i="9"/>
  <c r="E173" i="9"/>
  <c r="D173" i="9"/>
  <c r="A173" i="9"/>
  <c r="O172" i="9"/>
  <c r="N172" i="9"/>
  <c r="M172" i="9"/>
  <c r="L172" i="9"/>
  <c r="K172" i="9"/>
  <c r="J172" i="9"/>
  <c r="I172" i="9"/>
  <c r="H172" i="9"/>
  <c r="G172" i="9"/>
  <c r="E172" i="9"/>
  <c r="D172" i="9"/>
  <c r="A172" i="9"/>
  <c r="O171" i="9"/>
  <c r="N171" i="9"/>
  <c r="M171" i="9"/>
  <c r="L171" i="9"/>
  <c r="K171" i="9"/>
  <c r="J171" i="9"/>
  <c r="I171" i="9"/>
  <c r="H171" i="9"/>
  <c r="G171" i="9"/>
  <c r="E171" i="9"/>
  <c r="D171" i="9"/>
  <c r="A171" i="9"/>
  <c r="O170" i="9"/>
  <c r="N170" i="9"/>
  <c r="M170" i="9"/>
  <c r="L170" i="9"/>
  <c r="K170" i="9"/>
  <c r="J170" i="9"/>
  <c r="I170" i="9"/>
  <c r="H170" i="9"/>
  <c r="G170" i="9"/>
  <c r="E170" i="9"/>
  <c r="D170" i="9"/>
  <c r="A170" i="9"/>
  <c r="O169" i="9"/>
  <c r="N169" i="9"/>
  <c r="M169" i="9"/>
  <c r="L169" i="9"/>
  <c r="K169" i="9"/>
  <c r="J169" i="9"/>
  <c r="I169" i="9"/>
  <c r="H169" i="9"/>
  <c r="G169" i="9"/>
  <c r="E169" i="9"/>
  <c r="D169" i="9"/>
  <c r="A169" i="9"/>
  <c r="O168" i="9"/>
  <c r="N168" i="9"/>
  <c r="M168" i="9"/>
  <c r="L168" i="9"/>
  <c r="K168" i="9"/>
  <c r="J168" i="9"/>
  <c r="I168" i="9"/>
  <c r="H168" i="9"/>
  <c r="G168" i="9"/>
  <c r="E168" i="9"/>
  <c r="D168" i="9"/>
  <c r="A168" i="9"/>
  <c r="O167" i="9"/>
  <c r="N167" i="9"/>
  <c r="M167" i="9"/>
  <c r="L167" i="9"/>
  <c r="K167" i="9"/>
  <c r="J167" i="9"/>
  <c r="I167" i="9"/>
  <c r="H167" i="9"/>
  <c r="G167" i="9"/>
  <c r="E167" i="9"/>
  <c r="D167" i="9"/>
  <c r="A167" i="9"/>
  <c r="O166" i="9"/>
  <c r="N166" i="9"/>
  <c r="M166" i="9"/>
  <c r="L166" i="9"/>
  <c r="K166" i="9"/>
  <c r="J166" i="9"/>
  <c r="I166" i="9"/>
  <c r="H166" i="9"/>
  <c r="G166" i="9"/>
  <c r="E166" i="9"/>
  <c r="D166" i="9"/>
  <c r="A166" i="9"/>
  <c r="O165" i="9"/>
  <c r="N165" i="9"/>
  <c r="M165" i="9"/>
  <c r="L165" i="9"/>
  <c r="K165" i="9"/>
  <c r="J165" i="9"/>
  <c r="I165" i="9"/>
  <c r="H165" i="9"/>
  <c r="G165" i="9"/>
  <c r="E165" i="9"/>
  <c r="D165" i="9"/>
  <c r="A165" i="9"/>
  <c r="O164" i="9"/>
  <c r="N164" i="9"/>
  <c r="M164" i="9"/>
  <c r="L164" i="9"/>
  <c r="K164" i="9"/>
  <c r="J164" i="9"/>
  <c r="I164" i="9"/>
  <c r="H164" i="9"/>
  <c r="G164" i="9"/>
  <c r="E164" i="9"/>
  <c r="D164" i="9"/>
  <c r="A164" i="9"/>
  <c r="O163" i="9"/>
  <c r="N163" i="9"/>
  <c r="M163" i="9"/>
  <c r="L163" i="9"/>
  <c r="K163" i="9"/>
  <c r="J163" i="9"/>
  <c r="I163" i="9"/>
  <c r="H163" i="9"/>
  <c r="G163" i="9"/>
  <c r="E163" i="9"/>
  <c r="D163" i="9"/>
  <c r="A163" i="9"/>
  <c r="O162" i="9"/>
  <c r="N162" i="9"/>
  <c r="M162" i="9"/>
  <c r="L162" i="9"/>
  <c r="K162" i="9"/>
  <c r="J162" i="9"/>
  <c r="I162" i="9"/>
  <c r="H162" i="9"/>
  <c r="G162" i="9"/>
  <c r="E162" i="9"/>
  <c r="D162" i="9"/>
  <c r="A162" i="9"/>
  <c r="O161" i="9"/>
  <c r="N161" i="9"/>
  <c r="M161" i="9"/>
  <c r="L161" i="9"/>
  <c r="K161" i="9"/>
  <c r="J161" i="9"/>
  <c r="I161" i="9"/>
  <c r="H161" i="9"/>
  <c r="G161" i="9"/>
  <c r="E161" i="9"/>
  <c r="D161" i="9"/>
  <c r="A161" i="9"/>
  <c r="O160" i="9"/>
  <c r="N160" i="9"/>
  <c r="M160" i="9"/>
  <c r="L160" i="9"/>
  <c r="K160" i="9"/>
  <c r="J160" i="9"/>
  <c r="I160" i="9"/>
  <c r="H160" i="9"/>
  <c r="G160" i="9"/>
  <c r="E160" i="9"/>
  <c r="D160" i="9"/>
  <c r="A160" i="9"/>
  <c r="O159" i="9"/>
  <c r="N159" i="9"/>
  <c r="M159" i="9"/>
  <c r="L159" i="9"/>
  <c r="K159" i="9"/>
  <c r="J159" i="9"/>
  <c r="I159" i="9"/>
  <c r="H159" i="9"/>
  <c r="G159" i="9"/>
  <c r="E159" i="9"/>
  <c r="D159" i="9"/>
  <c r="A159" i="9"/>
  <c r="O158" i="9"/>
  <c r="N158" i="9"/>
  <c r="M158" i="9"/>
  <c r="L158" i="9"/>
  <c r="K158" i="9"/>
  <c r="J158" i="9"/>
  <c r="I158" i="9"/>
  <c r="H158" i="9"/>
  <c r="G158" i="9"/>
  <c r="E158" i="9"/>
  <c r="D158" i="9"/>
  <c r="A158" i="9"/>
  <c r="O157" i="9"/>
  <c r="N157" i="9"/>
  <c r="M157" i="9"/>
  <c r="L157" i="9"/>
  <c r="K157" i="9"/>
  <c r="J157" i="9"/>
  <c r="I157" i="9"/>
  <c r="H157" i="9"/>
  <c r="G157" i="9"/>
  <c r="E157" i="9"/>
  <c r="D157" i="9"/>
  <c r="A157" i="9"/>
  <c r="O156" i="9"/>
  <c r="N156" i="9"/>
  <c r="M156" i="9"/>
  <c r="L156" i="9"/>
  <c r="K156" i="9"/>
  <c r="J156" i="9"/>
  <c r="I156" i="9"/>
  <c r="H156" i="9"/>
  <c r="G156" i="9"/>
  <c r="E156" i="9"/>
  <c r="D156" i="9"/>
  <c r="A156" i="9"/>
  <c r="O155" i="9"/>
  <c r="N155" i="9"/>
  <c r="M155" i="9"/>
  <c r="L155" i="9"/>
  <c r="K155" i="9"/>
  <c r="J155" i="9"/>
  <c r="I155" i="9"/>
  <c r="H155" i="9"/>
  <c r="G155" i="9"/>
  <c r="E155" i="9"/>
  <c r="D155" i="9"/>
  <c r="A155" i="9"/>
  <c r="O154" i="9"/>
  <c r="N154" i="9"/>
  <c r="M154" i="9"/>
  <c r="L154" i="9"/>
  <c r="K154" i="9"/>
  <c r="J154" i="9"/>
  <c r="I154" i="9"/>
  <c r="H154" i="9"/>
  <c r="G154" i="9"/>
  <c r="E154" i="9"/>
  <c r="D154" i="9"/>
  <c r="A154" i="9"/>
  <c r="O153" i="9"/>
  <c r="N153" i="9"/>
  <c r="M153" i="9"/>
  <c r="L153" i="9"/>
  <c r="K153" i="9"/>
  <c r="J153" i="9"/>
  <c r="I153" i="9"/>
  <c r="H153" i="9"/>
  <c r="G153" i="9"/>
  <c r="E153" i="9"/>
  <c r="D153" i="9"/>
  <c r="A153" i="9"/>
  <c r="O152" i="9"/>
  <c r="N152" i="9"/>
  <c r="M152" i="9"/>
  <c r="L152" i="9"/>
  <c r="K152" i="9"/>
  <c r="J152" i="9"/>
  <c r="I152" i="9"/>
  <c r="H152" i="9"/>
  <c r="G152" i="9"/>
  <c r="E152" i="9"/>
  <c r="D152" i="9"/>
  <c r="A152" i="9"/>
  <c r="O151" i="9"/>
  <c r="N151" i="9"/>
  <c r="M151" i="9"/>
  <c r="L151" i="9"/>
  <c r="K151" i="9"/>
  <c r="J151" i="9"/>
  <c r="I151" i="9"/>
  <c r="H151" i="9"/>
  <c r="G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D150" i="9"/>
  <c r="A150" i="9"/>
  <c r="O149" i="9"/>
  <c r="N149" i="9"/>
  <c r="M149" i="9"/>
  <c r="L149" i="9"/>
  <c r="K149" i="9"/>
  <c r="J149" i="9"/>
  <c r="I149" i="9"/>
  <c r="H149" i="9"/>
  <c r="G149" i="9"/>
  <c r="E149" i="9"/>
  <c r="D149" i="9"/>
  <c r="A149" i="9"/>
  <c r="O148" i="9"/>
  <c r="N148" i="9"/>
  <c r="M148" i="9"/>
  <c r="L148" i="9"/>
  <c r="K148" i="9"/>
  <c r="J148" i="9"/>
  <c r="I148" i="9"/>
  <c r="H148" i="9"/>
  <c r="G148" i="9"/>
  <c r="E148" i="9"/>
  <c r="D148" i="9"/>
  <c r="A148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46" i="9"/>
  <c r="N146" i="9"/>
  <c r="M146" i="9"/>
  <c r="L146" i="9"/>
  <c r="K146" i="9"/>
  <c r="J146" i="9"/>
  <c r="I146" i="9"/>
  <c r="H146" i="9"/>
  <c r="G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M202" i="10"/>
  <c r="T202" i="10"/>
  <c r="W202" i="10"/>
  <c r="V202" i="10"/>
  <c r="X202" i="10"/>
  <c r="U202" i="10"/>
  <c r="Y202" i="10"/>
  <c r="N202" i="10"/>
  <c r="Q202" i="10"/>
  <c r="P202" i="10"/>
  <c r="R202" i="10"/>
  <c r="O202" i="10"/>
  <c r="S202" i="10"/>
  <c r="G202" i="10"/>
  <c r="J202" i="10"/>
  <c r="I202" i="10"/>
  <c r="K202" i="10"/>
  <c r="H202" i="10"/>
  <c r="L202" i="10"/>
  <c r="J249" i="11"/>
  <c r="J241" i="11"/>
  <c r="M217" i="10"/>
  <c r="T217" i="10"/>
  <c r="W217" i="10"/>
  <c r="V217" i="10"/>
  <c r="X217" i="10"/>
  <c r="U217" i="10"/>
  <c r="Y217" i="10"/>
  <c r="M238" i="10"/>
  <c r="N238" i="10"/>
  <c r="Q238" i="10"/>
  <c r="P238" i="10"/>
  <c r="R238" i="10"/>
  <c r="O238" i="10"/>
  <c r="S238" i="10"/>
  <c r="M237" i="10"/>
  <c r="N237" i="10"/>
  <c r="Q237" i="10"/>
  <c r="P237" i="10"/>
  <c r="R237" i="10"/>
  <c r="O237" i="10"/>
  <c r="S237" i="10"/>
  <c r="M236" i="10"/>
  <c r="N236" i="10"/>
  <c r="Q236" i="10"/>
  <c r="P236" i="10"/>
  <c r="R236" i="10"/>
  <c r="O236" i="10"/>
  <c r="S236" i="10"/>
  <c r="M235" i="10"/>
  <c r="N235" i="10"/>
  <c r="Q235" i="10"/>
  <c r="P235" i="10"/>
  <c r="R235" i="10"/>
  <c r="O235" i="10"/>
  <c r="S235" i="10"/>
  <c r="M232" i="10"/>
  <c r="N232" i="10"/>
  <c r="Q232" i="10"/>
  <c r="P232" i="10"/>
  <c r="R232" i="10"/>
  <c r="O232" i="10"/>
  <c r="S232" i="10"/>
  <c r="N217" i="10"/>
  <c r="Q217" i="10"/>
  <c r="P217" i="10"/>
  <c r="R217" i="10"/>
  <c r="O217" i="10"/>
  <c r="S217" i="10"/>
  <c r="G217" i="10"/>
  <c r="J217" i="10"/>
  <c r="I217" i="10"/>
  <c r="K217" i="10"/>
  <c r="H217" i="10"/>
  <c r="L217" i="10"/>
  <c r="M210" i="10"/>
  <c r="T210" i="10"/>
  <c r="W210" i="10"/>
  <c r="V210" i="10"/>
  <c r="X210" i="10"/>
  <c r="U210" i="10"/>
  <c r="Y210" i="10"/>
  <c r="M225" i="10"/>
  <c r="N225" i="10"/>
  <c r="Q225" i="10"/>
  <c r="P225" i="10"/>
  <c r="R225" i="10"/>
  <c r="O225" i="10"/>
  <c r="S225" i="10"/>
  <c r="N210" i="10"/>
  <c r="Q210" i="10"/>
  <c r="P210" i="10"/>
  <c r="R210" i="10"/>
  <c r="O210" i="10"/>
  <c r="S210" i="10"/>
  <c r="G210" i="10"/>
  <c r="J210" i="10"/>
  <c r="I210" i="10"/>
  <c r="K210" i="10"/>
  <c r="H210" i="10"/>
  <c r="L210" i="10"/>
  <c r="J216" i="11"/>
  <c r="O216" i="9"/>
  <c r="N216" i="9"/>
  <c r="M216" i="9"/>
  <c r="L216" i="9"/>
  <c r="K216" i="9"/>
  <c r="J216" i="9"/>
  <c r="I216" i="9"/>
  <c r="H216" i="9"/>
  <c r="G216" i="9"/>
  <c r="E216" i="9"/>
  <c r="D216" i="9"/>
  <c r="A216" i="9"/>
  <c r="M195" i="10"/>
  <c r="T195" i="10"/>
  <c r="W195" i="10"/>
  <c r="V195" i="10"/>
  <c r="X195" i="10"/>
  <c r="U195" i="10"/>
  <c r="Y195" i="10"/>
  <c r="N195" i="10"/>
  <c r="Q195" i="10"/>
  <c r="P195" i="10"/>
  <c r="R195" i="10"/>
  <c r="O195" i="10"/>
  <c r="S195" i="10"/>
  <c r="G195" i="10"/>
  <c r="J195" i="10"/>
  <c r="I195" i="10"/>
  <c r="K195" i="10"/>
  <c r="H195" i="10"/>
  <c r="L195" i="10"/>
  <c r="M188" i="10"/>
  <c r="T188" i="10"/>
  <c r="W188" i="10"/>
  <c r="V188" i="10"/>
  <c r="X188" i="10"/>
  <c r="U188" i="10"/>
  <c r="Y188" i="10"/>
  <c r="N188" i="10"/>
  <c r="Q188" i="10"/>
  <c r="P188" i="10"/>
  <c r="R188" i="10"/>
  <c r="O188" i="10"/>
  <c r="S188" i="10"/>
  <c r="G188" i="10"/>
  <c r="J188" i="10"/>
  <c r="I188" i="10"/>
  <c r="K188" i="10"/>
  <c r="H188" i="10"/>
  <c r="L188" i="10"/>
  <c r="J232" i="11"/>
  <c r="J224" i="11"/>
  <c r="J199" i="11"/>
  <c r="J194" i="11"/>
  <c r="M208" i="10"/>
  <c r="M223" i="10"/>
  <c r="N223" i="10"/>
  <c r="Q223" i="10"/>
  <c r="P223" i="10"/>
  <c r="R223" i="10"/>
  <c r="O223" i="10"/>
  <c r="S223" i="10"/>
  <c r="N208" i="10"/>
  <c r="Q208" i="10"/>
  <c r="P208" i="10"/>
  <c r="R208" i="10"/>
  <c r="O208" i="10"/>
  <c r="S208" i="10"/>
  <c r="T170" i="10"/>
  <c r="W170" i="10"/>
  <c r="V170" i="10"/>
  <c r="X170" i="10"/>
  <c r="U170" i="10"/>
  <c r="Y170" i="10"/>
  <c r="G170" i="10"/>
  <c r="J170" i="10"/>
  <c r="I170" i="10"/>
  <c r="K170" i="10"/>
  <c r="H170" i="10"/>
  <c r="L170" i="10"/>
  <c r="M175" i="10"/>
  <c r="T175" i="10"/>
  <c r="W175" i="10"/>
  <c r="V175" i="10"/>
  <c r="X175" i="10"/>
  <c r="U175" i="10"/>
  <c r="Y175" i="10"/>
  <c r="M211" i="10"/>
  <c r="N211" i="10"/>
  <c r="Q211" i="10"/>
  <c r="P211" i="10"/>
  <c r="R211" i="10"/>
  <c r="O211" i="10"/>
  <c r="S211" i="10"/>
  <c r="N175" i="10"/>
  <c r="Q175" i="10"/>
  <c r="P175" i="10"/>
  <c r="R175" i="10"/>
  <c r="O175" i="10"/>
  <c r="S175" i="10"/>
  <c r="G175" i="10"/>
  <c r="J175" i="10"/>
  <c r="I175" i="10"/>
  <c r="K175" i="10"/>
  <c r="H175" i="10"/>
  <c r="L175" i="10"/>
  <c r="AD32" i="1"/>
  <c r="AD33" i="1"/>
  <c r="AD34" i="1"/>
  <c r="AD35" i="1"/>
  <c r="J272" i="11"/>
  <c r="O272" i="9"/>
  <c r="N272" i="9"/>
  <c r="M272" i="9"/>
  <c r="L272" i="9"/>
  <c r="K272" i="9"/>
  <c r="J272" i="9"/>
  <c r="I272" i="9"/>
  <c r="H272" i="9"/>
  <c r="G272" i="9"/>
  <c r="E272" i="9"/>
  <c r="D272" i="9"/>
  <c r="A272" i="9"/>
  <c r="T238" i="10"/>
  <c r="W238" i="10"/>
  <c r="V238" i="10"/>
  <c r="X238" i="10"/>
  <c r="U238" i="10"/>
  <c r="Y238" i="10"/>
  <c r="G238" i="10"/>
  <c r="J238" i="10"/>
  <c r="I238" i="10"/>
  <c r="K238" i="10"/>
  <c r="H238" i="10"/>
  <c r="L238" i="10"/>
  <c r="J261" i="11"/>
  <c r="O261" i="9"/>
  <c r="N261" i="9"/>
  <c r="M261" i="9"/>
  <c r="L261" i="9"/>
  <c r="K261" i="9"/>
  <c r="J261" i="9"/>
  <c r="I261" i="9"/>
  <c r="H261" i="9"/>
  <c r="G261" i="9"/>
  <c r="E261" i="9"/>
  <c r="D261" i="9"/>
  <c r="A261" i="9"/>
  <c r="J260" i="11"/>
  <c r="O260" i="9"/>
  <c r="N260" i="9"/>
  <c r="M260" i="9"/>
  <c r="L260" i="9"/>
  <c r="K260" i="9"/>
  <c r="J260" i="9"/>
  <c r="I260" i="9"/>
  <c r="H260" i="9"/>
  <c r="G260" i="9"/>
  <c r="E260" i="9"/>
  <c r="D260" i="9"/>
  <c r="A260" i="9"/>
  <c r="J259" i="11"/>
  <c r="O259" i="9"/>
  <c r="N259" i="9"/>
  <c r="M259" i="9"/>
  <c r="L259" i="9"/>
  <c r="K259" i="9"/>
  <c r="J259" i="9"/>
  <c r="I259" i="9"/>
  <c r="H259" i="9"/>
  <c r="G259" i="9"/>
  <c r="E259" i="9"/>
  <c r="D259" i="9"/>
  <c r="A259" i="9"/>
  <c r="J258" i="11"/>
  <c r="O258" i="9"/>
  <c r="N258" i="9"/>
  <c r="M258" i="9"/>
  <c r="L258" i="9"/>
  <c r="K258" i="9"/>
  <c r="J258" i="9"/>
  <c r="I258" i="9"/>
  <c r="H258" i="9"/>
  <c r="G258" i="9"/>
  <c r="E258" i="9"/>
  <c r="D258" i="9"/>
  <c r="A258" i="9"/>
  <c r="M227" i="10"/>
  <c r="T227" i="10"/>
  <c r="W227" i="10"/>
  <c r="V227" i="10"/>
  <c r="X227" i="10"/>
  <c r="U227" i="10"/>
  <c r="Y227" i="10"/>
  <c r="N227" i="10"/>
  <c r="Q227" i="10"/>
  <c r="P227" i="10"/>
  <c r="R227" i="10"/>
  <c r="O227" i="10"/>
  <c r="S227" i="10"/>
  <c r="G227" i="10"/>
  <c r="J227" i="10"/>
  <c r="I227" i="10"/>
  <c r="K227" i="10"/>
  <c r="H227" i="10"/>
  <c r="L227" i="10"/>
  <c r="M226" i="10"/>
  <c r="T226" i="10"/>
  <c r="W226" i="10"/>
  <c r="V226" i="10"/>
  <c r="X226" i="10"/>
  <c r="U226" i="10"/>
  <c r="Y226" i="10"/>
  <c r="N226" i="10"/>
  <c r="Q226" i="10"/>
  <c r="P226" i="10"/>
  <c r="R226" i="10"/>
  <c r="O226" i="10"/>
  <c r="S226" i="10"/>
  <c r="G226" i="10"/>
  <c r="J226" i="10"/>
  <c r="I226" i="10"/>
  <c r="K226" i="10"/>
  <c r="H226" i="10"/>
  <c r="L226" i="10"/>
  <c r="T225" i="10"/>
  <c r="W225" i="10"/>
  <c r="V225" i="10"/>
  <c r="X225" i="10"/>
  <c r="U225" i="10"/>
  <c r="Y225" i="10"/>
  <c r="G225" i="10"/>
  <c r="J225" i="10"/>
  <c r="I225" i="10"/>
  <c r="K225" i="10"/>
  <c r="H225" i="10"/>
  <c r="L225" i="10"/>
  <c r="J245" i="11"/>
  <c r="O245" i="9"/>
  <c r="N245" i="9"/>
  <c r="M245" i="9"/>
  <c r="L245" i="9"/>
  <c r="K245" i="9"/>
  <c r="J245" i="9"/>
  <c r="I245" i="9"/>
  <c r="H245" i="9"/>
  <c r="G245" i="9"/>
  <c r="E245" i="9"/>
  <c r="D245" i="9"/>
  <c r="A245" i="9"/>
  <c r="J244" i="11"/>
  <c r="O244" i="9"/>
  <c r="N244" i="9"/>
  <c r="M244" i="9"/>
  <c r="L244" i="9"/>
  <c r="K244" i="9"/>
  <c r="J244" i="9"/>
  <c r="I244" i="9"/>
  <c r="H244" i="9"/>
  <c r="G244" i="9"/>
  <c r="E244" i="9"/>
  <c r="D244" i="9"/>
  <c r="A244" i="9"/>
  <c r="J243" i="11"/>
  <c r="O243" i="9"/>
  <c r="N243" i="9"/>
  <c r="M243" i="9"/>
  <c r="L243" i="9"/>
  <c r="K243" i="9"/>
  <c r="J243" i="9"/>
  <c r="I243" i="9"/>
  <c r="H243" i="9"/>
  <c r="G243" i="9"/>
  <c r="E243" i="9"/>
  <c r="D243" i="9"/>
  <c r="A243" i="9"/>
  <c r="J253" i="11"/>
  <c r="O253" i="9"/>
  <c r="N253" i="9"/>
  <c r="M253" i="9"/>
  <c r="L253" i="9"/>
  <c r="K253" i="9"/>
  <c r="J253" i="9"/>
  <c r="I253" i="9"/>
  <c r="H253" i="9"/>
  <c r="G253" i="9"/>
  <c r="E253" i="9"/>
  <c r="D253" i="9"/>
  <c r="A253" i="9"/>
  <c r="J252" i="11"/>
  <c r="O252" i="9"/>
  <c r="N252" i="9"/>
  <c r="M252" i="9"/>
  <c r="L252" i="9"/>
  <c r="K252" i="9"/>
  <c r="J252" i="9"/>
  <c r="I252" i="9"/>
  <c r="H252" i="9"/>
  <c r="G252" i="9"/>
  <c r="E252" i="9"/>
  <c r="D252" i="9"/>
  <c r="A252" i="9"/>
  <c r="J251" i="11"/>
  <c r="O251" i="9"/>
  <c r="N251" i="9"/>
  <c r="M251" i="9"/>
  <c r="L251" i="9"/>
  <c r="K251" i="9"/>
  <c r="J251" i="9"/>
  <c r="I251" i="9"/>
  <c r="H251" i="9"/>
  <c r="G251" i="9"/>
  <c r="E251" i="9"/>
  <c r="D251" i="9"/>
  <c r="A251" i="9"/>
  <c r="M220" i="10"/>
  <c r="T220" i="10"/>
  <c r="W220" i="10"/>
  <c r="V220" i="10"/>
  <c r="X220" i="10"/>
  <c r="U220" i="10"/>
  <c r="Y220" i="10"/>
  <c r="N220" i="10"/>
  <c r="Q220" i="10"/>
  <c r="P220" i="10"/>
  <c r="R220" i="10"/>
  <c r="O220" i="10"/>
  <c r="S220" i="10"/>
  <c r="G220" i="10"/>
  <c r="J220" i="10"/>
  <c r="I220" i="10"/>
  <c r="K220" i="10"/>
  <c r="H220" i="10"/>
  <c r="L220" i="10"/>
  <c r="M213" i="10"/>
  <c r="T213" i="10"/>
  <c r="W213" i="10"/>
  <c r="V213" i="10"/>
  <c r="X213" i="10"/>
  <c r="U213" i="10"/>
  <c r="Y213" i="10"/>
  <c r="N213" i="10"/>
  <c r="Q213" i="10"/>
  <c r="P213" i="10"/>
  <c r="R213" i="10"/>
  <c r="O213" i="10"/>
  <c r="S213" i="10"/>
  <c r="G213" i="10"/>
  <c r="J213" i="10"/>
  <c r="I213" i="10"/>
  <c r="K213" i="10"/>
  <c r="H213" i="10"/>
  <c r="L213" i="10"/>
  <c r="J237" i="11"/>
  <c r="O237" i="9"/>
  <c r="N237" i="9"/>
  <c r="M237" i="9"/>
  <c r="L237" i="9"/>
  <c r="K237" i="9"/>
  <c r="J237" i="9"/>
  <c r="I237" i="9"/>
  <c r="H237" i="9"/>
  <c r="G237" i="9"/>
  <c r="E237" i="9"/>
  <c r="D237" i="9"/>
  <c r="A237" i="9"/>
  <c r="J236" i="11"/>
  <c r="O236" i="9"/>
  <c r="N236" i="9"/>
  <c r="M236" i="9"/>
  <c r="L236" i="9"/>
  <c r="K236" i="9"/>
  <c r="J236" i="9"/>
  <c r="I236" i="9"/>
  <c r="H236" i="9"/>
  <c r="G236" i="9"/>
  <c r="E236" i="9"/>
  <c r="D236" i="9"/>
  <c r="A236" i="9"/>
  <c r="J235" i="11"/>
  <c r="O235" i="9"/>
  <c r="N235" i="9"/>
  <c r="M235" i="9"/>
  <c r="L235" i="9"/>
  <c r="K235" i="9"/>
  <c r="J235" i="9"/>
  <c r="I235" i="9"/>
  <c r="H235" i="9"/>
  <c r="G235" i="9"/>
  <c r="E235" i="9"/>
  <c r="D235" i="9"/>
  <c r="A235" i="9"/>
  <c r="J234" i="11"/>
  <c r="O234" i="9"/>
  <c r="N234" i="9"/>
  <c r="M234" i="9"/>
  <c r="L234" i="9"/>
  <c r="K234" i="9"/>
  <c r="J234" i="9"/>
  <c r="I234" i="9"/>
  <c r="H234" i="9"/>
  <c r="G234" i="9"/>
  <c r="E234" i="9"/>
  <c r="D234" i="9"/>
  <c r="A234" i="9"/>
  <c r="J229" i="11"/>
  <c r="O229" i="9"/>
  <c r="N229" i="9"/>
  <c r="M229" i="9"/>
  <c r="L229" i="9"/>
  <c r="K229" i="9"/>
  <c r="J229" i="9"/>
  <c r="I229" i="9"/>
  <c r="H229" i="9"/>
  <c r="G229" i="9"/>
  <c r="E229" i="9"/>
  <c r="D229" i="9"/>
  <c r="A229" i="9"/>
  <c r="J228" i="11"/>
  <c r="O228" i="9"/>
  <c r="N228" i="9"/>
  <c r="M228" i="9"/>
  <c r="L228" i="9"/>
  <c r="K228" i="9"/>
  <c r="J228" i="9"/>
  <c r="I228" i="9"/>
  <c r="H228" i="9"/>
  <c r="G228" i="9"/>
  <c r="E228" i="9"/>
  <c r="D228" i="9"/>
  <c r="A228" i="9"/>
  <c r="J227" i="11"/>
  <c r="O227" i="9"/>
  <c r="N227" i="9"/>
  <c r="M227" i="9"/>
  <c r="L227" i="9"/>
  <c r="K227" i="9"/>
  <c r="J227" i="9"/>
  <c r="I227" i="9"/>
  <c r="H227" i="9"/>
  <c r="G227" i="9"/>
  <c r="E227" i="9"/>
  <c r="D227" i="9"/>
  <c r="A227" i="9"/>
  <c r="J226" i="11"/>
  <c r="O226" i="9"/>
  <c r="N226" i="9"/>
  <c r="M226" i="9"/>
  <c r="L226" i="9"/>
  <c r="K226" i="9"/>
  <c r="J226" i="9"/>
  <c r="I226" i="9"/>
  <c r="H226" i="9"/>
  <c r="G226" i="9"/>
  <c r="E226" i="9"/>
  <c r="D226" i="9"/>
  <c r="A226" i="9"/>
  <c r="J221" i="11"/>
  <c r="O221" i="9"/>
  <c r="N221" i="9"/>
  <c r="M221" i="9"/>
  <c r="L221" i="9"/>
  <c r="K221" i="9"/>
  <c r="J221" i="9"/>
  <c r="I221" i="9"/>
  <c r="H221" i="9"/>
  <c r="G221" i="9"/>
  <c r="E221" i="9"/>
  <c r="D221" i="9"/>
  <c r="A221" i="9"/>
  <c r="J220" i="11"/>
  <c r="O220" i="9"/>
  <c r="N220" i="9"/>
  <c r="M220" i="9"/>
  <c r="L220" i="9"/>
  <c r="K220" i="9"/>
  <c r="J220" i="9"/>
  <c r="I220" i="9"/>
  <c r="H220" i="9"/>
  <c r="G220" i="9"/>
  <c r="E220" i="9"/>
  <c r="D220" i="9"/>
  <c r="A220" i="9"/>
  <c r="J219" i="11"/>
  <c r="O219" i="9"/>
  <c r="N219" i="9"/>
  <c r="M219" i="9"/>
  <c r="L219" i="9"/>
  <c r="K219" i="9"/>
  <c r="J219" i="9"/>
  <c r="I219" i="9"/>
  <c r="H219" i="9"/>
  <c r="G219" i="9"/>
  <c r="E219" i="9"/>
  <c r="D219" i="9"/>
  <c r="A219" i="9"/>
  <c r="J218" i="11"/>
  <c r="M206" i="10"/>
  <c r="T206" i="10"/>
  <c r="W206" i="10"/>
  <c r="V206" i="10"/>
  <c r="X206" i="10"/>
  <c r="U206" i="10"/>
  <c r="Y206" i="10"/>
  <c r="N206" i="10"/>
  <c r="Q206" i="10"/>
  <c r="P206" i="10"/>
  <c r="R206" i="10"/>
  <c r="O206" i="10"/>
  <c r="S206" i="10"/>
  <c r="G206" i="10"/>
  <c r="J206" i="10"/>
  <c r="I206" i="10"/>
  <c r="K206" i="10"/>
  <c r="H206" i="10"/>
  <c r="L206" i="10"/>
  <c r="M205" i="10"/>
  <c r="T205" i="10"/>
  <c r="W205" i="10"/>
  <c r="V205" i="10"/>
  <c r="X205" i="10"/>
  <c r="U205" i="10"/>
  <c r="Y205" i="10"/>
  <c r="N205" i="10"/>
  <c r="Q205" i="10"/>
  <c r="P205" i="10"/>
  <c r="R205" i="10"/>
  <c r="O205" i="10"/>
  <c r="S205" i="10"/>
  <c r="G205" i="10"/>
  <c r="J205" i="10"/>
  <c r="I205" i="10"/>
  <c r="K205" i="10"/>
  <c r="H205" i="10"/>
  <c r="L205" i="10"/>
  <c r="M204" i="10"/>
  <c r="T204" i="10"/>
  <c r="W204" i="10"/>
  <c r="V204" i="10"/>
  <c r="X204" i="10"/>
  <c r="U204" i="10"/>
  <c r="Y204" i="10"/>
  <c r="N204" i="10"/>
  <c r="Q204" i="10"/>
  <c r="P204" i="10"/>
  <c r="R204" i="10"/>
  <c r="O204" i="10"/>
  <c r="S204" i="10"/>
  <c r="G204" i="10"/>
  <c r="J204" i="10"/>
  <c r="I204" i="10"/>
  <c r="K204" i="10"/>
  <c r="H204" i="10"/>
  <c r="L204" i="10"/>
  <c r="M199" i="10"/>
  <c r="T199" i="10"/>
  <c r="W199" i="10"/>
  <c r="V199" i="10"/>
  <c r="X199" i="10"/>
  <c r="U199" i="10"/>
  <c r="Y199" i="10"/>
  <c r="N199" i="10"/>
  <c r="Q199" i="10"/>
  <c r="P199" i="10"/>
  <c r="R199" i="10"/>
  <c r="O199" i="10"/>
  <c r="S199" i="10"/>
  <c r="G199" i="10"/>
  <c r="J199" i="10"/>
  <c r="I199" i="10"/>
  <c r="K199" i="10"/>
  <c r="H199" i="10"/>
  <c r="L199" i="10"/>
  <c r="M198" i="10"/>
  <c r="T198" i="10"/>
  <c r="W198" i="10"/>
  <c r="V198" i="10"/>
  <c r="X198" i="10"/>
  <c r="U198" i="10"/>
  <c r="Y198" i="10"/>
  <c r="N198" i="10"/>
  <c r="Q198" i="10"/>
  <c r="P198" i="10"/>
  <c r="R198" i="10"/>
  <c r="O198" i="10"/>
  <c r="S198" i="10"/>
  <c r="G198" i="10"/>
  <c r="J198" i="10"/>
  <c r="I198" i="10"/>
  <c r="K198" i="10"/>
  <c r="H198" i="10"/>
  <c r="L198" i="10"/>
  <c r="M197" i="10"/>
  <c r="T197" i="10"/>
  <c r="W197" i="10"/>
  <c r="V197" i="10"/>
  <c r="X197" i="10"/>
  <c r="U197" i="10"/>
  <c r="Y197" i="10"/>
  <c r="N197" i="10"/>
  <c r="Q197" i="10"/>
  <c r="P197" i="10"/>
  <c r="R197" i="10"/>
  <c r="O197" i="10"/>
  <c r="S197" i="10"/>
  <c r="G197" i="10"/>
  <c r="J197" i="10"/>
  <c r="I197" i="10"/>
  <c r="K197" i="10"/>
  <c r="H197" i="10"/>
  <c r="L197" i="10"/>
  <c r="M192" i="10"/>
  <c r="T192" i="10"/>
  <c r="W192" i="10"/>
  <c r="V192" i="10"/>
  <c r="X192" i="10"/>
  <c r="U192" i="10"/>
  <c r="Y192" i="10"/>
  <c r="N192" i="10"/>
  <c r="Q192" i="10"/>
  <c r="P192" i="10"/>
  <c r="R192" i="10"/>
  <c r="O192" i="10"/>
  <c r="S192" i="10"/>
  <c r="G192" i="10"/>
  <c r="J192" i="10"/>
  <c r="I192" i="10"/>
  <c r="K192" i="10"/>
  <c r="H192" i="10"/>
  <c r="L192" i="10"/>
  <c r="M191" i="10"/>
  <c r="T191" i="10"/>
  <c r="W191" i="10"/>
  <c r="V191" i="10"/>
  <c r="X191" i="10"/>
  <c r="U191" i="10"/>
  <c r="Y191" i="10"/>
  <c r="N191" i="10"/>
  <c r="Q191" i="10"/>
  <c r="P191" i="10"/>
  <c r="R191" i="10"/>
  <c r="O191" i="10"/>
  <c r="S191" i="10"/>
  <c r="G191" i="10"/>
  <c r="J191" i="10"/>
  <c r="I191" i="10"/>
  <c r="K191" i="10"/>
  <c r="H191" i="10"/>
  <c r="L191" i="10"/>
  <c r="M190" i="10"/>
  <c r="T190" i="10"/>
  <c r="W190" i="10"/>
  <c r="V190" i="10"/>
  <c r="X190" i="10"/>
  <c r="U190" i="10"/>
  <c r="Y190" i="10"/>
  <c r="N190" i="10"/>
  <c r="Q190" i="10"/>
  <c r="P190" i="10"/>
  <c r="R190" i="10"/>
  <c r="O190" i="10"/>
  <c r="S190" i="10"/>
  <c r="G190" i="10"/>
  <c r="J190" i="10"/>
  <c r="I190" i="10"/>
  <c r="K190" i="10"/>
  <c r="H190" i="10"/>
  <c r="L190" i="10"/>
  <c r="J213" i="11"/>
  <c r="O213" i="9"/>
  <c r="N213" i="9"/>
  <c r="M213" i="9"/>
  <c r="L213" i="9"/>
  <c r="K213" i="9"/>
  <c r="J213" i="9"/>
  <c r="I213" i="9"/>
  <c r="H213" i="9"/>
  <c r="G213" i="9"/>
  <c r="E213" i="9"/>
  <c r="D213" i="9"/>
  <c r="A213" i="9"/>
  <c r="J212" i="11"/>
  <c r="O212" i="9"/>
  <c r="N212" i="9"/>
  <c r="M212" i="9"/>
  <c r="L212" i="9"/>
  <c r="K212" i="9"/>
  <c r="J212" i="9"/>
  <c r="I212" i="9"/>
  <c r="H212" i="9"/>
  <c r="G212" i="9"/>
  <c r="E212" i="9"/>
  <c r="D212" i="9"/>
  <c r="A212" i="9"/>
  <c r="J211" i="11"/>
  <c r="O211" i="9"/>
  <c r="N211" i="9"/>
  <c r="M211" i="9"/>
  <c r="L211" i="9"/>
  <c r="K211" i="9"/>
  <c r="J211" i="9"/>
  <c r="I211" i="9"/>
  <c r="H211" i="9"/>
  <c r="G211" i="9"/>
  <c r="E211" i="9"/>
  <c r="D211" i="9"/>
  <c r="A211" i="9"/>
  <c r="J210" i="11"/>
  <c r="O210" i="9"/>
  <c r="N210" i="9"/>
  <c r="M210" i="9"/>
  <c r="L210" i="9"/>
  <c r="K210" i="9"/>
  <c r="J210" i="9"/>
  <c r="I210" i="9"/>
  <c r="H210" i="9"/>
  <c r="G210" i="9"/>
  <c r="E210" i="9"/>
  <c r="D210" i="9"/>
  <c r="A210" i="9"/>
  <c r="J208" i="11"/>
  <c r="O208" i="9"/>
  <c r="N208" i="9"/>
  <c r="M208" i="9"/>
  <c r="L208" i="9"/>
  <c r="K208" i="9"/>
  <c r="J208" i="9"/>
  <c r="I208" i="9"/>
  <c r="H208" i="9"/>
  <c r="G208" i="9"/>
  <c r="E208" i="9"/>
  <c r="D208" i="9"/>
  <c r="A208" i="9"/>
  <c r="J207" i="11"/>
  <c r="O207" i="9"/>
  <c r="N207" i="9"/>
  <c r="M207" i="9"/>
  <c r="L207" i="9"/>
  <c r="K207" i="9"/>
  <c r="J207" i="9"/>
  <c r="I207" i="9"/>
  <c r="H207" i="9"/>
  <c r="G207" i="9"/>
  <c r="E207" i="9"/>
  <c r="D207" i="9"/>
  <c r="A207" i="9"/>
  <c r="J206" i="11"/>
  <c r="O206" i="9"/>
  <c r="N206" i="9"/>
  <c r="M206" i="9"/>
  <c r="L206" i="9"/>
  <c r="K206" i="9"/>
  <c r="J206" i="9"/>
  <c r="I206" i="9"/>
  <c r="H206" i="9"/>
  <c r="G206" i="9"/>
  <c r="E206" i="9"/>
  <c r="D206" i="9"/>
  <c r="A206" i="9"/>
  <c r="J205" i="11"/>
  <c r="O205" i="9"/>
  <c r="N205" i="9"/>
  <c r="M205" i="9"/>
  <c r="L205" i="9"/>
  <c r="K205" i="9"/>
  <c r="J205" i="9"/>
  <c r="I205" i="9"/>
  <c r="H205" i="9"/>
  <c r="G205" i="9"/>
  <c r="E205" i="9"/>
  <c r="D205" i="9"/>
  <c r="A205" i="9"/>
  <c r="J203" i="11"/>
  <c r="O203" i="9"/>
  <c r="N203" i="9"/>
  <c r="M203" i="9"/>
  <c r="L203" i="9"/>
  <c r="K203" i="9"/>
  <c r="J203" i="9"/>
  <c r="I203" i="9"/>
  <c r="H203" i="9"/>
  <c r="G203" i="9"/>
  <c r="E203" i="9"/>
  <c r="D203" i="9"/>
  <c r="A203" i="9"/>
  <c r="J202" i="11"/>
  <c r="O202" i="9"/>
  <c r="N202" i="9"/>
  <c r="M202" i="9"/>
  <c r="L202" i="9"/>
  <c r="K202" i="9"/>
  <c r="J202" i="9"/>
  <c r="I202" i="9"/>
  <c r="H202" i="9"/>
  <c r="G202" i="9"/>
  <c r="E202" i="9"/>
  <c r="D202" i="9"/>
  <c r="A202" i="9"/>
  <c r="J201" i="11"/>
  <c r="O201" i="9"/>
  <c r="N201" i="9"/>
  <c r="M201" i="9"/>
  <c r="L201" i="9"/>
  <c r="K201" i="9"/>
  <c r="J201" i="9"/>
  <c r="I201" i="9"/>
  <c r="H201" i="9"/>
  <c r="G201" i="9"/>
  <c r="E201" i="9"/>
  <c r="D201" i="9"/>
  <c r="A201" i="9"/>
  <c r="J200" i="11"/>
  <c r="O200" i="9"/>
  <c r="N200" i="9"/>
  <c r="M200" i="9"/>
  <c r="L200" i="9"/>
  <c r="K200" i="9"/>
  <c r="J200" i="9"/>
  <c r="I200" i="9"/>
  <c r="H200" i="9"/>
  <c r="G200" i="9"/>
  <c r="E200" i="9"/>
  <c r="D200" i="9"/>
  <c r="A200" i="9"/>
  <c r="J198" i="11"/>
  <c r="O198" i="9"/>
  <c r="N198" i="9"/>
  <c r="M198" i="9"/>
  <c r="L198" i="9"/>
  <c r="K198" i="9"/>
  <c r="J198" i="9"/>
  <c r="I198" i="9"/>
  <c r="H198" i="9"/>
  <c r="G198" i="9"/>
  <c r="E198" i="9"/>
  <c r="D198" i="9"/>
  <c r="A198" i="9"/>
  <c r="J197" i="11"/>
  <c r="O197" i="9"/>
  <c r="N197" i="9"/>
  <c r="M197" i="9"/>
  <c r="L197" i="9"/>
  <c r="K197" i="9"/>
  <c r="J197" i="9"/>
  <c r="I197" i="9"/>
  <c r="H197" i="9"/>
  <c r="G197" i="9"/>
  <c r="E197" i="9"/>
  <c r="D197" i="9"/>
  <c r="A197" i="9"/>
  <c r="J196" i="11"/>
  <c r="O196" i="9"/>
  <c r="N196" i="9"/>
  <c r="M196" i="9"/>
  <c r="L196" i="9"/>
  <c r="K196" i="9"/>
  <c r="J196" i="9"/>
  <c r="I196" i="9"/>
  <c r="H196" i="9"/>
  <c r="G196" i="9"/>
  <c r="E196" i="9"/>
  <c r="D196" i="9"/>
  <c r="A196" i="9"/>
  <c r="J195" i="11"/>
  <c r="O195" i="9"/>
  <c r="N195" i="9"/>
  <c r="M195" i="9"/>
  <c r="L195" i="9"/>
  <c r="K195" i="9"/>
  <c r="J195" i="9"/>
  <c r="I195" i="9"/>
  <c r="H195" i="9"/>
  <c r="G195" i="9"/>
  <c r="E195" i="9"/>
  <c r="D195" i="9"/>
  <c r="A195" i="9"/>
  <c r="M185" i="10"/>
  <c r="T185" i="10"/>
  <c r="W185" i="10"/>
  <c r="V185" i="10"/>
  <c r="X185" i="10"/>
  <c r="U185" i="10"/>
  <c r="Y185" i="10"/>
  <c r="N185" i="10"/>
  <c r="Q185" i="10"/>
  <c r="P185" i="10"/>
  <c r="R185" i="10"/>
  <c r="O185" i="10"/>
  <c r="S185" i="10"/>
  <c r="G185" i="10"/>
  <c r="J185" i="10"/>
  <c r="I185" i="10"/>
  <c r="K185" i="10"/>
  <c r="H185" i="10"/>
  <c r="L185" i="10"/>
  <c r="M184" i="10"/>
  <c r="T184" i="10"/>
  <c r="W184" i="10"/>
  <c r="V184" i="10"/>
  <c r="X184" i="10"/>
  <c r="U184" i="10"/>
  <c r="Y184" i="10"/>
  <c r="N184" i="10"/>
  <c r="Q184" i="10"/>
  <c r="P184" i="10"/>
  <c r="R184" i="10"/>
  <c r="O184" i="10"/>
  <c r="S184" i="10"/>
  <c r="G184" i="10"/>
  <c r="J184" i="10"/>
  <c r="I184" i="10"/>
  <c r="K184" i="10"/>
  <c r="H184" i="10"/>
  <c r="L184" i="10"/>
  <c r="M183" i="10"/>
  <c r="T183" i="10"/>
  <c r="W183" i="10"/>
  <c r="V183" i="10"/>
  <c r="X183" i="10"/>
  <c r="U183" i="10"/>
  <c r="Y183" i="10"/>
  <c r="N183" i="10"/>
  <c r="Q183" i="10"/>
  <c r="P183" i="10"/>
  <c r="R183" i="10"/>
  <c r="O183" i="10"/>
  <c r="S183" i="10"/>
  <c r="G183" i="10"/>
  <c r="J183" i="10"/>
  <c r="I183" i="10"/>
  <c r="K183" i="10"/>
  <c r="H183" i="10"/>
  <c r="L183" i="10"/>
  <c r="M215" i="10"/>
  <c r="M230" i="10"/>
  <c r="M233" i="10"/>
  <c r="N233" i="10"/>
  <c r="Q233" i="10"/>
  <c r="P233" i="10"/>
  <c r="R233" i="10"/>
  <c r="O233" i="10"/>
  <c r="S233" i="10"/>
  <c r="N230" i="10"/>
  <c r="Q230" i="10"/>
  <c r="P230" i="10"/>
  <c r="R230" i="10"/>
  <c r="O230" i="10"/>
  <c r="S230" i="10"/>
  <c r="N215" i="10"/>
  <c r="Q215" i="10"/>
  <c r="P215" i="10"/>
  <c r="R215" i="10"/>
  <c r="O215" i="10"/>
  <c r="S215" i="10"/>
  <c r="M181" i="10"/>
  <c r="T181" i="10"/>
  <c r="W181" i="10"/>
  <c r="V181" i="10"/>
  <c r="X181" i="10"/>
  <c r="U181" i="10"/>
  <c r="Y181" i="10"/>
  <c r="M214" i="10"/>
  <c r="M231" i="10"/>
  <c r="M234" i="10"/>
  <c r="N234" i="10"/>
  <c r="Q234" i="10"/>
  <c r="P234" i="10"/>
  <c r="R234" i="10"/>
  <c r="O234" i="10"/>
  <c r="S234" i="10"/>
  <c r="N231" i="10"/>
  <c r="Q231" i="10"/>
  <c r="P231" i="10"/>
  <c r="R231" i="10"/>
  <c r="O231" i="10"/>
  <c r="S231" i="10"/>
  <c r="N214" i="10"/>
  <c r="Q214" i="10"/>
  <c r="P214" i="10"/>
  <c r="R214" i="10"/>
  <c r="O214" i="10"/>
  <c r="S214" i="10"/>
  <c r="N181" i="10"/>
  <c r="Q181" i="10"/>
  <c r="P181" i="10"/>
  <c r="R181" i="10"/>
  <c r="O181" i="10"/>
  <c r="S181" i="10"/>
  <c r="G181" i="10"/>
  <c r="J181" i="10"/>
  <c r="I181" i="10"/>
  <c r="K181" i="10"/>
  <c r="H181" i="10"/>
  <c r="L181" i="10"/>
  <c r="M180" i="10"/>
  <c r="T180" i="10"/>
  <c r="W180" i="10"/>
  <c r="V180" i="10"/>
  <c r="X180" i="10"/>
  <c r="U180" i="10"/>
  <c r="Y180" i="10"/>
  <c r="M212" i="10"/>
  <c r="N212" i="10"/>
  <c r="Q212" i="10"/>
  <c r="P212" i="10"/>
  <c r="R212" i="10"/>
  <c r="O212" i="10"/>
  <c r="S212" i="10"/>
  <c r="N180" i="10"/>
  <c r="Q180" i="10"/>
  <c r="P180" i="10"/>
  <c r="R180" i="10"/>
  <c r="O180" i="10"/>
  <c r="S180" i="10"/>
  <c r="G180" i="10"/>
  <c r="J180" i="10"/>
  <c r="I180" i="10"/>
  <c r="K180" i="10"/>
  <c r="H180" i="10"/>
  <c r="L180" i="10"/>
  <c r="M179" i="10"/>
  <c r="T179" i="10"/>
  <c r="W179" i="10"/>
  <c r="V179" i="10"/>
  <c r="X179" i="10"/>
  <c r="U179" i="10"/>
  <c r="Y179" i="10"/>
  <c r="N179" i="10"/>
  <c r="Q179" i="10"/>
  <c r="P179" i="10"/>
  <c r="R179" i="10"/>
  <c r="O179" i="10"/>
  <c r="S179" i="10"/>
  <c r="G179" i="10"/>
  <c r="J179" i="10"/>
  <c r="I179" i="10"/>
  <c r="K179" i="10"/>
  <c r="H179" i="10"/>
  <c r="L179" i="10"/>
  <c r="M177" i="10"/>
  <c r="T177" i="10"/>
  <c r="W177" i="10"/>
  <c r="V177" i="10"/>
  <c r="X177" i="10"/>
  <c r="U177" i="10"/>
  <c r="Y177" i="10"/>
  <c r="N177" i="10"/>
  <c r="Q177" i="10"/>
  <c r="P177" i="10"/>
  <c r="R177" i="10"/>
  <c r="O177" i="10"/>
  <c r="S177" i="10"/>
  <c r="G177" i="10"/>
  <c r="J177" i="10"/>
  <c r="I177" i="10"/>
  <c r="K177" i="10"/>
  <c r="H177" i="10"/>
  <c r="L177" i="10"/>
  <c r="M176" i="10"/>
  <c r="T176" i="10"/>
  <c r="W176" i="10"/>
  <c r="V176" i="10"/>
  <c r="X176" i="10"/>
  <c r="U176" i="10"/>
  <c r="Y176" i="10"/>
  <c r="N176" i="10"/>
  <c r="Q176" i="10"/>
  <c r="P176" i="10"/>
  <c r="R176" i="10"/>
  <c r="O176" i="10"/>
  <c r="S176" i="10"/>
  <c r="G176" i="10"/>
  <c r="J176" i="10"/>
  <c r="I176" i="10"/>
  <c r="K176" i="10"/>
  <c r="H176" i="10"/>
  <c r="L176" i="10"/>
  <c r="M174" i="10"/>
  <c r="T174" i="10"/>
  <c r="W174" i="10"/>
  <c r="V174" i="10"/>
  <c r="X174" i="10"/>
  <c r="U174" i="10"/>
  <c r="Y174" i="10"/>
  <c r="M209" i="10"/>
  <c r="M224" i="10"/>
  <c r="N224" i="10"/>
  <c r="Q224" i="10"/>
  <c r="P224" i="10"/>
  <c r="R224" i="10"/>
  <c r="O224" i="10"/>
  <c r="S224" i="10"/>
  <c r="N209" i="10"/>
  <c r="Q209" i="10"/>
  <c r="P209" i="10"/>
  <c r="R209" i="10"/>
  <c r="O209" i="10"/>
  <c r="S209" i="10"/>
  <c r="N174" i="10"/>
  <c r="Q174" i="10"/>
  <c r="P174" i="10"/>
  <c r="R174" i="10"/>
  <c r="O174" i="10"/>
  <c r="S174" i="10"/>
  <c r="G174" i="10"/>
  <c r="J174" i="10"/>
  <c r="I174" i="10"/>
  <c r="K174" i="10"/>
  <c r="H174" i="10"/>
  <c r="L174" i="10"/>
  <c r="M173" i="10"/>
  <c r="T173" i="10"/>
  <c r="W173" i="10"/>
  <c r="V173" i="10"/>
  <c r="X173" i="10"/>
  <c r="U173" i="10"/>
  <c r="Y173" i="10"/>
  <c r="N173" i="10"/>
  <c r="Q173" i="10"/>
  <c r="P173" i="10"/>
  <c r="R173" i="10"/>
  <c r="O173" i="10"/>
  <c r="S173" i="10"/>
  <c r="G173" i="10"/>
  <c r="J173" i="10"/>
  <c r="I173" i="10"/>
  <c r="K173" i="10"/>
  <c r="H173" i="10"/>
  <c r="L173" i="10"/>
  <c r="M172" i="10"/>
  <c r="T172" i="10"/>
  <c r="W172" i="10"/>
  <c r="V172" i="10"/>
  <c r="X172" i="10"/>
  <c r="U172" i="10"/>
  <c r="Y172" i="10"/>
  <c r="M203" i="10"/>
  <c r="M228" i="10"/>
  <c r="N228" i="10"/>
  <c r="Q228" i="10"/>
  <c r="P228" i="10"/>
  <c r="R228" i="10"/>
  <c r="O228" i="10"/>
  <c r="S228" i="10"/>
  <c r="N203" i="10"/>
  <c r="Q203" i="10"/>
  <c r="P203" i="10"/>
  <c r="R203" i="10"/>
  <c r="O203" i="10"/>
  <c r="S203" i="10"/>
  <c r="N172" i="10"/>
  <c r="Q172" i="10"/>
  <c r="P172" i="10"/>
  <c r="R172" i="10"/>
  <c r="O172" i="10"/>
  <c r="S172" i="10"/>
  <c r="G172" i="10"/>
  <c r="J172" i="10"/>
  <c r="I172" i="10"/>
  <c r="K172" i="10"/>
  <c r="H172" i="10"/>
  <c r="L172" i="10"/>
  <c r="M171" i="10"/>
  <c r="T171" i="10"/>
  <c r="W171" i="10"/>
  <c r="V171" i="10"/>
  <c r="X171" i="10"/>
  <c r="U171" i="10"/>
  <c r="Y171" i="10"/>
  <c r="M201" i="10"/>
  <c r="N201" i="10"/>
  <c r="Q201" i="10"/>
  <c r="P201" i="10"/>
  <c r="R201" i="10"/>
  <c r="O201" i="10"/>
  <c r="S201" i="10"/>
  <c r="N171" i="10"/>
  <c r="Q171" i="10"/>
  <c r="P171" i="10"/>
  <c r="R171" i="10"/>
  <c r="O171" i="10"/>
  <c r="S171" i="10"/>
  <c r="G171" i="10"/>
  <c r="J171" i="10"/>
  <c r="I171" i="10"/>
  <c r="K171" i="10"/>
  <c r="H171" i="10"/>
  <c r="L171" i="10"/>
  <c r="J266" i="11"/>
  <c r="O266" i="9"/>
  <c r="N266" i="9"/>
  <c r="M266" i="9"/>
  <c r="L266" i="9"/>
  <c r="K266" i="9"/>
  <c r="J266" i="9"/>
  <c r="I266" i="9"/>
  <c r="H266" i="9"/>
  <c r="G266" i="9"/>
  <c r="E266" i="9"/>
  <c r="D266" i="9"/>
  <c r="A266" i="9"/>
  <c r="J264" i="11"/>
  <c r="O264" i="9"/>
  <c r="N264" i="9"/>
  <c r="M264" i="9"/>
  <c r="L264" i="9"/>
  <c r="K264" i="9"/>
  <c r="J264" i="9"/>
  <c r="I264" i="9"/>
  <c r="H264" i="9"/>
  <c r="G264" i="9"/>
  <c r="E264" i="9"/>
  <c r="D264" i="9"/>
  <c r="A264" i="9"/>
  <c r="J250" i="11"/>
  <c r="O249" i="9"/>
  <c r="N249" i="9"/>
  <c r="M249" i="9"/>
  <c r="L249" i="9"/>
  <c r="K249" i="9"/>
  <c r="J249" i="9"/>
  <c r="I249" i="9"/>
  <c r="H249" i="9"/>
  <c r="G249" i="9"/>
  <c r="E249" i="9"/>
  <c r="D249" i="9"/>
  <c r="A249" i="9"/>
  <c r="M218" i="10"/>
  <c r="T218" i="10"/>
  <c r="W218" i="10"/>
  <c r="V218" i="10"/>
  <c r="X218" i="10"/>
  <c r="U218" i="10"/>
  <c r="Y218" i="10"/>
  <c r="N218" i="10"/>
  <c r="Q218" i="10"/>
  <c r="P218" i="10"/>
  <c r="R218" i="10"/>
  <c r="O218" i="10"/>
  <c r="S218" i="10"/>
  <c r="G218" i="10"/>
  <c r="J218" i="10"/>
  <c r="I218" i="10"/>
  <c r="K218" i="10"/>
  <c r="H218" i="10"/>
  <c r="L218" i="10"/>
  <c r="J242" i="11"/>
  <c r="O242" i="9"/>
  <c r="N242" i="9"/>
  <c r="M242" i="9"/>
  <c r="L242" i="9"/>
  <c r="K242" i="9"/>
  <c r="J242" i="9"/>
  <c r="I242" i="9"/>
  <c r="H242" i="9"/>
  <c r="G242" i="9"/>
  <c r="E242" i="9"/>
  <c r="D242" i="9"/>
  <c r="A242" i="9"/>
  <c r="O250" i="9"/>
  <c r="N250" i="9"/>
  <c r="M250" i="9"/>
  <c r="L250" i="9"/>
  <c r="K250" i="9"/>
  <c r="J250" i="9"/>
  <c r="I250" i="9"/>
  <c r="H250" i="9"/>
  <c r="G250" i="9"/>
  <c r="E250" i="9"/>
  <c r="D250" i="9"/>
  <c r="A250" i="9"/>
  <c r="O241" i="9"/>
  <c r="N241" i="9"/>
  <c r="M241" i="9"/>
  <c r="L241" i="9"/>
  <c r="K241" i="9"/>
  <c r="J241" i="9"/>
  <c r="I241" i="9"/>
  <c r="H241" i="9"/>
  <c r="G241" i="9"/>
  <c r="E241" i="9"/>
  <c r="D241" i="9"/>
  <c r="A241" i="9"/>
  <c r="M219" i="10"/>
  <c r="T219" i="10"/>
  <c r="W219" i="10"/>
  <c r="V219" i="10"/>
  <c r="X219" i="10"/>
  <c r="U219" i="10"/>
  <c r="Y219" i="10"/>
  <c r="N219" i="10"/>
  <c r="Q219" i="10"/>
  <c r="P219" i="10"/>
  <c r="R219" i="10"/>
  <c r="O219" i="10"/>
  <c r="S219" i="10"/>
  <c r="G219" i="10"/>
  <c r="J219" i="10"/>
  <c r="I219" i="10"/>
  <c r="K219" i="10"/>
  <c r="H219" i="10"/>
  <c r="L219" i="10"/>
  <c r="T212" i="10"/>
  <c r="W212" i="10"/>
  <c r="V212" i="10"/>
  <c r="X212" i="10"/>
  <c r="U212" i="10"/>
  <c r="Y212" i="10"/>
  <c r="G212" i="10"/>
  <c r="J212" i="10"/>
  <c r="I212" i="10"/>
  <c r="K212" i="10"/>
  <c r="H212" i="10"/>
  <c r="L212" i="10"/>
  <c r="T211" i="10"/>
  <c r="W211" i="10"/>
  <c r="V211" i="10"/>
  <c r="X211" i="10"/>
  <c r="U211" i="10"/>
  <c r="Y211" i="10"/>
  <c r="G211" i="10"/>
  <c r="J211" i="10"/>
  <c r="I211" i="10"/>
  <c r="K211" i="10"/>
  <c r="H211" i="10"/>
  <c r="L211" i="10"/>
  <c r="M207" i="10"/>
  <c r="T207" i="10"/>
  <c r="W207" i="10"/>
  <c r="V207" i="10"/>
  <c r="X207" i="10"/>
  <c r="U207" i="10"/>
  <c r="Y207" i="10"/>
  <c r="N207" i="10"/>
  <c r="Q207" i="10"/>
  <c r="P207" i="10"/>
  <c r="R207" i="10"/>
  <c r="O207" i="10"/>
  <c r="S207" i="10"/>
  <c r="G207" i="10"/>
  <c r="J207" i="10"/>
  <c r="I207" i="10"/>
  <c r="K207" i="10"/>
  <c r="H207" i="10"/>
  <c r="L207" i="10"/>
  <c r="G208" i="10"/>
  <c r="H208" i="10"/>
  <c r="I208" i="10"/>
  <c r="J208" i="10"/>
  <c r="K208" i="10"/>
  <c r="L208" i="10"/>
  <c r="T208" i="10"/>
  <c r="U208" i="10"/>
  <c r="V208" i="10"/>
  <c r="W208" i="10"/>
  <c r="X208" i="10"/>
  <c r="Y208" i="10"/>
  <c r="G209" i="10"/>
  <c r="H209" i="10"/>
  <c r="I209" i="10"/>
  <c r="J209" i="10"/>
  <c r="K209" i="10"/>
  <c r="L209" i="10"/>
  <c r="T209" i="10"/>
  <c r="U209" i="10"/>
  <c r="V209" i="10"/>
  <c r="W209" i="10"/>
  <c r="X209" i="10"/>
  <c r="Y209" i="10"/>
  <c r="T214" i="10"/>
  <c r="W214" i="10"/>
  <c r="V214" i="10"/>
  <c r="X214" i="10"/>
  <c r="U214" i="10"/>
  <c r="Y214" i="10"/>
  <c r="G214" i="10"/>
  <c r="J214" i="10"/>
  <c r="I214" i="10"/>
  <c r="K214" i="10"/>
  <c r="H214" i="10"/>
  <c r="L214" i="10"/>
  <c r="G215" i="10"/>
  <c r="H215" i="10"/>
  <c r="I215" i="10"/>
  <c r="J215" i="10"/>
  <c r="K215" i="10"/>
  <c r="L215" i="10"/>
  <c r="T215" i="10"/>
  <c r="U215" i="10"/>
  <c r="V215" i="10"/>
  <c r="W215" i="10"/>
  <c r="X215" i="10"/>
  <c r="Y215" i="10"/>
  <c r="G216" i="10"/>
  <c r="H216" i="10"/>
  <c r="I216" i="10"/>
  <c r="J216" i="10"/>
  <c r="K216" i="10"/>
  <c r="L216" i="10"/>
  <c r="M216" i="10"/>
  <c r="N216" i="10"/>
  <c r="O216" i="10"/>
  <c r="P216" i="10"/>
  <c r="Q216" i="10"/>
  <c r="R216" i="10"/>
  <c r="S216" i="10"/>
  <c r="T216" i="10"/>
  <c r="U216" i="10"/>
  <c r="V216" i="10"/>
  <c r="W216" i="10"/>
  <c r="X216" i="10"/>
  <c r="Y216" i="10"/>
  <c r="T232" i="10"/>
  <c r="W232" i="10"/>
  <c r="V232" i="10"/>
  <c r="X232" i="10"/>
  <c r="U232" i="10"/>
  <c r="Y232" i="10"/>
  <c r="G232" i="10"/>
  <c r="J232" i="10"/>
  <c r="I232" i="10"/>
  <c r="K232" i="10"/>
  <c r="H232" i="10"/>
  <c r="L232" i="10"/>
  <c r="M229" i="10"/>
  <c r="N229" i="10"/>
  <c r="Q229" i="10"/>
  <c r="P229" i="10"/>
  <c r="R229" i="10"/>
  <c r="O229" i="10"/>
  <c r="S229" i="10"/>
  <c r="J233" i="11"/>
  <c r="J231" i="11"/>
  <c r="J230" i="11"/>
  <c r="T203" i="10"/>
  <c r="W203" i="10"/>
  <c r="V203" i="10"/>
  <c r="X203" i="10"/>
  <c r="U203" i="10"/>
  <c r="Y203" i="10"/>
  <c r="G203" i="10"/>
  <c r="J203" i="10"/>
  <c r="I203" i="10"/>
  <c r="K203" i="10"/>
  <c r="H203" i="10"/>
  <c r="L203" i="10"/>
  <c r="T201" i="10"/>
  <c r="W201" i="10"/>
  <c r="V201" i="10"/>
  <c r="X201" i="10"/>
  <c r="U201" i="10"/>
  <c r="Y201" i="10"/>
  <c r="G201" i="10"/>
  <c r="J201" i="10"/>
  <c r="I201" i="10"/>
  <c r="K201" i="10"/>
  <c r="H201" i="10"/>
  <c r="L201" i="10"/>
  <c r="T200" i="10"/>
  <c r="W200" i="10"/>
  <c r="V200" i="10"/>
  <c r="X200" i="10"/>
  <c r="U200" i="10"/>
  <c r="Y200" i="10"/>
  <c r="G200" i="10"/>
  <c r="J200" i="10"/>
  <c r="I200" i="10"/>
  <c r="K200" i="10"/>
  <c r="H200" i="10"/>
  <c r="L200" i="10"/>
  <c r="O233" i="9"/>
  <c r="N233" i="9"/>
  <c r="M233" i="9"/>
  <c r="L233" i="9"/>
  <c r="K233" i="9"/>
  <c r="J233" i="9"/>
  <c r="I233" i="9"/>
  <c r="H233" i="9"/>
  <c r="G233" i="9"/>
  <c r="E233" i="9"/>
  <c r="D233" i="9"/>
  <c r="A233" i="9"/>
  <c r="O232" i="9"/>
  <c r="N232" i="9"/>
  <c r="M232" i="9"/>
  <c r="L232" i="9"/>
  <c r="K232" i="9"/>
  <c r="J232" i="9"/>
  <c r="I232" i="9"/>
  <c r="H232" i="9"/>
  <c r="G232" i="9"/>
  <c r="E232" i="9"/>
  <c r="D232" i="9"/>
  <c r="A232" i="9"/>
  <c r="O231" i="9"/>
  <c r="N231" i="9"/>
  <c r="M231" i="9"/>
  <c r="L231" i="9"/>
  <c r="K231" i="9"/>
  <c r="J231" i="9"/>
  <c r="I231" i="9"/>
  <c r="H231" i="9"/>
  <c r="G231" i="9"/>
  <c r="E231" i="9"/>
  <c r="D231" i="9"/>
  <c r="A231" i="9"/>
  <c r="O230" i="9"/>
  <c r="N230" i="9"/>
  <c r="M230" i="9"/>
  <c r="L230" i="9"/>
  <c r="K230" i="9"/>
  <c r="J230" i="9"/>
  <c r="I230" i="9"/>
  <c r="H230" i="9"/>
  <c r="G230" i="9"/>
  <c r="E230" i="9"/>
  <c r="D230" i="9"/>
  <c r="A230" i="9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J6" i="1"/>
  <c r="I6" i="1"/>
  <c r="D6" i="1"/>
  <c r="F6" i="1"/>
  <c r="E6" i="1"/>
  <c r="A6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26" i="1"/>
  <c r="AF26" i="1"/>
  <c r="AI26" i="1"/>
  <c r="AG26" i="1"/>
  <c r="AE26" i="1"/>
  <c r="X26" i="1"/>
  <c r="V26" i="1"/>
  <c r="T26" i="1"/>
  <c r="Q26" i="1"/>
  <c r="P26" i="1"/>
  <c r="O26" i="1"/>
  <c r="N26" i="1"/>
  <c r="M26" i="1"/>
  <c r="H26" i="1"/>
  <c r="J26" i="1"/>
  <c r="I26" i="1"/>
  <c r="D26" i="1"/>
  <c r="F26" i="1"/>
  <c r="E26" i="1"/>
  <c r="A26" i="1"/>
  <c r="AD36" i="1"/>
  <c r="AF36" i="1"/>
  <c r="AI36" i="1"/>
  <c r="AG36" i="1"/>
  <c r="AE36" i="1"/>
  <c r="E214" i="9"/>
  <c r="X36" i="1"/>
  <c r="V36" i="1"/>
  <c r="T36" i="1"/>
  <c r="Q36" i="1"/>
  <c r="P36" i="1"/>
  <c r="O36" i="1"/>
  <c r="N36" i="1"/>
  <c r="M36" i="1"/>
  <c r="H36" i="1"/>
  <c r="J36" i="1"/>
  <c r="I36" i="1"/>
  <c r="D36" i="1"/>
  <c r="F36" i="1"/>
  <c r="E36" i="1"/>
  <c r="A36" i="1"/>
  <c r="W9" i="7"/>
  <c r="U9" i="7"/>
  <c r="J225" i="11"/>
  <c r="O225" i="9"/>
  <c r="N225" i="9"/>
  <c r="M225" i="9"/>
  <c r="L225" i="9"/>
  <c r="K225" i="9"/>
  <c r="J225" i="9"/>
  <c r="I225" i="9"/>
  <c r="H225" i="9"/>
  <c r="G225" i="9"/>
  <c r="E225" i="9"/>
  <c r="D225" i="9"/>
  <c r="A225" i="9"/>
  <c r="O218" i="9"/>
  <c r="N218" i="9"/>
  <c r="M218" i="9"/>
  <c r="L218" i="9"/>
  <c r="K218" i="9"/>
  <c r="J218" i="9"/>
  <c r="I218" i="9"/>
  <c r="H218" i="9"/>
  <c r="G218" i="9"/>
  <c r="E218" i="9"/>
  <c r="D218" i="9"/>
  <c r="A218" i="9"/>
  <c r="J271" i="11"/>
  <c r="O271" i="9"/>
  <c r="N271" i="9"/>
  <c r="M271" i="9"/>
  <c r="L271" i="9"/>
  <c r="K271" i="9"/>
  <c r="J271" i="9"/>
  <c r="I271" i="9"/>
  <c r="H271" i="9"/>
  <c r="G271" i="9"/>
  <c r="E271" i="9"/>
  <c r="D271" i="9"/>
  <c r="A271" i="9"/>
  <c r="J270" i="11"/>
  <c r="O270" i="9"/>
  <c r="N270" i="9"/>
  <c r="M270" i="9"/>
  <c r="L270" i="9"/>
  <c r="K270" i="9"/>
  <c r="J270" i="9"/>
  <c r="I270" i="9"/>
  <c r="H270" i="9"/>
  <c r="G270" i="9"/>
  <c r="E270" i="9"/>
  <c r="D270" i="9"/>
  <c r="A270" i="9"/>
  <c r="J269" i="11"/>
  <c r="O269" i="9"/>
  <c r="N269" i="9"/>
  <c r="M269" i="9"/>
  <c r="L269" i="9"/>
  <c r="K269" i="9"/>
  <c r="J269" i="9"/>
  <c r="I269" i="9"/>
  <c r="H269" i="9"/>
  <c r="G269" i="9"/>
  <c r="E269" i="9"/>
  <c r="D269" i="9"/>
  <c r="A269" i="9"/>
  <c r="J268" i="11"/>
  <c r="O268" i="9"/>
  <c r="N268" i="9"/>
  <c r="M268" i="9"/>
  <c r="L268" i="9"/>
  <c r="K268" i="9"/>
  <c r="J268" i="9"/>
  <c r="I268" i="9"/>
  <c r="H268" i="9"/>
  <c r="G268" i="9"/>
  <c r="E268" i="9"/>
  <c r="D268" i="9"/>
  <c r="A268" i="9"/>
  <c r="J267" i="11"/>
  <c r="O267" i="9"/>
  <c r="N267" i="9"/>
  <c r="M267" i="9"/>
  <c r="L267" i="9"/>
  <c r="K267" i="9"/>
  <c r="J267" i="9"/>
  <c r="I267" i="9"/>
  <c r="H267" i="9"/>
  <c r="G267" i="9"/>
  <c r="E267" i="9"/>
  <c r="D267" i="9"/>
  <c r="A267" i="9"/>
  <c r="J265" i="11"/>
  <c r="O265" i="9"/>
  <c r="N265" i="9"/>
  <c r="M265" i="9"/>
  <c r="L265" i="9"/>
  <c r="K265" i="9"/>
  <c r="J265" i="9"/>
  <c r="I265" i="9"/>
  <c r="H265" i="9"/>
  <c r="G265" i="9"/>
  <c r="E265" i="9"/>
  <c r="D265" i="9"/>
  <c r="A265" i="9"/>
  <c r="J263" i="11"/>
  <c r="O263" i="9"/>
  <c r="N263" i="9"/>
  <c r="M263" i="9"/>
  <c r="L263" i="9"/>
  <c r="K263" i="9"/>
  <c r="J263" i="9"/>
  <c r="I263" i="9"/>
  <c r="H263" i="9"/>
  <c r="G263" i="9"/>
  <c r="E263" i="9"/>
  <c r="D263" i="9"/>
  <c r="A263" i="9"/>
  <c r="J262" i="11"/>
  <c r="O262" i="9"/>
  <c r="N262" i="9"/>
  <c r="M262" i="9"/>
  <c r="L262" i="9"/>
  <c r="K262" i="9"/>
  <c r="J262" i="9"/>
  <c r="I262" i="9"/>
  <c r="H262" i="9"/>
  <c r="G262" i="9"/>
  <c r="E262" i="9"/>
  <c r="D262" i="9"/>
  <c r="A262" i="9"/>
  <c r="J257" i="11"/>
  <c r="O257" i="9"/>
  <c r="N257" i="9"/>
  <c r="M257" i="9"/>
  <c r="L257" i="9"/>
  <c r="K257" i="9"/>
  <c r="J257" i="9"/>
  <c r="I257" i="9"/>
  <c r="H257" i="9"/>
  <c r="G257" i="9"/>
  <c r="E257" i="9"/>
  <c r="D257" i="9"/>
  <c r="A257" i="9"/>
  <c r="J256" i="11"/>
  <c r="O256" i="9"/>
  <c r="N256" i="9"/>
  <c r="M256" i="9"/>
  <c r="L256" i="9"/>
  <c r="K256" i="9"/>
  <c r="J256" i="9"/>
  <c r="I256" i="9"/>
  <c r="H256" i="9"/>
  <c r="G256" i="9"/>
  <c r="E256" i="9"/>
  <c r="D256" i="9"/>
  <c r="A256" i="9"/>
  <c r="J255" i="11"/>
  <c r="O255" i="9"/>
  <c r="N255" i="9"/>
  <c r="M255" i="9"/>
  <c r="L255" i="9"/>
  <c r="K255" i="9"/>
  <c r="J255" i="9"/>
  <c r="I255" i="9"/>
  <c r="H255" i="9"/>
  <c r="G255" i="9"/>
  <c r="E255" i="9"/>
  <c r="D255" i="9"/>
  <c r="A255" i="9"/>
  <c r="J254" i="11"/>
  <c r="O254" i="9"/>
  <c r="N254" i="9"/>
  <c r="M254" i="9"/>
  <c r="L254" i="9"/>
  <c r="K254" i="9"/>
  <c r="J254" i="9"/>
  <c r="I254" i="9"/>
  <c r="H254" i="9"/>
  <c r="G254" i="9"/>
  <c r="E254" i="9"/>
  <c r="D254" i="9"/>
  <c r="A254" i="9"/>
  <c r="J248" i="11"/>
  <c r="O248" i="9"/>
  <c r="N248" i="9"/>
  <c r="M248" i="9"/>
  <c r="L248" i="9"/>
  <c r="K248" i="9"/>
  <c r="J248" i="9"/>
  <c r="I248" i="9"/>
  <c r="H248" i="9"/>
  <c r="G248" i="9"/>
  <c r="E248" i="9"/>
  <c r="D248" i="9"/>
  <c r="A248" i="9"/>
  <c r="J247" i="11"/>
  <c r="O247" i="9"/>
  <c r="N247" i="9"/>
  <c r="M247" i="9"/>
  <c r="L247" i="9"/>
  <c r="K247" i="9"/>
  <c r="J247" i="9"/>
  <c r="I247" i="9"/>
  <c r="H247" i="9"/>
  <c r="G247" i="9"/>
  <c r="E247" i="9"/>
  <c r="D247" i="9"/>
  <c r="A247" i="9"/>
  <c r="J246" i="11"/>
  <c r="O246" i="9"/>
  <c r="N246" i="9"/>
  <c r="M246" i="9"/>
  <c r="L246" i="9"/>
  <c r="K246" i="9"/>
  <c r="J246" i="9"/>
  <c r="I246" i="9"/>
  <c r="H246" i="9"/>
  <c r="G246" i="9"/>
  <c r="E246" i="9"/>
  <c r="D246" i="9"/>
  <c r="A246" i="9"/>
  <c r="J240" i="11"/>
  <c r="O240" i="9"/>
  <c r="N240" i="9"/>
  <c r="M240" i="9"/>
  <c r="L240" i="9"/>
  <c r="K240" i="9"/>
  <c r="J240" i="9"/>
  <c r="I240" i="9"/>
  <c r="H240" i="9"/>
  <c r="G240" i="9"/>
  <c r="E240" i="9"/>
  <c r="D240" i="9"/>
  <c r="A240" i="9"/>
  <c r="J239" i="11"/>
  <c r="O239" i="9"/>
  <c r="N239" i="9"/>
  <c r="M239" i="9"/>
  <c r="L239" i="9"/>
  <c r="K239" i="9"/>
  <c r="J239" i="9"/>
  <c r="I239" i="9"/>
  <c r="H239" i="9"/>
  <c r="G239" i="9"/>
  <c r="E239" i="9"/>
  <c r="D239" i="9"/>
  <c r="A239" i="9"/>
  <c r="J238" i="11"/>
  <c r="O238" i="9"/>
  <c r="N238" i="9"/>
  <c r="M238" i="9"/>
  <c r="L238" i="9"/>
  <c r="K238" i="9"/>
  <c r="J238" i="9"/>
  <c r="I238" i="9"/>
  <c r="H238" i="9"/>
  <c r="G238" i="9"/>
  <c r="E238" i="9"/>
  <c r="D238" i="9"/>
  <c r="A238" i="9"/>
  <c r="O224" i="9"/>
  <c r="N224" i="9"/>
  <c r="M224" i="9"/>
  <c r="L224" i="9"/>
  <c r="K224" i="9"/>
  <c r="J224" i="9"/>
  <c r="I224" i="9"/>
  <c r="H224" i="9"/>
  <c r="G224" i="9"/>
  <c r="E224" i="9"/>
  <c r="D224" i="9"/>
  <c r="A224" i="9"/>
  <c r="J223" i="11"/>
  <c r="O223" i="9"/>
  <c r="N223" i="9"/>
  <c r="M223" i="9"/>
  <c r="L223" i="9"/>
  <c r="K223" i="9"/>
  <c r="J223" i="9"/>
  <c r="I223" i="9"/>
  <c r="H223" i="9"/>
  <c r="G223" i="9"/>
  <c r="E223" i="9"/>
  <c r="D223" i="9"/>
  <c r="A223" i="9"/>
  <c r="J222" i="11"/>
  <c r="O222" i="9"/>
  <c r="N222" i="9"/>
  <c r="M222" i="9"/>
  <c r="L222" i="9"/>
  <c r="K222" i="9"/>
  <c r="J222" i="9"/>
  <c r="I222" i="9"/>
  <c r="H222" i="9"/>
  <c r="G222" i="9"/>
  <c r="E222" i="9"/>
  <c r="D222" i="9"/>
  <c r="A222" i="9"/>
  <c r="J217" i="11"/>
  <c r="O217" i="9"/>
  <c r="N217" i="9"/>
  <c r="M217" i="9"/>
  <c r="L217" i="9"/>
  <c r="K217" i="9"/>
  <c r="J217" i="9"/>
  <c r="I217" i="9"/>
  <c r="H217" i="9"/>
  <c r="G217" i="9"/>
  <c r="E217" i="9"/>
  <c r="D217" i="9"/>
  <c r="A217" i="9"/>
  <c r="J215" i="11"/>
  <c r="O215" i="9"/>
  <c r="N215" i="9"/>
  <c r="M215" i="9"/>
  <c r="L215" i="9"/>
  <c r="K215" i="9"/>
  <c r="J215" i="9"/>
  <c r="I215" i="9"/>
  <c r="H215" i="9"/>
  <c r="G215" i="9"/>
  <c r="E215" i="9"/>
  <c r="D215" i="9"/>
  <c r="A215" i="9"/>
  <c r="J214" i="11"/>
  <c r="O214" i="9"/>
  <c r="N214" i="9"/>
  <c r="M214" i="9"/>
  <c r="L214" i="9"/>
  <c r="K214" i="9"/>
  <c r="J214" i="9"/>
  <c r="I214" i="9"/>
  <c r="H214" i="9"/>
  <c r="G214" i="9"/>
  <c r="D214" i="9"/>
  <c r="A214" i="9"/>
  <c r="J209" i="11"/>
  <c r="O209" i="9"/>
  <c r="N209" i="9"/>
  <c r="M209" i="9"/>
  <c r="L209" i="9"/>
  <c r="K209" i="9"/>
  <c r="J209" i="9"/>
  <c r="I209" i="9"/>
  <c r="H209" i="9"/>
  <c r="G209" i="9"/>
  <c r="E209" i="9"/>
  <c r="D209" i="9"/>
  <c r="A209" i="9"/>
  <c r="J204" i="11"/>
  <c r="O204" i="9"/>
  <c r="N204" i="9"/>
  <c r="M204" i="9"/>
  <c r="L204" i="9"/>
  <c r="K204" i="9"/>
  <c r="J204" i="9"/>
  <c r="I204" i="9"/>
  <c r="H204" i="9"/>
  <c r="G204" i="9"/>
  <c r="E204" i="9"/>
  <c r="D204" i="9"/>
  <c r="A204" i="9"/>
  <c r="O199" i="9"/>
  <c r="N199" i="9"/>
  <c r="M199" i="9"/>
  <c r="L199" i="9"/>
  <c r="K199" i="9"/>
  <c r="J199" i="9"/>
  <c r="I199" i="9"/>
  <c r="H199" i="9"/>
  <c r="G199" i="9"/>
  <c r="E199" i="9"/>
  <c r="D199" i="9"/>
  <c r="A199" i="9"/>
  <c r="T237" i="10"/>
  <c r="W237" i="10"/>
  <c r="V237" i="10"/>
  <c r="X237" i="10"/>
  <c r="U237" i="10"/>
  <c r="Y237" i="10"/>
  <c r="G237" i="10"/>
  <c r="J237" i="10"/>
  <c r="I237" i="10"/>
  <c r="K237" i="10"/>
  <c r="H237" i="10"/>
  <c r="L237" i="10"/>
  <c r="T236" i="10"/>
  <c r="W236" i="10"/>
  <c r="V236" i="10"/>
  <c r="X236" i="10"/>
  <c r="U236" i="10"/>
  <c r="Y236" i="10"/>
  <c r="G236" i="10"/>
  <c r="J236" i="10"/>
  <c r="I236" i="10"/>
  <c r="K236" i="10"/>
  <c r="H236" i="10"/>
  <c r="L236" i="10"/>
  <c r="T224" i="10"/>
  <c r="W224" i="10"/>
  <c r="V224" i="10"/>
  <c r="X224" i="10"/>
  <c r="U224" i="10"/>
  <c r="Y224" i="10"/>
  <c r="G224" i="10"/>
  <c r="J224" i="10"/>
  <c r="I224" i="10"/>
  <c r="K224" i="10"/>
  <c r="H224" i="10"/>
  <c r="L224" i="10"/>
  <c r="T231" i="10"/>
  <c r="W231" i="10"/>
  <c r="V231" i="10"/>
  <c r="X231" i="10"/>
  <c r="U231" i="10"/>
  <c r="Y231" i="10"/>
  <c r="G231" i="10"/>
  <c r="J231" i="10"/>
  <c r="I231" i="10"/>
  <c r="K231" i="10"/>
  <c r="H231" i="10"/>
  <c r="L231" i="10"/>
  <c r="T235" i="10"/>
  <c r="W235" i="10"/>
  <c r="V235" i="10"/>
  <c r="X235" i="10"/>
  <c r="U235" i="10"/>
  <c r="Y235" i="10"/>
  <c r="G235" i="10"/>
  <c r="J235" i="10"/>
  <c r="I235" i="10"/>
  <c r="K235" i="10"/>
  <c r="H235" i="10"/>
  <c r="L235" i="10"/>
  <c r="T234" i="10"/>
  <c r="W234" i="10"/>
  <c r="V234" i="10"/>
  <c r="X234" i="10"/>
  <c r="U234" i="10"/>
  <c r="Y234" i="10"/>
  <c r="G234" i="10"/>
  <c r="J234" i="10"/>
  <c r="I234" i="10"/>
  <c r="K234" i="10"/>
  <c r="H234" i="10"/>
  <c r="L234" i="10"/>
  <c r="T233" i="10"/>
  <c r="W233" i="10"/>
  <c r="V233" i="10"/>
  <c r="X233" i="10"/>
  <c r="U233" i="10"/>
  <c r="Y233" i="10"/>
  <c r="G233" i="10"/>
  <c r="J233" i="10"/>
  <c r="I233" i="10"/>
  <c r="K233" i="10"/>
  <c r="H233" i="10"/>
  <c r="L233" i="10"/>
  <c r="T230" i="10"/>
  <c r="W230" i="10"/>
  <c r="V230" i="10"/>
  <c r="X230" i="10"/>
  <c r="U230" i="10"/>
  <c r="Y230" i="10"/>
  <c r="G230" i="10"/>
  <c r="J230" i="10"/>
  <c r="I230" i="10"/>
  <c r="K230" i="10"/>
  <c r="H230" i="10"/>
  <c r="L230" i="10"/>
  <c r="T229" i="10"/>
  <c r="W229" i="10"/>
  <c r="V229" i="10"/>
  <c r="X229" i="10"/>
  <c r="U229" i="10"/>
  <c r="Y229" i="10"/>
  <c r="G229" i="10"/>
  <c r="J229" i="10"/>
  <c r="I229" i="10"/>
  <c r="K229" i="10"/>
  <c r="H229" i="10"/>
  <c r="L229" i="10"/>
  <c r="T228" i="10"/>
  <c r="W228" i="10"/>
  <c r="V228" i="10"/>
  <c r="X228" i="10"/>
  <c r="U228" i="10"/>
  <c r="Y228" i="10"/>
  <c r="G228" i="10"/>
  <c r="J228" i="10"/>
  <c r="I228" i="10"/>
  <c r="K228" i="10"/>
  <c r="H228" i="10"/>
  <c r="L228" i="10"/>
  <c r="T223" i="10"/>
  <c r="W223" i="10"/>
  <c r="V223" i="10"/>
  <c r="X223" i="10"/>
  <c r="U223" i="10"/>
  <c r="Y223" i="10"/>
  <c r="G223" i="10"/>
  <c r="J223" i="10"/>
  <c r="I223" i="10"/>
  <c r="K223" i="10"/>
  <c r="H223" i="10"/>
  <c r="L223" i="10"/>
  <c r="M222" i="10"/>
  <c r="T222" i="10"/>
  <c r="W222" i="10"/>
  <c r="V222" i="10"/>
  <c r="X222" i="10"/>
  <c r="U222" i="10"/>
  <c r="Y222" i="10"/>
  <c r="N222" i="10"/>
  <c r="Q222" i="10"/>
  <c r="P222" i="10"/>
  <c r="R222" i="10"/>
  <c r="O222" i="10"/>
  <c r="S222" i="10"/>
  <c r="G222" i="10"/>
  <c r="J222" i="10"/>
  <c r="I222" i="10"/>
  <c r="K222" i="10"/>
  <c r="H222" i="10"/>
  <c r="L222" i="10"/>
  <c r="M221" i="10"/>
  <c r="T221" i="10"/>
  <c r="W221" i="10"/>
  <c r="V221" i="10"/>
  <c r="X221" i="10"/>
  <c r="U221" i="10"/>
  <c r="Y221" i="10"/>
  <c r="N221" i="10"/>
  <c r="Q221" i="10"/>
  <c r="P221" i="10"/>
  <c r="R221" i="10"/>
  <c r="O221" i="10"/>
  <c r="S221" i="10"/>
  <c r="G221" i="10"/>
  <c r="J221" i="10"/>
  <c r="I221" i="10"/>
  <c r="K221" i="10"/>
  <c r="H221" i="10"/>
  <c r="L221" i="10"/>
  <c r="M196" i="10"/>
  <c r="T196" i="10"/>
  <c r="W196" i="10"/>
  <c r="V196" i="10"/>
  <c r="X196" i="10"/>
  <c r="U196" i="10"/>
  <c r="Y196" i="10"/>
  <c r="N196" i="10"/>
  <c r="Q196" i="10"/>
  <c r="P196" i="10"/>
  <c r="R196" i="10"/>
  <c r="O196" i="10"/>
  <c r="S196" i="10"/>
  <c r="G196" i="10"/>
  <c r="J196" i="10"/>
  <c r="I196" i="10"/>
  <c r="K196" i="10"/>
  <c r="H196" i="10"/>
  <c r="L196" i="10"/>
  <c r="M194" i="10"/>
  <c r="T194" i="10"/>
  <c r="W194" i="10"/>
  <c r="V194" i="10"/>
  <c r="X194" i="10"/>
  <c r="U194" i="10"/>
  <c r="Y194" i="10"/>
  <c r="N194" i="10"/>
  <c r="Q194" i="10"/>
  <c r="P194" i="10"/>
  <c r="R194" i="10"/>
  <c r="O194" i="10"/>
  <c r="S194" i="10"/>
  <c r="G194" i="10"/>
  <c r="J194" i="10"/>
  <c r="I194" i="10"/>
  <c r="K194" i="10"/>
  <c r="H194" i="10"/>
  <c r="L194" i="10"/>
  <c r="M193" i="10"/>
  <c r="T193" i="10"/>
  <c r="W193" i="10"/>
  <c r="V193" i="10"/>
  <c r="X193" i="10"/>
  <c r="U193" i="10"/>
  <c r="Y193" i="10"/>
  <c r="N193" i="10"/>
  <c r="Q193" i="10"/>
  <c r="P193" i="10"/>
  <c r="R193" i="10"/>
  <c r="O193" i="10"/>
  <c r="S193" i="10"/>
  <c r="G193" i="10"/>
  <c r="J193" i="10"/>
  <c r="I193" i="10"/>
  <c r="K193" i="10"/>
  <c r="H193" i="10"/>
  <c r="L193" i="10"/>
  <c r="M189" i="10"/>
  <c r="T189" i="10"/>
  <c r="W189" i="10"/>
  <c r="V189" i="10"/>
  <c r="X189" i="10"/>
  <c r="U189" i="10"/>
  <c r="Y189" i="10"/>
  <c r="N189" i="10"/>
  <c r="Q189" i="10"/>
  <c r="P189" i="10"/>
  <c r="R189" i="10"/>
  <c r="O189" i="10"/>
  <c r="S189" i="10"/>
  <c r="G189" i="10"/>
  <c r="J189" i="10"/>
  <c r="I189" i="10"/>
  <c r="K189" i="10"/>
  <c r="H189" i="10"/>
  <c r="L189" i="10"/>
  <c r="M187" i="10"/>
  <c r="T187" i="10"/>
  <c r="W187" i="10"/>
  <c r="V187" i="10"/>
  <c r="X187" i="10"/>
  <c r="U187" i="10"/>
  <c r="Y187" i="10"/>
  <c r="N187" i="10"/>
  <c r="Q187" i="10"/>
  <c r="P187" i="10"/>
  <c r="R187" i="10"/>
  <c r="O187" i="10"/>
  <c r="S187" i="10"/>
  <c r="G187" i="10"/>
  <c r="J187" i="10"/>
  <c r="I187" i="10"/>
  <c r="K187" i="10"/>
  <c r="H187" i="10"/>
  <c r="L187" i="10"/>
  <c r="M186" i="10"/>
  <c r="T186" i="10"/>
  <c r="W186" i="10"/>
  <c r="V186" i="10"/>
  <c r="X186" i="10"/>
  <c r="U186" i="10"/>
  <c r="Y186" i="10"/>
  <c r="N186" i="10"/>
  <c r="Q186" i="10"/>
  <c r="P186" i="10"/>
  <c r="R186" i="10"/>
  <c r="O186" i="10"/>
  <c r="S186" i="10"/>
  <c r="G186" i="10"/>
  <c r="J186" i="10"/>
  <c r="I186" i="10"/>
  <c r="K186" i="10"/>
  <c r="H186" i="10"/>
  <c r="L186" i="10"/>
  <c r="G178" i="10"/>
  <c r="H178" i="10"/>
  <c r="I178" i="10"/>
  <c r="J178" i="10"/>
  <c r="K178" i="10"/>
  <c r="L178" i="10"/>
  <c r="M178" i="10"/>
  <c r="N178" i="10"/>
  <c r="O178" i="10"/>
  <c r="P178" i="10"/>
  <c r="Q178" i="10"/>
  <c r="R178" i="10"/>
  <c r="S178" i="10"/>
  <c r="T178" i="10"/>
  <c r="U178" i="10"/>
  <c r="V178" i="10"/>
  <c r="W178" i="10"/>
  <c r="X178" i="10"/>
  <c r="Y178" i="10"/>
  <c r="G182" i="10"/>
  <c r="H182" i="10"/>
  <c r="I182" i="10"/>
  <c r="J182" i="10"/>
  <c r="K182" i="10"/>
  <c r="L182" i="10"/>
  <c r="M182" i="10"/>
  <c r="N182" i="10"/>
  <c r="O182" i="10"/>
  <c r="P182" i="10"/>
  <c r="Q182" i="10"/>
  <c r="R182" i="10"/>
  <c r="S182" i="10"/>
  <c r="T182" i="10"/>
  <c r="U182" i="10"/>
  <c r="V182" i="10"/>
  <c r="W182" i="10"/>
  <c r="X182" i="10"/>
  <c r="Y182" i="10"/>
  <c r="AD41" i="1"/>
  <c r="AF41" i="1"/>
  <c r="AI41" i="1"/>
  <c r="AG41" i="1"/>
  <c r="AE41" i="1"/>
  <c r="X41" i="1"/>
  <c r="V41" i="1"/>
  <c r="T41" i="1"/>
  <c r="Q41" i="1"/>
  <c r="P41" i="1"/>
  <c r="O41" i="1"/>
  <c r="N41" i="1"/>
  <c r="M41" i="1"/>
  <c r="H41" i="1"/>
  <c r="J41" i="1"/>
  <c r="I41" i="1"/>
  <c r="D41" i="1"/>
  <c r="F41" i="1"/>
  <c r="E41" i="1"/>
  <c r="A41" i="1"/>
  <c r="AD40" i="1"/>
  <c r="AF40" i="1"/>
  <c r="AI40" i="1"/>
  <c r="AG40" i="1"/>
  <c r="AE40" i="1"/>
  <c r="X40" i="1"/>
  <c r="V40" i="1"/>
  <c r="T40" i="1"/>
  <c r="Q40" i="1"/>
  <c r="P40" i="1"/>
  <c r="O40" i="1"/>
  <c r="N40" i="1"/>
  <c r="M40" i="1"/>
  <c r="H40" i="1"/>
  <c r="J40" i="1"/>
  <c r="I40" i="1"/>
  <c r="D40" i="1"/>
  <c r="F40" i="1"/>
  <c r="E40" i="1"/>
  <c r="A40" i="1"/>
  <c r="AD39" i="1"/>
  <c r="AF39" i="1"/>
  <c r="AI39" i="1"/>
  <c r="AG39" i="1"/>
  <c r="AE39" i="1"/>
  <c r="X39" i="1"/>
  <c r="V39" i="1"/>
  <c r="T39" i="1"/>
  <c r="Q39" i="1"/>
  <c r="P39" i="1"/>
  <c r="O39" i="1"/>
  <c r="N39" i="1"/>
  <c r="M39" i="1"/>
  <c r="H39" i="1"/>
  <c r="J39" i="1"/>
  <c r="I39" i="1"/>
  <c r="D39" i="1"/>
  <c r="F39" i="1"/>
  <c r="E39" i="1"/>
  <c r="A39" i="1"/>
  <c r="AD38" i="1"/>
  <c r="AF38" i="1"/>
  <c r="AI38" i="1"/>
  <c r="AG38" i="1"/>
  <c r="AE38" i="1"/>
  <c r="X38" i="1"/>
  <c r="V38" i="1"/>
  <c r="T38" i="1"/>
  <c r="Q38" i="1"/>
  <c r="P38" i="1"/>
  <c r="O38" i="1"/>
  <c r="N38" i="1"/>
  <c r="M38" i="1"/>
  <c r="H38" i="1"/>
  <c r="J38" i="1"/>
  <c r="I38" i="1"/>
  <c r="D38" i="1"/>
  <c r="F38" i="1"/>
  <c r="E38" i="1"/>
  <c r="A38" i="1"/>
  <c r="AD37" i="1"/>
  <c r="AF37" i="1"/>
  <c r="AI37" i="1"/>
  <c r="AG37" i="1"/>
  <c r="AE37" i="1"/>
  <c r="X37" i="1"/>
  <c r="V37" i="1"/>
  <c r="T37" i="1"/>
  <c r="Q37" i="1"/>
  <c r="P37" i="1"/>
  <c r="O37" i="1"/>
  <c r="N37" i="1"/>
  <c r="M37" i="1"/>
  <c r="H37" i="1"/>
  <c r="J37" i="1"/>
  <c r="I37" i="1"/>
  <c r="D37" i="1"/>
  <c r="F37" i="1"/>
  <c r="E37" i="1"/>
  <c r="A37" i="1"/>
  <c r="AF35" i="1"/>
  <c r="AI35" i="1"/>
  <c r="AG35" i="1"/>
  <c r="AE35" i="1"/>
  <c r="X35" i="1"/>
  <c r="V35" i="1"/>
  <c r="T35" i="1"/>
  <c r="Q35" i="1"/>
  <c r="P35" i="1"/>
  <c r="O35" i="1"/>
  <c r="N35" i="1"/>
  <c r="M35" i="1"/>
  <c r="H35" i="1"/>
  <c r="J35" i="1"/>
  <c r="I35" i="1"/>
  <c r="D35" i="1"/>
  <c r="F35" i="1"/>
  <c r="E35" i="1"/>
  <c r="A35" i="1"/>
  <c r="AF34" i="1"/>
  <c r="AI34" i="1"/>
  <c r="AG34" i="1"/>
  <c r="AE34" i="1"/>
  <c r="X34" i="1"/>
  <c r="V34" i="1"/>
  <c r="T34" i="1"/>
  <c r="Q34" i="1"/>
  <c r="P34" i="1"/>
  <c r="O34" i="1"/>
  <c r="N34" i="1"/>
  <c r="M34" i="1"/>
  <c r="H34" i="1"/>
  <c r="J34" i="1"/>
  <c r="I34" i="1"/>
  <c r="D34" i="1"/>
  <c r="F34" i="1"/>
  <c r="E34" i="1"/>
  <c r="A34" i="1"/>
  <c r="AF33" i="1"/>
  <c r="AI33" i="1"/>
  <c r="AG33" i="1"/>
  <c r="AE33" i="1"/>
  <c r="X33" i="1"/>
  <c r="V33" i="1"/>
  <c r="T33" i="1"/>
  <c r="Q33" i="1"/>
  <c r="P33" i="1"/>
  <c r="O33" i="1"/>
  <c r="N33" i="1"/>
  <c r="M33" i="1"/>
  <c r="H33" i="1"/>
  <c r="J33" i="1"/>
  <c r="I33" i="1"/>
  <c r="D33" i="1"/>
  <c r="F33" i="1"/>
  <c r="E33" i="1"/>
  <c r="A33" i="1"/>
  <c r="AF32" i="1"/>
  <c r="AI32" i="1"/>
  <c r="AG32" i="1"/>
  <c r="AE32" i="1"/>
  <c r="E194" i="9"/>
  <c r="X32" i="1"/>
  <c r="V32" i="1"/>
  <c r="T32" i="1"/>
  <c r="Q32" i="1"/>
  <c r="P32" i="1"/>
  <c r="O32" i="1"/>
  <c r="N32" i="1"/>
  <c r="M32" i="1"/>
  <c r="H32" i="1"/>
  <c r="J32" i="1"/>
  <c r="I32" i="1"/>
  <c r="D32" i="1"/>
  <c r="F32" i="1"/>
  <c r="E32" i="1"/>
  <c r="A32" i="1"/>
  <c r="AD31" i="1"/>
  <c r="AF31" i="1"/>
  <c r="AI31" i="1"/>
  <c r="AG31" i="1"/>
  <c r="AE31" i="1"/>
  <c r="X31" i="1"/>
  <c r="V31" i="1"/>
  <c r="T31" i="1"/>
  <c r="Q31" i="1"/>
  <c r="P31" i="1"/>
  <c r="O31" i="1"/>
  <c r="N31" i="1"/>
  <c r="M31" i="1"/>
  <c r="H31" i="1"/>
  <c r="J31" i="1"/>
  <c r="I31" i="1"/>
  <c r="D31" i="1"/>
  <c r="F31" i="1"/>
  <c r="E31" i="1"/>
  <c r="A31" i="1"/>
  <c r="AD30" i="1"/>
  <c r="AF30" i="1"/>
  <c r="AI30" i="1"/>
  <c r="AG30" i="1"/>
  <c r="AE30" i="1"/>
  <c r="X30" i="1"/>
  <c r="V30" i="1"/>
  <c r="T30" i="1"/>
  <c r="Q30" i="1"/>
  <c r="P30" i="1"/>
  <c r="O30" i="1"/>
  <c r="N30" i="1"/>
  <c r="M30" i="1"/>
  <c r="H30" i="1"/>
  <c r="J30" i="1"/>
  <c r="I30" i="1"/>
  <c r="D30" i="1"/>
  <c r="F30" i="1"/>
  <c r="E30" i="1"/>
  <c r="A30" i="1"/>
  <c r="AD29" i="1"/>
  <c r="AF29" i="1"/>
  <c r="AI29" i="1"/>
  <c r="AG29" i="1"/>
  <c r="AE29" i="1"/>
  <c r="X29" i="1"/>
  <c r="V29" i="1"/>
  <c r="T29" i="1"/>
  <c r="Q29" i="1"/>
  <c r="P29" i="1"/>
  <c r="O29" i="1"/>
  <c r="N29" i="1"/>
  <c r="M29" i="1"/>
  <c r="H29" i="1"/>
  <c r="J29" i="1"/>
  <c r="I29" i="1"/>
  <c r="D29" i="1"/>
  <c r="F29" i="1"/>
  <c r="E29" i="1"/>
  <c r="A29" i="1"/>
  <c r="AD28" i="1"/>
  <c r="AF28" i="1"/>
  <c r="AI28" i="1"/>
  <c r="AG28" i="1"/>
  <c r="AE28" i="1"/>
  <c r="X28" i="1"/>
  <c r="V28" i="1"/>
  <c r="T28" i="1"/>
  <c r="Q28" i="1"/>
  <c r="P28" i="1"/>
  <c r="O28" i="1"/>
  <c r="N28" i="1"/>
  <c r="M28" i="1"/>
  <c r="H28" i="1"/>
  <c r="J28" i="1"/>
  <c r="I28" i="1"/>
  <c r="D28" i="1"/>
  <c r="F28" i="1"/>
  <c r="E28" i="1"/>
  <c r="A28" i="1"/>
  <c r="AD27" i="1"/>
  <c r="AF27" i="1"/>
  <c r="AI27" i="1"/>
  <c r="AG27" i="1"/>
  <c r="AE27" i="1"/>
  <c r="X27" i="1"/>
  <c r="V27" i="1"/>
  <c r="T27" i="1"/>
  <c r="Q27" i="1"/>
  <c r="P27" i="1"/>
  <c r="O27" i="1"/>
  <c r="N27" i="1"/>
  <c r="M27" i="1"/>
  <c r="H27" i="1"/>
  <c r="J27" i="1"/>
  <c r="I27" i="1"/>
  <c r="D27" i="1"/>
  <c r="F27" i="1"/>
  <c r="E27" i="1"/>
  <c r="A27" i="1"/>
  <c r="AD25" i="1"/>
  <c r="AF25" i="1"/>
  <c r="AI25" i="1"/>
  <c r="AG25" i="1"/>
  <c r="AE25" i="1"/>
  <c r="X25" i="1"/>
  <c r="V25" i="1"/>
  <c r="T25" i="1"/>
  <c r="Q25" i="1"/>
  <c r="P25" i="1"/>
  <c r="O25" i="1"/>
  <c r="N25" i="1"/>
  <c r="M25" i="1"/>
  <c r="H25" i="1"/>
  <c r="J25" i="1"/>
  <c r="I25" i="1"/>
  <c r="D25" i="1"/>
  <c r="F25" i="1"/>
  <c r="E25" i="1"/>
  <c r="A25" i="1"/>
  <c r="AD24" i="1"/>
  <c r="AF24" i="1"/>
  <c r="AI24" i="1"/>
  <c r="AG24" i="1"/>
  <c r="AE24" i="1"/>
  <c r="X24" i="1"/>
  <c r="V24" i="1"/>
  <c r="T24" i="1"/>
  <c r="Q24" i="1"/>
  <c r="P24" i="1"/>
  <c r="O24" i="1"/>
  <c r="N24" i="1"/>
  <c r="M24" i="1"/>
  <c r="H24" i="1"/>
  <c r="J24" i="1"/>
  <c r="I24" i="1"/>
  <c r="D24" i="1"/>
  <c r="F24" i="1"/>
  <c r="E24" i="1"/>
  <c r="A24" i="1"/>
  <c r="AD23" i="1"/>
  <c r="AF23" i="1"/>
  <c r="AI23" i="1"/>
  <c r="AG23" i="1"/>
  <c r="AE23" i="1"/>
  <c r="X23" i="1"/>
  <c r="V23" i="1"/>
  <c r="T23" i="1"/>
  <c r="Q23" i="1"/>
  <c r="P23" i="1"/>
  <c r="O23" i="1"/>
  <c r="N23" i="1"/>
  <c r="M23" i="1"/>
  <c r="H23" i="1"/>
  <c r="J23" i="1"/>
  <c r="I23" i="1"/>
  <c r="D23" i="1"/>
  <c r="F23" i="1"/>
  <c r="E23" i="1"/>
  <c r="A23" i="1"/>
  <c r="AD22" i="1"/>
  <c r="AF22" i="1"/>
  <c r="AI22" i="1"/>
  <c r="AG22" i="1"/>
  <c r="AE22" i="1"/>
  <c r="X22" i="1"/>
  <c r="V22" i="1"/>
  <c r="T22" i="1"/>
  <c r="Q22" i="1"/>
  <c r="P22" i="1"/>
  <c r="O22" i="1"/>
  <c r="N22" i="1"/>
  <c r="M22" i="1"/>
  <c r="H22" i="1"/>
  <c r="J22" i="1"/>
  <c r="I22" i="1"/>
  <c r="D22" i="1"/>
  <c r="F22" i="1"/>
  <c r="E22" i="1"/>
  <c r="A22" i="1"/>
  <c r="AD21" i="1"/>
  <c r="AF21" i="1"/>
  <c r="AI21" i="1"/>
  <c r="AG21" i="1"/>
  <c r="AE21" i="1"/>
  <c r="X21" i="1"/>
  <c r="V21" i="1"/>
  <c r="T21" i="1"/>
  <c r="Q21" i="1"/>
  <c r="P21" i="1"/>
  <c r="O21" i="1"/>
  <c r="N21" i="1"/>
  <c r="M21" i="1"/>
  <c r="H21" i="1"/>
  <c r="J21" i="1"/>
  <c r="I21" i="1"/>
  <c r="D21" i="1"/>
  <c r="F21" i="1"/>
  <c r="E21" i="1"/>
  <c r="A21" i="1"/>
  <c r="AD20" i="1"/>
  <c r="AF20" i="1"/>
  <c r="AI20" i="1"/>
  <c r="AG20" i="1"/>
  <c r="AE20" i="1"/>
  <c r="X20" i="1"/>
  <c r="V20" i="1"/>
  <c r="T20" i="1"/>
  <c r="Q20" i="1"/>
  <c r="P20" i="1"/>
  <c r="O20" i="1"/>
  <c r="N20" i="1"/>
  <c r="M20" i="1"/>
  <c r="H20" i="1"/>
  <c r="J20" i="1"/>
  <c r="I20" i="1"/>
  <c r="D20" i="1"/>
  <c r="F20" i="1"/>
  <c r="E20" i="1"/>
  <c r="A20" i="1"/>
  <c r="AD19" i="1"/>
  <c r="AF19" i="1"/>
  <c r="AI19" i="1"/>
  <c r="AG19" i="1"/>
  <c r="AE19" i="1"/>
  <c r="X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R3" i="7"/>
  <c r="Q3" i="7"/>
  <c r="P3" i="7"/>
  <c r="O3" i="7"/>
  <c r="H3" i="7"/>
  <c r="J3" i="7"/>
  <c r="I3" i="7"/>
  <c r="D3" i="7"/>
  <c r="F3" i="7"/>
  <c r="E3" i="7"/>
  <c r="A3" i="7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17" i="2"/>
  <c r="E17" i="2"/>
  <c r="D17" i="2"/>
  <c r="H2" i="1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C2" i="18"/>
  <c r="D2" i="18"/>
  <c r="O194" i="9"/>
  <c r="N194" i="9"/>
  <c r="M194" i="9"/>
  <c r="L194" i="9"/>
  <c r="K194" i="9"/>
  <c r="J194" i="9"/>
  <c r="I194" i="9"/>
  <c r="H194" i="9"/>
  <c r="G194" i="9"/>
  <c r="D194" i="9"/>
  <c r="E9" i="16"/>
  <c r="R2" i="7"/>
  <c r="Q2" i="7"/>
  <c r="P2" i="7"/>
  <c r="O2" i="7"/>
  <c r="AD2" i="1"/>
  <c r="AG2" i="1"/>
  <c r="AF2" i="1"/>
  <c r="AE2" i="1"/>
  <c r="X2" i="1"/>
  <c r="Q2" i="1"/>
  <c r="P2" i="1"/>
  <c r="O2" i="1"/>
  <c r="N2" i="1"/>
  <c r="M2" i="1"/>
  <c r="H2" i="7"/>
  <c r="J2" i="7"/>
  <c r="E8" i="16"/>
  <c r="E7" i="16"/>
  <c r="E6" i="16"/>
  <c r="E5" i="16"/>
  <c r="E4" i="16"/>
  <c r="E3" i="16"/>
  <c r="E2" i="16"/>
  <c r="A2" i="1"/>
  <c r="AI2" i="1"/>
  <c r="A194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<sst xmlns="http://schemas.openxmlformats.org/spreadsheetml/2006/main" count="2864" uniqueCount="613">
  <si>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</si>
  <si>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</si>
  <si>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</si>
  <si>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</si>
  <si>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</si>
  <si>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</si>
  <si>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</si>
  <si>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</si>
  <si>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</si>
  <si>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</si>
  <si>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</si>
  <si>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</si>
  <si>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</si>
  <si>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</si>
  <si>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</si>
  <si>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</si>
  <si>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</si>
  <si>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</si>
  <si>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</si>
  <si>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</si>
  <si>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</si>
  <si>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</si>
  <si>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</si>
  <si>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</si>
  <si>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</si>
  <si>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</si>
  <si>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</si>
  <si>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</si>
  <si>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</si>
  <si>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</si>
  <si>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</si>
  <si>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</si>
  <si>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</si>
  <si>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</si>
  <si>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</si>
  <si>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</si>
  <si>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</si>
  <si>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</si>
  <si>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</si>
  <si>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</si>
  <si>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</si>
  <si>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</si>
  <si>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</si>
  <si>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</si>
  <si>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</si>
  <si>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</si>
  <si>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</si>
  <si>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</si>
  <si>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</si>
  <si>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</si>
  <si>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</si>
  <si>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</si>
  <si>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</si>
  <si>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</si>
  <si>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</si>
  <si>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</si>
  <si>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</si>
  <si>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</si>
  <si>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</si>
  <si>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</si>
  <si>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</si>
  <si>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</si>
  <si>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</si>
  <si>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</si>
  <si>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</si>
  <si>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</si>
  <si>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</si>
  <si>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</si>
  <si>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</si>
  <si>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</si>
  <si>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</si>
  <si>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</si>
  <si>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</si>
  <si>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</si>
  <si>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</si>
  <si>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</si>
  <si>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</si>
  <si>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</si>
  <si>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</si>
  <si>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</si>
  <si>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</si>
  <si>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</si>
  <si>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</si>
  <si>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</si>
  <si>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</si>
  <si>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</si>
  <si>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</si>
  <si>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</si>
  <si>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</si>
  <si>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</si>
  <si>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</si>
  <si>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</si>
  <si>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</si>
  <si>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</si>
  <si>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</si>
  <si>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</si>
  <si>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</si>
  <si>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</si>
  <si>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</si>
  <si>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</si>
  <si>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</si>
  <si>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</si>
  <si>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</si>
  <si>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</si>
  <si>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</si>
  <si>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</si>
  <si>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</si>
  <si>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</si>
  <si>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</si>
  <si>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</si>
  <si>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</si>
  <si>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</si>
  <si>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</si>
  <si>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</si>
  <si>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</si>
  <si>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</si>
  <si>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</si>
  <si>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</si>
  <si>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</si>
  <si>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</si>
  <si>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</si>
  <si>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</si>
  <si>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</si>
  <si>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</si>
  <si>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</si>
  <si>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</si>
  <si>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</si>
  <si>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</si>
  <si>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</si>
  <si>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</si>
  <si>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</si>
  <si>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</si>
  <si>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</si>
  <si>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</si>
  <si>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</si>
  <si>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</si>
  <si>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</si>
  <si>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</si>
  <si>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</si>
  <si>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</si>
  <si>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</si>
  <si>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</si>
  <si>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</si>
  <si>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</si>
  <si>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</si>
  <si>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</si>
  <si>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</si>
  <si>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</si>
  <si>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</si>
  <si>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</si>
  <si>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</si>
  <si>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</si>
  <si>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</si>
  <si>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</si>
  <si>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</si>
  <si>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</si>
  <si>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</si>
  <si>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</si>
  <si>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</si>
  <si>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</si>
  <si>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</si>
  <si>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</si>
  <si>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</si>
  <si>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</si>
  <si>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</si>
  <si>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</si>
  <si>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</si>
  <si>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</si>
  <si>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</si>
  <si>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</si>
  <si>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</si>
  <si>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</si>
  <si>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</si>
  <si>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</si>
  <si>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</si>
  <si>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</si>
  <si>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</si>
  <si>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</si>
  <si>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</si>
  <si>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</si>
  <si>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</si>
  <si>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</si>
  <si>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</si>
  <si>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</si>
  <si>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</si>
  <si>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</si>
  <si>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</si>
  <si>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</si>
  <si>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</si>
  <si>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</si>
  <si>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</si>
  <si>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</si>
  <si>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</si>
  <si>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</si>
  <si>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</si>
  <si>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</si>
  <si>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</si>
  <si>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</si>
  <si>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</si>
  <si>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</si>
  <si>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</si>
  <si>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</si>
  <si>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</si>
  <si>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</si>
  <si>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</si>
  <si>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</si>
  <si>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</si>
  <si>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</si>
  <si>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</si>
  <si>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</si>
  <si>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</si>
  <si>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</si>
  <si>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</si>
  <si>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</si>
  <si>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</si>
  <si>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</si>
  <si>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</si>
  <si>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</si>
  <si>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</si>
  <si>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</si>
  <si>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</si>
  <si>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</si>
  <si>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</si>
  <si>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</si>
  <si>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</si>
  <si>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</si>
  <si>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</si>
  <si>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</si>
  <si>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</si>
  <si>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</si>
  <si>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</si>
  <si>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</si>
  <si>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</si>
  <si>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</si>
  <si>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</si>
  <si>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</si>
  <si>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</si>
  <si>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</si>
  <si>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</si>
  <si>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</si>
  <si>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</si>
  <si>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</si>
  <si>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</si>
  <si>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</si>
  <si>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</si>
  <si>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</si>
  <si>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</si>
  <si>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</si>
  <si>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</si>
  <si>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</si>
  <si>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</si>
  <si>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</si>
  <si>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  <phoneticPr fontId="5"/>
  </si>
  <si>
    <t>null</t>
    <phoneticPr fontId="5"/>
  </si>
  <si>
    <t>47003_1-4/1053&lt;lv40&gt;sq1st2</t>
  </si>
  <si>
    <t>47003_1</t>
  </si>
  <si>
    <t>(仮)ハロウィンウィザード襲来！</t>
  </si>
  <si>
    <t>(仮)【上級】ハロウィンWiz襲来</t>
  </si>
  <si>
    <t>47003_1-4</t>
  </si>
  <si>
    <t>yellow</t>
  </si>
  <si>
    <t>DropWizS</t>
  </si>
  <si>
    <t>god</t>
  </si>
  <si>
    <t>47003_2-4/1053&lt;lv40&gt;sq1st3</t>
  </si>
  <si>
    <t>47003_2</t>
  </si>
  <si>
    <t>(仮)【超級】ハロウィンWiz襲来</t>
  </si>
  <si>
    <t>47003_2-4</t>
  </si>
  <si>
    <t>[effect:enemy_message, val1:1.0, val2:1.8],[effect:fix_speed, target:myself, turn:1]</t>
    <phoneticPr fontId="5"/>
  </si>
  <si>
    <t>[effect:enemy_message, val1:1.0, val2:1.8],[effect:fix_speed, target:myself, turn:1]</t>
    <phoneticPr fontId="5"/>
  </si>
  <si>
    <t>null</t>
    <phoneticPr fontId="5"/>
  </si>
  <si>
    <t xml:space="preserve">[effect:break_attack_fix, target:unit_one, val:200, lowest_val:10000, count:-1, color:yellow, block01:block_yellow]    </t>
    <phoneticPr fontId="5"/>
  </si>
  <si>
    <t>[effect:change_bomb_range, target:unit_demon, val:1.2, rate:1, turn:-1, animation:bomb_big],[effect:suicide, target:myself, val:0.95, dead_type:escape]</t>
    <phoneticPr fontId="5"/>
  </si>
  <si>
    <t>[effect:change_bomb_range, target:unit_demon, val:1.2, rate:1, turn:-1, animation:bomb_big],[effect:suicide, target:myself, val:0.95, dead_type:escape]</t>
    <phoneticPr fontId="5"/>
  </si>
  <si>
    <t>[effect:critical, val:1.5, animation:enemy_critical]</t>
    <phoneticPr fontId="5"/>
  </si>
  <si>
    <t>[effect:enemy_message, val1:1.0, val2:0]</t>
    <phoneticPr fontId="5"/>
  </si>
  <si>
    <t>null</t>
    <phoneticPr fontId="5"/>
  </si>
  <si>
    <t>null</t>
    <phoneticPr fontId="5"/>
  </si>
  <si>
    <t>null</t>
    <phoneticPr fontId="5"/>
  </si>
  <si>
    <t>[effect:damage_anti_abnormal, target:unit_all, target_effect01:dark, val1:0.9, val2:0.4],[effect:fix_speed, target:myself, turn:1]</t>
    <phoneticPr fontId="5"/>
  </si>
  <si>
    <t>[effect:critical, val:1.5, animation:enemy_critical]</t>
    <phoneticPr fontId="5"/>
  </si>
  <si>
    <t>[effect:rush, count:3, val:0.4]</t>
    <phoneticPr fontId="5"/>
  </si>
  <si>
    <t>(表示しない）</t>
  </si>
  <si>
    <t>[effect:enemy_message, val1:1.0, val2:0]</t>
    <phoneticPr fontId="5"/>
  </si>
  <si>
    <t>ふふ…月が綺麗な夜ですね…</t>
  </si>
  <si>
    <t>ふふふっ、ステキな魔法をかけてくださいな♪</t>
  </si>
  <si>
    <t>姫様、城までエスコートしようか？</t>
  </si>
  <si>
    <t>あ〜あ、見つかっちゃたかぁ〜♪</t>
  </si>
  <si>
    <t>[effect:rush, count:3, val:0.4]</t>
    <phoneticPr fontId="5"/>
  </si>
  <si>
    <t>はっぴーはろうぃんだワン！</t>
    <phoneticPr fontId="5"/>
  </si>
  <si>
    <t>魔女さん！
ぼくに魔法をかけてワン！</t>
    <phoneticPr fontId="5"/>
  </si>
  <si>
    <t>(表示しない)</t>
    <phoneticPr fontId="5"/>
  </si>
  <si>
    <t>き、キレイなお姫様だワン…</t>
    <phoneticPr fontId="5"/>
  </si>
  <si>
    <t>リ…リリリッ！！</t>
    <phoneticPr fontId="5"/>
  </si>
  <si>
    <t>(表示しない)</t>
    <phoneticPr fontId="5"/>
  </si>
  <si>
    <t>種族デーモンのボムの爆風を20%UP</t>
    <phoneticPr fontId="5"/>
  </si>
  <si>
    <t>(表示しない）</t>
    <phoneticPr fontId="5"/>
  </si>
  <si>
    <t>まじょさん！
そのぼうしいいなー！</t>
    <phoneticPr fontId="5"/>
  </si>
  <si>
    <t>お菓子ですか…えーと…</t>
    <phoneticPr fontId="5"/>
  </si>
  <si>
    <t>…はっ！　いえっ、なんでもないですぅ！</t>
    <phoneticPr fontId="5"/>
  </si>
  <si>
    <t>狼狽するシークレットキーパー</t>
    <phoneticPr fontId="5"/>
  </si>
  <si>
    <t>ダメージパネルを3個生成+単体攻撃</t>
    <phoneticPr fontId="5"/>
  </si>
  <si>
    <t>クッキー・クラッカー</t>
    <phoneticPr fontId="5"/>
  </si>
  <si>
    <t>3回連続攻撃</t>
    <phoneticPr fontId="5"/>
  </si>
  <si>
    <t>はわ〜！　とっても可愛いですぅ！
アメいりますか〜？</t>
    <phoneticPr fontId="5"/>
  </si>
  <si>
    <t>黄パネルドロップDOWN</t>
    <phoneticPr fontId="5"/>
  </si>
  <si>
    <t>キレイなお姫さま、
私もお城に連れて行ってください〜</t>
    <phoneticPr fontId="5"/>
  </si>
  <si>
    <t>あうぅ、カッコイイ吸血鬼さん
血は吸わないでくださいぃ〜</t>
    <phoneticPr fontId="5"/>
  </si>
  <si>
    <t>異教徒どもが我が物顔で…</t>
    <phoneticPr fontId="5"/>
  </si>
  <si>
    <t>異端の祭事は、菓子の様に甘くないぞ！</t>
    <phoneticPr fontId="5"/>
  </si>
  <si>
    <t>さぁ、踊るがいい！</t>
    <phoneticPr fontId="5"/>
  </si>
  <si>
    <t>ゴート・オー・ランタン</t>
    <phoneticPr fontId="5"/>
  </si>
  <si>
    <t>黒き異端の災断</t>
    <phoneticPr fontId="5"/>
  </si>
  <si>
    <t>クリティカル！</t>
    <phoneticPr fontId="5"/>
  </si>
  <si>
    <t>ふっ…可愛らしい魔女だな…
お菓子が欲しいのか？</t>
    <phoneticPr fontId="5"/>
  </si>
  <si>
    <t>古城の姫か、ラプンツェル
横にいる執事もお似合いだな</t>
    <phoneticPr fontId="5"/>
  </si>
  <si>
    <t>勇ましい円卓の騎士も
祭事にはノリノリだな</t>
    <phoneticPr fontId="5"/>
  </si>
  <si>
    <t>随分騒がしい夜だね…</t>
    <phoneticPr fontId="5"/>
  </si>
  <si>
    <t>この喧騒がまたボクを孤独にするんだ…</t>
    <phoneticPr fontId="5"/>
  </si>
  <si>
    <t>悪戯人形</t>
    <phoneticPr fontId="5"/>
  </si>
  <si>
    <t>魂を手繰る三糸</t>
    <phoneticPr fontId="5"/>
  </si>
  <si>
    <t>ボクに近づかない方がいい…</t>
    <phoneticPr fontId="5"/>
  </si>
  <si>
    <t>小さな魔女…
ボクが闇の力を分けてあげるよ</t>
    <phoneticPr fontId="5"/>
  </si>
  <si>
    <t>美しい姫君か…
闇に染まったボクを倒せるかな？</t>
    <phoneticPr fontId="5"/>
  </si>
  <si>
    <t>常闇の帝王、ヴァンパイア…
その実力見せてもらうよ</t>
    <phoneticPr fontId="5"/>
  </si>
  <si>
    <t>ならば、私も負けずに輝きます！</t>
    <phoneticPr fontId="5"/>
  </si>
  <si>
    <t>ビリビリします！</t>
    <phoneticPr fontId="5"/>
  </si>
  <si>
    <t>闇夜を切り裂く雷光</t>
    <phoneticPr fontId="5"/>
  </si>
  <si>
    <t>スティング・オブ・ブラックローズ</t>
    <phoneticPr fontId="5"/>
  </si>
  <si>
    <t>お菓子…？　いえ、私は何も…</t>
    <phoneticPr fontId="5"/>
  </si>
  <si>
    <t>そうですか…どうりで皆さん殺気立って…</t>
    <phoneticPr fontId="5"/>
  </si>
  <si>
    <t>あら、ずいぶん凛々しい吸血鬼さん
私の血は吸わせませんよ♪</t>
    <phoneticPr fontId="5"/>
  </si>
  <si>
    <t>ハートパネル＆ハートボムパネルを吸収して攻撃</t>
    <phoneticPr fontId="5"/>
  </si>
  <si>
    <t>やるな、だがこれはどうだ！</t>
    <phoneticPr fontId="5"/>
  </si>
  <si>
    <t>吸血剣・バットラス</t>
    <phoneticPr fontId="5"/>
  </si>
  <si>
    <t>楽しい夜だな！　熱くなって来たぜ！</t>
    <phoneticPr fontId="5"/>
  </si>
  <si>
    <t>可愛い魔女さん、ふふ…俺が怖いか？</t>
    <phoneticPr fontId="5"/>
  </si>
  <si>
    <t>暗闇からパンチ</t>
    <phoneticPr fontId="5"/>
  </si>
  <si>
    <t>暗闇状態のユニットに大ダメージ</t>
    <phoneticPr fontId="5"/>
  </si>
  <si>
    <t>パンプキンボム</t>
    <phoneticPr fontId="5"/>
  </si>
  <si>
    <t>あなたのお菓子もちょ〜だい？</t>
    <phoneticPr fontId="5"/>
  </si>
  <si>
    <t>黄パネルを吸収して攻撃</t>
    <phoneticPr fontId="5"/>
  </si>
  <si>
    <t>んふふ〜♪か〜わい〜魔女さん♪
でもお菓子は渡さないよ〜</t>
    <phoneticPr fontId="5"/>
  </si>
  <si>
    <t>きゃ〜キレイねラプンツェル〜♪
ワンちゃんもカワイイ〜♪</t>
    <phoneticPr fontId="5"/>
  </si>
  <si>
    <t>イケメンなヴァンパイアさん〜♪
お菓子を奪いにきたのかな〜</t>
    <phoneticPr fontId="5"/>
  </si>
  <si>
    <t>暗闇からキック</t>
    <phoneticPr fontId="5"/>
  </si>
  <si>
    <t>キャンディーハンマー</t>
    <phoneticPr fontId="5"/>
  </si>
  <si>
    <t>ダメージパネルを8個生成+単体攻撃</t>
    <phoneticPr fontId="5"/>
  </si>
  <si>
    <t>うるさい口は塞いであげる♪</t>
    <phoneticPr fontId="5"/>
  </si>
  <si>
    <t>スウィート・カタラクト</t>
    <phoneticPr fontId="5"/>
  </si>
  <si>
    <t>この子達は絶対に渡さないんだから〜！</t>
    <phoneticPr fontId="5"/>
  </si>
  <si>
    <t>お菓子はぜ〜んぶ私のもの〜♪</t>
    <phoneticPr fontId="5"/>
  </si>
  <si>
    <t>シュガー・ウォール</t>
    <phoneticPr fontId="5"/>
  </si>
  <si>
    <t>パンプキンボムふぁいなる</t>
    <phoneticPr fontId="5"/>
  </si>
  <si>
    <t>ダメージパネルを12個生成</t>
    <phoneticPr fontId="5"/>
  </si>
  <si>
    <t>ヴァ、ヴァンパイア…！
ちょっと怖いワン…</t>
    <phoneticPr fontId="5"/>
  </si>
  <si>
    <t>[effect:damage_anti_abnormal, target:unit_all, target_effect01:dark, val1:0.9, val2:0.4]</t>
    <phoneticPr fontId="5"/>
  </si>
  <si>
    <t>[effect:force_change_block, new_block:damage, target:block_all, ignore01:crash, ignore02:crack_bomb, ignore03:color_break, count:8, val:0.05],[effect:critical, val:1]</t>
    <phoneticPr fontId="5"/>
  </si>
  <si>
    <t>フィーバーゲージ増加</t>
    <phoneticPr fontId="5"/>
  </si>
  <si>
    <t>[effect:crash_condition, target:unit_demon, turn:-1, val:-2, animation:crash_panel_reduce04],[effect:suicide, target:myself, val:0.95, dead_type:escape]</t>
    <phoneticPr fontId="5"/>
  </si>
  <si>
    <t>[effect:force_change_block, new_block:damage, target:block_all, ignore01:crash, ignore02:crack_bomb, ignore03:color_break, count:6, val:0.06],[effect:critical, val:1],[effect:fix_speed, target:myself, turn:2]</t>
    <phoneticPr fontId="5"/>
  </si>
  <si>
    <t>ダメージパネルを6個生成+単体攻撃</t>
    <phoneticPr fontId="5"/>
  </si>
  <si>
    <t>ダメージパネルを6個生成+単体攻撃</t>
    <phoneticPr fontId="5"/>
  </si>
  <si>
    <t>[effect:force_change_block, new_block:damage, target:block_all, ignore01:crash, ignore02:crack_bomb, ignore03:color_break, count:8, val:0.08],[effect:critical, val:0.8]</t>
    <phoneticPr fontId="5"/>
  </si>
  <si>
    <t>ダメージパネルを8個生成+単体攻撃</t>
    <phoneticPr fontId="5"/>
  </si>
  <si>
    <t>お菓子盗んだ犯人！？　お、俺じゃないぞ！</t>
    <phoneticPr fontId="5"/>
  </si>
  <si>
    <t>お菓子より心を奪いたいもんだな！</t>
    <phoneticPr fontId="5"/>
  </si>
  <si>
    <t>2回連続攻撃</t>
    <phoneticPr fontId="5"/>
  </si>
  <si>
    <t>[effect:rush, count:2, val:0.5]</t>
    <phoneticPr fontId="5"/>
  </si>
  <si>
    <t>いくら似合ってるからって、
そんなに見つめられたら困るぜ！</t>
    <phoneticPr fontId="5"/>
  </si>
  <si>
    <t>ハートパネル＆ハートボムパネルを吸収して攻撃</t>
    <phoneticPr fontId="5"/>
  </si>
  <si>
    <t>えっ、私にも分けてくれるの？　うん、ありがと…♪</t>
    <phoneticPr fontId="5"/>
  </si>
  <si>
    <t>フィーバーゲージ増加</t>
    <phoneticPr fontId="5"/>
  </si>
  <si>
    <t>種族デーモンの攻撃力UP</t>
    <phoneticPr fontId="5"/>
  </si>
  <si>
    <t>種族デーモンのボムの爆風を20%UP</t>
    <phoneticPr fontId="5"/>
  </si>
  <si>
    <t>2回連続攻撃</t>
    <phoneticPr fontId="5"/>
  </si>
  <si>
    <t>種族デーモン以外に2ターンスキルバインド+
ダメージパネルを4個生成+黄パネルドロップUP</t>
    <phoneticPr fontId="5"/>
  </si>
  <si>
    <t>[effect:force_change_block, new_block:damage, target:block_all, ignore01:crash, ignore02:crack_bomb, ignore03:color_break, count:12, val:0.05]</t>
    <phoneticPr fontId="5"/>
  </si>
  <si>
    <t>[effect:enemy_message, val1:1.5, val2:0]</t>
    <phoneticPr fontId="5"/>
  </si>
  <si>
    <t>[effect:enemy_message, val1:1.5, val2:0]</t>
    <phoneticPr fontId="5"/>
  </si>
  <si>
    <t>[effect:enemy_message, val1:1.2, val2:0]</t>
    <phoneticPr fontId="5"/>
  </si>
  <si>
    <t>[effect:enemy_message, val1:1.2, val2:0]</t>
    <phoneticPr fontId="5"/>
  </si>
  <si>
    <t>わー！らぷんつぇるも
わんちゃんもにあってるね！</t>
    <phoneticPr fontId="5"/>
  </si>
  <si>
    <t>[effect:enemy_message, val1:1.5, val2:0]</t>
    <phoneticPr fontId="5"/>
  </si>
  <si>
    <t>[effect:enemy_message, val1:1.3, val2:1.8],[effect:fix_speed, target:myself, turn:1]</t>
    <phoneticPr fontId="5"/>
  </si>
  <si>
    <t>[effect:enemy_message, val1:2.0, val2:1.8],[effect:enhance_fever, val:1000, animation:fevergauge_up04],[effect:fix_speed, target:myself, turn:1]</t>
    <phoneticPr fontId="5"/>
  </si>
  <si>
    <t>[effect:enemy_message, val1:2.0, val2:1.8],[effect:enhance_fever, val:1000, animation:fevergauge_up04],[effect:fix_speed, target:myself, turn:1]</t>
    <phoneticPr fontId="5"/>
  </si>
  <si>
    <t>[effect:enemy_message, val1:2.0, val2:1.8],[effect:fix_speed, target:myself, turn:1]</t>
    <phoneticPr fontId="5"/>
  </si>
  <si>
    <t>ダメかぁ〜　せっかくたくさん集めたのになぁ〜</t>
    <phoneticPr fontId="5"/>
  </si>
  <si>
    <t>3回連続攻撃</t>
    <phoneticPr fontId="5"/>
  </si>
  <si>
    <t>ばんぱいあかっこいいなぁ〜！</t>
    <phoneticPr fontId="5"/>
  </si>
  <si>
    <t>[effect:force_change_block, new_block:damage, target:block_all, ignore01:crash, ignore02:crack_bomb, ignore03:color_break, count:12, val:0.04],[effect:spread, val:0.25]</t>
    <phoneticPr fontId="5"/>
  </si>
  <si>
    <t>ダメージパネルを12個生成+全体攻撃</t>
    <phoneticPr fontId="5"/>
  </si>
  <si>
    <t>null</t>
    <phoneticPr fontId="5"/>
  </si>
  <si>
    <t>null</t>
    <phoneticPr fontId="5"/>
  </si>
  <si>
    <t>null</t>
    <phoneticPr fontId="5"/>
  </si>
  <si>
    <t>[effect:rush, count:2, val:0.35]</t>
    <phoneticPr fontId="5"/>
  </si>
  <si>
    <t xml:space="preserve">[effect:break_attack_fix, target:unit_one, val:200, lowest_val:8000, count:-1, color:yellow, block01:block_yellow]    </t>
    <phoneticPr fontId="5"/>
  </si>
  <si>
    <t>[effect:force_change_block, new_block:damage, target:block_all, ignore01:crash, ignore02:crack_bomb, ignore03:color_break, count:6, val:0.05],[effect:critical, val:1],[effect:fix_speed, target:myself, turn:2]</t>
    <phoneticPr fontId="5"/>
  </si>
  <si>
    <t>[effect:force_change_block, new_block:damage, target:block_all, ignore01:crash, ignore02:crack_bomb, ignore03:color_break, count:3, val:0.04],[effect:critical, val:1]</t>
    <phoneticPr fontId="5"/>
  </si>
  <si>
    <t>[effect:enemy_message, val1:1.3, val2:1.8],[effect:force_change_block, new_block:damage, target:block_all, ignore01:crash, ignore02:crack_bomb, ignore03:color_break, count:6, val:0.04],[effect:suicide, target:myself, val:1, dead_type:escape]</t>
    <phoneticPr fontId="5"/>
  </si>
  <si>
    <t>種族デーモン以外に5ターン暗闇</t>
    <phoneticPr fontId="5"/>
  </si>
  <si>
    <t>種族デーモン以外に2ターンスキルバインド+
黄パネルドロップUP</t>
    <phoneticPr fontId="5"/>
  </si>
  <si>
    <t>種族デーモン以外に5ターン暗闇</t>
    <phoneticPr fontId="5"/>
  </si>
  <si>
    <t>い、いたずらしちゃいますよぉ！</t>
    <phoneticPr fontId="5"/>
  </si>
  <si>
    <t>さぁ〜、イタズラしちゃうよぉ〜♪</t>
    <phoneticPr fontId="5"/>
  </si>
  <si>
    <t>[effect:enemy_message, val1:1.3, val2:1.8],[effect:fix_speed, target:myself, turn:1]</t>
    <phoneticPr fontId="5"/>
  </si>
  <si>
    <t>[effect:crash_condition, target:unit_demon, turn:-1, val:-2, animation:crash_panel_reduce04]</t>
    <phoneticPr fontId="5"/>
  </si>
  <si>
    <t>[effect:change_bomb_range, target:unit_demon, val:1.2, rate:1, turn:-1, animation:bomb_big]</t>
    <phoneticPr fontId="5"/>
  </si>
  <si>
    <t>[effect:enemy_message, val1:1.5, val2:1.8],[effect:sp_boost, target:unit_all, val:6, animation:sp_boost_one03]</t>
    <phoneticPr fontId="5"/>
  </si>
  <si>
    <t>[effect:enemy_message, val1:1.5, val2:1.8],[effect:enhance_unit, target:unit_demon, turn:-1, status:attack, val:0.2, calc:mul],[effect:suicide, target:myself, val:0.95, dead_type:escape]</t>
    <phoneticPr fontId="5"/>
  </si>
  <si>
    <t>[effect:enemy_message, val1:1.5, val2:1.8],[effect:sp_boost, target:unit_all, val:6, animation:sp_boost_one03],[effect:suicide, target:myself, val:0.95, dead_type:escape]</t>
    <phoneticPr fontId="5"/>
  </si>
  <si>
    <t>[effect:enemy_message, val1:1.3, val2:1.8],[effect:break_attack_fix, target:unit_one, val:150, lowest_val:5000, count:-1, color:yellow, block01:block_yellow],[effect:suicide, target:myself, val:1, dead_type:escape]</t>
    <phoneticPr fontId="5"/>
  </si>
  <si>
    <t>[effect:enemy_message, val1:1.0, val2:1.8],[effect:fix_speed, target:myself, turn:1]</t>
    <phoneticPr fontId="5"/>
  </si>
  <si>
    <t>[effect:critical, val:1.5, animation:enemy_critical],[effect:fix_speed, target:myself, turn:1]</t>
    <phoneticPr fontId="5"/>
  </si>
  <si>
    <t>[effect:enemy_message, val1:1.3, val2:1.8],[effect:fix_speed, target:myself, turn:2]</t>
    <phoneticPr fontId="5"/>
  </si>
  <si>
    <t>[effect:enemy_message, val1:1.3, val2:1.8],[effect:fix_speed, target:myself, turn:2]</t>
    <phoneticPr fontId="5"/>
  </si>
  <si>
    <t>[effect:critical, val:1.5, animation:enemy_critical],[effect:fix_speed, target:myself, turn:1]</t>
    <phoneticPr fontId="5"/>
  </si>
  <si>
    <t>[effect:damage_anti_abnormal, target:unit_all, target_effect01:dark, val1:0.66, val2:0.33]</t>
    <phoneticPr fontId="5"/>
  </si>
  <si>
    <t>complete</t>
  </si>
  <si>
    <t>ハートパネル＆ハートボムパネルを吸収して攻撃</t>
    <phoneticPr fontId="5"/>
  </si>
  <si>
    <t>ハートパネル＆ハートボムパネルを吸収して攻撃</t>
    <phoneticPr fontId="5"/>
  </si>
  <si>
    <t>[effect:damage_anti_abnormal, target:unit_all, target_effect01:dark, val1:0.7, val2:0.35],[effect:fix_speed, target:myself, turn:1]</t>
    <phoneticPr fontId="5"/>
  </si>
  <si>
    <t>[effect:enemy_message, val1:1.3, val2:1.8],[effect:break_attack_fix, target:unit_one, val:120, lowest_val:4000, count:-1, color:yellow, block01:block_yellow],[effect:suicide, target:myself, val:1, dead_type:escape]</t>
    <phoneticPr fontId="5"/>
  </si>
  <si>
    <t>[effect:damage_anti_abnormal, target:unit_all, target_effect01:dark, val1:0.66, val2:0.33]</t>
    <phoneticPr fontId="5"/>
  </si>
  <si>
    <t xml:space="preserve">[effect:break_attack_fix, target:unit_one, val:120, lowest_val:4000, count:-1, color:yellow, block01:block_yellow]    </t>
    <phoneticPr fontId="5"/>
  </si>
  <si>
    <t xml:space="preserve">[effect:break_attack_fix, target:unit_one, val:120, lowest_val:4800, count:-1, color:yellow, block01:block_yellow]    </t>
    <phoneticPr fontId="5"/>
  </si>
  <si>
    <t>[effect:enemy_message, val1:1.3, val2:1.8],[effect:break_attack_fix, target:unit_one, val:100, lowest_val:3000, count:-1, color:yellow, block01:block_yellow],[effect:suicide, target:myself, val:1, dead_type:escape]</t>
    <phoneticPr fontId="5"/>
  </si>
  <si>
    <t xml:space="preserve">[effect:break_attack_fix, target:unit_one, val:100, lowest_val:3000, count:-1, color:yellow, block01:block_yellow]    </t>
    <phoneticPr fontId="5"/>
  </si>
  <si>
    <t xml:space="preserve">[effect:break_attack_fix, target:unit_one, val:100, lowest_val:3600, count:-1, color:yellow, block01:block_yellow]    </t>
    <phoneticPr fontId="5"/>
  </si>
  <si>
    <t>ALICEのハロウィン</t>
    <phoneticPr fontId="5"/>
  </si>
  <si>
    <t>ハーヴェストがんばる！</t>
    <phoneticPr fontId="5"/>
  </si>
  <si>
    <t>ぜ〜んぶ私のもの〜♪</t>
    <phoneticPr fontId="5"/>
  </si>
  <si>
    <t>おかしなアバター</t>
  </si>
  <si>
    <t>闇夜でも煌めきます！</t>
  </si>
  <si>
    <t>ヴァンパイア夜を往く</t>
  </si>
  <si>
    <t>3フロア目のエネミーは種族マシンへの
強力なキラー攻撃とスキルバインドを
使用してきます</t>
    <phoneticPr fontId="5"/>
  </si>
  <si>
    <t>3フロア目のエネミーは定期的に
ハートパネル＆ハートボムパネル吸収攻撃を
行ってきます</t>
    <phoneticPr fontId="5"/>
  </si>
  <si>
    <t>old</t>
  </si>
  <si>
    <t>みんなのお菓子を奪った犯人「ドルチェ」は
とにかく甘いものやカワイイものが大好きで
すぐに独り占めしたくなってしまうようです</t>
    <phoneticPr fontId="5"/>
  </si>
  <si>
    <t>ドルチェはお菓子をアバターのような姿に
変えて操る事でみんなに気づかれずお菓子を
盗むことに成功しました</t>
    <phoneticPr fontId="5"/>
  </si>
  <si>
    <t>1フロア目のエネミーはパーティー内に
編成されたユニットに応じてそれぞれ
プレイヤーにエンハンスを付与することが
あります</t>
    <phoneticPr fontId="5"/>
  </si>
  <si>
    <t>2フロア目で出現するケルベロスは
数ターン後に撤退します
無理に倒そうとせずにパネルを温存しても
よいでしょう</t>
    <phoneticPr fontId="5"/>
  </si>
  <si>
    <t>ドルチェは1ゲージ目と2ゲージ目の開幕で
暗闇を付与し数ターン後には強力な
暗闇キラー攻撃を行ってきます</t>
    <phoneticPr fontId="5"/>
  </si>
  <si>
    <t>ドルチェの2ゲージ目はHPが一定以下に
なるとスキルバインドを使用し攻撃力も
UPします</t>
    <phoneticPr fontId="5"/>
  </si>
  <si>
    <t>ドルチェはダメージパネルを定期的に生成
してきます
対策をせずにまとめて破壊してしまうと
大ダメージを受けるので注意しましょう</t>
    <phoneticPr fontId="5"/>
  </si>
  <si>
    <t>「ALICE HALLOWEEN」は年に
１度開かれる大型イベントです
各地がコスプレ衣装に身を纏ったアバターで
賑やかに彩られます</t>
    <phoneticPr fontId="5"/>
  </si>
  <si>
    <t>ハーヴェストは魔法使いのコスプレをした
女の子です
お菓子を泥棒された事にしょんぼりするも
犯人を捕まえるために頑張ります</t>
    <phoneticPr fontId="5"/>
  </si>
  <si>
    <t>ドルチェの3ゲージ目は開幕で黄パネルの
ドロップ率が上がります
定期的に黄パネル吸収攻撃を行ってくるので
注意しましょう</t>
    <phoneticPr fontId="5"/>
  </si>
  <si>
    <t>[effect:enemy_message, val1:1.5, val2:1.8],[effect:enhance_unit, target:unit_demon, turn:-1, status:attack, val:0.25, calc:mul]</t>
    <phoneticPr fontId="5"/>
  </si>
  <si>
    <t>[effect:crash_condition, target:unit_demon, turn:-1, val:-2, animation:crash_panel_reduce04]</t>
    <phoneticPr fontId="5"/>
  </si>
  <si>
    <t>[effect:change_bomb_range, target:unit_demon, val:1.15, rate:1, turn:-1, animation:bomb_big]</t>
    <phoneticPr fontId="5"/>
  </si>
  <si>
    <t>種族デーモンのボムの爆風を15%UP</t>
    <phoneticPr fontId="5"/>
  </si>
  <si>
    <t>種族デーモンのボムの爆風を15%UP</t>
    <phoneticPr fontId="5"/>
  </si>
  <si>
    <t>[effect:sp_boost, target:unit_demon, val:6, animation:sp_boost_one03]</t>
    <phoneticPr fontId="5"/>
  </si>
  <si>
    <t xml:space="preserve">[effect:break_attack_fix, target:unit_one, val:150, lowest_val:6500, count:-1, color:yellow, block01:block_yellow]    </t>
    <phoneticPr fontId="5"/>
  </si>
  <si>
    <t xml:space="preserve">[effect:break_attack_fix, target:unit_one, val:150, lowest_val:8000, count:-1, color:yellow, block01:block_yellow]    </t>
    <phoneticPr fontId="5"/>
  </si>
  <si>
    <t>[effect:damage_anti_abnormal, target:unit_all, target_effect01:dark, val1:0.7, val2:0.35],[effect:fix_speed, target:myself, turn:1]</t>
    <phoneticPr fontId="5"/>
  </si>
  <si>
    <t>[effect:crash_condition, target:unit_demon, turn:-1, val:-2, animation:crash_panel_reduce04]</t>
    <phoneticPr fontId="5"/>
  </si>
  <si>
    <t>種族デーモン以外に2ターン暗闇</t>
    <phoneticPr fontId="5"/>
  </si>
  <si>
    <t>種族デーモン以外に2ターン暗闇</t>
    <phoneticPr fontId="5"/>
  </si>
  <si>
    <t>種族デーモンのCパネル生成短縮</t>
  </si>
  <si>
    <t>ダメかぁ〜　せっかくたくさん集めたのになぁ〜</t>
    <phoneticPr fontId="5"/>
  </si>
  <si>
    <t>[effect:enemy_message, val1:3.0, val2:3.0]</t>
    <phoneticPr fontId="5"/>
  </si>
  <si>
    <t>とりっくおあとりーと！</t>
    <phoneticPr fontId="5"/>
  </si>
  <si>
    <t>とりっくおあとりーと！</t>
    <phoneticPr fontId="5"/>
  </si>
  <si>
    <t>clear</t>
    <phoneticPr fontId="5"/>
  </si>
  <si>
    <t>item</t>
    <phoneticPr fontId="5"/>
  </si>
  <si>
    <t>item</t>
    <phoneticPr fontId="5"/>
  </si>
  <si>
    <t>bit</t>
    <phoneticPr fontId="5"/>
  </si>
  <si>
    <t>link</t>
    <phoneticPr fontId="5"/>
  </si>
  <si>
    <t>null</t>
    <phoneticPr fontId="5"/>
  </si>
  <si>
    <t>null</t>
    <phoneticPr fontId="5"/>
  </si>
  <si>
    <t>full_member</t>
    <phoneticPr fontId="5"/>
  </si>
  <si>
    <t>unit</t>
    <phoneticPr fontId="5"/>
  </si>
  <si>
    <t>unit</t>
    <phoneticPr fontId="5"/>
  </si>
  <si>
    <t>黄パネルが出現しない</t>
    <phoneticPr fontId="5"/>
  </si>
  <si>
    <t>no_continue</t>
    <phoneticPr fontId="5"/>
  </si>
  <si>
    <t>item</t>
    <phoneticPr fontId="5"/>
  </si>
  <si>
    <t>item</t>
    <phoneticPr fontId="5"/>
  </si>
  <si>
    <t>[effect:enemy_message, val1:1.5, val2:0]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</si>
  <si>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</si>
  <si>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</si>
  <si>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</si>
  <si>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val:0.05, animation:block_incidence04],[effect:fix_speed, target:myself, turn:1]</t>
    <phoneticPr fontId="5"/>
  </si>
  <si>
    <t>[effect:enemy_message, val1:2.0, val2:1.8],[effect:change_panel_ratio, turn:-1, block_type:yellow, val:0.05, animation:block_incidence04],[effect:fix_speed, target:myself, turn:1]</t>
    <phoneticPr fontId="5"/>
  </si>
  <si>
    <t>[effect:enemy_message, val1:2.0, val2:1.8],[effect:change_panel_ratio, turn:-1, block_type:yellow, val:0.05,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</si>
  <si>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</si>
  <si>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</si>
  <si>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</si>
  <si>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val1:1.3, val2:1.8],[effect:break_attack_fix, target:unit_one, val:600, lowest_val:1, count:-1, color:red, block_color:block_heart, block01:block_heart, block02:crack_bomb],[effect:fix_speed, target:myself, turn:2]</t>
    <phoneticPr fontId="5"/>
  </si>
  <si>
    <t>[effect:enemy_message, val1:1.5, val2:2.0],[effect:break_attack_fix, target:unit_one, val:800, lowest_val:1, count:-1, color:red, block_color:block_heart, block01:block_heart, block02:crack_bomb]</t>
    <phoneticPr fontId="5"/>
  </si>
  <si>
    <t>[effect:enemy_message, val1:1.5, val2:1.8],[effect:enhance_fever, val:1000, animation:fevergauge_up04],[effect:fix_speed, target:myself, turn:1]</t>
    <phoneticPr fontId="5"/>
  </si>
  <si>
    <t>[effect:enemy_message, val1:1.5, val2:1.8],[effect:enhance_fever, val:1000, animation:fevergauge_up04],[effect:fix_speed,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</si>
  <si>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</si>
  <si>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</si>
  <si>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</si>
  <si>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</si>
  <si>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</si>
  <si>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val:0.05, animation:block_incidence04],[effect:fix_speed, target:myself, turn:1]</t>
    <phoneticPr fontId="5"/>
  </si>
  <si>
    <t>[effect:enemy_message, val1:2.0, val2:1.8],[effect:change_panel_ratio, turn:-1, block_type:yellow, val:0.05, animation:block_incidence04],[effect:fix_speed, target:myself, turn:1]</t>
    <phoneticPr fontId="5"/>
  </si>
  <si>
    <t>[effect:enemy_message, val1:2.0, val2:1.8],[effect:change_panel_ratio, turn:-1, block_type:yellow, val:0.05, animation:block_incidence04],[effect:fix_speed, target:myself, turn:1]</t>
    <phoneticPr fontId="5"/>
  </si>
  <si>
    <t>[effect:enemy_message, val1:1.3, val2:1.8],[effect:fix_speed, target:myself, turn:1]</t>
    <phoneticPr fontId="5"/>
  </si>
  <si>
    <t>[effect:enemy_message, val1:1.0, val2:2.0],[effect:break_attack_fix, target:unit_one, val:420, lowest_val:1, count:-1, color:green, block_color:block_heart, block01:block_heart, block02:crack_bomb],[effect:fix_speed, target:myself, turn:2]</t>
    <phoneticPr fontId="5"/>
  </si>
  <si>
    <t>[effect:enemy_message, val1:1.3, val2:2.0],[effect:suicide, target:myself, val:1, dead_type:escape]</t>
    <phoneticPr fontId="5"/>
  </si>
  <si>
    <t>[effect:enemy_message, val1:1.3, val2:1.8],[effect:break_attack_fix, target:unit_one, val:260, lowest_val:1, count:-1, color:red, block_color:block_heart, block01:block_heart, block02:crack_bomb],[effect:fix_speed, target:myself, turn:2]</t>
    <phoneticPr fontId="5"/>
  </si>
  <si>
    <t>[effect:enemy_message, val1:1.5, val2:2.0],[effect:break_attack_fix, target:unit_one, val:310, lowest_val:1, count:-1, color:red, block_color:block_heart, block01:block_heart, block02:crack_bomb]</t>
    <phoneticPr fontId="5"/>
  </si>
  <si>
    <t>[effect:enemy_message, val1:1.0, val2:2.0],[effect:hungup, target:unit_all, turn:2, rate:1, animation:hungup02],[effect:enhance_enemy, target:enemy_all, turn:-1, status:attack, val:0.2, calc:mul, animation:enemy_enhance_attack]</t>
    <phoneticPr fontId="5"/>
  </si>
  <si>
    <t>[effect:enemy_message, val1:1.0, val2:2.0],[effect:break_attack_fix, target:unit_one, val:570, lowest_val:1, count:-1, color:yellow, block_color:block_heart, block01:block_heart, block02:crack_bomb]</t>
    <phoneticPr fontId="5"/>
  </si>
  <si>
    <t>[effect:enemy_message, val1:1.5, val2:2.8],[effect:hungup, target:unit_demon/not, turn:2, rate:1, animation:hungup02],[effect:change_panel_ratio, turn:-1, block_type:yellow, val:0.4, animation:block_incidence04],[effect:fix_speed, target:myself, turn:1]</t>
    <phoneticPr fontId="5"/>
  </si>
  <si>
    <t>[effect:enemy_message, val1:1.0, val2:2.5],[effect:break_attack_fix, target:unit_one, val:645, lowest_val:1, count:-1, color:yellow, block_color:block_heart, block01:block_heart, block02:crack_bomb]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</si>
  <si>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</si>
  <si>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</si>
  <si>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</si>
  <si>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</si>
  <si>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val1:1.3, val2:1.8],[effect:fix_speed, target:myself, turn:2]</t>
    <phoneticPr fontId="5"/>
  </si>
  <si>
    <t>[effect:enemy_message, val1:2.0, val2:1.8],[effect:change_panel_ratio, turn:-1, block_type:yellow, val:0.05, animation:block_incidence04],[effect:fix_speed, target:myself, turn:1]</t>
    <phoneticPr fontId="5"/>
  </si>
  <si>
    <t>[effect:enemy_message, val1:2.0, val2:1.8],[effect:change_panel_ratio, turn:-1, block_type:yellow, val:0.05, animation:block_incidence04],[effect:fix_speed, target:myself, turn:1]</t>
    <phoneticPr fontId="5"/>
  </si>
  <si>
    <t>[effect:enemy_message, val1:2.0, val2:1.8],[effect:change_panel_ratio, turn:-1, block_type:yellow, val:0.05, animation:block_incidence04],[effect:fix_speed, target:myself, turn:1]</t>
    <phoneticPr fontId="5"/>
  </si>
  <si>
    <t>[effect:enemy_message, val1:1.3, val2:1.8],[effect:fix_speed, target:myself, turn:1]</t>
    <phoneticPr fontId="5"/>
  </si>
  <si>
    <t>[effect:enemy_message, val1:1.0, val2:2.0],[effect:break_attack_fix, target:unit_one, val:560, lowest_val:1, count:-1, color:green, block_color:block_heart, block01:block_heart, block02:crack_bomb],[effect:fix_speed, target:myself, turn:2]</t>
    <phoneticPr fontId="5"/>
  </si>
  <si>
    <t>[effect:enemy_message, val1:1.3, val2:2.0],[effect:suicide, target:myself, val:1, dead_type:escape]</t>
    <phoneticPr fontId="5"/>
  </si>
  <si>
    <t>[effect:enemy_message, val1:1.3, val2:1.8],[effect:break_attack_fix, target:unit_one, val:345, lowest_val:1, count:-1, color:red, block_color:block_heart, block01:block_heart, block02:crack_bomb],[effect:fix_speed, target:myself, turn:2]</t>
    <phoneticPr fontId="5"/>
  </si>
  <si>
    <t>[effect:enemy_message, val1:1.5, val2:2.0],[effect:break_attack_fix, target:unit_one, val:430, lowest_val:1, count:-1, color:red, block_color:block_heart, block01:block_heart, block02:crack_bomb]</t>
    <phoneticPr fontId="5"/>
  </si>
  <si>
    <t>[effect:enemy_message, val1:1.0, val2:2.0],[effect:break_attack_fix, target:unit_one, val:800, lowest_val:1, count:-1, color:yellow, block_color:block_heart, block01:block_heart, block02:crack_bomb]</t>
    <phoneticPr fontId="5"/>
  </si>
  <si>
    <t>[effect:enemy_message, val1:1.5, val2:2.8],[effect:hungup, target:unit_demon/not, turn:2, rate:1, animation:hungup02],[effect:change_panel_ratio, turn:-1, block_type:yellow, val:0.4, animation:block_incidence04],[effect:fix_speed, target:myself, turn:1]</t>
    <phoneticPr fontId="5"/>
  </si>
  <si>
    <t>[effect:enemy_message, val1:1.0, val2:2.5],[effect:break_attack_fix, target:unit_one, val:915, lowest_val:1, count:-1, color:yellow, block_color:block_heart, block01:block_heart, block02:crack_bomb]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</si>
  <si>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</si>
  <si>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</si>
  <si>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val1:1.3, val2:1.8],[effect:fix_speed, target:myself, turn:2]</t>
    <phoneticPr fontId="5"/>
  </si>
  <si>
    <t>[effect:enemy_message, val1:2.0, val2:1.8],[effect:change_panel_ratio, turn:-1, block_type:yellow, val:0, animation:block_incidence04],[effect:fix_speed, target:myself, turn:1]</t>
    <phoneticPr fontId="5"/>
  </si>
  <si>
    <t>[effect:enemy_message, val1:2.0, val2:1.8],[effect:change_panel_ratio, turn:-1, block_type:yellow, val:0.05, animation:block_incidence04],[effect:fix_speed, target:myself, turn:1]</t>
    <phoneticPr fontId="5"/>
  </si>
  <si>
    <t>[effect:enemy_message, val1:2.0, val2:1.8],[effect:change_panel_ratio, turn:-1, block_type:yellow, val:0.05, animation:block_incidence04],[effect:fix_speed, target:myself, turn:1]</t>
    <phoneticPr fontId="5"/>
  </si>
  <si>
    <t>[effect:enemy_message, val1:1.3, val2:1.8],[effect:fix_speed, target:myself, turn:1]</t>
    <phoneticPr fontId="5"/>
  </si>
  <si>
    <t>[effect:enemy_message, val1:1.0, val2:2.0],[effect:break_attack_fix, target:unit_one, val:700, lowest_val:1, count:-1, color:green, block_color:block_heart, block01:block_heart, block02:crack_bomb],[effect:fix_speed, target:myself, turn:2]</t>
    <phoneticPr fontId="5"/>
  </si>
  <si>
    <t>[effect:enemy_message, val1:1.3, val2:2.0],[effect:suicide, target:myself, val:1, dead_type:escape]</t>
    <phoneticPr fontId="5"/>
  </si>
  <si>
    <t>[effect:enemy_message, val1:1.3, val2:1.8],[effect:break_attack_fix, target:unit_one, val:430, lowest_val:1, count:-1, color:red, block_color:block_heart, block01:block_heart, block02:crack_bomb],[effect:fix_speed, target:myself, turn:2]</t>
    <phoneticPr fontId="5"/>
  </si>
  <si>
    <t>[effect:enemy_message, val1:1.5, val2:2.0],[effect:break_attack_fix, target:unit_one, val:540, lowest_val:1, count:-1, color:red, block_color:block_heart, block01:block_heart, block02:crack_bomb]</t>
    <phoneticPr fontId="5"/>
  </si>
  <si>
    <t>[effect:enemy_message, val1:1.0, val2:2.0],[effect:hungup, target:unit_all, turn:2, rate:1, animation:hungup02],[effect:enhance_enemy, target:enemy_all, turn:-1, status:attack, val:0.2, calc:mul, animation:enemy_enhance_attack]</t>
    <phoneticPr fontId="5"/>
  </si>
  <si>
    <t>[effect:enemy_message, val1:1.0, val2:2.0],[effect:break_attack_fix, target:unit_one, val:1150, lowest_val:1, count:-1, color:yellow, block_color:block_heart, block01:block_heart, block02:crack_bomb]</t>
    <phoneticPr fontId="5"/>
  </si>
  <si>
    <t>[effect:enemy_message, val1:1.5, val2:2.8],[effect:hungup, target:unit_demon/not, turn:2, rate:1, animation:hungup02],[effect:change_panel_ratio, turn:-1, block_type:yellow, val:0.4, animation:block_incidence04],[effect:fix_speed, target:myself, turn:1]</t>
    <phoneticPr fontId="5"/>
  </si>
  <si>
    <t>[effect:enemy_message, val1:1.0, val2:2.5],[effect:break_attack_fix, target:unit_one, val:1150, lowest_val:1, count:-1, color:yellow, block_color:block_heart, block01:block_heart, block02:crack_bomb]</t>
    <phoneticPr fontId="5"/>
  </si>
  <si>
    <t>[effect:enemy_message, val1:1.3, val2:1.8],[effect:fix_speed, target:myself, turn:1]</t>
    <phoneticPr fontId="5"/>
  </si>
  <si>
    <t>[effect:enemy_message, val1:1.0, val2:2.0],[effect:break_attack_fix, target:unit_one, val:700, lowest_val:1, count:-1, color:green, block_color:block_heart, block01:block_heart, block02:crack_bomb],[effect:fix_speed, target:myself, turn:2]</t>
    <phoneticPr fontId="5"/>
  </si>
  <si>
    <t>[effect:enemy_message, val1:1.3, val2:2.0],[effect:suicide, target:myself, val:1, dead_type:escape]</t>
    <phoneticPr fontId="5"/>
  </si>
  <si>
    <t>[effect:enemy_message, val1:1.3, val2:3.3],[effect:dark, target:unit_demon/not, turn:5, animation:enemy_dark],[effect:force_change_block, new_block:damage, target:block_green, ignore01:crash, ignore02:crack_bomb, ignore03:color_break, count:-1, val:0.04],[effect:fix_speed, target:myself, turn:2]</t>
    <phoneticPr fontId="5"/>
  </si>
  <si>
    <t>[effect:enemy_message, val1:1.0, val2:3.3],[effect:dark, target:unit_demon/not, turn:5, animation:enemy_dark],[effect:force_change_block, new_block:damage, target:block_green, ignore01:crash, ignore02:crack_bomb, ignore03:color_break, count:-1, val:0.05],[effect:fix_speed, target:myself, turn:2]</t>
    <phoneticPr fontId="5"/>
  </si>
  <si>
    <t>[effect:enemy_message, val1:1.0, val2:2.0],[effect:hungup, target:unit_all, turn:2, rate:1, animation:hungup02],[effect:enhance_enemy, target:enemy_all, turn:-1, status:attack, val:0.2, calc:mul, animation:enemy_enhance_attack]</t>
    <phoneticPr fontId="5"/>
  </si>
  <si>
    <t>[effect:enemy_message, val1:1.0, val2:2.0],[effect:break_attack_fix, target:unit_one, val:1150, lowest_val:1, count:-1, color:yellow, block_color:block_heart, block01:block_heart, block02:crack_bomb]</t>
    <phoneticPr fontId="5"/>
  </si>
  <si>
    <t>[effect:enemy_message, val1:1.5, val2:3.3],[effect:hungup, target:unit_demon/not, turn:2, rate:1, animation:hungup02],[effect:force_change_block, new_block:damage, target:block_all, ignore01:crash, ignore02:crack_bomb, ignore03:color_break, count:4, val:0.05],[effect:change_panel_ratio, turn:-1, block_type:yellow, val:0.4, animation:block_incidence04],[effect:fix_speed, target:myself, turn:1]</t>
    <phoneticPr fontId="5"/>
  </si>
  <si>
    <t xml:space="preserve">[effect:enemy_message, val1:1.0, val2:2.5],[effect:break_attack_fix, target:unit_one, val:1150, lowest_val:1, count:-1, color:yellow, block_color:block_heart, block01:block_heart, block02:crack_bomb],[effect:enhance_enemy, target:enemy_all, turn:-1, status:defense, val:5000, calc:add, animation:enemy_enhance_defense]    </t>
    <phoneticPr fontId="5"/>
  </si>
  <si>
    <t>ダメージパネルを6個生成</t>
    <phoneticPr fontId="5"/>
  </si>
  <si>
    <t>2ターンスキルバインド+自身の攻撃力UP</t>
  </si>
  <si>
    <t>2ターンスキルバインド+自身の攻撃力UP</t>
    <phoneticPr fontId="5"/>
  </si>
  <si>
    <t>ハートパネル＆ハートボムパネルを吸収して攻撃+
自身の防御力UP</t>
  </si>
  <si>
    <t>リーリリリリ…！</t>
    <phoneticPr fontId="5"/>
  </si>
  <si>
    <t>リッ！！リリィ…</t>
    <phoneticPr fontId="5"/>
  </si>
  <si>
    <t>ガ…ガビガガ！</t>
    <phoneticPr fontId="5"/>
  </si>
  <si>
    <t>ビガッ！ビッ！</t>
    <phoneticPr fontId="5"/>
  </si>
  <si>
    <t>ガビッ！？ビ…</t>
    <phoneticPr fontId="5"/>
  </si>
  <si>
    <t>リ…リリリッ！！</t>
    <phoneticPr fontId="5"/>
  </si>
  <si>
    <t>リ…リリリッ！！</t>
    <phoneticPr fontId="5"/>
  </si>
  <si>
    <t>リー！リリーー！</t>
    <phoneticPr fontId="5"/>
  </si>
  <si>
    <t>リ…リリリリ…！</t>
    <phoneticPr fontId="5"/>
  </si>
  <si>
    <t>リッッ！リリィ…</t>
    <phoneticPr fontId="5"/>
  </si>
  <si>
    <t>ガ…ガビガガ！！</t>
    <phoneticPr fontId="5"/>
  </si>
  <si>
    <t>ガガ！ビガビ！！</t>
    <phoneticPr fontId="5"/>
  </si>
  <si>
    <t>ビガガッ！ビッ！</t>
    <phoneticPr fontId="5"/>
  </si>
  <si>
    <t>ガビッッ！？ビ…</t>
    <phoneticPr fontId="5"/>
  </si>
  <si>
    <t>種族デーモン以外に5ターン暗闇+
緑パネルをダメージパネルに変換</t>
    <phoneticPr fontId="5"/>
  </si>
  <si>
    <t>種族デーモン以外に5ターン暗闇+
緑パネルをダメージパネルに変換</t>
    <phoneticPr fontId="5"/>
  </si>
  <si>
    <t>種族デーモン以外に5ターン暗闇+
緑パネルをダメージパネルに変換</t>
    <phoneticPr fontId="5"/>
  </si>
  <si>
    <t>種族デーモン以外に5ターン暗闇+
緑パネルをダメージパネルに変換</t>
    <phoneticPr fontId="5"/>
  </si>
  <si>
    <t>種族デーモン以外に5ターン暗闇+
緑パネルをダメージパネルに変換</t>
    <phoneticPr fontId="5"/>
  </si>
  <si>
    <t>[effect:enemy_message, val1:1.5, val2:1.8],[effect:enhance_fever, val:1000, animation:fevergauge_up04],[effect:fix_speed, target:myself, turn:1]</t>
    <phoneticPr fontId="5"/>
  </si>
  <si>
    <t>[effect:enemy_message, val1:1.5, val2:1.8],[effect:enhance_fever, val:1000, animation:fevergauge_up04],[effect:fix_speed, target:myself, turn:1]</t>
    <phoneticPr fontId="5"/>
  </si>
  <si>
    <t>[effect:enemy_message, val1:1.5, val2:1.8],[effect:enhance_fever, val:1000, animation:fevergauge_up04],[effect:fix_speed, target:myself, turn:1]</t>
    <phoneticPr fontId="5"/>
  </si>
  <si>
    <t>[effect:enemy_message, val1:1.5, val2:1.8],[effect:enhance_fever, val:1000, animation:fevergauge_up04],[effect:fix_speed, target:myself, turn:1]</t>
    <phoneticPr fontId="5"/>
  </si>
  <si>
    <t>[effect:enemy_message, val1:1.5, val2:1.8],[effect:enhance_fever, val:1000, animation:fevergauge_up04],[effect:fix_speed, target:myself, turn:1]</t>
    <phoneticPr fontId="5"/>
  </si>
  <si>
    <t>[effect:enemy_message, val1:1.5, val2:1.8],[effect:enhance_unit, target:unit_demon, turn:-1, status:attack, val:0.25, calc:mul]</t>
    <phoneticPr fontId="5"/>
  </si>
  <si>
    <t>種族デーモンの攻撃力大UP</t>
    <phoneticPr fontId="5"/>
  </si>
  <si>
    <t>種族デーモンの攻撃力大UP</t>
    <phoneticPr fontId="5"/>
  </si>
  <si>
    <t>種族デーモンの攻撃力大UP</t>
    <phoneticPr fontId="5"/>
  </si>
  <si>
    <t>種族デーモンの攻撃力大UP</t>
    <phoneticPr fontId="5"/>
  </si>
  <si>
    <t>種族デーモンの攻撃力大UP</t>
    <phoneticPr fontId="5"/>
  </si>
  <si>
    <t>[effect:enemy_message, val1:1.0, val2:3.3],[effect:damage_anti_tribe, target:unit_all, tribe:machine, val1:0.65, val2:0.35],[effect:hungup, target:unit_machine, turn:4, rate:1, animation:hungup02]</t>
    <phoneticPr fontId="5"/>
  </si>
  <si>
    <t>[effect:enemy_message, val1:1.0, val2:3.3],[effect:damage_anti_tribe, target:unit_all, tribe:machine, val1:0.65, val2:0.35],[effect:hungup, target:unit_machine, turn:4, rate:1, animation:hungup02]</t>
    <phoneticPr fontId="5"/>
  </si>
  <si>
    <t>[effect:enemy_message, val1:1.0, val2:3.3],[effect:damage_anti_tribe, target:unit_all, tribe:machine, val1:0.6, val2:0.3],[effect:hungup, target:unit_machine, turn:4, rate:1, animation:hungup02]</t>
    <phoneticPr fontId="5"/>
  </si>
  <si>
    <t>[effect:enemy_message, val1:1.0, val2:3.3],[effect:damage_anti_tribe, target:unit_all, tribe:machine, val1:0.5, val2:0.25],[effect:hungup, target:unit_machine, turn:4, rate:1, animation:hungup02]</t>
    <phoneticPr fontId="5"/>
  </si>
  <si>
    <t>[effect:enemy_message, val1:1.0, val2:3.3],[effect:damage_anti_tribe, target:unit_all, tribe:machine, val1:0.6, val2:0.3],[effect:hungup, target:unit_machine, turn:4, rate:1, animation:hungup02]</t>
    <phoneticPr fontId="5"/>
  </si>
  <si>
    <t>[effect:enemy_message, val1:1.0, val2:3.3],[effect:damage_anti_tribe, target:unit_all, tribe:machine, val1:0.5, val2:0.25],[effect:hungup, target:unit_machine, turn:4, rate:1, animation:hungup02]</t>
    <phoneticPr fontId="5"/>
  </si>
  <si>
    <t>[effect:enemy_message, val1:1.0, val2:3.3],[effect:damage_anti_tribe, target:unit_all, tribe:machine, val1:0.6, val2:0.3],[effect:hungup, target:unit_machine, turn:4, rate:1, animation:hungup02]</t>
    <phoneticPr fontId="5"/>
  </si>
  <si>
    <t>[effect:enemy_message, val1:1.0, val2:3.3],[effect:damage_anti_tribe, target:unit_all, tribe:machine, val1:0.5, val2:0.25],[effect:hungup, target:unit_machine, turn:4, rate:1, animation:hungup02]</t>
    <phoneticPr fontId="5"/>
  </si>
  <si>
    <t>[effect:enemy_message, val1:1.3, val2:2.0],[effect:dark, target:unit_demon/not, turn:5, animation:enemy_dark],[effect:fix_speed, target:myself, turn:2]</t>
    <phoneticPr fontId="5"/>
  </si>
  <si>
    <t>[effect:enemy_message, val1:1.3, val2:2.0],[effect:dark, target:unit_demon/not, turn:2, animation:enemy_dark],[effect:fix_speed, target:myself, turn:2]</t>
    <phoneticPr fontId="5"/>
  </si>
  <si>
    <t>[effect:enemy_message, val1:1.0, val2:2.0],[effect:dark, target:unit_demon/not, turn:5, animation:enemy_dark],[effect:fix_speed, target:myself, turn:2]</t>
    <phoneticPr fontId="5"/>
  </si>
  <si>
    <t>[effect:enemy_message, val1:1.0, val2:2.0],[effect:dark, target:unit_demon/not, turn:2, animation:enemy_dark],[effect:fix_speed, target:myself, turn:2]</t>
    <phoneticPr fontId="5"/>
  </si>
  <si>
    <t>[effect:enemy_message, val1:2.2, val2:2.0],[effect:dark, target:unit_demon/not, turn:2, animation:enemy_dark],[effect:fix_speed, target:myself, turn:2]</t>
    <phoneticPr fontId="5"/>
  </si>
  <si>
    <t>[effect:enemy_message, val1:2.2, val2:2.0],[effect:dark, target:unit_demon/not, turn:2, animation:enemy_dark],[effect:fix_speed, target:myself, turn:2]</t>
    <phoneticPr fontId="5"/>
  </si>
  <si>
    <t>[effect:enemy_message, val1:2.2, val2:2.0],[effect:dark, target:unit_demon/not, turn:2, animation:enemy_dark],[effect:fix_speed, target:myself, turn:2]</t>
    <phoneticPr fontId="5"/>
  </si>
  <si>
    <t>[effect:enemy_message, val1:2.2, val2:2.0],[effect:dark, target:unit_demon/not, turn:2, animation:enemy_dark],[effect:fix_speed, target:myself, turn:2]</t>
    <phoneticPr fontId="5"/>
  </si>
  <si>
    <t>[effect:enemy_message, val1:2.2, val2:2.0],[effect:dark, target:unit_demon/not, turn:2, animation:enemy_dark],[effect:fix_speed, target:myself, turn:2]</t>
    <phoneticPr fontId="5"/>
  </si>
  <si>
    <t>[effect:enemy_message, val1:2.2, val2:2.0],[effect:dark, target:unit_demon/not, turn:2, animation:enemy_dark],[effect:fix_speed, target:myself, turn:2]</t>
    <phoneticPr fontId="5"/>
  </si>
  <si>
    <t>[effect:enemy_message, val1:2.2, val2:2.0],[effect:dark, target:unit_demon/not, turn:5, animation:enemy_dark],[effect:fix_speed, target:myself, turn:2]</t>
    <phoneticPr fontId="5"/>
  </si>
  <si>
    <t>[effect:enemy_message, val1:2.2, val2:2.0],[effect:dark, target:unit_demon/not, turn:5, animation:enemy_dark],[effect:fix_speed, target:myself, turn:2]</t>
    <phoneticPr fontId="5"/>
  </si>
  <si>
    <t>[effect:enemy_message, val1:2.2, val2:2.0],[effect:dark, target:unit_demon/not, turn:5, animation:enemy_dark],[effect:fix_speed, target:myself, turn:2]</t>
    <phoneticPr fontId="5"/>
  </si>
  <si>
    <t>[effect:enemy_message, val1:2.2, val2:3.3],[effect:dark, target:unit_demon/not, turn:5, animation:enemy_dark],[effect:force_change_block, new_block:damage, target:block_green, ignore01:crash, ignore02:crack_bomb, ignore03:color_break, count:-1, val:0.04],[effect:fix_speed, target:myself, turn:2]</t>
    <phoneticPr fontId="5"/>
  </si>
  <si>
    <t>[effect:enemy_message, val1:2.2, val2:3.3],[effect:dark, target:unit_demon/not, turn:5, animation:enemy_dark],[effect:force_change_block, new_block:damage, target:block_green, ignore01:crash, ignore02:crack_bomb, ignore03:color_break, count:-1, val:0.04],[effect:fix_speed, target:myself, turn:2]</t>
    <phoneticPr fontId="5"/>
  </si>
  <si>
    <t>[effect:enemy_message, val1:2.2, val2:3.3],[effect:dark, target:unit_demon/not, turn:5, animation:enemy_dark],[effect:force_change_block, new_block:damage, target:block_green, ignore01:crash, ignore02:crack_bomb, ignore03:color_break, count:-1, val:0.04],[effect:fix_speed, target:myself, turn:2]</t>
    <phoneticPr fontId="5"/>
  </si>
  <si>
    <t>種族デーモンのスキルゲージを6ターン減少</t>
  </si>
  <si>
    <t>全ユニットのスキルゲージを6ターン減少</t>
  </si>
  <si>
    <t>種族マシンのユニットに4ターンスキルバインド+
種族マシンのユニットに大ダメージの全体攻撃</t>
  </si>
  <si>
    <t>種族マシンのユニットに4ターンスキルバインド+
種族マシンのユニットに大ダメージの全体攻撃</t>
    <phoneticPr fontId="5"/>
  </si>
  <si>
    <t>とっておきの衣装でハロウィンの夜を
満喫するラプンツェル
街を行くアバター達の中でも彼女の存在は
ひと際輝いています</t>
  </si>
  <si>
    <t>今夜のランスロットは相当テンションが高く
色々なアバターに声をかけている様子
後々自分の発言に後悔する事にならなければ
いいのですが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</si>
</sst>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176" fontId="6" fillId="13" borderId="3" xfId="0" applyNumberFormat="1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32" borderId="3" xfId="0" applyFont="1" applyFill="1" applyBorder="1" applyAlignment="1">
      <alignment vertical="center"/>
    </xf>
    <xf numFmtId="0" fontId="6" fillId="13" borderId="7" xfId="0" applyFont="1" applyFill="1" applyBorder="1" applyAlignment="1">
      <alignment horizontal="center" vertical="center"/>
    </xf>
    <xf numFmtId="0" fontId="6" fillId="13" borderId="7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177" fontId="8" fillId="13" borderId="4" xfId="0" applyNumberFormat="1" applyFont="1" applyFill="1" applyBorder="1" applyAlignment="1">
      <alignment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177" fontId="8" fillId="0" borderId="4" xfId="0" applyNumberFormat="1" applyFont="1" applyFill="1" applyBorder="1" applyAlignment="1">
      <alignment vertical="center"/>
    </xf>
    <xf numFmtId="176" fontId="4" fillId="13" borderId="3" xfId="0" applyNumberFormat="1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1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14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/>
    </xf>
    <xf numFmtId="0" fontId="16" fillId="15" borderId="7" xfId="0" applyFont="1" applyFill="1" applyBorder="1" applyAlignment="1">
      <alignment horizontal="left" vertical="center"/>
    </xf>
    <xf numFmtId="177" fontId="8" fillId="37" borderId="4" xfId="0" applyNumberFormat="1" applyFont="1" applyFill="1" applyBorder="1" applyAlignment="1">
      <alignment vertical="center"/>
    </xf>
    <xf numFmtId="0" fontId="16" fillId="3" borderId="10" xfId="0" applyFont="1" applyFill="1" applyBorder="1" applyAlignment="1">
      <alignment horizontal="left" vertical="center" wrapText="1"/>
    </xf>
    <xf numFmtId="0" fontId="16" fillId="6" borderId="2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left" vertical="center"/>
    </xf>
    <xf numFmtId="0" fontId="16" fillId="34" borderId="23" xfId="0" applyFont="1" applyFill="1" applyBorder="1" applyAlignment="1">
      <alignment vertical="center"/>
    </xf>
    <xf numFmtId="0" fontId="16" fillId="36" borderId="24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15" borderId="2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16" fillId="40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27" fillId="13" borderId="7" xfId="0" applyFont="1" applyFill="1" applyBorder="1"/>
    <xf numFmtId="0" fontId="16" fillId="13" borderId="2" xfId="0" applyFont="1" applyFill="1" applyBorder="1" applyAlignment="1">
      <alignment vertical="center"/>
    </xf>
    <xf numFmtId="0" fontId="4" fillId="41" borderId="6" xfId="0" applyFont="1" applyFill="1" applyBorder="1" applyAlignment="1">
      <alignment vertical="center"/>
    </xf>
    <xf numFmtId="0" fontId="0" fillId="0" borderId="7" xfId="0" applyFill="1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0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14001</v>
          </cell>
        </row>
        <row r="94">
          <cell r="A94">
            <v>14002</v>
          </cell>
        </row>
        <row r="95">
          <cell r="A95">
            <v>14003</v>
          </cell>
        </row>
        <row r="96">
          <cell r="A96">
            <v>14004</v>
          </cell>
        </row>
        <row r="97">
          <cell r="A97">
            <v>14005</v>
          </cell>
        </row>
        <row r="98">
          <cell r="A98">
            <v>14006</v>
          </cell>
        </row>
        <row r="99">
          <cell r="A99">
            <v>15027</v>
          </cell>
        </row>
        <row r="100">
          <cell r="A100">
            <v>15028</v>
          </cell>
        </row>
        <row r="101">
          <cell r="A101">
            <v>15029</v>
          </cell>
        </row>
        <row r="102">
          <cell r="A102">
            <v>15030</v>
          </cell>
        </row>
        <row r="103">
          <cell r="A103">
            <v>15031</v>
          </cell>
        </row>
        <row r="104">
          <cell r="A104">
            <v>20001</v>
          </cell>
        </row>
        <row r="105">
          <cell r="A105">
            <v>20002</v>
          </cell>
        </row>
        <row r="106">
          <cell r="A106">
            <v>20003</v>
          </cell>
        </row>
        <row r="107">
          <cell r="A107">
            <v>20004</v>
          </cell>
        </row>
        <row r="108">
          <cell r="A108">
            <v>20005</v>
          </cell>
        </row>
        <row r="109">
          <cell r="A109">
            <v>20006</v>
          </cell>
        </row>
        <row r="110">
          <cell r="A110">
            <v>20007</v>
          </cell>
        </row>
        <row r="111">
          <cell r="A111">
            <v>20008</v>
          </cell>
        </row>
        <row r="112">
          <cell r="A112">
            <v>20009</v>
          </cell>
        </row>
        <row r="113">
          <cell r="A113">
            <v>20010</v>
          </cell>
        </row>
        <row r="114">
          <cell r="A114">
            <v>20011</v>
          </cell>
        </row>
        <row r="115">
          <cell r="A115">
            <v>20012</v>
          </cell>
        </row>
        <row r="116">
          <cell r="A116">
            <v>20013</v>
          </cell>
        </row>
        <row r="117">
          <cell r="A117">
            <v>20014</v>
          </cell>
        </row>
        <row r="118">
          <cell r="A118">
            <v>20015</v>
          </cell>
        </row>
        <row r="119">
          <cell r="A119">
            <v>20016</v>
          </cell>
        </row>
        <row r="120">
          <cell r="A120">
            <v>20017</v>
          </cell>
        </row>
        <row r="121">
          <cell r="A121">
            <v>20018</v>
          </cell>
        </row>
        <row r="122">
          <cell r="A122">
            <v>20019</v>
          </cell>
        </row>
        <row r="123">
          <cell r="A123">
            <v>20020</v>
          </cell>
        </row>
        <row r="124">
          <cell r="A124">
            <v>20021</v>
          </cell>
        </row>
        <row r="125">
          <cell r="A125">
            <v>30001</v>
          </cell>
        </row>
        <row r="126">
          <cell r="A126">
            <v>30002</v>
          </cell>
        </row>
        <row r="127">
          <cell r="A127">
            <v>30003</v>
          </cell>
        </row>
        <row r="128">
          <cell r="A128">
            <v>30004</v>
          </cell>
        </row>
        <row r="129">
          <cell r="A129">
            <v>30005</v>
          </cell>
        </row>
        <row r="130">
          <cell r="A130">
            <v>30006</v>
          </cell>
        </row>
        <row r="131">
          <cell r="A131">
            <v>30007</v>
          </cell>
        </row>
        <row r="132">
          <cell r="A132">
            <v>30008</v>
          </cell>
        </row>
        <row r="133">
          <cell r="A133">
            <v>30009</v>
          </cell>
        </row>
        <row r="134">
          <cell r="A134">
            <v>30010</v>
          </cell>
        </row>
        <row r="135">
          <cell r="A135">
            <v>30011</v>
          </cell>
        </row>
        <row r="136">
          <cell r="A136">
            <v>30012</v>
          </cell>
        </row>
        <row r="137">
          <cell r="A137">
            <v>30013</v>
          </cell>
        </row>
        <row r="138">
          <cell r="A138">
            <v>30014</v>
          </cell>
        </row>
        <row r="139">
          <cell r="A139">
            <v>30015</v>
          </cell>
        </row>
        <row r="140">
          <cell r="A140">
            <v>30016</v>
          </cell>
        </row>
        <row r="141">
          <cell r="A141">
            <v>30017</v>
          </cell>
        </row>
        <row r="142">
          <cell r="A142">
            <v>30018</v>
          </cell>
        </row>
        <row r="143">
          <cell r="A143">
            <v>30019</v>
          </cell>
        </row>
        <row r="144">
          <cell r="A144">
            <v>30020</v>
          </cell>
        </row>
        <row r="145">
          <cell r="A145">
            <v>30021</v>
          </cell>
        </row>
        <row r="146">
          <cell r="A146">
            <v>30022</v>
          </cell>
        </row>
        <row r="147">
          <cell r="A147">
            <v>30023</v>
          </cell>
        </row>
        <row r="148">
          <cell r="A148">
            <v>30024</v>
          </cell>
        </row>
        <row r="149">
          <cell r="A149">
            <v>30025</v>
          </cell>
        </row>
        <row r="150">
          <cell r="A150">
            <v>30026</v>
          </cell>
        </row>
        <row r="151">
          <cell r="A151">
            <v>30027</v>
          </cell>
        </row>
        <row r="152">
          <cell r="A152">
            <v>30028</v>
          </cell>
        </row>
        <row r="153">
          <cell r="A153">
            <v>30029</v>
          </cell>
        </row>
        <row r="154">
          <cell r="A154">
            <v>30030</v>
          </cell>
        </row>
        <row r="155">
          <cell r="A155">
            <v>30031</v>
          </cell>
        </row>
        <row r="156">
          <cell r="A156">
            <v>30032</v>
          </cell>
        </row>
        <row r="157">
          <cell r="A157">
            <v>30033</v>
          </cell>
        </row>
        <row r="158">
          <cell r="A158">
            <v>30034</v>
          </cell>
        </row>
        <row r="159">
          <cell r="A159">
            <v>30035</v>
          </cell>
        </row>
        <row r="160">
          <cell r="A160">
            <v>30036</v>
          </cell>
        </row>
        <row r="161">
          <cell r="A161">
            <v>30037</v>
          </cell>
        </row>
        <row r="162">
          <cell r="A162">
            <v>30038</v>
          </cell>
        </row>
        <row r="163">
          <cell r="A163">
            <v>30039</v>
          </cell>
        </row>
        <row r="164">
          <cell r="A164">
            <v>30040</v>
          </cell>
        </row>
        <row r="165">
          <cell r="A165">
            <v>30041</v>
          </cell>
        </row>
        <row r="166">
          <cell r="A166">
            <v>30042</v>
          </cell>
        </row>
        <row r="167">
          <cell r="A167">
            <v>30043</v>
          </cell>
        </row>
        <row r="168">
          <cell r="A168">
            <v>30044</v>
          </cell>
        </row>
        <row r="169">
          <cell r="A169">
            <v>39001</v>
          </cell>
        </row>
        <row r="170">
          <cell r="A170">
            <v>39002</v>
          </cell>
        </row>
        <row r="171">
          <cell r="A171">
            <v>39003</v>
          </cell>
        </row>
        <row r="172">
          <cell r="A172">
            <v>39004</v>
          </cell>
        </row>
        <row r="173">
          <cell r="A173">
            <v>39005</v>
          </cell>
        </row>
        <row r="174">
          <cell r="A174">
            <v>39006</v>
          </cell>
        </row>
        <row r="175">
          <cell r="A175">
            <v>39007</v>
          </cell>
        </row>
        <row r="176">
          <cell r="A176">
            <v>40001</v>
          </cell>
        </row>
        <row r="177">
          <cell r="A177">
            <v>40002</v>
          </cell>
        </row>
        <row r="178">
          <cell r="A178">
            <v>40003</v>
          </cell>
        </row>
        <row r="179">
          <cell r="A179">
            <v>40004</v>
          </cell>
        </row>
        <row r="180">
          <cell r="A180">
            <v>40005</v>
          </cell>
        </row>
        <row r="181">
          <cell r="A181">
            <v>40006</v>
          </cell>
        </row>
        <row r="182">
          <cell r="A182">
            <v>40007</v>
          </cell>
        </row>
        <row r="183">
          <cell r="A183">
            <v>40008</v>
          </cell>
        </row>
        <row r="184">
          <cell r="A184">
            <v>40009</v>
          </cell>
        </row>
        <row r="185">
          <cell r="A185">
            <v>40010</v>
          </cell>
        </row>
        <row r="186">
          <cell r="A186">
            <v>40011</v>
          </cell>
        </row>
        <row r="187">
          <cell r="A187">
            <v>40012</v>
          </cell>
        </row>
        <row r="188">
          <cell r="A188">
            <v>40013</v>
          </cell>
        </row>
        <row r="189">
          <cell r="A189">
            <v>40014</v>
          </cell>
        </row>
        <row r="190">
          <cell r="A190">
            <v>40015</v>
          </cell>
        </row>
        <row r="191">
          <cell r="A191">
            <v>40016</v>
          </cell>
        </row>
        <row r="192">
          <cell r="A192">
            <v>40017</v>
          </cell>
        </row>
        <row r="193">
          <cell r="A193">
            <v>40018</v>
          </cell>
        </row>
        <row r="194">
          <cell r="A194">
            <v>40019</v>
          </cell>
        </row>
        <row r="195">
          <cell r="A195">
            <v>40021</v>
          </cell>
        </row>
        <row r="196">
          <cell r="A196">
            <v>40022</v>
          </cell>
        </row>
        <row r="197">
          <cell r="A197">
            <v>40023</v>
          </cell>
        </row>
        <row r="198">
          <cell r="A198">
            <v>40024</v>
          </cell>
        </row>
        <row r="199">
          <cell r="A199">
            <v>40025</v>
          </cell>
        </row>
        <row r="200">
          <cell r="A200">
            <v>40026</v>
          </cell>
        </row>
        <row r="201">
          <cell r="A201">
            <v>40027</v>
          </cell>
        </row>
        <row r="202">
          <cell r="A202">
            <v>40028</v>
          </cell>
        </row>
        <row r="203">
          <cell r="A203">
            <v>40029</v>
          </cell>
        </row>
        <row r="204">
          <cell r="A204">
            <v>40030</v>
          </cell>
        </row>
        <row r="205">
          <cell r="A205">
            <v>40031</v>
          </cell>
        </row>
        <row r="206">
          <cell r="A206">
            <v>40032</v>
          </cell>
        </row>
        <row r="207">
          <cell r="A207">
            <v>40033</v>
          </cell>
        </row>
        <row r="208">
          <cell r="A208">
            <v>40034</v>
          </cell>
        </row>
        <row r="209">
          <cell r="A209">
            <v>40035</v>
          </cell>
        </row>
        <row r="210">
          <cell r="A210">
            <v>40036</v>
          </cell>
        </row>
        <row r="211">
          <cell r="A211">
            <v>40037</v>
          </cell>
        </row>
        <row r="212">
          <cell r="A212">
            <v>48001</v>
          </cell>
        </row>
        <row r="213">
          <cell r="A213">
            <v>48002</v>
          </cell>
        </row>
        <row r="214">
          <cell r="A214">
            <v>48003</v>
          </cell>
        </row>
        <row r="215">
          <cell r="A215">
            <v>48004</v>
          </cell>
        </row>
        <row r="216">
          <cell r="A216">
            <v>48005</v>
          </cell>
        </row>
        <row r="217">
          <cell r="A217">
            <v>48006</v>
          </cell>
        </row>
        <row r="218">
          <cell r="A218">
            <v>48007</v>
          </cell>
        </row>
        <row r="219">
          <cell r="A219">
            <v>41001</v>
          </cell>
        </row>
        <row r="220">
          <cell r="A220">
            <v>41002</v>
          </cell>
        </row>
        <row r="221">
          <cell r="A221">
            <v>41003</v>
          </cell>
        </row>
        <row r="222">
          <cell r="A222">
            <v>41004</v>
          </cell>
        </row>
        <row r="223">
          <cell r="A223">
            <v>41005</v>
          </cell>
        </row>
        <row r="224">
          <cell r="A224">
            <v>41006</v>
          </cell>
        </row>
        <row r="225">
          <cell r="A225">
            <v>41007</v>
          </cell>
        </row>
        <row r="226">
          <cell r="A226">
            <v>41008</v>
          </cell>
        </row>
        <row r="227">
          <cell r="A227">
            <v>41009</v>
          </cell>
        </row>
        <row r="228">
          <cell r="A228">
            <v>41010</v>
          </cell>
        </row>
        <row r="229">
          <cell r="A229">
            <v>41011</v>
          </cell>
        </row>
        <row r="230">
          <cell r="A230">
            <v>41012</v>
          </cell>
        </row>
        <row r="231">
          <cell r="A231">
            <v>41013</v>
          </cell>
        </row>
        <row r="232">
          <cell r="A232">
            <v>41014</v>
          </cell>
        </row>
        <row r="233">
          <cell r="A233">
            <v>41015</v>
          </cell>
        </row>
        <row r="234">
          <cell r="A234">
            <v>47001</v>
          </cell>
        </row>
        <row r="235">
          <cell r="A235">
            <v>47002</v>
          </cell>
        </row>
        <row r="236">
          <cell r="A236">
            <v>47003</v>
          </cell>
        </row>
        <row r="237">
          <cell r="A237">
            <v>49001</v>
          </cell>
        </row>
        <row r="238">
          <cell r="A238">
            <v>49002</v>
          </cell>
        </row>
        <row r="239">
          <cell r="A239">
            <v>49003</v>
          </cell>
        </row>
        <row r="240">
          <cell r="A240">
            <v>49004</v>
          </cell>
        </row>
        <row r="241">
          <cell r="A241">
            <v>49005</v>
          </cell>
        </row>
        <row r="242">
          <cell r="A242">
            <v>49006</v>
          </cell>
        </row>
        <row r="243">
          <cell r="A243">
            <v>49007</v>
          </cell>
        </row>
        <row r="244">
          <cell r="A244">
            <v>50001</v>
          </cell>
        </row>
        <row r="245">
          <cell r="A245">
            <v>50002</v>
          </cell>
        </row>
        <row r="246">
          <cell r="A246">
            <v>50003</v>
          </cell>
        </row>
        <row r="247">
          <cell r="A247">
            <v>50004</v>
          </cell>
        </row>
        <row r="248">
          <cell r="A248">
            <v>50005</v>
          </cell>
        </row>
        <row r="249">
          <cell r="A249">
            <v>50006</v>
          </cell>
        </row>
        <row r="250">
          <cell r="A250">
            <v>50007</v>
          </cell>
        </row>
        <row r="251">
          <cell r="A251">
            <v>50008</v>
          </cell>
        </row>
        <row r="252">
          <cell r="A252">
            <v>50009</v>
          </cell>
        </row>
        <row r="253">
          <cell r="A253">
            <v>51001</v>
          </cell>
        </row>
        <row r="254">
          <cell r="A254">
            <v>51002</v>
          </cell>
        </row>
        <row r="255">
          <cell r="A255">
            <v>60001</v>
          </cell>
        </row>
        <row r="256">
          <cell r="A256">
            <v>60002</v>
          </cell>
        </row>
        <row r="257">
          <cell r="A257">
            <v>60003</v>
          </cell>
        </row>
        <row r="258">
          <cell r="A258">
            <v>60004</v>
          </cell>
        </row>
        <row r="259">
          <cell r="A259">
            <v>60005</v>
          </cell>
        </row>
        <row r="260">
          <cell r="A260">
            <v>60006</v>
          </cell>
        </row>
        <row r="261">
          <cell r="A261">
            <v>60007</v>
          </cell>
        </row>
        <row r="262">
          <cell r="A262">
            <v>60010</v>
          </cell>
        </row>
        <row r="263">
          <cell r="A263">
            <v>60011</v>
          </cell>
        </row>
        <row r="264">
          <cell r="A264">
            <v>61011</v>
          </cell>
        </row>
        <row r="265">
          <cell r="A265">
            <v>60012</v>
          </cell>
        </row>
        <row r="266">
          <cell r="A266">
            <v>60013</v>
          </cell>
        </row>
        <row r="267">
          <cell r="A267">
            <v>60014</v>
          </cell>
        </row>
        <row r="268">
          <cell r="A268">
            <v>60015</v>
          </cell>
        </row>
        <row r="269">
          <cell r="A269">
            <v>60016</v>
          </cell>
        </row>
        <row r="270">
          <cell r="A270">
            <v>60017</v>
          </cell>
        </row>
        <row r="271">
          <cell r="A271">
            <v>60018</v>
          </cell>
        </row>
        <row r="272">
          <cell r="A272">
            <v>60019</v>
          </cell>
        </row>
        <row r="273">
          <cell r="A273">
            <v>65525</v>
          </cell>
        </row>
        <row r="274">
          <cell r="A274">
            <v>65526</v>
          </cell>
        </row>
        <row r="275">
          <cell r="A275">
            <v>65533</v>
          </cell>
        </row>
        <row r="276">
          <cell r="A276">
            <v>65534</v>
          </cell>
        </row>
        <row r="277">
          <cell r="A277">
            <v>65535</v>
          </cell>
        </row>
        <row r="278">
          <cell r="A278">
            <v>60021</v>
          </cell>
        </row>
        <row r="279">
          <cell r="A279">
            <v>60022</v>
          </cell>
        </row>
        <row r="280">
          <cell r="A280">
            <v>60023</v>
          </cell>
        </row>
        <row r="281">
          <cell r="A28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14001_1</v>
          </cell>
        </row>
        <row r="372">
          <cell r="A372" t="str">
            <v>14001_2</v>
          </cell>
        </row>
        <row r="373">
          <cell r="A373" t="str">
            <v>14001_3</v>
          </cell>
        </row>
        <row r="374">
          <cell r="A374" t="str">
            <v>14001_4</v>
          </cell>
        </row>
        <row r="375">
          <cell r="A375" t="str">
            <v>14001_5</v>
          </cell>
        </row>
        <row r="376">
          <cell r="A376" t="str">
            <v>14001_6</v>
          </cell>
        </row>
        <row r="377">
          <cell r="A377" t="str">
            <v>14001_7</v>
          </cell>
        </row>
        <row r="378">
          <cell r="A378" t="str">
            <v>14001_8</v>
          </cell>
        </row>
        <row r="379">
          <cell r="A379" t="str">
            <v>14002_1</v>
          </cell>
        </row>
        <row r="380">
          <cell r="A380" t="str">
            <v>14002_2</v>
          </cell>
        </row>
        <row r="381">
          <cell r="A381" t="str">
            <v>14003_1</v>
          </cell>
        </row>
        <row r="382">
          <cell r="A382" t="str">
            <v>14003_2</v>
          </cell>
        </row>
        <row r="383">
          <cell r="A383" t="str">
            <v>14003_3</v>
          </cell>
        </row>
        <row r="384">
          <cell r="A384" t="str">
            <v>14003_4</v>
          </cell>
        </row>
        <row r="385">
          <cell r="A385" t="str">
            <v>14004_1</v>
          </cell>
        </row>
        <row r="386">
          <cell r="A386" t="str">
            <v>14004_2</v>
          </cell>
        </row>
        <row r="387">
          <cell r="A387" t="str">
            <v>14004_3</v>
          </cell>
        </row>
        <row r="388">
          <cell r="A388" t="str">
            <v>14004_4</v>
          </cell>
        </row>
        <row r="389">
          <cell r="A389" t="str">
            <v>14005_1</v>
          </cell>
        </row>
        <row r="390">
          <cell r="A390" t="str">
            <v>14006_1</v>
          </cell>
        </row>
        <row r="391">
          <cell r="A391" t="str">
            <v>15027_1</v>
          </cell>
        </row>
        <row r="392">
          <cell r="A392" t="str">
            <v>15027_2</v>
          </cell>
        </row>
        <row r="393">
          <cell r="A393" t="str">
            <v>15027_3</v>
          </cell>
        </row>
        <row r="394">
          <cell r="A394" t="str">
            <v>15027_4</v>
          </cell>
        </row>
        <row r="395">
          <cell r="A395" t="str">
            <v>15028_1</v>
          </cell>
        </row>
        <row r="396">
          <cell r="A396" t="str">
            <v>15028_2</v>
          </cell>
        </row>
        <row r="397">
          <cell r="A397" t="str">
            <v>15028_3</v>
          </cell>
        </row>
        <row r="398">
          <cell r="A398" t="str">
            <v>15028_4</v>
          </cell>
        </row>
        <row r="399">
          <cell r="A399" t="str">
            <v>15029_1</v>
          </cell>
        </row>
        <row r="400">
          <cell r="A400" t="str">
            <v>15029_2</v>
          </cell>
        </row>
        <row r="401">
          <cell r="A401" t="str">
            <v>15029_3</v>
          </cell>
        </row>
        <row r="402">
          <cell r="A402" t="str">
            <v>15029_4</v>
          </cell>
        </row>
        <row r="403">
          <cell r="A403" t="str">
            <v>15030_1</v>
          </cell>
        </row>
        <row r="404">
          <cell r="A404" t="str">
            <v>15030_2</v>
          </cell>
        </row>
        <row r="405">
          <cell r="A405" t="str">
            <v>15030_3</v>
          </cell>
        </row>
        <row r="406">
          <cell r="A406" t="str">
            <v>15030_4</v>
          </cell>
        </row>
        <row r="407">
          <cell r="A407" t="str">
            <v>15031_1</v>
          </cell>
        </row>
        <row r="408">
          <cell r="A408" t="str">
            <v>15031_2</v>
          </cell>
        </row>
        <row r="409">
          <cell r="A409" t="str">
            <v>15031_3</v>
          </cell>
        </row>
        <row r="410">
          <cell r="A410" t="str">
            <v>15031_4</v>
          </cell>
        </row>
        <row r="411">
          <cell r="A411" t="str">
            <v>20001_1</v>
          </cell>
        </row>
        <row r="412">
          <cell r="A412" t="str">
            <v>20001_2</v>
          </cell>
        </row>
        <row r="413">
          <cell r="A413" t="str">
            <v>20001_3</v>
          </cell>
        </row>
        <row r="414">
          <cell r="A414" t="str">
            <v>20002_1</v>
          </cell>
        </row>
        <row r="415">
          <cell r="A415" t="str">
            <v>20002_2</v>
          </cell>
        </row>
        <row r="416">
          <cell r="A416" t="str">
            <v>20002_3</v>
          </cell>
        </row>
        <row r="417">
          <cell r="A417" t="str">
            <v>20003_1</v>
          </cell>
        </row>
        <row r="418">
          <cell r="A418" t="str">
            <v>20003_2</v>
          </cell>
        </row>
        <row r="419">
          <cell r="A419" t="str">
            <v>20003_3</v>
          </cell>
        </row>
        <row r="420">
          <cell r="A420" t="str">
            <v>20004_1</v>
          </cell>
        </row>
        <row r="421">
          <cell r="A421" t="str">
            <v>20004_2</v>
          </cell>
        </row>
        <row r="422">
          <cell r="A422" t="str">
            <v>20004_3</v>
          </cell>
        </row>
        <row r="423">
          <cell r="A423" t="str">
            <v>20005_1</v>
          </cell>
        </row>
        <row r="424">
          <cell r="A424" t="str">
            <v>20005_2</v>
          </cell>
        </row>
        <row r="425">
          <cell r="A425" t="str">
            <v>20005_3</v>
          </cell>
        </row>
        <row r="426">
          <cell r="A426" t="str">
            <v>20006_1</v>
          </cell>
        </row>
        <row r="427">
          <cell r="A427" t="str">
            <v>20006_2</v>
          </cell>
        </row>
        <row r="428">
          <cell r="A428" t="str">
            <v>20006_3</v>
          </cell>
        </row>
        <row r="429">
          <cell r="A429" t="str">
            <v>20007_1</v>
          </cell>
        </row>
        <row r="430">
          <cell r="A430" t="str">
            <v>20007_2</v>
          </cell>
        </row>
        <row r="431">
          <cell r="A431" t="str">
            <v>20007_3</v>
          </cell>
        </row>
        <row r="432">
          <cell r="A432" t="str">
            <v>20008_1</v>
          </cell>
        </row>
        <row r="433">
          <cell r="A433" t="str">
            <v>20008_2</v>
          </cell>
        </row>
        <row r="434">
          <cell r="A434" t="str">
            <v>20008_3</v>
          </cell>
        </row>
        <row r="435">
          <cell r="A435" t="str">
            <v>20009_1</v>
          </cell>
        </row>
        <row r="436">
          <cell r="A436" t="str">
            <v>20009_2</v>
          </cell>
        </row>
        <row r="437">
          <cell r="A437" t="str">
            <v>20009_3</v>
          </cell>
        </row>
        <row r="438">
          <cell r="A438" t="str">
            <v>20010_1</v>
          </cell>
        </row>
        <row r="439">
          <cell r="A439" t="str">
            <v>20010_2</v>
          </cell>
        </row>
        <row r="440">
          <cell r="A440" t="str">
            <v>20010_3</v>
          </cell>
        </row>
        <row r="441">
          <cell r="A441" t="str">
            <v>20011_1</v>
          </cell>
        </row>
        <row r="442">
          <cell r="A442" t="str">
            <v>20011_2</v>
          </cell>
        </row>
        <row r="443">
          <cell r="A443" t="str">
            <v>20011_3</v>
          </cell>
        </row>
        <row r="444">
          <cell r="A444" t="str">
            <v>20012_1</v>
          </cell>
        </row>
        <row r="445">
          <cell r="A445" t="str">
            <v>20012_2</v>
          </cell>
        </row>
        <row r="446">
          <cell r="A446" t="str">
            <v>20012_3</v>
          </cell>
        </row>
        <row r="447">
          <cell r="A447" t="str">
            <v>20013_1</v>
          </cell>
        </row>
        <row r="448">
          <cell r="A448" t="str">
            <v>20013_2</v>
          </cell>
        </row>
        <row r="449">
          <cell r="A449" t="str">
            <v>20013_3</v>
          </cell>
        </row>
        <row r="450">
          <cell r="A450" t="str">
            <v>20014_1</v>
          </cell>
        </row>
        <row r="451">
          <cell r="A451" t="str">
            <v>20014_2</v>
          </cell>
        </row>
        <row r="452">
          <cell r="A452" t="str">
            <v>20014_3</v>
          </cell>
        </row>
        <row r="453">
          <cell r="A453" t="str">
            <v>20015_1</v>
          </cell>
        </row>
        <row r="454">
          <cell r="A454" t="str">
            <v>20015_2</v>
          </cell>
        </row>
        <row r="455">
          <cell r="A455" t="str">
            <v>20015_3</v>
          </cell>
        </row>
        <row r="456">
          <cell r="A456" t="str">
            <v>20016_1</v>
          </cell>
        </row>
        <row r="457">
          <cell r="A457" t="str">
            <v>20016_2</v>
          </cell>
        </row>
        <row r="458">
          <cell r="A458" t="str">
            <v>20016_3</v>
          </cell>
        </row>
        <row r="459">
          <cell r="A459" t="str">
            <v>20017_1</v>
          </cell>
        </row>
        <row r="460">
          <cell r="A460" t="str">
            <v>20017_2</v>
          </cell>
        </row>
        <row r="461">
          <cell r="A461" t="str">
            <v>20017_3</v>
          </cell>
        </row>
        <row r="462">
          <cell r="A462" t="str">
            <v>20018_1</v>
          </cell>
        </row>
        <row r="463">
          <cell r="A463" t="str">
            <v>20018_2</v>
          </cell>
        </row>
        <row r="464">
          <cell r="A464" t="str">
            <v>20018_3</v>
          </cell>
        </row>
        <row r="465">
          <cell r="A465" t="str">
            <v>20019_1</v>
          </cell>
        </row>
        <row r="466">
          <cell r="A466" t="str">
            <v>20019_2</v>
          </cell>
        </row>
        <row r="467">
          <cell r="A467" t="str">
            <v>20019_3</v>
          </cell>
        </row>
        <row r="468">
          <cell r="A468" t="str">
            <v>20020_1</v>
          </cell>
        </row>
        <row r="469">
          <cell r="A469" t="str">
            <v>20020_2</v>
          </cell>
        </row>
        <row r="470">
          <cell r="A470" t="str">
            <v>20020_3</v>
          </cell>
        </row>
        <row r="471">
          <cell r="A471" t="str">
            <v>20021_1</v>
          </cell>
        </row>
        <row r="472">
          <cell r="A472" t="str">
            <v>20021_2</v>
          </cell>
        </row>
        <row r="473">
          <cell r="A473" t="str">
            <v>20021_3</v>
          </cell>
        </row>
        <row r="474">
          <cell r="A474" t="str">
            <v>30001_1</v>
          </cell>
        </row>
        <row r="475">
          <cell r="A475" t="str">
            <v>30001_2</v>
          </cell>
        </row>
        <row r="476">
          <cell r="A476" t="str">
            <v>30001_3</v>
          </cell>
        </row>
        <row r="477">
          <cell r="A477" t="str">
            <v>30002_1</v>
          </cell>
        </row>
        <row r="478">
          <cell r="A478" t="str">
            <v>30002_2</v>
          </cell>
        </row>
        <row r="479">
          <cell r="A479" t="str">
            <v>30002_3</v>
          </cell>
        </row>
        <row r="480">
          <cell r="A480" t="str">
            <v>30003_1</v>
          </cell>
        </row>
        <row r="481">
          <cell r="A481" t="str">
            <v>30003_2</v>
          </cell>
        </row>
        <row r="482">
          <cell r="A482" t="str">
            <v>30003_3</v>
          </cell>
        </row>
        <row r="483">
          <cell r="A483" t="str">
            <v>30004_1</v>
          </cell>
        </row>
        <row r="484">
          <cell r="A484" t="str">
            <v>30004_2</v>
          </cell>
        </row>
        <row r="485">
          <cell r="A485" t="str">
            <v>30004_3</v>
          </cell>
        </row>
        <row r="486">
          <cell r="A486" t="str">
            <v>30005_1</v>
          </cell>
        </row>
        <row r="487">
          <cell r="A487" t="str">
            <v>30005_2</v>
          </cell>
        </row>
        <row r="488">
          <cell r="A488" t="str">
            <v>30005_3</v>
          </cell>
        </row>
        <row r="489">
          <cell r="A489" t="str">
            <v>30006_1</v>
          </cell>
        </row>
        <row r="490">
          <cell r="A490" t="str">
            <v>30006_2</v>
          </cell>
        </row>
        <row r="491">
          <cell r="A491" t="str">
            <v>30006_3</v>
          </cell>
        </row>
        <row r="492">
          <cell r="A492" t="str">
            <v>30007_1</v>
          </cell>
        </row>
        <row r="493">
          <cell r="A493" t="str">
            <v>30007_2</v>
          </cell>
        </row>
        <row r="494">
          <cell r="A494" t="str">
            <v>30007_3</v>
          </cell>
        </row>
        <row r="495">
          <cell r="A495" t="str">
            <v>30008_1</v>
          </cell>
        </row>
        <row r="496">
          <cell r="A496" t="str">
            <v>30008_2</v>
          </cell>
        </row>
        <row r="497">
          <cell r="A497" t="str">
            <v>30008_3</v>
          </cell>
        </row>
        <row r="498">
          <cell r="A498" t="str">
            <v>30009_3</v>
          </cell>
        </row>
        <row r="499">
          <cell r="A499" t="str">
            <v>30009_1</v>
          </cell>
        </row>
        <row r="500">
          <cell r="A500" t="str">
            <v>30009_2</v>
          </cell>
        </row>
        <row r="501">
          <cell r="A501" t="str">
            <v>30010_1</v>
          </cell>
        </row>
        <row r="502">
          <cell r="A502" t="str">
            <v>30010_2</v>
          </cell>
        </row>
        <row r="503">
          <cell r="A503" t="str">
            <v>30010_3</v>
          </cell>
        </row>
        <row r="504">
          <cell r="A504" t="str">
            <v>30011_1</v>
          </cell>
        </row>
        <row r="505">
          <cell r="A505" t="str">
            <v>30011_2</v>
          </cell>
        </row>
        <row r="506">
          <cell r="A506" t="str">
            <v>30011_3</v>
          </cell>
        </row>
        <row r="507">
          <cell r="A507" t="str">
            <v>30012_1</v>
          </cell>
        </row>
        <row r="508">
          <cell r="A508" t="str">
            <v>30012_2</v>
          </cell>
        </row>
        <row r="509">
          <cell r="A509" t="str">
            <v>30012_3</v>
          </cell>
        </row>
        <row r="510">
          <cell r="A510" t="str">
            <v>30013_1</v>
          </cell>
        </row>
        <row r="511">
          <cell r="A511" t="str">
            <v>30013_2</v>
          </cell>
        </row>
        <row r="512">
          <cell r="A512" t="str">
            <v>30014_1</v>
          </cell>
        </row>
        <row r="513">
          <cell r="A513" t="str">
            <v>30014_2</v>
          </cell>
        </row>
        <row r="514">
          <cell r="A514" t="str">
            <v>30015_1</v>
          </cell>
        </row>
        <row r="515">
          <cell r="A515" t="str">
            <v>30015_2</v>
          </cell>
        </row>
        <row r="516">
          <cell r="A516" t="str">
            <v>30016_1</v>
          </cell>
        </row>
        <row r="517">
          <cell r="A517" t="str">
            <v>30016_2</v>
          </cell>
        </row>
        <row r="518">
          <cell r="A518" t="str">
            <v>30017_1</v>
          </cell>
        </row>
        <row r="519">
          <cell r="A519" t="str">
            <v>30017_2</v>
          </cell>
        </row>
        <row r="520">
          <cell r="A520" t="str">
            <v>30018_1</v>
          </cell>
        </row>
        <row r="521">
          <cell r="A521" t="str">
            <v>30018_2</v>
          </cell>
        </row>
        <row r="522">
          <cell r="A522" t="str">
            <v>30019_1</v>
          </cell>
        </row>
        <row r="523">
          <cell r="A523" t="str">
            <v>30019_2</v>
          </cell>
        </row>
        <row r="524">
          <cell r="A524" t="str">
            <v>30020_1</v>
          </cell>
        </row>
        <row r="525">
          <cell r="A525" t="str">
            <v>30020_2</v>
          </cell>
        </row>
        <row r="526">
          <cell r="A526" t="str">
            <v>30021_1</v>
          </cell>
        </row>
        <row r="527">
          <cell r="A527" t="str">
            <v>30021_2</v>
          </cell>
        </row>
        <row r="528">
          <cell r="A528" t="str">
            <v>30021_3</v>
          </cell>
        </row>
        <row r="529">
          <cell r="A529" t="str">
            <v>30022_1</v>
          </cell>
        </row>
        <row r="530">
          <cell r="A530" t="str">
            <v>30022_2</v>
          </cell>
        </row>
        <row r="531">
          <cell r="A531" t="str">
            <v>30023_1</v>
          </cell>
        </row>
        <row r="532">
          <cell r="A532" t="str">
            <v>30023_2</v>
          </cell>
        </row>
        <row r="533">
          <cell r="A533" t="str">
            <v>30023_3</v>
          </cell>
        </row>
        <row r="534">
          <cell r="A534" t="str">
            <v>30024_1</v>
          </cell>
        </row>
        <row r="535">
          <cell r="A535" t="str">
            <v>30024_2</v>
          </cell>
        </row>
        <row r="536">
          <cell r="A536" t="str">
            <v>30024_3</v>
          </cell>
        </row>
        <row r="537">
          <cell r="A537" t="str">
            <v>30025_1</v>
          </cell>
        </row>
        <row r="538">
          <cell r="A538" t="str">
            <v>30025_2</v>
          </cell>
        </row>
        <row r="539">
          <cell r="A539" t="str">
            <v>30025_3</v>
          </cell>
        </row>
        <row r="540">
          <cell r="A540" t="str">
            <v>30026_1</v>
          </cell>
        </row>
        <row r="541">
          <cell r="A541" t="str">
            <v>30026_2</v>
          </cell>
        </row>
        <row r="542">
          <cell r="A542" t="str">
            <v>30026_3</v>
          </cell>
        </row>
        <row r="543">
          <cell r="A543" t="str">
            <v>30027_1</v>
          </cell>
        </row>
        <row r="544">
          <cell r="A544" t="str">
            <v>30027_2</v>
          </cell>
        </row>
        <row r="545">
          <cell r="A545" t="str">
            <v>30027_3</v>
          </cell>
        </row>
        <row r="546">
          <cell r="A546" t="str">
            <v>30028_1</v>
          </cell>
        </row>
        <row r="547">
          <cell r="A547" t="str">
            <v>30028_2</v>
          </cell>
        </row>
        <row r="548">
          <cell r="A548" t="str">
            <v>30028_3</v>
          </cell>
        </row>
        <row r="549">
          <cell r="A549" t="str">
            <v>30029_1</v>
          </cell>
        </row>
        <row r="550">
          <cell r="A550" t="str">
            <v>30029_2</v>
          </cell>
        </row>
        <row r="551">
          <cell r="A551" t="str">
            <v>30029_3</v>
          </cell>
        </row>
        <row r="552">
          <cell r="A552" t="str">
            <v>30030_1</v>
          </cell>
        </row>
        <row r="553">
          <cell r="A553" t="str">
            <v>30030_2</v>
          </cell>
        </row>
        <row r="554">
          <cell r="A554" t="str">
            <v>30030_3</v>
          </cell>
        </row>
        <row r="555">
          <cell r="A555" t="str">
            <v>30031_1</v>
          </cell>
        </row>
        <row r="556">
          <cell r="A556" t="str">
            <v>30031_2</v>
          </cell>
        </row>
        <row r="557">
          <cell r="A557" t="str">
            <v>30031_3</v>
          </cell>
        </row>
        <row r="558">
          <cell r="A558" t="str">
            <v>30032_1</v>
          </cell>
        </row>
        <row r="559">
          <cell r="A559" t="str">
            <v>30032_2</v>
          </cell>
        </row>
        <row r="560">
          <cell r="A560" t="str">
            <v>30032_3</v>
          </cell>
        </row>
        <row r="561">
          <cell r="A561" t="str">
            <v>30033_1</v>
          </cell>
        </row>
        <row r="562">
          <cell r="A562" t="str">
            <v>30033_2</v>
          </cell>
        </row>
        <row r="563">
          <cell r="A563" t="str">
            <v>30033_3</v>
          </cell>
        </row>
        <row r="564">
          <cell r="A564" t="str">
            <v>30034_1</v>
          </cell>
        </row>
        <row r="565">
          <cell r="A565" t="str">
            <v>30034_2</v>
          </cell>
        </row>
        <row r="566">
          <cell r="A566" t="str">
            <v>30034_3</v>
          </cell>
        </row>
        <row r="567">
          <cell r="A567" t="str">
            <v>30035_1</v>
          </cell>
        </row>
        <row r="568">
          <cell r="A568" t="str">
            <v>30035_2</v>
          </cell>
        </row>
        <row r="569">
          <cell r="A569" t="str">
            <v>30035_3</v>
          </cell>
        </row>
        <row r="570">
          <cell r="A570" t="str">
            <v>30036_1</v>
          </cell>
        </row>
        <row r="571">
          <cell r="A571" t="str">
            <v>30036_2</v>
          </cell>
        </row>
        <row r="572">
          <cell r="A572" t="str">
            <v>30036_3</v>
          </cell>
        </row>
        <row r="573">
          <cell r="A573" t="str">
            <v>30037_1</v>
          </cell>
        </row>
        <row r="574">
          <cell r="A574" t="str">
            <v>30037_2</v>
          </cell>
        </row>
        <row r="575">
          <cell r="A575" t="str">
            <v>30037_3</v>
          </cell>
        </row>
        <row r="576">
          <cell r="A576" t="str">
            <v>30038_1</v>
          </cell>
        </row>
        <row r="577">
          <cell r="A577" t="str">
            <v>30038_2</v>
          </cell>
        </row>
        <row r="578">
          <cell r="A578" t="str">
            <v>30038_3</v>
          </cell>
        </row>
        <row r="579">
          <cell r="A579" t="str">
            <v>30039_1</v>
          </cell>
        </row>
        <row r="580">
          <cell r="A580" t="str">
            <v>30039_2</v>
          </cell>
        </row>
        <row r="581">
          <cell r="A581" t="str">
            <v>30039_3</v>
          </cell>
        </row>
        <row r="582">
          <cell r="A582" t="str">
            <v>30040_1</v>
          </cell>
        </row>
        <row r="583">
          <cell r="A583" t="str">
            <v>30040_2</v>
          </cell>
        </row>
        <row r="584">
          <cell r="A584" t="str">
            <v>30040_3</v>
          </cell>
        </row>
        <row r="585">
          <cell r="A585" t="str">
            <v>30041_1</v>
          </cell>
        </row>
        <row r="586">
          <cell r="A586" t="str">
            <v>30041_2</v>
          </cell>
        </row>
        <row r="587">
          <cell r="A587" t="str">
            <v>30041_3</v>
          </cell>
        </row>
        <row r="588">
          <cell r="A588" t="str">
            <v>30042_1</v>
          </cell>
        </row>
        <row r="589">
          <cell r="A589" t="str">
            <v>30042_2</v>
          </cell>
        </row>
        <row r="590">
          <cell r="A590" t="str">
            <v>30042_3</v>
          </cell>
        </row>
        <row r="591">
          <cell r="A591" t="str">
            <v>30043_1</v>
          </cell>
        </row>
        <row r="592">
          <cell r="A592" t="str">
            <v>30043_2</v>
          </cell>
        </row>
        <row r="593">
          <cell r="A593" t="str">
            <v>30043_3</v>
          </cell>
        </row>
        <row r="594">
          <cell r="A594" t="str">
            <v>30044_1</v>
          </cell>
        </row>
        <row r="595">
          <cell r="A595" t="str">
            <v>30044_2</v>
          </cell>
        </row>
        <row r="596">
          <cell r="A596" t="str">
            <v>30044_3</v>
          </cell>
        </row>
        <row r="597">
          <cell r="A597" t="str">
            <v>39001_1</v>
          </cell>
        </row>
        <row r="598">
          <cell r="A598" t="str">
            <v>39001_2</v>
          </cell>
        </row>
        <row r="599">
          <cell r="A599" t="str">
            <v>39001_3</v>
          </cell>
        </row>
        <row r="600">
          <cell r="A600" t="str">
            <v>39001_4</v>
          </cell>
        </row>
        <row r="601">
          <cell r="A601" t="str">
            <v>39001_5</v>
          </cell>
        </row>
        <row r="602">
          <cell r="A602" t="str">
            <v>39002_1</v>
          </cell>
        </row>
        <row r="603">
          <cell r="A603" t="str">
            <v>39002_2</v>
          </cell>
        </row>
        <row r="604">
          <cell r="A604" t="str">
            <v>39002_3</v>
          </cell>
        </row>
        <row r="605">
          <cell r="A605" t="str">
            <v>39002_4</v>
          </cell>
        </row>
        <row r="606">
          <cell r="A606" t="str">
            <v>39003_1</v>
          </cell>
        </row>
        <row r="607">
          <cell r="A607" t="str">
            <v>39003_2</v>
          </cell>
        </row>
        <row r="608">
          <cell r="A608" t="str">
            <v>39003_3</v>
          </cell>
        </row>
        <row r="609">
          <cell r="A609" t="str">
            <v>39003_4</v>
          </cell>
        </row>
        <row r="610">
          <cell r="A610" t="str">
            <v>39004_1</v>
          </cell>
        </row>
        <row r="611">
          <cell r="A611" t="str">
            <v>39004_2</v>
          </cell>
        </row>
        <row r="612">
          <cell r="A612" t="str">
            <v>39004_3</v>
          </cell>
        </row>
        <row r="613">
          <cell r="A613" t="str">
            <v>39004_4</v>
          </cell>
        </row>
        <row r="614">
          <cell r="A614" t="str">
            <v>39005_1</v>
          </cell>
        </row>
        <row r="615">
          <cell r="A615" t="str">
            <v>39005_2</v>
          </cell>
        </row>
        <row r="616">
          <cell r="A616" t="str">
            <v>39005_3</v>
          </cell>
        </row>
        <row r="617">
          <cell r="A617" t="str">
            <v>39005_4</v>
          </cell>
        </row>
        <row r="618">
          <cell r="A618" t="str">
            <v>39005_5</v>
          </cell>
        </row>
        <row r="619">
          <cell r="A619" t="str">
            <v>39006_1</v>
          </cell>
        </row>
        <row r="620">
          <cell r="A620" t="str">
            <v>39006_2</v>
          </cell>
        </row>
        <row r="621">
          <cell r="A621" t="str">
            <v>39006_3</v>
          </cell>
        </row>
        <row r="622">
          <cell r="A622" t="str">
            <v>39006_4</v>
          </cell>
        </row>
        <row r="623">
          <cell r="A623" t="str">
            <v>39007_1</v>
          </cell>
        </row>
        <row r="624">
          <cell r="A624" t="str">
            <v>39007_2</v>
          </cell>
        </row>
        <row r="625">
          <cell r="A625" t="str">
            <v>39007_3</v>
          </cell>
        </row>
        <row r="626">
          <cell r="A626" t="str">
            <v>39007_4</v>
          </cell>
        </row>
        <row r="627">
          <cell r="A627" t="str">
            <v>40001_1</v>
          </cell>
        </row>
        <row r="628">
          <cell r="A628" t="str">
            <v>40002_1</v>
          </cell>
        </row>
        <row r="629">
          <cell r="A629" t="str">
            <v>40002_2</v>
          </cell>
        </row>
        <row r="630">
          <cell r="A630" t="str">
            <v>40002_3</v>
          </cell>
        </row>
        <row r="631">
          <cell r="A631" t="str">
            <v>40003_1</v>
          </cell>
        </row>
        <row r="632">
          <cell r="A632" t="str">
            <v>40004_1</v>
          </cell>
        </row>
        <row r="633">
          <cell r="A633" t="str">
            <v>40005_1</v>
          </cell>
        </row>
        <row r="634">
          <cell r="A634" t="str">
            <v>40006_1</v>
          </cell>
        </row>
        <row r="635">
          <cell r="A635" t="str">
            <v>40007_1</v>
          </cell>
        </row>
        <row r="636">
          <cell r="A636" t="str">
            <v>40008_1</v>
          </cell>
        </row>
        <row r="637">
          <cell r="A637" t="str">
            <v>40009_1</v>
          </cell>
        </row>
        <row r="638">
          <cell r="A638" t="str">
            <v>40010_1</v>
          </cell>
        </row>
        <row r="639">
          <cell r="A639" t="str">
            <v>40011_1</v>
          </cell>
        </row>
        <row r="640">
          <cell r="A640" t="str">
            <v>40012_1</v>
          </cell>
        </row>
        <row r="641">
          <cell r="A641" t="str">
            <v>40013_1</v>
          </cell>
        </row>
        <row r="642">
          <cell r="A642" t="str">
            <v>40014_1</v>
          </cell>
        </row>
        <row r="643">
          <cell r="A643" t="str">
            <v>40015_1</v>
          </cell>
        </row>
        <row r="644">
          <cell r="A644" t="str">
            <v>40016_1</v>
          </cell>
        </row>
        <row r="645">
          <cell r="A645" t="str">
            <v>40016_2</v>
          </cell>
        </row>
        <row r="646">
          <cell r="A646" t="str">
            <v>40017_1</v>
          </cell>
        </row>
        <row r="647">
          <cell r="A647" t="str">
            <v>40017_2</v>
          </cell>
        </row>
        <row r="648">
          <cell r="A648" t="str">
            <v>40017_3</v>
          </cell>
        </row>
        <row r="649">
          <cell r="A649" t="str">
            <v>40018_1</v>
          </cell>
        </row>
        <row r="650">
          <cell r="A650" t="str">
            <v>40018_2</v>
          </cell>
        </row>
        <row r="651">
          <cell r="A651" t="str">
            <v>40018_3</v>
          </cell>
        </row>
        <row r="652">
          <cell r="A652" t="str">
            <v>40019_1</v>
          </cell>
        </row>
        <row r="653">
          <cell r="A653" t="str">
            <v>40019_2</v>
          </cell>
        </row>
        <row r="654">
          <cell r="A654" t="str">
            <v>40019_3</v>
          </cell>
        </row>
        <row r="655">
          <cell r="A655" t="str">
            <v>40021_1</v>
          </cell>
        </row>
        <row r="656">
          <cell r="A656" t="str">
            <v>40021_2</v>
          </cell>
        </row>
        <row r="657">
          <cell r="A657" t="str">
            <v>40022_1</v>
          </cell>
        </row>
        <row r="658">
          <cell r="A658" t="str">
            <v>40022_2</v>
          </cell>
        </row>
        <row r="659">
          <cell r="A659" t="str">
            <v>40023_1</v>
          </cell>
        </row>
        <row r="660">
          <cell r="A660" t="str">
            <v>40023_2</v>
          </cell>
        </row>
        <row r="661">
          <cell r="A661" t="str">
            <v>40024_1</v>
          </cell>
        </row>
        <row r="662">
          <cell r="A662" t="str">
            <v>40024_2</v>
          </cell>
        </row>
        <row r="663">
          <cell r="A663" t="str">
            <v>40025_1</v>
          </cell>
        </row>
        <row r="664">
          <cell r="A664" t="str">
            <v>40025_2</v>
          </cell>
        </row>
        <row r="665">
          <cell r="A665" t="str">
            <v>40026_1</v>
          </cell>
        </row>
        <row r="666">
          <cell r="A666" t="str">
            <v>40026_2</v>
          </cell>
        </row>
        <row r="667">
          <cell r="A667" t="str">
            <v>40027_1</v>
          </cell>
        </row>
        <row r="668">
          <cell r="A668" t="str">
            <v>40027_2</v>
          </cell>
        </row>
        <row r="669">
          <cell r="A669" t="str">
            <v>40028_1</v>
          </cell>
        </row>
        <row r="670">
          <cell r="A670" t="str">
            <v>40028_2</v>
          </cell>
        </row>
        <row r="671">
          <cell r="A671" t="str">
            <v>40029_1</v>
          </cell>
        </row>
        <row r="672">
          <cell r="A672" t="str">
            <v>40029_2</v>
          </cell>
        </row>
        <row r="673">
          <cell r="A673" t="str">
            <v>40030_1</v>
          </cell>
        </row>
        <row r="674">
          <cell r="A674" t="str">
            <v>40030_2</v>
          </cell>
        </row>
        <row r="675">
          <cell r="A675" t="str">
            <v>40031_1</v>
          </cell>
        </row>
        <row r="676">
          <cell r="A676" t="str">
            <v>40031_2</v>
          </cell>
        </row>
        <row r="677">
          <cell r="A677" t="str">
            <v>40032_1</v>
          </cell>
        </row>
        <row r="678">
          <cell r="A678" t="str">
            <v>40032_2</v>
          </cell>
        </row>
        <row r="679">
          <cell r="A679" t="str">
            <v>40033_1</v>
          </cell>
        </row>
        <row r="680">
          <cell r="A680" t="str">
            <v>40033_2</v>
          </cell>
        </row>
        <row r="681">
          <cell r="A681" t="str">
            <v>40034_1</v>
          </cell>
        </row>
        <row r="682">
          <cell r="A682" t="str">
            <v>40034_2</v>
          </cell>
        </row>
        <row r="683">
          <cell r="A683" t="str">
            <v>40035_1</v>
          </cell>
        </row>
        <row r="684">
          <cell r="A684" t="str">
            <v>40035_2</v>
          </cell>
        </row>
        <row r="685">
          <cell r="A685" t="str">
            <v>40036_1</v>
          </cell>
        </row>
        <row r="686">
          <cell r="A686" t="str">
            <v>40036_2</v>
          </cell>
        </row>
        <row r="687">
          <cell r="A687" t="str">
            <v>40037_1</v>
          </cell>
        </row>
        <row r="688">
          <cell r="A688" t="str">
            <v>40037_2</v>
          </cell>
        </row>
        <row r="689">
          <cell r="A689" t="str">
            <v>41001_1</v>
          </cell>
        </row>
        <row r="690">
          <cell r="A690" t="str">
            <v>41001_2</v>
          </cell>
        </row>
        <row r="691">
          <cell r="A691" t="str">
            <v>41001_3</v>
          </cell>
        </row>
        <row r="692">
          <cell r="A692" t="str">
            <v>41002_1</v>
          </cell>
        </row>
        <row r="693">
          <cell r="A693" t="str">
            <v>41002_2</v>
          </cell>
        </row>
        <row r="694">
          <cell r="A694" t="str">
            <v>41002_3</v>
          </cell>
        </row>
        <row r="695">
          <cell r="A695" t="str">
            <v>41003_1</v>
          </cell>
        </row>
        <row r="696">
          <cell r="A696" t="str">
            <v>41003_2</v>
          </cell>
        </row>
        <row r="697">
          <cell r="A697" t="str">
            <v>41003_3</v>
          </cell>
        </row>
        <row r="698">
          <cell r="A698" t="str">
            <v>41004_1</v>
          </cell>
        </row>
        <row r="699">
          <cell r="A699" t="str">
            <v>41004_2</v>
          </cell>
        </row>
        <row r="700">
          <cell r="A700" t="str">
            <v>41004_3</v>
          </cell>
        </row>
        <row r="701">
          <cell r="A701" t="str">
            <v>41005_1</v>
          </cell>
        </row>
        <row r="702">
          <cell r="A702" t="str">
            <v>41005_2</v>
          </cell>
        </row>
        <row r="703">
          <cell r="A703" t="str">
            <v>41005_3</v>
          </cell>
        </row>
        <row r="704">
          <cell r="A704" t="str">
            <v>41006_1</v>
          </cell>
        </row>
        <row r="705">
          <cell r="A705" t="str">
            <v>41006_2</v>
          </cell>
        </row>
        <row r="706">
          <cell r="A706" t="str">
            <v>41006_3</v>
          </cell>
        </row>
        <row r="707">
          <cell r="A707" t="str">
            <v>41007_1</v>
          </cell>
        </row>
        <row r="708">
          <cell r="A708" t="str">
            <v>41007_2</v>
          </cell>
        </row>
        <row r="709">
          <cell r="A709" t="str">
            <v>41007_3</v>
          </cell>
        </row>
        <row r="710">
          <cell r="A710" t="str">
            <v>41008_1</v>
          </cell>
        </row>
        <row r="711">
          <cell r="A711" t="str">
            <v>41008_2</v>
          </cell>
        </row>
        <row r="712">
          <cell r="A712" t="str">
            <v>41008_3</v>
          </cell>
        </row>
        <row r="713">
          <cell r="A713" t="str">
            <v>41009_1</v>
          </cell>
        </row>
        <row r="714">
          <cell r="A714" t="str">
            <v>41009_2</v>
          </cell>
        </row>
        <row r="715">
          <cell r="A715" t="str">
            <v>41009_3</v>
          </cell>
        </row>
        <row r="716">
          <cell r="A716" t="str">
            <v>41010_1</v>
          </cell>
        </row>
        <row r="717">
          <cell r="A717" t="str">
            <v>41010_2</v>
          </cell>
        </row>
        <row r="718">
          <cell r="A718" t="str">
            <v>41010_3</v>
          </cell>
        </row>
        <row r="719">
          <cell r="A719" t="str">
            <v>41011_1</v>
          </cell>
        </row>
        <row r="720">
          <cell r="A720" t="str">
            <v>41011_2</v>
          </cell>
        </row>
        <row r="721">
          <cell r="A721" t="str">
            <v>41012_1</v>
          </cell>
        </row>
        <row r="722">
          <cell r="A722" t="str">
            <v>41012_2</v>
          </cell>
        </row>
        <row r="723">
          <cell r="A723" t="str">
            <v>41013_1</v>
          </cell>
        </row>
        <row r="724">
          <cell r="A724" t="str">
            <v>41013_2</v>
          </cell>
        </row>
        <row r="725">
          <cell r="A725" t="str">
            <v>41014_1</v>
          </cell>
        </row>
        <row r="726">
          <cell r="A726" t="str">
            <v>41014_2</v>
          </cell>
        </row>
        <row r="727">
          <cell r="A727" t="str">
            <v>41015_1</v>
          </cell>
        </row>
        <row r="728">
          <cell r="A728" t="str">
            <v>41015_2</v>
          </cell>
        </row>
        <row r="729">
          <cell r="A729" t="str">
            <v>47001_1</v>
          </cell>
        </row>
        <row r="730">
          <cell r="A730" t="str">
            <v>47001_2</v>
          </cell>
        </row>
        <row r="731">
          <cell r="A731" t="str">
            <v>47002_1</v>
          </cell>
        </row>
        <row r="732">
          <cell r="A732" t="str">
            <v>47002_2</v>
          </cell>
        </row>
        <row r="733">
          <cell r="A733" t="str">
            <v>47003_1</v>
          </cell>
        </row>
        <row r="734">
          <cell r="A734" t="str">
            <v>47003_2</v>
          </cell>
        </row>
        <row r="735">
          <cell r="A735" t="str">
            <v>47003_3</v>
          </cell>
        </row>
        <row r="736">
          <cell r="A736" t="str">
            <v>47003_4</v>
          </cell>
        </row>
        <row r="737">
          <cell r="A737" t="str">
            <v>48001_1</v>
          </cell>
        </row>
        <row r="738">
          <cell r="A738" t="str">
            <v>48002_1</v>
          </cell>
        </row>
        <row r="739">
          <cell r="A739" t="str">
            <v>48002_2</v>
          </cell>
        </row>
        <row r="740">
          <cell r="A740" t="str">
            <v>48002_3</v>
          </cell>
        </row>
        <row r="741">
          <cell r="A741" t="str">
            <v>48003_1</v>
          </cell>
        </row>
        <row r="742">
          <cell r="A742" t="str">
            <v>48003_2</v>
          </cell>
        </row>
        <row r="743">
          <cell r="A743" t="str">
            <v>48003_3</v>
          </cell>
        </row>
        <row r="744">
          <cell r="A744" t="str">
            <v>48004_1</v>
          </cell>
        </row>
        <row r="745">
          <cell r="A745" t="str">
            <v>48004_2</v>
          </cell>
        </row>
        <row r="746">
          <cell r="A746" t="str">
            <v>48004_3</v>
          </cell>
        </row>
        <row r="747">
          <cell r="A747" t="str">
            <v>48005_1</v>
          </cell>
        </row>
        <row r="748">
          <cell r="A748" t="str">
            <v>48005_2</v>
          </cell>
        </row>
        <row r="749">
          <cell r="A749" t="str">
            <v>48006_1</v>
          </cell>
        </row>
        <row r="750">
          <cell r="A750" t="str">
            <v>48006_2</v>
          </cell>
        </row>
        <row r="751">
          <cell r="A751" t="str">
            <v>48007_1</v>
          </cell>
        </row>
        <row r="752">
          <cell r="A752" t="str">
            <v>48007_2</v>
          </cell>
        </row>
        <row r="753">
          <cell r="A753" t="str">
            <v>49001_1</v>
          </cell>
        </row>
        <row r="754">
          <cell r="A754" t="str">
            <v>49002_1</v>
          </cell>
        </row>
        <row r="755">
          <cell r="A755" t="str">
            <v>49002_2</v>
          </cell>
        </row>
        <row r="756">
          <cell r="A756" t="str">
            <v>49003_1</v>
          </cell>
        </row>
        <row r="757">
          <cell r="A757" t="str">
            <v>49003_2</v>
          </cell>
        </row>
        <row r="758">
          <cell r="A758" t="str">
            <v>49004_1</v>
          </cell>
        </row>
        <row r="759">
          <cell r="A759" t="str">
            <v>49004_2</v>
          </cell>
        </row>
        <row r="760">
          <cell r="A760" t="str">
            <v>49004_3</v>
          </cell>
        </row>
        <row r="761">
          <cell r="A761" t="str">
            <v>49005_1</v>
          </cell>
        </row>
        <row r="762">
          <cell r="A762" t="str">
            <v>49006_1</v>
          </cell>
        </row>
        <row r="763">
          <cell r="A763" t="str">
            <v>49006_2</v>
          </cell>
        </row>
        <row r="764">
          <cell r="A764" t="str">
            <v>49007_1</v>
          </cell>
        </row>
        <row r="765">
          <cell r="A765" t="str">
            <v>49007_2</v>
          </cell>
        </row>
        <row r="766">
          <cell r="A766" t="str">
            <v>49007_3</v>
          </cell>
        </row>
        <row r="767">
          <cell r="A767" t="str">
            <v>50001_1</v>
          </cell>
        </row>
        <row r="768">
          <cell r="A768" t="str">
            <v>50002_1</v>
          </cell>
        </row>
        <row r="769">
          <cell r="A769" t="str">
            <v>50003_1</v>
          </cell>
        </row>
        <row r="770">
          <cell r="A770" t="str">
            <v>50004_1</v>
          </cell>
        </row>
        <row r="771">
          <cell r="A771" t="str">
            <v>50005_1</v>
          </cell>
        </row>
        <row r="772">
          <cell r="A772" t="str">
            <v>50006_1</v>
          </cell>
        </row>
        <row r="773">
          <cell r="A773" t="str">
            <v>50007_1</v>
          </cell>
        </row>
        <row r="774">
          <cell r="A774" t="str">
            <v>50008_1</v>
          </cell>
        </row>
        <row r="775">
          <cell r="A775" t="str">
            <v>50009_1</v>
          </cell>
        </row>
        <row r="776">
          <cell r="A776" t="str">
            <v>51001_1</v>
          </cell>
        </row>
        <row r="777">
          <cell r="A777" t="str">
            <v>51002_1</v>
          </cell>
        </row>
        <row r="778">
          <cell r="A778" t="str">
            <v>60001_1</v>
          </cell>
        </row>
        <row r="779">
          <cell r="A779" t="str">
            <v>60002_1</v>
          </cell>
        </row>
        <row r="780">
          <cell r="A780" t="str">
            <v>60002_2</v>
          </cell>
        </row>
        <row r="781">
          <cell r="A781" t="str">
            <v>60003_1</v>
          </cell>
        </row>
        <row r="782">
          <cell r="A782" t="str">
            <v>60003_2</v>
          </cell>
        </row>
        <row r="783">
          <cell r="A783" t="str">
            <v>60003_3</v>
          </cell>
        </row>
        <row r="784">
          <cell r="A784" t="str">
            <v>60004_1</v>
          </cell>
        </row>
        <row r="785">
          <cell r="A785" t="str">
            <v>60005_1</v>
          </cell>
        </row>
        <row r="786">
          <cell r="A786" t="str">
            <v>60006_1</v>
          </cell>
        </row>
        <row r="787">
          <cell r="A787" t="str">
            <v>60006_2</v>
          </cell>
        </row>
        <row r="788">
          <cell r="A788" t="str">
            <v>60006_3</v>
          </cell>
        </row>
        <row r="789">
          <cell r="A789" t="str">
            <v>60007_1</v>
          </cell>
        </row>
        <row r="790">
          <cell r="A790" t="str">
            <v>60007_2</v>
          </cell>
        </row>
        <row r="791">
          <cell r="A791" t="str">
            <v>60007_3</v>
          </cell>
        </row>
        <row r="792">
          <cell r="A792" t="str">
            <v>60010_1</v>
          </cell>
        </row>
        <row r="793">
          <cell r="A793" t="str">
            <v>60011_1</v>
          </cell>
        </row>
        <row r="794">
          <cell r="A794" t="str">
            <v>60011_2</v>
          </cell>
        </row>
        <row r="795">
          <cell r="A795" t="str">
            <v>60012_1</v>
          </cell>
        </row>
        <row r="796">
          <cell r="A796" t="str">
            <v>60013_1</v>
          </cell>
        </row>
        <row r="797">
          <cell r="A797" t="str">
            <v>60013_2</v>
          </cell>
        </row>
        <row r="798">
          <cell r="A798" t="str">
            <v>60013_3</v>
          </cell>
        </row>
        <row r="799">
          <cell r="A799" t="str">
            <v>60014_1</v>
          </cell>
        </row>
        <row r="800">
          <cell r="A800" t="str">
            <v>60015_1</v>
          </cell>
        </row>
        <row r="801">
          <cell r="A801" t="str">
            <v>60016_1</v>
          </cell>
        </row>
        <row r="802">
          <cell r="A802" t="str">
            <v>60017_1</v>
          </cell>
        </row>
        <row r="803">
          <cell r="A803" t="str">
            <v>60018_1</v>
          </cell>
        </row>
        <row r="804">
          <cell r="A804" t="str">
            <v>60019_1</v>
          </cell>
        </row>
        <row r="805">
          <cell r="A805" t="str">
            <v>60021_3</v>
          </cell>
        </row>
        <row r="806">
          <cell r="A806" t="str">
            <v>60022_3</v>
          </cell>
        </row>
        <row r="807">
          <cell r="A807" t="str">
            <v>60023_3</v>
          </cell>
        </row>
        <row r="808">
          <cell r="A808" t="str">
            <v>60024_3</v>
          </cell>
        </row>
        <row r="809">
          <cell r="A809" t="str">
            <v>61011_1</v>
          </cell>
        </row>
        <row r="810">
          <cell r="A810" t="str">
            <v>65525_1</v>
          </cell>
        </row>
        <row r="811">
          <cell r="A811" t="str">
            <v>65526_1</v>
          </cell>
        </row>
        <row r="812">
          <cell r="A812" t="str">
            <v>65533_1</v>
          </cell>
        </row>
        <row r="813">
          <cell r="A813" t="str">
            <v>65533_2</v>
          </cell>
        </row>
        <row r="814">
          <cell r="A814" t="str">
            <v>65534_1</v>
          </cell>
        </row>
        <row r="815">
          <cell r="A815" t="str">
            <v>65535_1</v>
          </cell>
        </row>
        <row r="816">
          <cell r="A816" t="str">
            <v>65535_2</v>
          </cell>
        </row>
        <row r="817">
          <cell r="A817" t="str">
            <v>65535_3</v>
          </cell>
        </row>
        <row r="818">
          <cell r="A818" t="str">
            <v>65535_4</v>
          </cell>
        </row>
        <row r="819">
          <cell r="A819" t="str">
            <v>65535_5</v>
          </cell>
        </row>
        <row r="820">
          <cell r="A820" t="str">
            <v>65535_6</v>
          </cell>
        </row>
        <row r="821">
          <cell r="A821" t="str">
            <v>65535_7</v>
          </cell>
        </row>
        <row r="822">
          <cell r="A822" t="str">
            <v>65535_8</v>
          </cell>
        </row>
        <row r="823">
          <cell r="A823" t="str">
            <v>65535_9</v>
          </cell>
        </row>
        <row r="824">
          <cell r="A82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6001</v>
          </cell>
        </row>
        <row r="1299">
          <cell r="A1299">
            <v>6002</v>
          </cell>
        </row>
        <row r="1300">
          <cell r="A1300">
            <v>6003</v>
          </cell>
        </row>
        <row r="1301">
          <cell r="A1301">
            <v>6004</v>
          </cell>
        </row>
        <row r="1302">
          <cell r="A1302">
            <v>6005</v>
          </cell>
        </row>
        <row r="1303">
          <cell r="A1303">
            <v>6006</v>
          </cell>
        </row>
        <row r="1304">
          <cell r="A1304">
            <v>6007</v>
          </cell>
        </row>
        <row r="1305">
          <cell r="A1305">
            <v>6008</v>
          </cell>
        </row>
        <row r="1306">
          <cell r="A1306">
            <v>6009</v>
          </cell>
        </row>
        <row r="1307">
          <cell r="A1307">
            <v>6010</v>
          </cell>
        </row>
        <row r="1308">
          <cell r="A1308">
            <v>6011</v>
          </cell>
        </row>
        <row r="1309">
          <cell r="A1309">
            <v>6012</v>
          </cell>
        </row>
        <row r="1310">
          <cell r="A1310">
            <v>6013</v>
          </cell>
        </row>
        <row r="1311">
          <cell r="A1311">
            <v>6014</v>
          </cell>
        </row>
        <row r="1312">
          <cell r="A1312">
            <v>6015</v>
          </cell>
        </row>
        <row r="1313">
          <cell r="A1313">
            <v>6016</v>
          </cell>
        </row>
        <row r="1314">
          <cell r="A1314">
            <v>6017</v>
          </cell>
        </row>
        <row r="1315">
          <cell r="A1315">
            <v>6018</v>
          </cell>
        </row>
        <row r="1316">
          <cell r="A1316">
            <v>6019</v>
          </cell>
        </row>
        <row r="1317">
          <cell r="A1317">
            <v>6020</v>
          </cell>
        </row>
        <row r="1318">
          <cell r="A1318">
            <v>8001</v>
          </cell>
        </row>
        <row r="1319">
          <cell r="A1319">
            <v>8002</v>
          </cell>
        </row>
        <row r="1320">
          <cell r="A1320">
            <v>8003</v>
          </cell>
        </row>
        <row r="1321">
          <cell r="A1321">
            <v>8004</v>
          </cell>
        </row>
        <row r="1322">
          <cell r="A1322">
            <v>8005</v>
          </cell>
        </row>
        <row r="1323">
          <cell r="A1323">
            <v>8006</v>
          </cell>
        </row>
        <row r="1324">
          <cell r="A1324">
            <v>8007</v>
          </cell>
        </row>
        <row r="1325">
          <cell r="A1325">
            <v>8008</v>
          </cell>
        </row>
        <row r="1326">
          <cell r="A1326">
            <v>8009</v>
          </cell>
        </row>
        <row r="1327">
          <cell r="A1327">
            <v>8010</v>
          </cell>
        </row>
        <row r="1328">
          <cell r="A1328">
            <v>8011</v>
          </cell>
        </row>
        <row r="1329">
          <cell r="A1329">
            <v>8012</v>
          </cell>
        </row>
        <row r="1330">
          <cell r="A1330">
            <v>8013</v>
          </cell>
        </row>
        <row r="1331">
          <cell r="A1331">
            <v>8014</v>
          </cell>
        </row>
        <row r="1332">
          <cell r="A1332">
            <v>8015</v>
          </cell>
        </row>
        <row r="1333">
          <cell r="A1333">
            <v>8016</v>
          </cell>
        </row>
        <row r="1334">
          <cell r="A1334">
            <v>8017</v>
          </cell>
        </row>
        <row r="1335">
          <cell r="A1335">
            <v>8018</v>
          </cell>
        </row>
        <row r="1336">
          <cell r="A1336">
            <v>8019</v>
          </cell>
        </row>
        <row r="1337">
          <cell r="A1337">
            <v>8020</v>
          </cell>
        </row>
        <row r="1338">
          <cell r="A1338">
            <v>8021</v>
          </cell>
        </row>
        <row r="1339">
          <cell r="A1339">
            <v>8022</v>
          </cell>
        </row>
        <row r="1340">
          <cell r="A1340">
            <v>8023</v>
          </cell>
        </row>
        <row r="1341">
          <cell r="A1341">
            <v>8024</v>
          </cell>
        </row>
        <row r="1342">
          <cell r="A1342">
            <v>8025</v>
          </cell>
        </row>
        <row r="1343">
          <cell r="A1343">
            <v>8026</v>
          </cell>
        </row>
        <row r="1344">
          <cell r="A1344">
            <v>8027</v>
          </cell>
        </row>
        <row r="1345">
          <cell r="A1345">
            <v>8028</v>
          </cell>
        </row>
        <row r="1346">
          <cell r="A1346">
            <v>8029</v>
          </cell>
        </row>
        <row r="1347">
          <cell r="A1347">
            <v>8030</v>
          </cell>
        </row>
        <row r="1348">
          <cell r="A1348">
            <v>8031</v>
          </cell>
        </row>
        <row r="1349">
          <cell r="A1349">
            <v>8032</v>
          </cell>
        </row>
        <row r="1350">
          <cell r="A1350">
            <v>8033</v>
          </cell>
        </row>
        <row r="1351">
          <cell r="A1351">
            <v>8034</v>
          </cell>
        </row>
        <row r="1352">
          <cell r="A1352">
            <v>8035</v>
          </cell>
        </row>
        <row r="1353">
          <cell r="A1353">
            <v>8036</v>
          </cell>
        </row>
        <row r="1354">
          <cell r="A1354">
            <v>8037</v>
          </cell>
        </row>
        <row r="1355">
          <cell r="A1355">
            <v>8038</v>
          </cell>
        </row>
        <row r="1356">
          <cell r="A1356">
            <v>8039</v>
          </cell>
        </row>
        <row r="1357">
          <cell r="A1357">
            <v>8040</v>
          </cell>
        </row>
        <row r="1358">
          <cell r="A1358">
            <v>8041</v>
          </cell>
        </row>
        <row r="1359">
          <cell r="A1359">
            <v>8042</v>
          </cell>
        </row>
        <row r="1360">
          <cell r="A1360">
            <v>8043</v>
          </cell>
        </row>
        <row r="1361">
          <cell r="A1361">
            <v>8044</v>
          </cell>
        </row>
        <row r="1362">
          <cell r="A1362">
            <v>8045</v>
          </cell>
        </row>
        <row r="1363">
          <cell r="A1363">
            <v>8046</v>
          </cell>
        </row>
        <row r="1364">
          <cell r="A1364">
            <v>8047</v>
          </cell>
        </row>
        <row r="1365">
          <cell r="A1365">
            <v>8048</v>
          </cell>
        </row>
        <row r="1366">
          <cell r="A1366">
            <v>8049</v>
          </cell>
        </row>
        <row r="1367">
          <cell r="A1367">
            <v>8050</v>
          </cell>
        </row>
        <row r="1368">
          <cell r="A1368">
            <v>8051</v>
          </cell>
        </row>
        <row r="1369">
          <cell r="A1369">
            <v>8052</v>
          </cell>
        </row>
        <row r="1370">
          <cell r="A1370">
            <v>8053</v>
          </cell>
        </row>
        <row r="1371">
          <cell r="A1371">
            <v>8054</v>
          </cell>
        </row>
        <row r="1372">
          <cell r="A1372">
            <v>8055</v>
          </cell>
        </row>
        <row r="1373">
          <cell r="A1373">
            <v>8056</v>
          </cell>
        </row>
        <row r="1374">
          <cell r="A1374">
            <v>8057</v>
          </cell>
        </row>
        <row r="1375">
          <cell r="A1375">
            <v>8058</v>
          </cell>
        </row>
        <row r="1376">
          <cell r="A1376">
            <v>8059</v>
          </cell>
        </row>
        <row r="1377">
          <cell r="A1377">
            <v>8060</v>
          </cell>
        </row>
        <row r="1378">
          <cell r="A1378">
            <v>8061</v>
          </cell>
        </row>
        <row r="1379">
          <cell r="A1379">
            <v>8062</v>
          </cell>
        </row>
        <row r="1380">
          <cell r="A1380">
            <v>8063</v>
          </cell>
        </row>
        <row r="1381">
          <cell r="A1381">
            <v>8064</v>
          </cell>
        </row>
        <row r="1382">
          <cell r="A1382">
            <v>8065</v>
          </cell>
        </row>
        <row r="1383">
          <cell r="A1383">
            <v>8066</v>
          </cell>
        </row>
        <row r="1384">
          <cell r="A1384">
            <v>8067</v>
          </cell>
        </row>
        <row r="1385">
          <cell r="A1385">
            <v>8068</v>
          </cell>
        </row>
        <row r="1386">
          <cell r="A1386">
            <v>8069</v>
          </cell>
        </row>
        <row r="1387">
          <cell r="A1387">
            <v>8070</v>
          </cell>
        </row>
        <row r="1388">
          <cell r="A1388">
            <v>8071</v>
          </cell>
        </row>
        <row r="1389">
          <cell r="A1389">
            <v>8072</v>
          </cell>
        </row>
        <row r="1390">
          <cell r="A1390">
            <v>8077</v>
          </cell>
        </row>
        <row r="1391">
          <cell r="A1391">
            <v>8078</v>
          </cell>
        </row>
        <row r="1392">
          <cell r="A1392">
            <v>8079</v>
          </cell>
        </row>
        <row r="1393">
          <cell r="A1393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8" sqref="F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252</v>
      </c>
      <c r="B2" s="57" t="s">
        <v>105</v>
      </c>
      <c r="C2" s="63">
        <v>47003</v>
      </c>
      <c r="D2" s="57" t="s">
        <v>106</v>
      </c>
      <c r="E2" s="56" t="str">
        <f>B2&amp;C2&amp;D2</f>
        <v>floors_47003.tmp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252</v>
      </c>
      <c r="B3" s="57" t="s">
        <v>108</v>
      </c>
      <c r="C3" s="63">
        <v>47003</v>
      </c>
      <c r="D3" s="57" t="s">
        <v>106</v>
      </c>
      <c r="E3" s="56" t="str">
        <f>B3&amp;C3&amp;D3</f>
        <v>enemy_habitats_47003.tmp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177</v>
      </c>
    </row>
    <row r="4" spans="1:30" x14ac:dyDescent="0.15">
      <c r="A4" s="61" t="s">
        <v>252</v>
      </c>
      <c r="B4" s="57" t="s">
        <v>110</v>
      </c>
      <c r="C4" s="63">
        <v>47003</v>
      </c>
      <c r="D4" s="57" t="s">
        <v>106</v>
      </c>
      <c r="E4" s="56" t="str">
        <f>B4&amp;C4&amp;D4</f>
        <v>enemy_habitat_S_47003.tmp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252</v>
      </c>
      <c r="B5" s="57" t="s">
        <v>112</v>
      </c>
      <c r="C5" s="63">
        <v>47003</v>
      </c>
      <c r="D5" s="57" t="s">
        <v>106</v>
      </c>
      <c r="E5" s="56" t="str">
        <f>B5&amp;C5&amp;D5</f>
        <v>enemy_skill_sets_47003.tmp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252</v>
      </c>
      <c r="B6" s="57" t="s">
        <v>114</v>
      </c>
      <c r="C6" s="63">
        <v>47003</v>
      </c>
      <c r="D6" s="57" t="s">
        <v>115</v>
      </c>
      <c r="E6" s="56" t="str">
        <f t="shared" ref="E6:E10" si="0">B6&amp;C6&amp;D6</f>
        <v>enemy_skills_tmp_47003.tmp</v>
      </c>
      <c r="F6" s="57" t="s">
        <v>89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252</v>
      </c>
      <c r="B7" s="57" t="s">
        <v>116</v>
      </c>
      <c r="C7" s="63">
        <v>47003</v>
      </c>
      <c r="D7" s="57" t="s">
        <v>106</v>
      </c>
      <c r="E7" s="56" t="str">
        <f>B7&amp;C7&amp;D7</f>
        <v>enemy_skills_i18n_47003.tmp</v>
      </c>
      <c r="F7" s="57" t="s">
        <v>117</v>
      </c>
      <c r="G7" s="58" t="s">
        <v>78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252</v>
      </c>
      <c r="B8" s="57" t="s">
        <v>118</v>
      </c>
      <c r="C8" s="63">
        <v>47003</v>
      </c>
      <c r="D8" s="57" t="s">
        <v>119</v>
      </c>
      <c r="E8" s="56" t="str">
        <f t="shared" si="0"/>
        <v>enemy_skill_triggers_47003.tmp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436</v>
      </c>
      <c r="B9" s="68" t="s">
        <v>176</v>
      </c>
      <c r="C9" s="63">
        <v>47003</v>
      </c>
      <c r="D9" s="68" t="s">
        <v>170</v>
      </c>
      <c r="E9" s="69" t="str">
        <f t="shared" si="0"/>
        <v>stage_bug_bonuses_47003.tmp</v>
      </c>
      <c r="F9" s="68" t="s">
        <v>171</v>
      </c>
      <c r="G9" s="65" t="s">
        <v>149</v>
      </c>
      <c r="H9" s="65" t="s">
        <v>172</v>
      </c>
      <c r="I9" s="65" t="s">
        <v>173</v>
      </c>
      <c r="J9" s="67" t="s">
        <v>174</v>
      </c>
      <c r="K9" s="65" t="s">
        <v>175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186</v>
      </c>
      <c r="B10" s="68" t="s">
        <v>200</v>
      </c>
      <c r="C10" s="63">
        <v>47003</v>
      </c>
      <c r="D10" s="68" t="s">
        <v>179</v>
      </c>
      <c r="E10" s="69" t="str">
        <f t="shared" si="0"/>
        <v>stage_hints_data_c_47003.tmp</v>
      </c>
      <c r="F10" s="68" t="s">
        <v>208</v>
      </c>
      <c r="G10" s="74" t="s">
        <v>180</v>
      </c>
      <c r="H10" s="74" t="s">
        <v>172</v>
      </c>
      <c r="I10" s="75" t="s">
        <v>181</v>
      </c>
      <c r="J10" s="67" t="s">
        <v>182</v>
      </c>
      <c r="K10" s="67" t="s">
        <v>183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6" customFormat="1" x14ac:dyDescent="0.15">
      <c r="A11" s="61" t="s">
        <v>436</v>
      </c>
      <c r="B11" s="68" t="s">
        <v>201</v>
      </c>
      <c r="C11" s="63">
        <v>47003</v>
      </c>
      <c r="D11" s="68" t="s">
        <v>170</v>
      </c>
      <c r="E11" s="69" t="str">
        <f t="shared" ref="E11:E13" si="1">B11&amp;C11&amp;D11</f>
        <v>stage_hints_data_f_47003.tmp</v>
      </c>
      <c r="F11" s="68" t="s">
        <v>209</v>
      </c>
      <c r="G11" s="74" t="s">
        <v>180</v>
      </c>
      <c r="H11" s="74" t="s">
        <v>172</v>
      </c>
      <c r="I11" s="75" t="s">
        <v>181</v>
      </c>
      <c r="J11" s="67" t="s">
        <v>182</v>
      </c>
      <c r="K11" s="67" t="s">
        <v>183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6" customFormat="1" x14ac:dyDescent="0.15">
      <c r="A12" s="61" t="s">
        <v>436</v>
      </c>
      <c r="B12" s="68" t="s">
        <v>202</v>
      </c>
      <c r="C12" s="63">
        <v>47003</v>
      </c>
      <c r="D12" s="68" t="s">
        <v>170</v>
      </c>
      <c r="E12" s="69" t="str">
        <f t="shared" si="1"/>
        <v>stage_hints_i18n_47003.tmp</v>
      </c>
      <c r="F12" s="68" t="s">
        <v>210</v>
      </c>
      <c r="G12" s="75" t="s">
        <v>203</v>
      </c>
      <c r="H12" s="94" t="s">
        <v>204</v>
      </c>
      <c r="I12" s="74" t="s">
        <v>205</v>
      </c>
      <c r="J12" s="102" t="s">
        <v>206</v>
      </c>
      <c r="K12" s="67" t="s">
        <v>207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6" customFormat="1" x14ac:dyDescent="0.15">
      <c r="A13" s="61" t="s">
        <v>436</v>
      </c>
      <c r="B13" s="68" t="s">
        <v>249</v>
      </c>
      <c r="C13" s="63">
        <v>47003</v>
      </c>
      <c r="D13" s="68" t="s">
        <v>230</v>
      </c>
      <c r="E13" s="69" t="str">
        <f t="shared" si="1"/>
        <v>stage_bonuses_47003.tmp</v>
      </c>
      <c r="F13" s="68" t="s">
        <v>229</v>
      </c>
      <c r="G13" s="74" t="s">
        <v>231</v>
      </c>
      <c r="H13" s="74" t="s">
        <v>232</v>
      </c>
      <c r="I13" s="74" t="s">
        <v>233</v>
      </c>
      <c r="J13" s="74" t="s">
        <v>234</v>
      </c>
      <c r="K13" s="74" t="s">
        <v>235</v>
      </c>
      <c r="L13" s="74" t="s">
        <v>236</v>
      </c>
      <c r="M13" s="74" t="s">
        <v>237</v>
      </c>
      <c r="N13" s="74" t="s">
        <v>238</v>
      </c>
      <c r="O13" s="74" t="s">
        <v>239</v>
      </c>
      <c r="P13" s="74" t="s">
        <v>240</v>
      </c>
      <c r="Q13" s="74" t="s">
        <v>241</v>
      </c>
      <c r="R13" s="74" t="s">
        <v>242</v>
      </c>
      <c r="S13" s="74" t="s">
        <v>243</v>
      </c>
      <c r="T13" s="74" t="s">
        <v>244</v>
      </c>
      <c r="U13" s="74" t="s">
        <v>245</v>
      </c>
      <c r="V13" s="74" t="s">
        <v>246</v>
      </c>
      <c r="W13" s="74" t="s">
        <v>247</v>
      </c>
      <c r="X13" s="74" t="s">
        <v>248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7"/>
  <sheetViews>
    <sheetView showGridLines="0" workbookViewId="0">
      <pane ySplit="1" topLeftCell="A2" activePane="bottomLeft" state="frozen"/>
      <selection activeCell="V2" sqref="V2:X34"/>
      <selection pane="bottomLeft" activeCell="D12" sqref="D1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47003_1-1</v>
      </c>
      <c r="B2" s="16" t="str">
        <f>IF(COUNTIF(enemy_habitats!$H:$H,A2),"OK","NG")</f>
        <v>OK</v>
      </c>
      <c r="C2" s="7">
        <v>47003</v>
      </c>
      <c r="D2" s="11" t="str">
        <f ca="1">VLOOKUP($C2,OFFSET([2]quests!$A$1,0,0,COUNTA([2]quests!$A:$A),MATCH(D$1,[2]quests!$1:$1,0)-MATCH($C$1,[2]quests!$1:$1,0)+1),MATCH(D$1,[2]quests!$1:$1,0)-MATCH($C$1,[2]quests!$1:$1,0)+1,FALSE)</f>
        <v>ハロウィンナイトパニック！</v>
      </c>
      <c r="E2" s="18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21">
        <v>1</v>
      </c>
      <c r="G2" s="23" t="str">
        <f>C2&amp;"_"&amp;F2</f>
        <v>47003_1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【上級】ハロウィンナイトパニック！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47003_1-2</v>
      </c>
      <c r="B3" s="16" t="str">
        <f>IF(COUNTIF(enemy_habitats!$H:$H,A3),"OK","NG")</f>
        <v>OK</v>
      </c>
      <c r="C3" s="7">
        <v>47003</v>
      </c>
      <c r="D3" s="11" t="str">
        <f ca="1">VLOOKUP($C3,OFFSET([2]quests!$A$1,0,0,COUNTA([2]quests!$A:$A),MATCH(D$1,[2]quests!$1:$1,0)-MATCH($C$1,[2]quests!$1:$1,0)+1),MATCH(D$1,[2]quests!$1:$1,0)-MATCH($C$1,[2]quests!$1:$1,0)+1,FALSE)</f>
        <v>ハロウィンナイトパニック！</v>
      </c>
      <c r="E3" s="18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21">
        <v>1</v>
      </c>
      <c r="G3" s="23" t="str">
        <f>C3&amp;"_"&amp;F3</f>
        <v>47003_1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【上級】ハロウィンナイトパニック！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ref="A4:A17" si="0">G4&amp;"-"&amp;I4</f>
        <v>47003_1-3</v>
      </c>
      <c r="B4" s="16" t="str">
        <f>IF(COUNTIF(enemy_habitats!$H:$H,A4),"OK","NG")</f>
        <v>OK</v>
      </c>
      <c r="C4" s="7">
        <v>47003</v>
      </c>
      <c r="D4" s="11" t="str">
        <f ca="1">VLOOKUP($C4,OFFSET([2]quests!$A$1,0,0,COUNTA([2]quests!$A:$A),MATCH(D$1,[2]quests!$1:$1,0)-MATCH($C$1,[2]quests!$1:$1,0)+1),MATCH(D$1,[2]quests!$1:$1,0)-MATCH($C$1,[2]quests!$1:$1,0)+1,FALSE)</f>
        <v>ハロウィンナイトパニック！</v>
      </c>
      <c r="E4" s="18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21">
        <v>1</v>
      </c>
      <c r="G4" s="23" t="str">
        <f t="shared" ref="G4:G17" si="1">C4&amp;"_"&amp;F4</f>
        <v>47003_1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【上級】ハロウィンナイトパニック！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47003_1-4</v>
      </c>
      <c r="B5" s="16" t="str">
        <f>IF(COUNTIF(enemy_habitats!$H:$H,A5),"OK","NG")</f>
        <v>OK</v>
      </c>
      <c r="C5" s="7">
        <v>47003</v>
      </c>
      <c r="D5" s="11" t="str">
        <f ca="1">VLOOKUP($C5,OFFSET([2]quests!$A$1,0,0,COUNTA([2]quests!$A:$A),MATCH(D$1,[2]quests!$1:$1,0)-MATCH($C$1,[2]quests!$1:$1,0)+1),MATCH(D$1,[2]quests!$1:$1,0)-MATCH($C$1,[2]quests!$1:$1,0)+1,FALSE)</f>
        <v>ハロウィンナイトパニック！</v>
      </c>
      <c r="E5" s="18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21">
        <v>1</v>
      </c>
      <c r="G5" s="23" t="str">
        <f t="shared" si="1"/>
        <v>47003_1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【上級】ハロウィンナイトパニック！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47003_2-1</v>
      </c>
      <c r="B6" s="16" t="str">
        <f>IF(COUNTIF(enemy_habitats!$H:$H,A6),"OK","NG")</f>
        <v>OK</v>
      </c>
      <c r="C6" s="7">
        <v>47003</v>
      </c>
      <c r="D6" s="11" t="str">
        <f ca="1">VLOOKUP($C6,OFFSET([2]quests!$A$1,0,0,COUNTA([2]quests!$A:$A),MATCH(D$1,[2]quests!$1:$1,0)-MATCH($C$1,[2]quests!$1:$1,0)+1),MATCH(D$1,[2]quests!$1:$1,0)-MATCH($C$1,[2]quests!$1:$1,0)+1,FALSE)</f>
        <v>ハロウィンナイトパニック！</v>
      </c>
      <c r="E6" s="18" t="str">
        <f ca="1">VLOOKUP($C6,OFFSET([2]quests!$A$1,0,0,COUNTA([2]quests!$A:$A),MATCH(E$1,[2]quests!$1:$1,0)-MATCH($C$1,[2]quests!$1:$1,0)+1),MATCH(E$1,[2]quests!$1:$1,0)-MATCH($C$1,[2]quests!$1:$1,0)+1,FALSE)</f>
        <v>季節イベント</v>
      </c>
      <c r="F6" s="21">
        <v>2</v>
      </c>
      <c r="G6" s="23" t="str">
        <f t="shared" si="1"/>
        <v>47003_2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【超級】ハロウィンナイトパニック！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47003_2-2</v>
      </c>
      <c r="B7" s="16" t="str">
        <f>IF(COUNTIF(enemy_habitats!$H:$H,A7),"OK","NG")</f>
        <v>OK</v>
      </c>
      <c r="C7" s="7">
        <v>47003</v>
      </c>
      <c r="D7" s="11" t="str">
        <f ca="1">VLOOKUP($C7,OFFSET([2]quests!$A$1,0,0,COUNTA([2]quests!$A:$A),MATCH(D$1,[2]quests!$1:$1,0)-MATCH($C$1,[2]quests!$1:$1,0)+1),MATCH(D$1,[2]quests!$1:$1,0)-MATCH($C$1,[2]quests!$1:$1,0)+1,FALSE)</f>
        <v>ハロウィンナイトパニック！</v>
      </c>
      <c r="E7" s="18" t="str">
        <f ca="1">VLOOKUP($C7,OFFSET([2]quests!$A$1,0,0,COUNTA([2]quests!$A:$A),MATCH(E$1,[2]quests!$1:$1,0)-MATCH($C$1,[2]quests!$1:$1,0)+1),MATCH(E$1,[2]quests!$1:$1,0)-MATCH($C$1,[2]quests!$1:$1,0)+1,FALSE)</f>
        <v>季節イベント</v>
      </c>
      <c r="F7" s="21">
        <v>2</v>
      </c>
      <c r="G7" s="23" t="str">
        <f t="shared" si="1"/>
        <v>47003_2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【超級】ハロウィンナイトパニック！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47003_2-3</v>
      </c>
      <c r="B8" s="16" t="str">
        <f>IF(COUNTIF(enemy_habitats!$H:$H,A8),"OK","NG")</f>
        <v>OK</v>
      </c>
      <c r="C8" s="7">
        <v>47003</v>
      </c>
      <c r="D8" s="11" t="str">
        <f ca="1">VLOOKUP($C8,OFFSET([2]quests!$A$1,0,0,COUNTA([2]quests!$A:$A),MATCH(D$1,[2]quests!$1:$1,0)-MATCH($C$1,[2]quests!$1:$1,0)+1),MATCH(D$1,[2]quests!$1:$1,0)-MATCH($C$1,[2]quests!$1:$1,0)+1,FALSE)</f>
        <v>ハロウィンナイトパニック！</v>
      </c>
      <c r="E8" s="18" t="str">
        <f ca="1">VLOOKUP($C8,OFFSET([2]quests!$A$1,0,0,COUNTA([2]quests!$A:$A),MATCH(E$1,[2]quests!$1:$1,0)-MATCH($C$1,[2]quests!$1:$1,0)+1),MATCH(E$1,[2]quests!$1:$1,0)-MATCH($C$1,[2]quests!$1:$1,0)+1,FALSE)</f>
        <v>季節イベント</v>
      </c>
      <c r="F8" s="21">
        <v>2</v>
      </c>
      <c r="G8" s="23" t="str">
        <f t="shared" si="1"/>
        <v>47003_2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【超級】ハロウィンナイトパニック！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47003_2-4</v>
      </c>
      <c r="B9" s="16" t="str">
        <f>IF(COUNTIF(enemy_habitats!$H:$H,A9),"OK","NG")</f>
        <v>OK</v>
      </c>
      <c r="C9" s="7">
        <v>47003</v>
      </c>
      <c r="D9" s="11" t="str">
        <f ca="1">VLOOKUP($C9,OFFSET([2]quests!$A$1,0,0,COUNTA([2]quests!$A:$A),MATCH(D$1,[2]quests!$1:$1,0)-MATCH($C$1,[2]quests!$1:$1,0)+1),MATCH(D$1,[2]quests!$1:$1,0)-MATCH($C$1,[2]quests!$1:$1,0)+1,FALSE)</f>
        <v>ハロウィンナイトパニック！</v>
      </c>
      <c r="E9" s="18" t="str">
        <f ca="1">VLOOKUP($C9,OFFSET([2]quests!$A$1,0,0,COUNTA([2]quests!$A:$A),MATCH(E$1,[2]quests!$1:$1,0)-MATCH($C$1,[2]quests!$1:$1,0)+1),MATCH(E$1,[2]quests!$1:$1,0)-MATCH($C$1,[2]quests!$1:$1,0)+1,FALSE)</f>
        <v>季節イベント</v>
      </c>
      <c r="F9" s="21">
        <v>2</v>
      </c>
      <c r="G9" s="23" t="str">
        <f t="shared" si="1"/>
        <v>47003_2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【超級】ハロウィンナイトパニック！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47003_3-1</v>
      </c>
      <c r="B10" s="16" t="str">
        <f>IF(COUNTIF(enemy_habitats!$H:$H,A10),"OK","NG")</f>
        <v>OK</v>
      </c>
      <c r="C10" s="7">
        <v>47003</v>
      </c>
      <c r="D10" s="11" t="str">
        <f ca="1">VLOOKUP($C10,OFFSET([2]quests!$A$1,0,0,COUNTA([2]quests!$A:$A),MATCH(D$1,[2]quests!$1:$1,0)-MATCH($C$1,[2]quests!$1:$1,0)+1),MATCH(D$1,[2]quests!$1:$1,0)-MATCH($C$1,[2]quests!$1:$1,0)+1,FALSE)</f>
        <v>ハロウィンナイトパニック！</v>
      </c>
      <c r="E10" s="18" t="str">
        <f ca="1">VLOOKUP($C10,OFFSET([2]quests!$A$1,0,0,COUNTA([2]quests!$A:$A),MATCH(E$1,[2]quests!$1:$1,0)-MATCH($C$1,[2]quests!$1:$1,0)+1),MATCH(E$1,[2]quests!$1:$1,0)-MATCH($C$1,[2]quests!$1:$1,0)+1,FALSE)</f>
        <v>季節イベント</v>
      </c>
      <c r="F10" s="21">
        <v>3</v>
      </c>
      <c r="G10" s="23" t="str">
        <f t="shared" si="1"/>
        <v>47003_3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【超絶】ハロウィンナイトパニック！</v>
      </c>
      <c r="I10" s="21">
        <v>1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47003_3-2</v>
      </c>
      <c r="B11" s="16" t="str">
        <f>IF(COUNTIF(enemy_habitats!$H:$H,A11),"OK","NG")</f>
        <v>OK</v>
      </c>
      <c r="C11" s="7">
        <v>47003</v>
      </c>
      <c r="D11" s="11" t="str">
        <f ca="1">VLOOKUP($C11,OFFSET([2]quests!$A$1,0,0,COUNTA([2]quests!$A:$A),MATCH(D$1,[2]quests!$1:$1,0)-MATCH($C$1,[2]quests!$1:$1,0)+1),MATCH(D$1,[2]quests!$1:$1,0)-MATCH($C$1,[2]quests!$1:$1,0)+1,FALSE)</f>
        <v>ハロウィンナイトパニック！</v>
      </c>
      <c r="E11" s="18" t="str">
        <f ca="1">VLOOKUP($C11,OFFSET([2]quests!$A$1,0,0,COUNTA([2]quests!$A:$A),MATCH(E$1,[2]quests!$1:$1,0)-MATCH($C$1,[2]quests!$1:$1,0)+1),MATCH(E$1,[2]quests!$1:$1,0)-MATCH($C$1,[2]quests!$1:$1,0)+1,FALSE)</f>
        <v>季節イベント</v>
      </c>
      <c r="F11" s="21">
        <v>3</v>
      </c>
      <c r="G11" s="23" t="str">
        <f t="shared" si="1"/>
        <v>47003_3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【超絶】ハロウィンナイトパニック！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47003_3-3</v>
      </c>
      <c r="B12" s="16" t="str">
        <f>IF(COUNTIF(enemy_habitats!$H:$H,A12),"OK","NG")</f>
        <v>OK</v>
      </c>
      <c r="C12" s="7">
        <v>47003</v>
      </c>
      <c r="D12" s="11" t="str">
        <f ca="1">VLOOKUP($C12,OFFSET([2]quests!$A$1,0,0,COUNTA([2]quests!$A:$A),MATCH(D$1,[2]quests!$1:$1,0)-MATCH($C$1,[2]quests!$1:$1,0)+1),MATCH(D$1,[2]quests!$1:$1,0)-MATCH($C$1,[2]quests!$1:$1,0)+1,FALSE)</f>
        <v>ハロウィンナイトパニック！</v>
      </c>
      <c r="E12" s="18" t="str">
        <f ca="1">VLOOKUP($C12,OFFSET([2]quests!$A$1,0,0,COUNTA([2]quests!$A:$A),MATCH(E$1,[2]quests!$1:$1,0)-MATCH($C$1,[2]quests!$1:$1,0)+1),MATCH(E$1,[2]quests!$1:$1,0)-MATCH($C$1,[2]quests!$1:$1,0)+1,FALSE)</f>
        <v>季節イベント</v>
      </c>
      <c r="F12" s="21">
        <v>3</v>
      </c>
      <c r="G12" s="23" t="str">
        <f t="shared" si="1"/>
        <v>47003_3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【超絶】ハロウィンナイトパニック！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47003_3-4</v>
      </c>
      <c r="B13" s="16" t="str">
        <f>IF(COUNTIF(enemy_habitats!$H:$H,A13),"OK","NG")</f>
        <v>OK</v>
      </c>
      <c r="C13" s="7">
        <v>47003</v>
      </c>
      <c r="D13" s="11" t="str">
        <f ca="1">VLOOKUP($C13,OFFSET([2]quests!$A$1,0,0,COUNTA([2]quests!$A:$A),MATCH(D$1,[2]quests!$1:$1,0)-MATCH($C$1,[2]quests!$1:$1,0)+1),MATCH(D$1,[2]quests!$1:$1,0)-MATCH($C$1,[2]quests!$1:$1,0)+1,FALSE)</f>
        <v>ハロウィンナイトパニック！</v>
      </c>
      <c r="E13" s="18" t="str">
        <f ca="1">VLOOKUP($C13,OFFSET([2]quests!$A$1,0,0,COUNTA([2]quests!$A:$A),MATCH(E$1,[2]quests!$1:$1,0)-MATCH($C$1,[2]quests!$1:$1,0)+1),MATCH(E$1,[2]quests!$1:$1,0)-MATCH($C$1,[2]quests!$1:$1,0)+1,FALSE)</f>
        <v>季節イベント</v>
      </c>
      <c r="F13" s="21">
        <v>3</v>
      </c>
      <c r="G13" s="23" t="str">
        <f t="shared" si="1"/>
        <v>47003_3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【超絶】ハロウィンナイトパニック！</v>
      </c>
      <c r="I13" s="21">
        <v>4</v>
      </c>
      <c r="J13" s="12">
        <v>60</v>
      </c>
      <c r="K13" s="12">
        <v>60</v>
      </c>
    </row>
    <row r="14" spans="1:11" ht="21" customHeight="1" x14ac:dyDescent="0.15">
      <c r="A14" s="16" t="str">
        <f t="shared" si="0"/>
        <v>47003_4-1</v>
      </c>
      <c r="B14" s="16" t="str">
        <f>IF(COUNTIF(enemy_habitats!$H:$H,A14),"OK","NG")</f>
        <v>OK</v>
      </c>
      <c r="C14" s="7">
        <v>47003</v>
      </c>
      <c r="D14" s="11" t="str">
        <f ca="1">VLOOKUP($C14,OFFSET([2]quests!$A$1,0,0,COUNTA([2]quests!$A:$A),MATCH(D$1,[2]quests!$1:$1,0)-MATCH($C$1,[2]quests!$1:$1,0)+1),MATCH(D$1,[2]quests!$1:$1,0)-MATCH($C$1,[2]quests!$1:$1,0)+1,FALSE)</f>
        <v>ハロウィンナイトパニック！</v>
      </c>
      <c r="E14" s="18" t="str">
        <f ca="1">VLOOKUP($C14,OFFSET([2]quests!$A$1,0,0,COUNTA([2]quests!$A:$A),MATCH(E$1,[2]quests!$1:$1,0)-MATCH($C$1,[2]quests!$1:$1,0)+1),MATCH(E$1,[2]quests!$1:$1,0)-MATCH($C$1,[2]quests!$1:$1,0)+1,FALSE)</f>
        <v>季節イベント</v>
      </c>
      <c r="F14" s="21">
        <v>4</v>
      </c>
      <c r="G14" s="23" t="str">
        <f t="shared" si="1"/>
        <v>47003_4</v>
      </c>
      <c r="H14" s="15" t="str">
        <f ca="1">VLOOKUP($G14,OFFSET([2]stages!$A$1,0,0,COUNTA([2]stages!$A:$A),MATCH(H$1,[2]stages!$2:$2,0)-MATCH($G$1,[2]stages!$2:$2,0)+1),MATCH(H$1,[2]stages!$2:$2,0)-MATCH($G$1,[2]stages!$2:$2,0)+1,FALSE)</f>
        <v>【ｳｨｻﾞ】ハロウィンナイトパニック！</v>
      </c>
      <c r="I14" s="21">
        <v>1</v>
      </c>
      <c r="J14" s="12">
        <v>60</v>
      </c>
      <c r="K14" s="12">
        <v>60</v>
      </c>
    </row>
    <row r="15" spans="1:11" ht="21" customHeight="1" x14ac:dyDescent="0.15">
      <c r="A15" s="16" t="str">
        <f t="shared" si="0"/>
        <v>47003_4-2</v>
      </c>
      <c r="B15" s="16" t="str">
        <f>IF(COUNTIF(enemy_habitats!$H:$H,A15),"OK","NG")</f>
        <v>OK</v>
      </c>
      <c r="C15" s="7">
        <v>47003</v>
      </c>
      <c r="D15" s="11" t="str">
        <f ca="1">VLOOKUP($C15,OFFSET([2]quests!$A$1,0,0,COUNTA([2]quests!$A:$A),MATCH(D$1,[2]quests!$1:$1,0)-MATCH($C$1,[2]quests!$1:$1,0)+1),MATCH(D$1,[2]quests!$1:$1,0)-MATCH($C$1,[2]quests!$1:$1,0)+1,FALSE)</f>
        <v>ハロウィンナイトパニック！</v>
      </c>
      <c r="E15" s="18" t="str">
        <f ca="1">VLOOKUP($C15,OFFSET([2]quests!$A$1,0,0,COUNTA([2]quests!$A:$A),MATCH(E$1,[2]quests!$1:$1,0)-MATCH($C$1,[2]quests!$1:$1,0)+1),MATCH(E$1,[2]quests!$1:$1,0)-MATCH($C$1,[2]quests!$1:$1,0)+1,FALSE)</f>
        <v>季節イベント</v>
      </c>
      <c r="F15" s="21">
        <v>4</v>
      </c>
      <c r="G15" s="23" t="str">
        <f t="shared" si="1"/>
        <v>47003_4</v>
      </c>
      <c r="H15" s="15" t="str">
        <f ca="1">VLOOKUP($G15,OFFSET([2]stages!$A$1,0,0,COUNTA([2]stages!$A:$A),MATCH(H$1,[2]stages!$2:$2,0)-MATCH($G$1,[2]stages!$2:$2,0)+1),MATCH(H$1,[2]stages!$2:$2,0)-MATCH($G$1,[2]stages!$2:$2,0)+1,FALSE)</f>
        <v>【ｳｨｻﾞ】ハロウィンナイトパニック！</v>
      </c>
      <c r="I15" s="21">
        <v>2</v>
      </c>
      <c r="J15" s="12">
        <v>60</v>
      </c>
      <c r="K15" s="12">
        <v>60</v>
      </c>
    </row>
    <row r="16" spans="1:11" ht="21" customHeight="1" x14ac:dyDescent="0.15">
      <c r="A16" s="16" t="str">
        <f t="shared" si="0"/>
        <v>47003_4-3</v>
      </c>
      <c r="B16" s="16" t="str">
        <f>IF(COUNTIF(enemy_habitats!$H:$H,A16),"OK","NG")</f>
        <v>OK</v>
      </c>
      <c r="C16" s="7">
        <v>47003</v>
      </c>
      <c r="D16" s="11" t="str">
        <f ca="1">VLOOKUP($C16,OFFSET([2]quests!$A$1,0,0,COUNTA([2]quests!$A:$A),MATCH(D$1,[2]quests!$1:$1,0)-MATCH($C$1,[2]quests!$1:$1,0)+1),MATCH(D$1,[2]quests!$1:$1,0)-MATCH($C$1,[2]quests!$1:$1,0)+1,FALSE)</f>
        <v>ハロウィンナイトパニック！</v>
      </c>
      <c r="E16" s="18" t="str">
        <f ca="1">VLOOKUP($C16,OFFSET([2]quests!$A$1,0,0,COUNTA([2]quests!$A:$A),MATCH(E$1,[2]quests!$1:$1,0)-MATCH($C$1,[2]quests!$1:$1,0)+1),MATCH(E$1,[2]quests!$1:$1,0)-MATCH($C$1,[2]quests!$1:$1,0)+1,FALSE)</f>
        <v>季節イベント</v>
      </c>
      <c r="F16" s="21">
        <v>4</v>
      </c>
      <c r="G16" s="23" t="str">
        <f t="shared" si="1"/>
        <v>47003_4</v>
      </c>
      <c r="H16" s="15" t="str">
        <f ca="1">VLOOKUP($G16,OFFSET([2]stages!$A$1,0,0,COUNTA([2]stages!$A:$A),MATCH(H$1,[2]stages!$2:$2,0)-MATCH($G$1,[2]stages!$2:$2,0)+1),MATCH(H$1,[2]stages!$2:$2,0)-MATCH($G$1,[2]stages!$2:$2,0)+1,FALSE)</f>
        <v>【ｳｨｻﾞ】ハロウィンナイトパニック！</v>
      </c>
      <c r="I16" s="21">
        <v>3</v>
      </c>
      <c r="J16" s="12">
        <v>60</v>
      </c>
      <c r="K16" s="12">
        <v>60</v>
      </c>
    </row>
    <row r="17" spans="1:11" ht="21" customHeight="1" x14ac:dyDescent="0.15">
      <c r="A17" s="16" t="str">
        <f t="shared" si="0"/>
        <v>47003_4-4</v>
      </c>
      <c r="B17" s="16" t="str">
        <f>IF(COUNTIF(enemy_habitats!$H:$H,A17),"OK","NG")</f>
        <v>OK</v>
      </c>
      <c r="C17" s="7">
        <v>47003</v>
      </c>
      <c r="D17" s="11" t="str">
        <f ca="1">VLOOKUP($C17,OFFSET([2]quests!$A$1,0,0,COUNTA([2]quests!$A:$A),MATCH(D$1,[2]quests!$1:$1,0)-MATCH($C$1,[2]quests!$1:$1,0)+1),MATCH(D$1,[2]quests!$1:$1,0)-MATCH($C$1,[2]quests!$1:$1,0)+1,FALSE)</f>
        <v>ハロウィンナイトパニック！</v>
      </c>
      <c r="E17" s="18" t="str">
        <f ca="1">VLOOKUP($C17,OFFSET([2]quests!$A$1,0,0,COUNTA([2]quests!$A:$A),MATCH(E$1,[2]quests!$1:$1,0)-MATCH($C$1,[2]quests!$1:$1,0)+1),MATCH(E$1,[2]quests!$1:$1,0)-MATCH($C$1,[2]quests!$1:$1,0)+1,FALSE)</f>
        <v>季節イベント</v>
      </c>
      <c r="F17" s="21">
        <v>4</v>
      </c>
      <c r="G17" s="23" t="str">
        <f t="shared" si="1"/>
        <v>47003_4</v>
      </c>
      <c r="H17" s="15" t="str">
        <f ca="1">VLOOKUP($G17,OFFSET([2]stages!$A$1,0,0,COUNTA([2]stages!$A:$A),MATCH(H$1,[2]stages!$2:$2,0)-MATCH($G$1,[2]stages!$2:$2,0)+1),MATCH(H$1,[2]stages!$2:$2,0)-MATCH($G$1,[2]stages!$2:$2,0)+1,FALSE)</f>
        <v>【ｳｨｻﾞ】ハロウィンナイトパニック！</v>
      </c>
      <c r="I17" s="21">
        <v>4</v>
      </c>
      <c r="J17" s="12">
        <v>60</v>
      </c>
      <c r="K1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41"/>
  <sheetViews>
    <sheetView showGridLines="0" zoomScale="90" zoomScaleNormal="90" zoomScalePageLayoutView="90" workbookViewId="0">
      <pane xSplit="17" ySplit="1" topLeftCell="AE2" activePane="bottomRight" state="frozen"/>
      <selection pane="topRight" activeCell="N1" sqref="N1"/>
      <selection pane="bottomLeft" activeCell="A2" sqref="A2"/>
      <selection pane="bottomRight" activeCell="AH20" sqref="AH2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9.664062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20.16406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3" t="s">
        <v>250</v>
      </c>
      <c r="U1" s="26" t="s">
        <v>50</v>
      </c>
      <c r="V1" s="103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>B2&amp;"_"&amp;C2&amp;"-"&amp;G2&amp;"/"&amp;L2&amp;"&lt;lv"&amp;R2&amp;"&gt;s"&amp;AC2</f>
        <v>47003_1-1/1187&lt;lv40&gt;s2</v>
      </c>
      <c r="B2" s="22">
        <v>47003</v>
      </c>
      <c r="C2" s="21">
        <v>1</v>
      </c>
      <c r="D2" s="2" t="str">
        <f>B2&amp;"_"&amp;C2</f>
        <v>47003_1</v>
      </c>
      <c r="E2" s="4" t="str">
        <f ca="1">VLOOKUP($B2,OFFSET([2]quests!$A$1,0,0,COUNTA([2]quests!$A:$A),MATCH(E$1,[2]quests!$1:$1,0)-MATCH($B$1,[2]quests!$1:$1,0)+1),MATCH(E$1,[2]quests!$1:$1,0)-MATCH($B$1,[2]quests!$1:$1,0)+1,FALSE)</f>
        <v>ハロウィンナイトパニック！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【上級】ハロウィンナイトパニック！</v>
      </c>
      <c r="G2" s="21">
        <v>1</v>
      </c>
      <c r="H2" s="15" t="str">
        <f>B2&amp;"_"&amp;C2&amp;"-"&amp;G2</f>
        <v>47003_1-1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253</v>
      </c>
      <c r="L2" s="114">
        <v>1187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ハッピーハロウィン ポチ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40</v>
      </c>
      <c r="S2" s="116">
        <v>0.4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16600</v>
      </c>
      <c r="U2" s="116">
        <v>0.2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878.2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種族デーモンの攻撃力大UP</v>
      </c>
      <c r="Y2" s="62">
        <v>47003000</v>
      </c>
      <c r="Z2" s="6">
        <v>1</v>
      </c>
      <c r="AA2" s="6">
        <v>100</v>
      </c>
      <c r="AB2" s="6">
        <v>1</v>
      </c>
      <c r="AC2" s="17">
        <v>2</v>
      </c>
      <c r="AD2" s="24">
        <f>L2</f>
        <v>1187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ハッピーハロウィン ポチ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4">
        <f ca="1">AF2</f>
        <v>1</v>
      </c>
      <c r="AJ2" s="8">
        <v>20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ref="A3:A10" si="0">B3&amp;"_"&amp;C3&amp;"-"&amp;G3&amp;"/"&amp;L3&amp;"&lt;lv"&amp;R3&amp;"&gt;s"&amp;AC3</f>
        <v>47003_1-1/1189&lt;lv40&gt;s2</v>
      </c>
      <c r="B3" s="22">
        <v>47003</v>
      </c>
      <c r="C3" s="21">
        <v>1</v>
      </c>
      <c r="D3" s="2" t="str">
        <f t="shared" ref="D3:D10" si="1">B3&amp;"_"&amp;C3</f>
        <v>47003_1</v>
      </c>
      <c r="E3" s="4" t="str">
        <f ca="1">VLOOKUP($B3,OFFSET([2]quests!$A$1,0,0,COUNTA([2]quests!$A:$A),MATCH(E$1,[2]quests!$1:$1,0)-MATCH($B$1,[2]quests!$1:$1,0)+1),MATCH(E$1,[2]quests!$1:$1,0)-MATCH($B$1,[2]quests!$1:$1,0)+1,FALSE)</f>
        <v>ハロウィンナイトパニック！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【上級】ハロウィンナイトパニック！</v>
      </c>
      <c r="G3" s="21">
        <v>1</v>
      </c>
      <c r="H3" s="15" t="str">
        <f t="shared" ref="H3:H10" si="2">B3&amp;"_"&amp;C3&amp;"-"&amp;G3</f>
        <v>47003_1-1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253</v>
      </c>
      <c r="L3" s="114">
        <v>1189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ハッピーハロウィン ジェリー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40</v>
      </c>
      <c r="S3" s="116">
        <v>0.5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16600</v>
      </c>
      <c r="U3" s="116">
        <v>0.3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742.19999999999993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種族デーモンのCパネル生成短縮</v>
      </c>
      <c r="Y3" s="62">
        <v>47003010</v>
      </c>
      <c r="Z3" s="6">
        <v>1</v>
      </c>
      <c r="AA3" s="6">
        <v>100</v>
      </c>
      <c r="AB3" s="6">
        <v>0</v>
      </c>
      <c r="AC3" s="17">
        <v>2</v>
      </c>
      <c r="AD3" s="24">
        <f t="shared" ref="AD3:AD10" si="3">L3</f>
        <v>1189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ハッピーハロウィン ジェリー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7">
        <v>1</v>
      </c>
      <c r="AI3" s="24">
        <f t="shared" ref="AI3:AI10" ca="1" si="4">AF3</f>
        <v>1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47003_1-1/1190&lt;lv40&gt;s2</v>
      </c>
      <c r="B4" s="22">
        <v>47003</v>
      </c>
      <c r="C4" s="21">
        <v>1</v>
      </c>
      <c r="D4" s="2" t="str">
        <f t="shared" si="1"/>
        <v>47003_1</v>
      </c>
      <c r="E4" s="4" t="str">
        <f ca="1">VLOOKUP($B4,OFFSET([2]quests!$A$1,0,0,COUNTA([2]quests!$A:$A),MATCH(E$1,[2]quests!$1:$1,0)-MATCH($B$1,[2]quests!$1:$1,0)+1),MATCH(E$1,[2]quests!$1:$1,0)-MATCH($B$1,[2]quests!$1:$1,0)+1,FALSE)</f>
        <v>ハロウィンナイトパニック！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【上級】ハロウィンナイトパニック！</v>
      </c>
      <c r="G4" s="21">
        <v>1</v>
      </c>
      <c r="H4" s="15" t="str">
        <f t="shared" si="2"/>
        <v>47003_1-1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253</v>
      </c>
      <c r="L4" s="114">
        <v>1190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ハッピーハロウィン エレキポット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40</v>
      </c>
      <c r="S4" s="116">
        <v>0.4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16268</v>
      </c>
      <c r="U4" s="116">
        <v>0.3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1304.3999999999999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種族デーモンのボムの爆風を15%UP</v>
      </c>
      <c r="Y4" s="62">
        <v>47003020</v>
      </c>
      <c r="Z4" s="6">
        <v>1</v>
      </c>
      <c r="AA4" s="6">
        <v>100</v>
      </c>
      <c r="AB4" s="6">
        <v>0</v>
      </c>
      <c r="AC4" s="17">
        <v>2</v>
      </c>
      <c r="AD4" s="24">
        <f t="shared" si="3"/>
        <v>1190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ハッピーハロウィン エレキポット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Drop1T</v>
      </c>
      <c r="AH4" s="7">
        <v>1</v>
      </c>
      <c r="AI4" s="24">
        <f t="shared" ca="1" si="4"/>
        <v>1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47003_1-1/1188&lt;lv40&gt;s2</v>
      </c>
      <c r="B5" s="22">
        <v>47003</v>
      </c>
      <c r="C5" s="21">
        <v>1</v>
      </c>
      <c r="D5" s="2" t="str">
        <f t="shared" si="1"/>
        <v>47003_1</v>
      </c>
      <c r="E5" s="4" t="str">
        <f ca="1">VLOOKUP($B5,OFFSET([2]quests!$A$1,0,0,COUNTA([2]quests!$A:$A),MATCH(E$1,[2]quests!$1:$1,0)-MATCH($B$1,[2]quests!$1:$1,0)+1),MATCH(E$1,[2]quests!$1:$1,0)-MATCH($B$1,[2]quests!$1:$1,0)+1,FALSE)</f>
        <v>ハロウィンナイトパニック！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【上級】ハロウィンナイトパニック！</v>
      </c>
      <c r="G5" s="21">
        <v>1</v>
      </c>
      <c r="H5" s="15" t="str">
        <f t="shared" si="2"/>
        <v>47003_1-1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253</v>
      </c>
      <c r="L5" s="114">
        <v>1188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ハッピーハロウィン ジョー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Drop1T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40</v>
      </c>
      <c r="S5" s="116">
        <v>0.4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16932</v>
      </c>
      <c r="U5" s="116">
        <v>0.3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951.59999999999991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種族デーモンのスキルゲージを6ターン減少</v>
      </c>
      <c r="Y5" s="62">
        <v>47003030</v>
      </c>
      <c r="Z5" s="6">
        <v>1</v>
      </c>
      <c r="AA5" s="6">
        <v>100</v>
      </c>
      <c r="AB5" s="6">
        <v>1</v>
      </c>
      <c r="AC5" s="17">
        <v>2</v>
      </c>
      <c r="AD5" s="24">
        <f t="shared" si="3"/>
        <v>1188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ハッピーハロウィン ジョー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Drop1T</v>
      </c>
      <c r="AH5" s="7">
        <v>1</v>
      </c>
      <c r="AI5" s="24">
        <f t="shared" ca="1" si="4"/>
        <v>1</v>
      </c>
      <c r="AJ5" s="8">
        <v>20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ref="A6" si="5">B6&amp;"_"&amp;C6&amp;"-"&amp;G6&amp;"/"&amp;L6&amp;"&lt;lv"&amp;R6&amp;"&gt;s"&amp;AC6</f>
        <v>47003_1-2/1199&lt;lv40&gt;s2</v>
      </c>
      <c r="B6" s="22">
        <v>47003</v>
      </c>
      <c r="C6" s="21">
        <v>1</v>
      </c>
      <c r="D6" s="2" t="str">
        <f t="shared" ref="D6" si="6">B6&amp;"_"&amp;C6</f>
        <v>47003_1</v>
      </c>
      <c r="E6" s="4" t="str">
        <f ca="1">VLOOKUP($B6,OFFSET([2]quests!$A$1,0,0,COUNTA([2]quests!$A:$A),MATCH(E$1,[2]quests!$1:$1,0)-MATCH($B$1,[2]quests!$1:$1,0)+1),MATCH(E$1,[2]quests!$1:$1,0)-MATCH($B$1,[2]quests!$1:$1,0)+1,FALSE)</f>
        <v>ハロウィンナイトパニック！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【上級】ハロウィンナイトパニック！</v>
      </c>
      <c r="G6" s="21">
        <v>2</v>
      </c>
      <c r="H6" s="15" t="str">
        <f t="shared" ref="H6" si="7">B6&amp;"_"&amp;C6&amp;"-"&amp;G6</f>
        <v>47003_1-2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88</v>
      </c>
      <c r="L6" s="114">
        <v>1199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看装の巡回者 ケルベロス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40</v>
      </c>
      <c r="S6" s="116">
        <v>1.4</v>
      </c>
      <c r="T6" s="10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77435.399999999994</v>
      </c>
      <c r="U6" s="116">
        <v>0.6</v>
      </c>
      <c r="V6" s="10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2356.1999999999998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…はっ！　いえっ、なんでもないですぅ！</v>
      </c>
      <c r="Y6" s="62">
        <v>47003050</v>
      </c>
      <c r="Z6" s="6">
        <v>0</v>
      </c>
      <c r="AA6" s="6">
        <v>15</v>
      </c>
      <c r="AB6" s="6">
        <v>0</v>
      </c>
      <c r="AC6" s="17">
        <v>2</v>
      </c>
      <c r="AD6" s="24">
        <f t="shared" ref="AD6" si="8">L6</f>
        <v>1199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看装の巡回者 ケルベロス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ref="AI6" ca="1" si="9">AF6</f>
        <v>5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47003_1-2/1197&lt;lv40&gt;s3</v>
      </c>
      <c r="B7" s="22">
        <v>47003</v>
      </c>
      <c r="C7" s="21">
        <v>1</v>
      </c>
      <c r="D7" s="2" t="str">
        <f t="shared" si="1"/>
        <v>47003_1</v>
      </c>
      <c r="E7" s="4" t="str">
        <f ca="1">VLOOKUP($B7,OFFSET([2]quests!$A$1,0,0,COUNTA([2]quests!$A:$A),MATCH(E$1,[2]quests!$1:$1,0)-MATCH($B$1,[2]quests!$1:$1,0)+1),MATCH(E$1,[2]quests!$1:$1,0)-MATCH($B$1,[2]quests!$1:$1,0)+1,FALSE)</f>
        <v>ハロウィンナイトパニック！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【上級】ハロウィンナイトパニック！</v>
      </c>
      <c r="G7" s="21">
        <v>2</v>
      </c>
      <c r="H7" s="15" t="str">
        <f t="shared" si="2"/>
        <v>47003_1-2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253</v>
      </c>
      <c r="L7" s="114">
        <v>1197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冥装の闇黒魔 バフォメット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demon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40</v>
      </c>
      <c r="S7" s="116">
        <v>1.2</v>
      </c>
      <c r="T7" s="10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86353.2</v>
      </c>
      <c r="U7" s="116">
        <v>0.6</v>
      </c>
      <c r="V7" s="10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2664.6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異端の祭事は、菓子の様に甘くないぞ！</v>
      </c>
      <c r="Y7" s="62">
        <v>47003060</v>
      </c>
      <c r="Z7" s="6">
        <v>0</v>
      </c>
      <c r="AA7" s="6">
        <v>35</v>
      </c>
      <c r="AB7" s="6">
        <v>0</v>
      </c>
      <c r="AC7" s="17">
        <v>3</v>
      </c>
      <c r="AD7" s="24">
        <f t="shared" si="3"/>
        <v>1197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冥装の闇黒魔 バフォメット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7">
        <v>1</v>
      </c>
      <c r="AI7" s="24">
        <f t="shared" ca="1" si="4"/>
        <v>5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47003_1-2/1198&lt;lv40&gt;s3</v>
      </c>
      <c r="B8" s="22">
        <v>47003</v>
      </c>
      <c r="C8" s="21">
        <v>1</v>
      </c>
      <c r="D8" s="2" t="str">
        <f t="shared" si="1"/>
        <v>47003_1</v>
      </c>
      <c r="E8" s="4" t="str">
        <f ca="1">VLOOKUP($B8,OFFSET([2]quests!$A$1,0,0,COUNTA([2]quests!$A:$A),MATCH(E$1,[2]quests!$1:$1,0)-MATCH($B$1,[2]quests!$1:$1,0)+1),MATCH(E$1,[2]quests!$1:$1,0)-MATCH($B$1,[2]quests!$1:$1,0)+1,FALSE)</f>
        <v>ハロウィンナイトパニック！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【上級】ハロウィンナイトパニック！</v>
      </c>
      <c r="G8" s="21">
        <v>2</v>
      </c>
      <c r="H8" s="15" t="str">
        <f t="shared" si="2"/>
        <v>47003_1-2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253</v>
      </c>
      <c r="L8" s="114">
        <v>1198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幽縛の霊線 ピノキオ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40</v>
      </c>
      <c r="S8" s="116">
        <v>1.5</v>
      </c>
      <c r="T8" s="104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105825</v>
      </c>
      <c r="U8" s="116">
        <v>0.5</v>
      </c>
      <c r="V8" s="104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2953.5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この喧騒がまたボクを孤独にするんだ…</v>
      </c>
      <c r="Y8" s="62">
        <v>47003080</v>
      </c>
      <c r="Z8" s="6">
        <v>0</v>
      </c>
      <c r="AA8" s="6">
        <v>50</v>
      </c>
      <c r="AB8" s="6">
        <v>0</v>
      </c>
      <c r="AC8" s="17">
        <v>3</v>
      </c>
      <c r="AD8" s="24">
        <f t="shared" si="3"/>
        <v>1198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幽縛の霊線 ピノキオ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4">
        <f t="shared" ca="1" si="4"/>
        <v>5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47003_1-3/1196&lt;lv40&gt;s3</v>
      </c>
      <c r="B9" s="22">
        <v>47003</v>
      </c>
      <c r="C9" s="21">
        <v>1</v>
      </c>
      <c r="D9" s="2" t="str">
        <f t="shared" si="1"/>
        <v>47003_1</v>
      </c>
      <c r="E9" s="4" t="str">
        <f ca="1">VLOOKUP($B9,OFFSET([2]quests!$A$1,0,0,COUNTA([2]quests!$A:$A),MATCH(E$1,[2]quests!$1:$1,0)-MATCH($B$1,[2]quests!$1:$1,0)+1),MATCH(E$1,[2]quests!$1:$1,0)-MATCH($B$1,[2]quests!$1:$1,0)+1,FALSE)</f>
        <v>ハロウィンナイトパニック！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【上級】ハロウィンナイトパニック！</v>
      </c>
      <c r="G9" s="21">
        <v>3</v>
      </c>
      <c r="H9" s="15" t="str">
        <f t="shared" si="2"/>
        <v>47003_1-3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253</v>
      </c>
      <c r="L9" s="114">
        <v>1196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華装の闇鋏 ラプンツェル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40</v>
      </c>
      <c r="S9" s="116">
        <v>1.3</v>
      </c>
      <c r="T9" s="10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87935.900000000009</v>
      </c>
      <c r="U9" s="116">
        <v>0.6</v>
      </c>
      <c r="V9" s="10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2638.2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ならば、私も負けずに輝きます！</v>
      </c>
      <c r="Y9" s="62">
        <v>47003100</v>
      </c>
      <c r="Z9" s="6">
        <v>0</v>
      </c>
      <c r="AA9" s="6">
        <v>20</v>
      </c>
      <c r="AB9" s="6">
        <v>0</v>
      </c>
      <c r="AC9" s="17">
        <v>3</v>
      </c>
      <c r="AD9" s="24">
        <f t="shared" si="3"/>
        <v>1196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華装の闇鋏 ラプンツェル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6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9" s="7">
        <v>1</v>
      </c>
      <c r="AI9" s="24">
        <f t="shared" ca="1" si="4"/>
        <v>6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0"/>
        <v>47003_1-3/1193&lt;lv40&gt;s3</v>
      </c>
      <c r="B10" s="22">
        <v>47003</v>
      </c>
      <c r="C10" s="21">
        <v>1</v>
      </c>
      <c r="D10" s="2" t="str">
        <f t="shared" si="1"/>
        <v>47003_1</v>
      </c>
      <c r="E10" s="4" t="str">
        <f ca="1">VLOOKUP($B10,OFFSET([2]quests!$A$1,0,0,COUNTA([2]quests!$A:$A),MATCH(E$1,[2]quests!$1:$1,0)-MATCH($B$1,[2]quests!$1:$1,0)+1),MATCH(E$1,[2]quests!$1:$1,0)-MATCH($B$1,[2]quests!$1:$1,0)+1,FALSE)</f>
        <v>ハロウィンナイトパニック！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【上級】ハロウィンナイトパニック！</v>
      </c>
      <c r="G10" s="21">
        <v>3</v>
      </c>
      <c r="H10" s="15" t="str">
        <f t="shared" si="2"/>
        <v>47003_1-3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253</v>
      </c>
      <c r="L10" s="114">
        <v>1193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血飢なる夜想卿 ランスロット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40</v>
      </c>
      <c r="S10" s="116">
        <v>1.3</v>
      </c>
      <c r="T10" s="104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86212.1</v>
      </c>
      <c r="U10" s="116">
        <v>0.5</v>
      </c>
      <c r="V10" s="104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3043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お菓子盗んだ犯人！？　お、俺じゃないぞ！</v>
      </c>
      <c r="Y10" s="62">
        <v>47003120</v>
      </c>
      <c r="Z10" s="6">
        <v>0</v>
      </c>
      <c r="AA10" s="6">
        <v>80</v>
      </c>
      <c r="AB10" s="6">
        <v>0</v>
      </c>
      <c r="AC10" s="17">
        <v>3</v>
      </c>
      <c r="AD10" s="24">
        <f t="shared" si="3"/>
        <v>1193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血飢なる夜想卿 ランスロット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6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0" s="7">
        <v>1</v>
      </c>
      <c r="AI10" s="24">
        <f t="shared" ca="1" si="4"/>
        <v>6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>B11&amp;"_"&amp;C11&amp;"-"&amp;G11&amp;"/"&amp;L11&amp;"&lt;lv"&amp;R11&amp;"&gt;s"&amp;AC11</f>
        <v>47003_1-4/1191&lt;lv40&gt;s3</v>
      </c>
      <c r="B11" s="22">
        <v>47003</v>
      </c>
      <c r="C11" s="21">
        <v>1</v>
      </c>
      <c r="D11" s="2" t="str">
        <f>B11&amp;"_"&amp;C11</f>
        <v>47003_1</v>
      </c>
      <c r="E11" s="4" t="str">
        <f ca="1">VLOOKUP($B11,OFFSET([2]quests!$A$1,0,0,COUNTA([2]quests!$A:$A),MATCH(E$1,[2]quests!$1:$1,0)-MATCH($B$1,[2]quests!$1:$1,0)+1),MATCH(E$1,[2]quests!$1:$1,0)-MATCH($B$1,[2]quests!$1:$1,0)+1,FALSE)</f>
        <v>ハロウィンナイトパニック！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【上級】ハロウィンナイトパニック！</v>
      </c>
      <c r="G11" s="21">
        <v>4</v>
      </c>
      <c r="H11" s="15" t="str">
        <f>B11&amp;"_"&amp;C11&amp;"-"&amp;G11</f>
        <v>47003_1-4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</v>
      </c>
      <c r="L11" s="114">
        <v>1191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ドルチェ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40</v>
      </c>
      <c r="S11" s="116">
        <v>1.5</v>
      </c>
      <c r="T11" s="104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93337.5</v>
      </c>
      <c r="U11" s="116">
        <v>0.8</v>
      </c>
      <c r="V11" s="104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3295.2000000000003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種族デーモン以外に2ターン暗闇</v>
      </c>
      <c r="Y11" s="62">
        <v>47003140</v>
      </c>
      <c r="Z11" s="6">
        <v>0</v>
      </c>
      <c r="AA11" s="6">
        <v>100</v>
      </c>
      <c r="AB11" s="6">
        <v>1</v>
      </c>
      <c r="AC11" s="17">
        <v>3</v>
      </c>
      <c r="AD11" s="24">
        <f>L11</f>
        <v>1191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ドルチェ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ca="1">AF11</f>
        <v>5</v>
      </c>
      <c r="AJ11" s="147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>B12&amp;"_"&amp;C12&amp;"-"&amp;G12&amp;"/"&amp;L12&amp;"&lt;lv"&amp;R12&amp;"&gt;s"&amp;AC12</f>
        <v>47003_2-1/1187&lt;lv60&gt;s3</v>
      </c>
      <c r="B12" s="106">
        <v>47003</v>
      </c>
      <c r="C12" s="107">
        <v>2</v>
      </c>
      <c r="D12" s="107" t="str">
        <f>B12&amp;"_"&amp;C12</f>
        <v>47003_2</v>
      </c>
      <c r="E12" s="108" t="str">
        <f ca="1">VLOOKUP($B12,OFFSET([2]quests!$A$1,0,0,COUNTA([2]quests!$A:$A),MATCH(E$1,[2]quests!$1:$1,0)-MATCH($B$1,[2]quests!$1:$1,0)+1),MATCH(E$1,[2]quests!$1:$1,0)-MATCH($B$1,[2]quests!$1:$1,0)+1,FALSE)</f>
        <v>ハロウィンナイトパニック！</v>
      </c>
      <c r="F12" s="108" t="str">
        <f ca="1">VLOOKUP($D12,OFFSET([2]stages!$A$1,0,0,COUNTA([2]stages!$A:$A),MATCH(F$1,[2]stages!$2:$2,0)-MATCH($D$1,[2]stages!$2:$2,0)+1),MATCH(F$1,[2]stages!$2:$2,0)-MATCH($D$1,[2]stages!$2:$2,0)+1,FALSE)</f>
        <v>【超級】ハロウィンナイトパニック！</v>
      </c>
      <c r="G12" s="107">
        <v>1</v>
      </c>
      <c r="H12" s="109" t="str">
        <f>B12&amp;"_"&amp;C12&amp;"-"&amp;G12</f>
        <v>47003_2-1</v>
      </c>
      <c r="I12" s="108">
        <f ca="1">VLOOKUP($H12,OFFSET(floors!$A$1,0,0,COUNTA(floors!$A:$A),MATCH(I$1,floors!$1:$1,0)-MATCH($H$1,floors!$1:$1,0)+1),MATCH(I$1,floors!$1:$1,0)-MATCH($H$1,floors!$1:$1,0)+1,FALSE)</f>
        <v>60</v>
      </c>
      <c r="J12" s="108">
        <f ca="1">VLOOKUP($H12,OFFSET(floors!$A$1,0,0,COUNTA(floors!$A:$A),MATCH(J$1,floors!$1:$1,0)-MATCH($H$1,floors!$1:$1,0)+1),MATCH(J$1,floors!$1:$1,0)-MATCH($H$1,floors!$1:$1,0)+1,FALSE)</f>
        <v>60</v>
      </c>
      <c r="K12" s="110" t="s">
        <v>253</v>
      </c>
      <c r="L12" s="107">
        <v>1187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ハッピーハロウィン ポチ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Drop1T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60</v>
      </c>
      <c r="S12" s="112">
        <v>0.5</v>
      </c>
      <c r="T12" s="104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30750</v>
      </c>
      <c r="U12" s="112">
        <v>0.2</v>
      </c>
      <c r="V12" s="104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1301.6000000000001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種族デーモンの攻撃力大UP</v>
      </c>
      <c r="Y12" s="111">
        <v>47003200</v>
      </c>
      <c r="Z12" s="6">
        <v>1</v>
      </c>
      <c r="AA12" s="6">
        <v>100</v>
      </c>
      <c r="AB12" s="6">
        <v>1</v>
      </c>
      <c r="AC12" s="17">
        <v>3</v>
      </c>
      <c r="AD12" s="24">
        <f>L12</f>
        <v>1187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ハッピーハロウィン ポチ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1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Drop1T</v>
      </c>
      <c r="AH12" s="7">
        <v>1</v>
      </c>
      <c r="AI12" s="24">
        <f ca="1">AF12</f>
        <v>1</v>
      </c>
      <c r="AJ12" s="8">
        <v>20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ref="A13:A20" si="10">B13&amp;"_"&amp;C13&amp;"-"&amp;G13&amp;"/"&amp;L13&amp;"&lt;lv"&amp;R13&amp;"&gt;s"&amp;AC13</f>
        <v>47003_2-1/1189&lt;lv60&gt;s2</v>
      </c>
      <c r="B13" s="106">
        <v>47003</v>
      </c>
      <c r="C13" s="107">
        <v>2</v>
      </c>
      <c r="D13" s="107" t="str">
        <f t="shared" ref="D13:D20" si="11">B13&amp;"_"&amp;C13</f>
        <v>47003_2</v>
      </c>
      <c r="E13" s="108" t="str">
        <f ca="1">VLOOKUP($B13,OFFSET([2]quests!$A$1,0,0,COUNTA([2]quests!$A:$A),MATCH(E$1,[2]quests!$1:$1,0)-MATCH($B$1,[2]quests!$1:$1,0)+1),MATCH(E$1,[2]quests!$1:$1,0)-MATCH($B$1,[2]quests!$1:$1,0)+1,FALSE)</f>
        <v>ハロウィンナイトパニック！</v>
      </c>
      <c r="F13" s="108" t="str">
        <f ca="1">VLOOKUP($D13,OFFSET([2]stages!$A$1,0,0,COUNTA([2]stages!$A:$A),MATCH(F$1,[2]stages!$2:$2,0)-MATCH($D$1,[2]stages!$2:$2,0)+1),MATCH(F$1,[2]stages!$2:$2,0)-MATCH($D$1,[2]stages!$2:$2,0)+1,FALSE)</f>
        <v>【超級】ハロウィンナイトパニック！</v>
      </c>
      <c r="G13" s="107">
        <v>1</v>
      </c>
      <c r="H13" s="109" t="str">
        <f t="shared" ref="H13:H20" si="12">B13&amp;"_"&amp;C13&amp;"-"&amp;G13</f>
        <v>47003_2-1</v>
      </c>
      <c r="I13" s="108">
        <f ca="1">VLOOKUP($H13,OFFSET(floors!$A$1,0,0,COUNTA(floors!$A:$A),MATCH(I$1,floors!$1:$1,0)-MATCH($H$1,floors!$1:$1,0)+1),MATCH(I$1,floors!$1:$1,0)-MATCH($H$1,floors!$1:$1,0)+1,FALSE)</f>
        <v>60</v>
      </c>
      <c r="J13" s="108">
        <f ca="1">VLOOKUP($H13,OFFSET(floors!$A$1,0,0,COUNTA(floors!$A:$A),MATCH(J$1,floors!$1:$1,0)-MATCH($H$1,floors!$1:$1,0)+1),MATCH(J$1,floors!$1:$1,0)-MATCH($H$1,floors!$1:$1,0)+1,FALSE)</f>
        <v>60</v>
      </c>
      <c r="K13" s="110" t="s">
        <v>253</v>
      </c>
      <c r="L13" s="107">
        <v>1189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ハッピーハロウィン ジェリー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Drop1T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60</v>
      </c>
      <c r="S13" s="112">
        <v>0.5</v>
      </c>
      <c r="T13" s="104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24600</v>
      </c>
      <c r="U13" s="112">
        <v>0.3</v>
      </c>
      <c r="V13" s="104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1100.0999999999999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種族デーモンのCパネル生成短縮</v>
      </c>
      <c r="Y13" s="111">
        <v>47003210</v>
      </c>
      <c r="Z13" s="6">
        <v>1</v>
      </c>
      <c r="AA13" s="6">
        <v>100</v>
      </c>
      <c r="AB13" s="6">
        <v>0</v>
      </c>
      <c r="AC13" s="17">
        <v>2</v>
      </c>
      <c r="AD13" s="24">
        <f t="shared" ref="AD13:AD20" si="13">L13</f>
        <v>1189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ハッピーハロウィン ジェリー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1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Drop1T</v>
      </c>
      <c r="AH13" s="7">
        <v>1</v>
      </c>
      <c r="AI13" s="24">
        <f t="shared" ref="AI13:AI20" ca="1" si="14">AF13</f>
        <v>1</v>
      </c>
      <c r="AJ13" s="8">
        <v>20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si="10"/>
        <v>47003_2-1/1190&lt;lv60&gt;s2</v>
      </c>
      <c r="B14" s="106">
        <v>47003</v>
      </c>
      <c r="C14" s="107">
        <v>2</v>
      </c>
      <c r="D14" s="107" t="str">
        <f t="shared" si="11"/>
        <v>47003_2</v>
      </c>
      <c r="E14" s="108" t="str">
        <f ca="1">VLOOKUP($B14,OFFSET([2]quests!$A$1,0,0,COUNTA([2]quests!$A:$A),MATCH(E$1,[2]quests!$1:$1,0)-MATCH($B$1,[2]quests!$1:$1,0)+1),MATCH(E$1,[2]quests!$1:$1,0)-MATCH($B$1,[2]quests!$1:$1,0)+1,FALSE)</f>
        <v>ハロウィンナイトパニック！</v>
      </c>
      <c r="F14" s="108" t="str">
        <f ca="1">VLOOKUP($D14,OFFSET([2]stages!$A$1,0,0,COUNTA([2]stages!$A:$A),MATCH(F$1,[2]stages!$2:$2,0)-MATCH($D$1,[2]stages!$2:$2,0)+1),MATCH(F$1,[2]stages!$2:$2,0)-MATCH($D$1,[2]stages!$2:$2,0)+1,FALSE)</f>
        <v>【超級】ハロウィンナイトパニック！</v>
      </c>
      <c r="G14" s="107">
        <v>1</v>
      </c>
      <c r="H14" s="109" t="str">
        <f t="shared" si="12"/>
        <v>47003_2-1</v>
      </c>
      <c r="I14" s="108">
        <f ca="1">VLOOKUP($H14,OFFSET(floors!$A$1,0,0,COUNTA(floors!$A:$A),MATCH(I$1,floors!$1:$1,0)-MATCH($H$1,floors!$1:$1,0)+1),MATCH(I$1,floors!$1:$1,0)-MATCH($H$1,floors!$1:$1,0)+1,FALSE)</f>
        <v>60</v>
      </c>
      <c r="J14" s="108">
        <f ca="1">VLOOKUP($H14,OFFSET(floors!$A$1,0,0,COUNTA(floors!$A:$A),MATCH(J$1,floors!$1:$1,0)-MATCH($H$1,floors!$1:$1,0)+1),MATCH(J$1,floors!$1:$1,0)-MATCH($H$1,floors!$1:$1,0)+1,FALSE)</f>
        <v>60</v>
      </c>
      <c r="K14" s="110" t="s">
        <v>253</v>
      </c>
      <c r="L14" s="107">
        <v>1190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ハッピーハロウィン エレキポット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Drop1T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60</v>
      </c>
      <c r="S14" s="112">
        <v>0.5</v>
      </c>
      <c r="T14" s="104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30135</v>
      </c>
      <c r="U14" s="112">
        <v>0.3</v>
      </c>
      <c r="V14" s="104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1933.1999999999998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種族デーモンのボムの爆風を15%UP</v>
      </c>
      <c r="Y14" s="111">
        <v>47003220</v>
      </c>
      <c r="Z14" s="6">
        <v>1</v>
      </c>
      <c r="AA14" s="6">
        <v>100</v>
      </c>
      <c r="AB14" s="6">
        <v>0</v>
      </c>
      <c r="AC14" s="17">
        <v>2</v>
      </c>
      <c r="AD14" s="24">
        <f t="shared" si="13"/>
        <v>1190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ハッピーハロウィン エレキポット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1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Drop1T</v>
      </c>
      <c r="AH14" s="7">
        <v>1</v>
      </c>
      <c r="AI14" s="24">
        <f t="shared" ca="1" si="14"/>
        <v>1</v>
      </c>
      <c r="AJ14" s="8">
        <v>20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si="10"/>
        <v>47003_2-1/1188&lt;lv60&gt;s3</v>
      </c>
      <c r="B15" s="106">
        <v>47003</v>
      </c>
      <c r="C15" s="107">
        <v>2</v>
      </c>
      <c r="D15" s="107" t="str">
        <f t="shared" si="11"/>
        <v>47003_2</v>
      </c>
      <c r="E15" s="108" t="str">
        <f ca="1">VLOOKUP($B15,OFFSET([2]quests!$A$1,0,0,COUNTA([2]quests!$A:$A),MATCH(E$1,[2]quests!$1:$1,0)-MATCH($B$1,[2]quests!$1:$1,0)+1),MATCH(E$1,[2]quests!$1:$1,0)-MATCH($B$1,[2]quests!$1:$1,0)+1,FALSE)</f>
        <v>ハロウィンナイトパニック！</v>
      </c>
      <c r="F15" s="108" t="str">
        <f ca="1">VLOOKUP($D15,OFFSET([2]stages!$A$1,0,0,COUNTA([2]stages!$A:$A),MATCH(F$1,[2]stages!$2:$2,0)-MATCH($D$1,[2]stages!$2:$2,0)+1),MATCH(F$1,[2]stages!$2:$2,0)-MATCH($D$1,[2]stages!$2:$2,0)+1,FALSE)</f>
        <v>【超級】ハロウィンナイトパニック！</v>
      </c>
      <c r="G15" s="107">
        <v>1</v>
      </c>
      <c r="H15" s="109" t="str">
        <f t="shared" si="12"/>
        <v>47003_2-1</v>
      </c>
      <c r="I15" s="108">
        <f ca="1">VLOOKUP($H15,OFFSET(floors!$A$1,0,0,COUNTA(floors!$A:$A),MATCH(I$1,floors!$1:$1,0)-MATCH($H$1,floors!$1:$1,0)+1),MATCH(I$1,floors!$1:$1,0)-MATCH($H$1,floors!$1:$1,0)+1,FALSE)</f>
        <v>60</v>
      </c>
      <c r="J15" s="108">
        <f ca="1">VLOOKUP($H15,OFFSET(floors!$A$1,0,0,COUNTA(floors!$A:$A),MATCH(J$1,floors!$1:$1,0)-MATCH($H$1,floors!$1:$1,0)+1),MATCH(J$1,floors!$1:$1,0)-MATCH($H$1,floors!$1:$1,0)+1,FALSE)</f>
        <v>60</v>
      </c>
      <c r="K15" s="110" t="s">
        <v>253</v>
      </c>
      <c r="L15" s="107">
        <v>1188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ハッピーハロウィン ジョー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Drop1T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60</v>
      </c>
      <c r="S15" s="112">
        <v>0.5</v>
      </c>
      <c r="T15" s="104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31365</v>
      </c>
      <c r="U15" s="112">
        <v>0.3</v>
      </c>
      <c r="V15" s="104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1410.3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種族デーモンのスキルゲージを6ターン減少</v>
      </c>
      <c r="Y15" s="111">
        <v>47003230</v>
      </c>
      <c r="Z15" s="6">
        <v>1</v>
      </c>
      <c r="AA15" s="6">
        <v>100</v>
      </c>
      <c r="AB15" s="6">
        <v>1</v>
      </c>
      <c r="AC15" s="17">
        <v>3</v>
      </c>
      <c r="AD15" s="24">
        <f t="shared" si="13"/>
        <v>1188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ハッピーハロウィン ジョー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Drop1T</v>
      </c>
      <c r="AH15" s="7">
        <v>1</v>
      </c>
      <c r="AI15" s="24">
        <f t="shared" ca="1" si="14"/>
        <v>1</v>
      </c>
      <c r="AJ15" s="8">
        <v>20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x14ac:dyDescent="0.15">
      <c r="A16" s="16" t="str">
        <f t="shared" ref="A16" si="15">B16&amp;"_"&amp;C16&amp;"-"&amp;G16&amp;"/"&amp;L16&amp;"&lt;lv"&amp;R16&amp;"&gt;s"&amp;AC16</f>
        <v>47003_2-2/1199&lt;lv60&gt;s3</v>
      </c>
      <c r="B16" s="106">
        <v>47003</v>
      </c>
      <c r="C16" s="107">
        <v>2</v>
      </c>
      <c r="D16" s="107" t="str">
        <f t="shared" ref="D16" si="16">B16&amp;"_"&amp;C16</f>
        <v>47003_2</v>
      </c>
      <c r="E16" s="108" t="str">
        <f ca="1">VLOOKUP($B16,OFFSET([2]quests!$A$1,0,0,COUNTA([2]quests!$A:$A),MATCH(E$1,[2]quests!$1:$1,0)-MATCH($B$1,[2]quests!$1:$1,0)+1),MATCH(E$1,[2]quests!$1:$1,0)-MATCH($B$1,[2]quests!$1:$1,0)+1,FALSE)</f>
        <v>ハロウィンナイトパニック！</v>
      </c>
      <c r="F16" s="108" t="str">
        <f ca="1">VLOOKUP($D16,OFFSET([2]stages!$A$1,0,0,COUNTA([2]stages!$A:$A),MATCH(F$1,[2]stages!$2:$2,0)-MATCH($D$1,[2]stages!$2:$2,0)+1),MATCH(F$1,[2]stages!$2:$2,0)-MATCH($D$1,[2]stages!$2:$2,0)+1,FALSE)</f>
        <v>【超級】ハロウィンナイトパニック！</v>
      </c>
      <c r="G16" s="107">
        <v>2</v>
      </c>
      <c r="H16" s="109" t="str">
        <f t="shared" ref="H16" si="17">B16&amp;"_"&amp;C16&amp;"-"&amp;G16</f>
        <v>47003_2-2</v>
      </c>
      <c r="I16" s="108">
        <f ca="1">VLOOKUP($H16,OFFSET(floors!$A$1,0,0,COUNTA(floors!$A:$A),MATCH(I$1,floors!$1:$1,0)-MATCH($H$1,floors!$1:$1,0)+1),MATCH(I$1,floors!$1:$1,0)-MATCH($H$1,floors!$1:$1,0)+1,FALSE)</f>
        <v>60</v>
      </c>
      <c r="J16" s="108">
        <f ca="1">VLOOKUP($H16,OFFSET(floors!$A$1,0,0,COUNTA(floors!$A:$A),MATCH(J$1,floors!$1:$1,0)-MATCH($H$1,floors!$1:$1,0)+1),MATCH(J$1,floors!$1:$1,0)-MATCH($H$1,floors!$1:$1,0)+1,FALSE)</f>
        <v>60</v>
      </c>
      <c r="K16" s="110" t="s">
        <v>88</v>
      </c>
      <c r="L16" s="107">
        <v>1199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看装の巡回者 ケルベロス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60</v>
      </c>
      <c r="R16" s="5">
        <v>60</v>
      </c>
      <c r="S16" s="112">
        <v>1.5</v>
      </c>
      <c r="T16" s="104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122950.5</v>
      </c>
      <c r="U16" s="112">
        <v>0.6</v>
      </c>
      <c r="V16" s="104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3492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…はっ！　いえっ、なんでもないですぅ！</v>
      </c>
      <c r="Y16" s="111">
        <v>47003250</v>
      </c>
      <c r="Z16" s="6">
        <v>0</v>
      </c>
      <c r="AA16" s="6">
        <v>15</v>
      </c>
      <c r="AB16" s="6">
        <v>0</v>
      </c>
      <c r="AC16" s="17">
        <v>3</v>
      </c>
      <c r="AD16" s="24">
        <f t="shared" ref="AD16" si="18">L16</f>
        <v>1199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看装の巡回者 ケルベロス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5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6" s="7">
        <v>1</v>
      </c>
      <c r="AI16" s="24">
        <f t="shared" ref="AI16" ca="1" si="19">AF16</f>
        <v>5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70">
        <v>1</v>
      </c>
    </row>
    <row r="17" spans="1:42" ht="21" customHeight="1" x14ac:dyDescent="0.15">
      <c r="A17" s="16" t="str">
        <f t="shared" si="10"/>
        <v>47003_2-2/1197&lt;lv60&gt;s3</v>
      </c>
      <c r="B17" s="106">
        <v>47003</v>
      </c>
      <c r="C17" s="107">
        <v>2</v>
      </c>
      <c r="D17" s="107" t="str">
        <f t="shared" si="11"/>
        <v>47003_2</v>
      </c>
      <c r="E17" s="108" t="str">
        <f ca="1">VLOOKUP($B17,OFFSET([2]quests!$A$1,0,0,COUNTA([2]quests!$A:$A),MATCH(E$1,[2]quests!$1:$1,0)-MATCH($B$1,[2]quests!$1:$1,0)+1),MATCH(E$1,[2]quests!$1:$1,0)-MATCH($B$1,[2]quests!$1:$1,0)+1,FALSE)</f>
        <v>ハロウィンナイトパニック！</v>
      </c>
      <c r="F17" s="108" t="str">
        <f ca="1">VLOOKUP($D17,OFFSET([2]stages!$A$1,0,0,COUNTA([2]stages!$A:$A),MATCH(F$1,[2]stages!$2:$2,0)-MATCH($D$1,[2]stages!$2:$2,0)+1),MATCH(F$1,[2]stages!$2:$2,0)-MATCH($D$1,[2]stages!$2:$2,0)+1,FALSE)</f>
        <v>【超級】ハロウィンナイトパニック！</v>
      </c>
      <c r="G17" s="107">
        <v>2</v>
      </c>
      <c r="H17" s="109" t="str">
        <f t="shared" si="12"/>
        <v>47003_2-2</v>
      </c>
      <c r="I17" s="108">
        <f ca="1">VLOOKUP($H17,OFFSET(floors!$A$1,0,0,COUNTA(floors!$A:$A),MATCH(I$1,floors!$1:$1,0)-MATCH($H$1,floors!$1:$1,0)+1),MATCH(I$1,floors!$1:$1,0)-MATCH($H$1,floors!$1:$1,0)+1,FALSE)</f>
        <v>60</v>
      </c>
      <c r="J17" s="108">
        <f ca="1">VLOOKUP($H17,OFFSET(floors!$A$1,0,0,COUNTA(floors!$A:$A),MATCH(J$1,floors!$1:$1,0)-MATCH($H$1,floors!$1:$1,0)+1),MATCH(J$1,floors!$1:$1,0)-MATCH($H$1,floors!$1:$1,0)+1,FALSE)</f>
        <v>60</v>
      </c>
      <c r="K17" s="110" t="s">
        <v>253</v>
      </c>
      <c r="L17" s="107">
        <v>1197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冥装の闇黒魔 バフォメット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demon</v>
      </c>
      <c r="Q17" s="17">
        <f ca="1">VLOOKUP($L17,OFFSET([3]enemies!$A$1,0,0,COUNTA([3]enemies!$A:$A),MATCH(Q$1,[3]enemies!$1:$1,0)-MATCH($L$1,[3]enemies!$1:$1,0)+1),MATCH(Q$1,[3]enemies!$1:$1,0)-MATCH($L$1,[3]enemies!$1:$1,0)+1,FALSE)</f>
        <v>60</v>
      </c>
      <c r="R17" s="5">
        <v>60</v>
      </c>
      <c r="S17" s="112">
        <v>1.3</v>
      </c>
      <c r="T17" s="104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138633.30000000002</v>
      </c>
      <c r="U17" s="112">
        <v>0.6</v>
      </c>
      <c r="V17" s="104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3948.6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異端の祭事は、菓子の様に甘くないぞ！</v>
      </c>
      <c r="Y17" s="111">
        <v>47003260</v>
      </c>
      <c r="Z17" s="6">
        <v>0</v>
      </c>
      <c r="AA17" s="6">
        <v>35</v>
      </c>
      <c r="AB17" s="6">
        <v>0</v>
      </c>
      <c r="AC17" s="17">
        <v>3</v>
      </c>
      <c r="AD17" s="24">
        <f t="shared" si="13"/>
        <v>1197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冥装の闇黒魔 バフォメット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5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7" s="7">
        <v>1</v>
      </c>
      <c r="AI17" s="24">
        <f t="shared" ca="1" si="14"/>
        <v>5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70">
        <v>1</v>
      </c>
    </row>
    <row r="18" spans="1:42" ht="21" customHeight="1" x14ac:dyDescent="0.15">
      <c r="A18" s="16" t="str">
        <f t="shared" si="10"/>
        <v>47003_2-2/1198&lt;lv60&gt;s3</v>
      </c>
      <c r="B18" s="106">
        <v>47003</v>
      </c>
      <c r="C18" s="107">
        <v>2</v>
      </c>
      <c r="D18" s="107" t="str">
        <f t="shared" si="11"/>
        <v>47003_2</v>
      </c>
      <c r="E18" s="108" t="str">
        <f ca="1">VLOOKUP($B18,OFFSET([2]quests!$A$1,0,0,COUNTA([2]quests!$A:$A),MATCH(E$1,[2]quests!$1:$1,0)-MATCH($B$1,[2]quests!$1:$1,0)+1),MATCH(E$1,[2]quests!$1:$1,0)-MATCH($B$1,[2]quests!$1:$1,0)+1,FALSE)</f>
        <v>ハロウィンナイトパニック！</v>
      </c>
      <c r="F18" s="108" t="str">
        <f ca="1">VLOOKUP($D18,OFFSET([2]stages!$A$1,0,0,COUNTA([2]stages!$A:$A),MATCH(F$1,[2]stages!$2:$2,0)-MATCH($D$1,[2]stages!$2:$2,0)+1),MATCH(F$1,[2]stages!$2:$2,0)-MATCH($D$1,[2]stages!$2:$2,0)+1,FALSE)</f>
        <v>【超級】ハロウィンナイトパニック！</v>
      </c>
      <c r="G18" s="107">
        <v>2</v>
      </c>
      <c r="H18" s="109" t="str">
        <f t="shared" si="12"/>
        <v>47003_2-2</v>
      </c>
      <c r="I18" s="108">
        <f ca="1">VLOOKUP($H18,OFFSET(floors!$A$1,0,0,COUNTA(floors!$A:$A),MATCH(I$1,floors!$1:$1,0)-MATCH($H$1,floors!$1:$1,0)+1),MATCH(I$1,floors!$1:$1,0)-MATCH($H$1,floors!$1:$1,0)+1,FALSE)</f>
        <v>60</v>
      </c>
      <c r="J18" s="108">
        <f ca="1">VLOOKUP($H18,OFFSET(floors!$A$1,0,0,COUNTA(floors!$A:$A),MATCH(J$1,floors!$1:$1,0)-MATCH($H$1,floors!$1:$1,0)+1),MATCH(J$1,floors!$1:$1,0)-MATCH($H$1,floors!$1:$1,0)+1,FALSE)</f>
        <v>60</v>
      </c>
      <c r="K18" s="110" t="s">
        <v>253</v>
      </c>
      <c r="L18" s="107">
        <v>1198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幽縛の霊線 ピノキオ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machine</v>
      </c>
      <c r="Q18" s="17">
        <f ca="1">VLOOKUP($L18,OFFSET([3]enemies!$A$1,0,0,COUNTA([3]enemies!$A:$A),MATCH(Q$1,[3]enemies!$1:$1,0)-MATCH($L$1,[3]enemies!$1:$1,0)+1),MATCH(Q$1,[3]enemies!$1:$1,0)-MATCH($L$1,[3]enemies!$1:$1,0)+1,FALSE)</f>
        <v>60</v>
      </c>
      <c r="R18" s="5">
        <v>60</v>
      </c>
      <c r="S18" s="112">
        <v>1.7</v>
      </c>
      <c r="T18" s="104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177735</v>
      </c>
      <c r="U18" s="112">
        <v>0.5</v>
      </c>
      <c r="V18" s="104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4376.5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この喧騒がまたボクを孤独にするんだ…</v>
      </c>
      <c r="Y18" s="111">
        <v>47003280</v>
      </c>
      <c r="Z18" s="6">
        <v>0</v>
      </c>
      <c r="AA18" s="6">
        <v>50</v>
      </c>
      <c r="AB18" s="6">
        <v>0</v>
      </c>
      <c r="AC18" s="17">
        <v>3</v>
      </c>
      <c r="AD18" s="24">
        <f t="shared" si="13"/>
        <v>1198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幽縛の霊線 ピノキオ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5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8" s="7">
        <v>1</v>
      </c>
      <c r="AI18" s="24">
        <f t="shared" ca="1" si="14"/>
        <v>5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70">
        <v>1</v>
      </c>
    </row>
    <row r="19" spans="1:42" ht="21" customHeight="1" x14ac:dyDescent="0.15">
      <c r="A19" s="16" t="str">
        <f t="shared" si="10"/>
        <v>47003_2-3/1196&lt;lv60&gt;s3</v>
      </c>
      <c r="B19" s="106">
        <v>47003</v>
      </c>
      <c r="C19" s="107">
        <v>2</v>
      </c>
      <c r="D19" s="107" t="str">
        <f t="shared" si="11"/>
        <v>47003_2</v>
      </c>
      <c r="E19" s="108" t="str">
        <f ca="1">VLOOKUP($B19,OFFSET([2]quests!$A$1,0,0,COUNTA([2]quests!$A:$A),MATCH(E$1,[2]quests!$1:$1,0)-MATCH($B$1,[2]quests!$1:$1,0)+1),MATCH(E$1,[2]quests!$1:$1,0)-MATCH($B$1,[2]quests!$1:$1,0)+1,FALSE)</f>
        <v>ハロウィンナイトパニック！</v>
      </c>
      <c r="F19" s="108" t="str">
        <f ca="1">VLOOKUP($D19,OFFSET([2]stages!$A$1,0,0,COUNTA([2]stages!$A:$A),MATCH(F$1,[2]stages!$2:$2,0)-MATCH($D$1,[2]stages!$2:$2,0)+1),MATCH(F$1,[2]stages!$2:$2,0)-MATCH($D$1,[2]stages!$2:$2,0)+1,FALSE)</f>
        <v>【超級】ハロウィンナイトパニック！</v>
      </c>
      <c r="G19" s="107">
        <v>3</v>
      </c>
      <c r="H19" s="109" t="str">
        <f t="shared" si="12"/>
        <v>47003_2-3</v>
      </c>
      <c r="I19" s="108">
        <f ca="1">VLOOKUP($H19,OFFSET(floors!$A$1,0,0,COUNTA(floors!$A:$A),MATCH(I$1,floors!$1:$1,0)-MATCH($H$1,floors!$1:$1,0)+1),MATCH(I$1,floors!$1:$1,0)-MATCH($H$1,floors!$1:$1,0)+1,FALSE)</f>
        <v>60</v>
      </c>
      <c r="J19" s="108">
        <f ca="1">VLOOKUP($H19,OFFSET(floors!$A$1,0,0,COUNTA(floors!$A:$A),MATCH(J$1,floors!$1:$1,0)-MATCH($H$1,floors!$1:$1,0)+1),MATCH(J$1,floors!$1:$1,0)-MATCH($H$1,floors!$1:$1,0)+1,FALSE)</f>
        <v>60</v>
      </c>
      <c r="K19" s="110" t="s">
        <v>253</v>
      </c>
      <c r="L19" s="107">
        <v>1196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華装の闇鋏 ラプンツェル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PremiumSS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7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60</v>
      </c>
      <c r="S19" s="112">
        <v>1.4</v>
      </c>
      <c r="T19" s="104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140340.19999999998</v>
      </c>
      <c r="U19" s="112">
        <v>0.6</v>
      </c>
      <c r="V19" s="104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3909.6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ならば、私も負けずに輝きます！</v>
      </c>
      <c r="Y19" s="111">
        <v>47003300</v>
      </c>
      <c r="Z19" s="6">
        <v>0</v>
      </c>
      <c r="AA19" s="6">
        <v>20</v>
      </c>
      <c r="AB19" s="6">
        <v>0</v>
      </c>
      <c r="AC19" s="17">
        <v>3</v>
      </c>
      <c r="AD19" s="24">
        <f t="shared" si="13"/>
        <v>1196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華装の闇鋏 ラプンツェル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6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9" s="7">
        <v>1</v>
      </c>
      <c r="AI19" s="24">
        <f t="shared" ca="1" si="14"/>
        <v>6</v>
      </c>
      <c r="AJ19" s="8">
        <v>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70">
        <v>1</v>
      </c>
    </row>
    <row r="20" spans="1:42" ht="21" customHeight="1" x14ac:dyDescent="0.15">
      <c r="A20" s="16" t="str">
        <f t="shared" si="10"/>
        <v>47003_2-3/1193&lt;lv60&gt;s3</v>
      </c>
      <c r="B20" s="106">
        <v>47003</v>
      </c>
      <c r="C20" s="107">
        <v>2</v>
      </c>
      <c r="D20" s="107" t="str">
        <f t="shared" si="11"/>
        <v>47003_2</v>
      </c>
      <c r="E20" s="108" t="str">
        <f ca="1">VLOOKUP($B20,OFFSET([2]quests!$A$1,0,0,COUNTA([2]quests!$A:$A),MATCH(E$1,[2]quests!$1:$1,0)-MATCH($B$1,[2]quests!$1:$1,0)+1),MATCH(E$1,[2]quests!$1:$1,0)-MATCH($B$1,[2]quests!$1:$1,0)+1,FALSE)</f>
        <v>ハロウィンナイトパニック！</v>
      </c>
      <c r="F20" s="108" t="str">
        <f ca="1">VLOOKUP($D20,OFFSET([2]stages!$A$1,0,0,COUNTA([2]stages!$A:$A),MATCH(F$1,[2]stages!$2:$2,0)-MATCH($D$1,[2]stages!$2:$2,0)+1),MATCH(F$1,[2]stages!$2:$2,0)-MATCH($D$1,[2]stages!$2:$2,0)+1,FALSE)</f>
        <v>【超級】ハロウィンナイトパニック！</v>
      </c>
      <c r="G20" s="107">
        <v>3</v>
      </c>
      <c r="H20" s="109" t="str">
        <f t="shared" si="12"/>
        <v>47003_2-3</v>
      </c>
      <c r="I20" s="108">
        <f ca="1">VLOOKUP($H20,OFFSET(floors!$A$1,0,0,COUNTA(floors!$A:$A),MATCH(I$1,floors!$1:$1,0)-MATCH($H$1,floors!$1:$1,0)+1),MATCH(I$1,floors!$1:$1,0)-MATCH($H$1,floors!$1:$1,0)+1,FALSE)</f>
        <v>60</v>
      </c>
      <c r="J20" s="108">
        <f ca="1">VLOOKUP($H20,OFFSET(floors!$A$1,0,0,COUNTA(floors!$A:$A),MATCH(J$1,floors!$1:$1,0)-MATCH($H$1,floors!$1:$1,0)+1),MATCH(J$1,floors!$1:$1,0)-MATCH($H$1,floors!$1:$1,0)+1,FALSE)</f>
        <v>60</v>
      </c>
      <c r="K20" s="110" t="s">
        <v>253</v>
      </c>
      <c r="L20" s="107">
        <v>1193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血飢なる夜想卿 ランスロット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PremiumSS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human</v>
      </c>
      <c r="Q20" s="17">
        <f ca="1">VLOOKUP($L20,OFFSET([3]enemies!$A$1,0,0,COUNTA([3]enemies!$A:$A),MATCH(Q$1,[3]enemies!$1:$1,0)-MATCH($L$1,[3]enemies!$1:$1,0)+1),MATCH(Q$1,[3]enemies!$1:$1,0)-MATCH($L$1,[3]enemies!$1:$1,0)+1,FALSE)</f>
        <v>60</v>
      </c>
      <c r="R20" s="5">
        <v>60</v>
      </c>
      <c r="S20" s="112">
        <v>1.6</v>
      </c>
      <c r="T20" s="104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157243.20000000001</v>
      </c>
      <c r="U20" s="112">
        <v>0.5</v>
      </c>
      <c r="V20" s="104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4510</v>
      </c>
      <c r="W20" s="5">
        <v>0</v>
      </c>
      <c r="X20" s="4" t="str">
        <f ca="1">VLOOKUP($Y20,OFFSET(enemy_skill_sets!$B$1,0,0,COUNTA(enemy_skill_sets!$B:$B),MATCH(M$1,enemy_skill_sets!$1:$1,0)-MATCH($Y$1,enemy_skill_sets!$1:$1,0)+2),MATCH(M$1,enemy_skill_sets!$1:$1,0)-MATCH($Y$1,enemy_skill_sets!$1:$1,0)+2,FALSE)</f>
        <v>お菓子盗んだ犯人！？　お、俺じゃないぞ！</v>
      </c>
      <c r="Y20" s="111">
        <v>47003320</v>
      </c>
      <c r="Z20" s="6">
        <v>0</v>
      </c>
      <c r="AA20" s="6">
        <v>80</v>
      </c>
      <c r="AB20" s="6">
        <v>0</v>
      </c>
      <c r="AC20" s="17">
        <v>3</v>
      </c>
      <c r="AD20" s="24">
        <f t="shared" si="13"/>
        <v>1193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血飢なる夜想卿 ランスロット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6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20" s="7">
        <v>1</v>
      </c>
      <c r="AI20" s="24">
        <f t="shared" ca="1" si="14"/>
        <v>6</v>
      </c>
      <c r="AJ20" s="8">
        <v>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70">
        <v>1</v>
      </c>
    </row>
    <row r="21" spans="1:42" ht="21" customHeight="1" x14ac:dyDescent="0.15">
      <c r="A21" s="16" t="str">
        <f ca="1">B21&amp;"_"&amp;C21&amp;"-"&amp;G21&amp;"/"&amp;L21&amp;"&lt;lv"&amp;R21&amp;"&gt;s"&amp;AC21</f>
        <v>47003_2-4/1191&lt;lv60&gt;s3</v>
      </c>
      <c r="B21" s="106">
        <v>47003</v>
      </c>
      <c r="C21" s="107">
        <v>2</v>
      </c>
      <c r="D21" s="107" t="str">
        <f>B21&amp;"_"&amp;C21</f>
        <v>47003_2</v>
      </c>
      <c r="E21" s="108" t="str">
        <f ca="1">VLOOKUP($B21,OFFSET([2]quests!$A$1,0,0,COUNTA([2]quests!$A:$A),MATCH(E$1,[2]quests!$1:$1,0)-MATCH($B$1,[2]quests!$1:$1,0)+1),MATCH(E$1,[2]quests!$1:$1,0)-MATCH($B$1,[2]quests!$1:$1,0)+1,FALSE)</f>
        <v>ハロウィンナイトパニック！</v>
      </c>
      <c r="F21" s="108" t="str">
        <f ca="1">VLOOKUP($D21,OFFSET([2]stages!$A$1,0,0,COUNTA([2]stages!$A:$A),MATCH(F$1,[2]stages!$2:$2,0)-MATCH($D$1,[2]stages!$2:$2,0)+1),MATCH(F$1,[2]stages!$2:$2,0)-MATCH($D$1,[2]stages!$2:$2,0)+1,FALSE)</f>
        <v>【超級】ハロウィンナイトパニック！</v>
      </c>
      <c r="G21" s="107">
        <v>4</v>
      </c>
      <c r="H21" s="109" t="str">
        <f>B21&amp;"_"&amp;C21&amp;"-"&amp;G21</f>
        <v>47003_2-4</v>
      </c>
      <c r="I21" s="108">
        <f ca="1">VLOOKUP($H21,OFFSET(floors!$A$1,0,0,COUNTA(floors!$A:$A),MATCH(I$1,floors!$1:$1,0)-MATCH($H$1,floors!$1:$1,0)+1),MATCH(I$1,floors!$1:$1,0)-MATCH($H$1,floors!$1:$1,0)+1,FALSE)</f>
        <v>60</v>
      </c>
      <c r="J21" s="108">
        <f ca="1">VLOOKUP($H21,OFFSET(floors!$A$1,0,0,COUNTA(floors!$A:$A),MATCH(J$1,floors!$1:$1,0)-MATCH($H$1,floors!$1:$1,0)+1),MATCH(J$1,floors!$1:$1,0)-MATCH($H$1,floors!$1:$1,0)+1,FALSE)</f>
        <v>60</v>
      </c>
      <c r="K21" s="110">
        <v>1</v>
      </c>
      <c r="L21" s="107">
        <v>1191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ドルチェ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DropWizS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7">
        <f ca="1">VLOOKUP($L21,OFFSET([3]enemies!$A$1,0,0,COUNTA([3]enemies!$A:$A),MATCH(Q$1,[3]enemies!$1:$1,0)-MATCH($L$1,[3]enemies!$1:$1,0)+1),MATCH(Q$1,[3]enemies!$1:$1,0)-MATCH($L$1,[3]enemies!$1:$1,0)+1,FALSE)</f>
        <v>60</v>
      </c>
      <c r="R21" s="5">
        <v>60</v>
      </c>
      <c r="S21" s="112">
        <v>1.3</v>
      </c>
      <c r="T21" s="104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119876.90000000001</v>
      </c>
      <c r="U21" s="112">
        <v>0.8</v>
      </c>
      <c r="V21" s="104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4884</v>
      </c>
      <c r="W21" s="5">
        <v>0</v>
      </c>
      <c r="X21" s="4" t="str">
        <f ca="1">VLOOKUP($Y21,OFFSET(enemy_skill_sets!$B$1,0,0,COUNTA(enemy_skill_sets!$B:$B),MATCH(M$1,enemy_skill_sets!$1:$1,0)-MATCH($Y$1,enemy_skill_sets!$1:$1,0)+2),MATCH(M$1,enemy_skill_sets!$1:$1,0)-MATCH($Y$1,enemy_skill_sets!$1:$1,0)+2,FALSE)</f>
        <v>種族デーモン以外に2ターン暗闇</v>
      </c>
      <c r="Y21" s="111">
        <v>47003340</v>
      </c>
      <c r="Z21" s="6">
        <v>0</v>
      </c>
      <c r="AA21" s="6">
        <v>100</v>
      </c>
      <c r="AB21" s="6">
        <v>1</v>
      </c>
      <c r="AC21" s="17">
        <f ca="1">VLOOKUP($L21,OFFSET([3]enemies!$A$1,0,0,COUNTA([3]enemies!$A:$A),MATCH(AC$1,[3]enemies!$1:$1,0)-MATCH($L$1,[3]enemies!$1:$1,0)+1),MATCH(AC$1,[3]enemies!$1:$1,0)-MATCH($L$1,[3]enemies!$1:$1,0)+1,FALSE)</f>
        <v>3</v>
      </c>
      <c r="AD21" s="24">
        <f>L21</f>
        <v>1191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ドルチェ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5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1" s="7">
        <v>1</v>
      </c>
      <c r="AI21" s="24">
        <f ca="1">AF21</f>
        <v>5</v>
      </c>
      <c r="AJ21" s="147">
        <v>0</v>
      </c>
      <c r="AK21" s="7">
        <v>0</v>
      </c>
      <c r="AL21" s="7">
        <v>0</v>
      </c>
      <c r="AM21" s="7">
        <v>0</v>
      </c>
      <c r="AN21" s="7">
        <v>0</v>
      </c>
      <c r="AO21" s="7">
        <v>1</v>
      </c>
      <c r="AP21" s="70">
        <v>1</v>
      </c>
    </row>
    <row r="22" spans="1:42" ht="21" customHeight="1" x14ac:dyDescent="0.15">
      <c r="A22" s="16" t="str">
        <f>B22&amp;"_"&amp;C22&amp;"-"&amp;G22&amp;"/"&amp;L22&amp;"&lt;lv"&amp;R22&amp;"&gt;s"&amp;AC22</f>
        <v>47003_3-1/1187&lt;lv80&gt;s2</v>
      </c>
      <c r="B22" s="113">
        <v>47003</v>
      </c>
      <c r="C22" s="114">
        <v>3</v>
      </c>
      <c r="D22" s="114" t="str">
        <f>B22&amp;"_"&amp;C22</f>
        <v>47003_3</v>
      </c>
      <c r="E22" s="62" t="str">
        <f ca="1">VLOOKUP($B22,OFFSET([2]quests!$A$1,0,0,COUNTA([2]quests!$A:$A),MATCH(E$1,[2]quests!$1:$1,0)-MATCH($B$1,[2]quests!$1:$1,0)+1),MATCH(E$1,[2]quests!$1:$1,0)-MATCH($B$1,[2]quests!$1:$1,0)+1,FALSE)</f>
        <v>ハロウィンナイトパニック！</v>
      </c>
      <c r="F22" s="62" t="str">
        <f ca="1">VLOOKUP($D22,OFFSET([2]stages!$A$1,0,0,COUNTA([2]stages!$A:$A),MATCH(F$1,[2]stages!$2:$2,0)-MATCH($D$1,[2]stages!$2:$2,0)+1),MATCH(F$1,[2]stages!$2:$2,0)-MATCH($D$1,[2]stages!$2:$2,0)+1,FALSE)</f>
        <v>【超絶】ハロウィンナイトパニック！</v>
      </c>
      <c r="G22" s="114">
        <v>1</v>
      </c>
      <c r="H22" s="115" t="str">
        <f>B22&amp;"_"&amp;C22&amp;"-"&amp;G22</f>
        <v>47003_3-1</v>
      </c>
      <c r="I22" s="62">
        <f ca="1">VLOOKUP($H22,OFFSET(floors!$A$1,0,0,COUNTA(floors!$A:$A),MATCH(I$1,floors!$1:$1,0)-MATCH($H$1,floors!$1:$1,0)+1),MATCH(I$1,floors!$1:$1,0)-MATCH($H$1,floors!$1:$1,0)+1,FALSE)</f>
        <v>60</v>
      </c>
      <c r="J22" s="62">
        <f ca="1">VLOOKUP($H22,OFFSET(floors!$A$1,0,0,COUNTA(floors!$A:$A),MATCH(J$1,floors!$1:$1,0)-MATCH($H$1,floors!$1:$1,0)+1),MATCH(J$1,floors!$1:$1,0)-MATCH($H$1,floors!$1:$1,0)+1,FALSE)</f>
        <v>60</v>
      </c>
      <c r="K22" s="38" t="s">
        <v>253</v>
      </c>
      <c r="L22" s="114">
        <v>1187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ハッピーハロウィン ポチ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Drop1T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80</v>
      </c>
      <c r="S22" s="116">
        <v>0.6</v>
      </c>
      <c r="T22" s="104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48900</v>
      </c>
      <c r="U22" s="116">
        <v>0.2</v>
      </c>
      <c r="V22" s="104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1724.8000000000002</v>
      </c>
      <c r="W22" s="5">
        <v>0</v>
      </c>
      <c r="X22" s="4" t="str">
        <f ca="1">VLOOKUP($Y22,OFFSET(enemy_skill_sets!$B$1,0,0,COUNTA(enemy_skill_sets!$B:$B),MATCH(M$1,enemy_skill_sets!$1:$1,0)-MATCH($Y$1,enemy_skill_sets!$1:$1,0)+2),MATCH(M$1,enemy_skill_sets!$1:$1,0)-MATCH($Y$1,enemy_skill_sets!$1:$1,0)+2,FALSE)</f>
        <v>種族デーモンの攻撃力大UP</v>
      </c>
      <c r="Y22" s="62">
        <v>47003400</v>
      </c>
      <c r="Z22" s="6">
        <v>1</v>
      </c>
      <c r="AA22" s="6">
        <v>100</v>
      </c>
      <c r="AB22" s="6">
        <v>1</v>
      </c>
      <c r="AC22" s="17">
        <v>2</v>
      </c>
      <c r="AD22" s="24">
        <f>L22</f>
        <v>1187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ハッピーハロウィン ポチ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1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2" s="7">
        <v>1</v>
      </c>
      <c r="AI22" s="24">
        <f ca="1">AF22</f>
        <v>1</v>
      </c>
      <c r="AJ22" s="8">
        <v>20</v>
      </c>
      <c r="AK22" s="7">
        <v>0</v>
      </c>
      <c r="AL22" s="7">
        <v>0</v>
      </c>
      <c r="AM22" s="7">
        <v>0</v>
      </c>
      <c r="AN22" s="7">
        <v>0</v>
      </c>
      <c r="AO22" s="7">
        <v>1</v>
      </c>
      <c r="AP22" s="70">
        <v>1</v>
      </c>
    </row>
    <row r="23" spans="1:42" ht="21" customHeight="1" x14ac:dyDescent="0.15">
      <c r="A23" s="16" t="str">
        <f t="shared" ref="A23:A30" si="20">B23&amp;"_"&amp;C23&amp;"-"&amp;G23&amp;"/"&amp;L23&amp;"&lt;lv"&amp;R23&amp;"&gt;s"&amp;AC23</f>
        <v>47003_3-1/1189&lt;lv80&gt;s2</v>
      </c>
      <c r="B23" s="113">
        <v>47003</v>
      </c>
      <c r="C23" s="114">
        <v>3</v>
      </c>
      <c r="D23" s="114" t="str">
        <f t="shared" ref="D23:D30" si="21">B23&amp;"_"&amp;C23</f>
        <v>47003_3</v>
      </c>
      <c r="E23" s="62" t="str">
        <f ca="1">VLOOKUP($B23,OFFSET([2]quests!$A$1,0,0,COUNTA([2]quests!$A:$A),MATCH(E$1,[2]quests!$1:$1,0)-MATCH($B$1,[2]quests!$1:$1,0)+1),MATCH(E$1,[2]quests!$1:$1,0)-MATCH($B$1,[2]quests!$1:$1,0)+1,FALSE)</f>
        <v>ハロウィンナイトパニック！</v>
      </c>
      <c r="F23" s="62" t="str">
        <f ca="1">VLOOKUP($D23,OFFSET([2]stages!$A$1,0,0,COUNTA([2]stages!$A:$A),MATCH(F$1,[2]stages!$2:$2,0)-MATCH($D$1,[2]stages!$2:$2,0)+1),MATCH(F$1,[2]stages!$2:$2,0)-MATCH($D$1,[2]stages!$2:$2,0)+1,FALSE)</f>
        <v>【超絶】ハロウィンナイトパニック！</v>
      </c>
      <c r="G23" s="114">
        <v>1</v>
      </c>
      <c r="H23" s="115" t="str">
        <f t="shared" ref="H23:H30" si="22">B23&amp;"_"&amp;C23&amp;"-"&amp;G23</f>
        <v>47003_3-1</v>
      </c>
      <c r="I23" s="62">
        <f ca="1">VLOOKUP($H23,OFFSET(floors!$A$1,0,0,COUNTA(floors!$A:$A),MATCH(I$1,floors!$1:$1,0)-MATCH($H$1,floors!$1:$1,0)+1),MATCH(I$1,floors!$1:$1,0)-MATCH($H$1,floors!$1:$1,0)+1,FALSE)</f>
        <v>60</v>
      </c>
      <c r="J23" s="62">
        <f ca="1">VLOOKUP($H23,OFFSET(floors!$A$1,0,0,COUNTA(floors!$A:$A),MATCH(J$1,floors!$1:$1,0)-MATCH($H$1,floors!$1:$1,0)+1),MATCH(J$1,floors!$1:$1,0)-MATCH($H$1,floors!$1:$1,0)+1,FALSE)</f>
        <v>60</v>
      </c>
      <c r="K23" s="38" t="s">
        <v>253</v>
      </c>
      <c r="L23" s="114">
        <v>1189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ハッピーハロウィン ジェリー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blue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Drop1T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80</v>
      </c>
      <c r="S23" s="116">
        <v>0.6</v>
      </c>
      <c r="T23" s="104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39120</v>
      </c>
      <c r="U23" s="116">
        <v>0.3</v>
      </c>
      <c r="V23" s="104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1457.7</v>
      </c>
      <c r="W23" s="5">
        <v>0</v>
      </c>
      <c r="X23" s="4" t="str">
        <f ca="1">VLOOKUP($Y23,OFFSET(enemy_skill_sets!$B$1,0,0,COUNTA(enemy_skill_sets!$B:$B),MATCH(M$1,enemy_skill_sets!$1:$1,0)-MATCH($Y$1,enemy_skill_sets!$1:$1,0)+2),MATCH(M$1,enemy_skill_sets!$1:$1,0)-MATCH($Y$1,enemy_skill_sets!$1:$1,0)+2,FALSE)</f>
        <v>種族デーモンのCパネル生成短縮</v>
      </c>
      <c r="Y23" s="62">
        <v>47003410</v>
      </c>
      <c r="Z23" s="6">
        <v>1</v>
      </c>
      <c r="AA23" s="6">
        <v>100</v>
      </c>
      <c r="AB23" s="6">
        <v>0</v>
      </c>
      <c r="AC23" s="17">
        <v>2</v>
      </c>
      <c r="AD23" s="24">
        <f t="shared" ref="AD23:AD30" si="23">L23</f>
        <v>1189</v>
      </c>
      <c r="AE23" s="4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ハッピーハロウィン ジェリー</v>
      </c>
      <c r="AF23" s="4">
        <f ca="1">VLOOKUP($AD23,OFFSET([4]characters!$A$1,0,0,COUNTA([4]characters!$A:$A),MATCH(AF$1,[4]characters!$1:$1,0)-MATCH("character_id",[4]characters!$1:$1,0)+1),MATCH(AF$1,[4]characters!$1:$1,0)-MATCH("character_id",[4]characters!$1:$1,0)+1,FALSE)</f>
        <v>1</v>
      </c>
      <c r="AG23" s="4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Drop1T</v>
      </c>
      <c r="AH23" s="7">
        <v>1</v>
      </c>
      <c r="AI23" s="24">
        <f t="shared" ref="AI23:AI30" ca="1" si="24">AF23</f>
        <v>1</v>
      </c>
      <c r="AJ23" s="8">
        <v>20</v>
      </c>
      <c r="AK23" s="7">
        <v>0</v>
      </c>
      <c r="AL23" s="7">
        <v>0</v>
      </c>
      <c r="AM23" s="7">
        <v>0</v>
      </c>
      <c r="AN23" s="7">
        <v>0</v>
      </c>
      <c r="AO23" s="7">
        <v>1</v>
      </c>
      <c r="AP23" s="70">
        <v>1</v>
      </c>
    </row>
    <row r="24" spans="1:42" ht="21" customHeight="1" x14ac:dyDescent="0.15">
      <c r="A24" s="16" t="str">
        <f t="shared" si="20"/>
        <v>47003_3-1/1190&lt;lv80&gt;s2</v>
      </c>
      <c r="B24" s="113">
        <v>47003</v>
      </c>
      <c r="C24" s="114">
        <v>3</v>
      </c>
      <c r="D24" s="114" t="str">
        <f t="shared" si="21"/>
        <v>47003_3</v>
      </c>
      <c r="E24" s="62" t="str">
        <f ca="1">VLOOKUP($B24,OFFSET([2]quests!$A$1,0,0,COUNTA([2]quests!$A:$A),MATCH(E$1,[2]quests!$1:$1,0)-MATCH($B$1,[2]quests!$1:$1,0)+1),MATCH(E$1,[2]quests!$1:$1,0)-MATCH($B$1,[2]quests!$1:$1,0)+1,FALSE)</f>
        <v>ハロウィンナイトパニック！</v>
      </c>
      <c r="F24" s="62" t="str">
        <f ca="1">VLOOKUP($D24,OFFSET([2]stages!$A$1,0,0,COUNTA([2]stages!$A:$A),MATCH(F$1,[2]stages!$2:$2,0)-MATCH($D$1,[2]stages!$2:$2,0)+1),MATCH(F$1,[2]stages!$2:$2,0)-MATCH($D$1,[2]stages!$2:$2,0)+1,FALSE)</f>
        <v>【超絶】ハロウィンナイトパニック！</v>
      </c>
      <c r="G24" s="114">
        <v>1</v>
      </c>
      <c r="H24" s="115" t="str">
        <f t="shared" si="22"/>
        <v>47003_3-1</v>
      </c>
      <c r="I24" s="62">
        <f ca="1">VLOOKUP($H24,OFFSET(floors!$A$1,0,0,COUNTA(floors!$A:$A),MATCH(I$1,floors!$1:$1,0)-MATCH($H$1,floors!$1:$1,0)+1),MATCH(I$1,floors!$1:$1,0)-MATCH($H$1,floors!$1:$1,0)+1,FALSE)</f>
        <v>60</v>
      </c>
      <c r="J24" s="62">
        <f ca="1">VLOOKUP($H24,OFFSET(floors!$A$1,0,0,COUNTA(floors!$A:$A),MATCH(J$1,floors!$1:$1,0)-MATCH($H$1,floors!$1:$1,0)+1),MATCH(J$1,floors!$1:$1,0)-MATCH($H$1,floors!$1:$1,0)+1,FALSE)</f>
        <v>60</v>
      </c>
      <c r="K24" s="38" t="s">
        <v>253</v>
      </c>
      <c r="L24" s="114">
        <v>1190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ハッピーハロウィン エレキポット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Drop1T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80</v>
      </c>
      <c r="S24" s="116">
        <v>0.6</v>
      </c>
      <c r="T24" s="104">
        <f ca="1">ROUND(VLOOKUP(R24,[3]enemy_base_stats!$A:$F,2,FALSE)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INDIRECT("[EnemyMasterData.xlsm]enemies!AD"&amp;(L24+1))*[4]ステータス!$B$2,0)*S24</f>
        <v>47922</v>
      </c>
      <c r="U24" s="116">
        <v>0.3</v>
      </c>
      <c r="V24" s="104">
        <f ca="1">ROUND(VLOOKUP(R24,[3]enemy_base_stats!$A:$F,3,FALSE)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INDIRECT("[EnemyMasterData.xlsm]enemies!AE"&amp;(L24+1))*[4]ステータス!$C$2,0)*U24</f>
        <v>2561.6999999999998</v>
      </c>
      <c r="W24" s="5">
        <v>0</v>
      </c>
      <c r="X24" s="4" t="str">
        <f ca="1">VLOOKUP($Y24,OFFSET(enemy_skill_sets!$B$1,0,0,COUNTA(enemy_skill_sets!$B:$B),MATCH(M$1,enemy_skill_sets!$1:$1,0)-MATCH($Y$1,enemy_skill_sets!$1:$1,0)+2),MATCH(M$1,enemy_skill_sets!$1:$1,0)-MATCH($Y$1,enemy_skill_sets!$1:$1,0)+2,FALSE)</f>
        <v>種族デーモンのボムの爆風を15%UP</v>
      </c>
      <c r="Y24" s="62">
        <v>47003420</v>
      </c>
      <c r="Z24" s="6">
        <v>1</v>
      </c>
      <c r="AA24" s="6">
        <v>100</v>
      </c>
      <c r="AB24" s="6">
        <v>0</v>
      </c>
      <c r="AC24" s="17">
        <v>2</v>
      </c>
      <c r="AD24" s="24">
        <f t="shared" si="23"/>
        <v>1190</v>
      </c>
      <c r="AE24" s="4" t="str">
        <f ca="1">VLOOKUP($AD24,OFFSET([4]characters!$A$1,0,0,COUNTA([4]characters!$A:$A),MATCH(AE$1,[4]characters!$1:$1,0)-MATCH("character_id",[4]characters!$1:$1,0)+1),MATCH(AE$1,[4]characters!$1:$1,0)-MATCH("character_id",[4]characters!$1:$1,0)+1,FALSE)</f>
        <v>ハッピーハロウィン エレキポット</v>
      </c>
      <c r="AF24" s="4">
        <f ca="1">VLOOKUP($AD24,OFFSET([4]characters!$A$1,0,0,COUNTA([4]characters!$A:$A),MATCH(AF$1,[4]characters!$1:$1,0)-MATCH("character_id",[4]characters!$1:$1,0)+1),MATCH(AF$1,[4]characters!$1:$1,0)-MATCH("character_id",[4]characters!$1:$1,0)+1,FALSE)</f>
        <v>1</v>
      </c>
      <c r="AG24" s="4" t="str">
        <f ca="1">VLOOKUP($AD24,OFFSET([4]characters!$A$1,0,0,COUNTA([4]characters!$A:$A),MATCH(AG$1,[4]characters!$1:$1,0)-MATCH("character_id",[4]characters!$1:$1,0)+1),MATCH(AG$1,[4]characters!$1:$1,0)-MATCH("character_id",[4]characters!$1:$1,0)+1,FALSE)</f>
        <v>Drop1T</v>
      </c>
      <c r="AH24" s="7">
        <v>1</v>
      </c>
      <c r="AI24" s="24">
        <f t="shared" ca="1" si="24"/>
        <v>1</v>
      </c>
      <c r="AJ24" s="8">
        <v>20</v>
      </c>
      <c r="AK24" s="7">
        <v>0</v>
      </c>
      <c r="AL24" s="7">
        <v>0</v>
      </c>
      <c r="AM24" s="7">
        <v>0</v>
      </c>
      <c r="AN24" s="7">
        <v>0</v>
      </c>
      <c r="AO24" s="7">
        <v>1</v>
      </c>
      <c r="AP24" s="70">
        <v>1</v>
      </c>
    </row>
    <row r="25" spans="1:42" ht="21" customHeight="1" x14ac:dyDescent="0.15">
      <c r="A25" s="16" t="str">
        <f t="shared" si="20"/>
        <v>47003_3-1/1188&lt;lv80&gt;s3</v>
      </c>
      <c r="B25" s="113">
        <v>47003</v>
      </c>
      <c r="C25" s="114">
        <v>3</v>
      </c>
      <c r="D25" s="114" t="str">
        <f t="shared" si="21"/>
        <v>47003_3</v>
      </c>
      <c r="E25" s="62" t="str">
        <f ca="1">VLOOKUP($B25,OFFSET([2]quests!$A$1,0,0,COUNTA([2]quests!$A:$A),MATCH(E$1,[2]quests!$1:$1,0)-MATCH($B$1,[2]quests!$1:$1,0)+1),MATCH(E$1,[2]quests!$1:$1,0)-MATCH($B$1,[2]quests!$1:$1,0)+1,FALSE)</f>
        <v>ハロウィンナイトパニック！</v>
      </c>
      <c r="F25" s="62" t="str">
        <f ca="1">VLOOKUP($D25,OFFSET([2]stages!$A$1,0,0,COUNTA([2]stages!$A:$A),MATCH(F$1,[2]stages!$2:$2,0)-MATCH($D$1,[2]stages!$2:$2,0)+1),MATCH(F$1,[2]stages!$2:$2,0)-MATCH($D$1,[2]stages!$2:$2,0)+1,FALSE)</f>
        <v>【超絶】ハロウィンナイトパニック！</v>
      </c>
      <c r="G25" s="114">
        <v>1</v>
      </c>
      <c r="H25" s="115" t="str">
        <f t="shared" si="22"/>
        <v>47003_3-1</v>
      </c>
      <c r="I25" s="62">
        <f ca="1">VLOOKUP($H25,OFFSET(floors!$A$1,0,0,COUNTA(floors!$A:$A),MATCH(I$1,floors!$1:$1,0)-MATCH($H$1,floors!$1:$1,0)+1),MATCH(I$1,floors!$1:$1,0)-MATCH($H$1,floors!$1:$1,0)+1,FALSE)</f>
        <v>60</v>
      </c>
      <c r="J25" s="62">
        <f ca="1">VLOOKUP($H25,OFFSET(floors!$A$1,0,0,COUNTA(floors!$A:$A),MATCH(J$1,floors!$1:$1,0)-MATCH($H$1,floors!$1:$1,0)+1),MATCH(J$1,floors!$1:$1,0)-MATCH($H$1,floors!$1:$1,0)+1,FALSE)</f>
        <v>60</v>
      </c>
      <c r="K25" s="38" t="s">
        <v>253</v>
      </c>
      <c r="L25" s="114">
        <v>1188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ハッピーハロウィン ジョー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green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Drop1T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80</v>
      </c>
      <c r="S25" s="116">
        <v>0.5</v>
      </c>
      <c r="T25" s="104">
        <f ca="1">ROUND(VLOOKUP(R25,[3]enemy_base_stats!$A:$F,2,FALSE)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INDIRECT("[EnemyMasterData.xlsm]enemies!AD"&amp;(L25+1))*[4]ステータス!$B$2,0)*S25</f>
        <v>41565</v>
      </c>
      <c r="U25" s="116">
        <v>0.3</v>
      </c>
      <c r="V25" s="104">
        <f ca="1">ROUND(VLOOKUP(R25,[3]enemy_base_stats!$A:$F,3,FALSE)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INDIRECT("[EnemyMasterData.xlsm]enemies!AE"&amp;(L25+1))*[4]ステータス!$C$2,0)*U25</f>
        <v>1869</v>
      </c>
      <c r="W25" s="5">
        <v>0</v>
      </c>
      <c r="X25" s="4" t="str">
        <f ca="1">VLOOKUP($Y25,OFFSET(enemy_skill_sets!$B$1,0,0,COUNTA(enemy_skill_sets!$B:$B),MATCH(M$1,enemy_skill_sets!$1:$1,0)-MATCH($Y$1,enemy_skill_sets!$1:$1,0)+2),MATCH(M$1,enemy_skill_sets!$1:$1,0)-MATCH($Y$1,enemy_skill_sets!$1:$1,0)+2,FALSE)</f>
        <v>種族デーモンのスキルゲージを6ターン減少</v>
      </c>
      <c r="Y25" s="62">
        <v>47003430</v>
      </c>
      <c r="Z25" s="6">
        <v>1</v>
      </c>
      <c r="AA25" s="6">
        <v>100</v>
      </c>
      <c r="AB25" s="6">
        <v>1</v>
      </c>
      <c r="AC25" s="17">
        <v>3</v>
      </c>
      <c r="AD25" s="24">
        <f t="shared" si="23"/>
        <v>1188</v>
      </c>
      <c r="AE25" s="4" t="str">
        <f ca="1">VLOOKUP($AD25,OFFSET([4]characters!$A$1,0,0,COUNTA([4]characters!$A:$A),MATCH(AE$1,[4]characters!$1:$1,0)-MATCH("character_id",[4]characters!$1:$1,0)+1),MATCH(AE$1,[4]characters!$1:$1,0)-MATCH("character_id",[4]characters!$1:$1,0)+1,FALSE)</f>
        <v>ハッピーハロウィン ジョー</v>
      </c>
      <c r="AF25" s="4">
        <f ca="1">VLOOKUP($AD25,OFFSET([4]characters!$A$1,0,0,COUNTA([4]characters!$A:$A),MATCH(AF$1,[4]characters!$1:$1,0)-MATCH("character_id",[4]characters!$1:$1,0)+1),MATCH(AF$1,[4]characters!$1:$1,0)-MATCH("character_id",[4]characters!$1:$1,0)+1,FALSE)</f>
        <v>1</v>
      </c>
      <c r="AG25" s="4" t="str">
        <f ca="1">VLOOKUP($AD25,OFFSET([4]characters!$A$1,0,0,COUNTA([4]characters!$A:$A),MATCH(AG$1,[4]characters!$1:$1,0)-MATCH("character_id",[4]characters!$1:$1,0)+1),MATCH(AG$1,[4]characters!$1:$1,0)-MATCH("character_id",[4]characters!$1:$1,0)+1,FALSE)</f>
        <v>Drop1T</v>
      </c>
      <c r="AH25" s="7">
        <v>1</v>
      </c>
      <c r="AI25" s="24">
        <f t="shared" ca="1" si="24"/>
        <v>1</v>
      </c>
      <c r="AJ25" s="8">
        <v>20</v>
      </c>
      <c r="AK25" s="7">
        <v>0</v>
      </c>
      <c r="AL25" s="7">
        <v>0</v>
      </c>
      <c r="AM25" s="7">
        <v>0</v>
      </c>
      <c r="AN25" s="7">
        <v>0</v>
      </c>
      <c r="AO25" s="7">
        <v>1</v>
      </c>
      <c r="AP25" s="70">
        <v>1</v>
      </c>
    </row>
    <row r="26" spans="1:42" ht="21" customHeight="1" x14ac:dyDescent="0.15">
      <c r="A26" s="16" t="str">
        <f t="shared" ref="A26" si="25">B26&amp;"_"&amp;C26&amp;"-"&amp;G26&amp;"/"&amp;L26&amp;"&lt;lv"&amp;R26&amp;"&gt;s"&amp;AC26</f>
        <v>47003_3-2/1199&lt;lv80&gt;s3</v>
      </c>
      <c r="B26" s="113">
        <v>47003</v>
      </c>
      <c r="C26" s="114">
        <v>3</v>
      </c>
      <c r="D26" s="114" t="str">
        <f t="shared" ref="D26" si="26">B26&amp;"_"&amp;C26</f>
        <v>47003_3</v>
      </c>
      <c r="E26" s="62" t="str">
        <f ca="1">VLOOKUP($B26,OFFSET([2]quests!$A$1,0,0,COUNTA([2]quests!$A:$A),MATCH(E$1,[2]quests!$1:$1,0)-MATCH($B$1,[2]quests!$1:$1,0)+1),MATCH(E$1,[2]quests!$1:$1,0)-MATCH($B$1,[2]quests!$1:$1,0)+1,FALSE)</f>
        <v>ハロウィンナイトパニック！</v>
      </c>
      <c r="F26" s="62" t="str">
        <f ca="1">VLOOKUP($D26,OFFSET([2]stages!$A$1,0,0,COUNTA([2]stages!$A:$A),MATCH(F$1,[2]stages!$2:$2,0)-MATCH($D$1,[2]stages!$2:$2,0)+1),MATCH(F$1,[2]stages!$2:$2,0)-MATCH($D$1,[2]stages!$2:$2,0)+1,FALSE)</f>
        <v>【超絶】ハロウィンナイトパニック！</v>
      </c>
      <c r="G26" s="114">
        <v>2</v>
      </c>
      <c r="H26" s="115" t="str">
        <f t="shared" ref="H26" si="27">B26&amp;"_"&amp;C26&amp;"-"&amp;G26</f>
        <v>47003_3-2</v>
      </c>
      <c r="I26" s="62">
        <f ca="1">VLOOKUP($H26,OFFSET(floors!$A$1,0,0,COUNTA(floors!$A:$A),MATCH(I$1,floors!$1:$1,0)-MATCH($H$1,floors!$1:$1,0)+1),MATCH(I$1,floors!$1:$1,0)-MATCH($H$1,floors!$1:$1,0)+1,FALSE)</f>
        <v>60</v>
      </c>
      <c r="J26" s="62">
        <f ca="1">VLOOKUP($H26,OFFSET(floors!$A$1,0,0,COUNTA(floors!$A:$A),MATCH(J$1,floors!$1:$1,0)-MATCH($H$1,floors!$1:$1,0)+1),MATCH(J$1,floors!$1:$1,0)-MATCH($H$1,floors!$1:$1,0)+1,FALSE)</f>
        <v>60</v>
      </c>
      <c r="K26" s="38" t="s">
        <v>88</v>
      </c>
      <c r="L26" s="114">
        <v>1199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看装の巡回者 ケルベロス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yellow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PremiumS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animal</v>
      </c>
      <c r="Q26" s="17">
        <f ca="1">VLOOKUP($L26,OFFSET([3]enemies!$A$1,0,0,COUNTA([3]enemies!$A:$A),MATCH(Q$1,[3]enemies!$1:$1,0)-MATCH($L$1,[3]enemies!$1:$1,0)+1),MATCH(Q$1,[3]enemies!$1:$1,0)-MATCH($L$1,[3]enemies!$1:$1,0)+1,FALSE)</f>
        <v>60</v>
      </c>
      <c r="R26" s="5">
        <v>80</v>
      </c>
      <c r="S26" s="116">
        <v>1.5</v>
      </c>
      <c r="T26" s="104">
        <f ca="1">ROUND(VLOOKUP(R26,[3]enemy_base_stats!$A:$F,2,FALSE) *INDIRECT("[EnemyMasterData.xlsm]enemies!Y"&amp;(L26+1))*  INDIRECT("[EnemyMasterData.xlsm]enemies!J"&amp;(L26+1))* INDIRECT("[EnemyMasterData.xlsm]enemies!O"&amp;(L26+1))* INDIRECT("[EnemyMasterData.xlsm]enemies!E"&amp;(L26+1))* INDIRECT("[EnemyMasterData.xlsm]enemies!S"&amp;(L26+1))* INDIRECT("[EnemyMasterData.xlsm]enemies!AD"&amp;(L26+1))*[4]ステータス!$B$2,0)*S26</f>
        <v>162934.5</v>
      </c>
      <c r="U26" s="116">
        <v>0.6</v>
      </c>
      <c r="V26" s="104">
        <f ca="1">ROUND(VLOOKUP(R26,[3]enemy_base_stats!$A:$F,3,FALSE) *INDIRECT("[EnemyMasterData.xlsm]enemies!Z"&amp;(L26+1))*  INDIRECT("[EnemyMasterData.xlsm]enemies!K"&amp;(L26+1))* INDIRECT("[EnemyMasterData.xlsm]enemies!P"&amp;(L26+1))* INDIRECT("[EnemyMasterData.xlsm]enemies!F"&amp;(L26+1))* INDIRECT("[EnemyMasterData.xlsm]enemies!T"&amp;(L26+1))* INDIRECT("[EnemyMasterData.xlsm]enemies!AE"&amp;(L26+1))*[4]ステータス!$C$2,0)*U26</f>
        <v>4627.2</v>
      </c>
      <c r="W26" s="5">
        <v>0</v>
      </c>
      <c r="X26" s="4" t="str">
        <f ca="1">VLOOKUP($Y26,OFFSET(enemy_skill_sets!$B$1,0,0,COUNTA(enemy_skill_sets!$B:$B),MATCH(M$1,enemy_skill_sets!$1:$1,0)-MATCH($Y$1,enemy_skill_sets!$1:$1,0)+2),MATCH(M$1,enemy_skill_sets!$1:$1,0)-MATCH($Y$1,enemy_skill_sets!$1:$1,0)+2,FALSE)</f>
        <v>…はっ！　いえっ、なんでもないですぅ！</v>
      </c>
      <c r="Y26" s="62">
        <v>47003450</v>
      </c>
      <c r="Z26" s="6">
        <v>0</v>
      </c>
      <c r="AA26" s="6">
        <v>15</v>
      </c>
      <c r="AB26" s="6">
        <v>0</v>
      </c>
      <c r="AC26" s="17">
        <v>3</v>
      </c>
      <c r="AD26" s="24">
        <f t="shared" ref="AD26" si="28">L26</f>
        <v>1199</v>
      </c>
      <c r="AE26" s="4" t="str">
        <f ca="1">VLOOKUP($AD26,OFFSET([4]characters!$A$1,0,0,COUNTA([4]characters!$A:$A),MATCH(AE$1,[4]characters!$1:$1,0)-MATCH("character_id",[4]characters!$1:$1,0)+1),MATCH(AE$1,[4]characters!$1:$1,0)-MATCH("character_id",[4]characters!$1:$1,0)+1,FALSE)</f>
        <v>看装の巡回者 ケルベロス</v>
      </c>
      <c r="AF26" s="4">
        <f ca="1">VLOOKUP($AD26,OFFSET([4]characters!$A$1,0,0,COUNTA([4]characters!$A:$A),MATCH(AF$1,[4]characters!$1:$1,0)-MATCH("character_id",[4]characters!$1:$1,0)+1),MATCH(AF$1,[4]characters!$1:$1,0)-MATCH("character_id",[4]characters!$1:$1,0)+1,FALSE)</f>
        <v>5</v>
      </c>
      <c r="AG26" s="4" t="str">
        <f ca="1">VLOOKUP($AD26,OFFSET([4]characters!$A$1,0,0,COUNTA([4]characters!$A:$A),MATCH(AG$1,[4]characters!$1:$1,0)-MATCH("character_id",[4]characters!$1:$1,0)+1),MATCH(AG$1,[4]characters!$1:$1,0)-MATCH("character_id",[4]characters!$1:$1,0)+1,FALSE)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6" s="7">
        <v>1</v>
      </c>
      <c r="AI26" s="24">
        <f t="shared" ref="AI26" ca="1" si="29">AF26</f>
        <v>5</v>
      </c>
      <c r="AJ26" s="8">
        <v>0</v>
      </c>
      <c r="AK26" s="7">
        <v>0</v>
      </c>
      <c r="AL26" s="7">
        <v>0</v>
      </c>
      <c r="AM26" s="7">
        <v>0</v>
      </c>
      <c r="AN26" s="7">
        <v>0</v>
      </c>
      <c r="AO26" s="7">
        <v>1</v>
      </c>
      <c r="AP26" s="70">
        <v>1</v>
      </c>
    </row>
    <row r="27" spans="1:42" ht="21" customHeight="1" x14ac:dyDescent="0.15">
      <c r="A27" s="16" t="str">
        <f t="shared" si="20"/>
        <v>47003_3-2/1197&lt;lv80&gt;s3</v>
      </c>
      <c r="B27" s="113">
        <v>47003</v>
      </c>
      <c r="C27" s="114">
        <v>3</v>
      </c>
      <c r="D27" s="114" t="str">
        <f t="shared" si="21"/>
        <v>47003_3</v>
      </c>
      <c r="E27" s="62" t="str">
        <f ca="1">VLOOKUP($B27,OFFSET([2]quests!$A$1,0,0,COUNTA([2]quests!$A:$A),MATCH(E$1,[2]quests!$1:$1,0)-MATCH($B$1,[2]quests!$1:$1,0)+1),MATCH(E$1,[2]quests!$1:$1,0)-MATCH($B$1,[2]quests!$1:$1,0)+1,FALSE)</f>
        <v>ハロウィンナイトパニック！</v>
      </c>
      <c r="F27" s="62" t="str">
        <f ca="1">VLOOKUP($D27,OFFSET([2]stages!$A$1,0,0,COUNTA([2]stages!$A:$A),MATCH(F$1,[2]stages!$2:$2,0)-MATCH($D$1,[2]stages!$2:$2,0)+1),MATCH(F$1,[2]stages!$2:$2,0)-MATCH($D$1,[2]stages!$2:$2,0)+1,FALSE)</f>
        <v>【超絶】ハロウィンナイトパニック！</v>
      </c>
      <c r="G27" s="114">
        <v>2</v>
      </c>
      <c r="H27" s="115" t="str">
        <f t="shared" si="22"/>
        <v>47003_3-2</v>
      </c>
      <c r="I27" s="62">
        <f ca="1">VLOOKUP($H27,OFFSET(floors!$A$1,0,0,COUNTA(floors!$A:$A),MATCH(I$1,floors!$1:$1,0)-MATCH($H$1,floors!$1:$1,0)+1),MATCH(I$1,floors!$1:$1,0)-MATCH($H$1,floors!$1:$1,0)+1,FALSE)</f>
        <v>60</v>
      </c>
      <c r="J27" s="62">
        <f ca="1">VLOOKUP($H27,OFFSET(floors!$A$1,0,0,COUNTA(floors!$A:$A),MATCH(J$1,floors!$1:$1,0)-MATCH($H$1,floors!$1:$1,0)+1),MATCH(J$1,floors!$1:$1,0)-MATCH($H$1,floors!$1:$1,0)+1,FALSE)</f>
        <v>60</v>
      </c>
      <c r="K27" s="38" t="s">
        <v>253</v>
      </c>
      <c r="L27" s="114">
        <v>1197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冥装の闇黒魔 バフォメット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PremiumS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demon</v>
      </c>
      <c r="Q27" s="17">
        <f ca="1">VLOOKUP($L27,OFFSET([3]enemies!$A$1,0,0,COUNTA([3]enemies!$A:$A),MATCH(Q$1,[3]enemies!$1:$1,0)-MATCH($L$1,[3]enemies!$1:$1,0)+1),MATCH(Q$1,[3]enemies!$1:$1,0)-MATCH($L$1,[3]enemies!$1:$1,0)+1,FALSE)</f>
        <v>60</v>
      </c>
      <c r="R27" s="5">
        <v>80</v>
      </c>
      <c r="S27" s="116">
        <v>1.3</v>
      </c>
      <c r="T27" s="104">
        <f ca="1">ROUND(VLOOKUP(R27,[3]enemy_base_stats!$A:$F,2,FALSE) *INDIRECT("[EnemyMasterData.xlsm]enemies!Y"&amp;(L27+1))*  INDIRECT("[EnemyMasterData.xlsm]enemies!J"&amp;(L27+1))* INDIRECT("[EnemyMasterData.xlsm]enemies!O"&amp;(L27+1))* INDIRECT("[EnemyMasterData.xlsm]enemies!E"&amp;(L27+1))* INDIRECT("[EnemyMasterData.xlsm]enemies!S"&amp;(L27+1))* INDIRECT("[EnemyMasterData.xlsm]enemies!AD"&amp;(L27+1))*[4]ステータス!$B$2,0)*S27</f>
        <v>183717.30000000002</v>
      </c>
      <c r="U27" s="116">
        <v>0.6</v>
      </c>
      <c r="V27" s="104">
        <f ca="1">ROUND(VLOOKUP(R27,[3]enemy_base_stats!$A:$F,3,FALSE) *INDIRECT("[EnemyMasterData.xlsm]enemies!Z"&amp;(L27+1))*  INDIRECT("[EnemyMasterData.xlsm]enemies!K"&amp;(L27+1))* INDIRECT("[EnemyMasterData.xlsm]enemies!P"&amp;(L27+1))* INDIRECT("[EnemyMasterData.xlsm]enemies!F"&amp;(L27+1))* INDIRECT("[EnemyMasterData.xlsm]enemies!T"&amp;(L27+1))* INDIRECT("[EnemyMasterData.xlsm]enemies!AE"&amp;(L27+1))*[4]ステータス!$C$2,0)*U27</f>
        <v>5233.2</v>
      </c>
      <c r="W27" s="5">
        <v>0</v>
      </c>
      <c r="X27" s="4" t="str">
        <f ca="1">VLOOKUP($Y27,OFFSET(enemy_skill_sets!$B$1,0,0,COUNTA(enemy_skill_sets!$B:$B),MATCH(M$1,enemy_skill_sets!$1:$1,0)-MATCH($Y$1,enemy_skill_sets!$1:$1,0)+2),MATCH(M$1,enemy_skill_sets!$1:$1,0)-MATCH($Y$1,enemy_skill_sets!$1:$1,0)+2,FALSE)</f>
        <v>異端の祭事は、菓子の様に甘くないぞ！</v>
      </c>
      <c r="Y27" s="62">
        <v>47003460</v>
      </c>
      <c r="Z27" s="6">
        <v>0</v>
      </c>
      <c r="AA27" s="6">
        <v>35</v>
      </c>
      <c r="AB27" s="6">
        <v>0</v>
      </c>
      <c r="AC27" s="17">
        <v>3</v>
      </c>
      <c r="AD27" s="24">
        <f t="shared" si="23"/>
        <v>1197</v>
      </c>
      <c r="AE27" s="4" t="str">
        <f ca="1">VLOOKUP($AD27,OFFSET([4]characters!$A$1,0,0,COUNTA([4]characters!$A:$A),MATCH(AE$1,[4]characters!$1:$1,0)-MATCH("character_id",[4]characters!$1:$1,0)+1),MATCH(AE$1,[4]characters!$1:$1,0)-MATCH("character_id",[4]characters!$1:$1,0)+1,FALSE)</f>
        <v>冥装の闇黒魔 バフォメット</v>
      </c>
      <c r="AF27" s="4">
        <f ca="1">VLOOKUP($AD27,OFFSET([4]characters!$A$1,0,0,COUNTA([4]characters!$A:$A),MATCH(AF$1,[4]characters!$1:$1,0)-MATCH("character_id",[4]characters!$1:$1,0)+1),MATCH(AF$1,[4]characters!$1:$1,0)-MATCH("character_id",[4]characters!$1:$1,0)+1,FALSE)</f>
        <v>5</v>
      </c>
      <c r="AG27" s="4" t="str">
        <f ca="1">VLOOKUP($AD27,OFFSET([4]characters!$A$1,0,0,COUNTA([4]characters!$A:$A),MATCH(AG$1,[4]characters!$1:$1,0)-MATCH("character_id",[4]characters!$1:$1,0)+1),MATCH(AG$1,[4]characters!$1:$1,0)-MATCH("character_id",[4]characters!$1:$1,0)+1,FALSE)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7" s="7">
        <v>1</v>
      </c>
      <c r="AI27" s="24">
        <f t="shared" ca="1" si="24"/>
        <v>5</v>
      </c>
      <c r="AJ27" s="8">
        <v>0</v>
      </c>
      <c r="AK27" s="7">
        <v>0</v>
      </c>
      <c r="AL27" s="7">
        <v>0</v>
      </c>
      <c r="AM27" s="7">
        <v>0</v>
      </c>
      <c r="AN27" s="7">
        <v>0</v>
      </c>
      <c r="AO27" s="7">
        <v>1</v>
      </c>
      <c r="AP27" s="70">
        <v>1</v>
      </c>
    </row>
    <row r="28" spans="1:42" ht="21" customHeight="1" x14ac:dyDescent="0.15">
      <c r="A28" s="16" t="str">
        <f t="shared" si="20"/>
        <v>47003_3-2/1198&lt;lv80&gt;s3</v>
      </c>
      <c r="B28" s="113">
        <v>47003</v>
      </c>
      <c r="C28" s="114">
        <v>3</v>
      </c>
      <c r="D28" s="114" t="str">
        <f t="shared" si="21"/>
        <v>47003_3</v>
      </c>
      <c r="E28" s="62" t="str">
        <f ca="1">VLOOKUP($B28,OFFSET([2]quests!$A$1,0,0,COUNTA([2]quests!$A:$A),MATCH(E$1,[2]quests!$1:$1,0)-MATCH($B$1,[2]quests!$1:$1,0)+1),MATCH(E$1,[2]quests!$1:$1,0)-MATCH($B$1,[2]quests!$1:$1,0)+1,FALSE)</f>
        <v>ハロウィンナイトパニック！</v>
      </c>
      <c r="F28" s="62" t="str">
        <f ca="1">VLOOKUP($D28,OFFSET([2]stages!$A$1,0,0,COUNTA([2]stages!$A:$A),MATCH(F$1,[2]stages!$2:$2,0)-MATCH($D$1,[2]stages!$2:$2,0)+1),MATCH(F$1,[2]stages!$2:$2,0)-MATCH($D$1,[2]stages!$2:$2,0)+1,FALSE)</f>
        <v>【超絶】ハロウィンナイトパニック！</v>
      </c>
      <c r="G28" s="114">
        <v>2</v>
      </c>
      <c r="H28" s="115" t="str">
        <f t="shared" si="22"/>
        <v>47003_3-2</v>
      </c>
      <c r="I28" s="62">
        <f ca="1">VLOOKUP($H28,OFFSET(floors!$A$1,0,0,COUNTA(floors!$A:$A),MATCH(I$1,floors!$1:$1,0)-MATCH($H$1,floors!$1:$1,0)+1),MATCH(I$1,floors!$1:$1,0)-MATCH($H$1,floors!$1:$1,0)+1,FALSE)</f>
        <v>60</v>
      </c>
      <c r="J28" s="62">
        <f ca="1">VLOOKUP($H28,OFFSET(floors!$A$1,0,0,COUNTA(floors!$A:$A),MATCH(J$1,floors!$1:$1,0)-MATCH($H$1,floors!$1:$1,0)+1),MATCH(J$1,floors!$1:$1,0)-MATCH($H$1,floors!$1:$1,0)+1,FALSE)</f>
        <v>60</v>
      </c>
      <c r="K28" s="38" t="s">
        <v>253</v>
      </c>
      <c r="L28" s="114">
        <v>1198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幽縛の霊線 ピノキオ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PremiumS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machine</v>
      </c>
      <c r="Q28" s="17">
        <f ca="1">VLOOKUP($L28,OFFSET([3]enemies!$A$1,0,0,COUNTA([3]enemies!$A:$A),MATCH(Q$1,[3]enemies!$1:$1,0)-MATCH($L$1,[3]enemies!$1:$1,0)+1),MATCH(Q$1,[3]enemies!$1:$1,0)-MATCH($L$1,[3]enemies!$1:$1,0)+1,FALSE)</f>
        <v>60</v>
      </c>
      <c r="R28" s="5">
        <v>80</v>
      </c>
      <c r="S28" s="116">
        <v>1.7</v>
      </c>
      <c r="T28" s="104">
        <f ca="1">ROUND(VLOOKUP(R28,[3]enemy_base_stats!$A:$F,2,FALSE) *INDIRECT("[EnemyMasterData.xlsm]enemies!Y"&amp;(L28+1))*  INDIRECT("[EnemyMasterData.xlsm]enemies!J"&amp;(L28+1))* INDIRECT("[EnemyMasterData.xlsm]enemies!O"&amp;(L28+1))* INDIRECT("[EnemyMasterData.xlsm]enemies!E"&amp;(L28+1))* INDIRECT("[EnemyMasterData.xlsm]enemies!S"&amp;(L28+1))* INDIRECT("[EnemyMasterData.xlsm]enemies!AD"&amp;(L28+1))*[4]ステータス!$B$2,0)*S28</f>
        <v>235535</v>
      </c>
      <c r="U28" s="116">
        <v>0.5</v>
      </c>
      <c r="V28" s="104">
        <f ca="1">ROUND(VLOOKUP(R28,[3]enemy_base_stats!$A:$F,3,FALSE) *INDIRECT("[EnemyMasterData.xlsm]enemies!Z"&amp;(L28+1))*  INDIRECT("[EnemyMasterData.xlsm]enemies!K"&amp;(L28+1))* INDIRECT("[EnemyMasterData.xlsm]enemies!P"&amp;(L28+1))* INDIRECT("[EnemyMasterData.xlsm]enemies!F"&amp;(L28+1))* INDIRECT("[EnemyMasterData.xlsm]enemies!T"&amp;(L28+1))* INDIRECT("[EnemyMasterData.xlsm]enemies!AE"&amp;(L28+1))*[4]ステータス!$C$2,0)*U28</f>
        <v>5800</v>
      </c>
      <c r="W28" s="5">
        <v>0</v>
      </c>
      <c r="X28" s="4" t="str">
        <f ca="1">VLOOKUP($Y28,OFFSET(enemy_skill_sets!$B$1,0,0,COUNTA(enemy_skill_sets!$B:$B),MATCH(M$1,enemy_skill_sets!$1:$1,0)-MATCH($Y$1,enemy_skill_sets!$1:$1,0)+2),MATCH(M$1,enemy_skill_sets!$1:$1,0)-MATCH($Y$1,enemy_skill_sets!$1:$1,0)+2,FALSE)</f>
        <v>この喧騒がまたボクを孤独にするんだ…</v>
      </c>
      <c r="Y28" s="62">
        <v>47003480</v>
      </c>
      <c r="Z28" s="6">
        <v>0</v>
      </c>
      <c r="AA28" s="6">
        <v>50</v>
      </c>
      <c r="AB28" s="6">
        <v>0</v>
      </c>
      <c r="AC28" s="17">
        <v>3</v>
      </c>
      <c r="AD28" s="24">
        <f t="shared" si="23"/>
        <v>1198</v>
      </c>
      <c r="AE28" s="4" t="str">
        <f ca="1">VLOOKUP($AD28,OFFSET([4]characters!$A$1,0,0,COUNTA([4]characters!$A:$A),MATCH(AE$1,[4]characters!$1:$1,0)-MATCH("character_id",[4]characters!$1:$1,0)+1),MATCH(AE$1,[4]characters!$1:$1,0)-MATCH("character_id",[4]characters!$1:$1,0)+1,FALSE)</f>
        <v>幽縛の霊線 ピノキオ</v>
      </c>
      <c r="AF28" s="4">
        <f ca="1">VLOOKUP($AD28,OFFSET([4]characters!$A$1,0,0,COUNTA([4]characters!$A:$A),MATCH(AF$1,[4]characters!$1:$1,0)-MATCH("character_id",[4]characters!$1:$1,0)+1),MATCH(AF$1,[4]characters!$1:$1,0)-MATCH("character_id",[4]characters!$1:$1,0)+1,FALSE)</f>
        <v>5</v>
      </c>
      <c r="AG28" s="4" t="str">
        <f ca="1">VLOOKUP($AD28,OFFSET([4]characters!$A$1,0,0,COUNTA([4]characters!$A:$A),MATCH(AG$1,[4]characters!$1:$1,0)-MATCH("character_id",[4]characters!$1:$1,0)+1),MATCH(AG$1,[4]characters!$1:$1,0)-MATCH("character_id",[4]characters!$1:$1,0)+1,FALSE)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8" s="7">
        <v>1</v>
      </c>
      <c r="AI28" s="24">
        <f t="shared" ca="1" si="24"/>
        <v>5</v>
      </c>
      <c r="AJ28" s="8">
        <v>0</v>
      </c>
      <c r="AK28" s="7">
        <v>0</v>
      </c>
      <c r="AL28" s="7">
        <v>0</v>
      </c>
      <c r="AM28" s="7">
        <v>0</v>
      </c>
      <c r="AN28" s="7">
        <v>0</v>
      </c>
      <c r="AO28" s="7">
        <v>1</v>
      </c>
      <c r="AP28" s="70">
        <v>1</v>
      </c>
    </row>
    <row r="29" spans="1:42" ht="21" customHeight="1" x14ac:dyDescent="0.15">
      <c r="A29" s="16" t="str">
        <f t="shared" si="20"/>
        <v>47003_3-3/1196&lt;lv80&gt;s3</v>
      </c>
      <c r="B29" s="113">
        <v>47003</v>
      </c>
      <c r="C29" s="114">
        <v>3</v>
      </c>
      <c r="D29" s="114" t="str">
        <f t="shared" si="21"/>
        <v>47003_3</v>
      </c>
      <c r="E29" s="62" t="str">
        <f ca="1">VLOOKUP($B29,OFFSET([2]quests!$A$1,0,0,COUNTA([2]quests!$A:$A),MATCH(E$1,[2]quests!$1:$1,0)-MATCH($B$1,[2]quests!$1:$1,0)+1),MATCH(E$1,[2]quests!$1:$1,0)-MATCH($B$1,[2]quests!$1:$1,0)+1,FALSE)</f>
        <v>ハロウィンナイトパニック！</v>
      </c>
      <c r="F29" s="62" t="str">
        <f ca="1">VLOOKUP($D29,OFFSET([2]stages!$A$1,0,0,COUNTA([2]stages!$A:$A),MATCH(F$1,[2]stages!$2:$2,0)-MATCH($D$1,[2]stages!$2:$2,0)+1),MATCH(F$1,[2]stages!$2:$2,0)-MATCH($D$1,[2]stages!$2:$2,0)+1,FALSE)</f>
        <v>【超絶】ハロウィンナイトパニック！</v>
      </c>
      <c r="G29" s="114">
        <v>3</v>
      </c>
      <c r="H29" s="115" t="str">
        <f t="shared" si="22"/>
        <v>47003_3-3</v>
      </c>
      <c r="I29" s="62">
        <f ca="1">VLOOKUP($H29,OFFSET(floors!$A$1,0,0,COUNTA(floors!$A:$A),MATCH(I$1,floors!$1:$1,0)-MATCH($H$1,floors!$1:$1,0)+1),MATCH(I$1,floors!$1:$1,0)-MATCH($H$1,floors!$1:$1,0)+1,FALSE)</f>
        <v>60</v>
      </c>
      <c r="J29" s="62">
        <f ca="1">VLOOKUP($H29,OFFSET(floors!$A$1,0,0,COUNTA(floors!$A:$A),MATCH(J$1,floors!$1:$1,0)-MATCH($H$1,floors!$1:$1,0)+1),MATCH(J$1,floors!$1:$1,0)-MATCH($H$1,floors!$1:$1,0)+1,FALSE)</f>
        <v>60</v>
      </c>
      <c r="K29" s="38" t="s">
        <v>253</v>
      </c>
      <c r="L29" s="114">
        <v>1196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華装の闇鋏 ラプンツェル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green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PremiumSS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human</v>
      </c>
      <c r="Q29" s="17">
        <f ca="1">VLOOKUP($L29,OFFSET([3]enemies!$A$1,0,0,COUNTA([3]enemies!$A:$A),MATCH(Q$1,[3]enemies!$1:$1,0)-MATCH($L$1,[3]enemies!$1:$1,0)+1),MATCH(Q$1,[3]enemies!$1:$1,0)-MATCH($L$1,[3]enemies!$1:$1,0)+1,FALSE)</f>
        <v>60</v>
      </c>
      <c r="R29" s="5">
        <v>80</v>
      </c>
      <c r="S29" s="116">
        <v>1.4</v>
      </c>
      <c r="T29" s="104">
        <f ca="1">ROUND(VLOOKUP(R29,[3]enemy_base_stats!$A:$F,2,FALSE) *INDIRECT("[EnemyMasterData.xlsm]enemies!Y"&amp;(L29+1))*  INDIRECT("[EnemyMasterData.xlsm]enemies!J"&amp;(L29+1))* INDIRECT("[EnemyMasterData.xlsm]enemies!O"&amp;(L29+1))* INDIRECT("[EnemyMasterData.xlsm]enemies!E"&amp;(L29+1))* INDIRECT("[EnemyMasterData.xlsm]enemies!S"&amp;(L29+1))* INDIRECT("[EnemyMasterData.xlsm]enemies!AD"&amp;(L29+1))*[4]ステータス!$B$2,0)*S29</f>
        <v>185978.8</v>
      </c>
      <c r="U29" s="116">
        <v>0.6</v>
      </c>
      <c r="V29" s="104">
        <f ca="1">ROUND(VLOOKUP(R29,[3]enemy_base_stats!$A:$F,3,FALSE) *INDIRECT("[EnemyMasterData.xlsm]enemies!Z"&amp;(L29+1))*  INDIRECT("[EnemyMasterData.xlsm]enemies!K"&amp;(L29+1))* INDIRECT("[EnemyMasterData.xlsm]enemies!P"&amp;(L29+1))* INDIRECT("[EnemyMasterData.xlsm]enemies!F"&amp;(L29+1))* INDIRECT("[EnemyMasterData.xlsm]enemies!T"&amp;(L29+1))* INDIRECT("[EnemyMasterData.xlsm]enemies!AE"&amp;(L29+1))*[4]ステータス!$C$2,0)*U29</f>
        <v>5181</v>
      </c>
      <c r="W29" s="5">
        <v>0</v>
      </c>
      <c r="X29" s="4" t="str">
        <f ca="1">VLOOKUP($Y29,OFFSET(enemy_skill_sets!$B$1,0,0,COUNTA(enemy_skill_sets!$B:$B),MATCH(M$1,enemy_skill_sets!$1:$1,0)-MATCH($Y$1,enemy_skill_sets!$1:$1,0)+2),MATCH(M$1,enemy_skill_sets!$1:$1,0)-MATCH($Y$1,enemy_skill_sets!$1:$1,0)+2,FALSE)</f>
        <v>ならば、私も負けずに輝きます！</v>
      </c>
      <c r="Y29" s="62">
        <v>47003500</v>
      </c>
      <c r="Z29" s="6">
        <v>0</v>
      </c>
      <c r="AA29" s="6">
        <v>20</v>
      </c>
      <c r="AB29" s="6">
        <v>0</v>
      </c>
      <c r="AC29" s="17">
        <v>3</v>
      </c>
      <c r="AD29" s="24">
        <f t="shared" si="23"/>
        <v>1196</v>
      </c>
      <c r="AE29" s="4" t="str">
        <f ca="1">VLOOKUP($AD29,OFFSET([4]characters!$A$1,0,0,COUNTA([4]characters!$A:$A),MATCH(AE$1,[4]characters!$1:$1,0)-MATCH("character_id",[4]characters!$1:$1,0)+1),MATCH(AE$1,[4]characters!$1:$1,0)-MATCH("character_id",[4]characters!$1:$1,0)+1,FALSE)</f>
        <v>華装の闇鋏 ラプンツェル</v>
      </c>
      <c r="AF29" s="4">
        <f ca="1">VLOOKUP($AD29,OFFSET([4]characters!$A$1,0,0,COUNTA([4]characters!$A:$A),MATCH(AF$1,[4]characters!$1:$1,0)-MATCH("character_id",[4]characters!$1:$1,0)+1),MATCH(AF$1,[4]characters!$1:$1,0)-MATCH("character_id",[4]characters!$1:$1,0)+1,FALSE)</f>
        <v>6</v>
      </c>
      <c r="AG29" s="4" t="str">
        <f ca="1">VLOOKUP($AD29,OFFSET([4]characters!$A$1,0,0,COUNTA([4]characters!$A:$A),MATCH(AG$1,[4]characters!$1:$1,0)-MATCH("character_id",[4]characters!$1:$1,0)+1),MATCH(AG$1,[4]characters!$1:$1,0)-MATCH("character_id",[4]characters!$1:$1,0)+1,FALSE)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29" s="7">
        <v>1</v>
      </c>
      <c r="AI29" s="24">
        <f t="shared" ca="1" si="24"/>
        <v>6</v>
      </c>
      <c r="AJ29" s="8">
        <v>0</v>
      </c>
      <c r="AK29" s="7">
        <v>0</v>
      </c>
      <c r="AL29" s="7">
        <v>0</v>
      </c>
      <c r="AM29" s="7">
        <v>0</v>
      </c>
      <c r="AN29" s="7">
        <v>0</v>
      </c>
      <c r="AO29" s="7">
        <v>1</v>
      </c>
      <c r="AP29" s="70">
        <v>1</v>
      </c>
    </row>
    <row r="30" spans="1:42" ht="21" customHeight="1" x14ac:dyDescent="0.15">
      <c r="A30" s="16" t="str">
        <f t="shared" si="20"/>
        <v>47003_3-3/1193&lt;lv80&gt;s3</v>
      </c>
      <c r="B30" s="113">
        <v>47003</v>
      </c>
      <c r="C30" s="114">
        <v>3</v>
      </c>
      <c r="D30" s="114" t="str">
        <f t="shared" si="21"/>
        <v>47003_3</v>
      </c>
      <c r="E30" s="62" t="str">
        <f ca="1">VLOOKUP($B30,OFFSET([2]quests!$A$1,0,0,COUNTA([2]quests!$A:$A),MATCH(E$1,[2]quests!$1:$1,0)-MATCH($B$1,[2]quests!$1:$1,0)+1),MATCH(E$1,[2]quests!$1:$1,0)-MATCH($B$1,[2]quests!$1:$1,0)+1,FALSE)</f>
        <v>ハロウィンナイトパニック！</v>
      </c>
      <c r="F30" s="62" t="str">
        <f ca="1">VLOOKUP($D30,OFFSET([2]stages!$A$1,0,0,COUNTA([2]stages!$A:$A),MATCH(F$1,[2]stages!$2:$2,0)-MATCH($D$1,[2]stages!$2:$2,0)+1),MATCH(F$1,[2]stages!$2:$2,0)-MATCH($D$1,[2]stages!$2:$2,0)+1,FALSE)</f>
        <v>【超絶】ハロウィンナイトパニック！</v>
      </c>
      <c r="G30" s="114">
        <v>3</v>
      </c>
      <c r="H30" s="115" t="str">
        <f t="shared" si="22"/>
        <v>47003_3-3</v>
      </c>
      <c r="I30" s="62">
        <f ca="1">VLOOKUP($H30,OFFSET(floors!$A$1,0,0,COUNTA(floors!$A:$A),MATCH(I$1,floors!$1:$1,0)-MATCH($H$1,floors!$1:$1,0)+1),MATCH(I$1,floors!$1:$1,0)-MATCH($H$1,floors!$1:$1,0)+1,FALSE)</f>
        <v>60</v>
      </c>
      <c r="J30" s="62">
        <f ca="1">VLOOKUP($H30,OFFSET(floors!$A$1,0,0,COUNTA(floors!$A:$A),MATCH(J$1,floors!$1:$1,0)-MATCH($H$1,floors!$1:$1,0)+1),MATCH(J$1,floors!$1:$1,0)-MATCH($H$1,floors!$1:$1,0)+1,FALSE)</f>
        <v>60</v>
      </c>
      <c r="K30" s="38" t="s">
        <v>253</v>
      </c>
      <c r="L30" s="114">
        <v>1193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血飢なる夜想卿 ランスロット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red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PremiumSS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human</v>
      </c>
      <c r="Q30" s="17">
        <f ca="1">VLOOKUP($L30,OFFSET([3]enemies!$A$1,0,0,COUNTA([3]enemies!$A:$A),MATCH(Q$1,[3]enemies!$1:$1,0)-MATCH($L$1,[3]enemies!$1:$1,0)+1),MATCH(Q$1,[3]enemies!$1:$1,0)-MATCH($L$1,[3]enemies!$1:$1,0)+1,FALSE)</f>
        <v>60</v>
      </c>
      <c r="R30" s="5">
        <v>80</v>
      </c>
      <c r="S30" s="116">
        <v>1.6</v>
      </c>
      <c r="T30" s="104">
        <f ca="1">ROUND(VLOOKUP(R30,[3]enemy_base_stats!$A:$F,2,FALSE) *INDIRECT("[EnemyMasterData.xlsm]enemies!Y"&amp;(L30+1))*  INDIRECT("[EnemyMasterData.xlsm]enemies!J"&amp;(L30+1))* INDIRECT("[EnemyMasterData.xlsm]enemies!O"&amp;(L30+1))* INDIRECT("[EnemyMasterData.xlsm]enemies!E"&amp;(L30+1))* INDIRECT("[EnemyMasterData.xlsm]enemies!S"&amp;(L30+1))* INDIRECT("[EnemyMasterData.xlsm]enemies!AD"&amp;(L30+1))*[4]ステータス!$B$2,0)*S30</f>
        <v>208379.2</v>
      </c>
      <c r="U30" s="116">
        <v>0.5</v>
      </c>
      <c r="V30" s="104">
        <f ca="1">ROUND(VLOOKUP(R30,[3]enemy_base_stats!$A:$F,3,FALSE) *INDIRECT("[EnemyMasterData.xlsm]enemies!Z"&amp;(L30+1))*  INDIRECT("[EnemyMasterData.xlsm]enemies!K"&amp;(L30+1))* INDIRECT("[EnemyMasterData.xlsm]enemies!P"&amp;(L30+1))* INDIRECT("[EnemyMasterData.xlsm]enemies!F"&amp;(L30+1))* INDIRECT("[EnemyMasterData.xlsm]enemies!T"&amp;(L30+1))* INDIRECT("[EnemyMasterData.xlsm]enemies!AE"&amp;(L30+1))*[4]ステータス!$C$2,0)*U30</f>
        <v>5976.5</v>
      </c>
      <c r="W30" s="5">
        <v>0</v>
      </c>
      <c r="X30" s="4" t="str">
        <f ca="1">VLOOKUP($Y30,OFFSET(enemy_skill_sets!$B$1,0,0,COUNTA(enemy_skill_sets!$B:$B),MATCH(M$1,enemy_skill_sets!$1:$1,0)-MATCH($Y$1,enemy_skill_sets!$1:$1,0)+2),MATCH(M$1,enemy_skill_sets!$1:$1,0)-MATCH($Y$1,enemy_skill_sets!$1:$1,0)+2,FALSE)</f>
        <v>お菓子盗んだ犯人！？　お、俺じゃないぞ！</v>
      </c>
      <c r="Y30" s="62">
        <v>47003520</v>
      </c>
      <c r="Z30" s="6">
        <v>0</v>
      </c>
      <c r="AA30" s="6">
        <v>80</v>
      </c>
      <c r="AB30" s="6">
        <v>0</v>
      </c>
      <c r="AC30" s="17">
        <v>3</v>
      </c>
      <c r="AD30" s="24">
        <f t="shared" si="23"/>
        <v>1193</v>
      </c>
      <c r="AE30" s="4" t="str">
        <f ca="1">VLOOKUP($AD30,OFFSET([4]characters!$A$1,0,0,COUNTA([4]characters!$A:$A),MATCH(AE$1,[4]characters!$1:$1,0)-MATCH("character_id",[4]characters!$1:$1,0)+1),MATCH(AE$1,[4]characters!$1:$1,0)-MATCH("character_id",[4]characters!$1:$1,0)+1,FALSE)</f>
        <v>血飢なる夜想卿 ランスロット</v>
      </c>
      <c r="AF30" s="4">
        <f ca="1">VLOOKUP($AD30,OFFSET([4]characters!$A$1,0,0,COUNTA([4]characters!$A:$A),MATCH(AF$1,[4]characters!$1:$1,0)-MATCH("character_id",[4]characters!$1:$1,0)+1),MATCH(AF$1,[4]characters!$1:$1,0)-MATCH("character_id",[4]characters!$1:$1,0)+1,FALSE)</f>
        <v>6</v>
      </c>
      <c r="AG30" s="4" t="str">
        <f ca="1">VLOOKUP($AD30,OFFSET([4]characters!$A$1,0,0,COUNTA([4]characters!$A:$A),MATCH(AG$1,[4]characters!$1:$1,0)-MATCH("character_id",[4]characters!$1:$1,0)+1),MATCH(AG$1,[4]characters!$1:$1,0)-MATCH("character_id",[4]characters!$1:$1,0)+1,FALSE)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30" s="7">
        <v>1</v>
      </c>
      <c r="AI30" s="24">
        <f t="shared" ca="1" si="24"/>
        <v>6</v>
      </c>
      <c r="AJ30" s="8">
        <v>0</v>
      </c>
      <c r="AK30" s="7">
        <v>0</v>
      </c>
      <c r="AL30" s="7">
        <v>0</v>
      </c>
      <c r="AM30" s="7">
        <v>0</v>
      </c>
      <c r="AN30" s="7">
        <v>0</v>
      </c>
      <c r="AO30" s="7">
        <v>1</v>
      </c>
      <c r="AP30" s="70">
        <v>1</v>
      </c>
    </row>
    <row r="31" spans="1:42" ht="21" customHeight="1" x14ac:dyDescent="0.15">
      <c r="A31" s="16" t="str">
        <f ca="1">B31&amp;"_"&amp;C31&amp;"-"&amp;G31&amp;"/"&amp;L31&amp;"&lt;lv"&amp;R31&amp;"&gt;s"&amp;AC31</f>
        <v>47003_3-4/1191&lt;lv80&gt;s3</v>
      </c>
      <c r="B31" s="113">
        <v>47003</v>
      </c>
      <c r="C31" s="114">
        <v>3</v>
      </c>
      <c r="D31" s="114" t="str">
        <f>B31&amp;"_"&amp;C31</f>
        <v>47003_3</v>
      </c>
      <c r="E31" s="62" t="str">
        <f ca="1">VLOOKUP($B31,OFFSET([2]quests!$A$1,0,0,COUNTA([2]quests!$A:$A),MATCH(E$1,[2]quests!$1:$1,0)-MATCH($B$1,[2]quests!$1:$1,0)+1),MATCH(E$1,[2]quests!$1:$1,0)-MATCH($B$1,[2]quests!$1:$1,0)+1,FALSE)</f>
        <v>ハロウィンナイトパニック！</v>
      </c>
      <c r="F31" s="62" t="str">
        <f ca="1">VLOOKUP($D31,OFFSET([2]stages!$A$1,0,0,COUNTA([2]stages!$A:$A),MATCH(F$1,[2]stages!$2:$2,0)-MATCH($D$1,[2]stages!$2:$2,0)+1),MATCH(F$1,[2]stages!$2:$2,0)-MATCH($D$1,[2]stages!$2:$2,0)+1,FALSE)</f>
        <v>【超絶】ハロウィンナイトパニック！</v>
      </c>
      <c r="G31" s="114">
        <v>4</v>
      </c>
      <c r="H31" s="115" t="str">
        <f>B31&amp;"_"&amp;C31&amp;"-"&amp;G31</f>
        <v>47003_3-4</v>
      </c>
      <c r="I31" s="62">
        <f ca="1">VLOOKUP($H31,OFFSET(floors!$A$1,0,0,COUNTA(floors!$A:$A),MATCH(I$1,floors!$1:$1,0)-MATCH($H$1,floors!$1:$1,0)+1),MATCH(I$1,floors!$1:$1,0)-MATCH($H$1,floors!$1:$1,0)+1,FALSE)</f>
        <v>60</v>
      </c>
      <c r="J31" s="62">
        <f ca="1">VLOOKUP($H31,OFFSET(floors!$A$1,0,0,COUNTA(floors!$A:$A),MATCH(J$1,floors!$1:$1,0)-MATCH($H$1,floors!$1:$1,0)+1),MATCH(J$1,floors!$1:$1,0)-MATCH($H$1,floors!$1:$1,0)+1,FALSE)</f>
        <v>60</v>
      </c>
      <c r="K31" s="38">
        <v>1</v>
      </c>
      <c r="L31" s="114">
        <v>1191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ドルチェ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yellow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DropWizS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7">
        <f ca="1">VLOOKUP($L31,OFFSET([3]enemies!$A$1,0,0,COUNTA([3]enemies!$A:$A),MATCH(Q$1,[3]enemies!$1:$1,0)-MATCH($L$1,[3]enemies!$1:$1,0)+1),MATCH(Q$1,[3]enemies!$1:$1,0)-MATCH($L$1,[3]enemies!$1:$1,0)+1,FALSE)</f>
        <v>60</v>
      </c>
      <c r="R31" s="5">
        <v>80</v>
      </c>
      <c r="S31" s="116">
        <v>2.6</v>
      </c>
      <c r="T31" s="104">
        <f ca="1">ROUND(VLOOKUP(R31,[3]enemy_base_stats!$A:$F,2,FALSE) *INDIRECT("[EnemyMasterData.xlsm]enemies!Y"&amp;(L31+1))*  INDIRECT("[EnemyMasterData.xlsm]enemies!J"&amp;(L31+1))* INDIRECT("[EnemyMasterData.xlsm]enemies!O"&amp;(L31+1))* INDIRECT("[EnemyMasterData.xlsm]enemies!E"&amp;(L31+1))* INDIRECT("[EnemyMasterData.xlsm]enemies!S"&amp;(L31+1))* INDIRECT("[EnemyMasterData.xlsm]enemies!AD"&amp;(L31+1))*[4]ステータス!$B$2,0)*S31</f>
        <v>317722.60000000003</v>
      </c>
      <c r="U31" s="116">
        <v>1</v>
      </c>
      <c r="V31" s="104">
        <f ca="1">ROUND(VLOOKUP(R31,[3]enemy_base_stats!$A:$F,3,FALSE) *INDIRECT("[EnemyMasterData.xlsm]enemies!Z"&amp;(L31+1))*  INDIRECT("[EnemyMasterData.xlsm]enemies!K"&amp;(L31+1))* INDIRECT("[EnemyMasterData.xlsm]enemies!P"&amp;(L31+1))* INDIRECT("[EnemyMasterData.xlsm]enemies!F"&amp;(L31+1))* INDIRECT("[EnemyMasterData.xlsm]enemies!T"&amp;(L31+1))* INDIRECT("[EnemyMasterData.xlsm]enemies!AE"&amp;(L31+1))*[4]ステータス!$C$2,0)*U31</f>
        <v>8090</v>
      </c>
      <c r="W31" s="5">
        <v>0</v>
      </c>
      <c r="X31" s="4" t="str">
        <f ca="1">VLOOKUP($Y31,OFFSET(enemy_skill_sets!$B$1,0,0,COUNTA(enemy_skill_sets!$B:$B),MATCH(M$1,enemy_skill_sets!$1:$1,0)-MATCH($Y$1,enemy_skill_sets!$1:$1,0)+2),MATCH(M$1,enemy_skill_sets!$1:$1,0)-MATCH($Y$1,enemy_skill_sets!$1:$1,0)+2,FALSE)</f>
        <v>種族デーモン以外に5ターン暗闇</v>
      </c>
      <c r="Y31" s="62">
        <v>47003540</v>
      </c>
      <c r="Z31" s="6">
        <v>0</v>
      </c>
      <c r="AA31" s="6">
        <v>100</v>
      </c>
      <c r="AB31" s="6">
        <v>1</v>
      </c>
      <c r="AC31" s="17">
        <f ca="1">VLOOKUP($L31,OFFSET([3]enemies!$A$1,0,0,COUNTA([3]enemies!$A:$A),MATCH(AC$1,[3]enemies!$1:$1,0)-MATCH($L$1,[3]enemies!$1:$1,0)+1),MATCH(AC$1,[3]enemies!$1:$1,0)-MATCH($L$1,[3]enemies!$1:$1,0)+1,FALSE)</f>
        <v>3</v>
      </c>
      <c r="AD31" s="24">
        <f>L31</f>
        <v>1191</v>
      </c>
      <c r="AE31" s="4" t="str">
        <f ca="1">VLOOKUP($AD31,OFFSET([4]characters!$A$1,0,0,COUNTA([4]characters!$A:$A),MATCH(AE$1,[4]characters!$1:$1,0)-MATCH("character_id",[4]characters!$1:$1,0)+1),MATCH(AE$1,[4]characters!$1:$1,0)-MATCH("character_id",[4]characters!$1:$1,0)+1,FALSE)</f>
        <v>ドルチェ</v>
      </c>
      <c r="AF31" s="4">
        <f ca="1">VLOOKUP($AD31,OFFSET([4]characters!$A$1,0,0,COUNTA([4]characters!$A:$A),MATCH(AF$1,[4]characters!$1:$1,0)-MATCH("character_id",[4]characters!$1:$1,0)+1),MATCH(AF$1,[4]characters!$1:$1,0)-MATCH("character_id",[4]characters!$1:$1,0)+1,FALSE)</f>
        <v>5</v>
      </c>
      <c r="AG31" s="4" t="str">
        <f ca="1">VLOOKUP($AD31,OFFSET([4]characters!$A$1,0,0,COUNTA([4]characters!$A:$A),MATCH(AG$1,[4]characters!$1:$1,0)-MATCH("character_id",[4]characters!$1:$1,0)+1),MATCH(AG$1,[4]characters!$1:$1,0)-MATCH("character_id",[4]characters!$1:$1,0)+1,FALSE)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31" s="7">
        <v>1</v>
      </c>
      <c r="AI31" s="24">
        <f ca="1">AF31</f>
        <v>5</v>
      </c>
      <c r="AJ31" s="147">
        <v>40</v>
      </c>
      <c r="AK31" s="7">
        <v>0</v>
      </c>
      <c r="AL31" s="7">
        <v>0</v>
      </c>
      <c r="AM31" s="7">
        <v>0</v>
      </c>
      <c r="AN31" s="7">
        <v>0</v>
      </c>
      <c r="AO31" s="7">
        <v>1</v>
      </c>
      <c r="AP31" s="70">
        <v>1</v>
      </c>
    </row>
    <row r="32" spans="1:42" ht="21" customHeight="1" x14ac:dyDescent="0.15">
      <c r="A32" s="16" t="str">
        <f>B32&amp;"_"&amp;C32&amp;"-"&amp;G32&amp;"/"&amp;L32&amp;"&lt;lv"&amp;R32&amp;"&gt;s"&amp;AC32</f>
        <v>47003_4-1/1187&lt;lv80&gt;s2</v>
      </c>
      <c r="B32" s="106">
        <v>47003</v>
      </c>
      <c r="C32" s="107">
        <v>4</v>
      </c>
      <c r="D32" s="107" t="str">
        <f>B32&amp;"_"&amp;C32</f>
        <v>47003_4</v>
      </c>
      <c r="E32" s="111" t="str">
        <f ca="1">VLOOKUP($B32,OFFSET([2]quests!$A$1,0,0,COUNTA([2]quests!$A:$A),MATCH(E$1,[2]quests!$1:$1,0)-MATCH($B$1,[2]quests!$1:$1,0)+1),MATCH(E$1,[2]quests!$1:$1,0)-MATCH($B$1,[2]quests!$1:$1,0)+1,FALSE)</f>
        <v>ハロウィンナイトパニック！</v>
      </c>
      <c r="F32" s="111" t="str">
        <f ca="1">VLOOKUP($D32,OFFSET([2]stages!$A$1,0,0,COUNTA([2]stages!$A:$A),MATCH(F$1,[2]stages!$2:$2,0)-MATCH($D$1,[2]stages!$2:$2,0)+1),MATCH(F$1,[2]stages!$2:$2,0)-MATCH($D$1,[2]stages!$2:$2,0)+1,FALSE)</f>
        <v>【ｳｨｻﾞ】ハロウィンナイトパニック！</v>
      </c>
      <c r="G32" s="107">
        <v>1</v>
      </c>
      <c r="H32" s="109" t="str">
        <f>B32&amp;"_"&amp;C32&amp;"-"&amp;G32</f>
        <v>47003_4-1</v>
      </c>
      <c r="I32" s="111">
        <f ca="1">VLOOKUP($H32,OFFSET(floors!$A$1,0,0,COUNTA(floors!$A:$A),MATCH(I$1,floors!$1:$1,0)-MATCH($H$1,floors!$1:$1,0)+1),MATCH(I$1,floors!$1:$1,0)-MATCH($H$1,floors!$1:$1,0)+1,FALSE)</f>
        <v>60</v>
      </c>
      <c r="J32" s="111">
        <f ca="1">VLOOKUP($H32,OFFSET(floors!$A$1,0,0,COUNTA(floors!$A:$A),MATCH(J$1,floors!$1:$1,0)-MATCH($H$1,floors!$1:$1,0)+1),MATCH(J$1,floors!$1:$1,0)-MATCH($H$1,floors!$1:$1,0)+1,FALSE)</f>
        <v>60</v>
      </c>
      <c r="K32" s="110" t="s">
        <v>253</v>
      </c>
      <c r="L32" s="107">
        <v>1187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ハッピーハロウィン ポチ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red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Drop1T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17">
        <f ca="1">VLOOKUP($L32,OFFSET([3]enemies!$A$1,0,0,COUNTA([3]enemies!$A:$A),MATCH(Q$1,[3]enemies!$1:$1,0)-MATCH($L$1,[3]enemies!$1:$1,0)+1),MATCH(Q$1,[3]enemies!$1:$1,0)-MATCH($L$1,[3]enemies!$1:$1,0)+1,FALSE)</f>
        <v>15</v>
      </c>
      <c r="R32" s="5">
        <v>80</v>
      </c>
      <c r="S32" s="112">
        <v>0.7</v>
      </c>
      <c r="T32" s="104">
        <f ca="1">ROUND(VLOOKUP(R32,[3]enemy_base_stats!$A:$F,2,FALSE) *INDIRECT("[EnemyMasterData.xlsm]enemies!Y"&amp;(L32+1))*  INDIRECT("[EnemyMasterData.xlsm]enemies!J"&amp;(L32+1))* INDIRECT("[EnemyMasterData.xlsm]enemies!O"&amp;(L32+1))* INDIRECT("[EnemyMasterData.xlsm]enemies!E"&amp;(L32+1))* INDIRECT("[EnemyMasterData.xlsm]enemies!S"&amp;(L32+1))* INDIRECT("[EnemyMasterData.xlsm]enemies!AD"&amp;(L32+1))*[4]ステータス!$B$2,0)*S32</f>
        <v>57050</v>
      </c>
      <c r="U32" s="112">
        <v>0.3</v>
      </c>
      <c r="V32" s="104">
        <f ca="1">ROUND(VLOOKUP(R32,[3]enemy_base_stats!$A:$F,3,FALSE) *INDIRECT("[EnemyMasterData.xlsm]enemies!Z"&amp;(L32+1))*  INDIRECT("[EnemyMasterData.xlsm]enemies!K"&amp;(L32+1))* INDIRECT("[EnemyMasterData.xlsm]enemies!P"&amp;(L32+1))* INDIRECT("[EnemyMasterData.xlsm]enemies!F"&amp;(L32+1))* INDIRECT("[EnemyMasterData.xlsm]enemies!T"&amp;(L32+1))* INDIRECT("[EnemyMasterData.xlsm]enemies!AE"&amp;(L32+1))*[4]ステータス!$C$2,0)*U32</f>
        <v>2587.1999999999998</v>
      </c>
      <c r="W32" s="5">
        <v>0</v>
      </c>
      <c r="X32" s="4" t="str">
        <f ca="1">VLOOKUP($Y32,OFFSET(enemy_skill_sets!$B$1,0,0,COUNTA(enemy_skill_sets!$B:$B),MATCH(M$1,enemy_skill_sets!$1:$1,0)-MATCH($Y$1,enemy_skill_sets!$1:$1,0)+2),MATCH(M$1,enemy_skill_sets!$1:$1,0)-MATCH($Y$1,enemy_skill_sets!$1:$1,0)+2,FALSE)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32" s="111">
        <v>47003600</v>
      </c>
      <c r="Z32" s="6">
        <v>1</v>
      </c>
      <c r="AA32" s="6">
        <v>100</v>
      </c>
      <c r="AB32" s="6">
        <v>1</v>
      </c>
      <c r="AC32" s="17">
        <v>2</v>
      </c>
      <c r="AD32" s="24">
        <f t="shared" ref="AD32:AD35" si="30">L32</f>
        <v>1187</v>
      </c>
      <c r="AE32" s="4" t="str">
        <f ca="1">VLOOKUP($AD32,OFFSET([4]characters!$A$1,0,0,COUNTA([4]characters!$A:$A),MATCH(AE$1,[4]characters!$1:$1,0)-MATCH("character_id",[4]characters!$1:$1,0)+1),MATCH(AE$1,[4]characters!$1:$1,0)-MATCH("character_id",[4]characters!$1:$1,0)+1,FALSE)</f>
        <v>ハッピーハロウィン ポチ</v>
      </c>
      <c r="AF32" s="4">
        <f ca="1">VLOOKUP($AD32,OFFSET([4]characters!$A$1,0,0,COUNTA([4]characters!$A:$A),MATCH(AF$1,[4]characters!$1:$1,0)-MATCH("character_id",[4]characters!$1:$1,0)+1),MATCH(AF$1,[4]characters!$1:$1,0)-MATCH("character_id",[4]characters!$1:$1,0)+1,FALSE)</f>
        <v>1</v>
      </c>
      <c r="AG32" s="4" t="str">
        <f ca="1">VLOOKUP($AD32,OFFSET([4]characters!$A$1,0,0,COUNTA([4]characters!$A:$A),MATCH(AG$1,[4]characters!$1:$1,0)-MATCH("character_id",[4]characters!$1:$1,0)+1),MATCH(AG$1,[4]characters!$1:$1,0)-MATCH("character_id",[4]characters!$1:$1,0)+1,FALSE)</f>
        <v>Drop1T</v>
      </c>
      <c r="AH32" s="7">
        <v>1</v>
      </c>
      <c r="AI32" s="24">
        <f ca="1">AF32</f>
        <v>1</v>
      </c>
      <c r="AJ32" s="8">
        <v>20</v>
      </c>
      <c r="AK32" s="7">
        <v>0</v>
      </c>
      <c r="AL32" s="7">
        <v>0</v>
      </c>
      <c r="AM32" s="7">
        <v>0</v>
      </c>
      <c r="AN32" s="7">
        <v>0</v>
      </c>
      <c r="AO32" s="7">
        <v>1</v>
      </c>
      <c r="AP32" s="70">
        <v>1</v>
      </c>
    </row>
    <row r="33" spans="1:42" ht="21" customHeight="1" x14ac:dyDescent="0.15">
      <c r="A33" s="16" t="str">
        <f t="shared" ref="A33:A40" si="31">B33&amp;"_"&amp;C33&amp;"-"&amp;G33&amp;"/"&amp;L33&amp;"&lt;lv"&amp;R33&amp;"&gt;s"&amp;AC33</f>
        <v>47003_4-1/1189&lt;lv80&gt;s2</v>
      </c>
      <c r="B33" s="106">
        <v>47003</v>
      </c>
      <c r="C33" s="107">
        <v>4</v>
      </c>
      <c r="D33" s="107" t="str">
        <f t="shared" ref="D33:D40" si="32">B33&amp;"_"&amp;C33</f>
        <v>47003_4</v>
      </c>
      <c r="E33" s="111" t="str">
        <f ca="1">VLOOKUP($B33,OFFSET([2]quests!$A$1,0,0,COUNTA([2]quests!$A:$A),MATCH(E$1,[2]quests!$1:$1,0)-MATCH($B$1,[2]quests!$1:$1,0)+1),MATCH(E$1,[2]quests!$1:$1,0)-MATCH($B$1,[2]quests!$1:$1,0)+1,FALSE)</f>
        <v>ハロウィンナイトパニック！</v>
      </c>
      <c r="F33" s="111" t="str">
        <f ca="1">VLOOKUP($D33,OFFSET([2]stages!$A$1,0,0,COUNTA([2]stages!$A:$A),MATCH(F$1,[2]stages!$2:$2,0)-MATCH($D$1,[2]stages!$2:$2,0)+1),MATCH(F$1,[2]stages!$2:$2,0)-MATCH($D$1,[2]stages!$2:$2,0)+1,FALSE)</f>
        <v>【ｳｨｻﾞ】ハロウィンナイトパニック！</v>
      </c>
      <c r="G33" s="107">
        <v>1</v>
      </c>
      <c r="H33" s="109" t="str">
        <f t="shared" ref="H33:H40" si="33">B33&amp;"_"&amp;C33&amp;"-"&amp;G33</f>
        <v>47003_4-1</v>
      </c>
      <c r="I33" s="111">
        <f ca="1">VLOOKUP($H33,OFFSET(floors!$A$1,0,0,COUNTA(floors!$A:$A),MATCH(I$1,floors!$1:$1,0)-MATCH($H$1,floors!$1:$1,0)+1),MATCH(I$1,floors!$1:$1,0)-MATCH($H$1,floors!$1:$1,0)+1,FALSE)</f>
        <v>60</v>
      </c>
      <c r="J33" s="111">
        <f ca="1">VLOOKUP($H33,OFFSET(floors!$A$1,0,0,COUNTA(floors!$A:$A),MATCH(J$1,floors!$1:$1,0)-MATCH($H$1,floors!$1:$1,0)+1),MATCH(J$1,floors!$1:$1,0)-MATCH($H$1,floors!$1:$1,0)+1,FALSE)</f>
        <v>60</v>
      </c>
      <c r="K33" s="110" t="s">
        <v>253</v>
      </c>
      <c r="L33" s="107">
        <v>1189</v>
      </c>
      <c r="M33" s="17" t="str">
        <f ca="1">VLOOKUP($L33,OFFSET([3]enemies!$A$1,0,0,COUNTA([3]enemies!$A:$A),MATCH(M$1,[3]enemies!$1:$1,0)-MATCH($L$1,[3]enemies!$1:$1,0)+1),MATCH(M$1,[3]enemies!$1:$1,0)-MATCH($L$1,[3]enemies!$1:$1,0)+1,FALSE)</f>
        <v>ハッピーハロウィン ジェリー</v>
      </c>
      <c r="N33" s="17" t="str">
        <f ca="1">VLOOKUP($L33,OFFSET([3]enemies!$A$1,0,0,COUNTA([3]enemies!$A:$A),MATCH(N$1,[3]enemies!$1:$1,0)-MATCH($L$1,[3]enemies!$1:$1,0)+1),MATCH(N$1,[3]enemies!$1:$1,0)-MATCH($L$1,[3]enemies!$1:$1,0)+1,FALSE)</f>
        <v>blue</v>
      </c>
      <c r="O33" s="17" t="str">
        <f ca="1">VLOOKUP($L33,OFFSET([4]characters!$A$1,0,0,COUNTA([4]characters!$A:$A),MATCH(O$1,[4]characters!$1:$1,0)-MATCH($L$1,[4]characters!$1:$1,0)+1),MATCH(O$1,[4]characters!$1:$1,0)-MATCH($L$1,[4]characters!$1:$1,0)+1,FALSE)</f>
        <v>Drop1T</v>
      </c>
      <c r="P33" s="17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17">
        <f ca="1">VLOOKUP($L33,OFFSET([3]enemies!$A$1,0,0,COUNTA([3]enemies!$A:$A),MATCH(Q$1,[3]enemies!$1:$1,0)-MATCH($L$1,[3]enemies!$1:$1,0)+1),MATCH(Q$1,[3]enemies!$1:$1,0)-MATCH($L$1,[3]enemies!$1:$1,0)+1,FALSE)</f>
        <v>15</v>
      </c>
      <c r="R33" s="5">
        <v>80</v>
      </c>
      <c r="S33" s="112">
        <v>0.8</v>
      </c>
      <c r="T33" s="104">
        <f ca="1">ROUND(VLOOKUP(R33,[3]enemy_base_stats!$A:$F,2,FALSE) *INDIRECT("[EnemyMasterData.xlsm]enemies!Y"&amp;(L33+1))*  INDIRECT("[EnemyMasterData.xlsm]enemies!J"&amp;(L33+1))* INDIRECT("[EnemyMasterData.xlsm]enemies!O"&amp;(L33+1))* INDIRECT("[EnemyMasterData.xlsm]enemies!E"&amp;(L33+1))* INDIRECT("[EnemyMasterData.xlsm]enemies!S"&amp;(L33+1))* INDIRECT("[EnemyMasterData.xlsm]enemies!AD"&amp;(L33+1))*[4]ステータス!$B$2,0)*S33</f>
        <v>52160</v>
      </c>
      <c r="U33" s="112">
        <v>0.7</v>
      </c>
      <c r="V33" s="104">
        <f ca="1">ROUND(VLOOKUP(R33,[3]enemy_base_stats!$A:$F,3,FALSE) *INDIRECT("[EnemyMasterData.xlsm]enemies!Z"&amp;(L33+1))*  INDIRECT("[EnemyMasterData.xlsm]enemies!K"&amp;(L33+1))* INDIRECT("[EnemyMasterData.xlsm]enemies!P"&amp;(L33+1))* INDIRECT("[EnemyMasterData.xlsm]enemies!F"&amp;(L33+1))* INDIRECT("[EnemyMasterData.xlsm]enemies!T"&amp;(L33+1))* INDIRECT("[EnemyMasterData.xlsm]enemies!AE"&amp;(L33+1))*[4]ステータス!$C$2,0)*U33</f>
        <v>3401.2999999999997</v>
      </c>
      <c r="W33" s="5">
        <v>0</v>
      </c>
      <c r="X33" s="4" t="str">
        <f ca="1">VLOOKUP($Y33,OFFSET(enemy_skill_sets!$B$1,0,0,COUNTA(enemy_skill_sets!$B:$B),MATCH(M$1,enemy_skill_sets!$1:$1,0)-MATCH($Y$1,enemy_skill_sets!$1:$1,0)+2),MATCH(M$1,enemy_skill_sets!$1:$1,0)-MATCH($Y$1,enemy_skill_sets!$1:$1,0)+2,FALSE)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33" s="111">
        <v>47003610</v>
      </c>
      <c r="Z33" s="6">
        <v>1</v>
      </c>
      <c r="AA33" s="6">
        <v>100</v>
      </c>
      <c r="AB33" s="6">
        <v>0</v>
      </c>
      <c r="AC33" s="17">
        <v>2</v>
      </c>
      <c r="AD33" s="24">
        <f t="shared" si="30"/>
        <v>1189</v>
      </c>
      <c r="AE33" s="4" t="str">
        <f ca="1">VLOOKUP($AD33,OFFSET([4]characters!$A$1,0,0,COUNTA([4]characters!$A:$A),MATCH(AE$1,[4]characters!$1:$1,0)-MATCH("character_id",[4]characters!$1:$1,0)+1),MATCH(AE$1,[4]characters!$1:$1,0)-MATCH("character_id",[4]characters!$1:$1,0)+1,FALSE)</f>
        <v>ハッピーハロウィン ジェリー</v>
      </c>
      <c r="AF33" s="4">
        <f ca="1">VLOOKUP($AD33,OFFSET([4]characters!$A$1,0,0,COUNTA([4]characters!$A:$A),MATCH(AF$1,[4]characters!$1:$1,0)-MATCH("character_id",[4]characters!$1:$1,0)+1),MATCH(AF$1,[4]characters!$1:$1,0)-MATCH("character_id",[4]characters!$1:$1,0)+1,FALSE)</f>
        <v>1</v>
      </c>
      <c r="AG33" s="4" t="str">
        <f ca="1">VLOOKUP($AD33,OFFSET([4]characters!$A$1,0,0,COUNTA([4]characters!$A:$A),MATCH(AG$1,[4]characters!$1:$1,0)-MATCH("character_id",[4]characters!$1:$1,0)+1),MATCH(AG$1,[4]characters!$1:$1,0)-MATCH("character_id",[4]characters!$1:$1,0)+1,FALSE)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3" s="7">
        <v>1</v>
      </c>
      <c r="AI33" s="24">
        <f t="shared" ref="AI33:AI40" ca="1" si="34">AF33</f>
        <v>1</v>
      </c>
      <c r="AJ33" s="8">
        <v>20</v>
      </c>
      <c r="AK33" s="7">
        <v>0</v>
      </c>
      <c r="AL33" s="7">
        <v>0</v>
      </c>
      <c r="AM33" s="7">
        <v>0</v>
      </c>
      <c r="AN33" s="7">
        <v>0</v>
      </c>
      <c r="AO33" s="7">
        <v>1</v>
      </c>
      <c r="AP33" s="70">
        <v>1</v>
      </c>
    </row>
    <row r="34" spans="1:42" ht="21" customHeight="1" x14ac:dyDescent="0.15">
      <c r="A34" s="16" t="str">
        <f t="shared" si="31"/>
        <v>47003_4-1/1190&lt;lv80&gt;s2</v>
      </c>
      <c r="B34" s="106">
        <v>47003</v>
      </c>
      <c r="C34" s="107">
        <v>4</v>
      </c>
      <c r="D34" s="107" t="str">
        <f t="shared" si="32"/>
        <v>47003_4</v>
      </c>
      <c r="E34" s="111" t="str">
        <f ca="1">VLOOKUP($B34,OFFSET([2]quests!$A$1,0,0,COUNTA([2]quests!$A:$A),MATCH(E$1,[2]quests!$1:$1,0)-MATCH($B$1,[2]quests!$1:$1,0)+1),MATCH(E$1,[2]quests!$1:$1,0)-MATCH($B$1,[2]quests!$1:$1,0)+1,FALSE)</f>
        <v>ハロウィンナイトパニック！</v>
      </c>
      <c r="F34" s="111" t="str">
        <f ca="1">VLOOKUP($D34,OFFSET([2]stages!$A$1,0,0,COUNTA([2]stages!$A:$A),MATCH(F$1,[2]stages!$2:$2,0)-MATCH($D$1,[2]stages!$2:$2,0)+1),MATCH(F$1,[2]stages!$2:$2,0)-MATCH($D$1,[2]stages!$2:$2,0)+1,FALSE)</f>
        <v>【ｳｨｻﾞ】ハロウィンナイトパニック！</v>
      </c>
      <c r="G34" s="107">
        <v>1</v>
      </c>
      <c r="H34" s="109" t="str">
        <f t="shared" si="33"/>
        <v>47003_4-1</v>
      </c>
      <c r="I34" s="111">
        <f ca="1">VLOOKUP($H34,OFFSET(floors!$A$1,0,0,COUNTA(floors!$A:$A),MATCH(I$1,floors!$1:$1,0)-MATCH($H$1,floors!$1:$1,0)+1),MATCH(I$1,floors!$1:$1,0)-MATCH($H$1,floors!$1:$1,0)+1,FALSE)</f>
        <v>60</v>
      </c>
      <c r="J34" s="111">
        <f ca="1">VLOOKUP($H34,OFFSET(floors!$A$1,0,0,COUNTA(floors!$A:$A),MATCH(J$1,floors!$1:$1,0)-MATCH($H$1,floors!$1:$1,0)+1),MATCH(J$1,floors!$1:$1,0)-MATCH($H$1,floors!$1:$1,0)+1,FALSE)</f>
        <v>60</v>
      </c>
      <c r="K34" s="110" t="s">
        <v>253</v>
      </c>
      <c r="L34" s="107">
        <v>1190</v>
      </c>
      <c r="M34" s="17" t="str">
        <f ca="1">VLOOKUP($L34,OFFSET([3]enemies!$A$1,0,0,COUNTA([3]enemies!$A:$A),MATCH(M$1,[3]enemies!$1:$1,0)-MATCH($L$1,[3]enemies!$1:$1,0)+1),MATCH(M$1,[3]enemies!$1:$1,0)-MATCH($L$1,[3]enemies!$1:$1,0)+1,FALSE)</f>
        <v>ハッピーハロウィン エレキポット</v>
      </c>
      <c r="N34" s="17" t="str">
        <f ca="1">VLOOKUP($L34,OFFSET([3]enemies!$A$1,0,0,COUNTA([3]enemies!$A:$A),MATCH(N$1,[3]enemies!$1:$1,0)-MATCH($L$1,[3]enemies!$1:$1,0)+1),MATCH(N$1,[3]enemies!$1:$1,0)-MATCH($L$1,[3]enemies!$1:$1,0)+1,FALSE)</f>
        <v>yellow</v>
      </c>
      <c r="O34" s="17" t="str">
        <f ca="1">VLOOKUP($L34,OFFSET([4]characters!$A$1,0,0,COUNTA([4]characters!$A:$A),MATCH(O$1,[4]characters!$1:$1,0)-MATCH($L$1,[4]characters!$1:$1,0)+1),MATCH(O$1,[4]characters!$1:$1,0)-MATCH($L$1,[4]characters!$1:$1,0)+1,FALSE)</f>
        <v>Drop1T</v>
      </c>
      <c r="P34" s="17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17">
        <f ca="1">VLOOKUP($L34,OFFSET([3]enemies!$A$1,0,0,COUNTA([3]enemies!$A:$A),MATCH(Q$1,[3]enemies!$1:$1,0)-MATCH($L$1,[3]enemies!$1:$1,0)+1),MATCH(Q$1,[3]enemies!$1:$1,0)-MATCH($L$1,[3]enemies!$1:$1,0)+1,FALSE)</f>
        <v>15</v>
      </c>
      <c r="R34" s="5">
        <v>80</v>
      </c>
      <c r="S34" s="112">
        <v>0.7</v>
      </c>
      <c r="T34" s="104">
        <f ca="1">ROUND(VLOOKUP(R34,[3]enemy_base_stats!$A:$F,2,FALSE) *INDIRECT("[EnemyMasterData.xlsm]enemies!Y"&amp;(L34+1))*  INDIRECT("[EnemyMasterData.xlsm]enemies!J"&amp;(L34+1))* INDIRECT("[EnemyMasterData.xlsm]enemies!O"&amp;(L34+1))* INDIRECT("[EnemyMasterData.xlsm]enemies!E"&amp;(L34+1))* INDIRECT("[EnemyMasterData.xlsm]enemies!S"&amp;(L34+1))* INDIRECT("[EnemyMasterData.xlsm]enemies!AD"&amp;(L34+1))*[4]ステータス!$B$2,0)*S34</f>
        <v>55909</v>
      </c>
      <c r="U34" s="112">
        <v>0.5</v>
      </c>
      <c r="V34" s="104">
        <f ca="1">ROUND(VLOOKUP(R34,[3]enemy_base_stats!$A:$F,3,FALSE) *INDIRECT("[EnemyMasterData.xlsm]enemies!Z"&amp;(L34+1))*  INDIRECT("[EnemyMasterData.xlsm]enemies!K"&amp;(L34+1))* INDIRECT("[EnemyMasterData.xlsm]enemies!P"&amp;(L34+1))* INDIRECT("[EnemyMasterData.xlsm]enemies!F"&amp;(L34+1))* INDIRECT("[EnemyMasterData.xlsm]enemies!T"&amp;(L34+1))* INDIRECT("[EnemyMasterData.xlsm]enemies!AE"&amp;(L34+1))*[4]ステータス!$C$2,0)*U34</f>
        <v>4269.5</v>
      </c>
      <c r="W34" s="5">
        <v>0</v>
      </c>
      <c r="X34" s="4" t="str">
        <f ca="1">VLOOKUP($Y34,OFFSET(enemy_skill_sets!$B$1,0,0,COUNTA(enemy_skill_sets!$B:$B),MATCH(M$1,enemy_skill_sets!$1:$1,0)-MATCH($Y$1,enemy_skill_sets!$1:$1,0)+2),MATCH(M$1,enemy_skill_sets!$1:$1,0)-MATCH($Y$1,enemy_skill_sets!$1:$1,0)+2,FALSE)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34" s="111">
        <v>47003620</v>
      </c>
      <c r="Z34" s="6">
        <v>1</v>
      </c>
      <c r="AA34" s="6">
        <v>100</v>
      </c>
      <c r="AB34" s="6">
        <v>0</v>
      </c>
      <c r="AC34" s="17">
        <v>2</v>
      </c>
      <c r="AD34" s="24">
        <f t="shared" si="30"/>
        <v>1190</v>
      </c>
      <c r="AE34" s="4" t="str">
        <f ca="1">VLOOKUP($AD34,OFFSET([4]characters!$A$1,0,0,COUNTA([4]characters!$A:$A),MATCH(AE$1,[4]characters!$1:$1,0)-MATCH("character_id",[4]characters!$1:$1,0)+1),MATCH(AE$1,[4]characters!$1:$1,0)-MATCH("character_id",[4]characters!$1:$1,0)+1,FALSE)</f>
        <v>ハッピーハロウィン エレキポット</v>
      </c>
      <c r="AF34" s="4">
        <f ca="1">VLOOKUP($AD34,OFFSET([4]characters!$A$1,0,0,COUNTA([4]characters!$A:$A),MATCH(AF$1,[4]characters!$1:$1,0)-MATCH("character_id",[4]characters!$1:$1,0)+1),MATCH(AF$1,[4]characters!$1:$1,0)-MATCH("character_id",[4]characters!$1:$1,0)+1,FALSE)</f>
        <v>1</v>
      </c>
      <c r="AG34" s="4" t="str">
        <f ca="1">VLOOKUP($AD34,OFFSET([4]characters!$A$1,0,0,COUNTA([4]characters!$A:$A),MATCH(AG$1,[4]characters!$1:$1,0)-MATCH("character_id",[4]characters!$1:$1,0)+1),MATCH(AG$1,[4]characters!$1:$1,0)-MATCH("character_id",[4]characters!$1:$1,0)+1,FALSE)</f>
        <v>Drop1T</v>
      </c>
      <c r="AH34" s="7">
        <v>1</v>
      </c>
      <c r="AI34" s="24">
        <f t="shared" ca="1" si="34"/>
        <v>1</v>
      </c>
      <c r="AJ34" s="8">
        <v>20</v>
      </c>
      <c r="AK34" s="7">
        <v>0</v>
      </c>
      <c r="AL34" s="7">
        <v>0</v>
      </c>
      <c r="AM34" s="7">
        <v>0</v>
      </c>
      <c r="AN34" s="7">
        <v>0</v>
      </c>
      <c r="AO34" s="7">
        <v>1</v>
      </c>
      <c r="AP34" s="70">
        <v>1</v>
      </c>
    </row>
    <row r="35" spans="1:42" ht="21" customHeight="1" x14ac:dyDescent="0.15">
      <c r="A35" s="16" t="str">
        <f t="shared" si="31"/>
        <v>47003_4-1/1188&lt;lv80&gt;s2</v>
      </c>
      <c r="B35" s="106">
        <v>47003</v>
      </c>
      <c r="C35" s="107">
        <v>4</v>
      </c>
      <c r="D35" s="107" t="str">
        <f t="shared" si="32"/>
        <v>47003_4</v>
      </c>
      <c r="E35" s="111" t="str">
        <f ca="1">VLOOKUP($B35,OFFSET([2]quests!$A$1,0,0,COUNTA([2]quests!$A:$A),MATCH(E$1,[2]quests!$1:$1,0)-MATCH($B$1,[2]quests!$1:$1,0)+1),MATCH(E$1,[2]quests!$1:$1,0)-MATCH($B$1,[2]quests!$1:$1,0)+1,FALSE)</f>
        <v>ハロウィンナイトパニック！</v>
      </c>
      <c r="F35" s="111" t="str">
        <f ca="1">VLOOKUP($D35,OFFSET([2]stages!$A$1,0,0,COUNTA([2]stages!$A:$A),MATCH(F$1,[2]stages!$2:$2,0)-MATCH($D$1,[2]stages!$2:$2,0)+1),MATCH(F$1,[2]stages!$2:$2,0)-MATCH($D$1,[2]stages!$2:$2,0)+1,FALSE)</f>
        <v>【ｳｨｻﾞ】ハロウィンナイトパニック！</v>
      </c>
      <c r="G35" s="107">
        <v>1</v>
      </c>
      <c r="H35" s="109" t="str">
        <f t="shared" si="33"/>
        <v>47003_4-1</v>
      </c>
      <c r="I35" s="111">
        <f ca="1">VLOOKUP($H35,OFFSET(floors!$A$1,0,0,COUNTA(floors!$A:$A),MATCH(I$1,floors!$1:$1,0)-MATCH($H$1,floors!$1:$1,0)+1),MATCH(I$1,floors!$1:$1,0)-MATCH($H$1,floors!$1:$1,0)+1,FALSE)</f>
        <v>60</v>
      </c>
      <c r="J35" s="111">
        <f ca="1">VLOOKUP($H35,OFFSET(floors!$A$1,0,0,COUNTA(floors!$A:$A),MATCH(J$1,floors!$1:$1,0)-MATCH($H$1,floors!$1:$1,0)+1),MATCH(J$1,floors!$1:$1,0)-MATCH($H$1,floors!$1:$1,0)+1,FALSE)</f>
        <v>60</v>
      </c>
      <c r="K35" s="110" t="s">
        <v>253</v>
      </c>
      <c r="L35" s="107">
        <v>1188</v>
      </c>
      <c r="M35" s="17" t="str">
        <f ca="1">VLOOKUP($L35,OFFSET([3]enemies!$A$1,0,0,COUNTA([3]enemies!$A:$A),MATCH(M$1,[3]enemies!$1:$1,0)-MATCH($L$1,[3]enemies!$1:$1,0)+1),MATCH(M$1,[3]enemies!$1:$1,0)-MATCH($L$1,[3]enemies!$1:$1,0)+1,FALSE)</f>
        <v>ハッピーハロウィン ジョー</v>
      </c>
      <c r="N35" s="17" t="str">
        <f ca="1">VLOOKUP($L35,OFFSET([3]enemies!$A$1,0,0,COUNTA([3]enemies!$A:$A),MATCH(N$1,[3]enemies!$1:$1,0)-MATCH($L$1,[3]enemies!$1:$1,0)+1),MATCH(N$1,[3]enemies!$1:$1,0)-MATCH($L$1,[3]enemies!$1:$1,0)+1,FALSE)</f>
        <v>green</v>
      </c>
      <c r="O35" s="17" t="str">
        <f ca="1">VLOOKUP($L35,OFFSET([4]characters!$A$1,0,0,COUNTA([4]characters!$A:$A),MATCH(O$1,[4]characters!$1:$1,0)-MATCH($L$1,[4]characters!$1:$1,0)+1),MATCH(O$1,[4]characters!$1:$1,0)-MATCH($L$1,[4]characters!$1:$1,0)+1,FALSE)</f>
        <v>Drop1T</v>
      </c>
      <c r="P35" s="17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17">
        <f ca="1">VLOOKUP($L35,OFFSET([3]enemies!$A$1,0,0,COUNTA([3]enemies!$A:$A),MATCH(Q$1,[3]enemies!$1:$1,0)-MATCH($L$1,[3]enemies!$1:$1,0)+1),MATCH(Q$1,[3]enemies!$1:$1,0)-MATCH($L$1,[3]enemies!$1:$1,0)+1,FALSE)</f>
        <v>15</v>
      </c>
      <c r="R35" s="5">
        <v>80</v>
      </c>
      <c r="S35" s="112">
        <v>0.6</v>
      </c>
      <c r="T35" s="104">
        <f ca="1">ROUND(VLOOKUP(R35,[3]enemy_base_stats!$A:$F,2,FALSE) *INDIRECT("[EnemyMasterData.xlsm]enemies!Y"&amp;(L35+1))*  INDIRECT("[EnemyMasterData.xlsm]enemies!J"&amp;(L35+1))* INDIRECT("[EnemyMasterData.xlsm]enemies!O"&amp;(L35+1))* INDIRECT("[EnemyMasterData.xlsm]enemies!E"&amp;(L35+1))* INDIRECT("[EnemyMasterData.xlsm]enemies!S"&amp;(L35+1))* INDIRECT("[EnemyMasterData.xlsm]enemies!AD"&amp;(L35+1))*[4]ステータス!$B$2,0)*S35</f>
        <v>49878</v>
      </c>
      <c r="U35" s="112">
        <v>0.5</v>
      </c>
      <c r="V35" s="104">
        <f ca="1">ROUND(VLOOKUP(R35,[3]enemy_base_stats!$A:$F,3,FALSE) *INDIRECT("[EnemyMasterData.xlsm]enemies!Z"&amp;(L35+1))*  INDIRECT("[EnemyMasterData.xlsm]enemies!K"&amp;(L35+1))* INDIRECT("[EnemyMasterData.xlsm]enemies!P"&amp;(L35+1))* INDIRECT("[EnemyMasterData.xlsm]enemies!F"&amp;(L35+1))* INDIRECT("[EnemyMasterData.xlsm]enemies!T"&amp;(L35+1))* INDIRECT("[EnemyMasterData.xlsm]enemies!AE"&amp;(L35+1))*[4]ステータス!$C$2,0)*U35</f>
        <v>3115</v>
      </c>
      <c r="W35" s="5">
        <v>0</v>
      </c>
      <c r="X35" s="4" t="str">
        <f ca="1">VLOOKUP($Y35,OFFSET(enemy_skill_sets!$B$1,0,0,COUNTA(enemy_skill_sets!$B:$B),MATCH(M$1,enemy_skill_sets!$1:$1,0)-MATCH($Y$1,enemy_skill_sets!$1:$1,0)+2),MATCH(M$1,enemy_skill_sets!$1:$1,0)-MATCH($Y$1,enemy_skill_sets!$1:$1,0)+2,FALSE)</f>
        <v>(表示しない）</v>
      </c>
      <c r="Y35" s="111">
        <v>47003630</v>
      </c>
      <c r="Z35" s="6">
        <v>1</v>
      </c>
      <c r="AA35" s="6">
        <v>100</v>
      </c>
      <c r="AB35" s="6">
        <v>1</v>
      </c>
      <c r="AC35" s="17">
        <v>2</v>
      </c>
      <c r="AD35" s="24">
        <f t="shared" si="30"/>
        <v>1188</v>
      </c>
      <c r="AE35" s="4" t="str">
        <f ca="1">VLOOKUP($AD35,OFFSET([4]characters!$A$1,0,0,COUNTA([4]characters!$A:$A),MATCH(AE$1,[4]characters!$1:$1,0)-MATCH("character_id",[4]characters!$1:$1,0)+1),MATCH(AE$1,[4]characters!$1:$1,0)-MATCH("character_id",[4]characters!$1:$1,0)+1,FALSE)</f>
        <v>ハッピーハロウィン ジョー</v>
      </c>
      <c r="AF35" s="4">
        <f ca="1">VLOOKUP($AD35,OFFSET([4]characters!$A$1,0,0,COUNTA([4]characters!$A:$A),MATCH(AF$1,[4]characters!$1:$1,0)-MATCH("character_id",[4]characters!$1:$1,0)+1),MATCH(AF$1,[4]characters!$1:$1,0)-MATCH("character_id",[4]characters!$1:$1,0)+1,FALSE)</f>
        <v>1</v>
      </c>
      <c r="AG35" s="4" t="str">
        <f ca="1">VLOOKUP($AD35,OFFSET([4]characters!$A$1,0,0,COUNTA([4]characters!$A:$A),MATCH(AG$1,[4]characters!$1:$1,0)-MATCH("character_id",[4]characters!$1:$1,0)+1),MATCH(AG$1,[4]characters!$1:$1,0)-MATCH("character_id",[4]characters!$1:$1,0)+1,FALSE)</f>
        <v>Drop1T</v>
      </c>
      <c r="AH35" s="7">
        <v>1</v>
      </c>
      <c r="AI35" s="24">
        <f t="shared" ca="1" si="34"/>
        <v>1</v>
      </c>
      <c r="AJ35" s="8">
        <v>20</v>
      </c>
      <c r="AK35" s="7">
        <v>0</v>
      </c>
      <c r="AL35" s="7">
        <v>0</v>
      </c>
      <c r="AM35" s="7">
        <v>0</v>
      </c>
      <c r="AN35" s="7">
        <v>0</v>
      </c>
      <c r="AO35" s="7">
        <v>1</v>
      </c>
      <c r="AP35" s="70">
        <v>1</v>
      </c>
    </row>
    <row r="36" spans="1:42" ht="21" customHeight="1" x14ac:dyDescent="0.15">
      <c r="A36" s="16" t="str">
        <f t="shared" ref="A36" si="35">B36&amp;"_"&amp;C36&amp;"-"&amp;G36&amp;"/"&amp;L36&amp;"&lt;lv"&amp;R36&amp;"&gt;s"&amp;AC36</f>
        <v>47003_4-2/1199&lt;lv80&gt;s3</v>
      </c>
      <c r="B36" s="106">
        <v>47003</v>
      </c>
      <c r="C36" s="107">
        <v>4</v>
      </c>
      <c r="D36" s="107" t="str">
        <f t="shared" ref="D36" si="36">B36&amp;"_"&amp;C36</f>
        <v>47003_4</v>
      </c>
      <c r="E36" s="111" t="str">
        <f ca="1">VLOOKUP($B36,OFFSET([2]quests!$A$1,0,0,COUNTA([2]quests!$A:$A),MATCH(E$1,[2]quests!$1:$1,0)-MATCH($B$1,[2]quests!$1:$1,0)+1),MATCH(E$1,[2]quests!$1:$1,0)-MATCH($B$1,[2]quests!$1:$1,0)+1,FALSE)</f>
        <v>ハロウィンナイトパニック！</v>
      </c>
      <c r="F36" s="111" t="str">
        <f ca="1">VLOOKUP($D36,OFFSET([2]stages!$A$1,0,0,COUNTA([2]stages!$A:$A),MATCH(F$1,[2]stages!$2:$2,0)-MATCH($D$1,[2]stages!$2:$2,0)+1),MATCH(F$1,[2]stages!$2:$2,0)-MATCH($D$1,[2]stages!$2:$2,0)+1,FALSE)</f>
        <v>【ｳｨｻﾞ】ハロウィンナイトパニック！</v>
      </c>
      <c r="G36" s="107">
        <v>2</v>
      </c>
      <c r="H36" s="109" t="str">
        <f t="shared" ref="H36" si="37">B36&amp;"_"&amp;C36&amp;"-"&amp;G36</f>
        <v>47003_4-2</v>
      </c>
      <c r="I36" s="111">
        <f ca="1">VLOOKUP($H36,OFFSET(floors!$A$1,0,0,COUNTA(floors!$A:$A),MATCH(I$1,floors!$1:$1,0)-MATCH($H$1,floors!$1:$1,0)+1),MATCH(I$1,floors!$1:$1,0)-MATCH($H$1,floors!$1:$1,0)+1,FALSE)</f>
        <v>60</v>
      </c>
      <c r="J36" s="111">
        <f ca="1">VLOOKUP($H36,OFFSET(floors!$A$1,0,0,COUNTA(floors!$A:$A),MATCH(J$1,floors!$1:$1,0)-MATCH($H$1,floors!$1:$1,0)+1),MATCH(J$1,floors!$1:$1,0)-MATCH($H$1,floors!$1:$1,0)+1,FALSE)</f>
        <v>60</v>
      </c>
      <c r="K36" s="110" t="s">
        <v>88</v>
      </c>
      <c r="L36" s="107">
        <v>1199</v>
      </c>
      <c r="M36" s="17" t="str">
        <f ca="1">VLOOKUP($L36,OFFSET([3]enemies!$A$1,0,0,COUNTA([3]enemies!$A:$A),MATCH(M$1,[3]enemies!$1:$1,0)-MATCH($L$1,[3]enemies!$1:$1,0)+1),MATCH(M$1,[3]enemies!$1:$1,0)-MATCH($L$1,[3]enemies!$1:$1,0)+1,FALSE)</f>
        <v>看装の巡回者 ケルベロス</v>
      </c>
      <c r="N36" s="17" t="str">
        <f ca="1">VLOOKUP($L36,OFFSET([3]enemies!$A$1,0,0,COUNTA([3]enemies!$A:$A),MATCH(N$1,[3]enemies!$1:$1,0)-MATCH($L$1,[3]enemies!$1:$1,0)+1),MATCH(N$1,[3]enemies!$1:$1,0)-MATCH($L$1,[3]enemies!$1:$1,0)+1,FALSE)</f>
        <v>yellow</v>
      </c>
      <c r="O36" s="17" t="str">
        <f ca="1">VLOOKUP($L36,OFFSET([4]characters!$A$1,0,0,COUNTA([4]characters!$A:$A),MATCH(O$1,[4]characters!$1:$1,0)-MATCH($L$1,[4]characters!$1:$1,0)+1),MATCH(O$1,[4]characters!$1:$1,0)-MATCH($L$1,[4]characters!$1:$1,0)+1,FALSE)</f>
        <v>PremiumS</v>
      </c>
      <c r="P36" s="17" t="str">
        <f ca="1">VLOOKUP($L36,OFFSET([3]enemies!$A$1,0,0,COUNTA([3]enemies!$A:$A),MATCH(P$1,[3]enemies!$1:$1,0)-MATCH($L$1,[3]enemies!$1:$1,0)+1),MATCH(P$1,[3]enemies!$1:$1,0)-MATCH($L$1,[3]enemies!$1:$1,0)+1,FALSE)</f>
        <v>animal</v>
      </c>
      <c r="Q36" s="17">
        <f ca="1">VLOOKUP($L36,OFFSET([3]enemies!$A$1,0,0,COUNTA([3]enemies!$A:$A),MATCH(Q$1,[3]enemies!$1:$1,0)-MATCH($L$1,[3]enemies!$1:$1,0)+1),MATCH(Q$1,[3]enemies!$1:$1,0)-MATCH($L$1,[3]enemies!$1:$1,0)+1,FALSE)</f>
        <v>60</v>
      </c>
      <c r="R36" s="5">
        <v>80</v>
      </c>
      <c r="S36" s="129">
        <v>3</v>
      </c>
      <c r="T36" s="104">
        <f ca="1">ROUND(VLOOKUP(R36,[3]enemy_base_stats!$A:$F,2,FALSE) *INDIRECT("[EnemyMasterData.xlsm]enemies!Y"&amp;(L36+1))*  INDIRECT("[EnemyMasterData.xlsm]enemies!J"&amp;(L36+1))* INDIRECT("[EnemyMasterData.xlsm]enemies!O"&amp;(L36+1))* INDIRECT("[EnemyMasterData.xlsm]enemies!E"&amp;(L36+1))* INDIRECT("[EnemyMasterData.xlsm]enemies!S"&amp;(L36+1))* INDIRECT("[EnemyMasterData.xlsm]enemies!AD"&amp;(L36+1))*[4]ステータス!$B$2,0)*S36</f>
        <v>325869</v>
      </c>
      <c r="U36" s="129">
        <v>0.8</v>
      </c>
      <c r="V36" s="104">
        <f ca="1">ROUND(VLOOKUP(R36,[3]enemy_base_stats!$A:$F,3,FALSE) *INDIRECT("[EnemyMasterData.xlsm]enemies!Z"&amp;(L36+1))*  INDIRECT("[EnemyMasterData.xlsm]enemies!K"&amp;(L36+1))* INDIRECT("[EnemyMasterData.xlsm]enemies!P"&amp;(L36+1))* INDIRECT("[EnemyMasterData.xlsm]enemies!F"&amp;(L36+1))* INDIRECT("[EnemyMasterData.xlsm]enemies!T"&amp;(L36+1))* INDIRECT("[EnemyMasterData.xlsm]enemies!AE"&amp;(L36+1))*[4]ステータス!$C$2,0)*U36</f>
        <v>6169.6</v>
      </c>
      <c r="W36" s="5">
        <v>0</v>
      </c>
      <c r="X36" s="4" t="str">
        <f ca="1">VLOOKUP($Y36,OFFSET(enemy_skill_sets!$B$1,0,0,COUNTA(enemy_skill_sets!$B:$B),MATCH(M$1,enemy_skill_sets!$1:$1,0)-MATCH($Y$1,enemy_skill_sets!$1:$1,0)+2),MATCH(M$1,enemy_skill_sets!$1:$1,0)-MATCH($Y$1,enemy_skill_sets!$1:$1,0)+2,FALSE)</f>
        <v>…はっ！　いえっ、なんでもないですぅ！</v>
      </c>
      <c r="Y36" s="111">
        <v>47003650</v>
      </c>
      <c r="Z36" s="6">
        <v>0</v>
      </c>
      <c r="AA36" s="6">
        <v>15</v>
      </c>
      <c r="AB36" s="6">
        <v>0</v>
      </c>
      <c r="AC36" s="17">
        <v>3</v>
      </c>
      <c r="AD36" s="24">
        <f t="shared" ref="AD36" si="38">L36</f>
        <v>1199</v>
      </c>
      <c r="AE36" s="4" t="str">
        <f ca="1">VLOOKUP($AD36,OFFSET([4]characters!$A$1,0,0,COUNTA([4]characters!$A:$A),MATCH(AE$1,[4]characters!$1:$1,0)-MATCH("character_id",[4]characters!$1:$1,0)+1),MATCH(AE$1,[4]characters!$1:$1,0)-MATCH("character_id",[4]characters!$1:$1,0)+1,FALSE)</f>
        <v>看装の巡回者 ケルベロス</v>
      </c>
      <c r="AF36" s="4">
        <f ca="1">VLOOKUP($AD36,OFFSET([4]characters!$A$1,0,0,COUNTA([4]characters!$A:$A),MATCH(AF$1,[4]characters!$1:$1,0)-MATCH("character_id",[4]characters!$1:$1,0)+1),MATCH(AF$1,[4]characters!$1:$1,0)-MATCH("character_id",[4]characters!$1:$1,0)+1,FALSE)</f>
        <v>5</v>
      </c>
      <c r="AG36" s="4" t="str">
        <f ca="1">VLOOKUP($AD36,OFFSET([4]characters!$A$1,0,0,COUNTA([4]characters!$A:$A),MATCH(AG$1,[4]characters!$1:$1,0)-MATCH("character_id",[4]characters!$1:$1,0)+1),MATCH(AG$1,[4]characters!$1:$1,0)-MATCH("character_id",[4]characters!$1:$1,0)+1,FALSE)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6" s="7">
        <v>1</v>
      </c>
      <c r="AI36" s="24">
        <f t="shared" ref="AI36" ca="1" si="39">AF36</f>
        <v>5</v>
      </c>
      <c r="AJ36" s="8">
        <v>0</v>
      </c>
      <c r="AK36" s="7">
        <v>0</v>
      </c>
      <c r="AL36" s="7">
        <v>0</v>
      </c>
      <c r="AM36" s="7">
        <v>0</v>
      </c>
      <c r="AN36" s="7">
        <v>0</v>
      </c>
      <c r="AO36" s="7">
        <v>1</v>
      </c>
      <c r="AP36" s="70">
        <v>1</v>
      </c>
    </row>
    <row r="37" spans="1:42" ht="21" customHeight="1" x14ac:dyDescent="0.15">
      <c r="A37" s="16" t="str">
        <f t="shared" si="31"/>
        <v>47003_4-2/1197&lt;lv80&gt;s3</v>
      </c>
      <c r="B37" s="106">
        <v>47003</v>
      </c>
      <c r="C37" s="107">
        <v>4</v>
      </c>
      <c r="D37" s="107" t="str">
        <f t="shared" si="32"/>
        <v>47003_4</v>
      </c>
      <c r="E37" s="111" t="str">
        <f ca="1">VLOOKUP($B37,OFFSET([2]quests!$A$1,0,0,COUNTA([2]quests!$A:$A),MATCH(E$1,[2]quests!$1:$1,0)-MATCH($B$1,[2]quests!$1:$1,0)+1),MATCH(E$1,[2]quests!$1:$1,0)-MATCH($B$1,[2]quests!$1:$1,0)+1,FALSE)</f>
        <v>ハロウィンナイトパニック！</v>
      </c>
      <c r="F37" s="111" t="str">
        <f ca="1">VLOOKUP($D37,OFFSET([2]stages!$A$1,0,0,COUNTA([2]stages!$A:$A),MATCH(F$1,[2]stages!$2:$2,0)-MATCH($D$1,[2]stages!$2:$2,0)+1),MATCH(F$1,[2]stages!$2:$2,0)-MATCH($D$1,[2]stages!$2:$2,0)+1,FALSE)</f>
        <v>【ｳｨｻﾞ】ハロウィンナイトパニック！</v>
      </c>
      <c r="G37" s="107">
        <v>2</v>
      </c>
      <c r="H37" s="109" t="str">
        <f t="shared" si="33"/>
        <v>47003_4-2</v>
      </c>
      <c r="I37" s="111">
        <f ca="1">VLOOKUP($H37,OFFSET(floors!$A$1,0,0,COUNTA(floors!$A:$A),MATCH(I$1,floors!$1:$1,0)-MATCH($H$1,floors!$1:$1,0)+1),MATCH(I$1,floors!$1:$1,0)-MATCH($H$1,floors!$1:$1,0)+1,FALSE)</f>
        <v>60</v>
      </c>
      <c r="J37" s="111">
        <f ca="1">VLOOKUP($H37,OFFSET(floors!$A$1,0,0,COUNTA(floors!$A:$A),MATCH(J$1,floors!$1:$1,0)-MATCH($H$1,floors!$1:$1,0)+1),MATCH(J$1,floors!$1:$1,0)-MATCH($H$1,floors!$1:$1,0)+1,FALSE)</f>
        <v>60</v>
      </c>
      <c r="K37" s="110" t="s">
        <v>253</v>
      </c>
      <c r="L37" s="107">
        <v>1197</v>
      </c>
      <c r="M37" s="17" t="str">
        <f ca="1">VLOOKUP($L37,OFFSET([3]enemies!$A$1,0,0,COUNTA([3]enemies!$A:$A),MATCH(M$1,[3]enemies!$1:$1,0)-MATCH($L$1,[3]enemies!$1:$1,0)+1),MATCH(M$1,[3]enemies!$1:$1,0)-MATCH($L$1,[3]enemies!$1:$1,0)+1,FALSE)</f>
        <v>冥装の闇黒魔 バフォメット</v>
      </c>
      <c r="N37" s="17" t="str">
        <f ca="1">VLOOKUP($L37,OFFSET([3]enemies!$A$1,0,0,COUNTA([3]enemies!$A:$A),MATCH(N$1,[3]enemies!$1:$1,0)-MATCH($L$1,[3]enemies!$1:$1,0)+1),MATCH(N$1,[3]enemies!$1:$1,0)-MATCH($L$1,[3]enemies!$1:$1,0)+1,FALSE)</f>
        <v>green</v>
      </c>
      <c r="O37" s="17" t="str">
        <f ca="1">VLOOKUP($L37,OFFSET([4]characters!$A$1,0,0,COUNTA([4]characters!$A:$A),MATCH(O$1,[4]characters!$1:$1,0)-MATCH($L$1,[4]characters!$1:$1,0)+1),MATCH(O$1,[4]characters!$1:$1,0)-MATCH($L$1,[4]characters!$1:$1,0)+1,FALSE)</f>
        <v>PremiumS</v>
      </c>
      <c r="P37" s="17" t="str">
        <f ca="1">VLOOKUP($L37,OFFSET([3]enemies!$A$1,0,0,COUNTA([3]enemies!$A:$A),MATCH(P$1,[3]enemies!$1:$1,0)-MATCH($L$1,[3]enemies!$1:$1,0)+1),MATCH(P$1,[3]enemies!$1:$1,0)-MATCH($L$1,[3]enemies!$1:$1,0)+1,FALSE)</f>
        <v>demon</v>
      </c>
      <c r="Q37" s="17">
        <f ca="1">VLOOKUP($L37,OFFSET([3]enemies!$A$1,0,0,COUNTA([3]enemies!$A:$A),MATCH(Q$1,[3]enemies!$1:$1,0)-MATCH($L$1,[3]enemies!$1:$1,0)+1),MATCH(Q$1,[3]enemies!$1:$1,0)-MATCH($L$1,[3]enemies!$1:$1,0)+1,FALSE)</f>
        <v>60</v>
      </c>
      <c r="R37" s="5">
        <v>80</v>
      </c>
      <c r="S37" s="129">
        <v>2.2000000000000002</v>
      </c>
      <c r="T37" s="104">
        <f ca="1">ROUND(VLOOKUP(R37,[3]enemy_base_stats!$A:$F,2,FALSE) *INDIRECT("[EnemyMasterData.xlsm]enemies!Y"&amp;(L37+1))*  INDIRECT("[EnemyMasterData.xlsm]enemies!J"&amp;(L37+1))* INDIRECT("[EnemyMasterData.xlsm]enemies!O"&amp;(L37+1))* INDIRECT("[EnemyMasterData.xlsm]enemies!E"&amp;(L37+1))* INDIRECT("[EnemyMasterData.xlsm]enemies!S"&amp;(L37+1))* INDIRECT("[EnemyMasterData.xlsm]enemies!AD"&amp;(L37+1))*[4]ステータス!$B$2,0)*S37</f>
        <v>310906.2</v>
      </c>
      <c r="U37" s="129">
        <v>0.9</v>
      </c>
      <c r="V37" s="104">
        <f ca="1">ROUND(VLOOKUP(R37,[3]enemy_base_stats!$A:$F,3,FALSE) *INDIRECT("[EnemyMasterData.xlsm]enemies!Z"&amp;(L37+1))*  INDIRECT("[EnemyMasterData.xlsm]enemies!K"&amp;(L37+1))* INDIRECT("[EnemyMasterData.xlsm]enemies!P"&amp;(L37+1))* INDIRECT("[EnemyMasterData.xlsm]enemies!F"&amp;(L37+1))* INDIRECT("[EnemyMasterData.xlsm]enemies!T"&amp;(L37+1))* INDIRECT("[EnemyMasterData.xlsm]enemies!AE"&amp;(L37+1))*[4]ステータス!$C$2,0)*U37</f>
        <v>7849.8</v>
      </c>
      <c r="W37" s="5">
        <v>0</v>
      </c>
      <c r="X37" s="4" t="str">
        <f ca="1">VLOOKUP($Y37,OFFSET(enemy_skill_sets!$B$1,0,0,COUNTA(enemy_skill_sets!$B:$B),MATCH(M$1,enemy_skill_sets!$1:$1,0)-MATCH($Y$1,enemy_skill_sets!$1:$1,0)+2),MATCH(M$1,enemy_skill_sets!$1:$1,0)-MATCH($Y$1,enemy_skill_sets!$1:$1,0)+2,FALSE)</f>
        <v>異端の祭事は、菓子の様に甘くないぞ！</v>
      </c>
      <c r="Y37" s="111">
        <v>47003660</v>
      </c>
      <c r="Z37" s="6">
        <v>0</v>
      </c>
      <c r="AA37" s="6">
        <v>35</v>
      </c>
      <c r="AB37" s="6">
        <v>0</v>
      </c>
      <c r="AC37" s="17">
        <v>3</v>
      </c>
      <c r="AD37" s="24">
        <f t="shared" ref="AD37:AD40" si="40">L37</f>
        <v>1197</v>
      </c>
      <c r="AE37" s="4" t="str">
        <f ca="1">VLOOKUP($AD37,OFFSET([4]characters!$A$1,0,0,COUNTA([4]characters!$A:$A),MATCH(AE$1,[4]characters!$1:$1,0)-MATCH("character_id",[4]characters!$1:$1,0)+1),MATCH(AE$1,[4]characters!$1:$1,0)-MATCH("character_id",[4]characters!$1:$1,0)+1,FALSE)</f>
        <v>冥装の闇黒魔 バフォメット</v>
      </c>
      <c r="AF37" s="4">
        <f ca="1">VLOOKUP($AD37,OFFSET([4]characters!$A$1,0,0,COUNTA([4]characters!$A:$A),MATCH(AF$1,[4]characters!$1:$1,0)-MATCH("character_id",[4]characters!$1:$1,0)+1),MATCH(AF$1,[4]characters!$1:$1,0)-MATCH("character_id",[4]characters!$1:$1,0)+1,FALSE)</f>
        <v>5</v>
      </c>
      <c r="AG37" s="4" t="str">
        <f ca="1">VLOOKUP($AD37,OFFSET([4]characters!$A$1,0,0,COUNTA([4]characters!$A:$A),MATCH(AG$1,[4]characters!$1:$1,0)-MATCH("character_id",[4]characters!$1:$1,0)+1),MATCH(AG$1,[4]characters!$1:$1,0)-MATCH("character_id",[4]characters!$1:$1,0)+1,FALSE)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7" s="7">
        <v>1</v>
      </c>
      <c r="AI37" s="24">
        <f t="shared" ca="1" si="34"/>
        <v>5</v>
      </c>
      <c r="AJ37" s="8">
        <v>0</v>
      </c>
      <c r="AK37" s="7">
        <v>0</v>
      </c>
      <c r="AL37" s="7">
        <v>0</v>
      </c>
      <c r="AM37" s="7">
        <v>0</v>
      </c>
      <c r="AN37" s="7">
        <v>0</v>
      </c>
      <c r="AO37" s="7">
        <v>1</v>
      </c>
      <c r="AP37" s="70">
        <v>1</v>
      </c>
    </row>
    <row r="38" spans="1:42" ht="21" customHeight="1" x14ac:dyDescent="0.15">
      <c r="A38" s="16" t="str">
        <f t="shared" si="31"/>
        <v>47003_4-2/1198&lt;lv80&gt;s3</v>
      </c>
      <c r="B38" s="106">
        <v>47003</v>
      </c>
      <c r="C38" s="107">
        <v>4</v>
      </c>
      <c r="D38" s="107" t="str">
        <f t="shared" si="32"/>
        <v>47003_4</v>
      </c>
      <c r="E38" s="111" t="str">
        <f ca="1">VLOOKUP($B38,OFFSET([2]quests!$A$1,0,0,COUNTA([2]quests!$A:$A),MATCH(E$1,[2]quests!$1:$1,0)-MATCH($B$1,[2]quests!$1:$1,0)+1),MATCH(E$1,[2]quests!$1:$1,0)-MATCH($B$1,[2]quests!$1:$1,0)+1,FALSE)</f>
        <v>ハロウィンナイトパニック！</v>
      </c>
      <c r="F38" s="111" t="str">
        <f ca="1">VLOOKUP($D38,OFFSET([2]stages!$A$1,0,0,COUNTA([2]stages!$A:$A),MATCH(F$1,[2]stages!$2:$2,0)-MATCH($D$1,[2]stages!$2:$2,0)+1),MATCH(F$1,[2]stages!$2:$2,0)-MATCH($D$1,[2]stages!$2:$2,0)+1,FALSE)</f>
        <v>【ｳｨｻﾞ】ハロウィンナイトパニック！</v>
      </c>
      <c r="G38" s="107">
        <v>2</v>
      </c>
      <c r="H38" s="109" t="str">
        <f t="shared" si="33"/>
        <v>47003_4-2</v>
      </c>
      <c r="I38" s="111">
        <f ca="1">VLOOKUP($H38,OFFSET(floors!$A$1,0,0,COUNTA(floors!$A:$A),MATCH(I$1,floors!$1:$1,0)-MATCH($H$1,floors!$1:$1,0)+1),MATCH(I$1,floors!$1:$1,0)-MATCH($H$1,floors!$1:$1,0)+1,FALSE)</f>
        <v>60</v>
      </c>
      <c r="J38" s="111">
        <f ca="1">VLOOKUP($H38,OFFSET(floors!$A$1,0,0,COUNTA(floors!$A:$A),MATCH(J$1,floors!$1:$1,0)-MATCH($H$1,floors!$1:$1,0)+1),MATCH(J$1,floors!$1:$1,0)-MATCH($H$1,floors!$1:$1,0)+1,FALSE)</f>
        <v>60</v>
      </c>
      <c r="K38" s="110" t="s">
        <v>253</v>
      </c>
      <c r="L38" s="107">
        <v>1198</v>
      </c>
      <c r="M38" s="17" t="str">
        <f ca="1">VLOOKUP($L38,OFFSET([3]enemies!$A$1,0,0,COUNTA([3]enemies!$A:$A),MATCH(M$1,[3]enemies!$1:$1,0)-MATCH($L$1,[3]enemies!$1:$1,0)+1),MATCH(M$1,[3]enemies!$1:$1,0)-MATCH($L$1,[3]enemies!$1:$1,0)+1,FALSE)</f>
        <v>幽縛の霊線 ピノキオ</v>
      </c>
      <c r="N38" s="17" t="str">
        <f ca="1">VLOOKUP($L38,OFFSET([3]enemies!$A$1,0,0,COUNTA([3]enemies!$A:$A),MATCH(N$1,[3]enemies!$1:$1,0)-MATCH($L$1,[3]enemies!$1:$1,0)+1),MATCH(N$1,[3]enemies!$1:$1,0)-MATCH($L$1,[3]enemies!$1:$1,0)+1,FALSE)</f>
        <v>blue</v>
      </c>
      <c r="O38" s="17" t="str">
        <f ca="1">VLOOKUP($L38,OFFSET([4]characters!$A$1,0,0,COUNTA([4]characters!$A:$A),MATCH(O$1,[4]characters!$1:$1,0)-MATCH($L$1,[4]characters!$1:$1,0)+1),MATCH(O$1,[4]characters!$1:$1,0)-MATCH($L$1,[4]characters!$1:$1,0)+1,FALSE)</f>
        <v>PremiumS</v>
      </c>
      <c r="P38" s="17" t="str">
        <f ca="1">VLOOKUP($L38,OFFSET([3]enemies!$A$1,0,0,COUNTA([3]enemies!$A:$A),MATCH(P$1,[3]enemies!$1:$1,0)-MATCH($L$1,[3]enemies!$1:$1,0)+1),MATCH(P$1,[3]enemies!$1:$1,0)-MATCH($L$1,[3]enemies!$1:$1,0)+1,FALSE)</f>
        <v>machine</v>
      </c>
      <c r="Q38" s="17">
        <f ca="1">VLOOKUP($L38,OFFSET([3]enemies!$A$1,0,0,COUNTA([3]enemies!$A:$A),MATCH(Q$1,[3]enemies!$1:$1,0)-MATCH($L$1,[3]enemies!$1:$1,0)+1),MATCH(Q$1,[3]enemies!$1:$1,0)-MATCH($L$1,[3]enemies!$1:$1,0)+1,FALSE)</f>
        <v>60</v>
      </c>
      <c r="R38" s="5">
        <v>80</v>
      </c>
      <c r="S38" s="129">
        <v>3</v>
      </c>
      <c r="T38" s="104">
        <f ca="1">ROUND(VLOOKUP(R38,[3]enemy_base_stats!$A:$F,2,FALSE) *INDIRECT("[EnemyMasterData.xlsm]enemies!Y"&amp;(L38+1))*  INDIRECT("[EnemyMasterData.xlsm]enemies!J"&amp;(L38+1))* INDIRECT("[EnemyMasterData.xlsm]enemies!O"&amp;(L38+1))* INDIRECT("[EnemyMasterData.xlsm]enemies!E"&amp;(L38+1))* INDIRECT("[EnemyMasterData.xlsm]enemies!S"&amp;(L38+1))* INDIRECT("[EnemyMasterData.xlsm]enemies!AD"&amp;(L38+1))*[4]ステータス!$B$2,0)*S38</f>
        <v>415650</v>
      </c>
      <c r="U38" s="129">
        <v>0.7</v>
      </c>
      <c r="V38" s="104">
        <f ca="1">ROUND(VLOOKUP(R38,[3]enemy_base_stats!$A:$F,3,FALSE) *INDIRECT("[EnemyMasterData.xlsm]enemies!Z"&amp;(L38+1))*  INDIRECT("[EnemyMasterData.xlsm]enemies!K"&amp;(L38+1))* INDIRECT("[EnemyMasterData.xlsm]enemies!P"&amp;(L38+1))* INDIRECT("[EnemyMasterData.xlsm]enemies!F"&amp;(L38+1))* INDIRECT("[EnemyMasterData.xlsm]enemies!T"&amp;(L38+1))* INDIRECT("[EnemyMasterData.xlsm]enemies!AE"&amp;(L38+1))*[4]ステータス!$C$2,0)*U38</f>
        <v>8119.9999999999991</v>
      </c>
      <c r="W38" s="5">
        <v>0</v>
      </c>
      <c r="X38" s="4" t="str">
        <f ca="1">VLOOKUP($Y38,OFFSET(enemy_skill_sets!$B$1,0,0,COUNTA(enemy_skill_sets!$B:$B),MATCH(M$1,enemy_skill_sets!$1:$1,0)-MATCH($Y$1,enemy_skill_sets!$1:$1,0)+2),MATCH(M$1,enemy_skill_sets!$1:$1,0)-MATCH($Y$1,enemy_skill_sets!$1:$1,0)+2,FALSE)</f>
        <v>この喧騒がまたボクを孤独にするんだ…</v>
      </c>
      <c r="Y38" s="111">
        <v>47003680</v>
      </c>
      <c r="Z38" s="6">
        <v>0</v>
      </c>
      <c r="AA38" s="6">
        <v>50</v>
      </c>
      <c r="AB38" s="6">
        <v>0</v>
      </c>
      <c r="AC38" s="17">
        <v>3</v>
      </c>
      <c r="AD38" s="24">
        <f t="shared" si="40"/>
        <v>1198</v>
      </c>
      <c r="AE38" s="4" t="str">
        <f ca="1">VLOOKUP($AD38,OFFSET([4]characters!$A$1,0,0,COUNTA([4]characters!$A:$A),MATCH(AE$1,[4]characters!$1:$1,0)-MATCH("character_id",[4]characters!$1:$1,0)+1),MATCH(AE$1,[4]characters!$1:$1,0)-MATCH("character_id",[4]characters!$1:$1,0)+1,FALSE)</f>
        <v>幽縛の霊線 ピノキオ</v>
      </c>
      <c r="AF38" s="4">
        <f ca="1">VLOOKUP($AD38,OFFSET([4]characters!$A$1,0,0,COUNTA([4]characters!$A:$A),MATCH(AF$1,[4]characters!$1:$1,0)-MATCH("character_id",[4]characters!$1:$1,0)+1),MATCH(AF$1,[4]characters!$1:$1,0)-MATCH("character_id",[4]characters!$1:$1,0)+1,FALSE)</f>
        <v>5</v>
      </c>
      <c r="AG38" s="4" t="str">
        <f ca="1">VLOOKUP($AD38,OFFSET([4]characters!$A$1,0,0,COUNTA([4]characters!$A:$A),MATCH(AG$1,[4]characters!$1:$1,0)-MATCH("character_id",[4]characters!$1:$1,0)+1),MATCH(AG$1,[4]characters!$1:$1,0)-MATCH("character_id",[4]characters!$1:$1,0)+1,FALSE)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8" s="7">
        <v>1</v>
      </c>
      <c r="AI38" s="24">
        <f t="shared" ca="1" si="34"/>
        <v>5</v>
      </c>
      <c r="AJ38" s="8">
        <v>0</v>
      </c>
      <c r="AK38" s="7">
        <v>0</v>
      </c>
      <c r="AL38" s="7">
        <v>0</v>
      </c>
      <c r="AM38" s="7">
        <v>0</v>
      </c>
      <c r="AN38" s="7">
        <v>0</v>
      </c>
      <c r="AO38" s="7">
        <v>1</v>
      </c>
      <c r="AP38" s="70">
        <v>1</v>
      </c>
    </row>
    <row r="39" spans="1:42" ht="21" customHeight="1" x14ac:dyDescent="0.15">
      <c r="A39" s="16" t="str">
        <f t="shared" si="31"/>
        <v>47003_4-3/1196&lt;lv80&gt;s3</v>
      </c>
      <c r="B39" s="106">
        <v>47003</v>
      </c>
      <c r="C39" s="107">
        <v>4</v>
      </c>
      <c r="D39" s="107" t="str">
        <f t="shared" si="32"/>
        <v>47003_4</v>
      </c>
      <c r="E39" s="111" t="str">
        <f ca="1">VLOOKUP($B39,OFFSET([2]quests!$A$1,0,0,COUNTA([2]quests!$A:$A),MATCH(E$1,[2]quests!$1:$1,0)-MATCH($B$1,[2]quests!$1:$1,0)+1),MATCH(E$1,[2]quests!$1:$1,0)-MATCH($B$1,[2]quests!$1:$1,0)+1,FALSE)</f>
        <v>ハロウィンナイトパニック！</v>
      </c>
      <c r="F39" s="111" t="str">
        <f ca="1">VLOOKUP($D39,OFFSET([2]stages!$A$1,0,0,COUNTA([2]stages!$A:$A),MATCH(F$1,[2]stages!$2:$2,0)-MATCH($D$1,[2]stages!$2:$2,0)+1),MATCH(F$1,[2]stages!$2:$2,0)-MATCH($D$1,[2]stages!$2:$2,0)+1,FALSE)</f>
        <v>【ｳｨｻﾞ】ハロウィンナイトパニック！</v>
      </c>
      <c r="G39" s="107">
        <v>3</v>
      </c>
      <c r="H39" s="109" t="str">
        <f t="shared" si="33"/>
        <v>47003_4-3</v>
      </c>
      <c r="I39" s="111">
        <f ca="1">VLOOKUP($H39,OFFSET(floors!$A$1,0,0,COUNTA(floors!$A:$A),MATCH(I$1,floors!$1:$1,0)-MATCH($H$1,floors!$1:$1,0)+1),MATCH(I$1,floors!$1:$1,0)-MATCH($H$1,floors!$1:$1,0)+1,FALSE)</f>
        <v>60</v>
      </c>
      <c r="J39" s="111">
        <f ca="1">VLOOKUP($H39,OFFSET(floors!$A$1,0,0,COUNTA(floors!$A:$A),MATCH(J$1,floors!$1:$1,0)-MATCH($H$1,floors!$1:$1,0)+1),MATCH(J$1,floors!$1:$1,0)-MATCH($H$1,floors!$1:$1,0)+1,FALSE)</f>
        <v>60</v>
      </c>
      <c r="K39" s="110" t="s">
        <v>253</v>
      </c>
      <c r="L39" s="107">
        <v>1196</v>
      </c>
      <c r="M39" s="17" t="str">
        <f ca="1">VLOOKUP($L39,OFFSET([3]enemies!$A$1,0,0,COUNTA([3]enemies!$A:$A),MATCH(M$1,[3]enemies!$1:$1,0)-MATCH($L$1,[3]enemies!$1:$1,0)+1),MATCH(M$1,[3]enemies!$1:$1,0)-MATCH($L$1,[3]enemies!$1:$1,0)+1,FALSE)</f>
        <v>華装の闇鋏 ラプンツェル</v>
      </c>
      <c r="N39" s="17" t="str">
        <f ca="1">VLOOKUP($L39,OFFSET([3]enemies!$A$1,0,0,COUNTA([3]enemies!$A:$A),MATCH(N$1,[3]enemies!$1:$1,0)-MATCH($L$1,[3]enemies!$1:$1,0)+1),MATCH(N$1,[3]enemies!$1:$1,0)-MATCH($L$1,[3]enemies!$1:$1,0)+1,FALSE)</f>
        <v>green</v>
      </c>
      <c r="O39" s="17" t="str">
        <f ca="1">VLOOKUP($L39,OFFSET([4]characters!$A$1,0,0,COUNTA([4]characters!$A:$A),MATCH(O$1,[4]characters!$1:$1,0)-MATCH($L$1,[4]characters!$1:$1,0)+1),MATCH(O$1,[4]characters!$1:$1,0)-MATCH($L$1,[4]characters!$1:$1,0)+1,FALSE)</f>
        <v>PremiumSS</v>
      </c>
      <c r="P39" s="17" t="str">
        <f ca="1">VLOOKUP($L39,OFFSET([3]enemies!$A$1,0,0,COUNTA([3]enemies!$A:$A),MATCH(P$1,[3]enemies!$1:$1,0)-MATCH($L$1,[3]enemies!$1:$1,0)+1),MATCH(P$1,[3]enemies!$1:$1,0)-MATCH($L$1,[3]enemies!$1:$1,0)+1,FALSE)</f>
        <v>human</v>
      </c>
      <c r="Q39" s="17">
        <f ca="1">VLOOKUP($L39,OFFSET([3]enemies!$A$1,0,0,COUNTA([3]enemies!$A:$A),MATCH(Q$1,[3]enemies!$1:$1,0)-MATCH($L$1,[3]enemies!$1:$1,0)+1),MATCH(Q$1,[3]enemies!$1:$1,0)-MATCH($L$1,[3]enemies!$1:$1,0)+1,FALSE)</f>
        <v>60</v>
      </c>
      <c r="R39" s="5">
        <v>80</v>
      </c>
      <c r="S39" s="112">
        <v>2.4</v>
      </c>
      <c r="T39" s="104">
        <f ca="1">ROUND(VLOOKUP(R39,[3]enemy_base_stats!$A:$F,2,FALSE) *INDIRECT("[EnemyMasterData.xlsm]enemies!Y"&amp;(L39+1))*  INDIRECT("[EnemyMasterData.xlsm]enemies!J"&amp;(L39+1))* INDIRECT("[EnemyMasterData.xlsm]enemies!O"&amp;(L39+1))* INDIRECT("[EnemyMasterData.xlsm]enemies!E"&amp;(L39+1))* INDIRECT("[EnemyMasterData.xlsm]enemies!S"&amp;(L39+1))* INDIRECT("[EnemyMasterData.xlsm]enemies!AD"&amp;(L39+1))*[4]ステータス!$B$2,0)*S39</f>
        <v>318820.8</v>
      </c>
      <c r="U39" s="112">
        <v>0.9</v>
      </c>
      <c r="V39" s="104">
        <f ca="1">ROUND(VLOOKUP(R39,[3]enemy_base_stats!$A:$F,3,FALSE) *INDIRECT("[EnemyMasterData.xlsm]enemies!Z"&amp;(L39+1))*  INDIRECT("[EnemyMasterData.xlsm]enemies!K"&amp;(L39+1))* INDIRECT("[EnemyMasterData.xlsm]enemies!P"&amp;(L39+1))* INDIRECT("[EnemyMasterData.xlsm]enemies!F"&amp;(L39+1))* INDIRECT("[EnemyMasterData.xlsm]enemies!T"&amp;(L39+1))* INDIRECT("[EnemyMasterData.xlsm]enemies!AE"&amp;(L39+1))*[4]ステータス!$C$2,0)*U39</f>
        <v>7771.5</v>
      </c>
      <c r="W39" s="5">
        <v>0</v>
      </c>
      <c r="X39" s="4" t="str">
        <f ca="1">VLOOKUP($Y39,OFFSET(enemy_skill_sets!$B$1,0,0,COUNTA(enemy_skill_sets!$B:$B),MATCH(M$1,enemy_skill_sets!$1:$1,0)-MATCH($Y$1,enemy_skill_sets!$1:$1,0)+2),MATCH(M$1,enemy_skill_sets!$1:$1,0)-MATCH($Y$1,enemy_skill_sets!$1:$1,0)+2,FALSE)</f>
        <v>ならば、私も負けずに輝きます！</v>
      </c>
      <c r="Y39" s="111">
        <v>47003700</v>
      </c>
      <c r="Z39" s="6">
        <v>0</v>
      </c>
      <c r="AA39" s="6">
        <v>20</v>
      </c>
      <c r="AB39" s="6">
        <v>0</v>
      </c>
      <c r="AC39" s="17">
        <v>3</v>
      </c>
      <c r="AD39" s="24">
        <f t="shared" si="40"/>
        <v>1196</v>
      </c>
      <c r="AE39" s="4" t="str">
        <f ca="1">VLOOKUP($AD39,OFFSET([4]characters!$A$1,0,0,COUNTA([4]characters!$A:$A),MATCH(AE$1,[4]characters!$1:$1,0)-MATCH("character_id",[4]characters!$1:$1,0)+1),MATCH(AE$1,[4]characters!$1:$1,0)-MATCH("character_id",[4]characters!$1:$1,0)+1,FALSE)</f>
        <v>華装の闇鋏 ラプンツェル</v>
      </c>
      <c r="AF39" s="4">
        <f ca="1">VLOOKUP($AD39,OFFSET([4]characters!$A$1,0,0,COUNTA([4]characters!$A:$A),MATCH(AF$1,[4]characters!$1:$1,0)-MATCH("character_id",[4]characters!$1:$1,0)+1),MATCH(AF$1,[4]characters!$1:$1,0)-MATCH("character_id",[4]characters!$1:$1,0)+1,FALSE)</f>
        <v>6</v>
      </c>
      <c r="AG39" s="4" t="str">
        <f ca="1">VLOOKUP($AD39,OFFSET([4]characters!$A$1,0,0,COUNTA([4]characters!$A:$A),MATCH(AG$1,[4]characters!$1:$1,0)-MATCH("character_id",[4]characters!$1:$1,0)+1),MATCH(AG$1,[4]characters!$1:$1,0)-MATCH("character_id",[4]characters!$1:$1,0)+1,FALSE)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39" s="7">
        <v>1</v>
      </c>
      <c r="AI39" s="24">
        <f t="shared" ca="1" si="34"/>
        <v>6</v>
      </c>
      <c r="AJ39" s="8">
        <v>0</v>
      </c>
      <c r="AK39" s="7">
        <v>0</v>
      </c>
      <c r="AL39" s="7">
        <v>0</v>
      </c>
      <c r="AM39" s="7">
        <v>0</v>
      </c>
      <c r="AN39" s="7">
        <v>0</v>
      </c>
      <c r="AO39" s="7">
        <v>1</v>
      </c>
      <c r="AP39" s="70">
        <v>1</v>
      </c>
    </row>
    <row r="40" spans="1:42" ht="21" customHeight="1" x14ac:dyDescent="0.15">
      <c r="A40" s="16" t="str">
        <f t="shared" si="31"/>
        <v>47003_4-3/1193&lt;lv80&gt;s3</v>
      </c>
      <c r="B40" s="106">
        <v>47003</v>
      </c>
      <c r="C40" s="107">
        <v>4</v>
      </c>
      <c r="D40" s="107" t="str">
        <f t="shared" si="32"/>
        <v>47003_4</v>
      </c>
      <c r="E40" s="111" t="str">
        <f ca="1">VLOOKUP($B40,OFFSET([2]quests!$A$1,0,0,COUNTA([2]quests!$A:$A),MATCH(E$1,[2]quests!$1:$1,0)-MATCH($B$1,[2]quests!$1:$1,0)+1),MATCH(E$1,[2]quests!$1:$1,0)-MATCH($B$1,[2]quests!$1:$1,0)+1,FALSE)</f>
        <v>ハロウィンナイトパニック！</v>
      </c>
      <c r="F40" s="111" t="str">
        <f ca="1">VLOOKUP($D40,OFFSET([2]stages!$A$1,0,0,COUNTA([2]stages!$A:$A),MATCH(F$1,[2]stages!$2:$2,0)-MATCH($D$1,[2]stages!$2:$2,0)+1),MATCH(F$1,[2]stages!$2:$2,0)-MATCH($D$1,[2]stages!$2:$2,0)+1,FALSE)</f>
        <v>【ｳｨｻﾞ】ハロウィンナイトパニック！</v>
      </c>
      <c r="G40" s="107">
        <v>3</v>
      </c>
      <c r="H40" s="109" t="str">
        <f t="shared" si="33"/>
        <v>47003_4-3</v>
      </c>
      <c r="I40" s="111">
        <f ca="1">VLOOKUP($H40,OFFSET(floors!$A$1,0,0,COUNTA(floors!$A:$A),MATCH(I$1,floors!$1:$1,0)-MATCH($H$1,floors!$1:$1,0)+1),MATCH(I$1,floors!$1:$1,0)-MATCH($H$1,floors!$1:$1,0)+1,FALSE)</f>
        <v>60</v>
      </c>
      <c r="J40" s="111">
        <f ca="1">VLOOKUP($H40,OFFSET(floors!$A$1,0,0,COUNTA(floors!$A:$A),MATCH(J$1,floors!$1:$1,0)-MATCH($H$1,floors!$1:$1,0)+1),MATCH(J$1,floors!$1:$1,0)-MATCH($H$1,floors!$1:$1,0)+1,FALSE)</f>
        <v>60</v>
      </c>
      <c r="K40" s="110" t="s">
        <v>253</v>
      </c>
      <c r="L40" s="107">
        <v>1193</v>
      </c>
      <c r="M40" s="17" t="str">
        <f ca="1">VLOOKUP($L40,OFFSET([3]enemies!$A$1,0,0,COUNTA([3]enemies!$A:$A),MATCH(M$1,[3]enemies!$1:$1,0)-MATCH($L$1,[3]enemies!$1:$1,0)+1),MATCH(M$1,[3]enemies!$1:$1,0)-MATCH($L$1,[3]enemies!$1:$1,0)+1,FALSE)</f>
        <v>血飢なる夜想卿 ランスロット</v>
      </c>
      <c r="N40" s="17" t="str">
        <f ca="1">VLOOKUP($L40,OFFSET([3]enemies!$A$1,0,0,COUNTA([3]enemies!$A:$A),MATCH(N$1,[3]enemies!$1:$1,0)-MATCH($L$1,[3]enemies!$1:$1,0)+1),MATCH(N$1,[3]enemies!$1:$1,0)-MATCH($L$1,[3]enemies!$1:$1,0)+1,FALSE)</f>
        <v>red</v>
      </c>
      <c r="O40" s="17" t="str">
        <f ca="1">VLOOKUP($L40,OFFSET([4]characters!$A$1,0,0,COUNTA([4]characters!$A:$A),MATCH(O$1,[4]characters!$1:$1,0)-MATCH($L$1,[4]characters!$1:$1,0)+1),MATCH(O$1,[4]characters!$1:$1,0)-MATCH($L$1,[4]characters!$1:$1,0)+1,FALSE)</f>
        <v>PremiumSS</v>
      </c>
      <c r="P40" s="17" t="str">
        <f ca="1">VLOOKUP($L40,OFFSET([3]enemies!$A$1,0,0,COUNTA([3]enemies!$A:$A),MATCH(P$1,[3]enemies!$1:$1,0)-MATCH($L$1,[3]enemies!$1:$1,0)+1),MATCH(P$1,[3]enemies!$1:$1,0)-MATCH($L$1,[3]enemies!$1:$1,0)+1,FALSE)</f>
        <v>human</v>
      </c>
      <c r="Q40" s="17">
        <f ca="1">VLOOKUP($L40,OFFSET([3]enemies!$A$1,0,0,COUNTA([3]enemies!$A:$A),MATCH(Q$1,[3]enemies!$1:$1,0)-MATCH($L$1,[3]enemies!$1:$1,0)+1),MATCH(Q$1,[3]enemies!$1:$1,0)-MATCH($L$1,[3]enemies!$1:$1,0)+1,FALSE)</f>
        <v>60</v>
      </c>
      <c r="R40" s="5">
        <v>80</v>
      </c>
      <c r="S40" s="112">
        <v>3.1</v>
      </c>
      <c r="T40" s="104">
        <f ca="1">ROUND(VLOOKUP(R40,[3]enemy_base_stats!$A:$F,2,FALSE) *INDIRECT("[EnemyMasterData.xlsm]enemies!Y"&amp;(L40+1))*  INDIRECT("[EnemyMasterData.xlsm]enemies!J"&amp;(L40+1))* INDIRECT("[EnemyMasterData.xlsm]enemies!O"&amp;(L40+1))* INDIRECT("[EnemyMasterData.xlsm]enemies!E"&amp;(L40+1))* INDIRECT("[EnemyMasterData.xlsm]enemies!S"&amp;(L40+1))* INDIRECT("[EnemyMasterData.xlsm]enemies!AD"&amp;(L40+1))*[4]ステータス!$B$2,0)*S40</f>
        <v>403734.7</v>
      </c>
      <c r="U40" s="112">
        <v>0.7</v>
      </c>
      <c r="V40" s="104">
        <f ca="1">ROUND(VLOOKUP(R40,[3]enemy_base_stats!$A:$F,3,FALSE) *INDIRECT("[EnemyMasterData.xlsm]enemies!Z"&amp;(L40+1))*  INDIRECT("[EnemyMasterData.xlsm]enemies!K"&amp;(L40+1))* INDIRECT("[EnemyMasterData.xlsm]enemies!P"&amp;(L40+1))* INDIRECT("[EnemyMasterData.xlsm]enemies!F"&amp;(L40+1))* INDIRECT("[EnemyMasterData.xlsm]enemies!T"&amp;(L40+1))* INDIRECT("[EnemyMasterData.xlsm]enemies!AE"&amp;(L40+1))*[4]ステータス!$C$2,0)*U40</f>
        <v>8367.1</v>
      </c>
      <c r="W40" s="5">
        <v>0</v>
      </c>
      <c r="X40" s="4" t="str">
        <f ca="1">VLOOKUP($Y40,OFFSET(enemy_skill_sets!$B$1,0,0,COUNTA(enemy_skill_sets!$B:$B),MATCH(M$1,enemy_skill_sets!$1:$1,0)-MATCH($Y$1,enemy_skill_sets!$1:$1,0)+2),MATCH(M$1,enemy_skill_sets!$1:$1,0)-MATCH($Y$1,enemy_skill_sets!$1:$1,0)+2,FALSE)</f>
        <v>お菓子盗んだ犯人！？　お、俺じゃないぞ！</v>
      </c>
      <c r="Y40" s="111">
        <v>47003720</v>
      </c>
      <c r="Z40" s="6">
        <v>0</v>
      </c>
      <c r="AA40" s="6">
        <v>80</v>
      </c>
      <c r="AB40" s="6">
        <v>0</v>
      </c>
      <c r="AC40" s="17">
        <v>3</v>
      </c>
      <c r="AD40" s="24">
        <f t="shared" si="40"/>
        <v>1193</v>
      </c>
      <c r="AE40" s="4" t="str">
        <f ca="1">VLOOKUP($AD40,OFFSET([4]characters!$A$1,0,0,COUNTA([4]characters!$A:$A),MATCH(AE$1,[4]characters!$1:$1,0)-MATCH("character_id",[4]characters!$1:$1,0)+1),MATCH(AE$1,[4]characters!$1:$1,0)-MATCH("character_id",[4]characters!$1:$1,0)+1,FALSE)</f>
        <v>血飢なる夜想卿 ランスロット</v>
      </c>
      <c r="AF40" s="4">
        <f ca="1">VLOOKUP($AD40,OFFSET([4]characters!$A$1,0,0,COUNTA([4]characters!$A:$A),MATCH(AF$1,[4]characters!$1:$1,0)-MATCH("character_id",[4]characters!$1:$1,0)+1),MATCH(AF$1,[4]characters!$1:$1,0)-MATCH("character_id",[4]characters!$1:$1,0)+1,FALSE)</f>
        <v>6</v>
      </c>
      <c r="AG40" s="4" t="str">
        <f ca="1">VLOOKUP($AD40,OFFSET([4]characters!$A$1,0,0,COUNTA([4]characters!$A:$A),MATCH(AG$1,[4]characters!$1:$1,0)-MATCH("character_id",[4]characters!$1:$1,0)+1),MATCH(AG$1,[4]characters!$1:$1,0)-MATCH("character_id",[4]characters!$1:$1,0)+1,FALSE)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0" s="7">
        <v>1</v>
      </c>
      <c r="AI40" s="24">
        <f t="shared" ca="1" si="34"/>
        <v>6</v>
      </c>
      <c r="AJ40" s="8">
        <v>0</v>
      </c>
      <c r="AK40" s="7">
        <v>0</v>
      </c>
      <c r="AL40" s="7">
        <v>0</v>
      </c>
      <c r="AM40" s="7">
        <v>0</v>
      </c>
      <c r="AN40" s="7">
        <v>0</v>
      </c>
      <c r="AO40" s="7">
        <v>1</v>
      </c>
      <c r="AP40" s="70">
        <v>1</v>
      </c>
    </row>
    <row r="41" spans="1:42" ht="21" customHeight="1" x14ac:dyDescent="0.15">
      <c r="A41" s="16" t="str">
        <f>B41&amp;"_"&amp;C41&amp;"-"&amp;G41&amp;"/"&amp;L41&amp;"&lt;lv"&amp;R41&amp;"&gt;s"&amp;AC41</f>
        <v>47003_4-4/1191&lt;lv80&gt;s3</v>
      </c>
      <c r="B41" s="106">
        <v>47003</v>
      </c>
      <c r="C41" s="107">
        <v>4</v>
      </c>
      <c r="D41" s="107" t="str">
        <f>B41&amp;"_"&amp;C41</f>
        <v>47003_4</v>
      </c>
      <c r="E41" s="111" t="str">
        <f ca="1">VLOOKUP($B41,OFFSET([2]quests!$A$1,0,0,COUNTA([2]quests!$A:$A),MATCH(E$1,[2]quests!$1:$1,0)-MATCH($B$1,[2]quests!$1:$1,0)+1),MATCH(E$1,[2]quests!$1:$1,0)-MATCH($B$1,[2]quests!$1:$1,0)+1,FALSE)</f>
        <v>ハロウィンナイトパニック！</v>
      </c>
      <c r="F41" s="111" t="str">
        <f ca="1">VLOOKUP($D41,OFFSET([2]stages!$A$1,0,0,COUNTA([2]stages!$A:$A),MATCH(F$1,[2]stages!$2:$2,0)-MATCH($D$1,[2]stages!$2:$2,0)+1),MATCH(F$1,[2]stages!$2:$2,0)-MATCH($D$1,[2]stages!$2:$2,0)+1,FALSE)</f>
        <v>【ｳｨｻﾞ】ハロウィンナイトパニック！</v>
      </c>
      <c r="G41" s="107">
        <v>4</v>
      </c>
      <c r="H41" s="109" t="str">
        <f>B41&amp;"_"&amp;C41&amp;"-"&amp;G41</f>
        <v>47003_4-4</v>
      </c>
      <c r="I41" s="111">
        <f ca="1">VLOOKUP($H41,OFFSET(floors!$A$1,0,0,COUNTA(floors!$A:$A),MATCH(I$1,floors!$1:$1,0)-MATCH($H$1,floors!$1:$1,0)+1),MATCH(I$1,floors!$1:$1,0)-MATCH($H$1,floors!$1:$1,0)+1,FALSE)</f>
        <v>60</v>
      </c>
      <c r="J41" s="111">
        <f ca="1">VLOOKUP($H41,OFFSET(floors!$A$1,0,0,COUNTA(floors!$A:$A),MATCH(J$1,floors!$1:$1,0)-MATCH($H$1,floors!$1:$1,0)+1),MATCH(J$1,floors!$1:$1,0)-MATCH($H$1,floors!$1:$1,0)+1,FALSE)</f>
        <v>60</v>
      </c>
      <c r="K41" s="110">
        <v>1</v>
      </c>
      <c r="L41" s="107">
        <v>1191</v>
      </c>
      <c r="M41" s="17" t="str">
        <f ca="1">VLOOKUP($L41,OFFSET([3]enemies!$A$1,0,0,COUNTA([3]enemies!$A:$A),MATCH(M$1,[3]enemies!$1:$1,0)-MATCH($L$1,[3]enemies!$1:$1,0)+1),MATCH(M$1,[3]enemies!$1:$1,0)-MATCH($L$1,[3]enemies!$1:$1,0)+1,FALSE)</f>
        <v>ドルチェ</v>
      </c>
      <c r="N41" s="17" t="str">
        <f ca="1">VLOOKUP($L41,OFFSET([3]enemies!$A$1,0,0,COUNTA([3]enemies!$A:$A),MATCH(N$1,[3]enemies!$1:$1,0)-MATCH($L$1,[3]enemies!$1:$1,0)+1),MATCH(N$1,[3]enemies!$1:$1,0)-MATCH($L$1,[3]enemies!$1:$1,0)+1,FALSE)</f>
        <v>yellow</v>
      </c>
      <c r="O41" s="17" t="str">
        <f ca="1">VLOOKUP($L41,OFFSET([4]characters!$A$1,0,0,COUNTA([4]characters!$A:$A),MATCH(O$1,[4]characters!$1:$1,0)-MATCH($L$1,[4]characters!$1:$1,0)+1),MATCH(O$1,[4]characters!$1:$1,0)-MATCH($L$1,[4]characters!$1:$1,0)+1,FALSE)</f>
        <v>DropWizS</v>
      </c>
      <c r="P41" s="17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7">
        <f ca="1">VLOOKUP($L41,OFFSET([3]enemies!$A$1,0,0,COUNTA([3]enemies!$A:$A),MATCH(Q$1,[3]enemies!$1:$1,0)-MATCH($L$1,[3]enemies!$1:$1,0)+1),MATCH(Q$1,[3]enemies!$1:$1,0)-MATCH($L$1,[3]enemies!$1:$1,0)+1,FALSE)</f>
        <v>60</v>
      </c>
      <c r="R41" s="5">
        <v>80</v>
      </c>
      <c r="S41" s="129">
        <v>5</v>
      </c>
      <c r="T41" s="104">
        <f ca="1">ROUND(VLOOKUP(R41,[3]enemy_base_stats!$A:$F,2,FALSE) *INDIRECT("[EnemyMasterData.xlsm]enemies!Y"&amp;(L41+1))*  INDIRECT("[EnemyMasterData.xlsm]enemies!J"&amp;(L41+1))* INDIRECT("[EnemyMasterData.xlsm]enemies!O"&amp;(L41+1))* INDIRECT("[EnemyMasterData.xlsm]enemies!E"&amp;(L41+1))* INDIRECT("[EnemyMasterData.xlsm]enemies!S"&amp;(L41+1))* INDIRECT("[EnemyMasterData.xlsm]enemies!AD"&amp;(L41+1))*[4]ステータス!$B$2,0)*S41</f>
        <v>611005</v>
      </c>
      <c r="U41" s="129">
        <v>1.1000000000000001</v>
      </c>
      <c r="V41" s="104">
        <f ca="1">ROUND(VLOOKUP(R41,[3]enemy_base_stats!$A:$F,3,FALSE) *INDIRECT("[EnemyMasterData.xlsm]enemies!Z"&amp;(L41+1))*  INDIRECT("[EnemyMasterData.xlsm]enemies!K"&amp;(L41+1))* INDIRECT("[EnemyMasterData.xlsm]enemies!P"&amp;(L41+1))* INDIRECT("[EnemyMasterData.xlsm]enemies!F"&amp;(L41+1))* INDIRECT("[EnemyMasterData.xlsm]enemies!T"&amp;(L41+1))* INDIRECT("[EnemyMasterData.xlsm]enemies!AE"&amp;(L41+1))*[4]ステータス!$C$2,0)*U41</f>
        <v>8899</v>
      </c>
      <c r="W41" s="5">
        <v>0</v>
      </c>
      <c r="X41" s="4" t="str">
        <f ca="1">VLOOKUP($Y41,OFFSET(enemy_skill_sets!$B$1,0,0,COUNTA(enemy_skill_sets!$B:$B),MATCH(M$1,enemy_skill_sets!$1:$1,0)-MATCH($Y$1,enemy_skill_sets!$1:$1,0)+2),MATCH(M$1,enemy_skill_sets!$1:$1,0)-MATCH($Y$1,enemy_skill_sets!$1:$1,0)+2,FALSE)</f>
        <v>種族デーモン以外に5ターン暗闇+_x000D_緑パネルをダメージパネルに変換</v>
      </c>
      <c r="Y41" s="111">
        <v>47003740</v>
      </c>
      <c r="Z41" s="6">
        <v>0</v>
      </c>
      <c r="AA41" s="6">
        <v>100</v>
      </c>
      <c r="AB41" s="6">
        <v>1</v>
      </c>
      <c r="AC41" s="17">
        <v>3</v>
      </c>
      <c r="AD41" s="24">
        <f>L41</f>
        <v>1191</v>
      </c>
      <c r="AE41" s="4" t="str">
        <f ca="1">VLOOKUP($AD41,OFFSET([4]characters!$A$1,0,0,COUNTA([4]characters!$A:$A),MATCH(AE$1,[4]characters!$1:$1,0)-MATCH("character_id",[4]characters!$1:$1,0)+1),MATCH(AE$1,[4]characters!$1:$1,0)-MATCH("character_id",[4]characters!$1:$1,0)+1,FALSE)</f>
        <v>ドルチェ</v>
      </c>
      <c r="AF41" s="4">
        <f ca="1">VLOOKUP($AD41,OFFSET([4]characters!$A$1,0,0,COUNTA([4]characters!$A:$A),MATCH(AF$1,[4]characters!$1:$1,0)-MATCH("character_id",[4]characters!$1:$1,0)+1),MATCH(AF$1,[4]characters!$1:$1,0)-MATCH("character_id",[4]characters!$1:$1,0)+1,FALSE)</f>
        <v>5</v>
      </c>
      <c r="AG41" s="4" t="str">
        <f ca="1">VLOOKUP($AD41,OFFSET([4]characters!$A$1,0,0,COUNTA([4]characters!$A:$A),MATCH(AG$1,[4]characters!$1:$1,0)-MATCH("character_id",[4]characters!$1:$1,0)+1),MATCH(AG$1,[4]characters!$1:$1,0)-MATCH("character_id",[4]characters!$1:$1,0)+1,FALSE)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1" s="7">
        <v>1</v>
      </c>
      <c r="AI41" s="24">
        <f ca="1">AF41</f>
        <v>5</v>
      </c>
      <c r="AJ41" s="147">
        <v>80</v>
      </c>
      <c r="AK41" s="7">
        <v>0</v>
      </c>
      <c r="AL41" s="7">
        <v>0</v>
      </c>
      <c r="AM41" s="7">
        <v>0</v>
      </c>
      <c r="AN41" s="7">
        <v>0</v>
      </c>
      <c r="AO41" s="7">
        <v>1</v>
      </c>
      <c r="AP41" s="70">
        <v>1</v>
      </c>
    </row>
  </sheetData>
  <sheetProtection selectLockedCells="1" selectUnlockedCells="1"/>
  <autoFilter ref="B1:AJ4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9"/>
  <sheetViews>
    <sheetView showGridLines="0" zoomScale="90" zoomScaleNormal="90" zoomScalePageLayoutView="90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T3" sqref="T3"/>
    </sheetView>
  </sheetViews>
  <sheetFormatPr baseColWidth="12" defaultColWidth="13" defaultRowHeight="21" customHeight="1" outlineLevelCol="1" x14ac:dyDescent="0.15"/>
  <cols>
    <col min="1" max="1" width="25.664062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3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3" t="s">
        <v>250</v>
      </c>
      <c r="V1" s="26" t="s">
        <v>50</v>
      </c>
      <c r="W1" s="103" t="s">
        <v>251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47003_1-4/1191&lt;lv40&gt;sq1st2</v>
      </c>
      <c r="B2" s="22">
        <v>47003</v>
      </c>
      <c r="C2" s="21">
        <v>1</v>
      </c>
      <c r="D2" s="2" t="str">
        <f>B2&amp;"_"&amp;C2</f>
        <v>47003_1</v>
      </c>
      <c r="E2" s="4" t="str">
        <f ca="1">VLOOKUP($B2,OFFSET([2]quests!$A$1,0,0,COUNTA([2]quests!$A:$A),MATCH(E$1,[2]quests!$1:$1,0)-MATCH($B$1,[2]quests!$1:$1,0)+1),MATCH(E$1,[2]quests!$1:$1,0)-MATCH($B$1,[2]quests!$1:$1,0)+1,FALSE)</f>
        <v>ハロウィンナイトパニック！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【上級】ハロウィンナイトパニック！</v>
      </c>
      <c r="G2" s="21">
        <v>4</v>
      </c>
      <c r="H2" s="15" t="str">
        <f>B2&amp;"_"&amp;C2&amp;"-"&amp;G2</f>
        <v>47003_1-4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1191</v>
      </c>
      <c r="N2" s="17"/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25">
        <v>1.6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99560</v>
      </c>
      <c r="V2" s="25">
        <v>0.6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2471.4</v>
      </c>
      <c r="X2" s="5">
        <v>0</v>
      </c>
      <c r="Y2" s="4"/>
      <c r="Z2" s="62">
        <v>47003160</v>
      </c>
      <c r="AA2" s="71">
        <v>3</v>
      </c>
    </row>
    <row r="3" spans="1:27" ht="21" customHeight="1" x14ac:dyDescent="0.15">
      <c r="A3" s="16" t="str">
        <f>B3&amp;"_"&amp;C3&amp;"-"&amp;G3&amp;"/"&amp;M3&amp;"&lt;lv"&amp;S3&amp;"&gt;sq"&amp;K3&amp;"st"&amp;L3</f>
        <v>47003_1-4/1192&lt;lv40&gt;sq1st3</v>
      </c>
      <c r="B3" s="22">
        <v>47003</v>
      </c>
      <c r="C3" s="21">
        <v>1</v>
      </c>
      <c r="D3" s="2" t="str">
        <f>B3&amp;"_"&amp;C3</f>
        <v>47003_1</v>
      </c>
      <c r="E3" s="4" t="str">
        <f ca="1">VLOOKUP($B3,OFFSET([2]quests!$A$1,0,0,COUNTA([2]quests!$A:$A),MATCH(E$1,[2]quests!$1:$1,0)-MATCH($B$1,[2]quests!$1:$1,0)+1),MATCH(E$1,[2]quests!$1:$1,0)-MATCH($B$1,[2]quests!$1:$1,0)+1,FALSE)</f>
        <v>ハロウィンナイトパニック！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【上級】ハロウィンナイトパニック！</v>
      </c>
      <c r="G3" s="21">
        <v>4</v>
      </c>
      <c r="H3" s="15" t="str">
        <f>B3&amp;"_"&amp;C3&amp;"-"&amp;G3</f>
        <v>47003_1-4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1192</v>
      </c>
      <c r="N3" s="17"/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40</v>
      </c>
      <c r="T3" s="25">
        <v>1.5</v>
      </c>
      <c r="U3" s="104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103708.5</v>
      </c>
      <c r="V3" s="25">
        <v>0.6</v>
      </c>
      <c r="W3" s="104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2746.2</v>
      </c>
      <c r="X3" s="5">
        <v>0</v>
      </c>
      <c r="Y3" s="4"/>
      <c r="Z3" s="62">
        <v>47003180</v>
      </c>
      <c r="AA3" s="71">
        <v>3</v>
      </c>
    </row>
    <row r="4" spans="1:27" ht="21" customHeight="1" x14ac:dyDescent="0.15">
      <c r="A4" s="16" t="s">
        <v>254</v>
      </c>
      <c r="B4" s="117">
        <v>47003</v>
      </c>
      <c r="C4" s="118">
        <v>2</v>
      </c>
      <c r="D4" s="2" t="s">
        <v>255</v>
      </c>
      <c r="E4" s="4" t="s">
        <v>256</v>
      </c>
      <c r="F4" s="4" t="s">
        <v>257</v>
      </c>
      <c r="G4" s="21">
        <v>4</v>
      </c>
      <c r="H4" s="15" t="s">
        <v>258</v>
      </c>
      <c r="I4" s="4">
        <v>60</v>
      </c>
      <c r="J4" s="4">
        <v>60</v>
      </c>
      <c r="K4" s="38">
        <v>1</v>
      </c>
      <c r="L4" s="38">
        <v>2</v>
      </c>
      <c r="M4" s="20">
        <v>1191</v>
      </c>
      <c r="N4" s="17"/>
      <c r="O4" s="17" t="s">
        <v>259</v>
      </c>
      <c r="P4" s="17" t="s">
        <v>260</v>
      </c>
      <c r="Q4" s="17" t="s">
        <v>261</v>
      </c>
      <c r="R4" s="17">
        <v>60</v>
      </c>
      <c r="S4" s="5">
        <v>60</v>
      </c>
      <c r="T4" s="112">
        <v>1.3</v>
      </c>
      <c r="U4" s="104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119876.90000000001</v>
      </c>
      <c r="V4" s="112">
        <v>0.6</v>
      </c>
      <c r="W4" s="104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3663</v>
      </c>
      <c r="X4" s="5">
        <v>0</v>
      </c>
      <c r="Y4" s="4"/>
      <c r="Z4" s="111">
        <v>47003360</v>
      </c>
      <c r="AA4" s="71">
        <v>3</v>
      </c>
    </row>
    <row r="5" spans="1:27" ht="21" customHeight="1" x14ac:dyDescent="0.15">
      <c r="A5" s="16" t="s">
        <v>262</v>
      </c>
      <c r="B5" s="117">
        <v>47003</v>
      </c>
      <c r="C5" s="118">
        <v>2</v>
      </c>
      <c r="D5" s="2" t="s">
        <v>263</v>
      </c>
      <c r="E5" s="4" t="s">
        <v>256</v>
      </c>
      <c r="F5" s="4" t="s">
        <v>264</v>
      </c>
      <c r="G5" s="21">
        <v>4</v>
      </c>
      <c r="H5" s="15" t="s">
        <v>265</v>
      </c>
      <c r="I5" s="4">
        <v>60</v>
      </c>
      <c r="J5" s="4">
        <v>60</v>
      </c>
      <c r="K5" s="38">
        <v>1</v>
      </c>
      <c r="L5" s="38">
        <v>3</v>
      </c>
      <c r="M5" s="20">
        <v>1192</v>
      </c>
      <c r="N5" s="17"/>
      <c r="O5" s="17" t="s">
        <v>259</v>
      </c>
      <c r="P5" s="17" t="s">
        <v>260</v>
      </c>
      <c r="Q5" s="17" t="s">
        <v>261</v>
      </c>
      <c r="R5" s="17">
        <v>60</v>
      </c>
      <c r="S5" s="5">
        <v>60</v>
      </c>
      <c r="T5" s="112">
        <v>1.4</v>
      </c>
      <c r="U5" s="104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143442.59999999998</v>
      </c>
      <c r="V5" s="112">
        <v>0.6</v>
      </c>
      <c r="W5" s="104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4069.7999999999997</v>
      </c>
      <c r="X5" s="5">
        <v>0</v>
      </c>
      <c r="Y5" s="4"/>
      <c r="Z5" s="111">
        <v>47003380</v>
      </c>
      <c r="AA5" s="71">
        <v>3</v>
      </c>
    </row>
    <row r="6" spans="1:27" ht="21" customHeight="1" x14ac:dyDescent="0.15">
      <c r="A6" s="16" t="s">
        <v>254</v>
      </c>
      <c r="B6" s="22">
        <v>47003</v>
      </c>
      <c r="C6" s="21">
        <v>3</v>
      </c>
      <c r="D6" s="2" t="s">
        <v>255</v>
      </c>
      <c r="E6" s="4" t="s">
        <v>256</v>
      </c>
      <c r="F6" s="4" t="s">
        <v>257</v>
      </c>
      <c r="G6" s="21">
        <v>4</v>
      </c>
      <c r="H6" s="15" t="s">
        <v>258</v>
      </c>
      <c r="I6" s="4">
        <v>60</v>
      </c>
      <c r="J6" s="4">
        <v>60</v>
      </c>
      <c r="K6" s="38">
        <v>1</v>
      </c>
      <c r="L6" s="38">
        <v>2</v>
      </c>
      <c r="M6" s="20">
        <v>1191</v>
      </c>
      <c r="N6" s="17"/>
      <c r="O6" s="17" t="s">
        <v>259</v>
      </c>
      <c r="P6" s="17" t="s">
        <v>260</v>
      </c>
      <c r="Q6" s="17" t="s">
        <v>261</v>
      </c>
      <c r="R6" s="17">
        <v>60</v>
      </c>
      <c r="S6" s="5">
        <v>80</v>
      </c>
      <c r="T6" s="116">
        <v>2.7</v>
      </c>
      <c r="U6" s="104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329942.7</v>
      </c>
      <c r="V6" s="116">
        <v>0.8</v>
      </c>
      <c r="W6" s="104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6472</v>
      </c>
      <c r="X6" s="5">
        <v>0</v>
      </c>
      <c r="Y6" s="4"/>
      <c r="Z6" s="62">
        <v>47003560</v>
      </c>
      <c r="AA6" s="71">
        <v>3</v>
      </c>
    </row>
    <row r="7" spans="1:27" ht="21" customHeight="1" x14ac:dyDescent="0.15">
      <c r="A7" s="16" t="s">
        <v>262</v>
      </c>
      <c r="B7" s="22">
        <v>47003</v>
      </c>
      <c r="C7" s="21">
        <v>3</v>
      </c>
      <c r="D7" s="2" t="s">
        <v>263</v>
      </c>
      <c r="E7" s="4" t="s">
        <v>256</v>
      </c>
      <c r="F7" s="4" t="s">
        <v>264</v>
      </c>
      <c r="G7" s="21">
        <v>4</v>
      </c>
      <c r="H7" s="15" t="s">
        <v>265</v>
      </c>
      <c r="I7" s="4">
        <v>60</v>
      </c>
      <c r="J7" s="4">
        <v>60</v>
      </c>
      <c r="K7" s="38">
        <v>1</v>
      </c>
      <c r="L7" s="38">
        <v>3</v>
      </c>
      <c r="M7" s="20">
        <v>1192</v>
      </c>
      <c r="N7" s="17"/>
      <c r="O7" s="17" t="s">
        <v>259</v>
      </c>
      <c r="P7" s="17" t="s">
        <v>260</v>
      </c>
      <c r="Q7" s="17" t="s">
        <v>261</v>
      </c>
      <c r="R7" s="17">
        <v>60</v>
      </c>
      <c r="S7" s="5">
        <v>80</v>
      </c>
      <c r="T7" s="116">
        <v>2.7</v>
      </c>
      <c r="U7" s="104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366603.30000000005</v>
      </c>
      <c r="V7" s="116">
        <v>0.8</v>
      </c>
      <c r="W7" s="104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7191.2000000000007</v>
      </c>
      <c r="X7" s="5">
        <v>0</v>
      </c>
      <c r="Y7" s="4"/>
      <c r="Z7" s="62">
        <v>47003580</v>
      </c>
      <c r="AA7" s="71">
        <v>3</v>
      </c>
    </row>
    <row r="8" spans="1:27" ht="21" customHeight="1" x14ac:dyDescent="0.15">
      <c r="A8" s="16" t="s">
        <v>254</v>
      </c>
      <c r="B8" s="117">
        <v>47003</v>
      </c>
      <c r="C8" s="118">
        <v>4</v>
      </c>
      <c r="D8" s="2" t="s">
        <v>255</v>
      </c>
      <c r="E8" s="4" t="s">
        <v>256</v>
      </c>
      <c r="F8" s="4" t="s">
        <v>257</v>
      </c>
      <c r="G8" s="21">
        <v>4</v>
      </c>
      <c r="H8" s="15" t="s">
        <v>258</v>
      </c>
      <c r="I8" s="4">
        <v>60</v>
      </c>
      <c r="J8" s="4">
        <v>60</v>
      </c>
      <c r="K8" s="38">
        <v>1</v>
      </c>
      <c r="L8" s="38">
        <v>2</v>
      </c>
      <c r="M8" s="20">
        <v>1191</v>
      </c>
      <c r="N8" s="4"/>
      <c r="O8" s="17" t="s">
        <v>259</v>
      </c>
      <c r="P8" s="17" t="s">
        <v>260</v>
      </c>
      <c r="Q8" s="17" t="s">
        <v>261</v>
      </c>
      <c r="R8" s="17">
        <v>60</v>
      </c>
      <c r="S8" s="5">
        <v>80</v>
      </c>
      <c r="T8" s="112">
        <v>5</v>
      </c>
      <c r="U8" s="104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611005</v>
      </c>
      <c r="V8" s="112">
        <v>1</v>
      </c>
      <c r="W8" s="104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8090</v>
      </c>
      <c r="X8" s="5">
        <v>0</v>
      </c>
      <c r="Y8" s="4"/>
      <c r="Z8" s="111">
        <v>47003760</v>
      </c>
      <c r="AA8" s="71">
        <v>3</v>
      </c>
    </row>
    <row r="9" spans="1:27" ht="21" customHeight="1" x14ac:dyDescent="0.15">
      <c r="A9" s="16" t="s">
        <v>262</v>
      </c>
      <c r="B9" s="117">
        <v>47003</v>
      </c>
      <c r="C9" s="118">
        <v>4</v>
      </c>
      <c r="D9" s="2" t="s">
        <v>263</v>
      </c>
      <c r="E9" s="4" t="s">
        <v>256</v>
      </c>
      <c r="F9" s="4" t="s">
        <v>264</v>
      </c>
      <c r="G9" s="21">
        <v>4</v>
      </c>
      <c r="H9" s="15" t="s">
        <v>265</v>
      </c>
      <c r="I9" s="4">
        <v>60</v>
      </c>
      <c r="J9" s="4">
        <v>60</v>
      </c>
      <c r="K9" s="38">
        <v>1</v>
      </c>
      <c r="L9" s="38">
        <v>3</v>
      </c>
      <c r="M9" s="20">
        <v>1192</v>
      </c>
      <c r="N9" s="4"/>
      <c r="O9" s="17" t="s">
        <v>259</v>
      </c>
      <c r="P9" s="17" t="s">
        <v>260</v>
      </c>
      <c r="Q9" s="17" t="s">
        <v>261</v>
      </c>
      <c r="R9" s="17">
        <v>60</v>
      </c>
      <c r="S9" s="5">
        <v>80</v>
      </c>
      <c r="T9" s="112">
        <v>5.5</v>
      </c>
      <c r="U9" s="104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746784.5</v>
      </c>
      <c r="V9" s="112">
        <v>0.9</v>
      </c>
      <c r="W9" s="104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8090.1</v>
      </c>
      <c r="X9" s="5">
        <v>0</v>
      </c>
      <c r="Y9" s="4"/>
      <c r="Z9" s="111">
        <v>47003780</v>
      </c>
      <c r="AA9" s="71">
        <v>3</v>
      </c>
    </row>
  </sheetData>
  <sheetProtection selectLockedCells="1" selectUnlockedCells="1"/>
  <autoFilter ref="B1:AA9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272" sqref="F2:F272"/>
    </sheetView>
  </sheetViews>
  <sheetFormatPr baseColWidth="12" defaultColWidth="12.83203125" defaultRowHeight="21" customHeight="1" outlineLevelCol="1" x14ac:dyDescent="0.15"/>
  <cols>
    <col min="1" max="1" width="20" style="39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:A53" si="0">B2&amp;"_"&amp;C2</f>
        <v>47003000_47003001</v>
      </c>
      <c r="B2" s="47">
        <v>47003000</v>
      </c>
      <c r="C2" s="47">
        <v>47003001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はっぴーはろうぃんだワン！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種族デーモンの攻撃力大UP</v>
      </c>
      <c r="F2" s="47">
        <v>47003001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47003000_47003002</v>
      </c>
      <c r="B3" s="47">
        <v>47003000</v>
      </c>
      <c r="C3" s="47">
        <v>47003002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魔女さん！_x000D_ぼくに魔法をかけてワン！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種族デーモンの攻撃力大UP</v>
      </c>
      <c r="F3" s="47">
        <v>47003002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47003000_47003002</v>
      </c>
      <c r="B4" s="47">
        <v>47003000</v>
      </c>
      <c r="C4" s="47">
        <v>47003002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魔女さん！_x000D_ぼくに魔法をかけてワン！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種族デーモンの攻撃力大UP</v>
      </c>
      <c r="F4" s="47">
        <v>47003003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47003010_47003011</v>
      </c>
      <c r="B5" s="47">
        <v>47003010</v>
      </c>
      <c r="C5" s="47">
        <v>47003011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リ…リリリッ！！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種族デーモンのCパネル生成短縮</v>
      </c>
      <c r="F5" s="47">
        <v>47003011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47003010_47003013</v>
      </c>
      <c r="B6" s="47">
        <v>47003010</v>
      </c>
      <c r="C6" s="47">
        <v>47003013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リーリリリリ…！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種族デーモンのCパネル生成短縮</v>
      </c>
      <c r="F6" s="47">
        <v>47003014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47003010_47003014</v>
      </c>
      <c r="B7" s="47">
        <v>47003010</v>
      </c>
      <c r="C7" s="47">
        <v>47003014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リッ！！リリィ…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種族デーモンのCパネル生成短縮</v>
      </c>
      <c r="F7" s="47">
        <v>47003015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47003020_47003021</v>
      </c>
      <c r="B8" s="47">
        <v>47003020</v>
      </c>
      <c r="C8" s="47">
        <v>47003021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ガ…ガビガガ！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種族デーモンのボムの爆風を15%UP</v>
      </c>
      <c r="F8" s="47">
        <v>47003021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47003020_47003023</v>
      </c>
      <c r="B9" s="47">
        <v>47003020</v>
      </c>
      <c r="C9" s="47">
        <v>47003023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ビガッ！ビッ！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種族デーモンのボムの爆風を20%UP</v>
      </c>
      <c r="F9" s="47">
        <v>47003024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47003020_47003024</v>
      </c>
      <c r="B10" s="47">
        <v>47003020</v>
      </c>
      <c r="C10" s="47">
        <v>47003024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ガビッ！？ビ…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種族デーモンのボムの爆風を20%UP</v>
      </c>
      <c r="F10" s="47">
        <v>47003025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47003030_47003031</v>
      </c>
      <c r="B11" s="47">
        <v>47003030</v>
      </c>
      <c r="C11" s="47">
        <v>47003031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とりっくおあとりーと！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種族デーモンのスキルゲージを6ターン減少</v>
      </c>
      <c r="F11" s="47">
        <v>47003031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0"/>
        <v>47003030_47003032</v>
      </c>
      <c r="B12" s="47">
        <v>47003030</v>
      </c>
      <c r="C12" s="47">
        <v>47003032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まじょさん！_x000D_そのぼうしいいなー！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全ユニットのスキルゲージを6ターン減少</v>
      </c>
      <c r="F12" s="47">
        <v>47003032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0"/>
        <v>47003030_47003032</v>
      </c>
      <c r="B13" s="47">
        <v>47003030</v>
      </c>
      <c r="C13" s="47">
        <v>47003032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まじょさん！_x000D_そのぼうしいいなー！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全ユニットのスキルゲージを6ターン減少</v>
      </c>
      <c r="F13" s="47">
        <v>47003033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0"/>
        <v>47003050_47003051</v>
      </c>
      <c r="B14" s="47">
        <v>47003050</v>
      </c>
      <c r="C14" s="47">
        <v>47003051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お菓子ですか…えーと…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…はっ！　いえっ、なんでもないですぅ！</v>
      </c>
      <c r="F14" s="47">
        <v>47003051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0"/>
        <v>47003050_47003053</v>
      </c>
      <c r="B15" s="47">
        <v>47003050</v>
      </c>
      <c r="C15" s="47">
        <v>47003053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クッキー・クラッカー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5" s="47">
        <v>47003053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47003050_47003054</v>
      </c>
      <c r="B16" s="47">
        <v>47003050</v>
      </c>
      <c r="C16" s="47">
        <v>47003054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い、いたずらしちゃいますよぉ！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黄パネルを吸収して攻撃</v>
      </c>
      <c r="F16" s="47">
        <v>47003054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0"/>
        <v>47003050_47003055</v>
      </c>
      <c r="B17" s="47">
        <v>47003050</v>
      </c>
      <c r="C17" s="47">
        <v>47003055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はわ〜！　とっても可愛いですぅ！_x000D_アメいりますか〜？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17" s="47">
        <v>47003055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0"/>
        <v>47003050_47003055</v>
      </c>
      <c r="B18" s="47">
        <v>47003050</v>
      </c>
      <c r="C18" s="47">
        <v>47003055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はわ〜！　とっても可愛いですぅ！_x000D_アメいりますか〜？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18" s="47">
        <v>47003056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0"/>
        <v>47003050_47003056</v>
      </c>
      <c r="B19" s="47">
        <v>47003050</v>
      </c>
      <c r="C19" s="47">
        <v>47003056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キレイなお姫さま、_x000D_私もお城に連れて行ってください〜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19" s="47">
        <v>47003057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0"/>
        <v>47003050_47003057</v>
      </c>
      <c r="B20" s="47">
        <v>47003050</v>
      </c>
      <c r="C20" s="47">
        <v>47003057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あうぅ、カッコイイ吸血鬼さん_x000D_血は吸わないでくださいぃ〜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0" s="47">
        <v>47003058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0"/>
        <v>47003060_47003061</v>
      </c>
      <c r="B21" s="47">
        <v>47003060</v>
      </c>
      <c r="C21" s="47">
        <v>47003061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異教徒どもが我が物顔で…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異端の祭事は、菓子の様に甘くないぞ！</v>
      </c>
      <c r="F21" s="47">
        <v>47003061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0"/>
        <v>47003060_47003063</v>
      </c>
      <c r="B22" s="47">
        <v>47003060</v>
      </c>
      <c r="C22" s="47">
        <v>47003063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ゴート・オー・ランタン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2" s="47">
        <v>47003063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0"/>
        <v>47003060_47003064</v>
      </c>
      <c r="B23" s="47">
        <v>47003060</v>
      </c>
      <c r="C23" s="47">
        <v>47003064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黒き異端の災断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3" s="47">
        <v>47003064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0"/>
        <v>47003060_47003065</v>
      </c>
      <c r="B24" s="47">
        <v>47003060</v>
      </c>
      <c r="C24" s="47">
        <v>47003065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ふっ…可愛らしい魔女だな…_x000D_お菓子が欲しいのか？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4" s="47">
        <v>47003065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0"/>
        <v>47003060_47003065</v>
      </c>
      <c r="B25" s="47">
        <v>47003060</v>
      </c>
      <c r="C25" s="47">
        <v>47003065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ふっ…可愛らしい魔女だな…_x000D_お菓子が欲しいのか？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5" s="47">
        <v>47003066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0"/>
        <v>47003060_47003066</v>
      </c>
      <c r="B26" s="47">
        <v>47003060</v>
      </c>
      <c r="C26" s="47">
        <v>47003066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古城の姫か、ラプンツェル_x000D_横にいる執事もお似合いだな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6" s="47">
        <v>47003067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0"/>
        <v>47003060_47003067</v>
      </c>
      <c r="B27" s="47">
        <v>47003060</v>
      </c>
      <c r="C27" s="47">
        <v>47003067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勇ましい円卓の騎士も_x000D_祭事にはノリノリだな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7" s="47">
        <v>47003068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0"/>
        <v>47003080_47003081</v>
      </c>
      <c r="B28" s="47">
        <v>47003080</v>
      </c>
      <c r="C28" s="47">
        <v>47003081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随分騒がしい夜だね…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この喧騒がまたボクを孤独にするんだ…</v>
      </c>
      <c r="F28" s="47">
        <v>47003081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0"/>
        <v>47003080_47003083</v>
      </c>
      <c r="B29" s="47">
        <v>47003080</v>
      </c>
      <c r="C29" s="47">
        <v>47003083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魂を手繰る三糸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9" s="47">
        <v>47003083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0"/>
        <v>47003080_47003084</v>
      </c>
      <c r="B30" s="47">
        <v>47003080</v>
      </c>
      <c r="C30" s="47">
        <v>47003084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ボクに近づかない方がいい…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0" s="47">
        <v>47003084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0"/>
        <v>47003080_47003085</v>
      </c>
      <c r="B31" s="47">
        <v>47003080</v>
      </c>
      <c r="C31" s="47">
        <v>47003085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小さな魔女…_x000D_ボクが闇の力を分けてあげるよ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31" s="47">
        <v>47003085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0"/>
        <v>47003080_47003085</v>
      </c>
      <c r="B32" s="47">
        <v>47003080</v>
      </c>
      <c r="C32" s="47">
        <v>47003085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小さな魔女…_x000D_ボクが闇の力を分けてあげるよ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32" s="47">
        <v>47003086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0"/>
        <v>47003080_47003086</v>
      </c>
      <c r="B33" s="47">
        <v>47003080</v>
      </c>
      <c r="C33" s="47">
        <v>47003086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美しい姫君か…_x000D_闇に染まったボクを倒せるかな？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33" s="47">
        <v>47003087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0"/>
        <v>47003080_47003087</v>
      </c>
      <c r="B34" s="47">
        <v>47003080</v>
      </c>
      <c r="C34" s="47">
        <v>47003087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常闇の帝王、ヴァンパイア…_x000D_その実力見せてもらうよ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34" s="47">
        <v>47003088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0"/>
        <v>47003100_47003101</v>
      </c>
      <c r="B35" s="47">
        <v>47003100</v>
      </c>
      <c r="C35" s="47">
        <v>47003101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ふふ…月が綺麗な夜ですね…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ならば、私も負けずに輝きます！</v>
      </c>
      <c r="F35" s="47">
        <v>47003101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0"/>
        <v>47003100_47003102</v>
      </c>
      <c r="B36" s="47">
        <v>47003100</v>
      </c>
      <c r="C36" s="47">
        <v>47003102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ビリビリします！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種族マシンのユニットに4ターンスキルバインド+_x000D_種族マシンのユニットに大ダメージの全体攻撃</v>
      </c>
      <c r="F36" s="47">
        <v>47003102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0"/>
        <v>47003100_47003103</v>
      </c>
      <c r="B37" s="47">
        <v>47003100</v>
      </c>
      <c r="C37" s="47">
        <v>47003103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闇夜を切り裂く雷光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37" s="47">
        <v>47003103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0"/>
        <v>47003100_47003104</v>
      </c>
      <c r="B38" s="47">
        <v>47003100</v>
      </c>
      <c r="C38" s="47">
        <v>47003104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スティング・オブ・ブラックローズ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8" s="47">
        <v>47003104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0"/>
        <v>47003100_47003105</v>
      </c>
      <c r="B39" s="47">
        <v>47003100</v>
      </c>
      <c r="C39" s="47">
        <v>47003105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お菓子…？　いえ、私は何も…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そうですか…どうりで皆さん殺気立って…</v>
      </c>
      <c r="F39" s="47">
        <v>47003105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0"/>
        <v>47003100_47003106</v>
      </c>
      <c r="B40" s="47">
        <v>47003100</v>
      </c>
      <c r="C40" s="47">
        <v>47003106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ふふふっ、ステキな魔法をかけてくださいな♪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40" s="47">
        <v>47003106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0"/>
        <v>47003100_47003106</v>
      </c>
      <c r="B41" s="47">
        <v>47003100</v>
      </c>
      <c r="C41" s="47">
        <v>47003106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ふふふっ、ステキな魔法をかけてくださいな♪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41" s="47">
        <v>47003107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0"/>
        <v>47003100_47003107</v>
      </c>
      <c r="B42" s="47">
        <v>47003100</v>
      </c>
      <c r="C42" s="47">
        <v>47003107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あら、ずいぶん凛々しい吸血鬼さん_x000D_私の血は吸わせませんよ♪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42" s="47">
        <v>47003108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0"/>
        <v>47003120_47003121</v>
      </c>
      <c r="B43" s="47">
        <v>47003120</v>
      </c>
      <c r="C43" s="47">
        <v>47003121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いくら似合ってるからって、_x000D_そんなに見つめられたら困るぜ！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お菓子盗んだ犯人！？　お、俺じゃないぞ！</v>
      </c>
      <c r="F43" s="47">
        <v>47003121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0"/>
        <v>47003120_47003122</v>
      </c>
      <c r="B44" s="47">
        <v>47003120</v>
      </c>
      <c r="C44" s="47">
        <v>47003122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お菓子より心を奪いたいもんだな！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44" s="47">
        <v>47003122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0"/>
        <v>47003120_47003123</v>
      </c>
      <c r="B45" s="47">
        <v>47003120</v>
      </c>
      <c r="C45" s="47">
        <v>47003123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やるな、だがこれはどうだ！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種族マシンのユニットに4ターンスキルバインド+_x000D_種族マシンのユニットに大ダメージの全体攻撃</v>
      </c>
      <c r="F45" s="47">
        <v>47003123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0"/>
        <v>47003120_47003124</v>
      </c>
      <c r="B46" s="47">
        <v>47003120</v>
      </c>
      <c r="C46" s="47">
        <v>47003124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吸血剣・バットラス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6" s="47">
        <v>47003124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0"/>
        <v>47003120_47003125</v>
      </c>
      <c r="B47" s="47">
        <v>47003120</v>
      </c>
      <c r="C47" s="47">
        <v>47003125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楽しい夜だな！　熱くなって来たぜ！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47" s="47">
        <v>47003125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0"/>
        <v>47003120_47003126</v>
      </c>
      <c r="B48" s="47">
        <v>47003120</v>
      </c>
      <c r="C48" s="47">
        <v>47003126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可愛い魔女さん、ふふ…俺が怖いか？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48" s="47">
        <v>47003126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0"/>
        <v>47003120_47003126</v>
      </c>
      <c r="B49" s="47">
        <v>47003120</v>
      </c>
      <c r="C49" s="47">
        <v>47003126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可愛い魔女さん、ふふ…俺が怖いか？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49" s="47">
        <v>47003127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0"/>
        <v>47003120_47003127</v>
      </c>
      <c r="B50" s="47">
        <v>47003120</v>
      </c>
      <c r="C50" s="47">
        <v>47003127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姫様、城までエスコートしようか？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50" s="47">
        <v>47003128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0"/>
        <v>47003140_47003141</v>
      </c>
      <c r="B51" s="47">
        <v>47003140</v>
      </c>
      <c r="C51" s="47">
        <v>47003141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あ〜あ、見つかっちゃたかぁ〜♪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種族デーモン以外に2ターン暗闇</v>
      </c>
      <c r="F51" s="47">
        <v>47003141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0"/>
        <v>47003140_47003142</v>
      </c>
      <c r="B52" s="47">
        <v>47003140</v>
      </c>
      <c r="C52" s="47">
        <v>47003142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暗闇からパンチ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52" s="47">
        <v>47003142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0"/>
        <v>47003140_47003144</v>
      </c>
      <c r="B53" s="47">
        <v>47003140</v>
      </c>
      <c r="C53" s="47">
        <v>47003144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あなたのお菓子もちょ〜だい？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黄パネルを吸収して攻撃</v>
      </c>
      <c r="F53" s="47">
        <v>47003144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ref="A54:A65" si="1">B54&amp;"_"&amp;C54</f>
        <v>47003140_47003145</v>
      </c>
      <c r="B54" s="47">
        <v>47003140</v>
      </c>
      <c r="C54" s="47">
        <v>47003145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んふふ〜♪か〜わい〜魔女さん♪_x000D_でもお菓子は渡さないよ〜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種族デーモン以外に2ターン暗闇</v>
      </c>
      <c r="F54" s="47">
        <v>47003145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"/>
        <v>47003140_47003145</v>
      </c>
      <c r="B55" s="47">
        <v>47003140</v>
      </c>
      <c r="C55" s="47">
        <v>47003145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んふふ〜♪か〜わい〜魔女さん♪_x000D_でもお菓子は渡さないよ〜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種族デーモン以外に2ターン暗闇</v>
      </c>
      <c r="F55" s="47">
        <v>47003146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"/>
        <v>47003140_47003146</v>
      </c>
      <c r="B56" s="47">
        <v>47003140</v>
      </c>
      <c r="C56" s="47">
        <v>47003146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きゃ〜キレイねラプンツェル〜♪_x000D_ワンちゃんもカワイイ〜♪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種族デーモン以外に2ターン暗闇</v>
      </c>
      <c r="F56" s="47">
        <v>47003147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"/>
        <v>47003140_47003147</v>
      </c>
      <c r="B57" s="47">
        <v>47003140</v>
      </c>
      <c r="C57" s="47">
        <v>47003147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イケメンなヴァンパイアさん〜♪_x000D_お菓子を奪いにきたのかな〜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種族デーモン以外に2ターン暗闇</v>
      </c>
      <c r="F57" s="47">
        <v>47003148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"/>
        <v>47003160_47003161</v>
      </c>
      <c r="B58" s="47">
        <v>47003160</v>
      </c>
      <c r="C58" s="47">
        <v>47003161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さぁ〜、イタズラしちゃうよぉ〜♪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種族デーモン以外に2ターン暗闇</v>
      </c>
      <c r="F58" s="47">
        <v>47003161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"/>
        <v>47003160_47003162</v>
      </c>
      <c r="B59" s="47">
        <v>47003160</v>
      </c>
      <c r="C59" s="47">
        <v>47003162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暗闇からキック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59" s="47">
        <v>47003162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"/>
        <v>47003160_47003164</v>
      </c>
      <c r="B60" s="47">
        <v>47003160</v>
      </c>
      <c r="C60" s="47">
        <v>47003164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うるさい口は塞いであげる♪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2ターンスキルバインド+自身の攻撃力UP</v>
      </c>
      <c r="F60" s="47">
        <v>47003164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214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"/>
        <v>47003160_47003165</v>
      </c>
      <c r="B61" s="47">
        <v>47003160</v>
      </c>
      <c r="C61" s="47">
        <v>47003165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スウィート・カタラクト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61" s="47">
        <v>47003165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"/>
        <v>47003180_47003181</v>
      </c>
      <c r="B62" s="47">
        <v>47003180</v>
      </c>
      <c r="C62" s="47">
        <v>47003181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この子達は絶対に渡さないんだから〜！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種族デーモン以外に2ターンスキルバインド+_x000D_黄パネルドロップUP</v>
      </c>
      <c r="F62" s="47">
        <v>47003181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"/>
        <v>47003180_47003183</v>
      </c>
      <c r="B63" s="47">
        <v>47003180</v>
      </c>
      <c r="C63" s="47">
        <v>47003183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お菓子はぜ〜んぶ私のもの〜♪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黄パネルを吸収して攻撃</v>
      </c>
      <c r="F63" s="47">
        <v>47003183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"/>
        <v>47003180_47003184</v>
      </c>
      <c r="B64" s="47">
        <v>47003180</v>
      </c>
      <c r="C64" s="47">
        <v>47003184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シュガー・ウォール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64" s="47">
        <v>47003184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"/>
        <v>47003180_47003186</v>
      </c>
      <c r="B65" s="47">
        <v>47003180</v>
      </c>
      <c r="C65" s="47">
        <v>47003186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ダメかぁ〜　せっかくたくさん集めたのになぁ〜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えっ、私にも分けてくれるの？　うん、ありがと…♪</v>
      </c>
      <c r="F65" s="47">
        <v>47003186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ref="A66:A117" si="2">B66&amp;"_"&amp;C66</f>
        <v>47003200_47003201</v>
      </c>
      <c r="B66" s="140">
        <v>47003200</v>
      </c>
      <c r="C66" s="140">
        <v>47003201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はっぴーはろうぃんだワン！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種族デーモンの攻撃力大UP</v>
      </c>
      <c r="F66" s="140">
        <v>47003201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2"/>
        <v>47003200_47003202</v>
      </c>
      <c r="B67" s="140">
        <v>47003200</v>
      </c>
      <c r="C67" s="140">
        <v>47003202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魔女さん！_x000D_ぼくに魔法をかけてワン！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種族デーモンの攻撃力大UP</v>
      </c>
      <c r="F67" s="140">
        <v>47003202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2"/>
        <v>47003200_47003202</v>
      </c>
      <c r="B68" s="140">
        <v>47003200</v>
      </c>
      <c r="C68" s="140">
        <v>47003202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魔女さん！_x000D_ぼくに魔法をかけてワン！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種族デーモンの攻撃力大UP</v>
      </c>
      <c r="F68" s="140">
        <v>47003203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2"/>
        <v>47003210_47003211</v>
      </c>
      <c r="B69" s="140">
        <v>47003210</v>
      </c>
      <c r="C69" s="140">
        <v>47003211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リ…リリリッ！！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種族デーモンのCパネル生成短縮</v>
      </c>
      <c r="F69" s="140">
        <v>47003211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2"/>
        <v>47003210_47003213</v>
      </c>
      <c r="B70" s="140">
        <v>47003210</v>
      </c>
      <c r="C70" s="140">
        <v>47003213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リーリリリリ…！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種族デーモンのCパネル生成短縮</v>
      </c>
      <c r="F70" s="140">
        <v>47003214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2"/>
        <v>47003210_47003214</v>
      </c>
      <c r="B71" s="140">
        <v>47003210</v>
      </c>
      <c r="C71" s="140">
        <v>47003214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リッ！！リリィ…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種族デーモンのCパネル生成短縮</v>
      </c>
      <c r="F71" s="140">
        <v>47003215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2"/>
        <v>47003220_47003221</v>
      </c>
      <c r="B72" s="140">
        <v>47003220</v>
      </c>
      <c r="C72" s="140">
        <v>47003221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ガ…ガビガガ！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種族デーモンのボムの爆風を15%UP</v>
      </c>
      <c r="F72" s="140">
        <v>47003221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2"/>
        <v>47003220_47003223</v>
      </c>
      <c r="B73" s="140">
        <v>47003220</v>
      </c>
      <c r="C73" s="140">
        <v>47003223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ビガッ！ビッ！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種族デーモンのボムの爆風を20%UP</v>
      </c>
      <c r="F73" s="140">
        <v>47003224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2"/>
        <v>47003220_47003224</v>
      </c>
      <c r="B74" s="140">
        <v>47003220</v>
      </c>
      <c r="C74" s="140">
        <v>47003224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ガビッ！？ビ…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種族デーモンのボムの爆風を20%UP</v>
      </c>
      <c r="F74" s="140">
        <v>47003225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2"/>
        <v>47003230_47003231</v>
      </c>
      <c r="B75" s="140">
        <v>47003230</v>
      </c>
      <c r="C75" s="140">
        <v>47003231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とりっくおあとりーと！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種族デーモンのスキルゲージを6ターン減少</v>
      </c>
      <c r="F75" s="140">
        <v>47003231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2"/>
        <v>47003230_47003232</v>
      </c>
      <c r="B76" s="140">
        <v>47003230</v>
      </c>
      <c r="C76" s="140">
        <v>47003232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まじょさん！_x000D_そのぼうしいいなー！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全ユニットのスキルゲージを6ターン減少</v>
      </c>
      <c r="F76" s="140">
        <v>47003232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2"/>
        <v>47003230_47003232</v>
      </c>
      <c r="B77" s="140">
        <v>47003230</v>
      </c>
      <c r="C77" s="140">
        <v>47003232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まじょさん！_x000D_そのぼうしいいなー！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全ユニットのスキルゲージを6ターン減少</v>
      </c>
      <c r="F77" s="140">
        <v>47003233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2"/>
        <v>47003250_47003251</v>
      </c>
      <c r="B78" s="140">
        <v>47003250</v>
      </c>
      <c r="C78" s="140">
        <v>47003251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お菓子ですか…えーと…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…はっ！　いえっ、なんでもないですぅ！</v>
      </c>
      <c r="F78" s="140">
        <v>47003251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2"/>
        <v>47003250_47003253</v>
      </c>
      <c r="B79" s="140">
        <v>47003250</v>
      </c>
      <c r="C79" s="140">
        <v>47003253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クッキー・クラッカー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9" s="140">
        <v>47003253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2"/>
        <v>47003250_47003254</v>
      </c>
      <c r="B80" s="140">
        <v>47003250</v>
      </c>
      <c r="C80" s="140">
        <v>47003254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い、いたずらしちゃいますよぉ！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黄パネルを吸収して攻撃</v>
      </c>
      <c r="F80" s="140">
        <v>47003254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2"/>
        <v>47003250_47003255</v>
      </c>
      <c r="B81" s="140">
        <v>47003250</v>
      </c>
      <c r="C81" s="140">
        <v>47003255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はわ〜！　とっても可愛いですぅ！_x000D_アメいりますか〜？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81" s="140">
        <v>47003255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2"/>
        <v>47003250_47003255</v>
      </c>
      <c r="B82" s="140">
        <v>47003250</v>
      </c>
      <c r="C82" s="140">
        <v>47003255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はわ〜！　とっても可愛いですぅ！_x000D_アメいりますか〜？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82" s="140">
        <v>47003256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2"/>
        <v>47003250_47003256</v>
      </c>
      <c r="B83" s="140">
        <v>47003250</v>
      </c>
      <c r="C83" s="140">
        <v>47003256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キレイなお姫さま、_x000D_私もお城に連れて行ってください〜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83" s="140">
        <v>47003257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2"/>
        <v>47003250_47003257</v>
      </c>
      <c r="B84" s="140">
        <v>47003250</v>
      </c>
      <c r="C84" s="140">
        <v>47003257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あうぅ、カッコイイ吸血鬼さん_x000D_血は吸わないでくださいぃ〜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84" s="140">
        <v>47003258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2"/>
        <v>47003260_47003261</v>
      </c>
      <c r="B85" s="140">
        <v>47003260</v>
      </c>
      <c r="C85" s="140">
        <v>47003261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異教徒どもが我が物顔で…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異端の祭事は、菓子の様に甘くないぞ！</v>
      </c>
      <c r="F85" s="140">
        <v>47003261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2"/>
        <v>47003260_47003263</v>
      </c>
      <c r="B86" s="140">
        <v>47003260</v>
      </c>
      <c r="C86" s="140">
        <v>47003263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ゴート・オー・ランタン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86" s="140">
        <v>47003263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2"/>
        <v>47003260_47003264</v>
      </c>
      <c r="B87" s="140">
        <v>47003260</v>
      </c>
      <c r="C87" s="140">
        <v>47003264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黒き異端の災断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7" s="140">
        <v>47003264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2"/>
        <v>47003260_47003265</v>
      </c>
      <c r="B88" s="140">
        <v>47003260</v>
      </c>
      <c r="C88" s="140">
        <v>47003265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ふっ…可愛らしい魔女だな…_x000D_お菓子が欲しいのか？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88" s="140">
        <v>47003265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2"/>
        <v>47003260_47003265</v>
      </c>
      <c r="B89" s="140">
        <v>47003260</v>
      </c>
      <c r="C89" s="140">
        <v>47003265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ふっ…可愛らしい魔女だな…_x000D_お菓子が欲しいのか？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89" s="140">
        <v>47003266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2"/>
        <v>47003260_47003266</v>
      </c>
      <c r="B90" s="140">
        <v>47003260</v>
      </c>
      <c r="C90" s="140">
        <v>47003266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古城の姫か、ラプンツェル_x000D_横にいる執事もお似合いだな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90" s="140">
        <v>47003267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2"/>
        <v>47003260_47003267</v>
      </c>
      <c r="B91" s="140">
        <v>47003260</v>
      </c>
      <c r="C91" s="140">
        <v>47003267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勇ましい円卓の騎士も_x000D_祭事にはノリノリだな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91" s="140">
        <v>47003268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2"/>
        <v>47003280_47003281</v>
      </c>
      <c r="B92" s="140">
        <v>47003280</v>
      </c>
      <c r="C92" s="140">
        <v>47003281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随分騒がしい夜だね…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この喧騒がまたボクを孤独にするんだ…</v>
      </c>
      <c r="F92" s="140">
        <v>47003281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2"/>
        <v>47003280_47003283</v>
      </c>
      <c r="B93" s="140">
        <v>47003280</v>
      </c>
      <c r="C93" s="140">
        <v>47003283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魂を手繰る三糸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93" s="140">
        <v>47003283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 t="str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2"/>
        <v>47003280_47003284</v>
      </c>
      <c r="B94" s="140">
        <v>47003280</v>
      </c>
      <c r="C94" s="140">
        <v>47003284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ボクに近づかない方がいい…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4" s="140">
        <v>47003284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 t="str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4" s="48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2"/>
        <v>47003280_47003285</v>
      </c>
      <c r="B95" s="140">
        <v>47003280</v>
      </c>
      <c r="C95" s="140">
        <v>47003285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小さな魔女…_x000D_ボクが闇の力を分けてあげるよ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95" s="140">
        <v>47003285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2"/>
        <v>47003280_47003285</v>
      </c>
      <c r="B96" s="140">
        <v>47003280</v>
      </c>
      <c r="C96" s="140">
        <v>47003285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小さな魔女…_x000D_ボクが闇の力を分けてあげるよ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96" s="140">
        <v>47003286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2"/>
        <v>47003280_47003286</v>
      </c>
      <c r="B97" s="140">
        <v>47003280</v>
      </c>
      <c r="C97" s="140">
        <v>47003286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美しい姫君か…_x000D_闇に染まったボクを倒せるかな？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97" s="140">
        <v>47003287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2"/>
        <v>47003280_47003287</v>
      </c>
      <c r="B98" s="140">
        <v>47003280</v>
      </c>
      <c r="C98" s="140">
        <v>47003287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常闇の帝王、ヴァンパイア…_x000D_その実力見せてもらうよ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98" s="140">
        <v>47003288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2"/>
        <v>47003300_47003301</v>
      </c>
      <c r="B99" s="140">
        <v>47003300</v>
      </c>
      <c r="C99" s="140">
        <v>47003301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ふふ…月が綺麗な夜ですね…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ならば、私も負けずに輝きます！</v>
      </c>
      <c r="F99" s="140">
        <v>47003301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2"/>
        <v>47003300_47003302</v>
      </c>
      <c r="B100" s="140">
        <v>47003300</v>
      </c>
      <c r="C100" s="140">
        <v>47003302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ビリビリします！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種族マシンのユニットに4ターンスキルバインド+_x000D_種族マシンのユニットに大ダメージの全体攻撃</v>
      </c>
      <c r="F100" s="140">
        <v>47003302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48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2"/>
        <v>47003300_47003303</v>
      </c>
      <c r="B101" s="140">
        <v>47003300</v>
      </c>
      <c r="C101" s="140">
        <v>47003303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闇夜を切り裂く雷光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101" s="140">
        <v>47003303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48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2"/>
        <v>47003300_47003304</v>
      </c>
      <c r="B102" s="140">
        <v>47003300</v>
      </c>
      <c r="C102" s="140">
        <v>47003304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スティング・オブ・ブラックローズ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02" s="140">
        <v>47003304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 t="str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2" s="48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2" s="4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2"/>
        <v>47003300_47003305</v>
      </c>
      <c r="B103" s="140">
        <v>47003300</v>
      </c>
      <c r="C103" s="140">
        <v>47003305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お菓子…？　いえ、私は何も…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そうですか…どうりで皆さん殺気立って…</v>
      </c>
      <c r="F103" s="140">
        <v>47003305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8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2"/>
        <v>47003300_47003306</v>
      </c>
      <c r="B104" s="140">
        <v>47003300</v>
      </c>
      <c r="C104" s="140">
        <v>47003306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ふふふっ、ステキな魔法をかけてくださいな♪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104" s="140">
        <v>47003306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2"/>
        <v>47003300_47003306</v>
      </c>
      <c r="B105" s="140">
        <v>47003300</v>
      </c>
      <c r="C105" s="140">
        <v>47003306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ふふふっ、ステキな魔法をかけてくださいな♪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105" s="140">
        <v>47003307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2"/>
        <v>47003300_47003307</v>
      </c>
      <c r="B106" s="140">
        <v>47003300</v>
      </c>
      <c r="C106" s="140">
        <v>47003307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あら、ずいぶん凛々しい吸血鬼さん_x000D_私の血は吸わせませんよ♪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106" s="140">
        <v>47003308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2"/>
        <v>47003320_47003321</v>
      </c>
      <c r="B107" s="140">
        <v>47003320</v>
      </c>
      <c r="C107" s="140">
        <v>47003321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いくら似合ってるからって、_x000D_そんなに見つめられたら困るぜ！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お菓子盗んだ犯人！？　お、俺じゃないぞ！</v>
      </c>
      <c r="F107" s="140">
        <v>47003321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 t="str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2"/>
        <v>47003320_47003322</v>
      </c>
      <c r="B108" s="140">
        <v>47003320</v>
      </c>
      <c r="C108" s="140">
        <v>47003322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お菓子より心を奪いたいもんだな！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108" s="140">
        <v>47003322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 t="str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8" s="48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8" s="48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2"/>
        <v>47003320_47003323</v>
      </c>
      <c r="B109" s="140">
        <v>47003320</v>
      </c>
      <c r="C109" s="140">
        <v>47003323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やるな、だがこれはどうだ！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種族マシンのユニットに4ターンスキルバインド+_x000D_種族マシンのユニットに大ダメージの全体攻撃</v>
      </c>
      <c r="F109" s="140">
        <v>47003323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48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9" s="48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2"/>
        <v>47003320_47003324</v>
      </c>
      <c r="B110" s="140">
        <v>47003320</v>
      </c>
      <c r="C110" s="140">
        <v>47003324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吸血剣・バットラス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10" s="140">
        <v>47003324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 t="str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0" s="48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0" s="48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2"/>
        <v>47003320_47003325</v>
      </c>
      <c r="B111" s="140">
        <v>47003320</v>
      </c>
      <c r="C111" s="140">
        <v>47003325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楽しい夜だな！　熱くなって来たぜ！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111" s="140">
        <v>47003325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8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1" s="48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si="2"/>
        <v>47003320_47003326</v>
      </c>
      <c r="B112" s="140">
        <v>47003320</v>
      </c>
      <c r="C112" s="140">
        <v>47003326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可愛い魔女さん、ふふ…俺が怖いか？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112" s="140">
        <v>47003326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8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8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2"/>
        <v>47003320_47003326</v>
      </c>
      <c r="B113" s="140">
        <v>47003320</v>
      </c>
      <c r="C113" s="140">
        <v>47003326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可愛い魔女さん、ふふ…俺が怖いか？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113" s="140">
        <v>47003327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2"/>
        <v>47003320_47003327</v>
      </c>
      <c r="B114" s="140">
        <v>47003320</v>
      </c>
      <c r="C114" s="140">
        <v>47003327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姫様、城までエスコートしようか？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114" s="140">
        <v>47003328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2"/>
        <v>47003340_47003341</v>
      </c>
      <c r="B115" s="140">
        <v>47003340</v>
      </c>
      <c r="C115" s="140">
        <v>47003341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あ〜あ、見つかっちゃたかぁ〜♪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種族デーモン以外に2ターン暗闇</v>
      </c>
      <c r="F115" s="140">
        <v>47003341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8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8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2"/>
        <v>47003340_47003342</v>
      </c>
      <c r="B116" s="140">
        <v>47003340</v>
      </c>
      <c r="C116" s="140">
        <v>47003342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暗闇からパンチ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116" s="140">
        <v>47003342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8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6" s="48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2"/>
        <v>47003340_47003344</v>
      </c>
      <c r="B117" s="140">
        <v>47003340</v>
      </c>
      <c r="C117" s="140">
        <v>47003344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あなたのお菓子もちょ〜だい？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黄パネルを吸収して攻撃</v>
      </c>
      <c r="F117" s="140">
        <v>47003344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 t="str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7" s="48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7" s="48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ref="A118:A129" si="3">B118&amp;"_"&amp;C118</f>
        <v>47003340_47003345</v>
      </c>
      <c r="B118" s="140">
        <v>47003340</v>
      </c>
      <c r="C118" s="140">
        <v>47003345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んふふ〜♪か〜わい〜魔女さん♪_x000D_でもお菓子は渡さないよ〜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種族デーモン以外に2ターン暗闇</v>
      </c>
      <c r="F118" s="140">
        <v>47003345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8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8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3"/>
        <v>47003340_47003345</v>
      </c>
      <c r="B119" s="140">
        <v>47003340</v>
      </c>
      <c r="C119" s="140">
        <v>47003345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んふふ〜♪か〜わい〜魔女さん♪_x000D_でもお菓子は渡さないよ〜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種族デーモン以外に2ターン暗闇</v>
      </c>
      <c r="F119" s="140">
        <v>47003346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8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8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si="3"/>
        <v>47003340_47003346</v>
      </c>
      <c r="B120" s="140">
        <v>47003340</v>
      </c>
      <c r="C120" s="140">
        <v>47003346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きゃ〜キレイねラプンツェル〜♪_x000D_ワンちゃんもカワイイ〜♪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種族デーモン以外に2ターン暗闇</v>
      </c>
      <c r="F120" s="140">
        <v>47003347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si="3"/>
        <v>47003340_47003347</v>
      </c>
      <c r="B121" s="140">
        <v>47003340</v>
      </c>
      <c r="C121" s="140">
        <v>47003347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イケメンなヴァンパイアさん〜♪_x000D_お菓子を奪いにきたのかな〜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種族デーモン以外に2ターン暗闇</v>
      </c>
      <c r="F121" s="140">
        <v>47003348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8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8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3"/>
        <v>47003360_47003361</v>
      </c>
      <c r="B122" s="140">
        <v>47003360</v>
      </c>
      <c r="C122" s="140">
        <v>47003361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さぁ〜、イタズラしちゃうよぉ〜♪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種族デーモン以外に2ターン暗闇</v>
      </c>
      <c r="F122" s="140">
        <v>47003361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48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2" s="48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3"/>
        <v>47003360_47003362</v>
      </c>
      <c r="B123" s="140">
        <v>47003360</v>
      </c>
      <c r="C123" s="140">
        <v>47003362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暗闇からキック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123" s="140">
        <v>47003362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8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3" s="48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3"/>
        <v>47003360_47003364</v>
      </c>
      <c r="B124" s="140">
        <v>47003360</v>
      </c>
      <c r="C124" s="140">
        <v>47003364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うるさい口は塞いであげる♪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2ターンスキルバインド+自身の攻撃力UP</v>
      </c>
      <c r="F124" s="140">
        <v>47003364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214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8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4" s="48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si="3"/>
        <v>47003360_47003365</v>
      </c>
      <c r="B125" s="140">
        <v>47003360</v>
      </c>
      <c r="C125" s="140">
        <v>47003365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スウィート・カタラクト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125" s="140">
        <v>47003365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 t="str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5" s="48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5" s="48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x14ac:dyDescent="0.15">
      <c r="A126" s="39" t="str">
        <f t="shared" si="3"/>
        <v>47003380_47003381</v>
      </c>
      <c r="B126" s="140">
        <v>47003380</v>
      </c>
      <c r="C126" s="140">
        <v>47003381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この子達は絶対に渡さないんだから〜！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種族デーモン以外に2ターンスキルバインド+_x000D_黄パネルドロップUP</v>
      </c>
      <c r="F126" s="140">
        <v>47003381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6" s="48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6" s="48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21" customHeight="1" x14ac:dyDescent="0.15">
      <c r="A127" s="39" t="str">
        <f t="shared" si="3"/>
        <v>47003380_47003383</v>
      </c>
      <c r="B127" s="140">
        <v>47003380</v>
      </c>
      <c r="C127" s="140">
        <v>47003383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お菓子はぜ〜んぶ私のもの〜♪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黄パネルを吸収して攻撃</v>
      </c>
      <c r="F127" s="140">
        <v>47003383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 t="str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7" s="48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7" s="48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21" customHeight="1" x14ac:dyDescent="0.15">
      <c r="A128" s="39" t="str">
        <f t="shared" si="3"/>
        <v>47003380_47003384</v>
      </c>
      <c r="B128" s="140">
        <v>47003380</v>
      </c>
      <c r="C128" s="140">
        <v>47003384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シュガー・ウォール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128" s="140">
        <v>47003384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 t="str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8" s="48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8" s="48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si="3"/>
        <v>47003380_47003386</v>
      </c>
      <c r="B129" s="140">
        <v>47003380</v>
      </c>
      <c r="C129" s="140">
        <v>47003386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ダメかぁ〜　せっかくたくさん集めたのになぁ〜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えっ、私にも分けてくれるの？　うん、ありがと…♪</v>
      </c>
      <c r="F129" s="140">
        <v>47003386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48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9" s="48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ref="A130:A181" si="4">B130&amp;"_"&amp;C130</f>
        <v>47003400_47003401</v>
      </c>
      <c r="B130" s="141">
        <v>47003400</v>
      </c>
      <c r="C130" s="141">
        <v>47003401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はっぴーはろうぃんだワン！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種族デーモンの攻撃力大UP</v>
      </c>
      <c r="F130" s="141">
        <v>47003401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0" s="48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0" s="48" t="str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21" customHeight="1" x14ac:dyDescent="0.15">
      <c r="A131" s="39" t="str">
        <f t="shared" si="4"/>
        <v>47003400_47003402</v>
      </c>
      <c r="B131" s="141">
        <v>47003400</v>
      </c>
      <c r="C131" s="141">
        <v>47003402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魔女さん！_x000D_ぼくに魔法をかけてワン！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種族デーモンの攻撃力大UP</v>
      </c>
      <c r="F131" s="141">
        <v>47003402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1" s="48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1" s="48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21" customHeight="1" x14ac:dyDescent="0.15">
      <c r="A132" s="39" t="str">
        <f t="shared" si="4"/>
        <v>47003400_47003402</v>
      </c>
      <c r="B132" s="141">
        <v>47003400</v>
      </c>
      <c r="C132" s="141">
        <v>47003402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魔女さん！_x000D_ぼくに魔法をかけてワン！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種族デーモンの攻撃力大UP</v>
      </c>
      <c r="F132" s="141">
        <v>47003403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2" s="48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2" s="48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ht="21" customHeight="1" x14ac:dyDescent="0.15">
      <c r="A133" s="39" t="str">
        <f t="shared" si="4"/>
        <v>47003410_47003411</v>
      </c>
      <c r="B133" s="141">
        <v>47003410</v>
      </c>
      <c r="C133" s="141">
        <v>47003411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リ…リリリッ！！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種族デーモンのCパネル生成短縮</v>
      </c>
      <c r="F133" s="141">
        <v>47003411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3" s="48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3" s="48" t="str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/>
    </row>
    <row r="134" spans="1:18" ht="21" customHeight="1" x14ac:dyDescent="0.15">
      <c r="A134" s="39" t="str">
        <f t="shared" si="4"/>
        <v>47003410_47003413</v>
      </c>
      <c r="B134" s="141">
        <v>47003410</v>
      </c>
      <c r="C134" s="141">
        <v>47003413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リーリリリリ…！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種族デーモンのCパネル生成短縮</v>
      </c>
      <c r="F134" s="141">
        <v>47003414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48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4" s="48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4"/>
        <v>47003410_47003414</v>
      </c>
      <c r="B135" s="141">
        <v>47003410</v>
      </c>
      <c r="C135" s="141">
        <v>47003414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リッ！！リリィ…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種族デーモンのCパネル生成短縮</v>
      </c>
      <c r="F135" s="141">
        <v>47003415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5" s="48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5" s="48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si="4"/>
        <v>47003420_47003421</v>
      </c>
      <c r="B136" s="141">
        <v>47003420</v>
      </c>
      <c r="C136" s="141">
        <v>47003421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ガ…ガビガガ！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種族デーモンのボムの爆風を15%UP</v>
      </c>
      <c r="F136" s="141">
        <v>47003421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6" s="48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6" s="48" t="str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x14ac:dyDescent="0.15">
      <c r="A137" s="39" t="str">
        <f t="shared" si="4"/>
        <v>47003420_47003423</v>
      </c>
      <c r="B137" s="141">
        <v>47003420</v>
      </c>
      <c r="C137" s="141">
        <v>47003423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ビガッ！ビッ！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種族デーモンのボムの爆風を20%UP</v>
      </c>
      <c r="F137" s="141">
        <v>47003424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7" s="48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7" s="48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21" customHeight="1" x14ac:dyDescent="0.15">
      <c r="A138" s="39" t="str">
        <f t="shared" si="4"/>
        <v>47003420_47003424</v>
      </c>
      <c r="B138" s="141">
        <v>47003420</v>
      </c>
      <c r="C138" s="141">
        <v>47003424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ガビッ！？ビ…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種族デーモンのボムの爆風を20%UP</v>
      </c>
      <c r="F138" s="141">
        <v>47003425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8" s="48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8" s="48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/>
    </row>
    <row r="139" spans="1:18" ht="21" customHeight="1" x14ac:dyDescent="0.15">
      <c r="A139" s="39" t="str">
        <f t="shared" si="4"/>
        <v>47003430_47003431</v>
      </c>
      <c r="B139" s="141">
        <v>47003430</v>
      </c>
      <c r="C139" s="141">
        <v>47003431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とりっくおあとりーと！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種族デーモンのスキルゲージを6ターン減少</v>
      </c>
      <c r="F139" s="141">
        <v>47003431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9" s="48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9" s="48" t="str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  <row r="140" spans="1:18" ht="21" customHeight="1" x14ac:dyDescent="0.15">
      <c r="A140" s="39" t="str">
        <f t="shared" si="4"/>
        <v>47003430_47003432</v>
      </c>
      <c r="B140" s="141">
        <v>47003430</v>
      </c>
      <c r="C140" s="141">
        <v>47003432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まじょさん！_x000D_そのぼうしいいなー！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全ユニットのスキルゲージを6ターン減少</v>
      </c>
      <c r="F140" s="141">
        <v>47003432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0" s="48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0" s="48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/>
    </row>
    <row r="141" spans="1:18" ht="21" customHeight="1" x14ac:dyDescent="0.15">
      <c r="A141" s="39" t="str">
        <f t="shared" si="4"/>
        <v>47003430_47003432</v>
      </c>
      <c r="B141" s="141">
        <v>47003430</v>
      </c>
      <c r="C141" s="141">
        <v>47003432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まじょさん！_x000D_そのぼうしいいなー！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全ユニットのスキルゲージを6ターン減少</v>
      </c>
      <c r="F141" s="141">
        <v>47003433</v>
      </c>
      <c r="G141" s="4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1" s="4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41" s="4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1" s="48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1" s="48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41" s="4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7"/>
      <c r="Q141" s="47"/>
      <c r="R141" s="47"/>
    </row>
    <row r="142" spans="1:18" ht="21" customHeight="1" x14ac:dyDescent="0.15">
      <c r="A142" s="39" t="str">
        <f t="shared" si="4"/>
        <v>47003450_47003451</v>
      </c>
      <c r="B142" s="141">
        <v>47003450</v>
      </c>
      <c r="C142" s="141">
        <v>47003451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お菓子ですか…えーと…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…はっ！　いえっ、なんでもないですぅ！</v>
      </c>
      <c r="F142" s="141">
        <v>47003451</v>
      </c>
      <c r="G142" s="4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2" s="4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2" s="4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2" s="48" t="str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2" s="48" t="str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2" s="4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7"/>
      <c r="Q142" s="47"/>
      <c r="R142" s="47"/>
    </row>
    <row r="143" spans="1:18" ht="21" customHeight="1" x14ac:dyDescent="0.15">
      <c r="A143" s="39" t="str">
        <f t="shared" si="4"/>
        <v>47003450_47003453</v>
      </c>
      <c r="B143" s="141">
        <v>47003450</v>
      </c>
      <c r="C143" s="141">
        <v>47003453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クッキー・クラッカー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43" s="141">
        <v>47003453</v>
      </c>
      <c r="G143" s="4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43" s="4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8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3" s="48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3" s="48" t="str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3" s="4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7"/>
      <c r="Q143" s="47"/>
      <c r="R143" s="47"/>
    </row>
    <row r="144" spans="1:18" ht="21" customHeight="1" x14ac:dyDescent="0.15">
      <c r="A144" s="39" t="str">
        <f t="shared" si="4"/>
        <v>47003450_47003454</v>
      </c>
      <c r="B144" s="141">
        <v>47003450</v>
      </c>
      <c r="C144" s="141">
        <v>47003454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い、いたずらしちゃいますよぉ！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黄パネルを吸収して攻撃</v>
      </c>
      <c r="F144" s="141">
        <v>47003454</v>
      </c>
      <c r="G144" s="4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4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44" s="4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8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4" s="48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4" s="48" t="str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4" s="4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7"/>
      <c r="Q144" s="47"/>
      <c r="R144" s="47"/>
    </row>
    <row r="145" spans="1:18" ht="21" customHeight="1" x14ac:dyDescent="0.15">
      <c r="A145" s="39" t="str">
        <f t="shared" si="4"/>
        <v>47003450_47003455</v>
      </c>
      <c r="B145" s="141">
        <v>47003450</v>
      </c>
      <c r="C145" s="141">
        <v>47003455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はわ〜！　とっても可愛いですぅ！_x000D_アメいりますか〜？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145" s="141">
        <v>47003455</v>
      </c>
      <c r="G145" s="4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5" s="4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145" s="4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8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8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5" s="48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48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45" s="4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7"/>
      <c r="Q145" s="47"/>
      <c r="R145" s="47"/>
    </row>
    <row r="146" spans="1:18" ht="21" customHeight="1" x14ac:dyDescent="0.15">
      <c r="A146" s="39" t="str">
        <f t="shared" si="4"/>
        <v>47003450_47003455</v>
      </c>
      <c r="B146" s="141">
        <v>47003450</v>
      </c>
      <c r="C146" s="141">
        <v>47003455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はわ〜！　とっても可愛いですぅ！_x000D_アメいりますか〜？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146" s="141">
        <v>47003456</v>
      </c>
      <c r="G146" s="48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6" s="48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146" s="48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8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8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8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6" s="48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48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46" s="48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7"/>
      <c r="Q146" s="47"/>
      <c r="R146" s="47"/>
    </row>
    <row r="147" spans="1:18" ht="21" customHeight="1" x14ac:dyDescent="0.15">
      <c r="A147" s="39" t="str">
        <f t="shared" si="4"/>
        <v>47003450_47003456</v>
      </c>
      <c r="B147" s="141">
        <v>47003450</v>
      </c>
      <c r="C147" s="141">
        <v>47003456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キレイなお姫さま、_x000D_私もお城に連れて行ってください〜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147" s="141">
        <v>47003457</v>
      </c>
      <c r="G147" s="48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7" s="48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147" s="48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8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8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8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7" s="48" t="str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7" s="48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147" s="48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7"/>
      <c r="Q147" s="47"/>
      <c r="R147" s="47"/>
    </row>
    <row r="148" spans="1:18" ht="21" customHeight="1" x14ac:dyDescent="0.15">
      <c r="A148" s="39" t="str">
        <f t="shared" si="4"/>
        <v>47003450_47003457</v>
      </c>
      <c r="B148" s="141">
        <v>47003450</v>
      </c>
      <c r="C148" s="141">
        <v>47003457</v>
      </c>
      <c r="D148" s="4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あうぅ、カッコイイ吸血鬼さん_x000D_血は吸わないでくださいぃ〜</v>
      </c>
      <c r="E148" s="4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148" s="141">
        <v>47003458</v>
      </c>
      <c r="G148" s="48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8" s="48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148" s="48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8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48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48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8" s="48" t="str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8" s="48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148" s="48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7"/>
      <c r="Q148" s="47"/>
      <c r="R148" s="47"/>
    </row>
    <row r="149" spans="1:18" ht="21" customHeight="1" x14ac:dyDescent="0.15">
      <c r="A149" s="39" t="str">
        <f t="shared" si="4"/>
        <v>47003460_47003461</v>
      </c>
      <c r="B149" s="141">
        <v>47003460</v>
      </c>
      <c r="C149" s="141">
        <v>47003461</v>
      </c>
      <c r="D149" s="46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異教徒どもが我が物顔で…</v>
      </c>
      <c r="E149" s="46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異端の祭事は、菓子の様に甘くないぞ！</v>
      </c>
      <c r="F149" s="141">
        <v>47003461</v>
      </c>
      <c r="G149" s="48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9" s="48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9" s="48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48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8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8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9" s="48" t="str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9" s="48" t="str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9" s="48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47"/>
      <c r="Q149" s="47"/>
      <c r="R149" s="47"/>
    </row>
    <row r="150" spans="1:18" ht="21" customHeight="1" x14ac:dyDescent="0.15">
      <c r="A150" s="39" t="str">
        <f t="shared" si="4"/>
        <v>47003460_47003463</v>
      </c>
      <c r="B150" s="141">
        <v>47003460</v>
      </c>
      <c r="C150" s="141">
        <v>47003463</v>
      </c>
      <c r="D150" s="46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ゴート・オー・ランタン</v>
      </c>
      <c r="E150" s="46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50" s="141">
        <v>47003463</v>
      </c>
      <c r="G150" s="48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0" s="48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50" s="48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48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48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48" t="str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0" s="48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0" s="48" t="str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0" s="48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47"/>
      <c r="Q150" s="47"/>
      <c r="R150" s="47"/>
    </row>
    <row r="151" spans="1:18" ht="21" customHeight="1" x14ac:dyDescent="0.15">
      <c r="A151" s="39" t="str">
        <f t="shared" si="4"/>
        <v>47003460_47003464</v>
      </c>
      <c r="B151" s="141">
        <v>47003460</v>
      </c>
      <c r="C151" s="141">
        <v>47003464</v>
      </c>
      <c r="D151" s="46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黒き異端の災断</v>
      </c>
      <c r="E151" s="46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1" s="141">
        <v>47003464</v>
      </c>
      <c r="G151" s="48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1" s="48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51" s="48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48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8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8" t="str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1" s="48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1" s="48" t="str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1" s="48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47"/>
      <c r="Q151" s="47"/>
      <c r="R151" s="47"/>
    </row>
    <row r="152" spans="1:18" ht="21" customHeight="1" x14ac:dyDescent="0.15">
      <c r="A152" s="39" t="str">
        <f t="shared" si="4"/>
        <v>47003460_47003465</v>
      </c>
      <c r="B152" s="141">
        <v>47003460</v>
      </c>
      <c r="C152" s="141">
        <v>47003465</v>
      </c>
      <c r="D152" s="46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ふっ…可愛らしい魔女だな…_x000D_お菓子が欲しいのか？</v>
      </c>
      <c r="E152" s="46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152" s="141">
        <v>47003465</v>
      </c>
      <c r="G152" s="48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2" s="48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152" s="48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8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48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8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2" s="48" t="str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2" s="48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52" s="48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7"/>
      <c r="Q152" s="47"/>
      <c r="R152" s="47"/>
    </row>
    <row r="153" spans="1:18" ht="21" customHeight="1" x14ac:dyDescent="0.15">
      <c r="A153" s="39" t="str">
        <f t="shared" si="4"/>
        <v>47003460_47003465</v>
      </c>
      <c r="B153" s="141">
        <v>47003460</v>
      </c>
      <c r="C153" s="141">
        <v>47003465</v>
      </c>
      <c r="D153" s="4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ふっ…可愛らしい魔女だな…_x000D_お菓子が欲しいのか？</v>
      </c>
      <c r="E153" s="4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153" s="141">
        <v>47003466</v>
      </c>
      <c r="G153" s="48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3" s="48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153" s="48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48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48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8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3" s="48" t="str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3" s="48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53" s="48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47"/>
      <c r="Q153" s="47"/>
      <c r="R153" s="47"/>
    </row>
    <row r="154" spans="1:18" ht="21" customHeight="1" x14ac:dyDescent="0.15">
      <c r="A154" s="39" t="str">
        <f t="shared" si="4"/>
        <v>47003460_47003466</v>
      </c>
      <c r="B154" s="141">
        <v>47003460</v>
      </c>
      <c r="C154" s="141">
        <v>47003466</v>
      </c>
      <c r="D154" s="46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古城の姫か、ラプンツェル_x000D_横にいる執事もお似合いだな</v>
      </c>
      <c r="E154" s="46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154" s="141">
        <v>47003467</v>
      </c>
      <c r="G154" s="48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4" s="48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154" s="48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48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8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48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4" s="48" t="str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4" s="48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154" s="48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47"/>
      <c r="Q154" s="47"/>
      <c r="R154" s="47"/>
    </row>
    <row r="155" spans="1:18" ht="21" customHeight="1" x14ac:dyDescent="0.15">
      <c r="A155" s="39" t="str">
        <f t="shared" si="4"/>
        <v>47003460_47003467</v>
      </c>
      <c r="B155" s="141">
        <v>47003460</v>
      </c>
      <c r="C155" s="141">
        <v>47003467</v>
      </c>
      <c r="D155" s="46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勇ましい円卓の騎士も_x000D_祭事にはノリノリだな</v>
      </c>
      <c r="E155" s="46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155" s="141">
        <v>47003468</v>
      </c>
      <c r="G155" s="48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5" s="48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155" s="48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48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48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48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5" s="48" t="str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5" s="48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155" s="48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47"/>
      <c r="Q155" s="47"/>
      <c r="R155" s="47"/>
    </row>
    <row r="156" spans="1:18" ht="21" customHeight="1" x14ac:dyDescent="0.15">
      <c r="A156" s="39" t="str">
        <f t="shared" si="4"/>
        <v>47003480_47003481</v>
      </c>
      <c r="B156" s="141">
        <v>47003480</v>
      </c>
      <c r="C156" s="141">
        <v>47003481</v>
      </c>
      <c r="D156" s="46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随分騒がしい夜だね…</v>
      </c>
      <c r="E156" s="46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この喧騒がまたボクを孤独にするんだ…</v>
      </c>
      <c r="F156" s="141">
        <v>47003481</v>
      </c>
      <c r="G156" s="48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6" s="48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6" s="48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8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8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8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6" s="48" t="str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6" s="48" t="str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6" s="48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7"/>
      <c r="Q156" s="47"/>
      <c r="R156" s="47"/>
    </row>
    <row r="157" spans="1:18" ht="21" customHeight="1" x14ac:dyDescent="0.15">
      <c r="A157" s="39" t="str">
        <f t="shared" si="4"/>
        <v>47003480_47003483</v>
      </c>
      <c r="B157" s="141">
        <v>47003480</v>
      </c>
      <c r="C157" s="141">
        <v>47003483</v>
      </c>
      <c r="D157" s="46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魂を手繰る三糸</v>
      </c>
      <c r="E157" s="46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57" s="141">
        <v>47003483</v>
      </c>
      <c r="G157" s="48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7" s="48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57" s="48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8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8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48" t="str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7" s="48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7" s="48" t="str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7" s="48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7"/>
      <c r="Q157" s="47"/>
      <c r="R157" s="47"/>
    </row>
    <row r="158" spans="1:18" ht="21" customHeight="1" x14ac:dyDescent="0.15">
      <c r="A158" s="39" t="str">
        <f t="shared" si="4"/>
        <v>47003480_47003484</v>
      </c>
      <c r="B158" s="141">
        <v>47003480</v>
      </c>
      <c r="C158" s="141">
        <v>47003484</v>
      </c>
      <c r="D158" s="4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ボクに近づかない方がいい…</v>
      </c>
      <c r="E158" s="4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8" s="141">
        <v>47003484</v>
      </c>
      <c r="G158" s="48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8" s="48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58" s="48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8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8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48" t="str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8" s="48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8" s="48" t="str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8" s="48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7"/>
      <c r="Q158" s="47"/>
      <c r="R158" s="47"/>
    </row>
    <row r="159" spans="1:18" ht="21" customHeight="1" x14ac:dyDescent="0.15">
      <c r="A159" s="39" t="str">
        <f t="shared" si="4"/>
        <v>47003480_47003485</v>
      </c>
      <c r="B159" s="141">
        <v>47003480</v>
      </c>
      <c r="C159" s="141">
        <v>47003485</v>
      </c>
      <c r="D159" s="46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小さな魔女…_x000D_ボクが闇の力を分けてあげるよ</v>
      </c>
      <c r="E159" s="46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159" s="141">
        <v>47003485</v>
      </c>
      <c r="G159" s="48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9" s="48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159" s="48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8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48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8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9" s="48" t="str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9" s="48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59" s="48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7"/>
      <c r="Q159" s="47"/>
      <c r="R159" s="47"/>
    </row>
    <row r="160" spans="1:18" ht="21" customHeight="1" x14ac:dyDescent="0.15">
      <c r="A160" s="39" t="str">
        <f t="shared" si="4"/>
        <v>47003480_47003485</v>
      </c>
      <c r="B160" s="141">
        <v>47003480</v>
      </c>
      <c r="C160" s="141">
        <v>47003485</v>
      </c>
      <c r="D160" s="46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小さな魔女…_x000D_ボクが闇の力を分けてあげるよ</v>
      </c>
      <c r="E160" s="46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160" s="141">
        <v>47003486</v>
      </c>
      <c r="G160" s="48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0" s="48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160" s="48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48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48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8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0" s="48" t="str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0" s="48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60" s="48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47"/>
      <c r="Q160" s="47"/>
      <c r="R160" s="47"/>
    </row>
    <row r="161" spans="1:18" ht="21" customHeight="1" x14ac:dyDescent="0.15">
      <c r="A161" s="39" t="str">
        <f t="shared" si="4"/>
        <v>47003480_47003486</v>
      </c>
      <c r="B161" s="141">
        <v>47003480</v>
      </c>
      <c r="C161" s="141">
        <v>47003486</v>
      </c>
      <c r="D161" s="46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美しい姫君か…_x000D_闇に染まったボクを倒せるかな？</v>
      </c>
      <c r="E161" s="46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161" s="141">
        <v>47003487</v>
      </c>
      <c r="G161" s="48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1" s="48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161" s="48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48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48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8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1" s="48" t="str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1" s="48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161" s="48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47"/>
      <c r="Q161" s="47"/>
      <c r="R161" s="47"/>
    </row>
    <row r="162" spans="1:18" ht="21" customHeight="1" x14ac:dyDescent="0.15">
      <c r="A162" s="39" t="str">
        <f t="shared" si="4"/>
        <v>47003480_47003487</v>
      </c>
      <c r="B162" s="141">
        <v>47003480</v>
      </c>
      <c r="C162" s="141">
        <v>47003487</v>
      </c>
      <c r="D162" s="46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常闇の帝王、ヴァンパイア…_x000D_その実力見せてもらうよ</v>
      </c>
      <c r="E162" s="46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162" s="141">
        <v>47003488</v>
      </c>
      <c r="G162" s="48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2" s="48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162" s="48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48" t="str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2" s="48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8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2" s="48" t="str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2" s="48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162" s="48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47"/>
      <c r="Q162" s="47"/>
      <c r="R162" s="47"/>
    </row>
    <row r="163" spans="1:18" ht="21" customHeight="1" x14ac:dyDescent="0.15">
      <c r="A163" s="39" t="str">
        <f t="shared" si="4"/>
        <v>47003500_47003501</v>
      </c>
      <c r="B163" s="141">
        <v>47003500</v>
      </c>
      <c r="C163" s="141">
        <v>47003501</v>
      </c>
      <c r="D163" s="46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ふふ…月が綺麗な夜ですね…</v>
      </c>
      <c r="E163" s="46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ならば、私も負けずに輝きます！</v>
      </c>
      <c r="F163" s="141">
        <v>47003501</v>
      </c>
      <c r="G163" s="48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3" s="48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3" s="48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48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48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8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3" s="48" t="str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3" s="48" t="str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3" s="48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47"/>
      <c r="Q163" s="47"/>
      <c r="R163" s="47"/>
    </row>
    <row r="164" spans="1:18" ht="21" customHeight="1" x14ac:dyDescent="0.15">
      <c r="A164" s="39" t="str">
        <f t="shared" si="4"/>
        <v>47003500_47003502</v>
      </c>
      <c r="B164" s="141">
        <v>47003500</v>
      </c>
      <c r="C164" s="141">
        <v>47003502</v>
      </c>
      <c r="D164" s="46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ビリビリします！</v>
      </c>
      <c r="E164" s="46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種族マシンのユニットに4ターンスキルバインド+_x000D_種族マシンのユニットに大ダメージの全体攻撃</v>
      </c>
      <c r="F164" s="141">
        <v>47003502</v>
      </c>
      <c r="G164" s="48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4" s="48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64" s="48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48" t="str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4" s="48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8" t="str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4" s="48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4" s="48" t="str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4" s="48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47"/>
      <c r="Q164" s="47"/>
      <c r="R164" s="47"/>
    </row>
    <row r="165" spans="1:18" ht="21" customHeight="1" x14ac:dyDescent="0.15">
      <c r="A165" s="39" t="str">
        <f t="shared" si="4"/>
        <v>47003500_47003503</v>
      </c>
      <c r="B165" s="141">
        <v>47003500</v>
      </c>
      <c r="C165" s="141">
        <v>47003503</v>
      </c>
      <c r="D165" s="46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闇夜を切り裂く雷光</v>
      </c>
      <c r="E165" s="46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165" s="141">
        <v>47003503</v>
      </c>
      <c r="G165" s="48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48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65" s="48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48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48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8" t="str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5" s="48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5" s="48" t="str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5" s="48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7"/>
      <c r="Q165" s="47"/>
      <c r="R165" s="47"/>
    </row>
    <row r="166" spans="1:18" ht="21" customHeight="1" x14ac:dyDescent="0.15">
      <c r="A166" s="39" t="str">
        <f t="shared" si="4"/>
        <v>47003500_47003504</v>
      </c>
      <c r="B166" s="141">
        <v>47003500</v>
      </c>
      <c r="C166" s="141">
        <v>47003504</v>
      </c>
      <c r="D166" s="46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スティング・オブ・ブラックローズ</v>
      </c>
      <c r="E166" s="46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66" s="141">
        <v>47003504</v>
      </c>
      <c r="G166" s="48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6" s="48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66" s="48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48" t="str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6" s="48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48" t="str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6" s="48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6" s="48" t="str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6" s="48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47"/>
      <c r="Q166" s="47"/>
      <c r="R166" s="47"/>
    </row>
    <row r="167" spans="1:18" ht="21" customHeight="1" x14ac:dyDescent="0.15">
      <c r="A167" s="39" t="str">
        <f t="shared" si="4"/>
        <v>47003500_47003505</v>
      </c>
      <c r="B167" s="141">
        <v>47003500</v>
      </c>
      <c r="C167" s="141">
        <v>47003505</v>
      </c>
      <c r="D167" s="4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お菓子…？　いえ、私は何も…</v>
      </c>
      <c r="E167" s="4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そうですか…どうりで皆さん殺気立って…</v>
      </c>
      <c r="F167" s="141">
        <v>47003505</v>
      </c>
      <c r="G167" s="48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7" s="48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167" s="48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48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48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48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7" s="48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67" s="48" t="str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7" s="48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47"/>
      <c r="Q167" s="47"/>
      <c r="R167" s="47"/>
    </row>
    <row r="168" spans="1:18" ht="21" customHeight="1" x14ac:dyDescent="0.15">
      <c r="A168" s="39" t="str">
        <f t="shared" si="4"/>
        <v>47003500_47003506</v>
      </c>
      <c r="B168" s="141">
        <v>47003500</v>
      </c>
      <c r="C168" s="141">
        <v>47003506</v>
      </c>
      <c r="D168" s="4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ふふふっ、ステキな魔法をかけてくださいな♪</v>
      </c>
      <c r="E168" s="4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168" s="141">
        <v>47003506</v>
      </c>
      <c r="G168" s="48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8" s="48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168" s="48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8" s="48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48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48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8" s="48" t="str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8" s="48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68" s="48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8" s="47"/>
      <c r="Q168" s="47"/>
      <c r="R168" s="47"/>
    </row>
    <row r="169" spans="1:18" ht="21" customHeight="1" x14ac:dyDescent="0.15">
      <c r="A169" s="39" t="str">
        <f t="shared" si="4"/>
        <v>47003500_47003506</v>
      </c>
      <c r="B169" s="141">
        <v>47003500</v>
      </c>
      <c r="C169" s="141">
        <v>47003506</v>
      </c>
      <c r="D169" s="46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ふふふっ、ステキな魔法をかけてくださいな♪</v>
      </c>
      <c r="E169" s="46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169" s="141">
        <v>47003507</v>
      </c>
      <c r="G169" s="48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9" s="48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169" s="48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9" s="48" t="str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9" s="48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48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9" s="48" t="str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9" s="48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69" s="48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9" s="47"/>
      <c r="Q169" s="47"/>
      <c r="R169" s="47"/>
    </row>
    <row r="170" spans="1:18" ht="21" customHeight="1" x14ac:dyDescent="0.15">
      <c r="A170" s="39" t="str">
        <f t="shared" si="4"/>
        <v>47003500_47003507</v>
      </c>
      <c r="B170" s="141">
        <v>47003500</v>
      </c>
      <c r="C170" s="141">
        <v>47003507</v>
      </c>
      <c r="D170" s="4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あら、ずいぶん凛々しい吸血鬼さん_x000D_私の血は吸わせませんよ♪</v>
      </c>
      <c r="E170" s="4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170" s="141">
        <v>47003508</v>
      </c>
      <c r="G170" s="48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0" s="48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170" s="48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0" s="48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48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48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0" s="48" t="str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0" s="48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170" s="48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0" s="47"/>
      <c r="Q170" s="47"/>
      <c r="R170" s="47"/>
    </row>
    <row r="171" spans="1:18" ht="21" customHeight="1" x14ac:dyDescent="0.15">
      <c r="A171" s="39" t="str">
        <f t="shared" si="4"/>
        <v>47003520_47003521</v>
      </c>
      <c r="B171" s="141">
        <v>47003520</v>
      </c>
      <c r="C171" s="141">
        <v>47003521</v>
      </c>
      <c r="D171" s="46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いくら似合ってるからって、_x000D_そんなに見つめられたら困るぜ！</v>
      </c>
      <c r="E171" s="46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お菓子盗んだ犯人！？　お、俺じゃないぞ！</v>
      </c>
      <c r="F171" s="141">
        <v>47003521</v>
      </c>
      <c r="G171" s="48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1" s="48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1" s="48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1" s="48" t="str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1" s="48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48" t="str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1" s="48" t="str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1" s="48" t="str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1" s="48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1" s="47"/>
      <c r="Q171" s="47"/>
      <c r="R171" s="47"/>
    </row>
    <row r="172" spans="1:18" ht="21" customHeight="1" x14ac:dyDescent="0.15">
      <c r="A172" s="39" t="str">
        <f t="shared" si="4"/>
        <v>47003520_47003522</v>
      </c>
      <c r="B172" s="141">
        <v>47003520</v>
      </c>
      <c r="C172" s="141">
        <v>47003522</v>
      </c>
      <c r="D172" s="46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お菓子より心を奪いたいもんだな！</v>
      </c>
      <c r="E172" s="46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172" s="141">
        <v>47003522</v>
      </c>
      <c r="G172" s="48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2" s="48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72" s="48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2" s="48" t="str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2" s="48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48" t="str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2" s="48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2" s="48" t="str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2" s="48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2" s="47"/>
      <c r="Q172" s="47"/>
      <c r="R172" s="47"/>
    </row>
    <row r="173" spans="1:18" ht="21" customHeight="1" x14ac:dyDescent="0.15">
      <c r="A173" s="39" t="str">
        <f t="shared" si="4"/>
        <v>47003520_47003523</v>
      </c>
      <c r="B173" s="141">
        <v>47003520</v>
      </c>
      <c r="C173" s="141">
        <v>47003523</v>
      </c>
      <c r="D173" s="46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やるな、だがこれはどうだ！</v>
      </c>
      <c r="E173" s="46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種族マシンのユニットに4ターンスキルバインド+_x000D_種族マシンのユニットに大ダメージの全体攻撃</v>
      </c>
      <c r="F173" s="141">
        <v>47003523</v>
      </c>
      <c r="G173" s="48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3" s="48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73" s="48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3" s="48" t="str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3" s="48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48" t="str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3" s="48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3" s="48" t="str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3" s="48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3" s="47"/>
      <c r="Q173" s="47"/>
      <c r="R173" s="47"/>
    </row>
    <row r="174" spans="1:18" ht="21" customHeight="1" x14ac:dyDescent="0.15">
      <c r="A174" s="39" t="str">
        <f t="shared" si="4"/>
        <v>47003520_47003524</v>
      </c>
      <c r="B174" s="141">
        <v>47003520</v>
      </c>
      <c r="C174" s="141">
        <v>47003524</v>
      </c>
      <c r="D174" s="4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吸血剣・バットラス</v>
      </c>
      <c r="E174" s="4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74" s="141">
        <v>47003524</v>
      </c>
      <c r="G174" s="48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4" s="48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74" s="48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4" s="48" t="str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4" s="48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48" t="str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4" s="48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74" s="48" t="str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4" s="48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4" s="47"/>
      <c r="Q174" s="47"/>
      <c r="R174" s="47"/>
    </row>
    <row r="175" spans="1:18" ht="21" customHeight="1" x14ac:dyDescent="0.15">
      <c r="A175" s="39" t="str">
        <f t="shared" si="4"/>
        <v>47003520_47003525</v>
      </c>
      <c r="B175" s="141">
        <v>47003520</v>
      </c>
      <c r="C175" s="141">
        <v>47003525</v>
      </c>
      <c r="D175" s="4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楽しい夜だな！　熱くなって来たぜ！</v>
      </c>
      <c r="E175" s="4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175" s="141">
        <v>47003525</v>
      </c>
      <c r="G175" s="48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5" s="48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175" s="48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48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5" s="48" t="str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5" s="48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5" s="48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5" s="48" t="str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5" s="48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47"/>
      <c r="Q175" s="47"/>
      <c r="R175" s="47"/>
    </row>
    <row r="176" spans="1:18" ht="21" customHeight="1" x14ac:dyDescent="0.15">
      <c r="A176" s="39" t="str">
        <f t="shared" si="4"/>
        <v>47003520_47003526</v>
      </c>
      <c r="B176" s="141">
        <v>47003520</v>
      </c>
      <c r="C176" s="141">
        <v>47003526</v>
      </c>
      <c r="D176" s="46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可愛い魔女さん、ふふ…俺が怖いか？</v>
      </c>
      <c r="E176" s="46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176" s="141">
        <v>47003526</v>
      </c>
      <c r="G176" s="48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6" s="48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176" s="48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6" s="48" t="str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6" s="48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48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6" s="48" t="str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6" s="48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76" s="48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6" s="47"/>
      <c r="Q176" s="47"/>
      <c r="R176" s="47"/>
    </row>
    <row r="177" spans="1:18" ht="21" customHeight="1" x14ac:dyDescent="0.15">
      <c r="A177" s="39" t="str">
        <f t="shared" si="4"/>
        <v>47003520_47003526</v>
      </c>
      <c r="B177" s="141">
        <v>47003520</v>
      </c>
      <c r="C177" s="141">
        <v>47003526</v>
      </c>
      <c r="D177" s="46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可愛い魔女さん、ふふ…俺が怖いか？</v>
      </c>
      <c r="E177" s="46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177" s="141">
        <v>47003527</v>
      </c>
      <c r="G177" s="48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7" s="48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177" s="48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48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48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48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7" s="48" t="str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7" s="48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77" s="48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47"/>
      <c r="Q177" s="47"/>
      <c r="R177" s="47"/>
    </row>
    <row r="178" spans="1:18" ht="21" customHeight="1" x14ac:dyDescent="0.15">
      <c r="A178" s="39" t="str">
        <f t="shared" si="4"/>
        <v>47003520_47003527</v>
      </c>
      <c r="B178" s="141">
        <v>47003520</v>
      </c>
      <c r="C178" s="141">
        <v>47003527</v>
      </c>
      <c r="D178" s="46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姫様、城までエスコートしようか？</v>
      </c>
      <c r="E178" s="46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178" s="141">
        <v>47003528</v>
      </c>
      <c r="G178" s="48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8" s="48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178" s="48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8" s="48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48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48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8" s="48" t="str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8" s="48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178" s="48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8" s="47"/>
      <c r="Q178" s="47"/>
      <c r="R178" s="47"/>
    </row>
    <row r="179" spans="1:18" ht="21" customHeight="1" x14ac:dyDescent="0.15">
      <c r="A179" s="39" t="str">
        <f t="shared" si="4"/>
        <v>47003540_47003541</v>
      </c>
      <c r="B179" s="141">
        <v>47003540</v>
      </c>
      <c r="C179" s="141">
        <v>47003541</v>
      </c>
      <c r="D179" s="46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あ〜あ、見つかっちゃたかぁ〜♪</v>
      </c>
      <c r="E179" s="46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種族デーモン以外に5ターン暗闇</v>
      </c>
      <c r="F179" s="141">
        <v>47003541</v>
      </c>
      <c r="G179" s="48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9" s="48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9" s="48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48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48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48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9" s="48" t="str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9" s="48" t="str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9" s="48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47"/>
      <c r="Q179" s="47"/>
      <c r="R179" s="47"/>
    </row>
    <row r="180" spans="1:18" ht="21" customHeight="1" x14ac:dyDescent="0.15">
      <c r="A180" s="39" t="str">
        <f t="shared" si="4"/>
        <v>47003540_47003542</v>
      </c>
      <c r="B180" s="141">
        <v>47003540</v>
      </c>
      <c r="C180" s="141">
        <v>47003542</v>
      </c>
      <c r="D180" s="46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暗闇からパンチ</v>
      </c>
      <c r="E180" s="46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180" s="141">
        <v>47003542</v>
      </c>
      <c r="G180" s="48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0" s="48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80" s="48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48" t="str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0" s="48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48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0" s="48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0" s="48" t="str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0" s="48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47"/>
      <c r="Q180" s="47"/>
      <c r="R180" s="47"/>
    </row>
    <row r="181" spans="1:18" ht="21" customHeight="1" x14ac:dyDescent="0.15">
      <c r="A181" s="39" t="str">
        <f t="shared" si="4"/>
        <v>47003540_47003544</v>
      </c>
      <c r="B181" s="141">
        <v>47003540</v>
      </c>
      <c r="C181" s="141">
        <v>47003544</v>
      </c>
      <c r="D181" s="46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あなたのお菓子もちょ〜だい？</v>
      </c>
      <c r="E181" s="46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黄パネルを吸収して攻撃</v>
      </c>
      <c r="F181" s="141">
        <v>47003544</v>
      </c>
      <c r="G181" s="48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1" s="48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81" s="48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48" t="str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1" s="48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48" t="str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1" s="48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1" s="48" t="str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1" s="48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47"/>
      <c r="Q181" s="47"/>
      <c r="R181" s="47"/>
    </row>
    <row r="182" spans="1:18" ht="21" customHeight="1" x14ac:dyDescent="0.15">
      <c r="A182" s="39" t="str">
        <f t="shared" ref="A182:A193" si="5">B182&amp;"_"&amp;C182</f>
        <v>47003540_47003545</v>
      </c>
      <c r="B182" s="141">
        <v>47003540</v>
      </c>
      <c r="C182" s="141">
        <v>47003545</v>
      </c>
      <c r="D182" s="46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んふふ〜♪か〜わい〜魔女さん♪_x000D_でもお菓子は渡さないよ〜</v>
      </c>
      <c r="E182" s="46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種族デーモン以外に5ターン暗闇</v>
      </c>
      <c r="F182" s="141">
        <v>47003545</v>
      </c>
      <c r="G182" s="48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2" s="48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182" s="48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48" t="str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2" s="48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48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2" s="48" t="str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2" s="48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82" s="48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47"/>
      <c r="Q182" s="47"/>
      <c r="R182" s="47"/>
    </row>
    <row r="183" spans="1:18" ht="21" customHeight="1" x14ac:dyDescent="0.15">
      <c r="A183" s="39" t="str">
        <f t="shared" si="5"/>
        <v>47003540_47003545</v>
      </c>
      <c r="B183" s="141">
        <v>47003540</v>
      </c>
      <c r="C183" s="141">
        <v>47003545</v>
      </c>
      <c r="D183" s="46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んふふ〜♪か〜わい〜魔女さん♪_x000D_でもお菓子は渡さないよ〜</v>
      </c>
      <c r="E183" s="46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種族デーモン以外に5ターン暗闇</v>
      </c>
      <c r="F183" s="141">
        <v>47003546</v>
      </c>
      <c r="G183" s="48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3" s="48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183" s="48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3" s="48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48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48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3" s="48" t="str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3" s="48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83" s="48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3" s="47"/>
      <c r="Q183" s="47"/>
      <c r="R183" s="47"/>
    </row>
    <row r="184" spans="1:18" ht="21" customHeight="1" x14ac:dyDescent="0.15">
      <c r="A184" s="39" t="str">
        <f t="shared" si="5"/>
        <v>47003540_47003546</v>
      </c>
      <c r="B184" s="141">
        <v>47003540</v>
      </c>
      <c r="C184" s="141">
        <v>47003546</v>
      </c>
      <c r="D184" s="46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きゃ〜キレイねラプンツェル〜♪_x000D_ワンちゃんもカワイイ〜♪</v>
      </c>
      <c r="E184" s="46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種族デーモン以外に5ターン暗闇</v>
      </c>
      <c r="F184" s="141">
        <v>47003547</v>
      </c>
      <c r="G184" s="48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4" s="48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184" s="48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4" s="48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48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48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4" s="48" t="str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4" s="48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184" s="48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4" s="47"/>
      <c r="Q184" s="47"/>
      <c r="R184" s="47"/>
    </row>
    <row r="185" spans="1:18" ht="21" customHeight="1" x14ac:dyDescent="0.15">
      <c r="A185" s="39" t="str">
        <f t="shared" si="5"/>
        <v>47003540_47003547</v>
      </c>
      <c r="B185" s="141">
        <v>47003540</v>
      </c>
      <c r="C185" s="141">
        <v>47003547</v>
      </c>
      <c r="D185" s="46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イケメンなヴァンパイアさん〜♪_x000D_お菓子を奪いにきたのかな〜</v>
      </c>
      <c r="E185" s="46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種族デーモン以外に5ターン暗闇</v>
      </c>
      <c r="F185" s="141">
        <v>47003548</v>
      </c>
      <c r="G185" s="48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5" s="48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185" s="48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5" s="48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48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48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5" s="48" t="str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5" s="48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185" s="48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5" s="47"/>
      <c r="Q185" s="47"/>
      <c r="R185" s="47"/>
    </row>
    <row r="186" spans="1:18" ht="21" customHeight="1" x14ac:dyDescent="0.15">
      <c r="A186" s="39" t="str">
        <f t="shared" si="5"/>
        <v>47003560_47003561</v>
      </c>
      <c r="B186" s="141">
        <v>47003560</v>
      </c>
      <c r="C186" s="141">
        <v>47003561</v>
      </c>
      <c r="D186" s="46" t="str">
        <f ca="1">VLOOKUP($C186,OFFSET(enemy_skills!$A$1,0,0,COUNTA(enemy_skills!$A:$A),MATCH(D$1,enemy_skills!$1:$1,0)-MATCH("enemy_skill_id",enemy_skills!$1:$1,0)+1),MATCH(D$1,enemy_skills!$1:$1,0)-MATCH("enemy_skill_id",enemy_skills!$1:$1,0)+1,FALSE)</f>
        <v>さぁ〜、イタズラしちゃうよぉ〜♪</v>
      </c>
      <c r="E186" s="46" t="str">
        <f ca="1">VLOOKUP($C186,OFFSET(enemy_skills!$A$1,0,0,COUNTA(enemy_skills!$A:$A),MATCH(E$1,enemy_skills!$1:$1,0)-MATCH("enemy_skill_id",enemy_skills!$1:$1,0)+1),MATCH(E$1,enemy_skills!$1:$1,0)-MATCH("enemy_skill_id",enemy_skills!$1:$1,0)+1,FALSE)</f>
        <v>種族デーモン以外に5ターン暗闇</v>
      </c>
      <c r="F186" s="141">
        <v>47003561</v>
      </c>
      <c r="G186" s="48">
        <f ca="1">VLOOKUP($F186,OFFSET(enemy_skill_triggers!$A$1,0,0,COUNTA(enemy_skill_triggers!$A:$A),MATCH(G$1,enemy_skill_triggers!$1:$1,0)-MATCH($F$1,enemy_skill_triggers!$1:$1,0)+1),MATCH(G$1,enemy_skill_triggers!$1:$1,0)-MATCH($F$1,enemy_skill_triggers!$1:$1,0)+1,FALSE)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6" s="48">
        <f ca="1">VLOOKUP($F186,OFFSET(enemy_skill_triggers!$A$1,0,0,COUNTA(enemy_skill_triggers!$A:$A),MATCH(H$1,enemy_skill_triggers!$1:$1,0)-MATCH($F$1,enemy_skill_triggers!$1:$1,0)+1),MATCH(H$1,enemy_skill_triggers!$1:$1,0)-MATCH($F$1,enemy_skill_triggers!$1:$1,0)+1,FALSE)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6" s="48">
        <f ca="1">VLOOKUP($F186,OFFSET(enemy_skill_triggers!$A$1,0,0,COUNTA(enemy_skill_triggers!$A:$A),MATCH(I$1,enemy_skill_triggers!$1:$1,0)-MATCH($F$1,enemy_skill_triggers!$1:$1,0)+1),MATCH(I$1,enemy_skill_triggers!$1:$1,0)-MATCH($F$1,enemy_skill_triggers!$1:$1,0)+1,FALSE)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6" s="48" t="str">
        <f ca="1">VLOOKUP($F186,OFFSET(enemy_skill_triggers!$A$1,0,0,COUNTA(enemy_skill_triggers!$A:$A),MATCH(J$1,enemy_skill_triggers!$1:$1,0)-MATCH($F$1,enemy_skill_triggers!$1:$1,0)+1),MATCH(J$1,enemy_skill_triggers!$1:$1,0)-MATCH($F$1,enemy_skill_triggers!$1:$1,0)+1,FALSE)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6" s="48" t="str">
        <f ca="1">VLOOKUP($F186,OFFSET(enemy_skill_triggers!$A$1,0,0,COUNTA(enemy_skill_triggers!$A:$A),MATCH(K$1,enemy_skill_triggers!$1:$1,0)-MATCH($F$1,enemy_skill_triggers!$1:$1,0)+1),MATCH(K$1,enemy_skill_triggers!$1:$1,0)-MATCH($F$1,enemy_skill_triggers!$1:$1,0)+1,FALSE)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6" s="48">
        <f ca="1">VLOOKUP($F186,OFFSET(enemy_skill_triggers!$A$1,0,0,COUNTA(enemy_skill_triggers!$A:$A),MATCH(L$1,enemy_skill_triggers!$1:$1,0)-MATCH($F$1,enemy_skill_triggers!$1:$1,0)+1),MATCH(L$1,enemy_skill_triggers!$1:$1,0)-MATCH($F$1,enemy_skill_triggers!$1:$1,0)+1,FALSE)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6" s="48">
        <f ca="1">VLOOKUP($F186,OFFSET(enemy_skill_triggers!$A$1,0,0,COUNTA(enemy_skill_triggers!$A:$A),MATCH(M$1,enemy_skill_triggers!$1:$1,0)-MATCH($F$1,enemy_skill_triggers!$1:$1,0)+1),MATCH(M$1,enemy_skill_triggers!$1:$1,0)-MATCH($F$1,enemy_skill_triggers!$1:$1,0)+1,FALSE)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6" s="48" t="str">
        <f ca="1">VLOOKUP($F186,OFFSET(enemy_skill_triggers!$A$1,0,0,COUNTA(enemy_skill_triggers!$A:$A),MATCH(N$1,enemy_skill_triggers!$1:$1,0)-MATCH($F$1,enemy_skill_triggers!$1:$1,0)+1),MATCH(N$1,enemy_skill_triggers!$1:$1,0)-MATCH($F$1,enemy_skill_triggers!$1:$1,0)+1,FALSE)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6" s="48">
        <f ca="1">VLOOKUP($F186,OFFSET(enemy_skill_triggers!$A$1,0,0,COUNTA(enemy_skill_triggers!$A:$A),MATCH(O$1,enemy_skill_triggers!$1:$1,0)-MATCH($F$1,enemy_skill_triggers!$1:$1,0)+1),MATCH(O$1,enemy_skill_triggers!$1:$1,0)-MATCH($F$1,enemy_skill_triggers!$1:$1,0)+1,FALSE)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6" s="47"/>
      <c r="Q186" s="47"/>
      <c r="R186" s="47"/>
    </row>
    <row r="187" spans="1:18" ht="21" customHeight="1" x14ac:dyDescent="0.15">
      <c r="A187" s="39" t="str">
        <f t="shared" si="5"/>
        <v>47003560_47003562</v>
      </c>
      <c r="B187" s="141">
        <v>47003560</v>
      </c>
      <c r="C187" s="141">
        <v>47003562</v>
      </c>
      <c r="D187" s="46" t="str">
        <f ca="1">VLOOKUP($C187,OFFSET(enemy_skills!$A$1,0,0,COUNTA(enemy_skills!$A:$A),MATCH(D$1,enemy_skills!$1:$1,0)-MATCH("enemy_skill_id",enemy_skills!$1:$1,0)+1),MATCH(D$1,enemy_skills!$1:$1,0)-MATCH("enemy_skill_id",enemy_skills!$1:$1,0)+1,FALSE)</f>
        <v>暗闇からキック</v>
      </c>
      <c r="E187" s="46" t="str">
        <f ca="1">VLOOKUP($C187,OFFSET(enemy_skills!$A$1,0,0,COUNTA(enemy_skills!$A:$A),MATCH(E$1,enemy_skills!$1:$1,0)-MATCH("enemy_skill_id",enemy_skills!$1:$1,0)+1),MATCH(E$1,enemy_skills!$1:$1,0)-MATCH("enemy_skill_id",enemy_skills!$1:$1,0)+1,FALSE)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187" s="141">
        <v>47003562</v>
      </c>
      <c r="G187" s="48">
        <f ca="1">VLOOKUP($F187,OFFSET(enemy_skill_triggers!$A$1,0,0,COUNTA(enemy_skill_triggers!$A:$A),MATCH(G$1,enemy_skill_triggers!$1:$1,0)-MATCH($F$1,enemy_skill_triggers!$1:$1,0)+1),MATCH(G$1,enemy_skill_triggers!$1:$1,0)-MATCH($F$1,enemy_skill_triggers!$1:$1,0)+1,FALSE)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7" s="48">
        <f ca="1">VLOOKUP($F187,OFFSET(enemy_skill_triggers!$A$1,0,0,COUNTA(enemy_skill_triggers!$A:$A),MATCH(H$1,enemy_skill_triggers!$1:$1,0)-MATCH($F$1,enemy_skill_triggers!$1:$1,0)+1),MATCH(H$1,enemy_skill_triggers!$1:$1,0)-MATCH($F$1,enemy_skill_triggers!$1:$1,0)+1,FALSE)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87" s="48">
        <f ca="1">VLOOKUP($F187,OFFSET(enemy_skill_triggers!$A$1,0,0,COUNTA(enemy_skill_triggers!$A:$A),MATCH(I$1,enemy_skill_triggers!$1:$1,0)-MATCH($F$1,enemy_skill_triggers!$1:$1,0)+1),MATCH(I$1,enemy_skill_triggers!$1:$1,0)-MATCH($F$1,enemy_skill_triggers!$1:$1,0)+1,FALSE)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7" s="48" t="str">
        <f ca="1">VLOOKUP($F187,OFFSET(enemy_skill_triggers!$A$1,0,0,COUNTA(enemy_skill_triggers!$A:$A),MATCH(J$1,enemy_skill_triggers!$1:$1,0)-MATCH($F$1,enemy_skill_triggers!$1:$1,0)+1),MATCH(J$1,enemy_skill_triggers!$1:$1,0)-MATCH($F$1,enemy_skill_triggers!$1:$1,0)+1,FALSE)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7" s="48" t="str">
        <f ca="1">VLOOKUP($F187,OFFSET(enemy_skill_triggers!$A$1,0,0,COUNTA(enemy_skill_triggers!$A:$A),MATCH(K$1,enemy_skill_triggers!$1:$1,0)-MATCH($F$1,enemy_skill_triggers!$1:$1,0)+1),MATCH(K$1,enemy_skill_triggers!$1:$1,0)-MATCH($F$1,enemy_skill_triggers!$1:$1,0)+1,FALSE)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7" s="48">
        <f ca="1">VLOOKUP($F187,OFFSET(enemy_skill_triggers!$A$1,0,0,COUNTA(enemy_skill_triggers!$A:$A),MATCH(L$1,enemy_skill_triggers!$1:$1,0)-MATCH($F$1,enemy_skill_triggers!$1:$1,0)+1),MATCH(L$1,enemy_skill_triggers!$1:$1,0)-MATCH($F$1,enemy_skill_triggers!$1:$1,0)+1,FALSE)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7" s="48">
        <f ca="1">VLOOKUP($F187,OFFSET(enemy_skill_triggers!$A$1,0,0,COUNTA(enemy_skill_triggers!$A:$A),MATCH(M$1,enemy_skill_triggers!$1:$1,0)-MATCH($F$1,enemy_skill_triggers!$1:$1,0)+1),MATCH(M$1,enemy_skill_triggers!$1:$1,0)-MATCH($F$1,enemy_skill_triggers!$1:$1,0)+1,FALSE)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7" s="48" t="str">
        <f ca="1">VLOOKUP($F187,OFFSET(enemy_skill_triggers!$A$1,0,0,COUNTA(enemy_skill_triggers!$A:$A),MATCH(N$1,enemy_skill_triggers!$1:$1,0)-MATCH($F$1,enemy_skill_triggers!$1:$1,0)+1),MATCH(N$1,enemy_skill_triggers!$1:$1,0)-MATCH($F$1,enemy_skill_triggers!$1:$1,0)+1,FALSE)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7" s="48">
        <f ca="1">VLOOKUP($F187,OFFSET(enemy_skill_triggers!$A$1,0,0,COUNTA(enemy_skill_triggers!$A:$A),MATCH(O$1,enemy_skill_triggers!$1:$1,0)-MATCH($F$1,enemy_skill_triggers!$1:$1,0)+1),MATCH(O$1,enemy_skill_triggers!$1:$1,0)-MATCH($F$1,enemy_skill_triggers!$1:$1,0)+1,FALSE)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7" s="47"/>
      <c r="Q187" s="47"/>
      <c r="R187" s="47"/>
    </row>
    <row r="188" spans="1:18" ht="21" customHeight="1" x14ac:dyDescent="0.15">
      <c r="A188" s="39" t="str">
        <f t="shared" si="5"/>
        <v>47003560_47003564</v>
      </c>
      <c r="B188" s="141">
        <v>47003560</v>
      </c>
      <c r="C188" s="141">
        <v>47003564</v>
      </c>
      <c r="D188" s="46" t="str">
        <f ca="1">VLOOKUP($C188,OFFSET(enemy_skills!$A$1,0,0,COUNTA(enemy_skills!$A:$A),MATCH(D$1,enemy_skills!$1:$1,0)-MATCH("enemy_skill_id",enemy_skills!$1:$1,0)+1),MATCH(D$1,enemy_skills!$1:$1,0)-MATCH("enemy_skill_id",enemy_skills!$1:$1,0)+1,FALSE)</f>
        <v>うるさい口は塞いであげる♪</v>
      </c>
      <c r="E188" s="46" t="str">
        <f ca="1">VLOOKUP($C188,OFFSET(enemy_skills!$A$1,0,0,COUNTA(enemy_skills!$A:$A),MATCH(E$1,enemy_skills!$1:$1,0)-MATCH("enemy_skill_id",enemy_skills!$1:$1,0)+1),MATCH(E$1,enemy_skills!$1:$1,0)-MATCH("enemy_skill_id",enemy_skills!$1:$1,0)+1,FALSE)</f>
        <v>2ターンスキルバインド+自身の攻撃力UP</v>
      </c>
      <c r="F188" s="141">
        <v>47003564</v>
      </c>
      <c r="G188" s="48">
        <f ca="1">VLOOKUP($F188,OFFSET(enemy_skill_triggers!$A$1,0,0,COUNTA(enemy_skill_triggers!$A:$A),MATCH(G$1,enemy_skill_triggers!$1:$1,0)-MATCH($F$1,enemy_skill_triggers!$1:$1,0)+1),MATCH(G$1,enemy_skill_triggers!$1:$1,0)-MATCH($F$1,enemy_skill_triggers!$1:$1,0)+1,FALSE)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8" s="48">
        <f ca="1">VLOOKUP($F188,OFFSET(enemy_skill_triggers!$A$1,0,0,COUNTA(enemy_skill_triggers!$A:$A),MATCH(H$1,enemy_skill_triggers!$1:$1,0)-MATCH($F$1,enemy_skill_triggers!$1:$1,0)+1),MATCH(H$1,enemy_skill_triggers!$1:$1,0)-MATCH($F$1,enemy_skill_triggers!$1:$1,0)+1,FALSE)</f>
        <v>214</v>
      </c>
      <c r="I188" s="48">
        <f ca="1">VLOOKUP($F188,OFFSET(enemy_skill_triggers!$A$1,0,0,COUNTA(enemy_skill_triggers!$A:$A),MATCH(I$1,enemy_skill_triggers!$1:$1,0)-MATCH($F$1,enemy_skill_triggers!$1:$1,0)+1),MATCH(I$1,enemy_skill_triggers!$1:$1,0)-MATCH($F$1,enemy_skill_triggers!$1:$1,0)+1,FALSE)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8" s="48">
        <f ca="1">VLOOKUP($F188,OFFSET(enemy_skill_triggers!$A$1,0,0,COUNTA(enemy_skill_triggers!$A:$A),MATCH(J$1,enemy_skill_triggers!$1:$1,0)-MATCH($F$1,enemy_skill_triggers!$1:$1,0)+1),MATCH(J$1,enemy_skill_triggers!$1:$1,0)-MATCH($F$1,enemy_skill_triggers!$1:$1,0)+1,FALSE)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8" s="48" t="str">
        <f ca="1">VLOOKUP($F188,OFFSET(enemy_skill_triggers!$A$1,0,0,COUNTA(enemy_skill_triggers!$A:$A),MATCH(K$1,enemy_skill_triggers!$1:$1,0)-MATCH($F$1,enemy_skill_triggers!$1:$1,0)+1),MATCH(K$1,enemy_skill_triggers!$1:$1,0)-MATCH($F$1,enemy_skill_triggers!$1:$1,0)+1,FALSE)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8" s="48">
        <f ca="1">VLOOKUP($F188,OFFSET(enemy_skill_triggers!$A$1,0,0,COUNTA(enemy_skill_triggers!$A:$A),MATCH(L$1,enemy_skill_triggers!$1:$1,0)-MATCH($F$1,enemy_skill_triggers!$1:$1,0)+1),MATCH(L$1,enemy_skill_triggers!$1:$1,0)-MATCH($F$1,enemy_skill_triggers!$1:$1,0)+1,FALSE)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8" s="48">
        <f ca="1">VLOOKUP($F188,OFFSET(enemy_skill_triggers!$A$1,0,0,COUNTA(enemy_skill_triggers!$A:$A),MATCH(M$1,enemy_skill_triggers!$1:$1,0)-MATCH($F$1,enemy_skill_triggers!$1:$1,0)+1),MATCH(M$1,enemy_skill_triggers!$1:$1,0)-MATCH($F$1,enemy_skill_triggers!$1:$1,0)+1,FALSE)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8" s="48" t="str">
        <f ca="1">VLOOKUP($F188,OFFSET(enemy_skill_triggers!$A$1,0,0,COUNTA(enemy_skill_triggers!$A:$A),MATCH(N$1,enemy_skill_triggers!$1:$1,0)-MATCH($F$1,enemy_skill_triggers!$1:$1,0)+1),MATCH(N$1,enemy_skill_triggers!$1:$1,0)-MATCH($F$1,enemy_skill_triggers!$1:$1,0)+1,FALSE)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8" s="48">
        <f ca="1">VLOOKUP($F188,OFFSET(enemy_skill_triggers!$A$1,0,0,COUNTA(enemy_skill_triggers!$A:$A),MATCH(O$1,enemy_skill_triggers!$1:$1,0)-MATCH($F$1,enemy_skill_triggers!$1:$1,0)+1),MATCH(O$1,enemy_skill_triggers!$1:$1,0)-MATCH($F$1,enemy_skill_triggers!$1:$1,0)+1,FALSE)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8" s="47"/>
      <c r="Q188" s="47"/>
      <c r="R188" s="47"/>
    </row>
    <row r="189" spans="1:18" ht="21" customHeight="1" x14ac:dyDescent="0.15">
      <c r="A189" s="39" t="str">
        <f t="shared" si="5"/>
        <v>47003560_47003565</v>
      </c>
      <c r="B189" s="141">
        <v>47003560</v>
      </c>
      <c r="C189" s="141">
        <v>47003565</v>
      </c>
      <c r="D189" s="46" t="str">
        <f ca="1">VLOOKUP($C189,OFFSET(enemy_skills!$A$1,0,0,COUNTA(enemy_skills!$A:$A),MATCH(D$1,enemy_skills!$1:$1,0)-MATCH("enemy_skill_id",enemy_skills!$1:$1,0)+1),MATCH(D$1,enemy_skills!$1:$1,0)-MATCH("enemy_skill_id",enemy_skills!$1:$1,0)+1,FALSE)</f>
        <v>スウィート・カタラクト</v>
      </c>
      <c r="E189" s="46" t="str">
        <f ca="1">VLOOKUP($C189,OFFSET(enemy_skills!$A$1,0,0,COUNTA(enemy_skills!$A:$A),MATCH(E$1,enemy_skills!$1:$1,0)-MATCH("enemy_skill_id",enemy_skills!$1:$1,0)+1),MATCH(E$1,enemy_skills!$1:$1,0)-MATCH("enemy_skill_id",enemy_skills!$1:$1,0)+1,FALSE)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189" s="141">
        <v>47003565</v>
      </c>
      <c r="G189" s="48">
        <f ca="1">VLOOKUP($F189,OFFSET(enemy_skill_triggers!$A$1,0,0,COUNTA(enemy_skill_triggers!$A:$A),MATCH(G$1,enemy_skill_triggers!$1:$1,0)-MATCH($F$1,enemy_skill_triggers!$1:$1,0)+1),MATCH(G$1,enemy_skill_triggers!$1:$1,0)-MATCH($F$1,enemy_skill_triggers!$1:$1,0)+1,FALSE)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9" s="48">
        <f ca="1">VLOOKUP($F189,OFFSET(enemy_skill_triggers!$A$1,0,0,COUNTA(enemy_skill_triggers!$A:$A),MATCH(H$1,enemy_skill_triggers!$1:$1,0)-MATCH($F$1,enemy_skill_triggers!$1:$1,0)+1),MATCH(H$1,enemy_skill_triggers!$1:$1,0)-MATCH($F$1,enemy_skill_triggers!$1:$1,0)+1,FALSE)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189" s="48">
        <f ca="1">VLOOKUP($F189,OFFSET(enemy_skill_triggers!$A$1,0,0,COUNTA(enemy_skill_triggers!$A:$A),MATCH(I$1,enemy_skill_triggers!$1:$1,0)-MATCH($F$1,enemy_skill_triggers!$1:$1,0)+1),MATCH(I$1,enemy_skill_triggers!$1:$1,0)-MATCH($F$1,enemy_skill_triggers!$1:$1,0)+1,FALSE)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9" s="48">
        <f ca="1">VLOOKUP($F189,OFFSET(enemy_skill_triggers!$A$1,0,0,COUNTA(enemy_skill_triggers!$A:$A),MATCH(J$1,enemy_skill_triggers!$1:$1,0)-MATCH($F$1,enemy_skill_triggers!$1:$1,0)+1),MATCH(J$1,enemy_skill_triggers!$1:$1,0)-MATCH($F$1,enemy_skill_triggers!$1:$1,0)+1,FALSE)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9" s="48" t="str">
        <f ca="1">VLOOKUP($F189,OFFSET(enemy_skill_triggers!$A$1,0,0,COUNTA(enemy_skill_triggers!$A:$A),MATCH(K$1,enemy_skill_triggers!$1:$1,0)-MATCH($F$1,enemy_skill_triggers!$1:$1,0)+1),MATCH(K$1,enemy_skill_triggers!$1:$1,0)-MATCH($F$1,enemy_skill_triggers!$1:$1,0)+1,FALSE)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9" s="48" t="str">
        <f ca="1">VLOOKUP($F189,OFFSET(enemy_skill_triggers!$A$1,0,0,COUNTA(enemy_skill_triggers!$A:$A),MATCH(L$1,enemy_skill_triggers!$1:$1,0)-MATCH($F$1,enemy_skill_triggers!$1:$1,0)+1),MATCH(L$1,enemy_skill_triggers!$1:$1,0)-MATCH($F$1,enemy_skill_triggers!$1:$1,0)+1,FALSE)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9" s="48">
        <f ca="1">VLOOKUP($F189,OFFSET(enemy_skill_triggers!$A$1,0,0,COUNTA(enemy_skill_triggers!$A:$A),MATCH(M$1,enemy_skill_triggers!$1:$1,0)-MATCH($F$1,enemy_skill_triggers!$1:$1,0)+1),MATCH(M$1,enemy_skill_triggers!$1:$1,0)-MATCH($F$1,enemy_skill_triggers!$1:$1,0)+1,FALSE)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9" s="48" t="str">
        <f ca="1">VLOOKUP($F189,OFFSET(enemy_skill_triggers!$A$1,0,0,COUNTA(enemy_skill_triggers!$A:$A),MATCH(N$1,enemy_skill_triggers!$1:$1,0)-MATCH($F$1,enemy_skill_triggers!$1:$1,0)+1),MATCH(N$1,enemy_skill_triggers!$1:$1,0)-MATCH($F$1,enemy_skill_triggers!$1:$1,0)+1,FALSE)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9" s="48">
        <f ca="1">VLOOKUP($F189,OFFSET(enemy_skill_triggers!$A$1,0,0,COUNTA(enemy_skill_triggers!$A:$A),MATCH(O$1,enemy_skill_triggers!$1:$1,0)-MATCH($F$1,enemy_skill_triggers!$1:$1,0)+1),MATCH(O$1,enemy_skill_triggers!$1:$1,0)-MATCH($F$1,enemy_skill_triggers!$1:$1,0)+1,FALSE)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9" s="47"/>
      <c r="Q189" s="47"/>
      <c r="R189" s="47"/>
    </row>
    <row r="190" spans="1:18" ht="21" customHeight="1" x14ac:dyDescent="0.15">
      <c r="A190" s="39" t="str">
        <f t="shared" si="5"/>
        <v>47003580_47003581</v>
      </c>
      <c r="B190" s="141">
        <v>47003580</v>
      </c>
      <c r="C190" s="141">
        <v>47003581</v>
      </c>
      <c r="D190" s="46" t="str">
        <f ca="1">VLOOKUP($C190,OFFSET(enemy_skills!$A$1,0,0,COUNTA(enemy_skills!$A:$A),MATCH(D$1,enemy_skills!$1:$1,0)-MATCH("enemy_skill_id",enemy_skills!$1:$1,0)+1),MATCH(D$1,enemy_skills!$1:$1,0)-MATCH("enemy_skill_id",enemy_skills!$1:$1,0)+1,FALSE)</f>
        <v>この子達は絶対に渡さないんだから〜！</v>
      </c>
      <c r="E190" s="46" t="str">
        <f ca="1">VLOOKUP($C190,OFFSET(enemy_skills!$A$1,0,0,COUNTA(enemy_skills!$A:$A),MATCH(E$1,enemy_skills!$1:$1,0)-MATCH("enemy_skill_id",enemy_skills!$1:$1,0)+1),MATCH(E$1,enemy_skills!$1:$1,0)-MATCH("enemy_skill_id",enemy_skills!$1:$1,0)+1,FALSE)</f>
        <v>種族デーモン以外に2ターンスキルバインド+_x000D_黄パネルドロップUP</v>
      </c>
      <c r="F190" s="141">
        <v>47003581</v>
      </c>
      <c r="G190" s="48">
        <f ca="1">VLOOKUP($F190,OFFSET(enemy_skill_triggers!$A$1,0,0,COUNTA(enemy_skill_triggers!$A:$A),MATCH(G$1,enemy_skill_triggers!$1:$1,0)-MATCH($F$1,enemy_skill_triggers!$1:$1,0)+1),MATCH(G$1,enemy_skill_triggers!$1:$1,0)-MATCH($F$1,enemy_skill_triggers!$1:$1,0)+1,FALSE)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0" s="48">
        <f ca="1">VLOOKUP($F190,OFFSET(enemy_skill_triggers!$A$1,0,0,COUNTA(enemy_skill_triggers!$A:$A),MATCH(H$1,enemy_skill_triggers!$1:$1,0)-MATCH($F$1,enemy_skill_triggers!$1:$1,0)+1),MATCH(H$1,enemy_skill_triggers!$1:$1,0)-MATCH($F$1,enemy_skill_triggers!$1:$1,0)+1,FALSE)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90" s="48">
        <f ca="1">VLOOKUP($F190,OFFSET(enemy_skill_triggers!$A$1,0,0,COUNTA(enemy_skill_triggers!$A:$A),MATCH(I$1,enemy_skill_triggers!$1:$1,0)-MATCH($F$1,enemy_skill_triggers!$1:$1,0)+1),MATCH(I$1,enemy_skill_triggers!$1:$1,0)-MATCH($F$1,enemy_skill_triggers!$1:$1,0)+1,FALSE)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0" s="48" t="str">
        <f ca="1">VLOOKUP($F190,OFFSET(enemy_skill_triggers!$A$1,0,0,COUNTA(enemy_skill_triggers!$A:$A),MATCH(J$1,enemy_skill_triggers!$1:$1,0)-MATCH($F$1,enemy_skill_triggers!$1:$1,0)+1),MATCH(J$1,enemy_skill_triggers!$1:$1,0)-MATCH($F$1,enemy_skill_triggers!$1:$1,0)+1,FALSE)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0" s="48" t="str">
        <f ca="1">VLOOKUP($F190,OFFSET(enemy_skill_triggers!$A$1,0,0,COUNTA(enemy_skill_triggers!$A:$A),MATCH(K$1,enemy_skill_triggers!$1:$1,0)-MATCH($F$1,enemy_skill_triggers!$1:$1,0)+1),MATCH(K$1,enemy_skill_triggers!$1:$1,0)-MATCH($F$1,enemy_skill_triggers!$1:$1,0)+1,FALSE)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0" s="48">
        <f ca="1">VLOOKUP($F190,OFFSET(enemy_skill_triggers!$A$1,0,0,COUNTA(enemy_skill_triggers!$A:$A),MATCH(L$1,enemy_skill_triggers!$1:$1,0)-MATCH($F$1,enemy_skill_triggers!$1:$1,0)+1),MATCH(L$1,enemy_skill_triggers!$1:$1,0)-MATCH($F$1,enemy_skill_triggers!$1:$1,0)+1,FALSE)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0" s="48">
        <f ca="1">VLOOKUP($F190,OFFSET(enemy_skill_triggers!$A$1,0,0,COUNTA(enemy_skill_triggers!$A:$A),MATCH(M$1,enemy_skill_triggers!$1:$1,0)-MATCH($F$1,enemy_skill_triggers!$1:$1,0)+1),MATCH(M$1,enemy_skill_triggers!$1:$1,0)-MATCH($F$1,enemy_skill_triggers!$1:$1,0)+1,FALSE)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0" s="48" t="str">
        <f ca="1">VLOOKUP($F190,OFFSET(enemy_skill_triggers!$A$1,0,0,COUNTA(enemy_skill_triggers!$A:$A),MATCH(N$1,enemy_skill_triggers!$1:$1,0)-MATCH($F$1,enemy_skill_triggers!$1:$1,0)+1),MATCH(N$1,enemy_skill_triggers!$1:$1,0)-MATCH($F$1,enemy_skill_triggers!$1:$1,0)+1,FALSE)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0" s="48">
        <f ca="1">VLOOKUP($F190,OFFSET(enemy_skill_triggers!$A$1,0,0,COUNTA(enemy_skill_triggers!$A:$A),MATCH(O$1,enemy_skill_triggers!$1:$1,0)-MATCH($F$1,enemy_skill_triggers!$1:$1,0)+1),MATCH(O$1,enemy_skill_triggers!$1:$1,0)-MATCH($F$1,enemy_skill_triggers!$1:$1,0)+1,FALSE)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0" s="47"/>
      <c r="Q190" s="47"/>
      <c r="R190" s="47"/>
    </row>
    <row r="191" spans="1:18" ht="21" customHeight="1" x14ac:dyDescent="0.15">
      <c r="A191" s="39" t="str">
        <f t="shared" si="5"/>
        <v>47003580_47003583</v>
      </c>
      <c r="B191" s="141">
        <v>47003580</v>
      </c>
      <c r="C191" s="141">
        <v>47003583</v>
      </c>
      <c r="D191" s="46" t="str">
        <f ca="1">VLOOKUP($C191,OFFSET(enemy_skills!$A$1,0,0,COUNTA(enemy_skills!$A:$A),MATCH(D$1,enemy_skills!$1:$1,0)-MATCH("enemy_skill_id",enemy_skills!$1:$1,0)+1),MATCH(D$1,enemy_skills!$1:$1,0)-MATCH("enemy_skill_id",enemy_skills!$1:$1,0)+1,FALSE)</f>
        <v>お菓子はぜ〜んぶ私のもの〜♪</v>
      </c>
      <c r="E191" s="46" t="str">
        <f ca="1">VLOOKUP($C191,OFFSET(enemy_skills!$A$1,0,0,COUNTA(enemy_skills!$A:$A),MATCH(E$1,enemy_skills!$1:$1,0)-MATCH("enemy_skill_id",enemy_skills!$1:$1,0)+1),MATCH(E$1,enemy_skills!$1:$1,0)-MATCH("enemy_skill_id",enemy_skills!$1:$1,0)+1,FALSE)</f>
        <v>黄パネルを吸収して攻撃</v>
      </c>
      <c r="F191" s="141">
        <v>47003583</v>
      </c>
      <c r="G191" s="48">
        <f ca="1">VLOOKUP($F191,OFFSET(enemy_skill_triggers!$A$1,0,0,COUNTA(enemy_skill_triggers!$A:$A),MATCH(G$1,enemy_skill_triggers!$1:$1,0)-MATCH($F$1,enemy_skill_triggers!$1:$1,0)+1),MATCH(G$1,enemy_skill_triggers!$1:$1,0)-MATCH($F$1,enemy_skill_triggers!$1:$1,0)+1,FALSE)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1" s="48">
        <f ca="1">VLOOKUP($F191,OFFSET(enemy_skill_triggers!$A$1,0,0,COUNTA(enemy_skill_triggers!$A:$A),MATCH(H$1,enemy_skill_triggers!$1:$1,0)-MATCH($F$1,enemy_skill_triggers!$1:$1,0)+1),MATCH(H$1,enemy_skill_triggers!$1:$1,0)-MATCH($F$1,enemy_skill_triggers!$1:$1,0)+1,FALSE)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91" s="48">
        <f ca="1">VLOOKUP($F191,OFFSET(enemy_skill_triggers!$A$1,0,0,COUNTA(enemy_skill_triggers!$A:$A),MATCH(I$1,enemy_skill_triggers!$1:$1,0)-MATCH($F$1,enemy_skill_triggers!$1:$1,0)+1),MATCH(I$1,enemy_skill_triggers!$1:$1,0)-MATCH($F$1,enemy_skill_triggers!$1:$1,0)+1,FALSE)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1" s="48" t="str">
        <f ca="1">VLOOKUP($F191,OFFSET(enemy_skill_triggers!$A$1,0,0,COUNTA(enemy_skill_triggers!$A:$A),MATCH(J$1,enemy_skill_triggers!$1:$1,0)-MATCH($F$1,enemy_skill_triggers!$1:$1,0)+1),MATCH(J$1,enemy_skill_triggers!$1:$1,0)-MATCH($F$1,enemy_skill_triggers!$1:$1,0)+1,FALSE)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1" s="48" t="str">
        <f ca="1">VLOOKUP($F191,OFFSET(enemy_skill_triggers!$A$1,0,0,COUNTA(enemy_skill_triggers!$A:$A),MATCH(K$1,enemy_skill_triggers!$1:$1,0)-MATCH($F$1,enemy_skill_triggers!$1:$1,0)+1),MATCH(K$1,enemy_skill_triggers!$1:$1,0)-MATCH($F$1,enemy_skill_triggers!$1:$1,0)+1,FALSE)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1" s="48" t="str">
        <f ca="1">VLOOKUP($F191,OFFSET(enemy_skill_triggers!$A$1,0,0,COUNTA(enemy_skill_triggers!$A:$A),MATCH(L$1,enemy_skill_triggers!$1:$1,0)-MATCH($F$1,enemy_skill_triggers!$1:$1,0)+1),MATCH(L$1,enemy_skill_triggers!$1:$1,0)-MATCH($F$1,enemy_skill_triggers!$1:$1,0)+1,FALSE)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1" s="48">
        <f ca="1">VLOOKUP($F191,OFFSET(enemy_skill_triggers!$A$1,0,0,COUNTA(enemy_skill_triggers!$A:$A),MATCH(M$1,enemy_skill_triggers!$1:$1,0)-MATCH($F$1,enemy_skill_triggers!$1:$1,0)+1),MATCH(M$1,enemy_skill_triggers!$1:$1,0)-MATCH($F$1,enemy_skill_triggers!$1:$1,0)+1,FALSE)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1" s="48" t="str">
        <f ca="1">VLOOKUP($F191,OFFSET(enemy_skill_triggers!$A$1,0,0,COUNTA(enemy_skill_triggers!$A:$A),MATCH(N$1,enemy_skill_triggers!$1:$1,0)-MATCH($F$1,enemy_skill_triggers!$1:$1,0)+1),MATCH(N$1,enemy_skill_triggers!$1:$1,0)-MATCH($F$1,enemy_skill_triggers!$1:$1,0)+1,FALSE)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1" s="48">
        <f ca="1">VLOOKUP($F191,OFFSET(enemy_skill_triggers!$A$1,0,0,COUNTA(enemy_skill_triggers!$A:$A),MATCH(O$1,enemy_skill_triggers!$1:$1,0)-MATCH($F$1,enemy_skill_triggers!$1:$1,0)+1),MATCH(O$1,enemy_skill_triggers!$1:$1,0)-MATCH($F$1,enemy_skill_triggers!$1:$1,0)+1,FALSE)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1" s="47"/>
      <c r="Q191" s="47"/>
      <c r="R191" s="47"/>
    </row>
    <row r="192" spans="1:18" ht="21" customHeight="1" x14ac:dyDescent="0.15">
      <c r="A192" s="39" t="str">
        <f t="shared" si="5"/>
        <v>47003580_47003584</v>
      </c>
      <c r="B192" s="141">
        <v>47003580</v>
      </c>
      <c r="C192" s="141">
        <v>47003584</v>
      </c>
      <c r="D192" s="46" t="str">
        <f ca="1">VLOOKUP($C192,OFFSET(enemy_skills!$A$1,0,0,COUNTA(enemy_skills!$A:$A),MATCH(D$1,enemy_skills!$1:$1,0)-MATCH("enemy_skill_id",enemy_skills!$1:$1,0)+1),MATCH(D$1,enemy_skills!$1:$1,0)-MATCH("enemy_skill_id",enemy_skills!$1:$1,0)+1,FALSE)</f>
        <v>シュガー・ウォール</v>
      </c>
      <c r="E192" s="46" t="str">
        <f ca="1">VLOOKUP($C192,OFFSET(enemy_skills!$A$1,0,0,COUNTA(enemy_skills!$A:$A),MATCH(E$1,enemy_skills!$1:$1,0)-MATCH("enemy_skill_id",enemy_skills!$1:$1,0)+1),MATCH(E$1,enemy_skills!$1:$1,0)-MATCH("enemy_skill_id",enemy_skills!$1:$1,0)+1,FALSE)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192" s="141">
        <v>47003584</v>
      </c>
      <c r="G192" s="48">
        <f ca="1">VLOOKUP($F192,OFFSET(enemy_skill_triggers!$A$1,0,0,COUNTA(enemy_skill_triggers!$A:$A),MATCH(G$1,enemy_skill_triggers!$1:$1,0)-MATCH($F$1,enemy_skill_triggers!$1:$1,0)+1),MATCH(G$1,enemy_skill_triggers!$1:$1,0)-MATCH($F$1,enemy_skill_triggers!$1:$1,0)+1,FALSE)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2" s="48">
        <f ca="1">VLOOKUP($F192,OFFSET(enemy_skill_triggers!$A$1,0,0,COUNTA(enemy_skill_triggers!$A:$A),MATCH(H$1,enemy_skill_triggers!$1:$1,0)-MATCH($F$1,enemy_skill_triggers!$1:$1,0)+1),MATCH(H$1,enemy_skill_triggers!$1:$1,0)-MATCH($F$1,enemy_skill_triggers!$1:$1,0)+1,FALSE)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92" s="48">
        <f ca="1">VLOOKUP($F192,OFFSET(enemy_skill_triggers!$A$1,0,0,COUNTA(enemy_skill_triggers!$A:$A),MATCH(I$1,enemy_skill_triggers!$1:$1,0)-MATCH($F$1,enemy_skill_triggers!$1:$1,0)+1),MATCH(I$1,enemy_skill_triggers!$1:$1,0)-MATCH($F$1,enemy_skill_triggers!$1:$1,0)+1,FALSE)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2" s="48">
        <f ca="1">VLOOKUP($F192,OFFSET(enemy_skill_triggers!$A$1,0,0,COUNTA(enemy_skill_triggers!$A:$A),MATCH(J$1,enemy_skill_triggers!$1:$1,0)-MATCH($F$1,enemy_skill_triggers!$1:$1,0)+1),MATCH(J$1,enemy_skill_triggers!$1:$1,0)-MATCH($F$1,enemy_skill_triggers!$1:$1,0)+1,FALSE)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2" s="48" t="str">
        <f ca="1">VLOOKUP($F192,OFFSET(enemy_skill_triggers!$A$1,0,0,COUNTA(enemy_skill_triggers!$A:$A),MATCH(K$1,enemy_skill_triggers!$1:$1,0)-MATCH($F$1,enemy_skill_triggers!$1:$1,0)+1),MATCH(K$1,enemy_skill_triggers!$1:$1,0)-MATCH($F$1,enemy_skill_triggers!$1:$1,0)+1,FALSE)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2" s="48" t="str">
        <f ca="1">VLOOKUP($F192,OFFSET(enemy_skill_triggers!$A$1,0,0,COUNTA(enemy_skill_triggers!$A:$A),MATCH(L$1,enemy_skill_triggers!$1:$1,0)-MATCH($F$1,enemy_skill_triggers!$1:$1,0)+1),MATCH(L$1,enemy_skill_triggers!$1:$1,0)-MATCH($F$1,enemy_skill_triggers!$1:$1,0)+1,FALSE)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2" s="48">
        <f ca="1">VLOOKUP($F192,OFFSET(enemy_skill_triggers!$A$1,0,0,COUNTA(enemy_skill_triggers!$A:$A),MATCH(M$1,enemy_skill_triggers!$1:$1,0)-MATCH($F$1,enemy_skill_triggers!$1:$1,0)+1),MATCH(M$1,enemy_skill_triggers!$1:$1,0)-MATCH($F$1,enemy_skill_triggers!$1:$1,0)+1,FALSE)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2" s="48" t="str">
        <f ca="1">VLOOKUP($F192,OFFSET(enemy_skill_triggers!$A$1,0,0,COUNTA(enemy_skill_triggers!$A:$A),MATCH(N$1,enemy_skill_triggers!$1:$1,0)-MATCH($F$1,enemy_skill_triggers!$1:$1,0)+1),MATCH(N$1,enemy_skill_triggers!$1:$1,0)-MATCH($F$1,enemy_skill_triggers!$1:$1,0)+1,FALSE)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2" s="48">
        <f ca="1">VLOOKUP($F192,OFFSET(enemy_skill_triggers!$A$1,0,0,COUNTA(enemy_skill_triggers!$A:$A),MATCH(O$1,enemy_skill_triggers!$1:$1,0)-MATCH($F$1,enemy_skill_triggers!$1:$1,0)+1),MATCH(O$1,enemy_skill_triggers!$1:$1,0)-MATCH($F$1,enemy_skill_triggers!$1:$1,0)+1,FALSE)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2" s="47"/>
      <c r="Q192" s="47"/>
      <c r="R192" s="47"/>
    </row>
    <row r="193" spans="1:18" ht="21" customHeight="1" x14ac:dyDescent="0.15">
      <c r="A193" s="39" t="str">
        <f t="shared" si="5"/>
        <v>47003580_47003586</v>
      </c>
      <c r="B193" s="141">
        <v>47003580</v>
      </c>
      <c r="C193" s="141">
        <v>47003586</v>
      </c>
      <c r="D193" s="46" t="str">
        <f ca="1">VLOOKUP($C193,OFFSET(enemy_skills!$A$1,0,0,COUNTA(enemy_skills!$A:$A),MATCH(D$1,enemy_skills!$1:$1,0)-MATCH("enemy_skill_id",enemy_skills!$1:$1,0)+1),MATCH(D$1,enemy_skills!$1:$1,0)-MATCH("enemy_skill_id",enemy_skills!$1:$1,0)+1,FALSE)</f>
        <v>ダメかぁ〜　せっかくたくさん集めたのになぁ〜</v>
      </c>
      <c r="E193" s="46" t="str">
        <f ca="1">VLOOKUP($C193,OFFSET(enemy_skills!$A$1,0,0,COUNTA(enemy_skills!$A:$A),MATCH(E$1,enemy_skills!$1:$1,0)-MATCH("enemy_skill_id",enemy_skills!$1:$1,0)+1),MATCH(E$1,enemy_skills!$1:$1,0)-MATCH("enemy_skill_id",enemy_skills!$1:$1,0)+1,FALSE)</f>
        <v>えっ、私にも分けてくれるの？　うん、ありがと…♪</v>
      </c>
      <c r="F193" s="141">
        <v>47003586</v>
      </c>
      <c r="G193" s="48">
        <f ca="1">VLOOKUP($F193,OFFSET(enemy_skill_triggers!$A$1,0,0,COUNTA(enemy_skill_triggers!$A:$A),MATCH(G$1,enemy_skill_triggers!$1:$1,0)-MATCH($F$1,enemy_skill_triggers!$1:$1,0)+1),MATCH(G$1,enemy_skill_triggers!$1:$1,0)-MATCH($F$1,enemy_skill_triggers!$1:$1,0)+1,FALSE)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3" s="48">
        <f ca="1">VLOOKUP($F193,OFFSET(enemy_skill_triggers!$A$1,0,0,COUNTA(enemy_skill_triggers!$A:$A),MATCH(H$1,enemy_skill_triggers!$1:$1,0)-MATCH($F$1,enemy_skill_triggers!$1:$1,0)+1),MATCH(H$1,enemy_skill_triggers!$1:$1,0)-MATCH($F$1,enemy_skill_triggers!$1:$1,0)+1,FALSE)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93" s="48">
        <f ca="1">VLOOKUP($F193,OFFSET(enemy_skill_triggers!$A$1,0,0,COUNTA(enemy_skill_triggers!$A:$A),MATCH(I$1,enemy_skill_triggers!$1:$1,0)-MATCH($F$1,enemy_skill_triggers!$1:$1,0)+1),MATCH(I$1,enemy_skill_triggers!$1:$1,0)-MATCH($F$1,enemy_skill_triggers!$1:$1,0)+1,FALSE)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3" s="48" t="str">
        <f ca="1">VLOOKUP($F193,OFFSET(enemy_skill_triggers!$A$1,0,0,COUNTA(enemy_skill_triggers!$A:$A),MATCH(J$1,enemy_skill_triggers!$1:$1,0)-MATCH($F$1,enemy_skill_triggers!$1:$1,0)+1),MATCH(J$1,enemy_skill_triggers!$1:$1,0)-MATCH($F$1,enemy_skill_triggers!$1:$1,0)+1,FALSE)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3" s="48" t="str">
        <f ca="1">VLOOKUP($F193,OFFSET(enemy_skill_triggers!$A$1,0,0,COUNTA(enemy_skill_triggers!$A:$A),MATCH(K$1,enemy_skill_triggers!$1:$1,0)-MATCH($F$1,enemy_skill_triggers!$1:$1,0)+1),MATCH(K$1,enemy_skill_triggers!$1:$1,0)-MATCH($F$1,enemy_skill_triggers!$1:$1,0)+1,FALSE)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3" s="48">
        <f ca="1">VLOOKUP($F193,OFFSET(enemy_skill_triggers!$A$1,0,0,COUNTA(enemy_skill_triggers!$A:$A),MATCH(L$1,enemy_skill_triggers!$1:$1,0)-MATCH($F$1,enemy_skill_triggers!$1:$1,0)+1),MATCH(L$1,enemy_skill_triggers!$1:$1,0)-MATCH($F$1,enemy_skill_triggers!$1:$1,0)+1,FALSE)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3" s="48">
        <f ca="1">VLOOKUP($F193,OFFSET(enemy_skill_triggers!$A$1,0,0,COUNTA(enemy_skill_triggers!$A:$A),MATCH(M$1,enemy_skill_triggers!$1:$1,0)-MATCH($F$1,enemy_skill_triggers!$1:$1,0)+1),MATCH(M$1,enemy_skill_triggers!$1:$1,0)-MATCH($F$1,enemy_skill_triggers!$1:$1,0)+1,FALSE)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3" s="48">
        <f ca="1">VLOOKUP($F193,OFFSET(enemy_skill_triggers!$A$1,0,0,COUNTA(enemy_skill_triggers!$A:$A),MATCH(N$1,enemy_skill_triggers!$1:$1,0)-MATCH($F$1,enemy_skill_triggers!$1:$1,0)+1),MATCH(N$1,enemy_skill_triggers!$1:$1,0)-MATCH($F$1,enemy_skill_triggers!$1:$1,0)+1,FALSE)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93" s="48">
        <f ca="1">VLOOKUP($F193,OFFSET(enemy_skill_triggers!$A$1,0,0,COUNTA(enemy_skill_triggers!$A:$A),MATCH(O$1,enemy_skill_triggers!$1:$1,0)-MATCH($F$1,enemy_skill_triggers!$1:$1,0)+1),MATCH(O$1,enemy_skill_triggers!$1:$1,0)-MATCH($F$1,enemy_skill_triggers!$1:$1,0)+1,FALSE)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3" s="47"/>
      <c r="Q193" s="47"/>
      <c r="R193" s="47"/>
    </row>
    <row r="194" spans="1:18" ht="21" customHeight="1" x14ac:dyDescent="0.15">
      <c r="A194" s="39" t="str">
        <f t="shared" ref="A194" si="6">B194&amp;"_"&amp;C194</f>
        <v>47003600_47003601</v>
      </c>
      <c r="B194" s="47">
        <v>47003600</v>
      </c>
      <c r="C194" s="47">
        <v>47003601</v>
      </c>
      <c r="D194" s="46" t="str">
        <f ca="1">VLOOKUP($C194,OFFSET(enemy_skills!$A$1,0,0,COUNTA(enemy_skills!$A:$A),MATCH(D$1,enemy_skills!$1:$1,0)-MATCH("enemy_skill_id",enemy_skills!$1:$1,0)+1),MATCH(D$1,enemy_skills!$1:$1,0)-MATCH("enemy_skill_id",enemy_skills!$1:$1,0)+1,FALSE)</f>
        <v>はっぴーはろうぃんだワン！</v>
      </c>
      <c r="E194" s="46" t="str">
        <f ca="1">VLOOKUP($C194,OFFSET(enemy_skills!$A$1,0,0,COUNTA(enemy_skills!$A:$A),MATCH(E$1,enemy_skills!$1:$1,0)-MATCH("enemy_skill_id",enemy_skills!$1:$1,0)+1),MATCH(E$1,enemy_skills!$1:$1,0)-MATCH("enemy_skill_id",enemy_skills!$1:$1,0)+1,FALSE)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94" s="47">
        <v>47003601</v>
      </c>
      <c r="G194" s="48">
        <f ca="1">VLOOKUP($F194,OFFSET(enemy_skill_triggers!$A$1,0,0,COUNTA(enemy_skill_triggers!$A:$A),MATCH(G$1,enemy_skill_triggers!$1:$1,0)-MATCH($F$1,enemy_skill_triggers!$1:$1,0)+1),MATCH(G$1,enemy_skill_triggers!$1:$1,0)-MATCH($F$1,enemy_skill_triggers!$1:$1,0)+1,FALSE)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4" s="48">
        <f ca="1">VLOOKUP($F194,OFFSET(enemy_skill_triggers!$A$1,0,0,COUNTA(enemy_skill_triggers!$A:$A),MATCH(H$1,enemy_skill_triggers!$1:$1,0)-MATCH($F$1,enemy_skill_triggers!$1:$1,0)+1),MATCH(H$1,enemy_skill_triggers!$1:$1,0)-MATCH($F$1,enemy_skill_triggers!$1:$1,0)+1,FALSE)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94" s="48">
        <f ca="1">VLOOKUP($F194,OFFSET(enemy_skill_triggers!$A$1,0,0,COUNTA(enemy_skill_triggers!$A:$A),MATCH(I$1,enemy_skill_triggers!$1:$1,0)-MATCH($F$1,enemy_skill_triggers!$1:$1,0)+1),MATCH(I$1,enemy_skill_triggers!$1:$1,0)-MATCH($F$1,enemy_skill_triggers!$1:$1,0)+1,FALSE)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4" s="48" t="str">
        <f ca="1">VLOOKUP($F194,OFFSET(enemy_skill_triggers!$A$1,0,0,COUNTA(enemy_skill_triggers!$A:$A),MATCH(J$1,enemy_skill_triggers!$1:$1,0)-MATCH($F$1,enemy_skill_triggers!$1:$1,0)+1),MATCH(J$1,enemy_skill_triggers!$1:$1,0)-MATCH($F$1,enemy_skill_triggers!$1:$1,0)+1,FALSE)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4" s="48" t="str">
        <f ca="1">VLOOKUP($F194,OFFSET(enemy_skill_triggers!$A$1,0,0,COUNTA(enemy_skill_triggers!$A:$A),MATCH(K$1,enemy_skill_triggers!$1:$1,0)-MATCH($F$1,enemy_skill_triggers!$1:$1,0)+1),MATCH(K$1,enemy_skill_triggers!$1:$1,0)-MATCH($F$1,enemy_skill_triggers!$1:$1,0)+1,FALSE)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4" s="48">
        <f ca="1">VLOOKUP($F194,OFFSET(enemy_skill_triggers!$A$1,0,0,COUNTA(enemy_skill_triggers!$A:$A),MATCH(L$1,enemy_skill_triggers!$1:$1,0)-MATCH($F$1,enemy_skill_triggers!$1:$1,0)+1),MATCH(L$1,enemy_skill_triggers!$1:$1,0)-MATCH($F$1,enemy_skill_triggers!$1:$1,0)+1,FALSE)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4" s="48">
        <f ca="1">VLOOKUP($F194,OFFSET(enemy_skill_triggers!$A$1,0,0,COUNTA(enemy_skill_triggers!$A:$A),MATCH(M$1,enemy_skill_triggers!$1:$1,0)-MATCH($F$1,enemy_skill_triggers!$1:$1,0)+1),MATCH(M$1,enemy_skill_triggers!$1:$1,0)-MATCH($F$1,enemy_skill_triggers!$1:$1,0)+1,FALSE)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4" s="48" t="str">
        <f ca="1">VLOOKUP($F194,OFFSET(enemy_skill_triggers!$A$1,0,0,COUNTA(enemy_skill_triggers!$A:$A),MATCH(N$1,enemy_skill_triggers!$1:$1,0)-MATCH($F$1,enemy_skill_triggers!$1:$1,0)+1),MATCH(N$1,enemy_skill_triggers!$1:$1,0)-MATCH($F$1,enemy_skill_triggers!$1:$1,0)+1,FALSE)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4" s="48">
        <f ca="1">VLOOKUP($F194,OFFSET(enemy_skill_triggers!$A$1,0,0,COUNTA(enemy_skill_triggers!$A:$A),MATCH(O$1,enemy_skill_triggers!$1:$1,0)-MATCH($F$1,enemy_skill_triggers!$1:$1,0)+1),MATCH(O$1,enemy_skill_triggers!$1:$1,0)-MATCH($F$1,enemy_skill_triggers!$1:$1,0)+1,FALSE)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4" s="47"/>
      <c r="Q194" s="47"/>
      <c r="R194" s="47"/>
    </row>
    <row r="195" spans="1:18" ht="21" customHeight="1" x14ac:dyDescent="0.15">
      <c r="A195" s="39" t="str">
        <f t="shared" ref="A195:A198" si="7">B195&amp;"_"&amp;C195</f>
        <v>47003600_47003602</v>
      </c>
      <c r="B195" s="47">
        <v>47003600</v>
      </c>
      <c r="C195" s="47">
        <v>47003602</v>
      </c>
      <c r="D195" s="46" t="str">
        <f ca="1">VLOOKUP($C195,OFFSET(enemy_skills!$A$1,0,0,COUNTA(enemy_skills!$A:$A),MATCH(D$1,enemy_skills!$1:$1,0)-MATCH("enemy_skill_id",enemy_skills!$1:$1,0)+1),MATCH(D$1,enemy_skills!$1:$1,0)-MATCH("enemy_skill_id",enemy_skills!$1:$1,0)+1,FALSE)</f>
        <v>魔女さん！_x000D_ぼくに魔法をかけてワン！</v>
      </c>
      <c r="E195" s="46" t="str">
        <f ca="1">VLOOKUP($C195,OFFSET(enemy_skills!$A$1,0,0,COUNTA(enemy_skills!$A:$A),MATCH(E$1,enemy_skills!$1:$1,0)-MATCH("enemy_skill_id",enemy_skills!$1:$1,0)+1),MATCH(E$1,enemy_skills!$1:$1,0)-MATCH("enemy_skill_id",enemy_skills!$1:$1,0)+1,FALSE)</f>
        <v>種族デーモンの攻撃力UP</v>
      </c>
      <c r="F195" s="47">
        <v>47003602</v>
      </c>
      <c r="G195" s="48">
        <f ca="1">VLOOKUP($F195,OFFSET(enemy_skill_triggers!$A$1,0,0,COUNTA(enemy_skill_triggers!$A:$A),MATCH(G$1,enemy_skill_triggers!$1:$1,0)-MATCH($F$1,enemy_skill_triggers!$1:$1,0)+1),MATCH(G$1,enemy_skill_triggers!$1:$1,0)-MATCH($F$1,enemy_skill_triggers!$1:$1,0)+1,FALSE)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5" s="48">
        <f ca="1">VLOOKUP($F195,OFFSET(enemy_skill_triggers!$A$1,0,0,COUNTA(enemy_skill_triggers!$A:$A),MATCH(H$1,enemy_skill_triggers!$1:$1,0)-MATCH($F$1,enemy_skill_triggers!$1:$1,0)+1),MATCH(H$1,enemy_skill_triggers!$1:$1,0)-MATCH($F$1,enemy_skill_triggers!$1:$1,0)+1,FALSE)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95" s="48">
        <f ca="1">VLOOKUP($F195,OFFSET(enemy_skill_triggers!$A$1,0,0,COUNTA(enemy_skill_triggers!$A:$A),MATCH(I$1,enemy_skill_triggers!$1:$1,0)-MATCH($F$1,enemy_skill_triggers!$1:$1,0)+1),MATCH(I$1,enemy_skill_triggers!$1:$1,0)-MATCH($F$1,enemy_skill_triggers!$1:$1,0)+1,FALSE)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5" s="48" t="str">
        <f ca="1">VLOOKUP($F195,OFFSET(enemy_skill_triggers!$A$1,0,0,COUNTA(enemy_skill_triggers!$A:$A),MATCH(J$1,enemy_skill_triggers!$1:$1,0)-MATCH($F$1,enemy_skill_triggers!$1:$1,0)+1),MATCH(J$1,enemy_skill_triggers!$1:$1,0)-MATCH($F$1,enemy_skill_triggers!$1:$1,0)+1,FALSE)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5" s="48" t="str">
        <f ca="1">VLOOKUP($F195,OFFSET(enemy_skill_triggers!$A$1,0,0,COUNTA(enemy_skill_triggers!$A:$A),MATCH(K$1,enemy_skill_triggers!$1:$1,0)-MATCH($F$1,enemy_skill_triggers!$1:$1,0)+1),MATCH(K$1,enemy_skill_triggers!$1:$1,0)-MATCH($F$1,enemy_skill_triggers!$1:$1,0)+1,FALSE)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5" s="48">
        <f ca="1">VLOOKUP($F195,OFFSET(enemy_skill_triggers!$A$1,0,0,COUNTA(enemy_skill_triggers!$A:$A),MATCH(L$1,enemy_skill_triggers!$1:$1,0)-MATCH($F$1,enemy_skill_triggers!$1:$1,0)+1),MATCH(L$1,enemy_skill_triggers!$1:$1,0)-MATCH($F$1,enemy_skill_triggers!$1:$1,0)+1,FALSE)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5" s="48">
        <f ca="1">VLOOKUP($F195,OFFSET(enemy_skill_triggers!$A$1,0,0,COUNTA(enemy_skill_triggers!$A:$A),MATCH(M$1,enemy_skill_triggers!$1:$1,0)-MATCH($F$1,enemy_skill_triggers!$1:$1,0)+1),MATCH(M$1,enemy_skill_triggers!$1:$1,0)-MATCH($F$1,enemy_skill_triggers!$1:$1,0)+1,FALSE)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5" s="48">
        <f ca="1">VLOOKUP($F195,OFFSET(enemy_skill_triggers!$A$1,0,0,COUNTA(enemy_skill_triggers!$A:$A),MATCH(N$1,enemy_skill_triggers!$1:$1,0)-MATCH($F$1,enemy_skill_triggers!$1:$1,0)+1),MATCH(N$1,enemy_skill_triggers!$1:$1,0)-MATCH($F$1,enemy_skill_triggers!$1:$1,0)+1,FALSE)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195" s="48">
        <f ca="1">VLOOKUP($F195,OFFSET(enemy_skill_triggers!$A$1,0,0,COUNTA(enemy_skill_triggers!$A:$A),MATCH(O$1,enemy_skill_triggers!$1:$1,0)-MATCH($F$1,enemy_skill_triggers!$1:$1,0)+1),MATCH(O$1,enemy_skill_triggers!$1:$1,0)-MATCH($F$1,enemy_skill_triggers!$1:$1,0)+1,FALSE)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5" s="47"/>
      <c r="Q195" s="47"/>
      <c r="R195" s="47"/>
    </row>
    <row r="196" spans="1:18" ht="21" customHeight="1" x14ac:dyDescent="0.15">
      <c r="A196" s="39" t="str">
        <f t="shared" si="7"/>
        <v>47003600_47003602</v>
      </c>
      <c r="B196" s="47">
        <v>47003600</v>
      </c>
      <c r="C196" s="47">
        <v>47003602</v>
      </c>
      <c r="D196" s="46" t="str">
        <f ca="1">VLOOKUP($C196,OFFSET(enemy_skills!$A$1,0,0,COUNTA(enemy_skills!$A:$A),MATCH(D$1,enemy_skills!$1:$1,0)-MATCH("enemy_skill_id",enemy_skills!$1:$1,0)+1),MATCH(D$1,enemy_skills!$1:$1,0)-MATCH("enemy_skill_id",enemy_skills!$1:$1,0)+1,FALSE)</f>
        <v>魔女さん！_x000D_ぼくに魔法をかけてワン！</v>
      </c>
      <c r="E196" s="46" t="str">
        <f ca="1">VLOOKUP($C196,OFFSET(enemy_skills!$A$1,0,0,COUNTA(enemy_skills!$A:$A),MATCH(E$1,enemy_skills!$1:$1,0)-MATCH("enemy_skill_id",enemy_skills!$1:$1,0)+1),MATCH(E$1,enemy_skills!$1:$1,0)-MATCH("enemy_skill_id",enemy_skills!$1:$1,0)+1,FALSE)</f>
        <v>種族デーモンの攻撃力UP</v>
      </c>
      <c r="F196" s="47">
        <v>47003603</v>
      </c>
      <c r="G196" s="48">
        <f ca="1">VLOOKUP($F196,OFFSET(enemy_skill_triggers!$A$1,0,0,COUNTA(enemy_skill_triggers!$A:$A),MATCH(G$1,enemy_skill_triggers!$1:$1,0)-MATCH($F$1,enemy_skill_triggers!$1:$1,0)+1),MATCH(G$1,enemy_skill_triggers!$1:$1,0)-MATCH($F$1,enemy_skill_triggers!$1:$1,0)+1,FALSE)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6" s="48">
        <f ca="1">VLOOKUP($F196,OFFSET(enemy_skill_triggers!$A$1,0,0,COUNTA(enemy_skill_triggers!$A:$A),MATCH(H$1,enemy_skill_triggers!$1:$1,0)-MATCH($F$1,enemy_skill_triggers!$1:$1,0)+1),MATCH(H$1,enemy_skill_triggers!$1:$1,0)-MATCH($F$1,enemy_skill_triggers!$1:$1,0)+1,FALSE)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196" s="48">
        <f ca="1">VLOOKUP($F196,OFFSET(enemy_skill_triggers!$A$1,0,0,COUNTA(enemy_skill_triggers!$A:$A),MATCH(I$1,enemy_skill_triggers!$1:$1,0)-MATCH($F$1,enemy_skill_triggers!$1:$1,0)+1),MATCH(I$1,enemy_skill_triggers!$1:$1,0)-MATCH($F$1,enemy_skill_triggers!$1:$1,0)+1,FALSE)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6" s="48" t="str">
        <f ca="1">VLOOKUP($F196,OFFSET(enemy_skill_triggers!$A$1,0,0,COUNTA(enemy_skill_triggers!$A:$A),MATCH(J$1,enemy_skill_triggers!$1:$1,0)-MATCH($F$1,enemy_skill_triggers!$1:$1,0)+1),MATCH(J$1,enemy_skill_triggers!$1:$1,0)-MATCH($F$1,enemy_skill_triggers!$1:$1,0)+1,FALSE)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6" s="48" t="str">
        <f ca="1">VLOOKUP($F196,OFFSET(enemy_skill_triggers!$A$1,0,0,COUNTA(enemy_skill_triggers!$A:$A),MATCH(K$1,enemy_skill_triggers!$1:$1,0)-MATCH($F$1,enemy_skill_triggers!$1:$1,0)+1),MATCH(K$1,enemy_skill_triggers!$1:$1,0)-MATCH($F$1,enemy_skill_triggers!$1:$1,0)+1,FALSE)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6" s="48">
        <f ca="1">VLOOKUP($F196,OFFSET(enemy_skill_triggers!$A$1,0,0,COUNTA(enemy_skill_triggers!$A:$A),MATCH(L$1,enemy_skill_triggers!$1:$1,0)-MATCH($F$1,enemy_skill_triggers!$1:$1,0)+1),MATCH(L$1,enemy_skill_triggers!$1:$1,0)-MATCH($F$1,enemy_skill_triggers!$1:$1,0)+1,FALSE)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6" s="48">
        <f ca="1">VLOOKUP($F196,OFFSET(enemy_skill_triggers!$A$1,0,0,COUNTA(enemy_skill_triggers!$A:$A),MATCH(M$1,enemy_skill_triggers!$1:$1,0)-MATCH($F$1,enemy_skill_triggers!$1:$1,0)+1),MATCH(M$1,enemy_skill_triggers!$1:$1,0)-MATCH($F$1,enemy_skill_triggers!$1:$1,0)+1,FALSE)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6" s="48">
        <f ca="1">VLOOKUP($F196,OFFSET(enemy_skill_triggers!$A$1,0,0,COUNTA(enemy_skill_triggers!$A:$A),MATCH(N$1,enemy_skill_triggers!$1:$1,0)-MATCH($F$1,enemy_skill_triggers!$1:$1,0)+1),MATCH(N$1,enemy_skill_triggers!$1:$1,0)-MATCH($F$1,enemy_skill_triggers!$1:$1,0)+1,FALSE)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196" s="48">
        <f ca="1">VLOOKUP($F196,OFFSET(enemy_skill_triggers!$A$1,0,0,COUNTA(enemy_skill_triggers!$A:$A),MATCH(O$1,enemy_skill_triggers!$1:$1,0)-MATCH($F$1,enemy_skill_triggers!$1:$1,0)+1),MATCH(O$1,enemy_skill_triggers!$1:$1,0)-MATCH($F$1,enemy_skill_triggers!$1:$1,0)+1,FALSE)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6" s="47"/>
      <c r="Q196" s="47"/>
      <c r="R196" s="47"/>
    </row>
    <row r="197" spans="1:18" ht="21" customHeight="1" x14ac:dyDescent="0.15">
      <c r="A197" s="39" t="str">
        <f t="shared" si="7"/>
        <v>47003600_47003603</v>
      </c>
      <c r="B197" s="47">
        <v>47003600</v>
      </c>
      <c r="C197" s="47">
        <v>47003603</v>
      </c>
      <c r="D197" s="46" t="str">
        <f ca="1">VLOOKUP($C197,OFFSET(enemy_skills!$A$1,0,0,COUNTA(enemy_skills!$A:$A),MATCH(D$1,enemy_skills!$1:$1,0)-MATCH("enemy_skill_id",enemy_skills!$1:$1,0)+1),MATCH(D$1,enemy_skills!$1:$1,0)-MATCH("enemy_skill_id",enemy_skills!$1:$1,0)+1,FALSE)</f>
        <v>き、キレイなお姫様だワン…</v>
      </c>
      <c r="E197" s="46" t="str">
        <f ca="1">VLOOKUP($C197,OFFSET(enemy_skills!$A$1,0,0,COUNTA(enemy_skills!$A:$A),MATCH(E$1,enemy_skills!$1:$1,0)-MATCH("enemy_skill_id",enemy_skills!$1:$1,0)+1),MATCH(E$1,enemy_skills!$1:$1,0)-MATCH("enemy_skill_id",enemy_skills!$1:$1,0)+1,FALSE)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97" s="47">
        <v>47003604</v>
      </c>
      <c r="G197" s="48">
        <f ca="1">VLOOKUP($F197,OFFSET(enemy_skill_triggers!$A$1,0,0,COUNTA(enemy_skill_triggers!$A:$A),MATCH(G$1,enemy_skill_triggers!$1:$1,0)-MATCH($F$1,enemy_skill_triggers!$1:$1,0)+1),MATCH(G$1,enemy_skill_triggers!$1:$1,0)-MATCH($F$1,enemy_skill_triggers!$1:$1,0)+1,FALSE)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7" s="48">
        <f ca="1">VLOOKUP($F197,OFFSET(enemy_skill_triggers!$A$1,0,0,COUNTA(enemy_skill_triggers!$A:$A),MATCH(H$1,enemy_skill_triggers!$1:$1,0)-MATCH($F$1,enemy_skill_triggers!$1:$1,0)+1),MATCH(H$1,enemy_skill_triggers!$1:$1,0)-MATCH($F$1,enemy_skill_triggers!$1:$1,0)+1,FALSE)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97" s="48">
        <f ca="1">VLOOKUP($F197,OFFSET(enemy_skill_triggers!$A$1,0,0,COUNTA(enemy_skill_triggers!$A:$A),MATCH(I$1,enemy_skill_triggers!$1:$1,0)-MATCH($F$1,enemy_skill_triggers!$1:$1,0)+1),MATCH(I$1,enemy_skill_triggers!$1:$1,0)-MATCH($F$1,enemy_skill_triggers!$1:$1,0)+1,FALSE)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7" s="48" t="str">
        <f ca="1">VLOOKUP($F197,OFFSET(enemy_skill_triggers!$A$1,0,0,COUNTA(enemy_skill_triggers!$A:$A),MATCH(J$1,enemy_skill_triggers!$1:$1,0)-MATCH($F$1,enemy_skill_triggers!$1:$1,0)+1),MATCH(J$1,enemy_skill_triggers!$1:$1,0)-MATCH($F$1,enemy_skill_triggers!$1:$1,0)+1,FALSE)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7" s="48" t="str">
        <f ca="1">VLOOKUP($F197,OFFSET(enemy_skill_triggers!$A$1,0,0,COUNTA(enemy_skill_triggers!$A:$A),MATCH(K$1,enemy_skill_triggers!$1:$1,0)-MATCH($F$1,enemy_skill_triggers!$1:$1,0)+1),MATCH(K$1,enemy_skill_triggers!$1:$1,0)-MATCH($F$1,enemy_skill_triggers!$1:$1,0)+1,FALSE)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7" s="48">
        <f ca="1">VLOOKUP($F197,OFFSET(enemy_skill_triggers!$A$1,0,0,COUNTA(enemy_skill_triggers!$A:$A),MATCH(L$1,enemy_skill_triggers!$1:$1,0)-MATCH($F$1,enemy_skill_triggers!$1:$1,0)+1),MATCH(L$1,enemy_skill_triggers!$1:$1,0)-MATCH($F$1,enemy_skill_triggers!$1:$1,0)+1,FALSE)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7" s="48">
        <f ca="1">VLOOKUP($F197,OFFSET(enemy_skill_triggers!$A$1,0,0,COUNTA(enemy_skill_triggers!$A:$A),MATCH(M$1,enemy_skill_triggers!$1:$1,0)-MATCH($F$1,enemy_skill_triggers!$1:$1,0)+1),MATCH(M$1,enemy_skill_triggers!$1:$1,0)-MATCH($F$1,enemy_skill_triggers!$1:$1,0)+1,FALSE)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7" s="48">
        <f ca="1">VLOOKUP($F197,OFFSET(enemy_skill_triggers!$A$1,0,0,COUNTA(enemy_skill_triggers!$A:$A),MATCH(N$1,enemy_skill_triggers!$1:$1,0)-MATCH($F$1,enemy_skill_triggers!$1:$1,0)+1),MATCH(N$1,enemy_skill_triggers!$1:$1,0)-MATCH($F$1,enemy_skill_triggers!$1:$1,0)+1,FALSE)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197" s="48">
        <f ca="1">VLOOKUP($F197,OFFSET(enemy_skill_triggers!$A$1,0,0,COUNTA(enemy_skill_triggers!$A:$A),MATCH(O$1,enemy_skill_triggers!$1:$1,0)-MATCH($F$1,enemy_skill_triggers!$1:$1,0)+1),MATCH(O$1,enemy_skill_triggers!$1:$1,0)-MATCH($F$1,enemy_skill_triggers!$1:$1,0)+1,FALSE)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7" s="47"/>
      <c r="Q197" s="47"/>
      <c r="R197" s="47"/>
    </row>
    <row r="198" spans="1:18" ht="21" customHeight="1" x14ac:dyDescent="0.15">
      <c r="A198" s="39" t="str">
        <f t="shared" si="7"/>
        <v>47003600_47003604</v>
      </c>
      <c r="B198" s="47">
        <v>47003600</v>
      </c>
      <c r="C198" s="47">
        <v>47003604</v>
      </c>
      <c r="D198" s="46" t="str">
        <f ca="1">VLOOKUP($C198,OFFSET(enemy_skills!$A$1,0,0,COUNTA(enemy_skills!$A:$A),MATCH(D$1,enemy_skills!$1:$1,0)-MATCH("enemy_skill_id",enemy_skills!$1:$1,0)+1),MATCH(D$1,enemy_skills!$1:$1,0)-MATCH("enemy_skill_id",enemy_skills!$1:$1,0)+1,FALSE)</f>
        <v>ヴァ、ヴァンパイア…！_x000D_ちょっと怖いワン…</v>
      </c>
      <c r="E198" s="46" t="str">
        <f ca="1">VLOOKUP($C198,OFFSET(enemy_skills!$A$1,0,0,COUNTA(enemy_skills!$A:$A),MATCH(E$1,enemy_skills!$1:$1,0)-MATCH("enemy_skill_id",enemy_skills!$1:$1,0)+1),MATCH(E$1,enemy_skills!$1:$1,0)-MATCH("enemy_skill_id",enemy_skills!$1:$1,0)+1,FALSE)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98" s="47">
        <v>47003605</v>
      </c>
      <c r="G198" s="48">
        <f ca="1">VLOOKUP($F198,OFFSET(enemy_skill_triggers!$A$1,0,0,COUNTA(enemy_skill_triggers!$A:$A),MATCH(G$1,enemy_skill_triggers!$1:$1,0)-MATCH($F$1,enemy_skill_triggers!$1:$1,0)+1),MATCH(G$1,enemy_skill_triggers!$1:$1,0)-MATCH($F$1,enemy_skill_triggers!$1:$1,0)+1,FALSE)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8" s="48">
        <f ca="1">VLOOKUP($F198,OFFSET(enemy_skill_triggers!$A$1,0,0,COUNTA(enemy_skill_triggers!$A:$A),MATCH(H$1,enemy_skill_triggers!$1:$1,0)-MATCH($F$1,enemy_skill_triggers!$1:$1,0)+1),MATCH(H$1,enemy_skill_triggers!$1:$1,0)-MATCH($F$1,enemy_skill_triggers!$1:$1,0)+1,FALSE)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8" s="48">
        <f ca="1">VLOOKUP($F198,OFFSET(enemy_skill_triggers!$A$1,0,0,COUNTA(enemy_skill_triggers!$A:$A),MATCH(I$1,enemy_skill_triggers!$1:$1,0)-MATCH($F$1,enemy_skill_triggers!$1:$1,0)+1),MATCH(I$1,enemy_skill_triggers!$1:$1,0)-MATCH($F$1,enemy_skill_triggers!$1:$1,0)+1,FALSE)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8" s="48" t="str">
        <f ca="1">VLOOKUP($F198,OFFSET(enemy_skill_triggers!$A$1,0,0,COUNTA(enemy_skill_triggers!$A:$A),MATCH(J$1,enemy_skill_triggers!$1:$1,0)-MATCH($F$1,enemy_skill_triggers!$1:$1,0)+1),MATCH(J$1,enemy_skill_triggers!$1:$1,0)-MATCH($F$1,enemy_skill_triggers!$1:$1,0)+1,FALSE)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8" s="48" t="str">
        <f ca="1">VLOOKUP($F198,OFFSET(enemy_skill_triggers!$A$1,0,0,COUNTA(enemy_skill_triggers!$A:$A),MATCH(K$1,enemy_skill_triggers!$1:$1,0)-MATCH($F$1,enemy_skill_triggers!$1:$1,0)+1),MATCH(K$1,enemy_skill_triggers!$1:$1,0)-MATCH($F$1,enemy_skill_triggers!$1:$1,0)+1,FALSE)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8" s="48">
        <f ca="1">VLOOKUP($F198,OFFSET(enemy_skill_triggers!$A$1,0,0,COUNTA(enemy_skill_triggers!$A:$A),MATCH(L$1,enemy_skill_triggers!$1:$1,0)-MATCH($F$1,enemy_skill_triggers!$1:$1,0)+1),MATCH(L$1,enemy_skill_triggers!$1:$1,0)-MATCH($F$1,enemy_skill_triggers!$1:$1,0)+1,FALSE)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8" s="48">
        <f ca="1">VLOOKUP($F198,OFFSET(enemy_skill_triggers!$A$1,0,0,COUNTA(enemy_skill_triggers!$A:$A),MATCH(M$1,enemy_skill_triggers!$1:$1,0)-MATCH($F$1,enemy_skill_triggers!$1:$1,0)+1),MATCH(M$1,enemy_skill_triggers!$1:$1,0)-MATCH($F$1,enemy_skill_triggers!$1:$1,0)+1,FALSE)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8" s="48">
        <f ca="1">VLOOKUP($F198,OFFSET(enemy_skill_triggers!$A$1,0,0,COUNTA(enemy_skill_triggers!$A:$A),MATCH(N$1,enemy_skill_triggers!$1:$1,0)-MATCH($F$1,enemy_skill_triggers!$1:$1,0)+1),MATCH(N$1,enemy_skill_triggers!$1:$1,0)-MATCH($F$1,enemy_skill_triggers!$1:$1,0)+1,FALSE)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198" s="48">
        <f ca="1">VLOOKUP($F198,OFFSET(enemy_skill_triggers!$A$1,0,0,COUNTA(enemy_skill_triggers!$A:$A),MATCH(O$1,enemy_skill_triggers!$1:$1,0)-MATCH($F$1,enemy_skill_triggers!$1:$1,0)+1),MATCH(O$1,enemy_skill_triggers!$1:$1,0)-MATCH($F$1,enemy_skill_triggers!$1:$1,0)+1,FALSE)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8" s="47"/>
      <c r="Q198" s="47"/>
      <c r="R198" s="47"/>
    </row>
    <row r="199" spans="1:18" ht="21" customHeight="1" x14ac:dyDescent="0.15">
      <c r="A199" s="39" t="str">
        <f t="shared" ref="A199:A271" si="8">B199&amp;"_"&amp;C199</f>
        <v>47003610_47003611</v>
      </c>
      <c r="B199" s="120">
        <v>47003610</v>
      </c>
      <c r="C199" s="120">
        <v>47003611</v>
      </c>
      <c r="D199" s="46" t="str">
        <f ca="1">VLOOKUP($C199,OFFSET(enemy_skills!$A$1,0,0,COUNTA(enemy_skills!$A:$A),MATCH(D$1,enemy_skills!$1:$1,0)-MATCH("enemy_skill_id",enemy_skills!$1:$1,0)+1),MATCH(D$1,enemy_skills!$1:$1,0)-MATCH("enemy_skill_id",enemy_skills!$1:$1,0)+1,FALSE)</f>
        <v>リ…リリリッ！！</v>
      </c>
      <c r="E199" s="46" t="str">
        <f ca="1">VLOOKUP($C199,OFFSET(enemy_skills!$A$1,0,0,COUNTA(enemy_skills!$A:$A),MATCH(E$1,enemy_skills!$1:$1,0)-MATCH("enemy_skill_id",enemy_skills!$1:$1,0)+1),MATCH(E$1,enemy_skills!$1:$1,0)-MATCH("enemy_skill_id",enemy_skills!$1:$1,0)+1,FALSE)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99" s="120">
        <v>47003611</v>
      </c>
      <c r="G199" s="48">
        <f ca="1">VLOOKUP($F199,OFFSET(enemy_skill_triggers!$A$1,0,0,COUNTA(enemy_skill_triggers!$A:$A),MATCH(G$1,enemy_skill_triggers!$1:$1,0)-MATCH($F$1,enemy_skill_triggers!$1:$1,0)+1),MATCH(G$1,enemy_skill_triggers!$1:$1,0)-MATCH($F$1,enemy_skill_triggers!$1:$1,0)+1,FALSE)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9" s="48">
        <f ca="1">VLOOKUP($F199,OFFSET(enemy_skill_triggers!$A$1,0,0,COUNTA(enemy_skill_triggers!$A:$A),MATCH(H$1,enemy_skill_triggers!$1:$1,0)-MATCH($F$1,enemy_skill_triggers!$1:$1,0)+1),MATCH(H$1,enemy_skill_triggers!$1:$1,0)-MATCH($F$1,enemy_skill_triggers!$1:$1,0)+1,FALSE)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99" s="48">
        <f ca="1">VLOOKUP($F199,OFFSET(enemy_skill_triggers!$A$1,0,0,COUNTA(enemy_skill_triggers!$A:$A),MATCH(I$1,enemy_skill_triggers!$1:$1,0)-MATCH($F$1,enemy_skill_triggers!$1:$1,0)+1),MATCH(I$1,enemy_skill_triggers!$1:$1,0)-MATCH($F$1,enemy_skill_triggers!$1:$1,0)+1,FALSE)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9" s="48" t="str">
        <f ca="1">VLOOKUP($F199,OFFSET(enemy_skill_triggers!$A$1,0,0,COUNTA(enemy_skill_triggers!$A:$A),MATCH(J$1,enemy_skill_triggers!$1:$1,0)-MATCH($F$1,enemy_skill_triggers!$1:$1,0)+1),MATCH(J$1,enemy_skill_triggers!$1:$1,0)-MATCH($F$1,enemy_skill_triggers!$1:$1,0)+1,FALSE)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9" s="48" t="str">
        <f ca="1">VLOOKUP($F199,OFFSET(enemy_skill_triggers!$A$1,0,0,COUNTA(enemy_skill_triggers!$A:$A),MATCH(K$1,enemy_skill_triggers!$1:$1,0)-MATCH($F$1,enemy_skill_triggers!$1:$1,0)+1),MATCH(K$1,enemy_skill_triggers!$1:$1,0)-MATCH($F$1,enemy_skill_triggers!$1:$1,0)+1,FALSE)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9" s="48">
        <f ca="1">VLOOKUP($F199,OFFSET(enemy_skill_triggers!$A$1,0,0,COUNTA(enemy_skill_triggers!$A:$A),MATCH(L$1,enemy_skill_triggers!$1:$1,0)-MATCH($F$1,enemy_skill_triggers!$1:$1,0)+1),MATCH(L$1,enemy_skill_triggers!$1:$1,0)-MATCH($F$1,enemy_skill_triggers!$1:$1,0)+1,FALSE)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9" s="48">
        <f ca="1">VLOOKUP($F199,OFFSET(enemy_skill_triggers!$A$1,0,0,COUNTA(enemy_skill_triggers!$A:$A),MATCH(M$1,enemy_skill_triggers!$1:$1,0)-MATCH($F$1,enemy_skill_triggers!$1:$1,0)+1),MATCH(M$1,enemy_skill_triggers!$1:$1,0)-MATCH($F$1,enemy_skill_triggers!$1:$1,0)+1,FALSE)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9" s="48" t="str">
        <f ca="1">VLOOKUP($F199,OFFSET(enemy_skill_triggers!$A$1,0,0,COUNTA(enemy_skill_triggers!$A:$A),MATCH(N$1,enemy_skill_triggers!$1:$1,0)-MATCH($F$1,enemy_skill_triggers!$1:$1,0)+1),MATCH(N$1,enemy_skill_triggers!$1:$1,0)-MATCH($F$1,enemy_skill_triggers!$1:$1,0)+1,FALSE)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9" s="48">
        <f ca="1">VLOOKUP($F199,OFFSET(enemy_skill_triggers!$A$1,0,0,COUNTA(enemy_skill_triggers!$A:$A),MATCH(O$1,enemy_skill_triggers!$1:$1,0)-MATCH($F$1,enemy_skill_triggers!$1:$1,0)+1),MATCH(O$1,enemy_skill_triggers!$1:$1,0)-MATCH($F$1,enemy_skill_triggers!$1:$1,0)+1,FALSE)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9" s="47"/>
      <c r="Q199" s="47"/>
      <c r="R199" s="47"/>
    </row>
    <row r="200" spans="1:18" ht="21" customHeight="1" x14ac:dyDescent="0.15">
      <c r="A200" s="39" t="str">
        <f t="shared" ref="A200:A203" si="9">B200&amp;"_"&amp;C200</f>
        <v>47003610_47003612</v>
      </c>
      <c r="B200" s="120">
        <v>47003610</v>
      </c>
      <c r="C200" s="120">
        <v>47003612</v>
      </c>
      <c r="D200" s="46" t="str">
        <f ca="1">VLOOKUP($C200,OFFSET(enemy_skills!$A$1,0,0,COUNTA(enemy_skills!$A:$A),MATCH(D$1,enemy_skills!$1:$1,0)-MATCH("enemy_skill_id",enemy_skills!$1:$1,0)+1),MATCH(D$1,enemy_skills!$1:$1,0)-MATCH("enemy_skill_id",enemy_skills!$1:$1,0)+1,FALSE)</f>
        <v>リー！リリーー！</v>
      </c>
      <c r="E200" s="46" t="str">
        <f ca="1">VLOOKUP($C200,OFFSET(enemy_skills!$A$1,0,0,COUNTA(enemy_skills!$A:$A),MATCH(E$1,enemy_skills!$1:$1,0)-MATCH("enemy_skill_id",enemy_skills!$1:$1,0)+1),MATCH(E$1,enemy_skills!$1:$1,0)-MATCH("enemy_skill_id",enemy_skills!$1:$1,0)+1,FALSE)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00" s="120">
        <v>47003612</v>
      </c>
      <c r="G200" s="48">
        <f ca="1">VLOOKUP($F200,OFFSET(enemy_skill_triggers!$A$1,0,0,COUNTA(enemy_skill_triggers!$A:$A),MATCH(G$1,enemy_skill_triggers!$1:$1,0)-MATCH($F$1,enemy_skill_triggers!$1:$1,0)+1),MATCH(G$1,enemy_skill_triggers!$1:$1,0)-MATCH($F$1,enemy_skill_triggers!$1:$1,0)+1,FALSE)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0" s="48">
        <f ca="1">VLOOKUP($F200,OFFSET(enemy_skill_triggers!$A$1,0,0,COUNTA(enemy_skill_triggers!$A:$A),MATCH(H$1,enemy_skill_triggers!$1:$1,0)-MATCH($F$1,enemy_skill_triggers!$1:$1,0)+1),MATCH(H$1,enemy_skill_triggers!$1:$1,0)-MATCH($F$1,enemy_skill_triggers!$1:$1,0)+1,FALSE)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00" s="48">
        <f ca="1">VLOOKUP($F200,OFFSET(enemy_skill_triggers!$A$1,0,0,COUNTA(enemy_skill_triggers!$A:$A),MATCH(I$1,enemy_skill_triggers!$1:$1,0)-MATCH($F$1,enemy_skill_triggers!$1:$1,0)+1),MATCH(I$1,enemy_skill_triggers!$1:$1,0)-MATCH($F$1,enemy_skill_triggers!$1:$1,0)+1,FALSE)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0" s="48" t="str">
        <f ca="1">VLOOKUP($F200,OFFSET(enemy_skill_triggers!$A$1,0,0,COUNTA(enemy_skill_triggers!$A:$A),MATCH(J$1,enemy_skill_triggers!$1:$1,0)-MATCH($F$1,enemy_skill_triggers!$1:$1,0)+1),MATCH(J$1,enemy_skill_triggers!$1:$1,0)-MATCH($F$1,enemy_skill_triggers!$1:$1,0)+1,FALSE)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0" s="48" t="str">
        <f ca="1">VLOOKUP($F200,OFFSET(enemy_skill_triggers!$A$1,0,0,COUNTA(enemy_skill_triggers!$A:$A),MATCH(K$1,enemy_skill_triggers!$1:$1,0)-MATCH($F$1,enemy_skill_triggers!$1:$1,0)+1),MATCH(K$1,enemy_skill_triggers!$1:$1,0)-MATCH($F$1,enemy_skill_triggers!$1:$1,0)+1,FALSE)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0" s="48">
        <f ca="1">VLOOKUP($F200,OFFSET(enemy_skill_triggers!$A$1,0,0,COUNTA(enemy_skill_triggers!$A:$A),MATCH(L$1,enemy_skill_triggers!$1:$1,0)-MATCH($F$1,enemy_skill_triggers!$1:$1,0)+1),MATCH(L$1,enemy_skill_triggers!$1:$1,0)-MATCH($F$1,enemy_skill_triggers!$1:$1,0)+1,FALSE)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0" s="48">
        <f ca="1">VLOOKUP($F200,OFFSET(enemy_skill_triggers!$A$1,0,0,COUNTA(enemy_skill_triggers!$A:$A),MATCH(M$1,enemy_skill_triggers!$1:$1,0)-MATCH($F$1,enemy_skill_triggers!$1:$1,0)+1),MATCH(M$1,enemy_skill_triggers!$1:$1,0)-MATCH($F$1,enemy_skill_triggers!$1:$1,0)+1,FALSE)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0" s="48">
        <f ca="1">VLOOKUP($F200,OFFSET(enemy_skill_triggers!$A$1,0,0,COUNTA(enemy_skill_triggers!$A:$A),MATCH(N$1,enemy_skill_triggers!$1:$1,0)-MATCH($F$1,enemy_skill_triggers!$1:$1,0)+1),MATCH(N$1,enemy_skill_triggers!$1:$1,0)-MATCH($F$1,enemy_skill_triggers!$1:$1,0)+1,FALSE)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200" s="48">
        <f ca="1">VLOOKUP($F200,OFFSET(enemy_skill_triggers!$A$1,0,0,COUNTA(enemy_skill_triggers!$A:$A),MATCH(O$1,enemy_skill_triggers!$1:$1,0)-MATCH($F$1,enemy_skill_triggers!$1:$1,0)+1),MATCH(O$1,enemy_skill_triggers!$1:$1,0)-MATCH($F$1,enemy_skill_triggers!$1:$1,0)+1,FALSE)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0" s="47"/>
      <c r="Q200" s="47"/>
      <c r="R200" s="47"/>
    </row>
    <row r="201" spans="1:18" ht="21" customHeight="1" x14ac:dyDescent="0.15">
      <c r="A201" s="39" t="str">
        <f t="shared" si="9"/>
        <v>47003610_47003612</v>
      </c>
      <c r="B201" s="120">
        <v>47003610</v>
      </c>
      <c r="C201" s="120">
        <v>47003612</v>
      </c>
      <c r="D201" s="46" t="str">
        <f ca="1">VLOOKUP($C201,OFFSET(enemy_skills!$A$1,0,0,COUNTA(enemy_skills!$A:$A),MATCH(D$1,enemy_skills!$1:$1,0)-MATCH("enemy_skill_id",enemy_skills!$1:$1,0)+1),MATCH(D$1,enemy_skills!$1:$1,0)-MATCH("enemy_skill_id",enemy_skills!$1:$1,0)+1,FALSE)</f>
        <v>リー！リリーー！</v>
      </c>
      <c r="E201" s="46" t="str">
        <f ca="1">VLOOKUP($C201,OFFSET(enemy_skills!$A$1,0,0,COUNTA(enemy_skills!$A:$A),MATCH(E$1,enemy_skills!$1:$1,0)-MATCH("enemy_skill_id",enemy_skills!$1:$1,0)+1),MATCH(E$1,enemy_skills!$1:$1,0)-MATCH("enemy_skill_id",enemy_skills!$1:$1,0)+1,FALSE)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01" s="120">
        <v>47003613</v>
      </c>
      <c r="G201" s="48">
        <f ca="1">VLOOKUP($F201,OFFSET(enemy_skill_triggers!$A$1,0,0,COUNTA(enemy_skill_triggers!$A:$A),MATCH(G$1,enemy_skill_triggers!$1:$1,0)-MATCH($F$1,enemy_skill_triggers!$1:$1,0)+1),MATCH(G$1,enemy_skill_triggers!$1:$1,0)-MATCH($F$1,enemy_skill_triggers!$1:$1,0)+1,FALSE)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1" s="48">
        <f ca="1">VLOOKUP($F201,OFFSET(enemy_skill_triggers!$A$1,0,0,COUNTA(enemy_skill_triggers!$A:$A),MATCH(H$1,enemy_skill_triggers!$1:$1,0)-MATCH($F$1,enemy_skill_triggers!$1:$1,0)+1),MATCH(H$1,enemy_skill_triggers!$1:$1,0)-MATCH($F$1,enemy_skill_triggers!$1:$1,0)+1,FALSE)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01" s="48">
        <f ca="1">VLOOKUP($F201,OFFSET(enemy_skill_triggers!$A$1,0,0,COUNTA(enemy_skill_triggers!$A:$A),MATCH(I$1,enemy_skill_triggers!$1:$1,0)-MATCH($F$1,enemy_skill_triggers!$1:$1,0)+1),MATCH(I$1,enemy_skill_triggers!$1:$1,0)-MATCH($F$1,enemy_skill_triggers!$1:$1,0)+1,FALSE)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1" s="48" t="str">
        <f ca="1">VLOOKUP($F201,OFFSET(enemy_skill_triggers!$A$1,0,0,COUNTA(enemy_skill_triggers!$A:$A),MATCH(J$1,enemy_skill_triggers!$1:$1,0)-MATCH($F$1,enemy_skill_triggers!$1:$1,0)+1),MATCH(J$1,enemy_skill_triggers!$1:$1,0)-MATCH($F$1,enemy_skill_triggers!$1:$1,0)+1,FALSE)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1" s="48" t="str">
        <f ca="1">VLOOKUP($F201,OFFSET(enemy_skill_triggers!$A$1,0,0,COUNTA(enemy_skill_triggers!$A:$A),MATCH(K$1,enemy_skill_triggers!$1:$1,0)-MATCH($F$1,enemy_skill_triggers!$1:$1,0)+1),MATCH(K$1,enemy_skill_triggers!$1:$1,0)-MATCH($F$1,enemy_skill_triggers!$1:$1,0)+1,FALSE)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1" s="48">
        <f ca="1">VLOOKUP($F201,OFFSET(enemy_skill_triggers!$A$1,0,0,COUNTA(enemy_skill_triggers!$A:$A),MATCH(L$1,enemy_skill_triggers!$1:$1,0)-MATCH($F$1,enemy_skill_triggers!$1:$1,0)+1),MATCH(L$1,enemy_skill_triggers!$1:$1,0)-MATCH($F$1,enemy_skill_triggers!$1:$1,0)+1,FALSE)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1" s="48">
        <f ca="1">VLOOKUP($F201,OFFSET(enemy_skill_triggers!$A$1,0,0,COUNTA(enemy_skill_triggers!$A:$A),MATCH(M$1,enemy_skill_triggers!$1:$1,0)-MATCH($F$1,enemy_skill_triggers!$1:$1,0)+1),MATCH(M$1,enemy_skill_triggers!$1:$1,0)-MATCH($F$1,enemy_skill_triggers!$1:$1,0)+1,FALSE)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1" s="48">
        <f ca="1">VLOOKUP($F201,OFFSET(enemy_skill_triggers!$A$1,0,0,COUNTA(enemy_skill_triggers!$A:$A),MATCH(N$1,enemy_skill_triggers!$1:$1,0)-MATCH($F$1,enemy_skill_triggers!$1:$1,0)+1),MATCH(N$1,enemy_skill_triggers!$1:$1,0)-MATCH($F$1,enemy_skill_triggers!$1:$1,0)+1,FALSE)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201" s="48">
        <f ca="1">VLOOKUP($F201,OFFSET(enemy_skill_triggers!$A$1,0,0,COUNTA(enemy_skill_triggers!$A:$A),MATCH(O$1,enemy_skill_triggers!$1:$1,0)-MATCH($F$1,enemy_skill_triggers!$1:$1,0)+1),MATCH(O$1,enemy_skill_triggers!$1:$1,0)-MATCH($F$1,enemy_skill_triggers!$1:$1,0)+1,FALSE)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1" s="47"/>
      <c r="Q201" s="47"/>
      <c r="R201" s="47"/>
    </row>
    <row r="202" spans="1:18" ht="21" customHeight="1" x14ac:dyDescent="0.15">
      <c r="A202" s="39" t="str">
        <f t="shared" si="9"/>
        <v>47003610_47003613</v>
      </c>
      <c r="B202" s="120">
        <v>47003610</v>
      </c>
      <c r="C202" s="120">
        <v>47003613</v>
      </c>
      <c r="D202" s="46" t="str">
        <f ca="1">VLOOKUP($C202,OFFSET(enemy_skills!$A$1,0,0,COUNTA(enemy_skills!$A:$A),MATCH(D$1,enemy_skills!$1:$1,0)-MATCH("enemy_skill_id",enemy_skills!$1:$1,0)+1),MATCH(D$1,enemy_skills!$1:$1,0)-MATCH("enemy_skill_id",enemy_skills!$1:$1,0)+1,FALSE)</f>
        <v>リ…リリリリ…！</v>
      </c>
      <c r="E202" s="46" t="str">
        <f ca="1">VLOOKUP($C202,OFFSET(enemy_skills!$A$1,0,0,COUNTA(enemy_skills!$A:$A),MATCH(E$1,enemy_skills!$1:$1,0)-MATCH("enemy_skill_id",enemy_skills!$1:$1,0)+1),MATCH(E$1,enemy_skills!$1:$1,0)-MATCH("enemy_skill_id",enemy_skills!$1:$1,0)+1,FALSE)</f>
        <v>種族デーモンのCパネル生成短縮</v>
      </c>
      <c r="F202" s="120">
        <v>47003614</v>
      </c>
      <c r="G202" s="48">
        <f ca="1">VLOOKUP($F202,OFFSET(enemy_skill_triggers!$A$1,0,0,COUNTA(enemy_skill_triggers!$A:$A),MATCH(G$1,enemy_skill_triggers!$1:$1,0)-MATCH($F$1,enemy_skill_triggers!$1:$1,0)+1),MATCH(G$1,enemy_skill_triggers!$1:$1,0)-MATCH($F$1,enemy_skill_triggers!$1:$1,0)+1,FALSE)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2" s="48">
        <f ca="1">VLOOKUP($F202,OFFSET(enemy_skill_triggers!$A$1,0,0,COUNTA(enemy_skill_triggers!$A:$A),MATCH(H$1,enemy_skill_triggers!$1:$1,0)-MATCH($F$1,enemy_skill_triggers!$1:$1,0)+1),MATCH(H$1,enemy_skill_triggers!$1:$1,0)-MATCH($F$1,enemy_skill_triggers!$1:$1,0)+1,FALSE)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202" s="48">
        <f ca="1">VLOOKUP($F202,OFFSET(enemy_skill_triggers!$A$1,0,0,COUNTA(enemy_skill_triggers!$A:$A),MATCH(I$1,enemy_skill_triggers!$1:$1,0)-MATCH($F$1,enemy_skill_triggers!$1:$1,0)+1),MATCH(I$1,enemy_skill_triggers!$1:$1,0)-MATCH($F$1,enemy_skill_triggers!$1:$1,0)+1,FALSE)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2" s="48" t="str">
        <f ca="1">VLOOKUP($F202,OFFSET(enemy_skill_triggers!$A$1,0,0,COUNTA(enemy_skill_triggers!$A:$A),MATCH(J$1,enemy_skill_triggers!$1:$1,0)-MATCH($F$1,enemy_skill_triggers!$1:$1,0)+1),MATCH(J$1,enemy_skill_triggers!$1:$1,0)-MATCH($F$1,enemy_skill_triggers!$1:$1,0)+1,FALSE)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2" s="48" t="str">
        <f ca="1">VLOOKUP($F202,OFFSET(enemy_skill_triggers!$A$1,0,0,COUNTA(enemy_skill_triggers!$A:$A),MATCH(K$1,enemy_skill_triggers!$1:$1,0)-MATCH($F$1,enemy_skill_triggers!$1:$1,0)+1),MATCH(K$1,enemy_skill_triggers!$1:$1,0)-MATCH($F$1,enemy_skill_triggers!$1:$1,0)+1,FALSE)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2" s="48">
        <f ca="1">VLOOKUP($F202,OFFSET(enemy_skill_triggers!$A$1,0,0,COUNTA(enemy_skill_triggers!$A:$A),MATCH(L$1,enemy_skill_triggers!$1:$1,0)-MATCH($F$1,enemy_skill_triggers!$1:$1,0)+1),MATCH(L$1,enemy_skill_triggers!$1:$1,0)-MATCH($F$1,enemy_skill_triggers!$1:$1,0)+1,FALSE)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2" s="48">
        <f ca="1">VLOOKUP($F202,OFFSET(enemy_skill_triggers!$A$1,0,0,COUNTA(enemy_skill_triggers!$A:$A),MATCH(M$1,enemy_skill_triggers!$1:$1,0)-MATCH($F$1,enemy_skill_triggers!$1:$1,0)+1),MATCH(M$1,enemy_skill_triggers!$1:$1,0)-MATCH($F$1,enemy_skill_triggers!$1:$1,0)+1,FALSE)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2" s="48">
        <f ca="1">VLOOKUP($F202,OFFSET(enemy_skill_triggers!$A$1,0,0,COUNTA(enemy_skill_triggers!$A:$A),MATCH(N$1,enemy_skill_triggers!$1:$1,0)-MATCH($F$1,enemy_skill_triggers!$1:$1,0)+1),MATCH(N$1,enemy_skill_triggers!$1:$1,0)-MATCH($F$1,enemy_skill_triggers!$1:$1,0)+1,FALSE)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202" s="48">
        <f ca="1">VLOOKUP($F202,OFFSET(enemy_skill_triggers!$A$1,0,0,COUNTA(enemy_skill_triggers!$A:$A),MATCH(O$1,enemy_skill_triggers!$1:$1,0)-MATCH($F$1,enemy_skill_triggers!$1:$1,0)+1),MATCH(O$1,enemy_skill_triggers!$1:$1,0)-MATCH($F$1,enemy_skill_triggers!$1:$1,0)+1,FALSE)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2" s="47"/>
      <c r="Q202" s="47"/>
      <c r="R202" s="47"/>
    </row>
    <row r="203" spans="1:18" ht="21" customHeight="1" x14ac:dyDescent="0.15">
      <c r="A203" s="39" t="str">
        <f t="shared" si="9"/>
        <v>47003610_47003614</v>
      </c>
      <c r="B203" s="120">
        <v>47003610</v>
      </c>
      <c r="C203" s="120">
        <v>47003614</v>
      </c>
      <c r="D203" s="46" t="str">
        <f ca="1">VLOOKUP($C203,OFFSET(enemy_skills!$A$1,0,0,COUNTA(enemy_skills!$A:$A),MATCH(D$1,enemy_skills!$1:$1,0)-MATCH("enemy_skill_id",enemy_skills!$1:$1,0)+1),MATCH(D$1,enemy_skills!$1:$1,0)-MATCH("enemy_skill_id",enemy_skills!$1:$1,0)+1,FALSE)</f>
        <v>リッッ！リリィ…</v>
      </c>
      <c r="E203" s="46" t="str">
        <f ca="1">VLOOKUP($C203,OFFSET(enemy_skills!$A$1,0,0,COUNTA(enemy_skills!$A:$A),MATCH(E$1,enemy_skills!$1:$1,0)-MATCH("enemy_skill_id",enemy_skills!$1:$1,0)+1),MATCH(E$1,enemy_skills!$1:$1,0)-MATCH("enemy_skill_id",enemy_skills!$1:$1,0)+1,FALSE)</f>
        <v>種族デーモンのCパネル生成短縮</v>
      </c>
      <c r="F203" s="120">
        <v>47003615</v>
      </c>
      <c r="G203" s="48">
        <f ca="1">VLOOKUP($F203,OFFSET(enemy_skill_triggers!$A$1,0,0,COUNTA(enemy_skill_triggers!$A:$A),MATCH(G$1,enemy_skill_triggers!$1:$1,0)-MATCH($F$1,enemy_skill_triggers!$1:$1,0)+1),MATCH(G$1,enemy_skill_triggers!$1:$1,0)-MATCH($F$1,enemy_skill_triggers!$1:$1,0)+1,FALSE)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3" s="48">
        <f ca="1">VLOOKUP($F203,OFFSET(enemy_skill_triggers!$A$1,0,0,COUNTA(enemy_skill_triggers!$A:$A),MATCH(H$1,enemy_skill_triggers!$1:$1,0)-MATCH($F$1,enemy_skill_triggers!$1:$1,0)+1),MATCH(H$1,enemy_skill_triggers!$1:$1,0)-MATCH($F$1,enemy_skill_triggers!$1:$1,0)+1,FALSE)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03" s="48">
        <f ca="1">VLOOKUP($F203,OFFSET(enemy_skill_triggers!$A$1,0,0,COUNTA(enemy_skill_triggers!$A:$A),MATCH(I$1,enemy_skill_triggers!$1:$1,0)-MATCH($F$1,enemy_skill_triggers!$1:$1,0)+1),MATCH(I$1,enemy_skill_triggers!$1:$1,0)-MATCH($F$1,enemy_skill_triggers!$1:$1,0)+1,FALSE)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3" s="48" t="str">
        <f ca="1">VLOOKUP($F203,OFFSET(enemy_skill_triggers!$A$1,0,0,COUNTA(enemy_skill_triggers!$A:$A),MATCH(J$1,enemy_skill_triggers!$1:$1,0)-MATCH($F$1,enemy_skill_triggers!$1:$1,0)+1),MATCH(J$1,enemy_skill_triggers!$1:$1,0)-MATCH($F$1,enemy_skill_triggers!$1:$1,0)+1,FALSE)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3" s="48" t="str">
        <f ca="1">VLOOKUP($F203,OFFSET(enemy_skill_triggers!$A$1,0,0,COUNTA(enemy_skill_triggers!$A:$A),MATCH(K$1,enemy_skill_triggers!$1:$1,0)-MATCH($F$1,enemy_skill_triggers!$1:$1,0)+1),MATCH(K$1,enemy_skill_triggers!$1:$1,0)-MATCH($F$1,enemy_skill_triggers!$1:$1,0)+1,FALSE)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3" s="48">
        <f ca="1">VLOOKUP($F203,OFFSET(enemy_skill_triggers!$A$1,0,0,COUNTA(enemy_skill_triggers!$A:$A),MATCH(L$1,enemy_skill_triggers!$1:$1,0)-MATCH($F$1,enemy_skill_triggers!$1:$1,0)+1),MATCH(L$1,enemy_skill_triggers!$1:$1,0)-MATCH($F$1,enemy_skill_triggers!$1:$1,0)+1,FALSE)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3" s="48">
        <f ca="1">VLOOKUP($F203,OFFSET(enemy_skill_triggers!$A$1,0,0,COUNTA(enemy_skill_triggers!$A:$A),MATCH(M$1,enemy_skill_triggers!$1:$1,0)-MATCH($F$1,enemy_skill_triggers!$1:$1,0)+1),MATCH(M$1,enemy_skill_triggers!$1:$1,0)-MATCH($F$1,enemy_skill_triggers!$1:$1,0)+1,FALSE)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3" s="48">
        <f ca="1">VLOOKUP($F203,OFFSET(enemy_skill_triggers!$A$1,0,0,COUNTA(enemy_skill_triggers!$A:$A),MATCH(N$1,enemy_skill_triggers!$1:$1,0)-MATCH($F$1,enemy_skill_triggers!$1:$1,0)+1),MATCH(N$1,enemy_skill_triggers!$1:$1,0)-MATCH($F$1,enemy_skill_triggers!$1:$1,0)+1,FALSE)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203" s="48">
        <f ca="1">VLOOKUP($F203,OFFSET(enemy_skill_triggers!$A$1,0,0,COUNTA(enemy_skill_triggers!$A:$A),MATCH(O$1,enemy_skill_triggers!$1:$1,0)-MATCH($F$1,enemy_skill_triggers!$1:$1,0)+1),MATCH(O$1,enemy_skill_triggers!$1:$1,0)-MATCH($F$1,enemy_skill_triggers!$1:$1,0)+1,FALSE)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3" s="47"/>
      <c r="Q203" s="47"/>
      <c r="R203" s="47"/>
    </row>
    <row r="204" spans="1:18" ht="21" customHeight="1" x14ac:dyDescent="0.15">
      <c r="A204" s="39" t="str">
        <f t="shared" si="8"/>
        <v>47003620_47003621</v>
      </c>
      <c r="B204" s="48">
        <v>47003620</v>
      </c>
      <c r="C204" s="48">
        <v>47003621</v>
      </c>
      <c r="D204" s="46" t="str">
        <f ca="1">VLOOKUP($C204,OFFSET(enemy_skills!$A$1,0,0,COUNTA(enemy_skills!$A:$A),MATCH(D$1,enemy_skills!$1:$1,0)-MATCH("enemy_skill_id",enemy_skills!$1:$1,0)+1),MATCH(D$1,enemy_skills!$1:$1,0)-MATCH("enemy_skill_id",enemy_skills!$1:$1,0)+1,FALSE)</f>
        <v>ガ…ガビガガ！！</v>
      </c>
      <c r="E204" s="46" t="str">
        <f ca="1">VLOOKUP($C204,OFFSET(enemy_skills!$A$1,0,0,COUNTA(enemy_skills!$A:$A),MATCH(E$1,enemy_skills!$1:$1,0)-MATCH("enemy_skill_id",enemy_skills!$1:$1,0)+1),MATCH(E$1,enemy_skills!$1:$1,0)-MATCH("enemy_skill_id",enemy_skills!$1:$1,0)+1,FALSE)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04" s="48">
        <v>47003621</v>
      </c>
      <c r="G204" s="48">
        <f ca="1">VLOOKUP($F204,OFFSET(enemy_skill_triggers!$A$1,0,0,COUNTA(enemy_skill_triggers!$A:$A),MATCH(G$1,enemy_skill_triggers!$1:$1,0)-MATCH($F$1,enemy_skill_triggers!$1:$1,0)+1),MATCH(G$1,enemy_skill_triggers!$1:$1,0)-MATCH($F$1,enemy_skill_triggers!$1:$1,0)+1,FALSE)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4" s="48">
        <f ca="1">VLOOKUP($F204,OFFSET(enemy_skill_triggers!$A$1,0,0,COUNTA(enemy_skill_triggers!$A:$A),MATCH(H$1,enemy_skill_triggers!$1:$1,0)-MATCH($F$1,enemy_skill_triggers!$1:$1,0)+1),MATCH(H$1,enemy_skill_triggers!$1:$1,0)-MATCH($F$1,enemy_skill_triggers!$1:$1,0)+1,FALSE)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204" s="48">
        <f ca="1">VLOOKUP($F204,OFFSET(enemy_skill_triggers!$A$1,0,0,COUNTA(enemy_skill_triggers!$A:$A),MATCH(I$1,enemy_skill_triggers!$1:$1,0)-MATCH($F$1,enemy_skill_triggers!$1:$1,0)+1),MATCH(I$1,enemy_skill_triggers!$1:$1,0)-MATCH($F$1,enemy_skill_triggers!$1:$1,0)+1,FALSE)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4" s="48" t="str">
        <f ca="1">VLOOKUP($F204,OFFSET(enemy_skill_triggers!$A$1,0,0,COUNTA(enemy_skill_triggers!$A:$A),MATCH(J$1,enemy_skill_triggers!$1:$1,0)-MATCH($F$1,enemy_skill_triggers!$1:$1,0)+1),MATCH(J$1,enemy_skill_triggers!$1:$1,0)-MATCH($F$1,enemy_skill_triggers!$1:$1,0)+1,FALSE)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4" s="48" t="str">
        <f ca="1">VLOOKUP($F204,OFFSET(enemy_skill_triggers!$A$1,0,0,COUNTA(enemy_skill_triggers!$A:$A),MATCH(K$1,enemy_skill_triggers!$1:$1,0)-MATCH($F$1,enemy_skill_triggers!$1:$1,0)+1),MATCH(K$1,enemy_skill_triggers!$1:$1,0)-MATCH($F$1,enemy_skill_triggers!$1:$1,0)+1,FALSE)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4" s="48">
        <f ca="1">VLOOKUP($F204,OFFSET(enemy_skill_triggers!$A$1,0,0,COUNTA(enemy_skill_triggers!$A:$A),MATCH(L$1,enemy_skill_triggers!$1:$1,0)-MATCH($F$1,enemy_skill_triggers!$1:$1,0)+1),MATCH(L$1,enemy_skill_triggers!$1:$1,0)-MATCH($F$1,enemy_skill_triggers!$1:$1,0)+1,FALSE)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4" s="48">
        <f ca="1">VLOOKUP($F204,OFFSET(enemy_skill_triggers!$A$1,0,0,COUNTA(enemy_skill_triggers!$A:$A),MATCH(M$1,enemy_skill_triggers!$1:$1,0)-MATCH($F$1,enemy_skill_triggers!$1:$1,0)+1),MATCH(M$1,enemy_skill_triggers!$1:$1,0)-MATCH($F$1,enemy_skill_triggers!$1:$1,0)+1,FALSE)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4" s="48" t="str">
        <f ca="1">VLOOKUP($F204,OFFSET(enemy_skill_triggers!$A$1,0,0,COUNTA(enemy_skill_triggers!$A:$A),MATCH(N$1,enemy_skill_triggers!$1:$1,0)-MATCH($F$1,enemy_skill_triggers!$1:$1,0)+1),MATCH(N$1,enemy_skill_triggers!$1:$1,0)-MATCH($F$1,enemy_skill_triggers!$1:$1,0)+1,FALSE)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4" s="48">
        <f ca="1">VLOOKUP($F204,OFFSET(enemy_skill_triggers!$A$1,0,0,COUNTA(enemy_skill_triggers!$A:$A),MATCH(O$1,enemy_skill_triggers!$1:$1,0)-MATCH($F$1,enemy_skill_triggers!$1:$1,0)+1),MATCH(O$1,enemy_skill_triggers!$1:$1,0)-MATCH($F$1,enemy_skill_triggers!$1:$1,0)+1,FALSE)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4" s="47"/>
      <c r="Q204" s="47"/>
      <c r="R204" s="47"/>
    </row>
    <row r="205" spans="1:18" ht="21" customHeight="1" x14ac:dyDescent="0.15">
      <c r="A205" s="39" t="str">
        <f t="shared" ref="A205:A208" si="10">B205&amp;"_"&amp;C205</f>
        <v>47003620_47003622</v>
      </c>
      <c r="B205" s="48">
        <v>47003620</v>
      </c>
      <c r="C205" s="48">
        <v>47003622</v>
      </c>
      <c r="D205" s="46" t="str">
        <f ca="1">VLOOKUP($C205,OFFSET(enemy_skills!$A$1,0,0,COUNTA(enemy_skills!$A:$A),MATCH(D$1,enemy_skills!$1:$1,0)-MATCH("enemy_skill_id",enemy_skills!$1:$1,0)+1),MATCH(D$1,enemy_skills!$1:$1,0)-MATCH("enemy_skill_id",enemy_skills!$1:$1,0)+1,FALSE)</f>
        <v>ガガ！ビガビ！！</v>
      </c>
      <c r="E205" s="46" t="str">
        <f ca="1">VLOOKUP($C205,OFFSET(enemy_skills!$A$1,0,0,COUNTA(enemy_skills!$A:$A),MATCH(E$1,enemy_skills!$1:$1,0)-MATCH("enemy_skill_id",enemy_skills!$1:$1,0)+1),MATCH(E$1,enemy_skills!$1:$1,0)-MATCH("enemy_skill_id",enemy_skills!$1:$1,0)+1,FALSE)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05" s="48">
        <v>47003622</v>
      </c>
      <c r="G205" s="48">
        <f ca="1">VLOOKUP($F205,OFFSET(enemy_skill_triggers!$A$1,0,0,COUNTA(enemy_skill_triggers!$A:$A),MATCH(G$1,enemy_skill_triggers!$1:$1,0)-MATCH($F$1,enemy_skill_triggers!$1:$1,0)+1),MATCH(G$1,enemy_skill_triggers!$1:$1,0)-MATCH($F$1,enemy_skill_triggers!$1:$1,0)+1,FALSE)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5" s="48">
        <f ca="1">VLOOKUP($F205,OFFSET(enemy_skill_triggers!$A$1,0,0,COUNTA(enemy_skill_triggers!$A:$A),MATCH(H$1,enemy_skill_triggers!$1:$1,0)-MATCH($F$1,enemy_skill_triggers!$1:$1,0)+1),MATCH(H$1,enemy_skill_triggers!$1:$1,0)-MATCH($F$1,enemy_skill_triggers!$1:$1,0)+1,FALSE)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05" s="48">
        <f ca="1">VLOOKUP($F205,OFFSET(enemy_skill_triggers!$A$1,0,0,COUNTA(enemy_skill_triggers!$A:$A),MATCH(I$1,enemy_skill_triggers!$1:$1,0)-MATCH($F$1,enemy_skill_triggers!$1:$1,0)+1),MATCH(I$1,enemy_skill_triggers!$1:$1,0)-MATCH($F$1,enemy_skill_triggers!$1:$1,0)+1,FALSE)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5" s="48" t="str">
        <f ca="1">VLOOKUP($F205,OFFSET(enemy_skill_triggers!$A$1,0,0,COUNTA(enemy_skill_triggers!$A:$A),MATCH(J$1,enemy_skill_triggers!$1:$1,0)-MATCH($F$1,enemy_skill_triggers!$1:$1,0)+1),MATCH(J$1,enemy_skill_triggers!$1:$1,0)-MATCH($F$1,enemy_skill_triggers!$1:$1,0)+1,FALSE)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5" s="48" t="str">
        <f ca="1">VLOOKUP($F205,OFFSET(enemy_skill_triggers!$A$1,0,0,COUNTA(enemy_skill_triggers!$A:$A),MATCH(K$1,enemy_skill_triggers!$1:$1,0)-MATCH($F$1,enemy_skill_triggers!$1:$1,0)+1),MATCH(K$1,enemy_skill_triggers!$1:$1,0)-MATCH($F$1,enemy_skill_triggers!$1:$1,0)+1,FALSE)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5" s="48">
        <f ca="1">VLOOKUP($F205,OFFSET(enemy_skill_triggers!$A$1,0,0,COUNTA(enemy_skill_triggers!$A:$A),MATCH(L$1,enemy_skill_triggers!$1:$1,0)-MATCH($F$1,enemy_skill_triggers!$1:$1,0)+1),MATCH(L$1,enemy_skill_triggers!$1:$1,0)-MATCH($F$1,enemy_skill_triggers!$1:$1,0)+1,FALSE)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5" s="48">
        <f ca="1">VLOOKUP($F205,OFFSET(enemy_skill_triggers!$A$1,0,0,COUNTA(enemy_skill_triggers!$A:$A),MATCH(M$1,enemy_skill_triggers!$1:$1,0)-MATCH($F$1,enemy_skill_triggers!$1:$1,0)+1),MATCH(M$1,enemy_skill_triggers!$1:$1,0)-MATCH($F$1,enemy_skill_triggers!$1:$1,0)+1,FALSE)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5" s="48">
        <f ca="1">VLOOKUP($F205,OFFSET(enemy_skill_triggers!$A$1,0,0,COUNTA(enemy_skill_triggers!$A:$A),MATCH(N$1,enemy_skill_triggers!$1:$1,0)-MATCH($F$1,enemy_skill_triggers!$1:$1,0)+1),MATCH(N$1,enemy_skill_triggers!$1:$1,0)-MATCH($F$1,enemy_skill_triggers!$1:$1,0)+1,FALSE)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205" s="48">
        <f ca="1">VLOOKUP($F205,OFFSET(enemy_skill_triggers!$A$1,0,0,COUNTA(enemy_skill_triggers!$A:$A),MATCH(O$1,enemy_skill_triggers!$1:$1,0)-MATCH($F$1,enemy_skill_triggers!$1:$1,0)+1),MATCH(O$1,enemy_skill_triggers!$1:$1,0)-MATCH($F$1,enemy_skill_triggers!$1:$1,0)+1,FALSE)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5" s="47"/>
      <c r="Q205" s="47"/>
      <c r="R205" s="47"/>
    </row>
    <row r="206" spans="1:18" ht="21" customHeight="1" x14ac:dyDescent="0.15">
      <c r="A206" s="39" t="str">
        <f t="shared" si="10"/>
        <v>47003620_47003622</v>
      </c>
      <c r="B206" s="48">
        <v>47003620</v>
      </c>
      <c r="C206" s="48">
        <v>47003622</v>
      </c>
      <c r="D206" s="46" t="str">
        <f ca="1">VLOOKUP($C206,OFFSET(enemy_skills!$A$1,0,0,COUNTA(enemy_skills!$A:$A),MATCH(D$1,enemy_skills!$1:$1,0)-MATCH("enemy_skill_id",enemy_skills!$1:$1,0)+1),MATCH(D$1,enemy_skills!$1:$1,0)-MATCH("enemy_skill_id",enemy_skills!$1:$1,0)+1,FALSE)</f>
        <v>ガガ！ビガビ！！</v>
      </c>
      <c r="E206" s="46" t="str">
        <f ca="1">VLOOKUP($C206,OFFSET(enemy_skills!$A$1,0,0,COUNTA(enemy_skills!$A:$A),MATCH(E$1,enemy_skills!$1:$1,0)-MATCH("enemy_skill_id",enemy_skills!$1:$1,0)+1),MATCH(E$1,enemy_skills!$1:$1,0)-MATCH("enemy_skill_id",enemy_skills!$1:$1,0)+1,FALSE)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06" s="48">
        <v>47003623</v>
      </c>
      <c r="G206" s="48">
        <f ca="1">VLOOKUP($F206,OFFSET(enemy_skill_triggers!$A$1,0,0,COUNTA(enemy_skill_triggers!$A:$A),MATCH(G$1,enemy_skill_triggers!$1:$1,0)-MATCH($F$1,enemy_skill_triggers!$1:$1,0)+1),MATCH(G$1,enemy_skill_triggers!$1:$1,0)-MATCH($F$1,enemy_skill_triggers!$1:$1,0)+1,FALSE)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6" s="48">
        <f ca="1">VLOOKUP($F206,OFFSET(enemy_skill_triggers!$A$1,0,0,COUNTA(enemy_skill_triggers!$A:$A),MATCH(H$1,enemy_skill_triggers!$1:$1,0)-MATCH($F$1,enemy_skill_triggers!$1:$1,0)+1),MATCH(H$1,enemy_skill_triggers!$1:$1,0)-MATCH($F$1,enemy_skill_triggers!$1:$1,0)+1,FALSE)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06" s="48">
        <f ca="1">VLOOKUP($F206,OFFSET(enemy_skill_triggers!$A$1,0,0,COUNTA(enemy_skill_triggers!$A:$A),MATCH(I$1,enemy_skill_triggers!$1:$1,0)-MATCH($F$1,enemy_skill_triggers!$1:$1,0)+1),MATCH(I$1,enemy_skill_triggers!$1:$1,0)-MATCH($F$1,enemy_skill_triggers!$1:$1,0)+1,FALSE)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6" s="48" t="str">
        <f ca="1">VLOOKUP($F206,OFFSET(enemy_skill_triggers!$A$1,0,0,COUNTA(enemy_skill_triggers!$A:$A),MATCH(J$1,enemy_skill_triggers!$1:$1,0)-MATCH($F$1,enemy_skill_triggers!$1:$1,0)+1),MATCH(J$1,enemy_skill_triggers!$1:$1,0)-MATCH($F$1,enemy_skill_triggers!$1:$1,0)+1,FALSE)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6" s="48" t="str">
        <f ca="1">VLOOKUP($F206,OFFSET(enemy_skill_triggers!$A$1,0,0,COUNTA(enemy_skill_triggers!$A:$A),MATCH(K$1,enemy_skill_triggers!$1:$1,0)-MATCH($F$1,enemy_skill_triggers!$1:$1,0)+1),MATCH(K$1,enemy_skill_triggers!$1:$1,0)-MATCH($F$1,enemy_skill_triggers!$1:$1,0)+1,FALSE)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6" s="48">
        <f ca="1">VLOOKUP($F206,OFFSET(enemy_skill_triggers!$A$1,0,0,COUNTA(enemy_skill_triggers!$A:$A),MATCH(L$1,enemy_skill_triggers!$1:$1,0)-MATCH($F$1,enemy_skill_triggers!$1:$1,0)+1),MATCH(L$1,enemy_skill_triggers!$1:$1,0)-MATCH($F$1,enemy_skill_triggers!$1:$1,0)+1,FALSE)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6" s="48">
        <f ca="1">VLOOKUP($F206,OFFSET(enemy_skill_triggers!$A$1,0,0,COUNTA(enemy_skill_triggers!$A:$A),MATCH(M$1,enemy_skill_triggers!$1:$1,0)-MATCH($F$1,enemy_skill_triggers!$1:$1,0)+1),MATCH(M$1,enemy_skill_triggers!$1:$1,0)-MATCH($F$1,enemy_skill_triggers!$1:$1,0)+1,FALSE)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6" s="48">
        <f ca="1">VLOOKUP($F206,OFFSET(enemy_skill_triggers!$A$1,0,0,COUNTA(enemy_skill_triggers!$A:$A),MATCH(N$1,enemy_skill_triggers!$1:$1,0)-MATCH($F$1,enemy_skill_triggers!$1:$1,0)+1),MATCH(N$1,enemy_skill_triggers!$1:$1,0)-MATCH($F$1,enemy_skill_triggers!$1:$1,0)+1,FALSE)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206" s="48">
        <f ca="1">VLOOKUP($F206,OFFSET(enemy_skill_triggers!$A$1,0,0,COUNTA(enemy_skill_triggers!$A:$A),MATCH(O$1,enemy_skill_triggers!$1:$1,0)-MATCH($F$1,enemy_skill_triggers!$1:$1,0)+1),MATCH(O$1,enemy_skill_triggers!$1:$1,0)-MATCH($F$1,enemy_skill_triggers!$1:$1,0)+1,FALSE)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6" s="47"/>
      <c r="Q206" s="47"/>
      <c r="R206" s="47"/>
    </row>
    <row r="207" spans="1:18" ht="21" customHeight="1" x14ac:dyDescent="0.15">
      <c r="A207" s="39" t="str">
        <f t="shared" si="10"/>
        <v>47003620_47003623</v>
      </c>
      <c r="B207" s="48">
        <v>47003620</v>
      </c>
      <c r="C207" s="48">
        <v>47003623</v>
      </c>
      <c r="D207" s="46" t="str">
        <f ca="1">VLOOKUP($C207,OFFSET(enemy_skills!$A$1,0,0,COUNTA(enemy_skills!$A:$A),MATCH(D$1,enemy_skills!$1:$1,0)-MATCH("enemy_skill_id",enemy_skills!$1:$1,0)+1),MATCH(D$1,enemy_skills!$1:$1,0)-MATCH("enemy_skill_id",enemy_skills!$1:$1,0)+1,FALSE)</f>
        <v>ビガガッ！ビッ！</v>
      </c>
      <c r="E207" s="46" t="str">
        <f ca="1">VLOOKUP($C207,OFFSET(enemy_skills!$A$1,0,0,COUNTA(enemy_skills!$A:$A),MATCH(E$1,enemy_skills!$1:$1,0)-MATCH("enemy_skill_id",enemy_skills!$1:$1,0)+1),MATCH(E$1,enemy_skills!$1:$1,0)-MATCH("enemy_skill_id",enemy_skills!$1:$1,0)+1,FALSE)</f>
        <v>種族デーモンのボムの爆風を20%UP</v>
      </c>
      <c r="F207" s="48">
        <v>47003624</v>
      </c>
      <c r="G207" s="48">
        <f ca="1">VLOOKUP($F207,OFFSET(enemy_skill_triggers!$A$1,0,0,COUNTA(enemy_skill_triggers!$A:$A),MATCH(G$1,enemy_skill_triggers!$1:$1,0)-MATCH($F$1,enemy_skill_triggers!$1:$1,0)+1),MATCH(G$1,enemy_skill_triggers!$1:$1,0)-MATCH($F$1,enemy_skill_triggers!$1:$1,0)+1,FALSE)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7" s="48">
        <f ca="1">VLOOKUP($F207,OFFSET(enemy_skill_triggers!$A$1,0,0,COUNTA(enemy_skill_triggers!$A:$A),MATCH(H$1,enemy_skill_triggers!$1:$1,0)-MATCH($F$1,enemy_skill_triggers!$1:$1,0)+1),MATCH(H$1,enemy_skill_triggers!$1:$1,0)-MATCH($F$1,enemy_skill_triggers!$1:$1,0)+1,FALSE)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207" s="48">
        <f ca="1">VLOOKUP($F207,OFFSET(enemy_skill_triggers!$A$1,0,0,COUNTA(enemy_skill_triggers!$A:$A),MATCH(I$1,enemy_skill_triggers!$1:$1,0)-MATCH($F$1,enemy_skill_triggers!$1:$1,0)+1),MATCH(I$1,enemy_skill_triggers!$1:$1,0)-MATCH($F$1,enemy_skill_triggers!$1:$1,0)+1,FALSE)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7" s="48" t="str">
        <f ca="1">VLOOKUP($F207,OFFSET(enemy_skill_triggers!$A$1,0,0,COUNTA(enemy_skill_triggers!$A:$A),MATCH(J$1,enemy_skill_triggers!$1:$1,0)-MATCH($F$1,enemy_skill_triggers!$1:$1,0)+1),MATCH(J$1,enemy_skill_triggers!$1:$1,0)-MATCH($F$1,enemy_skill_triggers!$1:$1,0)+1,FALSE)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7" s="48" t="str">
        <f ca="1">VLOOKUP($F207,OFFSET(enemy_skill_triggers!$A$1,0,0,COUNTA(enemy_skill_triggers!$A:$A),MATCH(K$1,enemy_skill_triggers!$1:$1,0)-MATCH($F$1,enemy_skill_triggers!$1:$1,0)+1),MATCH(K$1,enemy_skill_triggers!$1:$1,0)-MATCH($F$1,enemy_skill_triggers!$1:$1,0)+1,FALSE)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7" s="48">
        <f ca="1">VLOOKUP($F207,OFFSET(enemy_skill_triggers!$A$1,0,0,COUNTA(enemy_skill_triggers!$A:$A),MATCH(L$1,enemy_skill_triggers!$1:$1,0)-MATCH($F$1,enemy_skill_triggers!$1:$1,0)+1),MATCH(L$1,enemy_skill_triggers!$1:$1,0)-MATCH($F$1,enemy_skill_triggers!$1:$1,0)+1,FALSE)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7" s="48">
        <f ca="1">VLOOKUP($F207,OFFSET(enemy_skill_triggers!$A$1,0,0,COUNTA(enemy_skill_triggers!$A:$A),MATCH(M$1,enemy_skill_triggers!$1:$1,0)-MATCH($F$1,enemy_skill_triggers!$1:$1,0)+1),MATCH(M$1,enemy_skill_triggers!$1:$1,0)-MATCH($F$1,enemy_skill_triggers!$1:$1,0)+1,FALSE)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7" s="48">
        <f ca="1">VLOOKUP($F207,OFFSET(enemy_skill_triggers!$A$1,0,0,COUNTA(enemy_skill_triggers!$A:$A),MATCH(N$1,enemy_skill_triggers!$1:$1,0)-MATCH($F$1,enemy_skill_triggers!$1:$1,0)+1),MATCH(N$1,enemy_skill_triggers!$1:$1,0)-MATCH($F$1,enemy_skill_triggers!$1:$1,0)+1,FALSE)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207" s="48">
        <f ca="1">VLOOKUP($F207,OFFSET(enemy_skill_triggers!$A$1,0,0,COUNTA(enemy_skill_triggers!$A:$A),MATCH(O$1,enemy_skill_triggers!$1:$1,0)-MATCH($F$1,enemy_skill_triggers!$1:$1,0)+1),MATCH(O$1,enemy_skill_triggers!$1:$1,0)-MATCH($F$1,enemy_skill_triggers!$1:$1,0)+1,FALSE)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7" s="47"/>
      <c r="Q207" s="47"/>
      <c r="R207" s="47"/>
    </row>
    <row r="208" spans="1:18" ht="21" customHeight="1" x14ac:dyDescent="0.15">
      <c r="A208" s="39" t="str">
        <f t="shared" si="10"/>
        <v>47003620_47003624</v>
      </c>
      <c r="B208" s="48">
        <v>47003620</v>
      </c>
      <c r="C208" s="48">
        <v>47003624</v>
      </c>
      <c r="D208" s="46" t="str">
        <f ca="1">VLOOKUP($C208,OFFSET(enemy_skills!$A$1,0,0,COUNTA(enemy_skills!$A:$A),MATCH(D$1,enemy_skills!$1:$1,0)-MATCH("enemy_skill_id",enemy_skills!$1:$1,0)+1),MATCH(D$1,enemy_skills!$1:$1,0)-MATCH("enemy_skill_id",enemy_skills!$1:$1,0)+1,FALSE)</f>
        <v>ガビッッ！？ビ…</v>
      </c>
      <c r="E208" s="46" t="str">
        <f ca="1">VLOOKUP($C208,OFFSET(enemy_skills!$A$1,0,0,COUNTA(enemy_skills!$A:$A),MATCH(E$1,enemy_skills!$1:$1,0)-MATCH("enemy_skill_id",enemy_skills!$1:$1,0)+1),MATCH(E$1,enemy_skills!$1:$1,0)-MATCH("enemy_skill_id",enemy_skills!$1:$1,0)+1,FALSE)</f>
        <v>種族デーモンのボムの爆風を20%UP</v>
      </c>
      <c r="F208" s="48">
        <v>47003625</v>
      </c>
      <c r="G208" s="48">
        <f ca="1">VLOOKUP($F208,OFFSET(enemy_skill_triggers!$A$1,0,0,COUNTA(enemy_skill_triggers!$A:$A),MATCH(G$1,enemy_skill_triggers!$1:$1,0)-MATCH($F$1,enemy_skill_triggers!$1:$1,0)+1),MATCH(G$1,enemy_skill_triggers!$1:$1,0)-MATCH($F$1,enemy_skill_triggers!$1:$1,0)+1,FALSE)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8" s="48">
        <f ca="1">VLOOKUP($F208,OFFSET(enemy_skill_triggers!$A$1,0,0,COUNTA(enemy_skill_triggers!$A:$A),MATCH(H$1,enemy_skill_triggers!$1:$1,0)-MATCH($F$1,enemy_skill_triggers!$1:$1,0)+1),MATCH(H$1,enemy_skill_triggers!$1:$1,0)-MATCH($F$1,enemy_skill_triggers!$1:$1,0)+1,FALSE)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08" s="48">
        <f ca="1">VLOOKUP($F208,OFFSET(enemy_skill_triggers!$A$1,0,0,COUNTA(enemy_skill_triggers!$A:$A),MATCH(I$1,enemy_skill_triggers!$1:$1,0)-MATCH($F$1,enemy_skill_triggers!$1:$1,0)+1),MATCH(I$1,enemy_skill_triggers!$1:$1,0)-MATCH($F$1,enemy_skill_triggers!$1:$1,0)+1,FALSE)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8" s="48" t="str">
        <f ca="1">VLOOKUP($F208,OFFSET(enemy_skill_triggers!$A$1,0,0,COUNTA(enemy_skill_triggers!$A:$A),MATCH(J$1,enemy_skill_triggers!$1:$1,0)-MATCH($F$1,enemy_skill_triggers!$1:$1,0)+1),MATCH(J$1,enemy_skill_triggers!$1:$1,0)-MATCH($F$1,enemy_skill_triggers!$1:$1,0)+1,FALSE)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8" s="48" t="str">
        <f ca="1">VLOOKUP($F208,OFFSET(enemy_skill_triggers!$A$1,0,0,COUNTA(enemy_skill_triggers!$A:$A),MATCH(K$1,enemy_skill_triggers!$1:$1,0)-MATCH($F$1,enemy_skill_triggers!$1:$1,0)+1),MATCH(K$1,enemy_skill_triggers!$1:$1,0)-MATCH($F$1,enemy_skill_triggers!$1:$1,0)+1,FALSE)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8" s="48">
        <f ca="1">VLOOKUP($F208,OFFSET(enemy_skill_triggers!$A$1,0,0,COUNTA(enemy_skill_triggers!$A:$A),MATCH(L$1,enemy_skill_triggers!$1:$1,0)-MATCH($F$1,enemy_skill_triggers!$1:$1,0)+1),MATCH(L$1,enemy_skill_triggers!$1:$1,0)-MATCH($F$1,enemy_skill_triggers!$1:$1,0)+1,FALSE)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8" s="48">
        <f ca="1">VLOOKUP($F208,OFFSET(enemy_skill_triggers!$A$1,0,0,COUNTA(enemy_skill_triggers!$A:$A),MATCH(M$1,enemy_skill_triggers!$1:$1,0)-MATCH($F$1,enemy_skill_triggers!$1:$1,0)+1),MATCH(M$1,enemy_skill_triggers!$1:$1,0)-MATCH($F$1,enemy_skill_triggers!$1:$1,0)+1,FALSE)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8" s="48">
        <f ca="1">VLOOKUP($F208,OFFSET(enemy_skill_triggers!$A$1,0,0,COUNTA(enemy_skill_triggers!$A:$A),MATCH(N$1,enemy_skill_triggers!$1:$1,0)-MATCH($F$1,enemy_skill_triggers!$1:$1,0)+1),MATCH(N$1,enemy_skill_triggers!$1:$1,0)-MATCH($F$1,enemy_skill_triggers!$1:$1,0)+1,FALSE)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208" s="48">
        <f ca="1">VLOOKUP($F208,OFFSET(enemy_skill_triggers!$A$1,0,0,COUNTA(enemy_skill_triggers!$A:$A),MATCH(O$1,enemy_skill_triggers!$1:$1,0)-MATCH($F$1,enemy_skill_triggers!$1:$1,0)+1),MATCH(O$1,enemy_skill_triggers!$1:$1,0)-MATCH($F$1,enemy_skill_triggers!$1:$1,0)+1,FALSE)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8" s="47"/>
      <c r="Q208" s="47"/>
      <c r="R208" s="47"/>
    </row>
    <row r="209" spans="1:18" ht="21" customHeight="1" x14ac:dyDescent="0.15">
      <c r="A209" s="39" t="str">
        <f t="shared" si="8"/>
        <v>47003630_47003631</v>
      </c>
      <c r="B209" s="123">
        <v>47003630</v>
      </c>
      <c r="C209" s="123">
        <v>47003631</v>
      </c>
      <c r="D209" s="46" t="str">
        <f ca="1">VLOOKUP($C209,OFFSET(enemy_skills!$A$1,0,0,COUNTA(enemy_skills!$A:$A),MATCH(D$1,enemy_skills!$1:$1,0)-MATCH("enemy_skill_id",enemy_skills!$1:$1,0)+1),MATCH(D$1,enemy_skills!$1:$1,0)-MATCH("enemy_skill_id",enemy_skills!$1:$1,0)+1,FALSE)</f>
        <v>とりっくおあとりーと！</v>
      </c>
      <c r="E209" s="46" t="str">
        <f ca="1">VLOOKUP($C209,OFFSET(enemy_skills!$A$1,0,0,COUNTA(enemy_skills!$A:$A),MATCH(E$1,enemy_skills!$1:$1,0)-MATCH("enemy_skill_id",enemy_skills!$1:$1,0)+1),MATCH(E$1,enemy_skills!$1:$1,0)-MATCH("enemy_skill_id",enemy_skills!$1:$1,0)+1,FALSE)</f>
        <v>(表示しない）</v>
      </c>
      <c r="F209" s="123">
        <v>47003631</v>
      </c>
      <c r="G209" s="48">
        <f ca="1">VLOOKUP($F209,OFFSET(enemy_skill_triggers!$A$1,0,0,COUNTA(enemy_skill_triggers!$A:$A),MATCH(G$1,enemy_skill_triggers!$1:$1,0)-MATCH($F$1,enemy_skill_triggers!$1:$1,0)+1),MATCH(G$1,enemy_skill_triggers!$1:$1,0)-MATCH($F$1,enemy_skill_triggers!$1:$1,0)+1,FALSE)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9" s="48">
        <f ca="1">VLOOKUP($F209,OFFSET(enemy_skill_triggers!$A$1,0,0,COUNTA(enemy_skill_triggers!$A:$A),MATCH(H$1,enemy_skill_triggers!$1:$1,0)-MATCH($F$1,enemy_skill_triggers!$1:$1,0)+1),MATCH(H$1,enemy_skill_triggers!$1:$1,0)-MATCH($F$1,enemy_skill_triggers!$1:$1,0)+1,FALSE)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09" s="48">
        <f ca="1">VLOOKUP($F209,OFFSET(enemy_skill_triggers!$A$1,0,0,COUNTA(enemy_skill_triggers!$A:$A),MATCH(I$1,enemy_skill_triggers!$1:$1,0)-MATCH($F$1,enemy_skill_triggers!$1:$1,0)+1),MATCH(I$1,enemy_skill_triggers!$1:$1,0)-MATCH($F$1,enemy_skill_triggers!$1:$1,0)+1,FALSE)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9" s="48" t="str">
        <f ca="1">VLOOKUP($F209,OFFSET(enemy_skill_triggers!$A$1,0,0,COUNTA(enemy_skill_triggers!$A:$A),MATCH(J$1,enemy_skill_triggers!$1:$1,0)-MATCH($F$1,enemy_skill_triggers!$1:$1,0)+1),MATCH(J$1,enemy_skill_triggers!$1:$1,0)-MATCH($F$1,enemy_skill_triggers!$1:$1,0)+1,FALSE)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9" s="48" t="str">
        <f ca="1">VLOOKUP($F209,OFFSET(enemy_skill_triggers!$A$1,0,0,COUNTA(enemy_skill_triggers!$A:$A),MATCH(K$1,enemy_skill_triggers!$1:$1,0)-MATCH($F$1,enemy_skill_triggers!$1:$1,0)+1),MATCH(K$1,enemy_skill_triggers!$1:$1,0)-MATCH($F$1,enemy_skill_triggers!$1:$1,0)+1,FALSE)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9" s="48">
        <f ca="1">VLOOKUP($F209,OFFSET(enemy_skill_triggers!$A$1,0,0,COUNTA(enemy_skill_triggers!$A:$A),MATCH(L$1,enemy_skill_triggers!$1:$1,0)-MATCH($F$1,enemy_skill_triggers!$1:$1,0)+1),MATCH(L$1,enemy_skill_triggers!$1:$1,0)-MATCH($F$1,enemy_skill_triggers!$1:$1,0)+1,FALSE)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9" s="48">
        <f ca="1">VLOOKUP($F209,OFFSET(enemy_skill_triggers!$A$1,0,0,COUNTA(enemy_skill_triggers!$A:$A),MATCH(M$1,enemy_skill_triggers!$1:$1,0)-MATCH($F$1,enemy_skill_triggers!$1:$1,0)+1),MATCH(M$1,enemy_skill_triggers!$1:$1,0)-MATCH($F$1,enemy_skill_triggers!$1:$1,0)+1,FALSE)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9" s="48" t="str">
        <f ca="1">VLOOKUP($F209,OFFSET(enemy_skill_triggers!$A$1,0,0,COUNTA(enemy_skill_triggers!$A:$A),MATCH(N$1,enemy_skill_triggers!$1:$1,0)-MATCH($F$1,enemy_skill_triggers!$1:$1,0)+1),MATCH(N$1,enemy_skill_triggers!$1:$1,0)-MATCH($F$1,enemy_skill_triggers!$1:$1,0)+1,FALSE)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9" s="48">
        <f ca="1">VLOOKUP($F209,OFFSET(enemy_skill_triggers!$A$1,0,0,COUNTA(enemy_skill_triggers!$A:$A),MATCH(O$1,enemy_skill_triggers!$1:$1,0)-MATCH($F$1,enemy_skill_triggers!$1:$1,0)+1),MATCH(O$1,enemy_skill_triggers!$1:$1,0)-MATCH($F$1,enemy_skill_triggers!$1:$1,0)+1,FALSE)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9" s="47"/>
      <c r="Q209" s="47"/>
      <c r="R209" s="47"/>
    </row>
    <row r="210" spans="1:18" ht="21" customHeight="1" x14ac:dyDescent="0.15">
      <c r="A210" s="39" t="str">
        <f t="shared" ref="A210:A213" si="11">B210&amp;"_"&amp;C210</f>
        <v>47003630_47003632</v>
      </c>
      <c r="B210" s="123">
        <v>47003630</v>
      </c>
      <c r="C210" s="123">
        <v>47003632</v>
      </c>
      <c r="D210" s="46" t="str">
        <f ca="1">VLOOKUP($C210,OFFSET(enemy_skills!$A$1,0,0,COUNTA(enemy_skills!$A:$A),MATCH(D$1,enemy_skills!$1:$1,0)-MATCH("enemy_skill_id",enemy_skills!$1:$1,0)+1),MATCH(D$1,enemy_skills!$1:$1,0)-MATCH("enemy_skill_id",enemy_skills!$1:$1,0)+1,FALSE)</f>
        <v>まじょさん！_x000D_そのぼうしいいなー！</v>
      </c>
      <c r="E210" s="46" t="str">
        <f ca="1">VLOOKUP($C210,OFFSET(enemy_skills!$A$1,0,0,COUNTA(enemy_skills!$A:$A),MATCH(E$1,enemy_skills!$1:$1,0)-MATCH("enemy_skill_id",enemy_skills!$1:$1,0)+1),MATCH(E$1,enemy_skills!$1:$1,0)-MATCH("enemy_skill_id",enemy_skills!$1:$1,0)+1,FALSE)</f>
        <v>全ユニットのスキルゲージを6ターン減少</v>
      </c>
      <c r="F210" s="123">
        <v>47003632</v>
      </c>
      <c r="G210" s="48">
        <f ca="1">VLOOKUP($F210,OFFSET(enemy_skill_triggers!$A$1,0,0,COUNTA(enemy_skill_triggers!$A:$A),MATCH(G$1,enemy_skill_triggers!$1:$1,0)-MATCH($F$1,enemy_skill_triggers!$1:$1,0)+1),MATCH(G$1,enemy_skill_triggers!$1:$1,0)-MATCH($F$1,enemy_skill_triggers!$1:$1,0)+1,FALSE)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0" s="48">
        <f ca="1">VLOOKUP($F210,OFFSET(enemy_skill_triggers!$A$1,0,0,COUNTA(enemy_skill_triggers!$A:$A),MATCH(H$1,enemy_skill_triggers!$1:$1,0)-MATCH($F$1,enemy_skill_triggers!$1:$1,0)+1),MATCH(H$1,enemy_skill_triggers!$1:$1,0)-MATCH($F$1,enemy_skill_triggers!$1:$1,0)+1,FALSE)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210" s="48">
        <f ca="1">VLOOKUP($F210,OFFSET(enemy_skill_triggers!$A$1,0,0,COUNTA(enemy_skill_triggers!$A:$A),MATCH(I$1,enemy_skill_triggers!$1:$1,0)-MATCH($F$1,enemy_skill_triggers!$1:$1,0)+1),MATCH(I$1,enemy_skill_triggers!$1:$1,0)-MATCH($F$1,enemy_skill_triggers!$1:$1,0)+1,FALSE)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0" s="48" t="str">
        <f ca="1">VLOOKUP($F210,OFFSET(enemy_skill_triggers!$A$1,0,0,COUNTA(enemy_skill_triggers!$A:$A),MATCH(J$1,enemy_skill_triggers!$1:$1,0)-MATCH($F$1,enemy_skill_triggers!$1:$1,0)+1),MATCH(J$1,enemy_skill_triggers!$1:$1,0)-MATCH($F$1,enemy_skill_triggers!$1:$1,0)+1,FALSE)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0" s="48" t="str">
        <f ca="1">VLOOKUP($F210,OFFSET(enemy_skill_triggers!$A$1,0,0,COUNTA(enemy_skill_triggers!$A:$A),MATCH(K$1,enemy_skill_triggers!$1:$1,0)-MATCH($F$1,enemy_skill_triggers!$1:$1,0)+1),MATCH(K$1,enemy_skill_triggers!$1:$1,0)-MATCH($F$1,enemy_skill_triggers!$1:$1,0)+1,FALSE)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0" s="48">
        <f ca="1">VLOOKUP($F210,OFFSET(enemy_skill_triggers!$A$1,0,0,COUNTA(enemy_skill_triggers!$A:$A),MATCH(L$1,enemy_skill_triggers!$1:$1,0)-MATCH($F$1,enemy_skill_triggers!$1:$1,0)+1),MATCH(L$1,enemy_skill_triggers!$1:$1,0)-MATCH($F$1,enemy_skill_triggers!$1:$1,0)+1,FALSE)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0" s="48">
        <f ca="1">VLOOKUP($F210,OFFSET(enemy_skill_triggers!$A$1,0,0,COUNTA(enemy_skill_triggers!$A:$A),MATCH(M$1,enemy_skill_triggers!$1:$1,0)-MATCH($F$1,enemy_skill_triggers!$1:$1,0)+1),MATCH(M$1,enemy_skill_triggers!$1:$1,0)-MATCH($F$1,enemy_skill_triggers!$1:$1,0)+1,FALSE)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0" s="48">
        <f ca="1">VLOOKUP($F210,OFFSET(enemy_skill_triggers!$A$1,0,0,COUNTA(enemy_skill_triggers!$A:$A),MATCH(N$1,enemy_skill_triggers!$1:$1,0)-MATCH($F$1,enemy_skill_triggers!$1:$1,0)+1),MATCH(N$1,enemy_skill_triggers!$1:$1,0)-MATCH($F$1,enemy_skill_triggers!$1:$1,0)+1,FALSE)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210" s="48">
        <f ca="1">VLOOKUP($F210,OFFSET(enemy_skill_triggers!$A$1,0,0,COUNTA(enemy_skill_triggers!$A:$A),MATCH(O$1,enemy_skill_triggers!$1:$1,0)-MATCH($F$1,enemy_skill_triggers!$1:$1,0)+1),MATCH(O$1,enemy_skill_triggers!$1:$1,0)-MATCH($F$1,enemy_skill_triggers!$1:$1,0)+1,FALSE)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0" s="47"/>
      <c r="Q210" s="47"/>
      <c r="R210" s="47"/>
    </row>
    <row r="211" spans="1:18" ht="21" customHeight="1" x14ac:dyDescent="0.15">
      <c r="A211" s="39" t="str">
        <f t="shared" si="11"/>
        <v>47003630_47003632</v>
      </c>
      <c r="B211" s="123">
        <v>47003630</v>
      </c>
      <c r="C211" s="123">
        <v>47003632</v>
      </c>
      <c r="D211" s="46" t="str">
        <f ca="1">VLOOKUP($C211,OFFSET(enemy_skills!$A$1,0,0,COUNTA(enemy_skills!$A:$A),MATCH(D$1,enemy_skills!$1:$1,0)-MATCH("enemy_skill_id",enemy_skills!$1:$1,0)+1),MATCH(D$1,enemy_skills!$1:$1,0)-MATCH("enemy_skill_id",enemy_skills!$1:$1,0)+1,FALSE)</f>
        <v>まじょさん！_x000D_そのぼうしいいなー！</v>
      </c>
      <c r="E211" s="46" t="str">
        <f ca="1">VLOOKUP($C211,OFFSET(enemy_skills!$A$1,0,0,COUNTA(enemy_skills!$A:$A),MATCH(E$1,enemy_skills!$1:$1,0)-MATCH("enemy_skill_id",enemy_skills!$1:$1,0)+1),MATCH(E$1,enemy_skills!$1:$1,0)-MATCH("enemy_skill_id",enemy_skills!$1:$1,0)+1,FALSE)</f>
        <v>全ユニットのスキルゲージを6ターン減少</v>
      </c>
      <c r="F211" s="123">
        <v>47003633</v>
      </c>
      <c r="G211" s="48">
        <f ca="1">VLOOKUP($F211,OFFSET(enemy_skill_triggers!$A$1,0,0,COUNTA(enemy_skill_triggers!$A:$A),MATCH(G$1,enemy_skill_triggers!$1:$1,0)-MATCH($F$1,enemy_skill_triggers!$1:$1,0)+1),MATCH(G$1,enemy_skill_triggers!$1:$1,0)-MATCH($F$1,enemy_skill_triggers!$1:$1,0)+1,FALSE)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1" s="48">
        <f ca="1">VLOOKUP($F211,OFFSET(enemy_skill_triggers!$A$1,0,0,COUNTA(enemy_skill_triggers!$A:$A),MATCH(H$1,enemy_skill_triggers!$1:$1,0)-MATCH($F$1,enemy_skill_triggers!$1:$1,0)+1),MATCH(H$1,enemy_skill_triggers!$1:$1,0)-MATCH($F$1,enemy_skill_triggers!$1:$1,0)+1,FALSE)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11" s="48">
        <f ca="1">VLOOKUP($F211,OFFSET(enemy_skill_triggers!$A$1,0,0,COUNTA(enemy_skill_triggers!$A:$A),MATCH(I$1,enemy_skill_triggers!$1:$1,0)-MATCH($F$1,enemy_skill_triggers!$1:$1,0)+1),MATCH(I$1,enemy_skill_triggers!$1:$1,0)-MATCH($F$1,enemy_skill_triggers!$1:$1,0)+1,FALSE)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1" s="48" t="str">
        <f ca="1">VLOOKUP($F211,OFFSET(enemy_skill_triggers!$A$1,0,0,COUNTA(enemy_skill_triggers!$A:$A),MATCH(J$1,enemy_skill_triggers!$1:$1,0)-MATCH($F$1,enemy_skill_triggers!$1:$1,0)+1),MATCH(J$1,enemy_skill_triggers!$1:$1,0)-MATCH($F$1,enemy_skill_triggers!$1:$1,0)+1,FALSE)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1" s="48" t="str">
        <f ca="1">VLOOKUP($F211,OFFSET(enemy_skill_triggers!$A$1,0,0,COUNTA(enemy_skill_triggers!$A:$A),MATCH(K$1,enemy_skill_triggers!$1:$1,0)-MATCH($F$1,enemy_skill_triggers!$1:$1,0)+1),MATCH(K$1,enemy_skill_triggers!$1:$1,0)-MATCH($F$1,enemy_skill_triggers!$1:$1,0)+1,FALSE)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1" s="48">
        <f ca="1">VLOOKUP($F211,OFFSET(enemy_skill_triggers!$A$1,0,0,COUNTA(enemy_skill_triggers!$A:$A),MATCH(L$1,enemy_skill_triggers!$1:$1,0)-MATCH($F$1,enemy_skill_triggers!$1:$1,0)+1),MATCH(L$1,enemy_skill_triggers!$1:$1,0)-MATCH($F$1,enemy_skill_triggers!$1:$1,0)+1,FALSE)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1" s="48">
        <f ca="1">VLOOKUP($F211,OFFSET(enemy_skill_triggers!$A$1,0,0,COUNTA(enemy_skill_triggers!$A:$A),MATCH(M$1,enemy_skill_triggers!$1:$1,0)-MATCH($F$1,enemy_skill_triggers!$1:$1,0)+1),MATCH(M$1,enemy_skill_triggers!$1:$1,0)-MATCH($F$1,enemy_skill_triggers!$1:$1,0)+1,FALSE)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1" s="48">
        <f ca="1">VLOOKUP($F211,OFFSET(enemy_skill_triggers!$A$1,0,0,COUNTA(enemy_skill_triggers!$A:$A),MATCH(N$1,enemy_skill_triggers!$1:$1,0)-MATCH($F$1,enemy_skill_triggers!$1:$1,0)+1),MATCH(N$1,enemy_skill_triggers!$1:$1,0)-MATCH($F$1,enemy_skill_triggers!$1:$1,0)+1,FALSE)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211" s="48">
        <f ca="1">VLOOKUP($F211,OFFSET(enemy_skill_triggers!$A$1,0,0,COUNTA(enemy_skill_triggers!$A:$A),MATCH(O$1,enemy_skill_triggers!$1:$1,0)-MATCH($F$1,enemy_skill_triggers!$1:$1,0)+1),MATCH(O$1,enemy_skill_triggers!$1:$1,0)-MATCH($F$1,enemy_skill_triggers!$1:$1,0)+1,FALSE)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1" s="47"/>
      <c r="Q211" s="47"/>
      <c r="R211" s="47"/>
    </row>
    <row r="212" spans="1:18" ht="21" customHeight="1" x14ac:dyDescent="0.15">
      <c r="A212" s="39" t="str">
        <f t="shared" si="11"/>
        <v>47003630_47003633</v>
      </c>
      <c r="B212" s="123">
        <v>47003630</v>
      </c>
      <c r="C212" s="123">
        <v>47003633</v>
      </c>
      <c r="D212" s="46" t="str">
        <f ca="1">VLOOKUP($C212,OFFSET(enemy_skills!$A$1,0,0,COUNTA(enemy_skills!$A:$A),MATCH(D$1,enemy_skills!$1:$1,0)-MATCH("enemy_skill_id",enemy_skills!$1:$1,0)+1),MATCH(D$1,enemy_skills!$1:$1,0)-MATCH("enemy_skill_id",enemy_skills!$1:$1,0)+1,FALSE)</f>
        <v>わー！らぷんつぇるも_x000D_わんちゃんもにあってるね！</v>
      </c>
      <c r="E212" s="46" t="str">
        <f ca="1">VLOOKUP($C212,OFFSET(enemy_skills!$A$1,0,0,COUNTA(enemy_skills!$A:$A),MATCH(E$1,enemy_skills!$1:$1,0)-MATCH("enemy_skill_id",enemy_skills!$1:$1,0)+1),MATCH(E$1,enemy_skills!$1:$1,0)-MATCH("enemy_skill_id",enemy_skills!$1:$1,0)+1,FALSE)</f>
        <v>(表示しない）</v>
      </c>
      <c r="F212" s="123">
        <v>47003634</v>
      </c>
      <c r="G212" s="48">
        <f ca="1">VLOOKUP($F212,OFFSET(enemy_skill_triggers!$A$1,0,0,COUNTA(enemy_skill_triggers!$A:$A),MATCH(G$1,enemy_skill_triggers!$1:$1,0)-MATCH($F$1,enemy_skill_triggers!$1:$1,0)+1),MATCH(G$1,enemy_skill_triggers!$1:$1,0)-MATCH($F$1,enemy_skill_triggers!$1:$1,0)+1,FALSE)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2" s="48">
        <f ca="1">VLOOKUP($F212,OFFSET(enemy_skill_triggers!$A$1,0,0,COUNTA(enemy_skill_triggers!$A:$A),MATCH(H$1,enemy_skill_triggers!$1:$1,0)-MATCH($F$1,enemy_skill_triggers!$1:$1,0)+1),MATCH(H$1,enemy_skill_triggers!$1:$1,0)-MATCH($F$1,enemy_skill_triggers!$1:$1,0)+1,FALSE)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12" s="48">
        <f ca="1">VLOOKUP($F212,OFFSET(enemy_skill_triggers!$A$1,0,0,COUNTA(enemy_skill_triggers!$A:$A),MATCH(I$1,enemy_skill_triggers!$1:$1,0)-MATCH($F$1,enemy_skill_triggers!$1:$1,0)+1),MATCH(I$1,enemy_skill_triggers!$1:$1,0)-MATCH($F$1,enemy_skill_triggers!$1:$1,0)+1,FALSE)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2" s="48" t="str">
        <f ca="1">VLOOKUP($F212,OFFSET(enemy_skill_triggers!$A$1,0,0,COUNTA(enemy_skill_triggers!$A:$A),MATCH(J$1,enemy_skill_triggers!$1:$1,0)-MATCH($F$1,enemy_skill_triggers!$1:$1,0)+1),MATCH(J$1,enemy_skill_triggers!$1:$1,0)-MATCH($F$1,enemy_skill_triggers!$1:$1,0)+1,FALSE)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2" s="48" t="str">
        <f ca="1">VLOOKUP($F212,OFFSET(enemy_skill_triggers!$A$1,0,0,COUNTA(enemy_skill_triggers!$A:$A),MATCH(K$1,enemy_skill_triggers!$1:$1,0)-MATCH($F$1,enemy_skill_triggers!$1:$1,0)+1),MATCH(K$1,enemy_skill_triggers!$1:$1,0)-MATCH($F$1,enemy_skill_triggers!$1:$1,0)+1,FALSE)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2" s="48">
        <f ca="1">VLOOKUP($F212,OFFSET(enemy_skill_triggers!$A$1,0,0,COUNTA(enemy_skill_triggers!$A:$A),MATCH(L$1,enemy_skill_triggers!$1:$1,0)-MATCH($F$1,enemy_skill_triggers!$1:$1,0)+1),MATCH(L$1,enemy_skill_triggers!$1:$1,0)-MATCH($F$1,enemy_skill_triggers!$1:$1,0)+1,FALSE)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2" s="48">
        <f ca="1">VLOOKUP($F212,OFFSET(enemy_skill_triggers!$A$1,0,0,COUNTA(enemy_skill_triggers!$A:$A),MATCH(M$1,enemy_skill_triggers!$1:$1,0)-MATCH($F$1,enemy_skill_triggers!$1:$1,0)+1),MATCH(M$1,enemy_skill_triggers!$1:$1,0)-MATCH($F$1,enemy_skill_triggers!$1:$1,0)+1,FALSE)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2" s="48">
        <f ca="1">VLOOKUP($F212,OFFSET(enemy_skill_triggers!$A$1,0,0,COUNTA(enemy_skill_triggers!$A:$A),MATCH(N$1,enemy_skill_triggers!$1:$1,0)-MATCH($F$1,enemy_skill_triggers!$1:$1,0)+1),MATCH(N$1,enemy_skill_triggers!$1:$1,0)-MATCH($F$1,enemy_skill_triggers!$1:$1,0)+1,FALSE)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212" s="48">
        <f ca="1">VLOOKUP($F212,OFFSET(enemy_skill_triggers!$A$1,0,0,COUNTA(enemy_skill_triggers!$A:$A),MATCH(O$1,enemy_skill_triggers!$1:$1,0)-MATCH($F$1,enemy_skill_triggers!$1:$1,0)+1),MATCH(O$1,enemy_skill_triggers!$1:$1,0)-MATCH($F$1,enemy_skill_triggers!$1:$1,0)+1,FALSE)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2" s="47"/>
      <c r="Q212" s="47"/>
      <c r="R212" s="47"/>
    </row>
    <row r="213" spans="1:18" ht="21" customHeight="1" x14ac:dyDescent="0.15">
      <c r="A213" s="39" t="str">
        <f t="shared" si="11"/>
        <v>47003630_47003634</v>
      </c>
      <c r="B213" s="123">
        <v>47003630</v>
      </c>
      <c r="C213" s="123">
        <v>47003634</v>
      </c>
      <c r="D213" s="46" t="str">
        <f ca="1">VLOOKUP($C213,OFFSET(enemy_skills!$A$1,0,0,COUNTA(enemy_skills!$A:$A),MATCH(D$1,enemy_skills!$1:$1,0)-MATCH("enemy_skill_id",enemy_skills!$1:$1,0)+1),MATCH(D$1,enemy_skills!$1:$1,0)-MATCH("enemy_skill_id",enemy_skills!$1:$1,0)+1,FALSE)</f>
        <v>ばんぱいあかっこいいなぁ〜！</v>
      </c>
      <c r="E213" s="46" t="str">
        <f ca="1">VLOOKUP($C213,OFFSET(enemy_skills!$A$1,0,0,COUNTA(enemy_skills!$A:$A),MATCH(E$1,enemy_skills!$1:$1,0)-MATCH("enemy_skill_id",enemy_skills!$1:$1,0)+1),MATCH(E$1,enemy_skills!$1:$1,0)-MATCH("enemy_skill_id",enemy_skills!$1:$1,0)+1,FALSE)</f>
        <v>(表示しない）</v>
      </c>
      <c r="F213" s="123">
        <v>47003635</v>
      </c>
      <c r="G213" s="48">
        <f ca="1">VLOOKUP($F213,OFFSET(enemy_skill_triggers!$A$1,0,0,COUNTA(enemy_skill_triggers!$A:$A),MATCH(G$1,enemy_skill_triggers!$1:$1,0)-MATCH($F$1,enemy_skill_triggers!$1:$1,0)+1),MATCH(G$1,enemy_skill_triggers!$1:$1,0)-MATCH($F$1,enemy_skill_triggers!$1:$1,0)+1,FALSE)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3" s="48">
        <f ca="1">VLOOKUP($F213,OFFSET(enemy_skill_triggers!$A$1,0,0,COUNTA(enemy_skill_triggers!$A:$A),MATCH(H$1,enemy_skill_triggers!$1:$1,0)-MATCH($F$1,enemy_skill_triggers!$1:$1,0)+1),MATCH(H$1,enemy_skill_triggers!$1:$1,0)-MATCH($F$1,enemy_skill_triggers!$1:$1,0)+1,FALSE)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13" s="48">
        <f ca="1">VLOOKUP($F213,OFFSET(enemy_skill_triggers!$A$1,0,0,COUNTA(enemy_skill_triggers!$A:$A),MATCH(I$1,enemy_skill_triggers!$1:$1,0)-MATCH($F$1,enemy_skill_triggers!$1:$1,0)+1),MATCH(I$1,enemy_skill_triggers!$1:$1,0)-MATCH($F$1,enemy_skill_triggers!$1:$1,0)+1,FALSE)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3" s="48" t="str">
        <f ca="1">VLOOKUP($F213,OFFSET(enemy_skill_triggers!$A$1,0,0,COUNTA(enemy_skill_triggers!$A:$A),MATCH(J$1,enemy_skill_triggers!$1:$1,0)-MATCH($F$1,enemy_skill_triggers!$1:$1,0)+1),MATCH(J$1,enemy_skill_triggers!$1:$1,0)-MATCH($F$1,enemy_skill_triggers!$1:$1,0)+1,FALSE)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3" s="48" t="str">
        <f ca="1">VLOOKUP($F213,OFFSET(enemy_skill_triggers!$A$1,0,0,COUNTA(enemy_skill_triggers!$A:$A),MATCH(K$1,enemy_skill_triggers!$1:$1,0)-MATCH($F$1,enemy_skill_triggers!$1:$1,0)+1),MATCH(K$1,enemy_skill_triggers!$1:$1,0)-MATCH($F$1,enemy_skill_triggers!$1:$1,0)+1,FALSE)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3" s="48">
        <f ca="1">VLOOKUP($F213,OFFSET(enemy_skill_triggers!$A$1,0,0,COUNTA(enemy_skill_triggers!$A:$A),MATCH(L$1,enemy_skill_triggers!$1:$1,0)-MATCH($F$1,enemy_skill_triggers!$1:$1,0)+1),MATCH(L$1,enemy_skill_triggers!$1:$1,0)-MATCH($F$1,enemy_skill_triggers!$1:$1,0)+1,FALSE)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3" s="48">
        <f ca="1">VLOOKUP($F213,OFFSET(enemy_skill_triggers!$A$1,0,0,COUNTA(enemy_skill_triggers!$A:$A),MATCH(M$1,enemy_skill_triggers!$1:$1,0)-MATCH($F$1,enemy_skill_triggers!$1:$1,0)+1),MATCH(M$1,enemy_skill_triggers!$1:$1,0)-MATCH($F$1,enemy_skill_triggers!$1:$1,0)+1,FALSE)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3" s="48">
        <f ca="1">VLOOKUP($F213,OFFSET(enemy_skill_triggers!$A$1,0,0,COUNTA(enemy_skill_triggers!$A:$A),MATCH(N$1,enemy_skill_triggers!$1:$1,0)-MATCH($F$1,enemy_skill_triggers!$1:$1,0)+1),MATCH(N$1,enemy_skill_triggers!$1:$1,0)-MATCH($F$1,enemy_skill_triggers!$1:$1,0)+1,FALSE)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213" s="48">
        <f ca="1">VLOOKUP($F213,OFFSET(enemy_skill_triggers!$A$1,0,0,COUNTA(enemy_skill_triggers!$A:$A),MATCH(O$1,enemy_skill_triggers!$1:$1,0)-MATCH($F$1,enemy_skill_triggers!$1:$1,0)+1),MATCH(O$1,enemy_skill_triggers!$1:$1,0)-MATCH($F$1,enemy_skill_triggers!$1:$1,0)+1,FALSE)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3" s="47"/>
      <c r="Q213" s="47"/>
      <c r="R213" s="47"/>
    </row>
    <row r="214" spans="1:18" ht="21" customHeight="1" x14ac:dyDescent="0.15">
      <c r="A214" s="39" t="str">
        <f t="shared" si="8"/>
        <v>47003650_47003651</v>
      </c>
      <c r="B214" s="47">
        <v>47003650</v>
      </c>
      <c r="C214" s="47">
        <v>47003651</v>
      </c>
      <c r="D214" s="46" t="str">
        <f ca="1">VLOOKUP($C214,OFFSET(enemy_skills!$A$1,0,0,COUNTA(enemy_skills!$A:$A),MATCH(D$1,enemy_skills!$1:$1,0)-MATCH("enemy_skill_id",enemy_skills!$1:$1,0)+1),MATCH(D$1,enemy_skills!$1:$1,0)-MATCH("enemy_skill_id",enemy_skills!$1:$1,0)+1,FALSE)</f>
        <v>お菓子ですか…えーと…</v>
      </c>
      <c r="E214" s="46" t="str">
        <f ca="1">VLOOKUP($C214,OFFSET(enemy_skills!$A$1,0,0,COUNTA(enemy_skills!$A:$A),MATCH(E$1,enemy_skills!$1:$1,0)-MATCH("enemy_skill_id",enemy_skills!$1:$1,0)+1),MATCH(E$1,enemy_skills!$1:$1,0)-MATCH("enemy_skill_id",enemy_skills!$1:$1,0)+1,FALSE)</f>
        <v>…はっ！　いえっ、なんでもないですぅ！</v>
      </c>
      <c r="F214" s="47">
        <v>47003651</v>
      </c>
      <c r="G214" s="48">
        <f ca="1">VLOOKUP($F214,OFFSET(enemy_skill_triggers!$A$1,0,0,COUNTA(enemy_skill_triggers!$A:$A),MATCH(G$1,enemy_skill_triggers!$1:$1,0)-MATCH($F$1,enemy_skill_triggers!$1:$1,0)+1),MATCH(G$1,enemy_skill_triggers!$1:$1,0)-MATCH($F$1,enemy_skill_triggers!$1:$1,0)+1,FALSE)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4" s="48">
        <f ca="1">VLOOKUP($F214,OFFSET(enemy_skill_triggers!$A$1,0,0,COUNTA(enemy_skill_triggers!$A:$A),MATCH(H$1,enemy_skill_triggers!$1:$1,0)-MATCH($F$1,enemy_skill_triggers!$1:$1,0)+1),MATCH(H$1,enemy_skill_triggers!$1:$1,0)-MATCH($F$1,enemy_skill_triggers!$1:$1,0)+1,FALSE)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4" s="48">
        <f ca="1">VLOOKUP($F214,OFFSET(enemy_skill_triggers!$A$1,0,0,COUNTA(enemy_skill_triggers!$A:$A),MATCH(I$1,enemy_skill_triggers!$1:$1,0)-MATCH($F$1,enemy_skill_triggers!$1:$1,0)+1),MATCH(I$1,enemy_skill_triggers!$1:$1,0)-MATCH($F$1,enemy_skill_triggers!$1:$1,0)+1,FALSE)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4" s="48" t="str">
        <f ca="1">VLOOKUP($F214,OFFSET(enemy_skill_triggers!$A$1,0,0,COUNTA(enemy_skill_triggers!$A:$A),MATCH(J$1,enemy_skill_triggers!$1:$1,0)-MATCH($F$1,enemy_skill_triggers!$1:$1,0)+1),MATCH(J$1,enemy_skill_triggers!$1:$1,0)-MATCH($F$1,enemy_skill_triggers!$1:$1,0)+1,FALSE)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4" s="48" t="str">
        <f ca="1">VLOOKUP($F214,OFFSET(enemy_skill_triggers!$A$1,0,0,COUNTA(enemy_skill_triggers!$A:$A),MATCH(K$1,enemy_skill_triggers!$1:$1,0)-MATCH($F$1,enemy_skill_triggers!$1:$1,0)+1),MATCH(K$1,enemy_skill_triggers!$1:$1,0)-MATCH($F$1,enemy_skill_triggers!$1:$1,0)+1,FALSE)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4" s="48">
        <f ca="1">VLOOKUP($F214,OFFSET(enemy_skill_triggers!$A$1,0,0,COUNTA(enemy_skill_triggers!$A:$A),MATCH(L$1,enemy_skill_triggers!$1:$1,0)-MATCH($F$1,enemy_skill_triggers!$1:$1,0)+1),MATCH(L$1,enemy_skill_triggers!$1:$1,0)-MATCH($F$1,enemy_skill_triggers!$1:$1,0)+1,FALSE)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4" s="48" t="str">
        <f ca="1">VLOOKUP($F214,OFFSET(enemy_skill_triggers!$A$1,0,0,COUNTA(enemy_skill_triggers!$A:$A),MATCH(M$1,enemy_skill_triggers!$1:$1,0)-MATCH($F$1,enemy_skill_triggers!$1:$1,0)+1),MATCH(M$1,enemy_skill_triggers!$1:$1,0)-MATCH($F$1,enemy_skill_triggers!$1:$1,0)+1,FALSE)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4" s="48" t="str">
        <f ca="1">VLOOKUP($F214,OFFSET(enemy_skill_triggers!$A$1,0,0,COUNTA(enemy_skill_triggers!$A:$A),MATCH(N$1,enemy_skill_triggers!$1:$1,0)-MATCH($F$1,enemy_skill_triggers!$1:$1,0)+1),MATCH(N$1,enemy_skill_triggers!$1:$1,0)-MATCH($F$1,enemy_skill_triggers!$1:$1,0)+1,FALSE)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4" s="48">
        <f ca="1">VLOOKUP($F214,OFFSET(enemy_skill_triggers!$A$1,0,0,COUNTA(enemy_skill_triggers!$A:$A),MATCH(O$1,enemy_skill_triggers!$1:$1,0)-MATCH($F$1,enemy_skill_triggers!$1:$1,0)+1),MATCH(O$1,enemy_skill_triggers!$1:$1,0)-MATCH($F$1,enemy_skill_triggers!$1:$1,0)+1,FALSE)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4" s="47"/>
      <c r="Q214" s="47"/>
      <c r="R214" s="47"/>
    </row>
    <row r="215" spans="1:18" ht="21" customHeight="1" x14ac:dyDescent="0.15">
      <c r="A215" s="39" t="str">
        <f t="shared" si="8"/>
        <v>47003650_47003652</v>
      </c>
      <c r="B215" s="47">
        <v>47003650</v>
      </c>
      <c r="C215" s="47">
        <v>47003652</v>
      </c>
      <c r="D215" s="46" t="str">
        <f ca="1">VLOOKUP($C215,OFFSET(enemy_skills!$A$1,0,0,COUNTA(enemy_skills!$A:$A),MATCH(D$1,enemy_skills!$1:$1,0)-MATCH("enemy_skill_id",enemy_skills!$1:$1,0)+1),MATCH(D$1,enemy_skills!$1:$1,0)-MATCH("enemy_skill_id",enemy_skills!$1:$1,0)+1,FALSE)</f>
        <v>狼狽するシークレットキーパー</v>
      </c>
      <c r="E215" s="46" t="str">
        <f ca="1">VLOOKUP($C215,OFFSET(enemy_skills!$A$1,0,0,COUNTA(enemy_skills!$A:$A),MATCH(E$1,enemy_skills!$1:$1,0)-MATCH("enemy_skill_id",enemy_skills!$1:$1,0)+1),MATCH(E$1,enemy_skills!$1:$1,0)-MATCH("enemy_skill_id",enemy_skills!$1:$1,0)+1,FALSE)</f>
        <v>ダメージパネルを3個生成+単体攻撃</v>
      </c>
      <c r="F215" s="47">
        <v>47003652</v>
      </c>
      <c r="G215" s="48">
        <f ca="1">VLOOKUP($F215,OFFSET(enemy_skill_triggers!$A$1,0,0,COUNTA(enemy_skill_triggers!$A:$A),MATCH(G$1,enemy_skill_triggers!$1:$1,0)-MATCH($F$1,enemy_skill_triggers!$1:$1,0)+1),MATCH(G$1,enemy_skill_triggers!$1:$1,0)-MATCH($F$1,enemy_skill_triggers!$1:$1,0)+1,FALSE)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5" s="48">
        <f ca="1">VLOOKUP($F215,OFFSET(enemy_skill_triggers!$A$1,0,0,COUNTA(enemy_skill_triggers!$A:$A),MATCH(H$1,enemy_skill_triggers!$1:$1,0)-MATCH($F$1,enemy_skill_triggers!$1:$1,0)+1),MATCH(H$1,enemy_skill_triggers!$1:$1,0)-MATCH($F$1,enemy_skill_triggers!$1:$1,0)+1,FALSE)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15" s="48">
        <f ca="1">VLOOKUP($F215,OFFSET(enemy_skill_triggers!$A$1,0,0,COUNTA(enemy_skill_triggers!$A:$A),MATCH(I$1,enemy_skill_triggers!$1:$1,0)-MATCH($F$1,enemy_skill_triggers!$1:$1,0)+1),MATCH(I$1,enemy_skill_triggers!$1:$1,0)-MATCH($F$1,enemy_skill_triggers!$1:$1,0)+1,FALSE)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5" s="48" t="str">
        <f ca="1">VLOOKUP($F215,OFFSET(enemy_skill_triggers!$A$1,0,0,COUNTA(enemy_skill_triggers!$A:$A),MATCH(J$1,enemy_skill_triggers!$1:$1,0)-MATCH($F$1,enemy_skill_triggers!$1:$1,0)+1),MATCH(J$1,enemy_skill_triggers!$1:$1,0)-MATCH($F$1,enemy_skill_triggers!$1:$1,0)+1,FALSE)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5" s="48" t="str">
        <f ca="1">VLOOKUP($F215,OFFSET(enemy_skill_triggers!$A$1,0,0,COUNTA(enemy_skill_triggers!$A:$A),MATCH(K$1,enemy_skill_triggers!$1:$1,0)-MATCH($F$1,enemy_skill_triggers!$1:$1,0)+1),MATCH(K$1,enemy_skill_triggers!$1:$1,0)-MATCH($F$1,enemy_skill_triggers!$1:$1,0)+1,FALSE)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5" s="48">
        <f ca="1">VLOOKUP($F215,OFFSET(enemy_skill_triggers!$A$1,0,0,COUNTA(enemy_skill_triggers!$A:$A),MATCH(L$1,enemy_skill_triggers!$1:$1,0)-MATCH($F$1,enemy_skill_triggers!$1:$1,0)+1),MATCH(L$1,enemy_skill_triggers!$1:$1,0)-MATCH($F$1,enemy_skill_triggers!$1:$1,0)+1,FALSE)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5" s="48">
        <f ca="1">VLOOKUP($F215,OFFSET(enemy_skill_triggers!$A$1,0,0,COUNTA(enemy_skill_triggers!$A:$A),MATCH(M$1,enemy_skill_triggers!$1:$1,0)-MATCH($F$1,enemy_skill_triggers!$1:$1,0)+1),MATCH(M$1,enemy_skill_triggers!$1:$1,0)-MATCH($F$1,enemy_skill_triggers!$1:$1,0)+1,FALSE)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5" s="48" t="str">
        <f ca="1">VLOOKUP($F215,OFFSET(enemy_skill_triggers!$A$1,0,0,COUNTA(enemy_skill_triggers!$A:$A),MATCH(N$1,enemy_skill_triggers!$1:$1,0)-MATCH($F$1,enemy_skill_triggers!$1:$1,0)+1),MATCH(N$1,enemy_skill_triggers!$1:$1,0)-MATCH($F$1,enemy_skill_triggers!$1:$1,0)+1,FALSE)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5" s="48">
        <f ca="1">VLOOKUP($F215,OFFSET(enemy_skill_triggers!$A$1,0,0,COUNTA(enemy_skill_triggers!$A:$A),MATCH(O$1,enemy_skill_triggers!$1:$1,0)-MATCH($F$1,enemy_skill_triggers!$1:$1,0)+1),MATCH(O$1,enemy_skill_triggers!$1:$1,0)-MATCH($F$1,enemy_skill_triggers!$1:$1,0)+1,FALSE)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5" s="47"/>
      <c r="Q215" s="47"/>
      <c r="R215" s="47"/>
    </row>
    <row r="216" spans="1:18" ht="21" customHeight="1" x14ac:dyDescent="0.15">
      <c r="A216" s="39" t="str">
        <f t="shared" ref="A216" si="12">B216&amp;"_"&amp;C216</f>
        <v>47003650_47003653</v>
      </c>
      <c r="B216" s="47">
        <v>47003650</v>
      </c>
      <c r="C216" s="47">
        <v>47003653</v>
      </c>
      <c r="D216" s="46" t="str">
        <f ca="1">VLOOKUP($C216,OFFSET(enemy_skills!$A$1,0,0,COUNTA(enemy_skills!$A:$A),MATCH(D$1,enemy_skills!$1:$1,0)-MATCH("enemy_skill_id",enemy_skills!$1:$1,0)+1),MATCH(D$1,enemy_skills!$1:$1,0)-MATCH("enemy_skill_id",enemy_skills!$1:$1,0)+1,FALSE)</f>
        <v>クッキー・クラッカー</v>
      </c>
      <c r="E216" s="46" t="str">
        <f ca="1">VLOOKUP($C216,OFFSET(enemy_skills!$A$1,0,0,COUNTA(enemy_skills!$A:$A),MATCH(E$1,enemy_skills!$1:$1,0)-MATCH("enemy_skill_id",enemy_skills!$1:$1,0)+1),MATCH(E$1,enemy_skills!$1:$1,0)-MATCH("enemy_skill_id",enemy_skills!$1:$1,0)+1,FALSE)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16" s="47">
        <v>47003653</v>
      </c>
      <c r="G216" s="48">
        <f ca="1">VLOOKUP($F216,OFFSET(enemy_skill_triggers!$A$1,0,0,COUNTA(enemy_skill_triggers!$A:$A),MATCH(G$1,enemy_skill_triggers!$1:$1,0)-MATCH($F$1,enemy_skill_triggers!$1:$1,0)+1),MATCH(G$1,enemy_skill_triggers!$1:$1,0)-MATCH($F$1,enemy_skill_triggers!$1:$1,0)+1,FALSE)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6" s="48">
        <f ca="1">VLOOKUP($F216,OFFSET(enemy_skill_triggers!$A$1,0,0,COUNTA(enemy_skill_triggers!$A:$A),MATCH(H$1,enemy_skill_triggers!$1:$1,0)-MATCH($F$1,enemy_skill_triggers!$1:$1,0)+1),MATCH(H$1,enemy_skill_triggers!$1:$1,0)-MATCH($F$1,enemy_skill_triggers!$1:$1,0)+1,FALSE)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16" s="48">
        <f ca="1">VLOOKUP($F216,OFFSET(enemy_skill_triggers!$A$1,0,0,COUNTA(enemy_skill_triggers!$A:$A),MATCH(I$1,enemy_skill_triggers!$1:$1,0)-MATCH($F$1,enemy_skill_triggers!$1:$1,0)+1),MATCH(I$1,enemy_skill_triggers!$1:$1,0)-MATCH($F$1,enemy_skill_triggers!$1:$1,0)+1,FALSE)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6" s="48" t="str">
        <f ca="1">VLOOKUP($F216,OFFSET(enemy_skill_triggers!$A$1,0,0,COUNTA(enemy_skill_triggers!$A:$A),MATCH(J$1,enemy_skill_triggers!$1:$1,0)-MATCH($F$1,enemy_skill_triggers!$1:$1,0)+1),MATCH(J$1,enemy_skill_triggers!$1:$1,0)-MATCH($F$1,enemy_skill_triggers!$1:$1,0)+1,FALSE)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6" s="48" t="str">
        <f ca="1">VLOOKUP($F216,OFFSET(enemy_skill_triggers!$A$1,0,0,COUNTA(enemy_skill_triggers!$A:$A),MATCH(K$1,enemy_skill_triggers!$1:$1,0)-MATCH($F$1,enemy_skill_triggers!$1:$1,0)+1),MATCH(K$1,enemy_skill_triggers!$1:$1,0)-MATCH($F$1,enemy_skill_triggers!$1:$1,0)+1,FALSE)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6" s="48">
        <f ca="1">VLOOKUP($F216,OFFSET(enemy_skill_triggers!$A$1,0,0,COUNTA(enemy_skill_triggers!$A:$A),MATCH(L$1,enemy_skill_triggers!$1:$1,0)-MATCH($F$1,enemy_skill_triggers!$1:$1,0)+1),MATCH(L$1,enemy_skill_triggers!$1:$1,0)-MATCH($F$1,enemy_skill_triggers!$1:$1,0)+1,FALSE)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6" s="48">
        <f ca="1">VLOOKUP($F216,OFFSET(enemy_skill_triggers!$A$1,0,0,COUNTA(enemy_skill_triggers!$A:$A),MATCH(M$1,enemy_skill_triggers!$1:$1,0)-MATCH($F$1,enemy_skill_triggers!$1:$1,0)+1),MATCH(M$1,enemy_skill_triggers!$1:$1,0)-MATCH($F$1,enemy_skill_triggers!$1:$1,0)+1,FALSE)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6" s="48" t="str">
        <f ca="1">VLOOKUP($F216,OFFSET(enemy_skill_triggers!$A$1,0,0,COUNTA(enemy_skill_triggers!$A:$A),MATCH(N$1,enemy_skill_triggers!$1:$1,0)-MATCH($F$1,enemy_skill_triggers!$1:$1,0)+1),MATCH(N$1,enemy_skill_triggers!$1:$1,0)-MATCH($F$1,enemy_skill_triggers!$1:$1,0)+1,FALSE)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6" s="48">
        <f ca="1">VLOOKUP($F216,OFFSET(enemy_skill_triggers!$A$1,0,0,COUNTA(enemy_skill_triggers!$A:$A),MATCH(O$1,enemy_skill_triggers!$1:$1,0)-MATCH($F$1,enemy_skill_triggers!$1:$1,0)+1),MATCH(O$1,enemy_skill_triggers!$1:$1,0)-MATCH($F$1,enemy_skill_triggers!$1:$1,0)+1,FALSE)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6" s="47"/>
      <c r="Q216" s="47"/>
      <c r="R216" s="47"/>
    </row>
    <row r="217" spans="1:18" ht="21" customHeight="1" x14ac:dyDescent="0.15">
      <c r="A217" s="39" t="str">
        <f t="shared" si="8"/>
        <v>47003650_47003654</v>
      </c>
      <c r="B217" s="47">
        <v>47003650</v>
      </c>
      <c r="C217" s="47">
        <v>47003654</v>
      </c>
      <c r="D217" s="46" t="str">
        <f ca="1">VLOOKUP($C217,OFFSET(enemy_skills!$A$1,0,0,COUNTA(enemy_skills!$A:$A),MATCH(D$1,enemy_skills!$1:$1,0)-MATCH("enemy_skill_id",enemy_skills!$1:$1,0)+1),MATCH(D$1,enemy_skills!$1:$1,0)-MATCH("enemy_skill_id",enemy_skills!$1:$1,0)+1,FALSE)</f>
        <v>い、いたずらしちゃいますよぉ！</v>
      </c>
      <c r="E217" s="46" t="str">
        <f ca="1">VLOOKUP($C217,OFFSET(enemy_skills!$A$1,0,0,COUNTA(enemy_skills!$A:$A),MATCH(E$1,enemy_skills!$1:$1,0)-MATCH("enemy_skill_id",enemy_skills!$1:$1,0)+1),MATCH(E$1,enemy_skills!$1:$1,0)-MATCH("enemy_skill_id",enemy_skills!$1:$1,0)+1,FALSE)</f>
        <v>ダメージパネルを6個生成</v>
      </c>
      <c r="F217" s="47">
        <v>47003654</v>
      </c>
      <c r="G217" s="48">
        <f ca="1">VLOOKUP($F217,OFFSET(enemy_skill_triggers!$A$1,0,0,COUNTA(enemy_skill_triggers!$A:$A),MATCH(G$1,enemy_skill_triggers!$1:$1,0)-MATCH($F$1,enemy_skill_triggers!$1:$1,0)+1),MATCH(G$1,enemy_skill_triggers!$1:$1,0)-MATCH($F$1,enemy_skill_triggers!$1:$1,0)+1,FALSE)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7" s="48">
        <f ca="1">VLOOKUP($F217,OFFSET(enemy_skill_triggers!$A$1,0,0,COUNTA(enemy_skill_triggers!$A:$A),MATCH(H$1,enemy_skill_triggers!$1:$1,0)-MATCH($F$1,enemy_skill_triggers!$1:$1,0)+1),MATCH(H$1,enemy_skill_triggers!$1:$1,0)-MATCH($F$1,enemy_skill_triggers!$1:$1,0)+1,FALSE)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17" s="48">
        <f ca="1">VLOOKUP($F217,OFFSET(enemy_skill_triggers!$A$1,0,0,COUNTA(enemy_skill_triggers!$A:$A),MATCH(I$1,enemy_skill_triggers!$1:$1,0)-MATCH($F$1,enemy_skill_triggers!$1:$1,0)+1),MATCH(I$1,enemy_skill_triggers!$1:$1,0)-MATCH($F$1,enemy_skill_triggers!$1:$1,0)+1,FALSE)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7" s="48" t="str">
        <f ca="1">VLOOKUP($F217,OFFSET(enemy_skill_triggers!$A$1,0,0,COUNTA(enemy_skill_triggers!$A:$A),MATCH(J$1,enemy_skill_triggers!$1:$1,0)-MATCH($F$1,enemy_skill_triggers!$1:$1,0)+1),MATCH(J$1,enemy_skill_triggers!$1:$1,0)-MATCH($F$1,enemy_skill_triggers!$1:$1,0)+1,FALSE)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7" s="48" t="str">
        <f ca="1">VLOOKUP($F217,OFFSET(enemy_skill_triggers!$A$1,0,0,COUNTA(enemy_skill_triggers!$A:$A),MATCH(K$1,enemy_skill_triggers!$1:$1,0)-MATCH($F$1,enemy_skill_triggers!$1:$1,0)+1),MATCH(K$1,enemy_skill_triggers!$1:$1,0)-MATCH($F$1,enemy_skill_triggers!$1:$1,0)+1,FALSE)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7" s="48">
        <f ca="1">VLOOKUP($F217,OFFSET(enemy_skill_triggers!$A$1,0,0,COUNTA(enemy_skill_triggers!$A:$A),MATCH(L$1,enemy_skill_triggers!$1:$1,0)-MATCH($F$1,enemy_skill_triggers!$1:$1,0)+1),MATCH(L$1,enemy_skill_triggers!$1:$1,0)-MATCH($F$1,enemy_skill_triggers!$1:$1,0)+1,FALSE)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7" s="48">
        <f ca="1">VLOOKUP($F217,OFFSET(enemy_skill_triggers!$A$1,0,0,COUNTA(enemy_skill_triggers!$A:$A),MATCH(M$1,enemy_skill_triggers!$1:$1,0)-MATCH($F$1,enemy_skill_triggers!$1:$1,0)+1),MATCH(M$1,enemy_skill_triggers!$1:$1,0)-MATCH($F$1,enemy_skill_triggers!$1:$1,0)+1,FALSE)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17" s="48" t="str">
        <f ca="1">VLOOKUP($F217,OFFSET(enemy_skill_triggers!$A$1,0,0,COUNTA(enemy_skill_triggers!$A:$A),MATCH(N$1,enemy_skill_triggers!$1:$1,0)-MATCH($F$1,enemy_skill_triggers!$1:$1,0)+1),MATCH(N$1,enemy_skill_triggers!$1:$1,0)-MATCH($F$1,enemy_skill_triggers!$1:$1,0)+1,FALSE)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7" s="48">
        <f ca="1">VLOOKUP($F217,OFFSET(enemy_skill_triggers!$A$1,0,0,COUNTA(enemy_skill_triggers!$A:$A),MATCH(O$1,enemy_skill_triggers!$1:$1,0)-MATCH($F$1,enemy_skill_triggers!$1:$1,0)+1),MATCH(O$1,enemy_skill_triggers!$1:$1,0)-MATCH($F$1,enemy_skill_triggers!$1:$1,0)+1,FALSE)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7" s="47"/>
      <c r="Q217" s="47"/>
      <c r="R217" s="47"/>
    </row>
    <row r="218" spans="1:18" ht="21" customHeight="1" x14ac:dyDescent="0.15">
      <c r="A218" s="39" t="str">
        <f t="shared" ref="A218" si="13">B218&amp;"_"&amp;C218</f>
        <v>47003650_47003655</v>
      </c>
      <c r="B218" s="47">
        <v>47003650</v>
      </c>
      <c r="C218" s="47">
        <v>47003655</v>
      </c>
      <c r="D218" s="46" t="str">
        <f ca="1">VLOOKUP($C218,OFFSET(enemy_skills!$A$1,0,0,COUNTA(enemy_skills!$A:$A),MATCH(D$1,enemy_skills!$1:$1,0)-MATCH("enemy_skill_id",enemy_skills!$1:$1,0)+1),MATCH(D$1,enemy_skills!$1:$1,0)-MATCH("enemy_skill_id",enemy_skills!$1:$1,0)+1,FALSE)</f>
        <v>はわ〜！　とっても可愛いですぅ！_x000D_アメいりますか〜？</v>
      </c>
      <c r="E218" s="46" t="str">
        <f ca="1">VLOOKUP($C218,OFFSET(enemy_skills!$A$1,0,0,COUNTA(enemy_skills!$A:$A),MATCH(E$1,enemy_skills!$1:$1,0)-MATCH("enemy_skill_id",enemy_skills!$1:$1,0)+1),MATCH(E$1,enemy_skills!$1:$1,0)-MATCH("enemy_skill_id",enemy_skills!$1:$1,0)+1,FALSE)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18" s="47">
        <v>47003655</v>
      </c>
      <c r="G218" s="48">
        <f ca="1">VLOOKUP($F218,OFFSET(enemy_skill_triggers!$A$1,0,0,COUNTA(enemy_skill_triggers!$A:$A),MATCH(G$1,enemy_skill_triggers!$1:$1,0)-MATCH($F$1,enemy_skill_triggers!$1:$1,0)+1),MATCH(G$1,enemy_skill_triggers!$1:$1,0)-MATCH($F$1,enemy_skill_triggers!$1:$1,0)+1,FALSE)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8" s="48">
        <f ca="1">VLOOKUP($F218,OFFSET(enemy_skill_triggers!$A$1,0,0,COUNTA(enemy_skill_triggers!$A:$A),MATCH(H$1,enemy_skill_triggers!$1:$1,0)-MATCH($F$1,enemy_skill_triggers!$1:$1,0)+1),MATCH(H$1,enemy_skill_triggers!$1:$1,0)-MATCH($F$1,enemy_skill_triggers!$1:$1,0)+1,FALSE)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218" s="48">
        <f ca="1">VLOOKUP($F218,OFFSET(enemy_skill_triggers!$A$1,0,0,COUNTA(enemy_skill_triggers!$A:$A),MATCH(I$1,enemy_skill_triggers!$1:$1,0)-MATCH($F$1,enemy_skill_triggers!$1:$1,0)+1),MATCH(I$1,enemy_skill_triggers!$1:$1,0)-MATCH($F$1,enemy_skill_triggers!$1:$1,0)+1,FALSE)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8" s="48" t="str">
        <f ca="1">VLOOKUP($F218,OFFSET(enemy_skill_triggers!$A$1,0,0,COUNTA(enemy_skill_triggers!$A:$A),MATCH(J$1,enemy_skill_triggers!$1:$1,0)-MATCH($F$1,enemy_skill_triggers!$1:$1,0)+1),MATCH(J$1,enemy_skill_triggers!$1:$1,0)-MATCH($F$1,enemy_skill_triggers!$1:$1,0)+1,FALSE)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8" s="48" t="str">
        <f ca="1">VLOOKUP($F218,OFFSET(enemy_skill_triggers!$A$1,0,0,COUNTA(enemy_skill_triggers!$A:$A),MATCH(K$1,enemy_skill_triggers!$1:$1,0)-MATCH($F$1,enemy_skill_triggers!$1:$1,0)+1),MATCH(K$1,enemy_skill_triggers!$1:$1,0)-MATCH($F$1,enemy_skill_triggers!$1:$1,0)+1,FALSE)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8" s="48">
        <f ca="1">VLOOKUP($F218,OFFSET(enemy_skill_triggers!$A$1,0,0,COUNTA(enemy_skill_triggers!$A:$A),MATCH(L$1,enemy_skill_triggers!$1:$1,0)-MATCH($F$1,enemy_skill_triggers!$1:$1,0)+1),MATCH(L$1,enemy_skill_triggers!$1:$1,0)-MATCH($F$1,enemy_skill_triggers!$1:$1,0)+1,FALSE)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8" s="48" t="str">
        <f ca="1">VLOOKUP($F218,OFFSET(enemy_skill_triggers!$A$1,0,0,COUNTA(enemy_skill_triggers!$A:$A),MATCH(M$1,enemy_skill_triggers!$1:$1,0)-MATCH($F$1,enemy_skill_triggers!$1:$1,0)+1),MATCH(M$1,enemy_skill_triggers!$1:$1,0)-MATCH($F$1,enemy_skill_triggers!$1:$1,0)+1,FALSE)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8" s="48">
        <f ca="1">VLOOKUP($F218,OFFSET(enemy_skill_triggers!$A$1,0,0,COUNTA(enemy_skill_triggers!$A:$A),MATCH(N$1,enemy_skill_triggers!$1:$1,0)-MATCH($F$1,enemy_skill_triggers!$1:$1,0)+1),MATCH(N$1,enemy_skill_triggers!$1:$1,0)-MATCH($F$1,enemy_skill_triggers!$1:$1,0)+1,FALSE)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218" s="48">
        <f ca="1">VLOOKUP($F218,OFFSET(enemy_skill_triggers!$A$1,0,0,COUNTA(enemy_skill_triggers!$A:$A),MATCH(O$1,enemy_skill_triggers!$1:$1,0)-MATCH($F$1,enemy_skill_triggers!$1:$1,0)+1),MATCH(O$1,enemy_skill_triggers!$1:$1,0)-MATCH($F$1,enemy_skill_triggers!$1:$1,0)+1,FALSE)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8" s="47"/>
      <c r="Q218" s="47"/>
      <c r="R218" s="47"/>
    </row>
    <row r="219" spans="1:18" ht="21" customHeight="1" x14ac:dyDescent="0.15">
      <c r="A219" s="39" t="str">
        <f t="shared" ref="A219:A221" si="14">B219&amp;"_"&amp;C219</f>
        <v>47003650_47003655</v>
      </c>
      <c r="B219" s="47">
        <v>47003650</v>
      </c>
      <c r="C219" s="47">
        <v>47003655</v>
      </c>
      <c r="D219" s="46" t="str">
        <f ca="1">VLOOKUP($C219,OFFSET(enemy_skills!$A$1,0,0,COUNTA(enemy_skills!$A:$A),MATCH(D$1,enemy_skills!$1:$1,0)-MATCH("enemy_skill_id",enemy_skills!$1:$1,0)+1),MATCH(D$1,enemy_skills!$1:$1,0)-MATCH("enemy_skill_id",enemy_skills!$1:$1,0)+1,FALSE)</f>
        <v>はわ〜！　とっても可愛いですぅ！_x000D_アメいりますか〜？</v>
      </c>
      <c r="E219" s="46" t="str">
        <f ca="1">VLOOKUP($C219,OFFSET(enemy_skills!$A$1,0,0,COUNTA(enemy_skills!$A:$A),MATCH(E$1,enemy_skills!$1:$1,0)-MATCH("enemy_skill_id",enemy_skills!$1:$1,0)+1),MATCH(E$1,enemy_skills!$1:$1,0)-MATCH("enemy_skill_id",enemy_skills!$1:$1,0)+1,FALSE)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19" s="47">
        <v>47003656</v>
      </c>
      <c r="G219" s="48">
        <f ca="1">VLOOKUP($F219,OFFSET(enemy_skill_triggers!$A$1,0,0,COUNTA(enemy_skill_triggers!$A:$A),MATCH(G$1,enemy_skill_triggers!$1:$1,0)-MATCH($F$1,enemy_skill_triggers!$1:$1,0)+1),MATCH(G$1,enemy_skill_triggers!$1:$1,0)-MATCH($F$1,enemy_skill_triggers!$1:$1,0)+1,FALSE)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9" s="48">
        <f ca="1">VLOOKUP($F219,OFFSET(enemy_skill_triggers!$A$1,0,0,COUNTA(enemy_skill_triggers!$A:$A),MATCH(H$1,enemy_skill_triggers!$1:$1,0)-MATCH($F$1,enemy_skill_triggers!$1:$1,0)+1),MATCH(H$1,enemy_skill_triggers!$1:$1,0)-MATCH($F$1,enemy_skill_triggers!$1:$1,0)+1,FALSE)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219" s="48">
        <f ca="1">VLOOKUP($F219,OFFSET(enemy_skill_triggers!$A$1,0,0,COUNTA(enemy_skill_triggers!$A:$A),MATCH(I$1,enemy_skill_triggers!$1:$1,0)-MATCH($F$1,enemy_skill_triggers!$1:$1,0)+1),MATCH(I$1,enemy_skill_triggers!$1:$1,0)-MATCH($F$1,enemy_skill_triggers!$1:$1,0)+1,FALSE)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9" s="48" t="str">
        <f ca="1">VLOOKUP($F219,OFFSET(enemy_skill_triggers!$A$1,0,0,COUNTA(enemy_skill_triggers!$A:$A),MATCH(J$1,enemy_skill_triggers!$1:$1,0)-MATCH($F$1,enemy_skill_triggers!$1:$1,0)+1),MATCH(J$1,enemy_skill_triggers!$1:$1,0)-MATCH($F$1,enemy_skill_triggers!$1:$1,0)+1,FALSE)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9" s="48" t="str">
        <f ca="1">VLOOKUP($F219,OFFSET(enemy_skill_triggers!$A$1,0,0,COUNTA(enemy_skill_triggers!$A:$A),MATCH(K$1,enemy_skill_triggers!$1:$1,0)-MATCH($F$1,enemy_skill_triggers!$1:$1,0)+1),MATCH(K$1,enemy_skill_triggers!$1:$1,0)-MATCH($F$1,enemy_skill_triggers!$1:$1,0)+1,FALSE)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9" s="48">
        <f ca="1">VLOOKUP($F219,OFFSET(enemy_skill_triggers!$A$1,0,0,COUNTA(enemy_skill_triggers!$A:$A),MATCH(L$1,enemy_skill_triggers!$1:$1,0)-MATCH($F$1,enemy_skill_triggers!$1:$1,0)+1),MATCH(L$1,enemy_skill_triggers!$1:$1,0)-MATCH($F$1,enemy_skill_triggers!$1:$1,0)+1,FALSE)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9" s="48" t="str">
        <f ca="1">VLOOKUP($F219,OFFSET(enemy_skill_triggers!$A$1,0,0,COUNTA(enemy_skill_triggers!$A:$A),MATCH(M$1,enemy_skill_triggers!$1:$1,0)-MATCH($F$1,enemy_skill_triggers!$1:$1,0)+1),MATCH(M$1,enemy_skill_triggers!$1:$1,0)-MATCH($F$1,enemy_skill_triggers!$1:$1,0)+1,FALSE)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9" s="48">
        <f ca="1">VLOOKUP($F219,OFFSET(enemy_skill_triggers!$A$1,0,0,COUNTA(enemy_skill_triggers!$A:$A),MATCH(N$1,enemy_skill_triggers!$1:$1,0)-MATCH($F$1,enemy_skill_triggers!$1:$1,0)+1),MATCH(N$1,enemy_skill_triggers!$1:$1,0)-MATCH($F$1,enemy_skill_triggers!$1:$1,0)+1,FALSE)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219" s="48">
        <f ca="1">VLOOKUP($F219,OFFSET(enemy_skill_triggers!$A$1,0,0,COUNTA(enemy_skill_triggers!$A:$A),MATCH(O$1,enemy_skill_triggers!$1:$1,0)-MATCH($F$1,enemy_skill_triggers!$1:$1,0)+1),MATCH(O$1,enemy_skill_triggers!$1:$1,0)-MATCH($F$1,enemy_skill_triggers!$1:$1,0)+1,FALSE)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9" s="47"/>
      <c r="Q219" s="47"/>
      <c r="R219" s="47"/>
    </row>
    <row r="220" spans="1:18" ht="21" customHeight="1" x14ac:dyDescent="0.15">
      <c r="A220" s="39" t="str">
        <f t="shared" si="14"/>
        <v>47003650_47003656</v>
      </c>
      <c r="B220" s="47">
        <v>47003650</v>
      </c>
      <c r="C220" s="47">
        <v>47003656</v>
      </c>
      <c r="D220" s="46" t="str">
        <f ca="1">VLOOKUP($C220,OFFSET(enemy_skills!$A$1,0,0,COUNTA(enemy_skills!$A:$A),MATCH(D$1,enemy_skills!$1:$1,0)-MATCH("enemy_skill_id",enemy_skills!$1:$1,0)+1),MATCH(D$1,enemy_skills!$1:$1,0)-MATCH("enemy_skill_id",enemy_skills!$1:$1,0)+1,FALSE)</f>
        <v>キレイなお姫さま、_x000D_私もお城に連れて行ってください〜</v>
      </c>
      <c r="E220" s="46" t="str">
        <f ca="1">VLOOKUP($C220,OFFSET(enemy_skills!$A$1,0,0,COUNTA(enemy_skills!$A:$A),MATCH(E$1,enemy_skills!$1:$1,0)-MATCH("enemy_skill_id",enemy_skills!$1:$1,0)+1),MATCH(E$1,enemy_skills!$1:$1,0)-MATCH("enemy_skill_id",enemy_skills!$1:$1,0)+1,FALSE)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20" s="47">
        <v>47003657</v>
      </c>
      <c r="G220" s="48">
        <f ca="1">VLOOKUP($F220,OFFSET(enemy_skill_triggers!$A$1,0,0,COUNTA(enemy_skill_triggers!$A:$A),MATCH(G$1,enemy_skill_triggers!$1:$1,0)-MATCH($F$1,enemy_skill_triggers!$1:$1,0)+1),MATCH(G$1,enemy_skill_triggers!$1:$1,0)-MATCH($F$1,enemy_skill_triggers!$1:$1,0)+1,FALSE)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0" s="48">
        <f ca="1">VLOOKUP($F220,OFFSET(enemy_skill_triggers!$A$1,0,0,COUNTA(enemy_skill_triggers!$A:$A),MATCH(H$1,enemy_skill_triggers!$1:$1,0)-MATCH($F$1,enemy_skill_triggers!$1:$1,0)+1),MATCH(H$1,enemy_skill_triggers!$1:$1,0)-MATCH($F$1,enemy_skill_triggers!$1:$1,0)+1,FALSE)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220" s="48">
        <f ca="1">VLOOKUP($F220,OFFSET(enemy_skill_triggers!$A$1,0,0,COUNTA(enemy_skill_triggers!$A:$A),MATCH(I$1,enemy_skill_triggers!$1:$1,0)-MATCH($F$1,enemy_skill_triggers!$1:$1,0)+1),MATCH(I$1,enemy_skill_triggers!$1:$1,0)-MATCH($F$1,enemy_skill_triggers!$1:$1,0)+1,FALSE)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0" s="48" t="str">
        <f ca="1">VLOOKUP($F220,OFFSET(enemy_skill_triggers!$A$1,0,0,COUNTA(enemy_skill_triggers!$A:$A),MATCH(J$1,enemy_skill_triggers!$1:$1,0)-MATCH($F$1,enemy_skill_triggers!$1:$1,0)+1),MATCH(J$1,enemy_skill_triggers!$1:$1,0)-MATCH($F$1,enemy_skill_triggers!$1:$1,0)+1,FALSE)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0" s="48" t="str">
        <f ca="1">VLOOKUP($F220,OFFSET(enemy_skill_triggers!$A$1,0,0,COUNTA(enemy_skill_triggers!$A:$A),MATCH(K$1,enemy_skill_triggers!$1:$1,0)-MATCH($F$1,enemy_skill_triggers!$1:$1,0)+1),MATCH(K$1,enemy_skill_triggers!$1:$1,0)-MATCH($F$1,enemy_skill_triggers!$1:$1,0)+1,FALSE)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0" s="48">
        <f ca="1">VLOOKUP($F220,OFFSET(enemy_skill_triggers!$A$1,0,0,COUNTA(enemy_skill_triggers!$A:$A),MATCH(L$1,enemy_skill_triggers!$1:$1,0)-MATCH($F$1,enemy_skill_triggers!$1:$1,0)+1),MATCH(L$1,enemy_skill_triggers!$1:$1,0)-MATCH($F$1,enemy_skill_triggers!$1:$1,0)+1,FALSE)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0" s="48" t="str">
        <f ca="1">VLOOKUP($F220,OFFSET(enemy_skill_triggers!$A$1,0,0,COUNTA(enemy_skill_triggers!$A:$A),MATCH(M$1,enemy_skill_triggers!$1:$1,0)-MATCH($F$1,enemy_skill_triggers!$1:$1,0)+1),MATCH(M$1,enemy_skill_triggers!$1:$1,0)-MATCH($F$1,enemy_skill_triggers!$1:$1,0)+1,FALSE)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0" s="48">
        <f ca="1">VLOOKUP($F220,OFFSET(enemy_skill_triggers!$A$1,0,0,COUNTA(enemy_skill_triggers!$A:$A),MATCH(N$1,enemy_skill_triggers!$1:$1,0)-MATCH($F$1,enemy_skill_triggers!$1:$1,0)+1),MATCH(N$1,enemy_skill_triggers!$1:$1,0)-MATCH($F$1,enemy_skill_triggers!$1:$1,0)+1,FALSE)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220" s="48">
        <f ca="1">VLOOKUP($F220,OFFSET(enemy_skill_triggers!$A$1,0,0,COUNTA(enemy_skill_triggers!$A:$A),MATCH(O$1,enemy_skill_triggers!$1:$1,0)-MATCH($F$1,enemy_skill_triggers!$1:$1,0)+1),MATCH(O$1,enemy_skill_triggers!$1:$1,0)-MATCH($F$1,enemy_skill_triggers!$1:$1,0)+1,FALSE)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0" s="47"/>
      <c r="Q220" s="47"/>
      <c r="R220" s="47"/>
    </row>
    <row r="221" spans="1:18" ht="21" customHeight="1" x14ac:dyDescent="0.15">
      <c r="A221" s="39" t="str">
        <f t="shared" si="14"/>
        <v>47003650_47003657</v>
      </c>
      <c r="B221" s="47">
        <v>47003650</v>
      </c>
      <c r="C221" s="47">
        <v>47003657</v>
      </c>
      <c r="D221" s="46" t="str">
        <f ca="1">VLOOKUP($C221,OFFSET(enemy_skills!$A$1,0,0,COUNTA(enemy_skills!$A:$A),MATCH(D$1,enemy_skills!$1:$1,0)-MATCH("enemy_skill_id",enemy_skills!$1:$1,0)+1),MATCH(D$1,enemy_skills!$1:$1,0)-MATCH("enemy_skill_id",enemy_skills!$1:$1,0)+1,FALSE)</f>
        <v>あうぅ、カッコイイ吸血鬼さん_x000D_血は吸わないでくださいぃ〜</v>
      </c>
      <c r="E221" s="46" t="str">
        <f ca="1">VLOOKUP($C221,OFFSET(enemy_skills!$A$1,0,0,COUNTA(enemy_skills!$A:$A),MATCH(E$1,enemy_skills!$1:$1,0)-MATCH("enemy_skill_id",enemy_skills!$1:$1,0)+1),MATCH(E$1,enemy_skills!$1:$1,0)-MATCH("enemy_skill_id",enemy_skills!$1:$1,0)+1,FALSE)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21" s="47">
        <v>47003658</v>
      </c>
      <c r="G221" s="48">
        <f ca="1">VLOOKUP($F221,OFFSET(enemy_skill_triggers!$A$1,0,0,COUNTA(enemy_skill_triggers!$A:$A),MATCH(G$1,enemy_skill_triggers!$1:$1,0)-MATCH($F$1,enemy_skill_triggers!$1:$1,0)+1),MATCH(G$1,enemy_skill_triggers!$1:$1,0)-MATCH($F$1,enemy_skill_triggers!$1:$1,0)+1,FALSE)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1" s="48">
        <f ca="1">VLOOKUP($F221,OFFSET(enemy_skill_triggers!$A$1,0,0,COUNTA(enemy_skill_triggers!$A:$A),MATCH(H$1,enemy_skill_triggers!$1:$1,0)-MATCH($F$1,enemy_skill_triggers!$1:$1,0)+1),MATCH(H$1,enemy_skill_triggers!$1:$1,0)-MATCH($F$1,enemy_skill_triggers!$1:$1,0)+1,FALSE)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221" s="48">
        <f ca="1">VLOOKUP($F221,OFFSET(enemy_skill_triggers!$A$1,0,0,COUNTA(enemy_skill_triggers!$A:$A),MATCH(I$1,enemy_skill_triggers!$1:$1,0)-MATCH($F$1,enemy_skill_triggers!$1:$1,0)+1),MATCH(I$1,enemy_skill_triggers!$1:$1,0)-MATCH($F$1,enemy_skill_triggers!$1:$1,0)+1,FALSE)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1" s="48" t="str">
        <f ca="1">VLOOKUP($F221,OFFSET(enemy_skill_triggers!$A$1,0,0,COUNTA(enemy_skill_triggers!$A:$A),MATCH(J$1,enemy_skill_triggers!$1:$1,0)-MATCH($F$1,enemy_skill_triggers!$1:$1,0)+1),MATCH(J$1,enemy_skill_triggers!$1:$1,0)-MATCH($F$1,enemy_skill_triggers!$1:$1,0)+1,FALSE)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1" s="48" t="str">
        <f ca="1">VLOOKUP($F221,OFFSET(enemy_skill_triggers!$A$1,0,0,COUNTA(enemy_skill_triggers!$A:$A),MATCH(K$1,enemy_skill_triggers!$1:$1,0)-MATCH($F$1,enemy_skill_triggers!$1:$1,0)+1),MATCH(K$1,enemy_skill_triggers!$1:$1,0)-MATCH($F$1,enemy_skill_triggers!$1:$1,0)+1,FALSE)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1" s="48">
        <f ca="1">VLOOKUP($F221,OFFSET(enemy_skill_triggers!$A$1,0,0,COUNTA(enemy_skill_triggers!$A:$A),MATCH(L$1,enemy_skill_triggers!$1:$1,0)-MATCH($F$1,enemy_skill_triggers!$1:$1,0)+1),MATCH(L$1,enemy_skill_triggers!$1:$1,0)-MATCH($F$1,enemy_skill_triggers!$1:$1,0)+1,FALSE)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1" s="48" t="str">
        <f ca="1">VLOOKUP($F221,OFFSET(enemy_skill_triggers!$A$1,0,0,COUNTA(enemy_skill_triggers!$A:$A),MATCH(M$1,enemy_skill_triggers!$1:$1,0)-MATCH($F$1,enemy_skill_triggers!$1:$1,0)+1),MATCH(M$1,enemy_skill_triggers!$1:$1,0)-MATCH($F$1,enemy_skill_triggers!$1:$1,0)+1,FALSE)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1" s="48">
        <f ca="1">VLOOKUP($F221,OFFSET(enemy_skill_triggers!$A$1,0,0,COUNTA(enemy_skill_triggers!$A:$A),MATCH(N$1,enemy_skill_triggers!$1:$1,0)-MATCH($F$1,enemy_skill_triggers!$1:$1,0)+1),MATCH(N$1,enemy_skill_triggers!$1:$1,0)-MATCH($F$1,enemy_skill_triggers!$1:$1,0)+1,FALSE)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221" s="48">
        <f ca="1">VLOOKUP($F221,OFFSET(enemy_skill_triggers!$A$1,0,0,COUNTA(enemy_skill_triggers!$A:$A),MATCH(O$1,enemy_skill_triggers!$1:$1,0)-MATCH($F$1,enemy_skill_triggers!$1:$1,0)+1),MATCH(O$1,enemy_skill_triggers!$1:$1,0)-MATCH($F$1,enemy_skill_triggers!$1:$1,0)+1,FALSE)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1" s="47"/>
      <c r="Q221" s="47"/>
      <c r="R221" s="47"/>
    </row>
    <row r="222" spans="1:18" ht="21" customHeight="1" x14ac:dyDescent="0.15">
      <c r="A222" s="39" t="str">
        <f t="shared" si="8"/>
        <v>47003660_47003661</v>
      </c>
      <c r="B222" s="119">
        <v>47003660</v>
      </c>
      <c r="C222" s="119">
        <v>47003661</v>
      </c>
      <c r="D222" s="46" t="str">
        <f ca="1">VLOOKUP($C222,OFFSET(enemy_skills!$A$1,0,0,COUNTA(enemy_skills!$A:$A),MATCH(D$1,enemy_skills!$1:$1,0)-MATCH("enemy_skill_id",enemy_skills!$1:$1,0)+1),MATCH(D$1,enemy_skills!$1:$1,0)-MATCH("enemy_skill_id",enemy_skills!$1:$1,0)+1,FALSE)</f>
        <v>異教徒どもが我が物顔で…</v>
      </c>
      <c r="E222" s="46" t="str">
        <f ca="1">VLOOKUP($C222,OFFSET(enemy_skills!$A$1,0,0,COUNTA(enemy_skills!$A:$A),MATCH(E$1,enemy_skills!$1:$1,0)-MATCH("enemy_skill_id",enemy_skills!$1:$1,0)+1),MATCH(E$1,enemy_skills!$1:$1,0)-MATCH("enemy_skill_id",enemy_skills!$1:$1,0)+1,FALSE)</f>
        <v>異端の祭事は、菓子の様に甘くないぞ！</v>
      </c>
      <c r="F222" s="119">
        <v>47003661</v>
      </c>
      <c r="G222" s="48">
        <f ca="1">VLOOKUP($F222,OFFSET(enemy_skill_triggers!$A$1,0,0,COUNTA(enemy_skill_triggers!$A:$A),MATCH(G$1,enemy_skill_triggers!$1:$1,0)-MATCH($F$1,enemy_skill_triggers!$1:$1,0)+1),MATCH(G$1,enemy_skill_triggers!$1:$1,0)-MATCH($F$1,enemy_skill_triggers!$1:$1,0)+1,FALSE)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2" s="48">
        <f ca="1">VLOOKUP($F222,OFFSET(enemy_skill_triggers!$A$1,0,0,COUNTA(enemy_skill_triggers!$A:$A),MATCH(H$1,enemy_skill_triggers!$1:$1,0)-MATCH($F$1,enemy_skill_triggers!$1:$1,0)+1),MATCH(H$1,enemy_skill_triggers!$1:$1,0)-MATCH($F$1,enemy_skill_triggers!$1:$1,0)+1,FALSE)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2" s="48">
        <f ca="1">VLOOKUP($F222,OFFSET(enemy_skill_triggers!$A$1,0,0,COUNTA(enemy_skill_triggers!$A:$A),MATCH(I$1,enemy_skill_triggers!$1:$1,0)-MATCH($F$1,enemy_skill_triggers!$1:$1,0)+1),MATCH(I$1,enemy_skill_triggers!$1:$1,0)-MATCH($F$1,enemy_skill_triggers!$1:$1,0)+1,FALSE)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2" s="48" t="str">
        <f ca="1">VLOOKUP($F222,OFFSET(enemy_skill_triggers!$A$1,0,0,COUNTA(enemy_skill_triggers!$A:$A),MATCH(J$1,enemy_skill_triggers!$1:$1,0)-MATCH($F$1,enemy_skill_triggers!$1:$1,0)+1),MATCH(J$1,enemy_skill_triggers!$1:$1,0)-MATCH($F$1,enemy_skill_triggers!$1:$1,0)+1,FALSE)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2" s="48" t="str">
        <f ca="1">VLOOKUP($F222,OFFSET(enemy_skill_triggers!$A$1,0,0,COUNTA(enemy_skill_triggers!$A:$A),MATCH(K$1,enemy_skill_triggers!$1:$1,0)-MATCH($F$1,enemy_skill_triggers!$1:$1,0)+1),MATCH(K$1,enemy_skill_triggers!$1:$1,0)-MATCH($F$1,enemy_skill_triggers!$1:$1,0)+1,FALSE)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2" s="48">
        <f ca="1">VLOOKUP($F222,OFFSET(enemy_skill_triggers!$A$1,0,0,COUNTA(enemy_skill_triggers!$A:$A),MATCH(L$1,enemy_skill_triggers!$1:$1,0)-MATCH($F$1,enemy_skill_triggers!$1:$1,0)+1),MATCH(L$1,enemy_skill_triggers!$1:$1,0)-MATCH($F$1,enemy_skill_triggers!$1:$1,0)+1,FALSE)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2" s="48" t="str">
        <f ca="1">VLOOKUP($F222,OFFSET(enemy_skill_triggers!$A$1,0,0,COUNTA(enemy_skill_triggers!$A:$A),MATCH(M$1,enemy_skill_triggers!$1:$1,0)-MATCH($F$1,enemy_skill_triggers!$1:$1,0)+1),MATCH(M$1,enemy_skill_triggers!$1:$1,0)-MATCH($F$1,enemy_skill_triggers!$1:$1,0)+1,FALSE)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2" s="48" t="str">
        <f ca="1">VLOOKUP($F222,OFFSET(enemy_skill_triggers!$A$1,0,0,COUNTA(enemy_skill_triggers!$A:$A),MATCH(N$1,enemy_skill_triggers!$1:$1,0)-MATCH($F$1,enemy_skill_triggers!$1:$1,0)+1),MATCH(N$1,enemy_skill_triggers!$1:$1,0)-MATCH($F$1,enemy_skill_triggers!$1:$1,0)+1,FALSE)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2" s="48">
        <f ca="1">VLOOKUP($F222,OFFSET(enemy_skill_triggers!$A$1,0,0,COUNTA(enemy_skill_triggers!$A:$A),MATCH(O$1,enemy_skill_triggers!$1:$1,0)-MATCH($F$1,enemy_skill_triggers!$1:$1,0)+1),MATCH(O$1,enemy_skill_triggers!$1:$1,0)-MATCH($F$1,enemy_skill_triggers!$1:$1,0)+1,FALSE)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2" s="47"/>
      <c r="Q222" s="47"/>
      <c r="R222" s="47"/>
    </row>
    <row r="223" spans="1:18" ht="21" customHeight="1" x14ac:dyDescent="0.15">
      <c r="A223" s="39" t="str">
        <f t="shared" si="8"/>
        <v>47003660_47003662</v>
      </c>
      <c r="B223" s="119">
        <v>47003660</v>
      </c>
      <c r="C223" s="119">
        <v>47003662</v>
      </c>
      <c r="D223" s="46" t="str">
        <f ca="1">VLOOKUP($C223,OFFSET(enemy_skills!$A$1,0,0,COUNTA(enemy_skills!$A:$A),MATCH(D$1,enemy_skills!$1:$1,0)-MATCH("enemy_skill_id",enemy_skills!$1:$1,0)+1),MATCH(D$1,enemy_skills!$1:$1,0)-MATCH("enemy_skill_id",enemy_skills!$1:$1,0)+1,FALSE)</f>
        <v>さぁ、踊るがいい！</v>
      </c>
      <c r="E223" s="46" t="str">
        <f ca="1">VLOOKUP($C223,OFFSET(enemy_skills!$A$1,0,0,COUNTA(enemy_skills!$A:$A),MATCH(E$1,enemy_skills!$1:$1,0)-MATCH("enemy_skill_id",enemy_skills!$1:$1,0)+1),MATCH(E$1,enemy_skills!$1:$1,0)-MATCH("enemy_skill_id",enemy_skills!$1:$1,0)+1,FALSE)</f>
        <v>ダメージパネルを6個生成+単体攻撃</v>
      </c>
      <c r="F223" s="119">
        <v>47003662</v>
      </c>
      <c r="G223" s="48">
        <f ca="1">VLOOKUP($F223,OFFSET(enemy_skill_triggers!$A$1,0,0,COUNTA(enemy_skill_triggers!$A:$A),MATCH(G$1,enemy_skill_triggers!$1:$1,0)-MATCH($F$1,enemy_skill_triggers!$1:$1,0)+1),MATCH(G$1,enemy_skill_triggers!$1:$1,0)-MATCH($F$1,enemy_skill_triggers!$1:$1,0)+1,FALSE)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3" s="48">
        <f ca="1">VLOOKUP($F223,OFFSET(enemy_skill_triggers!$A$1,0,0,COUNTA(enemy_skill_triggers!$A:$A),MATCH(H$1,enemy_skill_triggers!$1:$1,0)-MATCH($F$1,enemy_skill_triggers!$1:$1,0)+1),MATCH(H$1,enemy_skill_triggers!$1:$1,0)-MATCH($F$1,enemy_skill_triggers!$1:$1,0)+1,FALSE)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23" s="48">
        <f ca="1">VLOOKUP($F223,OFFSET(enemy_skill_triggers!$A$1,0,0,COUNTA(enemy_skill_triggers!$A:$A),MATCH(I$1,enemy_skill_triggers!$1:$1,0)-MATCH($F$1,enemy_skill_triggers!$1:$1,0)+1),MATCH(I$1,enemy_skill_triggers!$1:$1,0)-MATCH($F$1,enemy_skill_triggers!$1:$1,0)+1,FALSE)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3" s="48" t="str">
        <f ca="1">VLOOKUP($F223,OFFSET(enemy_skill_triggers!$A$1,0,0,COUNTA(enemy_skill_triggers!$A:$A),MATCH(J$1,enemy_skill_triggers!$1:$1,0)-MATCH($F$1,enemy_skill_triggers!$1:$1,0)+1),MATCH(J$1,enemy_skill_triggers!$1:$1,0)-MATCH($F$1,enemy_skill_triggers!$1:$1,0)+1,FALSE)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3" s="48" t="str">
        <f ca="1">VLOOKUP($F223,OFFSET(enemy_skill_triggers!$A$1,0,0,COUNTA(enemy_skill_triggers!$A:$A),MATCH(K$1,enemy_skill_triggers!$1:$1,0)-MATCH($F$1,enemy_skill_triggers!$1:$1,0)+1),MATCH(K$1,enemy_skill_triggers!$1:$1,0)-MATCH($F$1,enemy_skill_triggers!$1:$1,0)+1,FALSE)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3" s="48" t="str">
        <f ca="1">VLOOKUP($F223,OFFSET(enemy_skill_triggers!$A$1,0,0,COUNTA(enemy_skill_triggers!$A:$A),MATCH(L$1,enemy_skill_triggers!$1:$1,0)-MATCH($F$1,enemy_skill_triggers!$1:$1,0)+1),MATCH(L$1,enemy_skill_triggers!$1:$1,0)-MATCH($F$1,enemy_skill_triggers!$1:$1,0)+1,FALSE)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3" s="48">
        <f ca="1">VLOOKUP($F223,OFFSET(enemy_skill_triggers!$A$1,0,0,COUNTA(enemy_skill_triggers!$A:$A),MATCH(M$1,enemy_skill_triggers!$1:$1,0)-MATCH($F$1,enemy_skill_triggers!$1:$1,0)+1),MATCH(M$1,enemy_skill_triggers!$1:$1,0)-MATCH($F$1,enemy_skill_triggers!$1:$1,0)+1,FALSE)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3" s="48" t="str">
        <f ca="1">VLOOKUP($F223,OFFSET(enemy_skill_triggers!$A$1,0,0,COUNTA(enemy_skill_triggers!$A:$A),MATCH(N$1,enemy_skill_triggers!$1:$1,0)-MATCH($F$1,enemy_skill_triggers!$1:$1,0)+1),MATCH(N$1,enemy_skill_triggers!$1:$1,0)-MATCH($F$1,enemy_skill_triggers!$1:$1,0)+1,FALSE)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3" s="48">
        <f ca="1">VLOOKUP($F223,OFFSET(enemy_skill_triggers!$A$1,0,0,COUNTA(enemy_skill_triggers!$A:$A),MATCH(O$1,enemy_skill_triggers!$1:$1,0)-MATCH($F$1,enemy_skill_triggers!$1:$1,0)+1),MATCH(O$1,enemy_skill_triggers!$1:$1,0)-MATCH($F$1,enemy_skill_triggers!$1:$1,0)+1,FALSE)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3" s="47"/>
      <c r="Q223" s="47"/>
      <c r="R223" s="47"/>
    </row>
    <row r="224" spans="1:18" ht="21" customHeight="1" x14ac:dyDescent="0.15">
      <c r="A224" s="39" t="str">
        <f t="shared" si="8"/>
        <v>47003660_47003663</v>
      </c>
      <c r="B224" s="119">
        <v>47003660</v>
      </c>
      <c r="C224" s="119">
        <v>47003663</v>
      </c>
      <c r="D224" s="46" t="str">
        <f ca="1">VLOOKUP($C224,OFFSET(enemy_skills!$A$1,0,0,COUNTA(enemy_skills!$A:$A),MATCH(D$1,enemy_skills!$1:$1,0)-MATCH("enemy_skill_id",enemy_skills!$1:$1,0)+1),MATCH(D$1,enemy_skills!$1:$1,0)-MATCH("enemy_skill_id",enemy_skills!$1:$1,0)+1,FALSE)</f>
        <v>ゴート・オー・ランタン</v>
      </c>
      <c r="E224" s="46" t="str">
        <f ca="1">VLOOKUP($C224,OFFSET(enemy_skills!$A$1,0,0,COUNTA(enemy_skills!$A:$A),MATCH(E$1,enemy_skills!$1:$1,0)-MATCH("enemy_skill_id",enemy_skills!$1:$1,0)+1),MATCH(E$1,enemy_skills!$1:$1,0)-MATCH("enemy_skill_id",enemy_skills!$1:$1,0)+1,FALSE)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24" s="119">
        <v>47003663</v>
      </c>
      <c r="G224" s="48">
        <f ca="1">VLOOKUP($F224,OFFSET(enemy_skill_triggers!$A$1,0,0,COUNTA(enemy_skill_triggers!$A:$A),MATCH(G$1,enemy_skill_triggers!$1:$1,0)-MATCH($F$1,enemy_skill_triggers!$1:$1,0)+1),MATCH(G$1,enemy_skill_triggers!$1:$1,0)-MATCH($F$1,enemy_skill_triggers!$1:$1,0)+1,FALSE)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4" s="48">
        <f ca="1">VLOOKUP($F224,OFFSET(enemy_skill_triggers!$A$1,0,0,COUNTA(enemy_skill_triggers!$A:$A),MATCH(H$1,enemy_skill_triggers!$1:$1,0)-MATCH($F$1,enemy_skill_triggers!$1:$1,0)+1),MATCH(H$1,enemy_skill_triggers!$1:$1,0)-MATCH($F$1,enemy_skill_triggers!$1:$1,0)+1,FALSE)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24" s="48">
        <f ca="1">VLOOKUP($F224,OFFSET(enemy_skill_triggers!$A$1,0,0,COUNTA(enemy_skill_triggers!$A:$A),MATCH(I$1,enemy_skill_triggers!$1:$1,0)-MATCH($F$1,enemy_skill_triggers!$1:$1,0)+1),MATCH(I$1,enemy_skill_triggers!$1:$1,0)-MATCH($F$1,enemy_skill_triggers!$1:$1,0)+1,FALSE)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4" s="48" t="str">
        <f ca="1">VLOOKUP($F224,OFFSET(enemy_skill_triggers!$A$1,0,0,COUNTA(enemy_skill_triggers!$A:$A),MATCH(J$1,enemy_skill_triggers!$1:$1,0)-MATCH($F$1,enemy_skill_triggers!$1:$1,0)+1),MATCH(J$1,enemy_skill_triggers!$1:$1,0)-MATCH($F$1,enemy_skill_triggers!$1:$1,0)+1,FALSE)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4" s="48" t="str">
        <f ca="1">VLOOKUP($F224,OFFSET(enemy_skill_triggers!$A$1,0,0,COUNTA(enemy_skill_triggers!$A:$A),MATCH(K$1,enemy_skill_triggers!$1:$1,0)-MATCH($F$1,enemy_skill_triggers!$1:$1,0)+1),MATCH(K$1,enemy_skill_triggers!$1:$1,0)-MATCH($F$1,enemy_skill_triggers!$1:$1,0)+1,FALSE)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4" s="48" t="str">
        <f ca="1">VLOOKUP($F224,OFFSET(enemy_skill_triggers!$A$1,0,0,COUNTA(enemy_skill_triggers!$A:$A),MATCH(L$1,enemy_skill_triggers!$1:$1,0)-MATCH($F$1,enemy_skill_triggers!$1:$1,0)+1),MATCH(L$1,enemy_skill_triggers!$1:$1,0)-MATCH($F$1,enemy_skill_triggers!$1:$1,0)+1,FALSE)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4" s="48">
        <f ca="1">VLOOKUP($F224,OFFSET(enemy_skill_triggers!$A$1,0,0,COUNTA(enemy_skill_triggers!$A:$A),MATCH(M$1,enemy_skill_triggers!$1:$1,0)-MATCH($F$1,enemy_skill_triggers!$1:$1,0)+1),MATCH(M$1,enemy_skill_triggers!$1:$1,0)-MATCH($F$1,enemy_skill_triggers!$1:$1,0)+1,FALSE)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4" s="48" t="str">
        <f ca="1">VLOOKUP($F224,OFFSET(enemy_skill_triggers!$A$1,0,0,COUNTA(enemy_skill_triggers!$A:$A),MATCH(N$1,enemy_skill_triggers!$1:$1,0)-MATCH($F$1,enemy_skill_triggers!$1:$1,0)+1),MATCH(N$1,enemy_skill_triggers!$1:$1,0)-MATCH($F$1,enemy_skill_triggers!$1:$1,0)+1,FALSE)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4" s="48">
        <f ca="1">VLOOKUP($F224,OFFSET(enemy_skill_triggers!$A$1,0,0,COUNTA(enemy_skill_triggers!$A:$A),MATCH(O$1,enemy_skill_triggers!$1:$1,0)-MATCH($F$1,enemy_skill_triggers!$1:$1,0)+1),MATCH(O$1,enemy_skill_triggers!$1:$1,0)-MATCH($F$1,enemy_skill_triggers!$1:$1,0)+1,FALSE)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4" s="47"/>
      <c r="Q224" s="47"/>
      <c r="R224" s="47"/>
    </row>
    <row r="225" spans="1:18" ht="21" customHeight="1" x14ac:dyDescent="0.15">
      <c r="A225" s="39" t="str">
        <f t="shared" ref="A225:A232" si="15">B225&amp;"_"&amp;C225</f>
        <v>47003660_47003664</v>
      </c>
      <c r="B225" s="119">
        <v>47003660</v>
      </c>
      <c r="C225" s="119">
        <v>47003664</v>
      </c>
      <c r="D225" s="46" t="str">
        <f ca="1">VLOOKUP($C225,OFFSET(enemy_skills!$A$1,0,0,COUNTA(enemy_skills!$A:$A),MATCH(D$1,enemy_skills!$1:$1,0)-MATCH("enemy_skill_id",enemy_skills!$1:$1,0)+1),MATCH(D$1,enemy_skills!$1:$1,0)-MATCH("enemy_skill_id",enemy_skills!$1:$1,0)+1,FALSE)</f>
        <v>黒き異端の災断</v>
      </c>
      <c r="E225" s="46" t="str">
        <f ca="1">VLOOKUP($C225,OFFSET(enemy_skills!$A$1,0,0,COUNTA(enemy_skills!$A:$A),MATCH(E$1,enemy_skills!$1:$1,0)-MATCH("enemy_skill_id",enemy_skills!$1:$1,0)+1),MATCH(E$1,enemy_skills!$1:$1,0)-MATCH("enemy_skill_id",enemy_skills!$1:$1,0)+1,FALSE)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25" s="119">
        <v>47003664</v>
      </c>
      <c r="G225" s="48">
        <f ca="1">VLOOKUP($F225,OFFSET(enemy_skill_triggers!$A$1,0,0,COUNTA(enemy_skill_triggers!$A:$A),MATCH(G$1,enemy_skill_triggers!$1:$1,0)-MATCH($F$1,enemy_skill_triggers!$1:$1,0)+1),MATCH(G$1,enemy_skill_triggers!$1:$1,0)-MATCH($F$1,enemy_skill_triggers!$1:$1,0)+1,FALSE)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5" s="48">
        <f ca="1">VLOOKUP($F225,OFFSET(enemy_skill_triggers!$A$1,0,0,COUNTA(enemy_skill_triggers!$A:$A),MATCH(H$1,enemy_skill_triggers!$1:$1,0)-MATCH($F$1,enemy_skill_triggers!$1:$1,0)+1),MATCH(H$1,enemy_skill_triggers!$1:$1,0)-MATCH($F$1,enemy_skill_triggers!$1:$1,0)+1,FALSE)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25" s="48">
        <f ca="1">VLOOKUP($F225,OFFSET(enemy_skill_triggers!$A$1,0,0,COUNTA(enemy_skill_triggers!$A:$A),MATCH(I$1,enemy_skill_triggers!$1:$1,0)-MATCH($F$1,enemy_skill_triggers!$1:$1,0)+1),MATCH(I$1,enemy_skill_triggers!$1:$1,0)-MATCH($F$1,enemy_skill_triggers!$1:$1,0)+1,FALSE)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5" s="48" t="str">
        <f ca="1">VLOOKUP($F225,OFFSET(enemy_skill_triggers!$A$1,0,0,COUNTA(enemy_skill_triggers!$A:$A),MATCH(J$1,enemy_skill_triggers!$1:$1,0)-MATCH($F$1,enemy_skill_triggers!$1:$1,0)+1),MATCH(J$1,enemy_skill_triggers!$1:$1,0)-MATCH($F$1,enemy_skill_triggers!$1:$1,0)+1,FALSE)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5" s="48" t="str">
        <f ca="1">VLOOKUP($F225,OFFSET(enemy_skill_triggers!$A$1,0,0,COUNTA(enemy_skill_triggers!$A:$A),MATCH(K$1,enemy_skill_triggers!$1:$1,0)-MATCH($F$1,enemy_skill_triggers!$1:$1,0)+1),MATCH(K$1,enemy_skill_triggers!$1:$1,0)-MATCH($F$1,enemy_skill_triggers!$1:$1,0)+1,FALSE)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5" s="48" t="str">
        <f ca="1">VLOOKUP($F225,OFFSET(enemy_skill_triggers!$A$1,0,0,COUNTA(enemy_skill_triggers!$A:$A),MATCH(L$1,enemy_skill_triggers!$1:$1,0)-MATCH($F$1,enemy_skill_triggers!$1:$1,0)+1),MATCH(L$1,enemy_skill_triggers!$1:$1,0)-MATCH($F$1,enemy_skill_triggers!$1:$1,0)+1,FALSE)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5" s="48">
        <f ca="1">VLOOKUP($F225,OFFSET(enemy_skill_triggers!$A$1,0,0,COUNTA(enemy_skill_triggers!$A:$A),MATCH(M$1,enemy_skill_triggers!$1:$1,0)-MATCH($F$1,enemy_skill_triggers!$1:$1,0)+1),MATCH(M$1,enemy_skill_triggers!$1:$1,0)-MATCH($F$1,enemy_skill_triggers!$1:$1,0)+1,FALSE)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5" s="48" t="str">
        <f ca="1">VLOOKUP($F225,OFFSET(enemy_skill_triggers!$A$1,0,0,COUNTA(enemy_skill_triggers!$A:$A),MATCH(N$1,enemy_skill_triggers!$1:$1,0)-MATCH($F$1,enemy_skill_triggers!$1:$1,0)+1),MATCH(N$1,enemy_skill_triggers!$1:$1,0)-MATCH($F$1,enemy_skill_triggers!$1:$1,0)+1,FALSE)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5" s="48">
        <f ca="1">VLOOKUP($F225,OFFSET(enemy_skill_triggers!$A$1,0,0,COUNTA(enemy_skill_triggers!$A:$A),MATCH(O$1,enemy_skill_triggers!$1:$1,0)-MATCH($F$1,enemy_skill_triggers!$1:$1,0)+1),MATCH(O$1,enemy_skill_triggers!$1:$1,0)-MATCH($F$1,enemy_skill_triggers!$1:$1,0)+1,FALSE)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5" s="47"/>
      <c r="Q225" s="47"/>
      <c r="R225" s="47"/>
    </row>
    <row r="226" spans="1:18" ht="21" customHeight="1" x14ac:dyDescent="0.15">
      <c r="A226" s="39" t="str">
        <f t="shared" ref="A226:A229" si="16">B226&amp;"_"&amp;C226</f>
        <v>47003660_47003665</v>
      </c>
      <c r="B226" s="119">
        <v>47003660</v>
      </c>
      <c r="C226" s="119">
        <v>47003665</v>
      </c>
      <c r="D226" s="46" t="str">
        <f ca="1">VLOOKUP($C226,OFFSET(enemy_skills!$A$1,0,0,COUNTA(enemy_skills!$A:$A),MATCH(D$1,enemy_skills!$1:$1,0)-MATCH("enemy_skill_id",enemy_skills!$1:$1,0)+1),MATCH(D$1,enemy_skills!$1:$1,0)-MATCH("enemy_skill_id",enemy_skills!$1:$1,0)+1,FALSE)</f>
        <v>ふっ…可愛らしい魔女だな…_x000D_お菓子が欲しいのか？</v>
      </c>
      <c r="E226" s="46" t="str">
        <f ca="1">VLOOKUP($C226,OFFSET(enemy_skills!$A$1,0,0,COUNTA(enemy_skills!$A:$A),MATCH(E$1,enemy_skills!$1:$1,0)-MATCH("enemy_skill_id",enemy_skills!$1:$1,0)+1),MATCH(E$1,enemy_skills!$1:$1,0)-MATCH("enemy_skill_id",enemy_skills!$1:$1,0)+1,FALSE)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26" s="119">
        <v>47003665</v>
      </c>
      <c r="G226" s="48">
        <f ca="1">VLOOKUP($F226,OFFSET(enemy_skill_triggers!$A$1,0,0,COUNTA(enemy_skill_triggers!$A:$A),MATCH(G$1,enemy_skill_triggers!$1:$1,0)-MATCH($F$1,enemy_skill_triggers!$1:$1,0)+1),MATCH(G$1,enemy_skill_triggers!$1:$1,0)-MATCH($F$1,enemy_skill_triggers!$1:$1,0)+1,FALSE)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6" s="48">
        <f ca="1">VLOOKUP($F226,OFFSET(enemy_skill_triggers!$A$1,0,0,COUNTA(enemy_skill_triggers!$A:$A),MATCH(H$1,enemy_skill_triggers!$1:$1,0)-MATCH($F$1,enemy_skill_triggers!$1:$1,0)+1),MATCH(H$1,enemy_skill_triggers!$1:$1,0)-MATCH($F$1,enemy_skill_triggers!$1:$1,0)+1,FALSE)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226" s="48">
        <f ca="1">VLOOKUP($F226,OFFSET(enemy_skill_triggers!$A$1,0,0,COUNTA(enemy_skill_triggers!$A:$A),MATCH(I$1,enemy_skill_triggers!$1:$1,0)-MATCH($F$1,enemy_skill_triggers!$1:$1,0)+1),MATCH(I$1,enemy_skill_triggers!$1:$1,0)-MATCH($F$1,enemy_skill_triggers!$1:$1,0)+1,FALSE)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6" s="48" t="str">
        <f ca="1">VLOOKUP($F226,OFFSET(enemy_skill_triggers!$A$1,0,0,COUNTA(enemy_skill_triggers!$A:$A),MATCH(J$1,enemy_skill_triggers!$1:$1,0)-MATCH($F$1,enemy_skill_triggers!$1:$1,0)+1),MATCH(J$1,enemy_skill_triggers!$1:$1,0)-MATCH($F$1,enemy_skill_triggers!$1:$1,0)+1,FALSE)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6" s="48" t="str">
        <f ca="1">VLOOKUP($F226,OFFSET(enemy_skill_triggers!$A$1,0,0,COUNTA(enemy_skill_triggers!$A:$A),MATCH(K$1,enemy_skill_triggers!$1:$1,0)-MATCH($F$1,enemy_skill_triggers!$1:$1,0)+1),MATCH(K$1,enemy_skill_triggers!$1:$1,0)-MATCH($F$1,enemy_skill_triggers!$1:$1,0)+1,FALSE)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6" s="48">
        <f ca="1">VLOOKUP($F226,OFFSET(enemy_skill_triggers!$A$1,0,0,COUNTA(enemy_skill_triggers!$A:$A),MATCH(L$1,enemy_skill_triggers!$1:$1,0)-MATCH($F$1,enemy_skill_triggers!$1:$1,0)+1),MATCH(L$1,enemy_skill_triggers!$1:$1,0)-MATCH($F$1,enemy_skill_triggers!$1:$1,0)+1,FALSE)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6" s="48" t="str">
        <f ca="1">VLOOKUP($F226,OFFSET(enemy_skill_triggers!$A$1,0,0,COUNTA(enemy_skill_triggers!$A:$A),MATCH(M$1,enemy_skill_triggers!$1:$1,0)-MATCH($F$1,enemy_skill_triggers!$1:$1,0)+1),MATCH(M$1,enemy_skill_triggers!$1:$1,0)-MATCH($F$1,enemy_skill_triggers!$1:$1,0)+1,FALSE)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6" s="48">
        <f ca="1">VLOOKUP($F226,OFFSET(enemy_skill_triggers!$A$1,0,0,COUNTA(enemy_skill_triggers!$A:$A),MATCH(N$1,enemy_skill_triggers!$1:$1,0)-MATCH($F$1,enemy_skill_triggers!$1:$1,0)+1),MATCH(N$1,enemy_skill_triggers!$1:$1,0)-MATCH($F$1,enemy_skill_triggers!$1:$1,0)+1,FALSE)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226" s="48">
        <f ca="1">VLOOKUP($F226,OFFSET(enemy_skill_triggers!$A$1,0,0,COUNTA(enemy_skill_triggers!$A:$A),MATCH(O$1,enemy_skill_triggers!$1:$1,0)-MATCH($F$1,enemy_skill_triggers!$1:$1,0)+1),MATCH(O$1,enemy_skill_triggers!$1:$1,0)-MATCH($F$1,enemy_skill_triggers!$1:$1,0)+1,FALSE)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6" s="47"/>
      <c r="Q226" s="47"/>
      <c r="R226" s="47"/>
    </row>
    <row r="227" spans="1:18" ht="21" customHeight="1" x14ac:dyDescent="0.15">
      <c r="A227" s="39" t="str">
        <f t="shared" si="16"/>
        <v>47003660_47003665</v>
      </c>
      <c r="B227" s="119">
        <v>47003660</v>
      </c>
      <c r="C227" s="119">
        <v>47003665</v>
      </c>
      <c r="D227" s="46" t="str">
        <f ca="1">VLOOKUP($C227,OFFSET(enemy_skills!$A$1,0,0,COUNTA(enemy_skills!$A:$A),MATCH(D$1,enemy_skills!$1:$1,0)-MATCH("enemy_skill_id",enemy_skills!$1:$1,0)+1),MATCH(D$1,enemy_skills!$1:$1,0)-MATCH("enemy_skill_id",enemy_skills!$1:$1,0)+1,FALSE)</f>
        <v>ふっ…可愛らしい魔女だな…_x000D_お菓子が欲しいのか？</v>
      </c>
      <c r="E227" s="46" t="str">
        <f ca="1">VLOOKUP($C227,OFFSET(enemy_skills!$A$1,0,0,COUNTA(enemy_skills!$A:$A),MATCH(E$1,enemy_skills!$1:$1,0)-MATCH("enemy_skill_id",enemy_skills!$1:$1,0)+1),MATCH(E$1,enemy_skills!$1:$1,0)-MATCH("enemy_skill_id",enemy_skills!$1:$1,0)+1,FALSE)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27" s="119">
        <v>47003666</v>
      </c>
      <c r="G227" s="48">
        <f ca="1">VLOOKUP($F227,OFFSET(enemy_skill_triggers!$A$1,0,0,COUNTA(enemy_skill_triggers!$A:$A),MATCH(G$1,enemy_skill_triggers!$1:$1,0)-MATCH($F$1,enemy_skill_triggers!$1:$1,0)+1),MATCH(G$1,enemy_skill_triggers!$1:$1,0)-MATCH($F$1,enemy_skill_triggers!$1:$1,0)+1,FALSE)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7" s="48">
        <f ca="1">VLOOKUP($F227,OFFSET(enemy_skill_triggers!$A$1,0,0,COUNTA(enemy_skill_triggers!$A:$A),MATCH(H$1,enemy_skill_triggers!$1:$1,0)-MATCH($F$1,enemy_skill_triggers!$1:$1,0)+1),MATCH(H$1,enemy_skill_triggers!$1:$1,0)-MATCH($F$1,enemy_skill_triggers!$1:$1,0)+1,FALSE)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227" s="48">
        <f ca="1">VLOOKUP($F227,OFFSET(enemy_skill_triggers!$A$1,0,0,COUNTA(enemy_skill_triggers!$A:$A),MATCH(I$1,enemy_skill_triggers!$1:$1,0)-MATCH($F$1,enemy_skill_triggers!$1:$1,0)+1),MATCH(I$1,enemy_skill_triggers!$1:$1,0)-MATCH($F$1,enemy_skill_triggers!$1:$1,0)+1,FALSE)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7" s="48" t="str">
        <f ca="1">VLOOKUP($F227,OFFSET(enemy_skill_triggers!$A$1,0,0,COUNTA(enemy_skill_triggers!$A:$A),MATCH(J$1,enemy_skill_triggers!$1:$1,0)-MATCH($F$1,enemy_skill_triggers!$1:$1,0)+1),MATCH(J$1,enemy_skill_triggers!$1:$1,0)-MATCH($F$1,enemy_skill_triggers!$1:$1,0)+1,FALSE)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7" s="48" t="str">
        <f ca="1">VLOOKUP($F227,OFFSET(enemy_skill_triggers!$A$1,0,0,COUNTA(enemy_skill_triggers!$A:$A),MATCH(K$1,enemy_skill_triggers!$1:$1,0)-MATCH($F$1,enemy_skill_triggers!$1:$1,0)+1),MATCH(K$1,enemy_skill_triggers!$1:$1,0)-MATCH($F$1,enemy_skill_triggers!$1:$1,0)+1,FALSE)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7" s="48">
        <f ca="1">VLOOKUP($F227,OFFSET(enemy_skill_triggers!$A$1,0,0,COUNTA(enemy_skill_triggers!$A:$A),MATCH(L$1,enemy_skill_triggers!$1:$1,0)-MATCH($F$1,enemy_skill_triggers!$1:$1,0)+1),MATCH(L$1,enemy_skill_triggers!$1:$1,0)-MATCH($F$1,enemy_skill_triggers!$1:$1,0)+1,FALSE)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7" s="48" t="str">
        <f ca="1">VLOOKUP($F227,OFFSET(enemy_skill_triggers!$A$1,0,0,COUNTA(enemy_skill_triggers!$A:$A),MATCH(M$1,enemy_skill_triggers!$1:$1,0)-MATCH($F$1,enemy_skill_triggers!$1:$1,0)+1),MATCH(M$1,enemy_skill_triggers!$1:$1,0)-MATCH($F$1,enemy_skill_triggers!$1:$1,0)+1,FALSE)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7" s="48">
        <f ca="1">VLOOKUP($F227,OFFSET(enemy_skill_triggers!$A$1,0,0,COUNTA(enemy_skill_triggers!$A:$A),MATCH(N$1,enemy_skill_triggers!$1:$1,0)-MATCH($F$1,enemy_skill_triggers!$1:$1,0)+1),MATCH(N$1,enemy_skill_triggers!$1:$1,0)-MATCH($F$1,enemy_skill_triggers!$1:$1,0)+1,FALSE)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227" s="48">
        <f ca="1">VLOOKUP($F227,OFFSET(enemy_skill_triggers!$A$1,0,0,COUNTA(enemy_skill_triggers!$A:$A),MATCH(O$1,enemy_skill_triggers!$1:$1,0)-MATCH($F$1,enemy_skill_triggers!$1:$1,0)+1),MATCH(O$1,enemy_skill_triggers!$1:$1,0)-MATCH($F$1,enemy_skill_triggers!$1:$1,0)+1,FALSE)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7" s="47"/>
      <c r="Q227" s="47"/>
      <c r="R227" s="47"/>
    </row>
    <row r="228" spans="1:18" ht="21" customHeight="1" x14ac:dyDescent="0.15">
      <c r="A228" s="39" t="str">
        <f t="shared" si="16"/>
        <v>47003660_47003666</v>
      </c>
      <c r="B228" s="119">
        <v>47003660</v>
      </c>
      <c r="C228" s="119">
        <v>47003666</v>
      </c>
      <c r="D228" s="46" t="str">
        <f ca="1">VLOOKUP($C228,OFFSET(enemy_skills!$A$1,0,0,COUNTA(enemy_skills!$A:$A),MATCH(D$1,enemy_skills!$1:$1,0)-MATCH("enemy_skill_id",enemy_skills!$1:$1,0)+1),MATCH(D$1,enemy_skills!$1:$1,0)-MATCH("enemy_skill_id",enemy_skills!$1:$1,0)+1,FALSE)</f>
        <v>古城の姫か、ラプンツェル_x000D_横にいる執事もお似合いだな</v>
      </c>
      <c r="E228" s="46" t="str">
        <f ca="1">VLOOKUP($C228,OFFSET(enemy_skills!$A$1,0,0,COUNTA(enemy_skills!$A:$A),MATCH(E$1,enemy_skills!$1:$1,0)-MATCH("enemy_skill_id",enemy_skills!$1:$1,0)+1),MATCH(E$1,enemy_skills!$1:$1,0)-MATCH("enemy_skill_id",enemy_skills!$1:$1,0)+1,FALSE)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28" s="119">
        <v>47003667</v>
      </c>
      <c r="G228" s="48">
        <f ca="1">VLOOKUP($F228,OFFSET(enemy_skill_triggers!$A$1,0,0,COUNTA(enemy_skill_triggers!$A:$A),MATCH(G$1,enemy_skill_triggers!$1:$1,0)-MATCH($F$1,enemy_skill_triggers!$1:$1,0)+1),MATCH(G$1,enemy_skill_triggers!$1:$1,0)-MATCH($F$1,enemy_skill_triggers!$1:$1,0)+1,FALSE)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8" s="48">
        <f ca="1">VLOOKUP($F228,OFFSET(enemy_skill_triggers!$A$1,0,0,COUNTA(enemy_skill_triggers!$A:$A),MATCH(H$1,enemy_skill_triggers!$1:$1,0)-MATCH($F$1,enemy_skill_triggers!$1:$1,0)+1),MATCH(H$1,enemy_skill_triggers!$1:$1,0)-MATCH($F$1,enemy_skill_triggers!$1:$1,0)+1,FALSE)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228" s="48">
        <f ca="1">VLOOKUP($F228,OFFSET(enemy_skill_triggers!$A$1,0,0,COUNTA(enemy_skill_triggers!$A:$A),MATCH(I$1,enemy_skill_triggers!$1:$1,0)-MATCH($F$1,enemy_skill_triggers!$1:$1,0)+1),MATCH(I$1,enemy_skill_triggers!$1:$1,0)-MATCH($F$1,enemy_skill_triggers!$1:$1,0)+1,FALSE)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8" s="48" t="str">
        <f ca="1">VLOOKUP($F228,OFFSET(enemy_skill_triggers!$A$1,0,0,COUNTA(enemy_skill_triggers!$A:$A),MATCH(J$1,enemy_skill_triggers!$1:$1,0)-MATCH($F$1,enemy_skill_triggers!$1:$1,0)+1),MATCH(J$1,enemy_skill_triggers!$1:$1,0)-MATCH($F$1,enemy_skill_triggers!$1:$1,0)+1,FALSE)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8" s="48" t="str">
        <f ca="1">VLOOKUP($F228,OFFSET(enemy_skill_triggers!$A$1,0,0,COUNTA(enemy_skill_triggers!$A:$A),MATCH(K$1,enemy_skill_triggers!$1:$1,0)-MATCH($F$1,enemy_skill_triggers!$1:$1,0)+1),MATCH(K$1,enemy_skill_triggers!$1:$1,0)-MATCH($F$1,enemy_skill_triggers!$1:$1,0)+1,FALSE)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8" s="48">
        <f ca="1">VLOOKUP($F228,OFFSET(enemy_skill_triggers!$A$1,0,0,COUNTA(enemy_skill_triggers!$A:$A),MATCH(L$1,enemy_skill_triggers!$1:$1,0)-MATCH($F$1,enemy_skill_triggers!$1:$1,0)+1),MATCH(L$1,enemy_skill_triggers!$1:$1,0)-MATCH($F$1,enemy_skill_triggers!$1:$1,0)+1,FALSE)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8" s="48" t="str">
        <f ca="1">VLOOKUP($F228,OFFSET(enemy_skill_triggers!$A$1,0,0,COUNTA(enemy_skill_triggers!$A:$A),MATCH(M$1,enemy_skill_triggers!$1:$1,0)-MATCH($F$1,enemy_skill_triggers!$1:$1,0)+1),MATCH(M$1,enemy_skill_triggers!$1:$1,0)-MATCH($F$1,enemy_skill_triggers!$1:$1,0)+1,FALSE)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8" s="48">
        <f ca="1">VLOOKUP($F228,OFFSET(enemy_skill_triggers!$A$1,0,0,COUNTA(enemy_skill_triggers!$A:$A),MATCH(N$1,enemy_skill_triggers!$1:$1,0)-MATCH($F$1,enemy_skill_triggers!$1:$1,0)+1),MATCH(N$1,enemy_skill_triggers!$1:$1,0)-MATCH($F$1,enemy_skill_triggers!$1:$1,0)+1,FALSE)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228" s="48">
        <f ca="1">VLOOKUP($F228,OFFSET(enemy_skill_triggers!$A$1,0,0,COUNTA(enemy_skill_triggers!$A:$A),MATCH(O$1,enemy_skill_triggers!$1:$1,0)-MATCH($F$1,enemy_skill_triggers!$1:$1,0)+1),MATCH(O$1,enemy_skill_triggers!$1:$1,0)-MATCH($F$1,enemy_skill_triggers!$1:$1,0)+1,FALSE)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8" s="47"/>
      <c r="Q228" s="47"/>
      <c r="R228" s="47"/>
    </row>
    <row r="229" spans="1:18" ht="21" customHeight="1" x14ac:dyDescent="0.15">
      <c r="A229" s="39" t="str">
        <f t="shared" si="16"/>
        <v>47003660_47003667</v>
      </c>
      <c r="B229" s="119">
        <v>47003660</v>
      </c>
      <c r="C229" s="119">
        <v>47003667</v>
      </c>
      <c r="D229" s="46" t="str">
        <f ca="1">VLOOKUP($C229,OFFSET(enemy_skills!$A$1,0,0,COUNTA(enemy_skills!$A:$A),MATCH(D$1,enemy_skills!$1:$1,0)-MATCH("enemy_skill_id",enemy_skills!$1:$1,0)+1),MATCH(D$1,enemy_skills!$1:$1,0)-MATCH("enemy_skill_id",enemy_skills!$1:$1,0)+1,FALSE)</f>
        <v>勇ましい円卓の騎士も_x000D_祭事にはノリノリだな</v>
      </c>
      <c r="E229" s="46" t="str">
        <f ca="1">VLOOKUP($C229,OFFSET(enemy_skills!$A$1,0,0,COUNTA(enemy_skills!$A:$A),MATCH(E$1,enemy_skills!$1:$1,0)-MATCH("enemy_skill_id",enemy_skills!$1:$1,0)+1),MATCH(E$1,enemy_skills!$1:$1,0)-MATCH("enemy_skill_id",enemy_skills!$1:$1,0)+1,FALSE)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29" s="119">
        <v>47003668</v>
      </c>
      <c r="G229" s="48">
        <f ca="1">VLOOKUP($F229,OFFSET(enemy_skill_triggers!$A$1,0,0,COUNTA(enemy_skill_triggers!$A:$A),MATCH(G$1,enemy_skill_triggers!$1:$1,0)-MATCH($F$1,enemy_skill_triggers!$1:$1,0)+1),MATCH(G$1,enemy_skill_triggers!$1:$1,0)-MATCH($F$1,enemy_skill_triggers!$1:$1,0)+1,FALSE)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9" s="48">
        <f ca="1">VLOOKUP($F229,OFFSET(enemy_skill_triggers!$A$1,0,0,COUNTA(enemy_skill_triggers!$A:$A),MATCH(H$1,enemy_skill_triggers!$1:$1,0)-MATCH($F$1,enemy_skill_triggers!$1:$1,0)+1),MATCH(H$1,enemy_skill_triggers!$1:$1,0)-MATCH($F$1,enemy_skill_triggers!$1:$1,0)+1,FALSE)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229" s="48">
        <f ca="1">VLOOKUP($F229,OFFSET(enemy_skill_triggers!$A$1,0,0,COUNTA(enemy_skill_triggers!$A:$A),MATCH(I$1,enemy_skill_triggers!$1:$1,0)-MATCH($F$1,enemy_skill_triggers!$1:$1,0)+1),MATCH(I$1,enemy_skill_triggers!$1:$1,0)-MATCH($F$1,enemy_skill_triggers!$1:$1,0)+1,FALSE)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9" s="48" t="str">
        <f ca="1">VLOOKUP($F229,OFFSET(enemy_skill_triggers!$A$1,0,0,COUNTA(enemy_skill_triggers!$A:$A),MATCH(J$1,enemy_skill_triggers!$1:$1,0)-MATCH($F$1,enemy_skill_triggers!$1:$1,0)+1),MATCH(J$1,enemy_skill_triggers!$1:$1,0)-MATCH($F$1,enemy_skill_triggers!$1:$1,0)+1,FALSE)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9" s="48" t="str">
        <f ca="1">VLOOKUP($F229,OFFSET(enemy_skill_triggers!$A$1,0,0,COUNTA(enemy_skill_triggers!$A:$A),MATCH(K$1,enemy_skill_triggers!$1:$1,0)-MATCH($F$1,enemy_skill_triggers!$1:$1,0)+1),MATCH(K$1,enemy_skill_triggers!$1:$1,0)-MATCH($F$1,enemy_skill_triggers!$1:$1,0)+1,FALSE)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9" s="48">
        <f ca="1">VLOOKUP($F229,OFFSET(enemy_skill_triggers!$A$1,0,0,COUNTA(enemy_skill_triggers!$A:$A),MATCH(L$1,enemy_skill_triggers!$1:$1,0)-MATCH($F$1,enemy_skill_triggers!$1:$1,0)+1),MATCH(L$1,enemy_skill_triggers!$1:$1,0)-MATCH($F$1,enemy_skill_triggers!$1:$1,0)+1,FALSE)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9" s="48" t="str">
        <f ca="1">VLOOKUP($F229,OFFSET(enemy_skill_triggers!$A$1,0,0,COUNTA(enemy_skill_triggers!$A:$A),MATCH(M$1,enemy_skill_triggers!$1:$1,0)-MATCH($F$1,enemy_skill_triggers!$1:$1,0)+1),MATCH(M$1,enemy_skill_triggers!$1:$1,0)-MATCH($F$1,enemy_skill_triggers!$1:$1,0)+1,FALSE)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9" s="48">
        <f ca="1">VLOOKUP($F229,OFFSET(enemy_skill_triggers!$A$1,0,0,COUNTA(enemy_skill_triggers!$A:$A),MATCH(N$1,enemy_skill_triggers!$1:$1,0)-MATCH($F$1,enemy_skill_triggers!$1:$1,0)+1),MATCH(N$1,enemy_skill_triggers!$1:$1,0)-MATCH($F$1,enemy_skill_triggers!$1:$1,0)+1,FALSE)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229" s="48">
        <f ca="1">VLOOKUP($F229,OFFSET(enemy_skill_triggers!$A$1,0,0,COUNTA(enemy_skill_triggers!$A:$A),MATCH(O$1,enemy_skill_triggers!$1:$1,0)-MATCH($F$1,enemy_skill_triggers!$1:$1,0)+1),MATCH(O$1,enemy_skill_triggers!$1:$1,0)-MATCH($F$1,enemy_skill_triggers!$1:$1,0)+1,FALSE)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9" s="47"/>
      <c r="Q229" s="47"/>
      <c r="R229" s="47"/>
    </row>
    <row r="230" spans="1:18" ht="21" customHeight="1" x14ac:dyDescent="0.15">
      <c r="A230" s="39" t="str">
        <f t="shared" si="15"/>
        <v>47003680_47003681</v>
      </c>
      <c r="B230" s="121">
        <v>47003680</v>
      </c>
      <c r="C230" s="121">
        <v>47003681</v>
      </c>
      <c r="D230" s="46" t="str">
        <f ca="1">VLOOKUP($C230,OFFSET(enemy_skills!$A$1,0,0,COUNTA(enemy_skills!$A:$A),MATCH(D$1,enemy_skills!$1:$1,0)-MATCH("enemy_skill_id",enemy_skills!$1:$1,0)+1),MATCH(D$1,enemy_skills!$1:$1,0)-MATCH("enemy_skill_id",enemy_skills!$1:$1,0)+1,FALSE)</f>
        <v>随分騒がしい夜だね…</v>
      </c>
      <c r="E230" s="46" t="str">
        <f ca="1">VLOOKUP($C230,OFFSET(enemy_skills!$A$1,0,0,COUNTA(enemy_skills!$A:$A),MATCH(E$1,enemy_skills!$1:$1,0)-MATCH("enemy_skill_id",enemy_skills!$1:$1,0)+1),MATCH(E$1,enemy_skills!$1:$1,0)-MATCH("enemy_skill_id",enemy_skills!$1:$1,0)+1,FALSE)</f>
        <v>この喧騒がまたボクを孤独にするんだ…</v>
      </c>
      <c r="F230" s="121">
        <v>47003681</v>
      </c>
      <c r="G230" s="48">
        <f ca="1">VLOOKUP($F230,OFFSET(enemy_skill_triggers!$A$1,0,0,COUNTA(enemy_skill_triggers!$A:$A),MATCH(G$1,enemy_skill_triggers!$1:$1,0)-MATCH($F$1,enemy_skill_triggers!$1:$1,0)+1),MATCH(G$1,enemy_skill_triggers!$1:$1,0)-MATCH($F$1,enemy_skill_triggers!$1:$1,0)+1,FALSE)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0" s="48">
        <f ca="1">VLOOKUP($F230,OFFSET(enemy_skill_triggers!$A$1,0,0,COUNTA(enemy_skill_triggers!$A:$A),MATCH(H$1,enemy_skill_triggers!$1:$1,0)-MATCH($F$1,enemy_skill_triggers!$1:$1,0)+1),MATCH(H$1,enemy_skill_triggers!$1:$1,0)-MATCH($F$1,enemy_skill_triggers!$1:$1,0)+1,FALSE)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0" s="48">
        <f ca="1">VLOOKUP($F230,OFFSET(enemy_skill_triggers!$A$1,0,0,COUNTA(enemy_skill_triggers!$A:$A),MATCH(I$1,enemy_skill_triggers!$1:$1,0)-MATCH($F$1,enemy_skill_triggers!$1:$1,0)+1),MATCH(I$1,enemy_skill_triggers!$1:$1,0)-MATCH($F$1,enemy_skill_triggers!$1:$1,0)+1,FALSE)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0" s="48" t="str">
        <f ca="1">VLOOKUP($F230,OFFSET(enemy_skill_triggers!$A$1,0,0,COUNTA(enemy_skill_triggers!$A:$A),MATCH(J$1,enemy_skill_triggers!$1:$1,0)-MATCH($F$1,enemy_skill_triggers!$1:$1,0)+1),MATCH(J$1,enemy_skill_triggers!$1:$1,0)-MATCH($F$1,enemy_skill_triggers!$1:$1,0)+1,FALSE)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0" s="48" t="str">
        <f ca="1">VLOOKUP($F230,OFFSET(enemy_skill_triggers!$A$1,0,0,COUNTA(enemy_skill_triggers!$A:$A),MATCH(K$1,enemy_skill_triggers!$1:$1,0)-MATCH($F$1,enemy_skill_triggers!$1:$1,0)+1),MATCH(K$1,enemy_skill_triggers!$1:$1,0)-MATCH($F$1,enemy_skill_triggers!$1:$1,0)+1,FALSE)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0" s="48">
        <f ca="1">VLOOKUP($F230,OFFSET(enemy_skill_triggers!$A$1,0,0,COUNTA(enemy_skill_triggers!$A:$A),MATCH(L$1,enemy_skill_triggers!$1:$1,0)-MATCH($F$1,enemy_skill_triggers!$1:$1,0)+1),MATCH(L$1,enemy_skill_triggers!$1:$1,0)-MATCH($F$1,enemy_skill_triggers!$1:$1,0)+1,FALSE)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0" s="48" t="str">
        <f ca="1">VLOOKUP($F230,OFFSET(enemy_skill_triggers!$A$1,0,0,COUNTA(enemy_skill_triggers!$A:$A),MATCH(M$1,enemy_skill_triggers!$1:$1,0)-MATCH($F$1,enemy_skill_triggers!$1:$1,0)+1),MATCH(M$1,enemy_skill_triggers!$1:$1,0)-MATCH($F$1,enemy_skill_triggers!$1:$1,0)+1,FALSE)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0" s="48" t="str">
        <f ca="1">VLOOKUP($F230,OFFSET(enemy_skill_triggers!$A$1,0,0,COUNTA(enemy_skill_triggers!$A:$A),MATCH(N$1,enemy_skill_triggers!$1:$1,0)-MATCH($F$1,enemy_skill_triggers!$1:$1,0)+1),MATCH(N$1,enemy_skill_triggers!$1:$1,0)-MATCH($F$1,enemy_skill_triggers!$1:$1,0)+1,FALSE)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0" s="48">
        <f ca="1">VLOOKUP($F230,OFFSET(enemy_skill_triggers!$A$1,0,0,COUNTA(enemy_skill_triggers!$A:$A),MATCH(O$1,enemy_skill_triggers!$1:$1,0)-MATCH($F$1,enemy_skill_triggers!$1:$1,0)+1),MATCH(O$1,enemy_skill_triggers!$1:$1,0)-MATCH($F$1,enemy_skill_triggers!$1:$1,0)+1,FALSE)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0" s="47"/>
      <c r="Q230" s="47"/>
      <c r="R230" s="47"/>
    </row>
    <row r="231" spans="1:18" ht="21" customHeight="1" x14ac:dyDescent="0.15">
      <c r="A231" s="39" t="str">
        <f t="shared" si="15"/>
        <v>47003680_47003682</v>
      </c>
      <c r="B231" s="121">
        <v>47003680</v>
      </c>
      <c r="C231" s="121">
        <v>47003682</v>
      </c>
      <c r="D231" s="46" t="str">
        <f ca="1">VLOOKUP($C231,OFFSET(enemy_skills!$A$1,0,0,COUNTA(enemy_skills!$A:$A),MATCH(D$1,enemy_skills!$1:$1,0)-MATCH("enemy_skill_id",enemy_skills!$1:$1,0)+1),MATCH(D$1,enemy_skills!$1:$1,0)-MATCH("enemy_skill_id",enemy_skills!$1:$1,0)+1,FALSE)</f>
        <v>悪戯人形</v>
      </c>
      <c r="E231" s="46" t="str">
        <f ca="1">VLOOKUP($C231,OFFSET(enemy_skills!$A$1,0,0,COUNTA(enemy_skills!$A:$A),MATCH(E$1,enemy_skills!$1:$1,0)-MATCH("enemy_skill_id",enemy_skills!$1:$1,0)+1),MATCH(E$1,enemy_skills!$1:$1,0)-MATCH("enemy_skill_id",enemy_skills!$1:$1,0)+1,FALSE)</f>
        <v>ダメージパネルを6個生成+単体攻撃</v>
      </c>
      <c r="F231" s="121">
        <v>47003682</v>
      </c>
      <c r="G231" s="48">
        <f ca="1">VLOOKUP($F231,OFFSET(enemy_skill_triggers!$A$1,0,0,COUNTA(enemy_skill_triggers!$A:$A),MATCH(G$1,enemy_skill_triggers!$1:$1,0)-MATCH($F$1,enemy_skill_triggers!$1:$1,0)+1),MATCH(G$1,enemy_skill_triggers!$1:$1,0)-MATCH($F$1,enemy_skill_triggers!$1:$1,0)+1,FALSE)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1" s="48">
        <f ca="1">VLOOKUP($F231,OFFSET(enemy_skill_triggers!$A$1,0,0,COUNTA(enemy_skill_triggers!$A:$A),MATCH(H$1,enemy_skill_triggers!$1:$1,0)-MATCH($F$1,enemy_skill_triggers!$1:$1,0)+1),MATCH(H$1,enemy_skill_triggers!$1:$1,0)-MATCH($F$1,enemy_skill_triggers!$1:$1,0)+1,FALSE)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31" s="48">
        <f ca="1">VLOOKUP($F231,OFFSET(enemy_skill_triggers!$A$1,0,0,COUNTA(enemy_skill_triggers!$A:$A),MATCH(I$1,enemy_skill_triggers!$1:$1,0)-MATCH($F$1,enemy_skill_triggers!$1:$1,0)+1),MATCH(I$1,enemy_skill_triggers!$1:$1,0)-MATCH($F$1,enemy_skill_triggers!$1:$1,0)+1,FALSE)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1" s="48" t="str">
        <f ca="1">VLOOKUP($F231,OFFSET(enemy_skill_triggers!$A$1,0,0,COUNTA(enemy_skill_triggers!$A:$A),MATCH(J$1,enemy_skill_triggers!$1:$1,0)-MATCH($F$1,enemy_skill_triggers!$1:$1,0)+1),MATCH(J$1,enemy_skill_triggers!$1:$1,0)-MATCH($F$1,enemy_skill_triggers!$1:$1,0)+1,FALSE)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1" s="48" t="str">
        <f ca="1">VLOOKUP($F231,OFFSET(enemy_skill_triggers!$A$1,0,0,COUNTA(enemy_skill_triggers!$A:$A),MATCH(K$1,enemy_skill_triggers!$1:$1,0)-MATCH($F$1,enemy_skill_triggers!$1:$1,0)+1),MATCH(K$1,enemy_skill_triggers!$1:$1,0)-MATCH($F$1,enemy_skill_triggers!$1:$1,0)+1,FALSE)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1" s="48" t="str">
        <f ca="1">VLOOKUP($F231,OFFSET(enemy_skill_triggers!$A$1,0,0,COUNTA(enemy_skill_triggers!$A:$A),MATCH(L$1,enemy_skill_triggers!$1:$1,0)-MATCH($F$1,enemy_skill_triggers!$1:$1,0)+1),MATCH(L$1,enemy_skill_triggers!$1:$1,0)-MATCH($F$1,enemy_skill_triggers!$1:$1,0)+1,FALSE)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1" s="48">
        <f ca="1">VLOOKUP($F231,OFFSET(enemy_skill_triggers!$A$1,0,0,COUNTA(enemy_skill_triggers!$A:$A),MATCH(M$1,enemy_skill_triggers!$1:$1,0)-MATCH($F$1,enemy_skill_triggers!$1:$1,0)+1),MATCH(M$1,enemy_skill_triggers!$1:$1,0)-MATCH($F$1,enemy_skill_triggers!$1:$1,0)+1,FALSE)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1" s="48" t="str">
        <f ca="1">VLOOKUP($F231,OFFSET(enemy_skill_triggers!$A$1,0,0,COUNTA(enemy_skill_triggers!$A:$A),MATCH(N$1,enemy_skill_triggers!$1:$1,0)-MATCH($F$1,enemy_skill_triggers!$1:$1,0)+1),MATCH(N$1,enemy_skill_triggers!$1:$1,0)-MATCH($F$1,enemy_skill_triggers!$1:$1,0)+1,FALSE)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1" s="48">
        <f ca="1">VLOOKUP($F231,OFFSET(enemy_skill_triggers!$A$1,0,0,COUNTA(enemy_skill_triggers!$A:$A),MATCH(O$1,enemy_skill_triggers!$1:$1,0)-MATCH($F$1,enemy_skill_triggers!$1:$1,0)+1),MATCH(O$1,enemy_skill_triggers!$1:$1,0)-MATCH($F$1,enemy_skill_triggers!$1:$1,0)+1,FALSE)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1" s="47"/>
      <c r="Q231" s="47"/>
      <c r="R231" s="47"/>
    </row>
    <row r="232" spans="1:18" ht="21" customHeight="1" x14ac:dyDescent="0.15">
      <c r="A232" s="39" t="str">
        <f t="shared" si="15"/>
        <v>47003680_47003683</v>
      </c>
      <c r="B232" s="121">
        <v>47003680</v>
      </c>
      <c r="C232" s="121">
        <v>47003683</v>
      </c>
      <c r="D232" s="46" t="str">
        <f ca="1">VLOOKUP($C232,OFFSET(enemy_skills!$A$1,0,0,COUNTA(enemy_skills!$A:$A),MATCH(D$1,enemy_skills!$1:$1,0)-MATCH("enemy_skill_id",enemy_skills!$1:$1,0)+1),MATCH(D$1,enemy_skills!$1:$1,0)-MATCH("enemy_skill_id",enemy_skills!$1:$1,0)+1,FALSE)</f>
        <v>魂を手繰る三糸</v>
      </c>
      <c r="E232" s="46" t="str">
        <f ca="1">VLOOKUP($C232,OFFSET(enemy_skills!$A$1,0,0,COUNTA(enemy_skills!$A:$A),MATCH(E$1,enemy_skills!$1:$1,0)-MATCH("enemy_skill_id",enemy_skills!$1:$1,0)+1),MATCH(E$1,enemy_skills!$1:$1,0)-MATCH("enemy_skill_id",enemy_skills!$1:$1,0)+1,FALSE)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32" s="121">
        <v>47003683</v>
      </c>
      <c r="G232" s="48">
        <f ca="1">VLOOKUP($F232,OFFSET(enemy_skill_triggers!$A$1,0,0,COUNTA(enemy_skill_triggers!$A:$A),MATCH(G$1,enemy_skill_triggers!$1:$1,0)-MATCH($F$1,enemy_skill_triggers!$1:$1,0)+1),MATCH(G$1,enemy_skill_triggers!$1:$1,0)-MATCH($F$1,enemy_skill_triggers!$1:$1,0)+1,FALSE)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2" s="48">
        <f ca="1">VLOOKUP($F232,OFFSET(enemy_skill_triggers!$A$1,0,0,COUNTA(enemy_skill_triggers!$A:$A),MATCH(H$1,enemy_skill_triggers!$1:$1,0)-MATCH($F$1,enemy_skill_triggers!$1:$1,0)+1),MATCH(H$1,enemy_skill_triggers!$1:$1,0)-MATCH($F$1,enemy_skill_triggers!$1:$1,0)+1,FALSE)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32" s="48">
        <f ca="1">VLOOKUP($F232,OFFSET(enemy_skill_triggers!$A$1,0,0,COUNTA(enemy_skill_triggers!$A:$A),MATCH(I$1,enemy_skill_triggers!$1:$1,0)-MATCH($F$1,enemy_skill_triggers!$1:$1,0)+1),MATCH(I$1,enemy_skill_triggers!$1:$1,0)-MATCH($F$1,enemy_skill_triggers!$1:$1,0)+1,FALSE)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2" s="48" t="str">
        <f ca="1">VLOOKUP($F232,OFFSET(enemy_skill_triggers!$A$1,0,0,COUNTA(enemy_skill_triggers!$A:$A),MATCH(J$1,enemy_skill_triggers!$1:$1,0)-MATCH($F$1,enemy_skill_triggers!$1:$1,0)+1),MATCH(J$1,enemy_skill_triggers!$1:$1,0)-MATCH($F$1,enemy_skill_triggers!$1:$1,0)+1,FALSE)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2" s="48" t="str">
        <f ca="1">VLOOKUP($F232,OFFSET(enemy_skill_triggers!$A$1,0,0,COUNTA(enemy_skill_triggers!$A:$A),MATCH(K$1,enemy_skill_triggers!$1:$1,0)-MATCH($F$1,enemy_skill_triggers!$1:$1,0)+1),MATCH(K$1,enemy_skill_triggers!$1:$1,0)-MATCH($F$1,enemy_skill_triggers!$1:$1,0)+1,FALSE)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2" s="48" t="str">
        <f ca="1">VLOOKUP($F232,OFFSET(enemy_skill_triggers!$A$1,0,0,COUNTA(enemy_skill_triggers!$A:$A),MATCH(L$1,enemy_skill_triggers!$1:$1,0)-MATCH($F$1,enemy_skill_triggers!$1:$1,0)+1),MATCH(L$1,enemy_skill_triggers!$1:$1,0)-MATCH($F$1,enemy_skill_triggers!$1:$1,0)+1,FALSE)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2" s="48">
        <f ca="1">VLOOKUP($F232,OFFSET(enemy_skill_triggers!$A$1,0,0,COUNTA(enemy_skill_triggers!$A:$A),MATCH(M$1,enemy_skill_triggers!$1:$1,0)-MATCH($F$1,enemy_skill_triggers!$1:$1,0)+1),MATCH(M$1,enemy_skill_triggers!$1:$1,0)-MATCH($F$1,enemy_skill_triggers!$1:$1,0)+1,FALSE)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2" s="48" t="str">
        <f ca="1">VLOOKUP($F232,OFFSET(enemy_skill_triggers!$A$1,0,0,COUNTA(enemy_skill_triggers!$A:$A),MATCH(N$1,enemy_skill_triggers!$1:$1,0)-MATCH($F$1,enemy_skill_triggers!$1:$1,0)+1),MATCH(N$1,enemy_skill_triggers!$1:$1,0)-MATCH($F$1,enemy_skill_triggers!$1:$1,0)+1,FALSE)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2" s="48">
        <f ca="1">VLOOKUP($F232,OFFSET(enemy_skill_triggers!$A$1,0,0,COUNTA(enemy_skill_triggers!$A:$A),MATCH(O$1,enemy_skill_triggers!$1:$1,0)-MATCH($F$1,enemy_skill_triggers!$1:$1,0)+1),MATCH(O$1,enemy_skill_triggers!$1:$1,0)-MATCH($F$1,enemy_skill_triggers!$1:$1,0)+1,FALSE)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2" s="47"/>
      <c r="Q232" s="47"/>
      <c r="R232" s="47"/>
    </row>
    <row r="233" spans="1:18" ht="21" customHeight="1" x14ac:dyDescent="0.15">
      <c r="A233" s="39" t="str">
        <f t="shared" ref="A233" si="17">B233&amp;"_"&amp;C233</f>
        <v>47003680_47003684</v>
      </c>
      <c r="B233" s="121">
        <v>47003680</v>
      </c>
      <c r="C233" s="121">
        <v>47003684</v>
      </c>
      <c r="D233" s="46" t="str">
        <f ca="1">VLOOKUP($C233,OFFSET(enemy_skills!$A$1,0,0,COUNTA(enemy_skills!$A:$A),MATCH(D$1,enemy_skills!$1:$1,0)-MATCH("enemy_skill_id",enemy_skills!$1:$1,0)+1),MATCH(D$1,enemy_skills!$1:$1,0)-MATCH("enemy_skill_id",enemy_skills!$1:$1,0)+1,FALSE)</f>
        <v>ボクに近づかない方がいい…</v>
      </c>
      <c r="E233" s="46" t="str">
        <f ca="1">VLOOKUP($C233,OFFSET(enemy_skills!$A$1,0,0,COUNTA(enemy_skills!$A:$A),MATCH(E$1,enemy_skills!$1:$1,0)-MATCH("enemy_skill_id",enemy_skills!$1:$1,0)+1),MATCH(E$1,enemy_skills!$1:$1,0)-MATCH("enemy_skill_id",enemy_skills!$1:$1,0)+1,FALSE)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33" s="121">
        <v>47003684</v>
      </c>
      <c r="G233" s="48">
        <f ca="1">VLOOKUP($F233,OFFSET(enemy_skill_triggers!$A$1,0,0,COUNTA(enemy_skill_triggers!$A:$A),MATCH(G$1,enemy_skill_triggers!$1:$1,0)-MATCH($F$1,enemy_skill_triggers!$1:$1,0)+1),MATCH(G$1,enemy_skill_triggers!$1:$1,0)-MATCH($F$1,enemy_skill_triggers!$1:$1,0)+1,FALSE)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3" s="48">
        <f ca="1">VLOOKUP($F233,OFFSET(enemy_skill_triggers!$A$1,0,0,COUNTA(enemy_skill_triggers!$A:$A),MATCH(H$1,enemy_skill_triggers!$1:$1,0)-MATCH($F$1,enemy_skill_triggers!$1:$1,0)+1),MATCH(H$1,enemy_skill_triggers!$1:$1,0)-MATCH($F$1,enemy_skill_triggers!$1:$1,0)+1,FALSE)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33" s="48">
        <f ca="1">VLOOKUP($F233,OFFSET(enemy_skill_triggers!$A$1,0,0,COUNTA(enemy_skill_triggers!$A:$A),MATCH(I$1,enemy_skill_triggers!$1:$1,0)-MATCH($F$1,enemy_skill_triggers!$1:$1,0)+1),MATCH(I$1,enemy_skill_triggers!$1:$1,0)-MATCH($F$1,enemy_skill_triggers!$1:$1,0)+1,FALSE)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3" s="48" t="str">
        <f ca="1">VLOOKUP($F233,OFFSET(enemy_skill_triggers!$A$1,0,0,COUNTA(enemy_skill_triggers!$A:$A),MATCH(J$1,enemy_skill_triggers!$1:$1,0)-MATCH($F$1,enemy_skill_triggers!$1:$1,0)+1),MATCH(J$1,enemy_skill_triggers!$1:$1,0)-MATCH($F$1,enemy_skill_triggers!$1:$1,0)+1,FALSE)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3" s="48" t="str">
        <f ca="1">VLOOKUP($F233,OFFSET(enemy_skill_triggers!$A$1,0,0,COUNTA(enemy_skill_triggers!$A:$A),MATCH(K$1,enemy_skill_triggers!$1:$1,0)-MATCH($F$1,enemy_skill_triggers!$1:$1,0)+1),MATCH(K$1,enemy_skill_triggers!$1:$1,0)-MATCH($F$1,enemy_skill_triggers!$1:$1,0)+1,FALSE)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3" s="48" t="str">
        <f ca="1">VLOOKUP($F233,OFFSET(enemy_skill_triggers!$A$1,0,0,COUNTA(enemy_skill_triggers!$A:$A),MATCH(L$1,enemy_skill_triggers!$1:$1,0)-MATCH($F$1,enemy_skill_triggers!$1:$1,0)+1),MATCH(L$1,enemy_skill_triggers!$1:$1,0)-MATCH($F$1,enemy_skill_triggers!$1:$1,0)+1,FALSE)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3" s="48">
        <f ca="1">VLOOKUP($F233,OFFSET(enemy_skill_triggers!$A$1,0,0,COUNTA(enemy_skill_triggers!$A:$A),MATCH(M$1,enemy_skill_triggers!$1:$1,0)-MATCH($F$1,enemy_skill_triggers!$1:$1,0)+1),MATCH(M$1,enemy_skill_triggers!$1:$1,0)-MATCH($F$1,enemy_skill_triggers!$1:$1,0)+1,FALSE)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3" s="48" t="str">
        <f ca="1">VLOOKUP($F233,OFFSET(enemy_skill_triggers!$A$1,0,0,COUNTA(enemy_skill_triggers!$A:$A),MATCH(N$1,enemy_skill_triggers!$1:$1,0)-MATCH($F$1,enemy_skill_triggers!$1:$1,0)+1),MATCH(N$1,enemy_skill_triggers!$1:$1,0)-MATCH($F$1,enemy_skill_triggers!$1:$1,0)+1,FALSE)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3" s="48">
        <f ca="1">VLOOKUP($F233,OFFSET(enemy_skill_triggers!$A$1,0,0,COUNTA(enemy_skill_triggers!$A:$A),MATCH(O$1,enemy_skill_triggers!$1:$1,0)-MATCH($F$1,enemy_skill_triggers!$1:$1,0)+1),MATCH(O$1,enemy_skill_triggers!$1:$1,0)-MATCH($F$1,enemy_skill_triggers!$1:$1,0)+1,FALSE)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3" s="47"/>
      <c r="Q233" s="47"/>
      <c r="R233" s="47"/>
    </row>
    <row r="234" spans="1:18" ht="21" customHeight="1" x14ac:dyDescent="0.15">
      <c r="A234" s="39" t="str">
        <f t="shared" ref="A234:A237" si="18">B234&amp;"_"&amp;C234</f>
        <v>47003680_47003685</v>
      </c>
      <c r="B234" s="121">
        <v>47003680</v>
      </c>
      <c r="C234" s="121">
        <v>47003685</v>
      </c>
      <c r="D234" s="46" t="str">
        <f ca="1">VLOOKUP($C234,OFFSET(enemy_skills!$A$1,0,0,COUNTA(enemy_skills!$A:$A),MATCH(D$1,enemy_skills!$1:$1,0)-MATCH("enemy_skill_id",enemy_skills!$1:$1,0)+1),MATCH(D$1,enemy_skills!$1:$1,0)-MATCH("enemy_skill_id",enemy_skills!$1:$1,0)+1,FALSE)</f>
        <v>小さな魔女…_x000D_ボクが闇の力を分けてあげるよ</v>
      </c>
      <c r="E234" s="46" t="str">
        <f ca="1">VLOOKUP($C234,OFFSET(enemy_skills!$A$1,0,0,COUNTA(enemy_skills!$A:$A),MATCH(E$1,enemy_skills!$1:$1,0)-MATCH("enemy_skill_id",enemy_skills!$1:$1,0)+1),MATCH(E$1,enemy_skills!$1:$1,0)-MATCH("enemy_skill_id",enemy_skills!$1:$1,0)+1,FALSE)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234" s="121">
        <v>47003685</v>
      </c>
      <c r="G234" s="48">
        <f ca="1">VLOOKUP($F234,OFFSET(enemy_skill_triggers!$A$1,0,0,COUNTA(enemy_skill_triggers!$A:$A),MATCH(G$1,enemy_skill_triggers!$1:$1,0)-MATCH($F$1,enemy_skill_triggers!$1:$1,0)+1),MATCH(G$1,enemy_skill_triggers!$1:$1,0)-MATCH($F$1,enemy_skill_triggers!$1:$1,0)+1,FALSE)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4" s="48">
        <f ca="1">VLOOKUP($F234,OFFSET(enemy_skill_triggers!$A$1,0,0,COUNTA(enemy_skill_triggers!$A:$A),MATCH(H$1,enemy_skill_triggers!$1:$1,0)-MATCH($F$1,enemy_skill_triggers!$1:$1,0)+1),MATCH(H$1,enemy_skill_triggers!$1:$1,0)-MATCH($F$1,enemy_skill_triggers!$1:$1,0)+1,FALSE)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234" s="48">
        <f ca="1">VLOOKUP($F234,OFFSET(enemy_skill_triggers!$A$1,0,0,COUNTA(enemy_skill_triggers!$A:$A),MATCH(I$1,enemy_skill_triggers!$1:$1,0)-MATCH($F$1,enemy_skill_triggers!$1:$1,0)+1),MATCH(I$1,enemy_skill_triggers!$1:$1,0)-MATCH($F$1,enemy_skill_triggers!$1:$1,0)+1,FALSE)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4" s="48" t="str">
        <f ca="1">VLOOKUP($F234,OFFSET(enemy_skill_triggers!$A$1,0,0,COUNTA(enemy_skill_triggers!$A:$A),MATCH(J$1,enemy_skill_triggers!$1:$1,0)-MATCH($F$1,enemy_skill_triggers!$1:$1,0)+1),MATCH(J$1,enemy_skill_triggers!$1:$1,0)-MATCH($F$1,enemy_skill_triggers!$1:$1,0)+1,FALSE)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4" s="48" t="str">
        <f ca="1">VLOOKUP($F234,OFFSET(enemy_skill_triggers!$A$1,0,0,COUNTA(enemy_skill_triggers!$A:$A),MATCH(K$1,enemy_skill_triggers!$1:$1,0)-MATCH($F$1,enemy_skill_triggers!$1:$1,0)+1),MATCH(K$1,enemy_skill_triggers!$1:$1,0)-MATCH($F$1,enemy_skill_triggers!$1:$1,0)+1,FALSE)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4" s="48">
        <f ca="1">VLOOKUP($F234,OFFSET(enemy_skill_triggers!$A$1,0,0,COUNTA(enemy_skill_triggers!$A:$A),MATCH(L$1,enemy_skill_triggers!$1:$1,0)-MATCH($F$1,enemy_skill_triggers!$1:$1,0)+1),MATCH(L$1,enemy_skill_triggers!$1:$1,0)-MATCH($F$1,enemy_skill_triggers!$1:$1,0)+1,FALSE)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4" s="48" t="str">
        <f ca="1">VLOOKUP($F234,OFFSET(enemy_skill_triggers!$A$1,0,0,COUNTA(enemy_skill_triggers!$A:$A),MATCH(M$1,enemy_skill_triggers!$1:$1,0)-MATCH($F$1,enemy_skill_triggers!$1:$1,0)+1),MATCH(M$1,enemy_skill_triggers!$1:$1,0)-MATCH($F$1,enemy_skill_triggers!$1:$1,0)+1,FALSE)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4" s="48">
        <f ca="1">VLOOKUP($F234,OFFSET(enemy_skill_triggers!$A$1,0,0,COUNTA(enemy_skill_triggers!$A:$A),MATCH(N$1,enemy_skill_triggers!$1:$1,0)-MATCH($F$1,enemy_skill_triggers!$1:$1,0)+1),MATCH(N$1,enemy_skill_triggers!$1:$1,0)-MATCH($F$1,enemy_skill_triggers!$1:$1,0)+1,FALSE)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234" s="48">
        <f ca="1">VLOOKUP($F234,OFFSET(enemy_skill_triggers!$A$1,0,0,COUNTA(enemy_skill_triggers!$A:$A),MATCH(O$1,enemy_skill_triggers!$1:$1,0)-MATCH($F$1,enemy_skill_triggers!$1:$1,0)+1),MATCH(O$1,enemy_skill_triggers!$1:$1,0)-MATCH($F$1,enemy_skill_triggers!$1:$1,0)+1,FALSE)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4" s="47"/>
      <c r="Q234" s="47"/>
      <c r="R234" s="47"/>
    </row>
    <row r="235" spans="1:18" ht="21" customHeight="1" x14ac:dyDescent="0.15">
      <c r="A235" s="39" t="str">
        <f t="shared" si="18"/>
        <v>47003680_47003685</v>
      </c>
      <c r="B235" s="121">
        <v>47003680</v>
      </c>
      <c r="C235" s="121">
        <v>47003685</v>
      </c>
      <c r="D235" s="46" t="str">
        <f ca="1">VLOOKUP($C235,OFFSET(enemy_skills!$A$1,0,0,COUNTA(enemy_skills!$A:$A),MATCH(D$1,enemy_skills!$1:$1,0)-MATCH("enemy_skill_id",enemy_skills!$1:$1,0)+1),MATCH(D$1,enemy_skills!$1:$1,0)-MATCH("enemy_skill_id",enemy_skills!$1:$1,0)+1,FALSE)</f>
        <v>小さな魔女…_x000D_ボクが闇の力を分けてあげるよ</v>
      </c>
      <c r="E235" s="46" t="str">
        <f ca="1">VLOOKUP($C235,OFFSET(enemy_skills!$A$1,0,0,COUNTA(enemy_skills!$A:$A),MATCH(E$1,enemy_skills!$1:$1,0)-MATCH("enemy_skill_id",enemy_skills!$1:$1,0)+1),MATCH(E$1,enemy_skills!$1:$1,0)-MATCH("enemy_skill_id",enemy_skills!$1:$1,0)+1,FALSE)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235" s="121">
        <v>47003686</v>
      </c>
      <c r="G235" s="48">
        <f ca="1">VLOOKUP($F235,OFFSET(enemy_skill_triggers!$A$1,0,0,COUNTA(enemy_skill_triggers!$A:$A),MATCH(G$1,enemy_skill_triggers!$1:$1,0)-MATCH($F$1,enemy_skill_triggers!$1:$1,0)+1),MATCH(G$1,enemy_skill_triggers!$1:$1,0)-MATCH($F$1,enemy_skill_triggers!$1:$1,0)+1,FALSE)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5" s="48">
        <f ca="1">VLOOKUP($F235,OFFSET(enemy_skill_triggers!$A$1,0,0,COUNTA(enemy_skill_triggers!$A:$A),MATCH(H$1,enemy_skill_triggers!$1:$1,0)-MATCH($F$1,enemy_skill_triggers!$1:$1,0)+1),MATCH(H$1,enemy_skill_triggers!$1:$1,0)-MATCH($F$1,enemy_skill_triggers!$1:$1,0)+1,FALSE)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235" s="48">
        <f ca="1">VLOOKUP($F235,OFFSET(enemy_skill_triggers!$A$1,0,0,COUNTA(enemy_skill_triggers!$A:$A),MATCH(I$1,enemy_skill_triggers!$1:$1,0)-MATCH($F$1,enemy_skill_triggers!$1:$1,0)+1),MATCH(I$1,enemy_skill_triggers!$1:$1,0)-MATCH($F$1,enemy_skill_triggers!$1:$1,0)+1,FALSE)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5" s="48" t="str">
        <f ca="1">VLOOKUP($F235,OFFSET(enemy_skill_triggers!$A$1,0,0,COUNTA(enemy_skill_triggers!$A:$A),MATCH(J$1,enemy_skill_triggers!$1:$1,0)-MATCH($F$1,enemy_skill_triggers!$1:$1,0)+1),MATCH(J$1,enemy_skill_triggers!$1:$1,0)-MATCH($F$1,enemy_skill_triggers!$1:$1,0)+1,FALSE)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5" s="48" t="str">
        <f ca="1">VLOOKUP($F235,OFFSET(enemy_skill_triggers!$A$1,0,0,COUNTA(enemy_skill_triggers!$A:$A),MATCH(K$1,enemy_skill_triggers!$1:$1,0)-MATCH($F$1,enemy_skill_triggers!$1:$1,0)+1),MATCH(K$1,enemy_skill_triggers!$1:$1,0)-MATCH($F$1,enemy_skill_triggers!$1:$1,0)+1,FALSE)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5" s="48">
        <f ca="1">VLOOKUP($F235,OFFSET(enemy_skill_triggers!$A$1,0,0,COUNTA(enemy_skill_triggers!$A:$A),MATCH(L$1,enemy_skill_triggers!$1:$1,0)-MATCH($F$1,enemy_skill_triggers!$1:$1,0)+1),MATCH(L$1,enemy_skill_triggers!$1:$1,0)-MATCH($F$1,enemy_skill_triggers!$1:$1,0)+1,FALSE)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5" s="48" t="str">
        <f ca="1">VLOOKUP($F235,OFFSET(enemy_skill_triggers!$A$1,0,0,COUNTA(enemy_skill_triggers!$A:$A),MATCH(M$1,enemy_skill_triggers!$1:$1,0)-MATCH($F$1,enemy_skill_triggers!$1:$1,0)+1),MATCH(M$1,enemy_skill_triggers!$1:$1,0)-MATCH($F$1,enemy_skill_triggers!$1:$1,0)+1,FALSE)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5" s="48">
        <f ca="1">VLOOKUP($F235,OFFSET(enemy_skill_triggers!$A$1,0,0,COUNTA(enemy_skill_triggers!$A:$A),MATCH(N$1,enemy_skill_triggers!$1:$1,0)-MATCH($F$1,enemy_skill_triggers!$1:$1,0)+1),MATCH(N$1,enemy_skill_triggers!$1:$1,0)-MATCH($F$1,enemy_skill_triggers!$1:$1,0)+1,FALSE)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235" s="48">
        <f ca="1">VLOOKUP($F235,OFFSET(enemy_skill_triggers!$A$1,0,0,COUNTA(enemy_skill_triggers!$A:$A),MATCH(O$1,enemy_skill_triggers!$1:$1,0)-MATCH($F$1,enemy_skill_triggers!$1:$1,0)+1),MATCH(O$1,enemy_skill_triggers!$1:$1,0)-MATCH($F$1,enemy_skill_triggers!$1:$1,0)+1,FALSE)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5" s="47"/>
      <c r="Q235" s="47"/>
      <c r="R235" s="47"/>
    </row>
    <row r="236" spans="1:18" ht="21" customHeight="1" x14ac:dyDescent="0.15">
      <c r="A236" s="39" t="str">
        <f t="shared" si="18"/>
        <v>47003680_47003686</v>
      </c>
      <c r="B236" s="121">
        <v>47003680</v>
      </c>
      <c r="C236" s="121">
        <v>47003686</v>
      </c>
      <c r="D236" s="46" t="str">
        <f ca="1">VLOOKUP($C236,OFFSET(enemy_skills!$A$1,0,0,COUNTA(enemy_skills!$A:$A),MATCH(D$1,enemy_skills!$1:$1,0)-MATCH("enemy_skill_id",enemy_skills!$1:$1,0)+1),MATCH(D$1,enemy_skills!$1:$1,0)-MATCH("enemy_skill_id",enemy_skills!$1:$1,0)+1,FALSE)</f>
        <v>美しい姫君か…_x000D_闇に染まったボクを倒せるかな？</v>
      </c>
      <c r="E236" s="46" t="str">
        <f ca="1">VLOOKUP($C236,OFFSET(enemy_skills!$A$1,0,0,COUNTA(enemy_skills!$A:$A),MATCH(E$1,enemy_skills!$1:$1,0)-MATCH("enemy_skill_id",enemy_skills!$1:$1,0)+1),MATCH(E$1,enemy_skills!$1:$1,0)-MATCH("enemy_skill_id",enemy_skills!$1:$1,0)+1,FALSE)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236" s="121">
        <v>47003687</v>
      </c>
      <c r="G236" s="48">
        <f ca="1">VLOOKUP($F236,OFFSET(enemy_skill_triggers!$A$1,0,0,COUNTA(enemy_skill_triggers!$A:$A),MATCH(G$1,enemy_skill_triggers!$1:$1,0)-MATCH($F$1,enemy_skill_triggers!$1:$1,0)+1),MATCH(G$1,enemy_skill_triggers!$1:$1,0)-MATCH($F$1,enemy_skill_triggers!$1:$1,0)+1,FALSE)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6" s="48">
        <f ca="1">VLOOKUP($F236,OFFSET(enemy_skill_triggers!$A$1,0,0,COUNTA(enemy_skill_triggers!$A:$A),MATCH(H$1,enemy_skill_triggers!$1:$1,0)-MATCH($F$1,enemy_skill_triggers!$1:$1,0)+1),MATCH(H$1,enemy_skill_triggers!$1:$1,0)-MATCH($F$1,enemy_skill_triggers!$1:$1,0)+1,FALSE)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236" s="48">
        <f ca="1">VLOOKUP($F236,OFFSET(enemy_skill_triggers!$A$1,0,0,COUNTA(enemy_skill_triggers!$A:$A),MATCH(I$1,enemy_skill_triggers!$1:$1,0)-MATCH($F$1,enemy_skill_triggers!$1:$1,0)+1),MATCH(I$1,enemy_skill_triggers!$1:$1,0)-MATCH($F$1,enemy_skill_triggers!$1:$1,0)+1,FALSE)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6" s="48" t="str">
        <f ca="1">VLOOKUP($F236,OFFSET(enemy_skill_triggers!$A$1,0,0,COUNTA(enemy_skill_triggers!$A:$A),MATCH(J$1,enemy_skill_triggers!$1:$1,0)-MATCH($F$1,enemy_skill_triggers!$1:$1,0)+1),MATCH(J$1,enemy_skill_triggers!$1:$1,0)-MATCH($F$1,enemy_skill_triggers!$1:$1,0)+1,FALSE)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6" s="48" t="str">
        <f ca="1">VLOOKUP($F236,OFFSET(enemy_skill_triggers!$A$1,0,0,COUNTA(enemy_skill_triggers!$A:$A),MATCH(K$1,enemy_skill_triggers!$1:$1,0)-MATCH($F$1,enemy_skill_triggers!$1:$1,0)+1),MATCH(K$1,enemy_skill_triggers!$1:$1,0)-MATCH($F$1,enemy_skill_triggers!$1:$1,0)+1,FALSE)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6" s="48">
        <f ca="1">VLOOKUP($F236,OFFSET(enemy_skill_triggers!$A$1,0,0,COUNTA(enemy_skill_triggers!$A:$A),MATCH(L$1,enemy_skill_triggers!$1:$1,0)-MATCH($F$1,enemy_skill_triggers!$1:$1,0)+1),MATCH(L$1,enemy_skill_triggers!$1:$1,0)-MATCH($F$1,enemy_skill_triggers!$1:$1,0)+1,FALSE)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6" s="48" t="str">
        <f ca="1">VLOOKUP($F236,OFFSET(enemy_skill_triggers!$A$1,0,0,COUNTA(enemy_skill_triggers!$A:$A),MATCH(M$1,enemy_skill_triggers!$1:$1,0)-MATCH($F$1,enemy_skill_triggers!$1:$1,0)+1),MATCH(M$1,enemy_skill_triggers!$1:$1,0)-MATCH($F$1,enemy_skill_triggers!$1:$1,0)+1,FALSE)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6" s="48">
        <f ca="1">VLOOKUP($F236,OFFSET(enemy_skill_triggers!$A$1,0,0,COUNTA(enemy_skill_triggers!$A:$A),MATCH(N$1,enemy_skill_triggers!$1:$1,0)-MATCH($F$1,enemy_skill_triggers!$1:$1,0)+1),MATCH(N$1,enemy_skill_triggers!$1:$1,0)-MATCH($F$1,enemy_skill_triggers!$1:$1,0)+1,FALSE)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236" s="48">
        <f ca="1">VLOOKUP($F236,OFFSET(enemy_skill_triggers!$A$1,0,0,COUNTA(enemy_skill_triggers!$A:$A),MATCH(O$1,enemy_skill_triggers!$1:$1,0)-MATCH($F$1,enemy_skill_triggers!$1:$1,0)+1),MATCH(O$1,enemy_skill_triggers!$1:$1,0)-MATCH($F$1,enemy_skill_triggers!$1:$1,0)+1,FALSE)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6" s="47"/>
      <c r="Q236" s="47"/>
      <c r="R236" s="47"/>
    </row>
    <row r="237" spans="1:18" ht="21" customHeight="1" x14ac:dyDescent="0.15">
      <c r="A237" s="39" t="str">
        <f t="shared" si="18"/>
        <v>47003680_47003687</v>
      </c>
      <c r="B237" s="121">
        <v>47003680</v>
      </c>
      <c r="C237" s="121">
        <v>47003687</v>
      </c>
      <c r="D237" s="46" t="str">
        <f ca="1">VLOOKUP($C237,OFFSET(enemy_skills!$A$1,0,0,COUNTA(enemy_skills!$A:$A),MATCH(D$1,enemy_skills!$1:$1,0)-MATCH("enemy_skill_id",enemy_skills!$1:$1,0)+1),MATCH(D$1,enemy_skills!$1:$1,0)-MATCH("enemy_skill_id",enemy_skills!$1:$1,0)+1,FALSE)</f>
        <v>常闇の帝王、ヴァンパイア…_x000D_その実力見せてもらうよ</v>
      </c>
      <c r="E237" s="46" t="str">
        <f ca="1">VLOOKUP($C237,OFFSET(enemy_skills!$A$1,0,0,COUNTA(enemy_skills!$A:$A),MATCH(E$1,enemy_skills!$1:$1,0)-MATCH("enemy_skill_id",enemy_skills!$1:$1,0)+1),MATCH(E$1,enemy_skills!$1:$1,0)-MATCH("enemy_skill_id",enemy_skills!$1:$1,0)+1,FALSE)</f>
        <v>黄パネルドロップDOWN</v>
      </c>
      <c r="F237" s="121">
        <v>47003688</v>
      </c>
      <c r="G237" s="48">
        <f ca="1">VLOOKUP($F237,OFFSET(enemy_skill_triggers!$A$1,0,0,COUNTA(enemy_skill_triggers!$A:$A),MATCH(G$1,enemy_skill_triggers!$1:$1,0)-MATCH($F$1,enemy_skill_triggers!$1:$1,0)+1),MATCH(G$1,enemy_skill_triggers!$1:$1,0)-MATCH($F$1,enemy_skill_triggers!$1:$1,0)+1,FALSE)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7" s="48">
        <f ca="1">VLOOKUP($F237,OFFSET(enemy_skill_triggers!$A$1,0,0,COUNTA(enemy_skill_triggers!$A:$A),MATCH(H$1,enemy_skill_triggers!$1:$1,0)-MATCH($F$1,enemy_skill_triggers!$1:$1,0)+1),MATCH(H$1,enemy_skill_triggers!$1:$1,0)-MATCH($F$1,enemy_skill_triggers!$1:$1,0)+1,FALSE)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237" s="48">
        <f ca="1">VLOOKUP($F237,OFFSET(enemy_skill_triggers!$A$1,0,0,COUNTA(enemy_skill_triggers!$A:$A),MATCH(I$1,enemy_skill_triggers!$1:$1,0)-MATCH($F$1,enemy_skill_triggers!$1:$1,0)+1),MATCH(I$1,enemy_skill_triggers!$1:$1,0)-MATCH($F$1,enemy_skill_triggers!$1:$1,0)+1,FALSE)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7" s="48" t="str">
        <f ca="1">VLOOKUP($F237,OFFSET(enemy_skill_triggers!$A$1,0,0,COUNTA(enemy_skill_triggers!$A:$A),MATCH(J$1,enemy_skill_triggers!$1:$1,0)-MATCH($F$1,enemy_skill_triggers!$1:$1,0)+1),MATCH(J$1,enemy_skill_triggers!$1:$1,0)-MATCH($F$1,enemy_skill_triggers!$1:$1,0)+1,FALSE)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7" s="48" t="str">
        <f ca="1">VLOOKUP($F237,OFFSET(enemy_skill_triggers!$A$1,0,0,COUNTA(enemy_skill_triggers!$A:$A),MATCH(K$1,enemy_skill_triggers!$1:$1,0)-MATCH($F$1,enemy_skill_triggers!$1:$1,0)+1),MATCH(K$1,enemy_skill_triggers!$1:$1,0)-MATCH($F$1,enemy_skill_triggers!$1:$1,0)+1,FALSE)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7" s="48">
        <f ca="1">VLOOKUP($F237,OFFSET(enemy_skill_triggers!$A$1,0,0,COUNTA(enemy_skill_triggers!$A:$A),MATCH(L$1,enemy_skill_triggers!$1:$1,0)-MATCH($F$1,enemy_skill_triggers!$1:$1,0)+1),MATCH(L$1,enemy_skill_triggers!$1:$1,0)-MATCH($F$1,enemy_skill_triggers!$1:$1,0)+1,FALSE)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7" s="48" t="str">
        <f ca="1">VLOOKUP($F237,OFFSET(enemy_skill_triggers!$A$1,0,0,COUNTA(enemy_skill_triggers!$A:$A),MATCH(M$1,enemy_skill_triggers!$1:$1,0)-MATCH($F$1,enemy_skill_triggers!$1:$1,0)+1),MATCH(M$1,enemy_skill_triggers!$1:$1,0)-MATCH($F$1,enemy_skill_triggers!$1:$1,0)+1,FALSE)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7" s="48">
        <f ca="1">VLOOKUP($F237,OFFSET(enemy_skill_triggers!$A$1,0,0,COUNTA(enemy_skill_triggers!$A:$A),MATCH(N$1,enemy_skill_triggers!$1:$1,0)-MATCH($F$1,enemy_skill_triggers!$1:$1,0)+1),MATCH(N$1,enemy_skill_triggers!$1:$1,0)-MATCH($F$1,enemy_skill_triggers!$1:$1,0)+1,FALSE)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237" s="48">
        <f ca="1">VLOOKUP($F237,OFFSET(enemy_skill_triggers!$A$1,0,0,COUNTA(enemy_skill_triggers!$A:$A),MATCH(O$1,enemy_skill_triggers!$1:$1,0)-MATCH($F$1,enemy_skill_triggers!$1:$1,0)+1),MATCH(O$1,enemy_skill_triggers!$1:$1,0)-MATCH($F$1,enemy_skill_triggers!$1:$1,0)+1,FALSE)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7" s="47"/>
      <c r="Q237" s="47"/>
      <c r="R237" s="47"/>
    </row>
    <row r="238" spans="1:18" ht="21" customHeight="1" x14ac:dyDescent="0.15">
      <c r="A238" s="39" t="str">
        <f t="shared" si="8"/>
        <v>47003700_47003701</v>
      </c>
      <c r="B238" s="47">
        <v>47003700</v>
      </c>
      <c r="C238" s="122">
        <v>47003701</v>
      </c>
      <c r="D238" s="46" t="str">
        <f ca="1">VLOOKUP($C238,OFFSET(enemy_skills!$A$1,0,0,COUNTA(enemy_skills!$A:$A),MATCH(D$1,enemy_skills!$1:$1,0)-MATCH("enemy_skill_id",enemy_skills!$1:$1,0)+1),MATCH(D$1,enemy_skills!$1:$1,0)-MATCH("enemy_skill_id",enemy_skills!$1:$1,0)+1,FALSE)</f>
        <v>ふふ…月が綺麗な夜ですね…</v>
      </c>
      <c r="E238" s="46" t="str">
        <f ca="1">VLOOKUP($C238,OFFSET(enemy_skills!$A$1,0,0,COUNTA(enemy_skills!$A:$A),MATCH(E$1,enemy_skills!$1:$1,0)-MATCH("enemy_skill_id",enemy_skills!$1:$1,0)+1),MATCH(E$1,enemy_skills!$1:$1,0)-MATCH("enemy_skill_id",enemy_skills!$1:$1,0)+1,FALSE)</f>
        <v>ならば、私も負けずに輝きます！</v>
      </c>
      <c r="F238" s="122">
        <v>47003701</v>
      </c>
      <c r="G238" s="48">
        <f ca="1">VLOOKUP($F238,OFFSET(enemy_skill_triggers!$A$1,0,0,COUNTA(enemy_skill_triggers!$A:$A),MATCH(G$1,enemy_skill_triggers!$1:$1,0)-MATCH($F$1,enemy_skill_triggers!$1:$1,0)+1),MATCH(G$1,enemy_skill_triggers!$1:$1,0)-MATCH($F$1,enemy_skill_triggers!$1:$1,0)+1,FALSE)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8" s="48">
        <f ca="1">VLOOKUP($F238,OFFSET(enemy_skill_triggers!$A$1,0,0,COUNTA(enemy_skill_triggers!$A:$A),MATCH(H$1,enemy_skill_triggers!$1:$1,0)-MATCH($F$1,enemy_skill_triggers!$1:$1,0)+1),MATCH(H$1,enemy_skill_triggers!$1:$1,0)-MATCH($F$1,enemy_skill_triggers!$1:$1,0)+1,FALSE)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8" s="48">
        <f ca="1">VLOOKUP($F238,OFFSET(enemy_skill_triggers!$A$1,0,0,COUNTA(enemy_skill_triggers!$A:$A),MATCH(I$1,enemy_skill_triggers!$1:$1,0)-MATCH($F$1,enemy_skill_triggers!$1:$1,0)+1),MATCH(I$1,enemy_skill_triggers!$1:$1,0)-MATCH($F$1,enemy_skill_triggers!$1:$1,0)+1,FALSE)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8" s="48" t="str">
        <f ca="1">VLOOKUP($F238,OFFSET(enemy_skill_triggers!$A$1,0,0,COUNTA(enemy_skill_triggers!$A:$A),MATCH(J$1,enemy_skill_triggers!$1:$1,0)-MATCH($F$1,enemy_skill_triggers!$1:$1,0)+1),MATCH(J$1,enemy_skill_triggers!$1:$1,0)-MATCH($F$1,enemy_skill_triggers!$1:$1,0)+1,FALSE)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8" s="48" t="str">
        <f ca="1">VLOOKUP($F238,OFFSET(enemy_skill_triggers!$A$1,0,0,COUNTA(enemy_skill_triggers!$A:$A),MATCH(K$1,enemy_skill_triggers!$1:$1,0)-MATCH($F$1,enemy_skill_triggers!$1:$1,0)+1),MATCH(K$1,enemy_skill_triggers!$1:$1,0)-MATCH($F$1,enemy_skill_triggers!$1:$1,0)+1,FALSE)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8" s="48">
        <f ca="1">VLOOKUP($F238,OFFSET(enemy_skill_triggers!$A$1,0,0,COUNTA(enemy_skill_triggers!$A:$A),MATCH(L$1,enemy_skill_triggers!$1:$1,0)-MATCH($F$1,enemy_skill_triggers!$1:$1,0)+1),MATCH(L$1,enemy_skill_triggers!$1:$1,0)-MATCH($F$1,enemy_skill_triggers!$1:$1,0)+1,FALSE)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8" s="48" t="str">
        <f ca="1">VLOOKUP($F238,OFFSET(enemy_skill_triggers!$A$1,0,0,COUNTA(enemy_skill_triggers!$A:$A),MATCH(M$1,enemy_skill_triggers!$1:$1,0)-MATCH($F$1,enemy_skill_triggers!$1:$1,0)+1),MATCH(M$1,enemy_skill_triggers!$1:$1,0)-MATCH($F$1,enemy_skill_triggers!$1:$1,0)+1,FALSE)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8" s="48" t="str">
        <f ca="1">VLOOKUP($F238,OFFSET(enemy_skill_triggers!$A$1,0,0,COUNTA(enemy_skill_triggers!$A:$A),MATCH(N$1,enemy_skill_triggers!$1:$1,0)-MATCH($F$1,enemy_skill_triggers!$1:$1,0)+1),MATCH(N$1,enemy_skill_triggers!$1:$1,0)-MATCH($F$1,enemy_skill_triggers!$1:$1,0)+1,FALSE)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8" s="48">
        <f ca="1">VLOOKUP($F238,OFFSET(enemy_skill_triggers!$A$1,0,0,COUNTA(enemy_skill_triggers!$A:$A),MATCH(O$1,enemy_skill_triggers!$1:$1,0)-MATCH($F$1,enemy_skill_triggers!$1:$1,0)+1),MATCH(O$1,enemy_skill_triggers!$1:$1,0)-MATCH($F$1,enemy_skill_triggers!$1:$1,0)+1,FALSE)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8" s="47"/>
      <c r="Q238" s="47"/>
      <c r="R238" s="47"/>
    </row>
    <row r="239" spans="1:18" ht="21" customHeight="1" x14ac:dyDescent="0.15">
      <c r="A239" s="39" t="str">
        <f t="shared" si="8"/>
        <v>47003700_47003702</v>
      </c>
      <c r="B239" s="47">
        <v>47003700</v>
      </c>
      <c r="C239" s="122">
        <v>47003702</v>
      </c>
      <c r="D239" s="46" t="str">
        <f ca="1">VLOOKUP($C239,OFFSET(enemy_skills!$A$1,0,0,COUNTA(enemy_skills!$A:$A),MATCH(D$1,enemy_skills!$1:$1,0)-MATCH("enemy_skill_id",enemy_skills!$1:$1,0)+1),MATCH(D$1,enemy_skills!$1:$1,0)-MATCH("enemy_skill_id",enemy_skills!$1:$1,0)+1,FALSE)</f>
        <v>ビリビリします！</v>
      </c>
      <c r="E239" s="46" t="str">
        <f ca="1">VLOOKUP($C239,OFFSET(enemy_skills!$A$1,0,0,COUNTA(enemy_skills!$A:$A),MATCH(E$1,enemy_skills!$1:$1,0)-MATCH("enemy_skill_id",enemy_skills!$1:$1,0)+1),MATCH(E$1,enemy_skills!$1:$1,0)-MATCH("enemy_skill_id",enemy_skills!$1:$1,0)+1,FALSE)</f>
        <v>種族マシンのユニットに4ターンスキルバインド+_x000D_種族マシンのユニットに大ダメージの全体攻撃</v>
      </c>
      <c r="F239" s="122">
        <v>47003702</v>
      </c>
      <c r="G239" s="48">
        <f ca="1">VLOOKUP($F239,OFFSET(enemy_skill_triggers!$A$1,0,0,COUNTA(enemy_skill_triggers!$A:$A),MATCH(G$1,enemy_skill_triggers!$1:$1,0)-MATCH($F$1,enemy_skill_triggers!$1:$1,0)+1),MATCH(G$1,enemy_skill_triggers!$1:$1,0)-MATCH($F$1,enemy_skill_triggers!$1:$1,0)+1,FALSE)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9" s="48">
        <f ca="1">VLOOKUP($F239,OFFSET(enemy_skill_triggers!$A$1,0,0,COUNTA(enemy_skill_triggers!$A:$A),MATCH(H$1,enemy_skill_triggers!$1:$1,0)-MATCH($F$1,enemy_skill_triggers!$1:$1,0)+1),MATCH(H$1,enemy_skill_triggers!$1:$1,0)-MATCH($F$1,enemy_skill_triggers!$1:$1,0)+1,FALSE)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39" s="48">
        <f ca="1">VLOOKUP($F239,OFFSET(enemy_skill_triggers!$A$1,0,0,COUNTA(enemy_skill_triggers!$A:$A),MATCH(I$1,enemy_skill_triggers!$1:$1,0)-MATCH($F$1,enemy_skill_triggers!$1:$1,0)+1),MATCH(I$1,enemy_skill_triggers!$1:$1,0)-MATCH($F$1,enemy_skill_triggers!$1:$1,0)+1,FALSE)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9" s="48" t="str">
        <f ca="1">VLOOKUP($F239,OFFSET(enemy_skill_triggers!$A$1,0,0,COUNTA(enemy_skill_triggers!$A:$A),MATCH(J$1,enemy_skill_triggers!$1:$1,0)-MATCH($F$1,enemy_skill_triggers!$1:$1,0)+1),MATCH(J$1,enemy_skill_triggers!$1:$1,0)-MATCH($F$1,enemy_skill_triggers!$1:$1,0)+1,FALSE)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9" s="48" t="str">
        <f ca="1">VLOOKUP($F239,OFFSET(enemy_skill_triggers!$A$1,0,0,COUNTA(enemy_skill_triggers!$A:$A),MATCH(K$1,enemy_skill_triggers!$1:$1,0)-MATCH($F$1,enemy_skill_triggers!$1:$1,0)+1),MATCH(K$1,enemy_skill_triggers!$1:$1,0)-MATCH($F$1,enemy_skill_triggers!$1:$1,0)+1,FALSE)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9" s="48" t="str">
        <f ca="1">VLOOKUP($F239,OFFSET(enemy_skill_triggers!$A$1,0,0,COUNTA(enemy_skill_triggers!$A:$A),MATCH(L$1,enemy_skill_triggers!$1:$1,0)-MATCH($F$1,enemy_skill_triggers!$1:$1,0)+1),MATCH(L$1,enemy_skill_triggers!$1:$1,0)-MATCH($F$1,enemy_skill_triggers!$1:$1,0)+1,FALSE)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9" s="48">
        <f ca="1">VLOOKUP($F239,OFFSET(enemy_skill_triggers!$A$1,0,0,COUNTA(enemy_skill_triggers!$A:$A),MATCH(M$1,enemy_skill_triggers!$1:$1,0)-MATCH($F$1,enemy_skill_triggers!$1:$1,0)+1),MATCH(M$1,enemy_skill_triggers!$1:$1,0)-MATCH($F$1,enemy_skill_triggers!$1:$1,0)+1,FALSE)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9" s="48" t="str">
        <f ca="1">VLOOKUP($F239,OFFSET(enemy_skill_triggers!$A$1,0,0,COUNTA(enemy_skill_triggers!$A:$A),MATCH(N$1,enemy_skill_triggers!$1:$1,0)-MATCH($F$1,enemy_skill_triggers!$1:$1,0)+1),MATCH(N$1,enemy_skill_triggers!$1:$1,0)-MATCH($F$1,enemy_skill_triggers!$1:$1,0)+1,FALSE)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9" s="48">
        <f ca="1">VLOOKUP($F239,OFFSET(enemy_skill_triggers!$A$1,0,0,COUNTA(enemy_skill_triggers!$A:$A),MATCH(O$1,enemy_skill_triggers!$1:$1,0)-MATCH($F$1,enemy_skill_triggers!$1:$1,0)+1),MATCH(O$1,enemy_skill_triggers!$1:$1,0)-MATCH($F$1,enemy_skill_triggers!$1:$1,0)+1,FALSE)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9" s="47"/>
      <c r="Q239" s="47"/>
      <c r="R239" s="47"/>
    </row>
    <row r="240" spans="1:18" ht="21" customHeight="1" x14ac:dyDescent="0.15">
      <c r="A240" s="39" t="str">
        <f t="shared" si="8"/>
        <v>47003700_47003703</v>
      </c>
      <c r="B240" s="47">
        <v>47003700</v>
      </c>
      <c r="C240" s="122">
        <v>47003703</v>
      </c>
      <c r="D240" s="46" t="str">
        <f ca="1">VLOOKUP($C240,OFFSET(enemy_skills!$A$1,0,0,COUNTA(enemy_skills!$A:$A),MATCH(D$1,enemy_skills!$1:$1,0)-MATCH("enemy_skill_id",enemy_skills!$1:$1,0)+1),MATCH(D$1,enemy_skills!$1:$1,0)-MATCH("enemy_skill_id",enemy_skills!$1:$1,0)+1,FALSE)</f>
        <v>闇夜を切り裂く雷光</v>
      </c>
      <c r="E240" s="46" t="str">
        <f ca="1">VLOOKUP($C240,OFFSET(enemy_skills!$A$1,0,0,COUNTA(enemy_skills!$A:$A),MATCH(E$1,enemy_skills!$1:$1,0)-MATCH("enemy_skill_id",enemy_skills!$1:$1,0)+1),MATCH(E$1,enemy_skills!$1:$1,0)-MATCH("enemy_skill_id",enemy_skills!$1:$1,0)+1,FALSE)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240" s="122">
        <v>47003703</v>
      </c>
      <c r="G240" s="48">
        <f ca="1">VLOOKUP($F240,OFFSET(enemy_skill_triggers!$A$1,0,0,COUNTA(enemy_skill_triggers!$A:$A),MATCH(G$1,enemy_skill_triggers!$1:$1,0)-MATCH($F$1,enemy_skill_triggers!$1:$1,0)+1),MATCH(G$1,enemy_skill_triggers!$1:$1,0)-MATCH($F$1,enemy_skill_triggers!$1:$1,0)+1,FALSE)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0" s="48">
        <f ca="1">VLOOKUP($F240,OFFSET(enemy_skill_triggers!$A$1,0,0,COUNTA(enemy_skill_triggers!$A:$A),MATCH(H$1,enemy_skill_triggers!$1:$1,0)-MATCH($F$1,enemy_skill_triggers!$1:$1,0)+1),MATCH(H$1,enemy_skill_triggers!$1:$1,0)-MATCH($F$1,enemy_skill_triggers!$1:$1,0)+1,FALSE)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40" s="48">
        <f ca="1">VLOOKUP($F240,OFFSET(enemy_skill_triggers!$A$1,0,0,COUNTA(enemy_skill_triggers!$A:$A),MATCH(I$1,enemy_skill_triggers!$1:$1,0)-MATCH($F$1,enemy_skill_triggers!$1:$1,0)+1),MATCH(I$1,enemy_skill_triggers!$1:$1,0)-MATCH($F$1,enemy_skill_triggers!$1:$1,0)+1,FALSE)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0" s="48" t="str">
        <f ca="1">VLOOKUP($F240,OFFSET(enemy_skill_triggers!$A$1,0,0,COUNTA(enemy_skill_triggers!$A:$A),MATCH(J$1,enemy_skill_triggers!$1:$1,0)-MATCH($F$1,enemy_skill_triggers!$1:$1,0)+1),MATCH(J$1,enemy_skill_triggers!$1:$1,0)-MATCH($F$1,enemy_skill_triggers!$1:$1,0)+1,FALSE)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0" s="48" t="str">
        <f ca="1">VLOOKUP($F240,OFFSET(enemy_skill_triggers!$A$1,0,0,COUNTA(enemy_skill_triggers!$A:$A),MATCH(K$1,enemy_skill_triggers!$1:$1,0)-MATCH($F$1,enemy_skill_triggers!$1:$1,0)+1),MATCH(K$1,enemy_skill_triggers!$1:$1,0)-MATCH($F$1,enemy_skill_triggers!$1:$1,0)+1,FALSE)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0" s="48" t="str">
        <f ca="1">VLOOKUP($F240,OFFSET(enemy_skill_triggers!$A$1,0,0,COUNTA(enemy_skill_triggers!$A:$A),MATCH(L$1,enemy_skill_triggers!$1:$1,0)-MATCH($F$1,enemy_skill_triggers!$1:$1,0)+1),MATCH(L$1,enemy_skill_triggers!$1:$1,0)-MATCH($F$1,enemy_skill_triggers!$1:$1,0)+1,FALSE)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0" s="48">
        <f ca="1">VLOOKUP($F240,OFFSET(enemy_skill_triggers!$A$1,0,0,COUNTA(enemy_skill_triggers!$A:$A),MATCH(M$1,enemy_skill_triggers!$1:$1,0)-MATCH($F$1,enemy_skill_triggers!$1:$1,0)+1),MATCH(M$1,enemy_skill_triggers!$1:$1,0)-MATCH($F$1,enemy_skill_triggers!$1:$1,0)+1,FALSE)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0" s="48" t="str">
        <f ca="1">VLOOKUP($F240,OFFSET(enemy_skill_triggers!$A$1,0,0,COUNTA(enemy_skill_triggers!$A:$A),MATCH(N$1,enemy_skill_triggers!$1:$1,0)-MATCH($F$1,enemy_skill_triggers!$1:$1,0)+1),MATCH(N$1,enemy_skill_triggers!$1:$1,0)-MATCH($F$1,enemy_skill_triggers!$1:$1,0)+1,FALSE)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0" s="48">
        <f ca="1">VLOOKUP($F240,OFFSET(enemy_skill_triggers!$A$1,0,0,COUNTA(enemy_skill_triggers!$A:$A),MATCH(O$1,enemy_skill_triggers!$1:$1,0)-MATCH($F$1,enemy_skill_triggers!$1:$1,0)+1),MATCH(O$1,enemy_skill_triggers!$1:$1,0)-MATCH($F$1,enemy_skill_triggers!$1:$1,0)+1,FALSE)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0" s="47"/>
      <c r="Q240" s="47"/>
      <c r="R240" s="47"/>
    </row>
    <row r="241" spans="1:18" ht="21" customHeight="1" x14ac:dyDescent="0.15">
      <c r="A241" s="39" t="str">
        <f t="shared" ref="A241" si="19">B241&amp;"_"&amp;C241</f>
        <v>47003700_47003704</v>
      </c>
      <c r="B241" s="47">
        <v>47003700</v>
      </c>
      <c r="C241" s="122">
        <v>47003704</v>
      </c>
      <c r="D241" s="46" t="str">
        <f ca="1">VLOOKUP($C241,OFFSET(enemy_skills!$A$1,0,0,COUNTA(enemy_skills!$A:$A),MATCH(D$1,enemy_skills!$1:$1,0)-MATCH("enemy_skill_id",enemy_skills!$1:$1,0)+1),MATCH(D$1,enemy_skills!$1:$1,0)-MATCH("enemy_skill_id",enemy_skills!$1:$1,0)+1,FALSE)</f>
        <v>スティング・オブ・ブラックローズ</v>
      </c>
      <c r="E241" s="46" t="str">
        <f ca="1">VLOOKUP($C241,OFFSET(enemy_skills!$A$1,0,0,COUNTA(enemy_skills!$A:$A),MATCH(E$1,enemy_skills!$1:$1,0)-MATCH("enemy_skill_id",enemy_skills!$1:$1,0)+1),MATCH(E$1,enemy_skills!$1:$1,0)-MATCH("enemy_skill_id",enemy_skills!$1:$1,0)+1,FALSE)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41" s="122">
        <v>47003704</v>
      </c>
      <c r="G241" s="48">
        <f ca="1">VLOOKUP($F241,OFFSET(enemy_skill_triggers!$A$1,0,0,COUNTA(enemy_skill_triggers!$A:$A),MATCH(G$1,enemy_skill_triggers!$1:$1,0)-MATCH($F$1,enemy_skill_triggers!$1:$1,0)+1),MATCH(G$1,enemy_skill_triggers!$1:$1,0)-MATCH($F$1,enemy_skill_triggers!$1:$1,0)+1,FALSE)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1" s="48">
        <f ca="1">VLOOKUP($F241,OFFSET(enemy_skill_triggers!$A$1,0,0,COUNTA(enemy_skill_triggers!$A:$A),MATCH(H$1,enemy_skill_triggers!$1:$1,0)-MATCH($F$1,enemy_skill_triggers!$1:$1,0)+1),MATCH(H$1,enemy_skill_triggers!$1:$1,0)-MATCH($F$1,enemy_skill_triggers!$1:$1,0)+1,FALSE)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41" s="48">
        <f ca="1">VLOOKUP($F241,OFFSET(enemy_skill_triggers!$A$1,0,0,COUNTA(enemy_skill_triggers!$A:$A),MATCH(I$1,enemy_skill_triggers!$1:$1,0)-MATCH($F$1,enemy_skill_triggers!$1:$1,0)+1),MATCH(I$1,enemy_skill_triggers!$1:$1,0)-MATCH($F$1,enemy_skill_triggers!$1:$1,0)+1,FALSE)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1" s="48" t="str">
        <f ca="1">VLOOKUP($F241,OFFSET(enemy_skill_triggers!$A$1,0,0,COUNTA(enemy_skill_triggers!$A:$A),MATCH(J$1,enemy_skill_triggers!$1:$1,0)-MATCH($F$1,enemy_skill_triggers!$1:$1,0)+1),MATCH(J$1,enemy_skill_triggers!$1:$1,0)-MATCH($F$1,enemy_skill_triggers!$1:$1,0)+1,FALSE)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1" s="48" t="str">
        <f ca="1">VLOOKUP($F241,OFFSET(enemy_skill_triggers!$A$1,0,0,COUNTA(enemy_skill_triggers!$A:$A),MATCH(K$1,enemy_skill_triggers!$1:$1,0)-MATCH($F$1,enemy_skill_triggers!$1:$1,0)+1),MATCH(K$1,enemy_skill_triggers!$1:$1,0)-MATCH($F$1,enemy_skill_triggers!$1:$1,0)+1,FALSE)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1" s="48" t="str">
        <f ca="1">VLOOKUP($F241,OFFSET(enemy_skill_triggers!$A$1,0,0,COUNTA(enemy_skill_triggers!$A:$A),MATCH(L$1,enemy_skill_triggers!$1:$1,0)-MATCH($F$1,enemy_skill_triggers!$1:$1,0)+1),MATCH(L$1,enemy_skill_triggers!$1:$1,0)-MATCH($F$1,enemy_skill_triggers!$1:$1,0)+1,FALSE)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1" s="48">
        <f ca="1">VLOOKUP($F241,OFFSET(enemy_skill_triggers!$A$1,0,0,COUNTA(enemy_skill_triggers!$A:$A),MATCH(M$1,enemy_skill_triggers!$1:$1,0)-MATCH($F$1,enemy_skill_triggers!$1:$1,0)+1),MATCH(M$1,enemy_skill_triggers!$1:$1,0)-MATCH($F$1,enemy_skill_triggers!$1:$1,0)+1,FALSE)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1" s="48" t="str">
        <f ca="1">VLOOKUP($F241,OFFSET(enemy_skill_triggers!$A$1,0,0,COUNTA(enemy_skill_triggers!$A:$A),MATCH(N$1,enemy_skill_triggers!$1:$1,0)-MATCH($F$1,enemy_skill_triggers!$1:$1,0)+1),MATCH(N$1,enemy_skill_triggers!$1:$1,0)-MATCH($F$1,enemy_skill_triggers!$1:$1,0)+1,FALSE)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1" s="48">
        <f ca="1">VLOOKUP($F241,OFFSET(enemy_skill_triggers!$A$1,0,0,COUNTA(enemy_skill_triggers!$A:$A),MATCH(O$1,enemy_skill_triggers!$1:$1,0)-MATCH($F$1,enemy_skill_triggers!$1:$1,0)+1),MATCH(O$1,enemy_skill_triggers!$1:$1,0)-MATCH($F$1,enemy_skill_triggers!$1:$1,0)+1,FALSE)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1" s="47"/>
      <c r="Q241" s="47"/>
      <c r="R241" s="47"/>
    </row>
    <row r="242" spans="1:18" ht="21" customHeight="1" x14ac:dyDescent="0.15">
      <c r="A242" s="39" t="str">
        <f t="shared" ref="A242" si="20">B242&amp;"_"&amp;C242</f>
        <v>47003700_47003705</v>
      </c>
      <c r="B242" s="47">
        <v>47003700</v>
      </c>
      <c r="C242" s="122">
        <v>47003705</v>
      </c>
      <c r="D242" s="46" t="str">
        <f ca="1">VLOOKUP($C242,OFFSET(enemy_skills!$A$1,0,0,COUNTA(enemy_skills!$A:$A),MATCH(D$1,enemy_skills!$1:$1,0)-MATCH("enemy_skill_id",enemy_skills!$1:$1,0)+1),MATCH(D$1,enemy_skills!$1:$1,0)-MATCH("enemy_skill_id",enemy_skills!$1:$1,0)+1,FALSE)</f>
        <v>お菓子…？　いえ、私は何も…</v>
      </c>
      <c r="E242" s="46" t="str">
        <f ca="1">VLOOKUP($C242,OFFSET(enemy_skills!$A$1,0,0,COUNTA(enemy_skills!$A:$A),MATCH(E$1,enemy_skills!$1:$1,0)-MATCH("enemy_skill_id",enemy_skills!$1:$1,0)+1),MATCH(E$1,enemy_skills!$1:$1,0)-MATCH("enemy_skill_id",enemy_skills!$1:$1,0)+1,FALSE)</f>
        <v>そうですか…どうりで皆さん殺気立って…</v>
      </c>
      <c r="F242" s="122">
        <v>47003705</v>
      </c>
      <c r="G242" s="48">
        <f ca="1">VLOOKUP($F242,OFFSET(enemy_skill_triggers!$A$1,0,0,COUNTA(enemy_skill_triggers!$A:$A),MATCH(G$1,enemy_skill_triggers!$1:$1,0)-MATCH($F$1,enemy_skill_triggers!$1:$1,0)+1),MATCH(G$1,enemy_skill_triggers!$1:$1,0)-MATCH($F$1,enemy_skill_triggers!$1:$1,0)+1,FALSE)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2" s="48">
        <f ca="1">VLOOKUP($F242,OFFSET(enemy_skill_triggers!$A$1,0,0,COUNTA(enemy_skill_triggers!$A:$A),MATCH(H$1,enemy_skill_triggers!$1:$1,0)-MATCH($F$1,enemy_skill_triggers!$1:$1,0)+1),MATCH(H$1,enemy_skill_triggers!$1:$1,0)-MATCH($F$1,enemy_skill_triggers!$1:$1,0)+1,FALSE)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242" s="48">
        <f ca="1">VLOOKUP($F242,OFFSET(enemy_skill_triggers!$A$1,0,0,COUNTA(enemy_skill_triggers!$A:$A),MATCH(I$1,enemy_skill_triggers!$1:$1,0)-MATCH($F$1,enemy_skill_triggers!$1:$1,0)+1),MATCH(I$1,enemy_skill_triggers!$1:$1,0)-MATCH($F$1,enemy_skill_triggers!$1:$1,0)+1,FALSE)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2" s="48" t="str">
        <f ca="1">VLOOKUP($F242,OFFSET(enemy_skill_triggers!$A$1,0,0,COUNTA(enemy_skill_triggers!$A:$A),MATCH(J$1,enemy_skill_triggers!$1:$1,0)-MATCH($F$1,enemy_skill_triggers!$1:$1,0)+1),MATCH(J$1,enemy_skill_triggers!$1:$1,0)-MATCH($F$1,enemy_skill_triggers!$1:$1,0)+1,FALSE)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2" s="48" t="str">
        <f ca="1">VLOOKUP($F242,OFFSET(enemy_skill_triggers!$A$1,0,0,COUNTA(enemy_skill_triggers!$A:$A),MATCH(K$1,enemy_skill_triggers!$1:$1,0)-MATCH($F$1,enemy_skill_triggers!$1:$1,0)+1),MATCH(K$1,enemy_skill_triggers!$1:$1,0)-MATCH($F$1,enemy_skill_triggers!$1:$1,0)+1,FALSE)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2" s="48">
        <f ca="1">VLOOKUP($F242,OFFSET(enemy_skill_triggers!$A$1,0,0,COUNTA(enemy_skill_triggers!$A:$A),MATCH(L$1,enemy_skill_triggers!$1:$1,0)-MATCH($F$1,enemy_skill_triggers!$1:$1,0)+1),MATCH(L$1,enemy_skill_triggers!$1:$1,0)-MATCH($F$1,enemy_skill_triggers!$1:$1,0)+1,FALSE)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2" s="48">
        <f ca="1">VLOOKUP($F242,OFFSET(enemy_skill_triggers!$A$1,0,0,COUNTA(enemy_skill_triggers!$A:$A),MATCH(M$1,enemy_skill_triggers!$1:$1,0)-MATCH($F$1,enemy_skill_triggers!$1:$1,0)+1),MATCH(M$1,enemy_skill_triggers!$1:$1,0)-MATCH($F$1,enemy_skill_triggers!$1:$1,0)+1,FALSE)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42" s="48" t="str">
        <f ca="1">VLOOKUP($F242,OFFSET(enemy_skill_triggers!$A$1,0,0,COUNTA(enemy_skill_triggers!$A:$A),MATCH(N$1,enemy_skill_triggers!$1:$1,0)-MATCH($F$1,enemy_skill_triggers!$1:$1,0)+1),MATCH(N$1,enemy_skill_triggers!$1:$1,0)-MATCH($F$1,enemy_skill_triggers!$1:$1,0)+1,FALSE)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2" s="48">
        <f ca="1">VLOOKUP($F242,OFFSET(enemy_skill_triggers!$A$1,0,0,COUNTA(enemy_skill_triggers!$A:$A),MATCH(O$1,enemy_skill_triggers!$1:$1,0)-MATCH($F$1,enemy_skill_triggers!$1:$1,0)+1),MATCH(O$1,enemy_skill_triggers!$1:$1,0)-MATCH($F$1,enemy_skill_triggers!$1:$1,0)+1,FALSE)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2" s="47"/>
      <c r="Q242" s="47"/>
      <c r="R242" s="47"/>
    </row>
    <row r="243" spans="1:18" ht="21" customHeight="1" x14ac:dyDescent="0.15">
      <c r="A243" s="39" t="str">
        <f t="shared" ref="A243:A245" si="21">B243&amp;"_"&amp;C243</f>
        <v>47003700_47003706</v>
      </c>
      <c r="B243" s="47">
        <v>47003700</v>
      </c>
      <c r="C243" s="122">
        <v>47003706</v>
      </c>
      <c r="D243" s="46" t="str">
        <f ca="1">VLOOKUP($C243,OFFSET(enemy_skills!$A$1,0,0,COUNTA(enemy_skills!$A:$A),MATCH(D$1,enemy_skills!$1:$1,0)-MATCH("enemy_skill_id",enemy_skills!$1:$1,0)+1),MATCH(D$1,enemy_skills!$1:$1,0)-MATCH("enemy_skill_id",enemy_skills!$1:$1,0)+1,FALSE)</f>
        <v>ふふふっ、ステキな魔法をかけてくださいな♪</v>
      </c>
      <c r="E243" s="46" t="str">
        <f ca="1">VLOOKUP($C243,OFFSET(enemy_skills!$A$1,0,0,COUNTA(enemy_skills!$A:$A),MATCH(E$1,enemy_skills!$1:$1,0)-MATCH("enemy_skill_id",enemy_skills!$1:$1,0)+1),MATCH(E$1,enemy_skills!$1:$1,0)-MATCH("enemy_skill_id",enemy_skills!$1:$1,0)+1,FALSE)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243" s="122">
        <v>47003706</v>
      </c>
      <c r="G243" s="48">
        <f ca="1">VLOOKUP($F243,OFFSET(enemy_skill_triggers!$A$1,0,0,COUNTA(enemy_skill_triggers!$A:$A),MATCH(G$1,enemy_skill_triggers!$1:$1,0)-MATCH($F$1,enemy_skill_triggers!$1:$1,0)+1),MATCH(G$1,enemy_skill_triggers!$1:$1,0)-MATCH($F$1,enemy_skill_triggers!$1:$1,0)+1,FALSE)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3" s="48">
        <f ca="1">VLOOKUP($F243,OFFSET(enemy_skill_triggers!$A$1,0,0,COUNTA(enemy_skill_triggers!$A:$A),MATCH(H$1,enemy_skill_triggers!$1:$1,0)-MATCH($F$1,enemy_skill_triggers!$1:$1,0)+1),MATCH(H$1,enemy_skill_triggers!$1:$1,0)-MATCH($F$1,enemy_skill_triggers!$1:$1,0)+1,FALSE)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243" s="48">
        <f ca="1">VLOOKUP($F243,OFFSET(enemy_skill_triggers!$A$1,0,0,COUNTA(enemy_skill_triggers!$A:$A),MATCH(I$1,enemy_skill_triggers!$1:$1,0)-MATCH($F$1,enemy_skill_triggers!$1:$1,0)+1),MATCH(I$1,enemy_skill_triggers!$1:$1,0)-MATCH($F$1,enemy_skill_triggers!$1:$1,0)+1,FALSE)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3" s="48" t="str">
        <f ca="1">VLOOKUP($F243,OFFSET(enemy_skill_triggers!$A$1,0,0,COUNTA(enemy_skill_triggers!$A:$A),MATCH(J$1,enemy_skill_triggers!$1:$1,0)-MATCH($F$1,enemy_skill_triggers!$1:$1,0)+1),MATCH(J$1,enemy_skill_triggers!$1:$1,0)-MATCH($F$1,enemy_skill_triggers!$1:$1,0)+1,FALSE)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3" s="48" t="str">
        <f ca="1">VLOOKUP($F243,OFFSET(enemy_skill_triggers!$A$1,0,0,COUNTA(enemy_skill_triggers!$A:$A),MATCH(K$1,enemy_skill_triggers!$1:$1,0)-MATCH($F$1,enemy_skill_triggers!$1:$1,0)+1),MATCH(K$1,enemy_skill_triggers!$1:$1,0)-MATCH($F$1,enemy_skill_triggers!$1:$1,0)+1,FALSE)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3" s="48">
        <f ca="1">VLOOKUP($F243,OFFSET(enemy_skill_triggers!$A$1,0,0,COUNTA(enemy_skill_triggers!$A:$A),MATCH(L$1,enemy_skill_triggers!$1:$1,0)-MATCH($F$1,enemy_skill_triggers!$1:$1,0)+1),MATCH(L$1,enemy_skill_triggers!$1:$1,0)-MATCH($F$1,enemy_skill_triggers!$1:$1,0)+1,FALSE)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3" s="48" t="str">
        <f ca="1">VLOOKUP($F243,OFFSET(enemy_skill_triggers!$A$1,0,0,COUNTA(enemy_skill_triggers!$A:$A),MATCH(M$1,enemy_skill_triggers!$1:$1,0)-MATCH($F$1,enemy_skill_triggers!$1:$1,0)+1),MATCH(M$1,enemy_skill_triggers!$1:$1,0)-MATCH($F$1,enemy_skill_triggers!$1:$1,0)+1,FALSE)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3" s="48">
        <f ca="1">VLOOKUP($F243,OFFSET(enemy_skill_triggers!$A$1,0,0,COUNTA(enemy_skill_triggers!$A:$A),MATCH(N$1,enemy_skill_triggers!$1:$1,0)-MATCH($F$1,enemy_skill_triggers!$1:$1,0)+1),MATCH(N$1,enemy_skill_triggers!$1:$1,0)-MATCH($F$1,enemy_skill_triggers!$1:$1,0)+1,FALSE)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243" s="48">
        <f ca="1">VLOOKUP($F243,OFFSET(enemy_skill_triggers!$A$1,0,0,COUNTA(enemy_skill_triggers!$A:$A),MATCH(O$1,enemy_skill_triggers!$1:$1,0)-MATCH($F$1,enemy_skill_triggers!$1:$1,0)+1),MATCH(O$1,enemy_skill_triggers!$1:$1,0)-MATCH($F$1,enemy_skill_triggers!$1:$1,0)+1,FALSE)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3" s="47"/>
      <c r="Q243" s="47"/>
      <c r="R243" s="47"/>
    </row>
    <row r="244" spans="1:18" ht="21" customHeight="1" x14ac:dyDescent="0.15">
      <c r="A244" s="39" t="str">
        <f t="shared" si="21"/>
        <v>47003700_47003706</v>
      </c>
      <c r="B244" s="47">
        <v>47003700</v>
      </c>
      <c r="C244" s="122">
        <v>47003706</v>
      </c>
      <c r="D244" s="46" t="str">
        <f ca="1">VLOOKUP($C244,OFFSET(enemy_skills!$A$1,0,0,COUNTA(enemy_skills!$A:$A),MATCH(D$1,enemy_skills!$1:$1,0)-MATCH("enemy_skill_id",enemy_skills!$1:$1,0)+1),MATCH(D$1,enemy_skills!$1:$1,0)-MATCH("enemy_skill_id",enemy_skills!$1:$1,0)+1,FALSE)</f>
        <v>ふふふっ、ステキな魔法をかけてくださいな♪</v>
      </c>
      <c r="E244" s="46" t="str">
        <f ca="1">VLOOKUP($C244,OFFSET(enemy_skills!$A$1,0,0,COUNTA(enemy_skills!$A:$A),MATCH(E$1,enemy_skills!$1:$1,0)-MATCH("enemy_skill_id",enemy_skills!$1:$1,0)+1),MATCH(E$1,enemy_skills!$1:$1,0)-MATCH("enemy_skill_id",enemy_skills!$1:$1,0)+1,FALSE)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244" s="122">
        <v>47003707</v>
      </c>
      <c r="G244" s="48">
        <f ca="1">VLOOKUP($F244,OFFSET(enemy_skill_triggers!$A$1,0,0,COUNTA(enemy_skill_triggers!$A:$A),MATCH(G$1,enemy_skill_triggers!$1:$1,0)-MATCH($F$1,enemy_skill_triggers!$1:$1,0)+1),MATCH(G$1,enemy_skill_triggers!$1:$1,0)-MATCH($F$1,enemy_skill_triggers!$1:$1,0)+1,FALSE)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4" s="48">
        <f ca="1">VLOOKUP($F244,OFFSET(enemy_skill_triggers!$A$1,0,0,COUNTA(enemy_skill_triggers!$A:$A),MATCH(H$1,enemy_skill_triggers!$1:$1,0)-MATCH($F$1,enemy_skill_triggers!$1:$1,0)+1),MATCH(H$1,enemy_skill_triggers!$1:$1,0)-MATCH($F$1,enemy_skill_triggers!$1:$1,0)+1,FALSE)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244" s="48">
        <f ca="1">VLOOKUP($F244,OFFSET(enemy_skill_triggers!$A$1,0,0,COUNTA(enemy_skill_triggers!$A:$A),MATCH(I$1,enemy_skill_triggers!$1:$1,0)-MATCH($F$1,enemy_skill_triggers!$1:$1,0)+1),MATCH(I$1,enemy_skill_triggers!$1:$1,0)-MATCH($F$1,enemy_skill_triggers!$1:$1,0)+1,FALSE)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4" s="48" t="str">
        <f ca="1">VLOOKUP($F244,OFFSET(enemy_skill_triggers!$A$1,0,0,COUNTA(enemy_skill_triggers!$A:$A),MATCH(J$1,enemy_skill_triggers!$1:$1,0)-MATCH($F$1,enemy_skill_triggers!$1:$1,0)+1),MATCH(J$1,enemy_skill_triggers!$1:$1,0)-MATCH($F$1,enemy_skill_triggers!$1:$1,0)+1,FALSE)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4" s="48" t="str">
        <f ca="1">VLOOKUP($F244,OFFSET(enemy_skill_triggers!$A$1,0,0,COUNTA(enemy_skill_triggers!$A:$A),MATCH(K$1,enemy_skill_triggers!$1:$1,0)-MATCH($F$1,enemy_skill_triggers!$1:$1,0)+1),MATCH(K$1,enemy_skill_triggers!$1:$1,0)-MATCH($F$1,enemy_skill_triggers!$1:$1,0)+1,FALSE)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4" s="48">
        <f ca="1">VLOOKUP($F244,OFFSET(enemy_skill_triggers!$A$1,0,0,COUNTA(enemy_skill_triggers!$A:$A),MATCH(L$1,enemy_skill_triggers!$1:$1,0)-MATCH($F$1,enemy_skill_triggers!$1:$1,0)+1),MATCH(L$1,enemy_skill_triggers!$1:$1,0)-MATCH($F$1,enemy_skill_triggers!$1:$1,0)+1,FALSE)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4" s="48" t="str">
        <f ca="1">VLOOKUP($F244,OFFSET(enemy_skill_triggers!$A$1,0,0,COUNTA(enemy_skill_triggers!$A:$A),MATCH(M$1,enemy_skill_triggers!$1:$1,0)-MATCH($F$1,enemy_skill_triggers!$1:$1,0)+1),MATCH(M$1,enemy_skill_triggers!$1:$1,0)-MATCH($F$1,enemy_skill_triggers!$1:$1,0)+1,FALSE)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4" s="48">
        <f ca="1">VLOOKUP($F244,OFFSET(enemy_skill_triggers!$A$1,0,0,COUNTA(enemy_skill_triggers!$A:$A),MATCH(N$1,enemy_skill_triggers!$1:$1,0)-MATCH($F$1,enemy_skill_triggers!$1:$1,0)+1),MATCH(N$1,enemy_skill_triggers!$1:$1,0)-MATCH($F$1,enemy_skill_triggers!$1:$1,0)+1,FALSE)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244" s="48">
        <f ca="1">VLOOKUP($F244,OFFSET(enemy_skill_triggers!$A$1,0,0,COUNTA(enemy_skill_triggers!$A:$A),MATCH(O$1,enemy_skill_triggers!$1:$1,0)-MATCH($F$1,enemy_skill_triggers!$1:$1,0)+1),MATCH(O$1,enemy_skill_triggers!$1:$1,0)-MATCH($F$1,enemy_skill_triggers!$1:$1,0)+1,FALSE)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4" s="47"/>
      <c r="Q244" s="47"/>
      <c r="R244" s="47"/>
    </row>
    <row r="245" spans="1:18" ht="21" customHeight="1" x14ac:dyDescent="0.15">
      <c r="A245" s="39" t="str">
        <f t="shared" si="21"/>
        <v>47003700_47003707</v>
      </c>
      <c r="B245" s="47">
        <v>47003700</v>
      </c>
      <c r="C245" s="122">
        <v>47003707</v>
      </c>
      <c r="D245" s="46" t="str">
        <f ca="1">VLOOKUP($C245,OFFSET(enemy_skills!$A$1,0,0,COUNTA(enemy_skills!$A:$A),MATCH(D$1,enemy_skills!$1:$1,0)-MATCH("enemy_skill_id",enemy_skills!$1:$1,0)+1),MATCH(D$1,enemy_skills!$1:$1,0)-MATCH("enemy_skill_id",enemy_skills!$1:$1,0)+1,FALSE)</f>
        <v>あら、ずいぶん凛々しい吸血鬼さん_x000D_私の血は吸わせませんよ♪</v>
      </c>
      <c r="E245" s="46" t="str">
        <f ca="1">VLOOKUP($C245,OFFSET(enemy_skills!$A$1,0,0,COUNTA(enemy_skills!$A:$A),MATCH(E$1,enemy_skills!$1:$1,0)-MATCH("enemy_skill_id",enemy_skills!$1:$1,0)+1),MATCH(E$1,enemy_skills!$1:$1,0)-MATCH("enemy_skill_id",enemy_skills!$1:$1,0)+1,FALSE)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245" s="122">
        <v>47003708</v>
      </c>
      <c r="G245" s="48">
        <f ca="1">VLOOKUP($F245,OFFSET(enemy_skill_triggers!$A$1,0,0,COUNTA(enemy_skill_triggers!$A:$A),MATCH(G$1,enemy_skill_triggers!$1:$1,0)-MATCH($F$1,enemy_skill_triggers!$1:$1,0)+1),MATCH(G$1,enemy_skill_triggers!$1:$1,0)-MATCH($F$1,enemy_skill_triggers!$1:$1,0)+1,FALSE)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5" s="48">
        <f ca="1">VLOOKUP($F245,OFFSET(enemy_skill_triggers!$A$1,0,0,COUNTA(enemy_skill_triggers!$A:$A),MATCH(H$1,enemy_skill_triggers!$1:$1,0)-MATCH($F$1,enemy_skill_triggers!$1:$1,0)+1),MATCH(H$1,enemy_skill_triggers!$1:$1,0)-MATCH($F$1,enemy_skill_triggers!$1:$1,0)+1,FALSE)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245" s="48">
        <f ca="1">VLOOKUP($F245,OFFSET(enemy_skill_triggers!$A$1,0,0,COUNTA(enemy_skill_triggers!$A:$A),MATCH(I$1,enemy_skill_triggers!$1:$1,0)-MATCH($F$1,enemy_skill_triggers!$1:$1,0)+1),MATCH(I$1,enemy_skill_triggers!$1:$1,0)-MATCH($F$1,enemy_skill_triggers!$1:$1,0)+1,FALSE)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5" s="48" t="str">
        <f ca="1">VLOOKUP($F245,OFFSET(enemy_skill_triggers!$A$1,0,0,COUNTA(enemy_skill_triggers!$A:$A),MATCH(J$1,enemy_skill_triggers!$1:$1,0)-MATCH($F$1,enemy_skill_triggers!$1:$1,0)+1),MATCH(J$1,enemy_skill_triggers!$1:$1,0)-MATCH($F$1,enemy_skill_triggers!$1:$1,0)+1,FALSE)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5" s="48" t="str">
        <f ca="1">VLOOKUP($F245,OFFSET(enemy_skill_triggers!$A$1,0,0,COUNTA(enemy_skill_triggers!$A:$A),MATCH(K$1,enemy_skill_triggers!$1:$1,0)-MATCH($F$1,enemy_skill_triggers!$1:$1,0)+1),MATCH(K$1,enemy_skill_triggers!$1:$1,0)-MATCH($F$1,enemy_skill_triggers!$1:$1,0)+1,FALSE)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5" s="48">
        <f ca="1">VLOOKUP($F245,OFFSET(enemy_skill_triggers!$A$1,0,0,COUNTA(enemy_skill_triggers!$A:$A),MATCH(L$1,enemy_skill_triggers!$1:$1,0)-MATCH($F$1,enemy_skill_triggers!$1:$1,0)+1),MATCH(L$1,enemy_skill_triggers!$1:$1,0)-MATCH($F$1,enemy_skill_triggers!$1:$1,0)+1,FALSE)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5" s="48" t="str">
        <f ca="1">VLOOKUP($F245,OFFSET(enemy_skill_triggers!$A$1,0,0,COUNTA(enemy_skill_triggers!$A:$A),MATCH(M$1,enemy_skill_triggers!$1:$1,0)-MATCH($F$1,enemy_skill_triggers!$1:$1,0)+1),MATCH(M$1,enemy_skill_triggers!$1:$1,0)-MATCH($F$1,enemy_skill_triggers!$1:$1,0)+1,FALSE)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5" s="48">
        <f ca="1">VLOOKUP($F245,OFFSET(enemy_skill_triggers!$A$1,0,0,COUNTA(enemy_skill_triggers!$A:$A),MATCH(N$1,enemy_skill_triggers!$1:$1,0)-MATCH($F$1,enemy_skill_triggers!$1:$1,0)+1),MATCH(N$1,enemy_skill_triggers!$1:$1,0)-MATCH($F$1,enemy_skill_triggers!$1:$1,0)+1,FALSE)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245" s="48">
        <f ca="1">VLOOKUP($F245,OFFSET(enemy_skill_triggers!$A$1,0,0,COUNTA(enemy_skill_triggers!$A:$A),MATCH(O$1,enemy_skill_triggers!$1:$1,0)-MATCH($F$1,enemy_skill_triggers!$1:$1,0)+1),MATCH(O$1,enemy_skill_triggers!$1:$1,0)-MATCH($F$1,enemy_skill_triggers!$1:$1,0)+1,FALSE)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5" s="47"/>
      <c r="Q245" s="47"/>
      <c r="R245" s="47"/>
    </row>
    <row r="246" spans="1:18" ht="21" customHeight="1" x14ac:dyDescent="0.15">
      <c r="A246" s="39" t="str">
        <f t="shared" si="8"/>
        <v>47003720_47003721</v>
      </c>
      <c r="B246" s="120">
        <v>47003720</v>
      </c>
      <c r="C246" s="120">
        <v>47003721</v>
      </c>
      <c r="D246" s="46" t="str">
        <f ca="1">VLOOKUP($C246,OFFSET(enemy_skills!$A$1,0,0,COUNTA(enemy_skills!$A:$A),MATCH(D$1,enemy_skills!$1:$1,0)-MATCH("enemy_skill_id",enemy_skills!$1:$1,0)+1),MATCH(D$1,enemy_skills!$1:$1,0)-MATCH("enemy_skill_id",enemy_skills!$1:$1,0)+1,FALSE)</f>
        <v>いくら似合ってるからって、_x000D_そんなに見つめられたら困るぜ！</v>
      </c>
      <c r="E246" s="46" t="str">
        <f ca="1">VLOOKUP($C246,OFFSET(enemy_skills!$A$1,0,0,COUNTA(enemy_skills!$A:$A),MATCH(E$1,enemy_skills!$1:$1,0)-MATCH("enemy_skill_id",enemy_skills!$1:$1,0)+1),MATCH(E$1,enemy_skills!$1:$1,0)-MATCH("enemy_skill_id",enemy_skills!$1:$1,0)+1,FALSE)</f>
        <v>お菓子盗んだ犯人！？　お、俺じゃないぞ！</v>
      </c>
      <c r="F246" s="120">
        <v>47003721</v>
      </c>
      <c r="G246" s="48">
        <f ca="1">VLOOKUP($F246,OFFSET(enemy_skill_triggers!$A$1,0,0,COUNTA(enemy_skill_triggers!$A:$A),MATCH(G$1,enemy_skill_triggers!$1:$1,0)-MATCH($F$1,enemy_skill_triggers!$1:$1,0)+1),MATCH(G$1,enemy_skill_triggers!$1:$1,0)-MATCH($F$1,enemy_skill_triggers!$1:$1,0)+1,FALSE)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6" s="48">
        <f ca="1">VLOOKUP($F246,OFFSET(enemy_skill_triggers!$A$1,0,0,COUNTA(enemy_skill_triggers!$A:$A),MATCH(H$1,enemy_skill_triggers!$1:$1,0)-MATCH($F$1,enemy_skill_triggers!$1:$1,0)+1),MATCH(H$1,enemy_skill_triggers!$1:$1,0)-MATCH($F$1,enemy_skill_triggers!$1:$1,0)+1,FALSE)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6" s="48">
        <f ca="1">VLOOKUP($F246,OFFSET(enemy_skill_triggers!$A$1,0,0,COUNTA(enemy_skill_triggers!$A:$A),MATCH(I$1,enemy_skill_triggers!$1:$1,0)-MATCH($F$1,enemy_skill_triggers!$1:$1,0)+1),MATCH(I$1,enemy_skill_triggers!$1:$1,0)-MATCH($F$1,enemy_skill_triggers!$1:$1,0)+1,FALSE)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6" s="48" t="str">
        <f ca="1">VLOOKUP($F246,OFFSET(enemy_skill_triggers!$A$1,0,0,COUNTA(enemy_skill_triggers!$A:$A),MATCH(J$1,enemy_skill_triggers!$1:$1,0)-MATCH($F$1,enemy_skill_triggers!$1:$1,0)+1),MATCH(J$1,enemy_skill_triggers!$1:$1,0)-MATCH($F$1,enemy_skill_triggers!$1:$1,0)+1,FALSE)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6" s="48" t="str">
        <f ca="1">VLOOKUP($F246,OFFSET(enemy_skill_triggers!$A$1,0,0,COUNTA(enemy_skill_triggers!$A:$A),MATCH(K$1,enemy_skill_triggers!$1:$1,0)-MATCH($F$1,enemy_skill_triggers!$1:$1,0)+1),MATCH(K$1,enemy_skill_triggers!$1:$1,0)-MATCH($F$1,enemy_skill_triggers!$1:$1,0)+1,FALSE)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6" s="48" t="str">
        <f ca="1">VLOOKUP($F246,OFFSET(enemy_skill_triggers!$A$1,0,0,COUNTA(enemy_skill_triggers!$A:$A),MATCH(L$1,enemy_skill_triggers!$1:$1,0)-MATCH($F$1,enemy_skill_triggers!$1:$1,0)+1),MATCH(L$1,enemy_skill_triggers!$1:$1,0)-MATCH($F$1,enemy_skill_triggers!$1:$1,0)+1,FALSE)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6" s="48" t="str">
        <f ca="1">VLOOKUP($F246,OFFSET(enemy_skill_triggers!$A$1,0,0,COUNTA(enemy_skill_triggers!$A:$A),MATCH(M$1,enemy_skill_triggers!$1:$1,0)-MATCH($F$1,enemy_skill_triggers!$1:$1,0)+1),MATCH(M$1,enemy_skill_triggers!$1:$1,0)-MATCH($F$1,enemy_skill_triggers!$1:$1,0)+1,FALSE)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6" s="48" t="str">
        <f ca="1">VLOOKUP($F246,OFFSET(enemy_skill_triggers!$A$1,0,0,COUNTA(enemy_skill_triggers!$A:$A),MATCH(N$1,enemy_skill_triggers!$1:$1,0)-MATCH($F$1,enemy_skill_triggers!$1:$1,0)+1),MATCH(N$1,enemy_skill_triggers!$1:$1,0)-MATCH($F$1,enemy_skill_triggers!$1:$1,0)+1,FALSE)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6" s="48">
        <f ca="1">VLOOKUP($F246,OFFSET(enemy_skill_triggers!$A$1,0,0,COUNTA(enemy_skill_triggers!$A:$A),MATCH(O$1,enemy_skill_triggers!$1:$1,0)-MATCH($F$1,enemy_skill_triggers!$1:$1,0)+1),MATCH(O$1,enemy_skill_triggers!$1:$1,0)-MATCH($F$1,enemy_skill_triggers!$1:$1,0)+1,FALSE)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6" s="47"/>
      <c r="Q246" s="47"/>
      <c r="R246" s="47"/>
    </row>
    <row r="247" spans="1:18" ht="21" customHeight="1" x14ac:dyDescent="0.15">
      <c r="A247" s="39" t="str">
        <f t="shared" si="8"/>
        <v>47003720_47003722</v>
      </c>
      <c r="B247" s="120">
        <v>47003720</v>
      </c>
      <c r="C247" s="120">
        <v>47003722</v>
      </c>
      <c r="D247" s="46" t="str">
        <f ca="1">VLOOKUP($C247,OFFSET(enemy_skills!$A$1,0,0,COUNTA(enemy_skills!$A:$A),MATCH(D$1,enemy_skills!$1:$1,0)-MATCH("enemy_skill_id",enemy_skills!$1:$1,0)+1),MATCH(D$1,enemy_skills!$1:$1,0)-MATCH("enemy_skill_id",enemy_skills!$1:$1,0)+1,FALSE)</f>
        <v>お菓子より心を奪いたいもんだな！</v>
      </c>
      <c r="E247" s="46" t="str">
        <f ca="1">VLOOKUP($C247,OFFSET(enemy_skills!$A$1,0,0,COUNTA(enemy_skills!$A:$A),MATCH(E$1,enemy_skills!$1:$1,0)-MATCH("enemy_skill_id",enemy_skills!$1:$1,0)+1),MATCH(E$1,enemy_skills!$1:$1,0)-MATCH("enemy_skill_id",enemy_skills!$1:$1,0)+1,FALSE)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247" s="120">
        <v>47003722</v>
      </c>
      <c r="G247" s="48">
        <f ca="1">VLOOKUP($F247,OFFSET(enemy_skill_triggers!$A$1,0,0,COUNTA(enemy_skill_triggers!$A:$A),MATCH(G$1,enemy_skill_triggers!$1:$1,0)-MATCH($F$1,enemy_skill_triggers!$1:$1,0)+1),MATCH(G$1,enemy_skill_triggers!$1:$1,0)-MATCH($F$1,enemy_skill_triggers!$1:$1,0)+1,FALSE)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7" s="48">
        <f ca="1">VLOOKUP($F247,OFFSET(enemy_skill_triggers!$A$1,0,0,COUNTA(enemy_skill_triggers!$A:$A),MATCH(H$1,enemy_skill_triggers!$1:$1,0)-MATCH($F$1,enemy_skill_triggers!$1:$1,0)+1),MATCH(H$1,enemy_skill_triggers!$1:$1,0)-MATCH($F$1,enemy_skill_triggers!$1:$1,0)+1,FALSE)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47" s="48">
        <f ca="1">VLOOKUP($F247,OFFSET(enemy_skill_triggers!$A$1,0,0,COUNTA(enemy_skill_triggers!$A:$A),MATCH(I$1,enemy_skill_triggers!$1:$1,0)-MATCH($F$1,enemy_skill_triggers!$1:$1,0)+1),MATCH(I$1,enemy_skill_triggers!$1:$1,0)-MATCH($F$1,enemy_skill_triggers!$1:$1,0)+1,FALSE)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7" s="48" t="str">
        <f ca="1">VLOOKUP($F247,OFFSET(enemy_skill_triggers!$A$1,0,0,COUNTA(enemy_skill_triggers!$A:$A),MATCH(J$1,enemy_skill_triggers!$1:$1,0)-MATCH($F$1,enemy_skill_triggers!$1:$1,0)+1),MATCH(J$1,enemy_skill_triggers!$1:$1,0)-MATCH($F$1,enemy_skill_triggers!$1:$1,0)+1,FALSE)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7" s="48" t="str">
        <f ca="1">VLOOKUP($F247,OFFSET(enemy_skill_triggers!$A$1,0,0,COUNTA(enemy_skill_triggers!$A:$A),MATCH(K$1,enemy_skill_triggers!$1:$1,0)-MATCH($F$1,enemy_skill_triggers!$1:$1,0)+1),MATCH(K$1,enemy_skill_triggers!$1:$1,0)-MATCH($F$1,enemy_skill_triggers!$1:$1,0)+1,FALSE)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7" s="48" t="str">
        <f ca="1">VLOOKUP($F247,OFFSET(enemy_skill_triggers!$A$1,0,0,COUNTA(enemy_skill_triggers!$A:$A),MATCH(L$1,enemy_skill_triggers!$1:$1,0)-MATCH($F$1,enemy_skill_triggers!$1:$1,0)+1),MATCH(L$1,enemy_skill_triggers!$1:$1,0)-MATCH($F$1,enemy_skill_triggers!$1:$1,0)+1,FALSE)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7" s="48">
        <f ca="1">VLOOKUP($F247,OFFSET(enemy_skill_triggers!$A$1,0,0,COUNTA(enemy_skill_triggers!$A:$A),MATCH(M$1,enemy_skill_triggers!$1:$1,0)-MATCH($F$1,enemy_skill_triggers!$1:$1,0)+1),MATCH(M$1,enemy_skill_triggers!$1:$1,0)-MATCH($F$1,enemy_skill_triggers!$1:$1,0)+1,FALSE)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7" s="48" t="str">
        <f ca="1">VLOOKUP($F247,OFFSET(enemy_skill_triggers!$A$1,0,0,COUNTA(enemy_skill_triggers!$A:$A),MATCH(N$1,enemy_skill_triggers!$1:$1,0)-MATCH($F$1,enemy_skill_triggers!$1:$1,0)+1),MATCH(N$1,enemy_skill_triggers!$1:$1,0)-MATCH($F$1,enemy_skill_triggers!$1:$1,0)+1,FALSE)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7" s="48">
        <f ca="1">VLOOKUP($F247,OFFSET(enemy_skill_triggers!$A$1,0,0,COUNTA(enemy_skill_triggers!$A:$A),MATCH(O$1,enemy_skill_triggers!$1:$1,0)-MATCH($F$1,enemy_skill_triggers!$1:$1,0)+1),MATCH(O$1,enemy_skill_triggers!$1:$1,0)-MATCH($F$1,enemy_skill_triggers!$1:$1,0)+1,FALSE)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7" s="47"/>
      <c r="Q247" s="47"/>
      <c r="R247" s="47"/>
    </row>
    <row r="248" spans="1:18" ht="21" customHeight="1" x14ac:dyDescent="0.15">
      <c r="A248" s="39" t="str">
        <f t="shared" si="8"/>
        <v>47003720_47003723</v>
      </c>
      <c r="B248" s="120">
        <v>47003720</v>
      </c>
      <c r="C248" s="120">
        <v>47003723</v>
      </c>
      <c r="D248" s="46" t="str">
        <f ca="1">VLOOKUP($C248,OFFSET(enemy_skills!$A$1,0,0,COUNTA(enemy_skills!$A:$A),MATCH(D$1,enemy_skills!$1:$1,0)-MATCH("enemy_skill_id",enemy_skills!$1:$1,0)+1),MATCH(D$1,enemy_skills!$1:$1,0)-MATCH("enemy_skill_id",enemy_skills!$1:$1,0)+1,FALSE)</f>
        <v>やるな、だがこれはどうだ！</v>
      </c>
      <c r="E248" s="46" t="str">
        <f ca="1">VLOOKUP($C248,OFFSET(enemy_skills!$A$1,0,0,COUNTA(enemy_skills!$A:$A),MATCH(E$1,enemy_skills!$1:$1,0)-MATCH("enemy_skill_id",enemy_skills!$1:$1,0)+1),MATCH(E$1,enemy_skills!$1:$1,0)-MATCH("enemy_skill_id",enemy_skills!$1:$1,0)+1,FALSE)</f>
        <v>種族マシンのユニットに4ターンスキルバインド+_x000D_種族マシンのユニットに大ダメージの全体攻撃</v>
      </c>
      <c r="F248" s="120">
        <v>47003723</v>
      </c>
      <c r="G248" s="48">
        <f ca="1">VLOOKUP($F248,OFFSET(enemy_skill_triggers!$A$1,0,0,COUNTA(enemy_skill_triggers!$A:$A),MATCH(G$1,enemy_skill_triggers!$1:$1,0)-MATCH($F$1,enemy_skill_triggers!$1:$1,0)+1),MATCH(G$1,enemy_skill_triggers!$1:$1,0)-MATCH($F$1,enemy_skill_triggers!$1:$1,0)+1,FALSE)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8" s="48">
        <f ca="1">VLOOKUP($F248,OFFSET(enemy_skill_triggers!$A$1,0,0,COUNTA(enemy_skill_triggers!$A:$A),MATCH(H$1,enemy_skill_triggers!$1:$1,0)-MATCH($F$1,enemy_skill_triggers!$1:$1,0)+1),MATCH(H$1,enemy_skill_triggers!$1:$1,0)-MATCH($F$1,enemy_skill_triggers!$1:$1,0)+1,FALSE)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48" s="48">
        <f ca="1">VLOOKUP($F248,OFFSET(enemy_skill_triggers!$A$1,0,0,COUNTA(enemy_skill_triggers!$A:$A),MATCH(I$1,enemy_skill_triggers!$1:$1,0)-MATCH($F$1,enemy_skill_triggers!$1:$1,0)+1),MATCH(I$1,enemy_skill_triggers!$1:$1,0)-MATCH($F$1,enemy_skill_triggers!$1:$1,0)+1,FALSE)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8" s="48" t="str">
        <f ca="1">VLOOKUP($F248,OFFSET(enemy_skill_triggers!$A$1,0,0,COUNTA(enemy_skill_triggers!$A:$A),MATCH(J$1,enemy_skill_triggers!$1:$1,0)-MATCH($F$1,enemy_skill_triggers!$1:$1,0)+1),MATCH(J$1,enemy_skill_triggers!$1:$1,0)-MATCH($F$1,enemy_skill_triggers!$1:$1,0)+1,FALSE)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8" s="48" t="str">
        <f ca="1">VLOOKUP($F248,OFFSET(enemy_skill_triggers!$A$1,0,0,COUNTA(enemy_skill_triggers!$A:$A),MATCH(K$1,enemy_skill_triggers!$1:$1,0)-MATCH($F$1,enemy_skill_triggers!$1:$1,0)+1),MATCH(K$1,enemy_skill_triggers!$1:$1,0)-MATCH($F$1,enemy_skill_triggers!$1:$1,0)+1,FALSE)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8" s="48" t="str">
        <f ca="1">VLOOKUP($F248,OFFSET(enemy_skill_triggers!$A$1,0,0,COUNTA(enemy_skill_triggers!$A:$A),MATCH(L$1,enemy_skill_triggers!$1:$1,0)-MATCH($F$1,enemy_skill_triggers!$1:$1,0)+1),MATCH(L$1,enemy_skill_triggers!$1:$1,0)-MATCH($F$1,enemy_skill_triggers!$1:$1,0)+1,FALSE)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8" s="48">
        <f ca="1">VLOOKUP($F248,OFFSET(enemy_skill_triggers!$A$1,0,0,COUNTA(enemy_skill_triggers!$A:$A),MATCH(M$1,enemy_skill_triggers!$1:$1,0)-MATCH($F$1,enemy_skill_triggers!$1:$1,0)+1),MATCH(M$1,enemy_skill_triggers!$1:$1,0)-MATCH($F$1,enemy_skill_triggers!$1:$1,0)+1,FALSE)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8" s="48" t="str">
        <f ca="1">VLOOKUP($F248,OFFSET(enemy_skill_triggers!$A$1,0,0,COUNTA(enemy_skill_triggers!$A:$A),MATCH(N$1,enemy_skill_triggers!$1:$1,0)-MATCH($F$1,enemy_skill_triggers!$1:$1,0)+1),MATCH(N$1,enemy_skill_triggers!$1:$1,0)-MATCH($F$1,enemy_skill_triggers!$1:$1,0)+1,FALSE)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8" s="48">
        <f ca="1">VLOOKUP($F248,OFFSET(enemy_skill_triggers!$A$1,0,0,COUNTA(enemy_skill_triggers!$A:$A),MATCH(O$1,enemy_skill_triggers!$1:$1,0)-MATCH($F$1,enemy_skill_triggers!$1:$1,0)+1),MATCH(O$1,enemy_skill_triggers!$1:$1,0)-MATCH($F$1,enemy_skill_triggers!$1:$1,0)+1,FALSE)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8" s="47"/>
      <c r="Q248" s="47"/>
      <c r="R248" s="47"/>
    </row>
    <row r="249" spans="1:18" ht="21" customHeight="1" x14ac:dyDescent="0.15">
      <c r="A249" s="39" t="str">
        <f t="shared" ref="A249" si="22">B249&amp;"_"&amp;C249</f>
        <v>47003720_47003724</v>
      </c>
      <c r="B249" s="120">
        <v>47003720</v>
      </c>
      <c r="C249" s="120">
        <v>47003724</v>
      </c>
      <c r="D249" s="46" t="str">
        <f ca="1">VLOOKUP($C249,OFFSET(enemy_skills!$A$1,0,0,COUNTA(enemy_skills!$A:$A),MATCH(D$1,enemy_skills!$1:$1,0)-MATCH("enemy_skill_id",enemy_skills!$1:$1,0)+1),MATCH(D$1,enemy_skills!$1:$1,0)-MATCH("enemy_skill_id",enemy_skills!$1:$1,0)+1,FALSE)</f>
        <v>吸血剣・バットラス</v>
      </c>
      <c r="E249" s="46" t="str">
        <f ca="1">VLOOKUP($C249,OFFSET(enemy_skills!$A$1,0,0,COUNTA(enemy_skills!$A:$A),MATCH(E$1,enemy_skills!$1:$1,0)-MATCH("enemy_skill_id",enemy_skills!$1:$1,0)+1),MATCH(E$1,enemy_skills!$1:$1,0)-MATCH("enemy_skill_id",enemy_skills!$1:$1,0)+1,FALSE)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49" s="120">
        <v>47003724</v>
      </c>
      <c r="G249" s="48">
        <f ca="1">VLOOKUP($F249,OFFSET(enemy_skill_triggers!$A$1,0,0,COUNTA(enemy_skill_triggers!$A:$A),MATCH(G$1,enemy_skill_triggers!$1:$1,0)-MATCH($F$1,enemy_skill_triggers!$1:$1,0)+1),MATCH(G$1,enemy_skill_triggers!$1:$1,0)-MATCH($F$1,enemy_skill_triggers!$1:$1,0)+1,FALSE)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9" s="48">
        <f ca="1">VLOOKUP($F249,OFFSET(enemy_skill_triggers!$A$1,0,0,COUNTA(enemy_skill_triggers!$A:$A),MATCH(H$1,enemy_skill_triggers!$1:$1,0)-MATCH($F$1,enemy_skill_triggers!$1:$1,0)+1),MATCH(H$1,enemy_skill_triggers!$1:$1,0)-MATCH($F$1,enemy_skill_triggers!$1:$1,0)+1,FALSE)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49" s="48">
        <f ca="1">VLOOKUP($F249,OFFSET(enemy_skill_triggers!$A$1,0,0,COUNTA(enemy_skill_triggers!$A:$A),MATCH(I$1,enemy_skill_triggers!$1:$1,0)-MATCH($F$1,enemy_skill_triggers!$1:$1,0)+1),MATCH(I$1,enemy_skill_triggers!$1:$1,0)-MATCH($F$1,enemy_skill_triggers!$1:$1,0)+1,FALSE)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9" s="48" t="str">
        <f ca="1">VLOOKUP($F249,OFFSET(enemy_skill_triggers!$A$1,0,0,COUNTA(enemy_skill_triggers!$A:$A),MATCH(J$1,enemy_skill_triggers!$1:$1,0)-MATCH($F$1,enemy_skill_triggers!$1:$1,0)+1),MATCH(J$1,enemy_skill_triggers!$1:$1,0)-MATCH($F$1,enemy_skill_triggers!$1:$1,0)+1,FALSE)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9" s="48" t="str">
        <f ca="1">VLOOKUP($F249,OFFSET(enemy_skill_triggers!$A$1,0,0,COUNTA(enemy_skill_triggers!$A:$A),MATCH(K$1,enemy_skill_triggers!$1:$1,0)-MATCH($F$1,enemy_skill_triggers!$1:$1,0)+1),MATCH(K$1,enemy_skill_triggers!$1:$1,0)-MATCH($F$1,enemy_skill_triggers!$1:$1,0)+1,FALSE)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9" s="48" t="str">
        <f ca="1">VLOOKUP($F249,OFFSET(enemy_skill_triggers!$A$1,0,0,COUNTA(enemy_skill_triggers!$A:$A),MATCH(L$1,enemy_skill_triggers!$1:$1,0)-MATCH($F$1,enemy_skill_triggers!$1:$1,0)+1),MATCH(L$1,enemy_skill_triggers!$1:$1,0)-MATCH($F$1,enemy_skill_triggers!$1:$1,0)+1,FALSE)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9" s="48">
        <f ca="1">VLOOKUP($F249,OFFSET(enemy_skill_triggers!$A$1,0,0,COUNTA(enemy_skill_triggers!$A:$A),MATCH(M$1,enemy_skill_triggers!$1:$1,0)-MATCH($F$1,enemy_skill_triggers!$1:$1,0)+1),MATCH(M$1,enemy_skill_triggers!$1:$1,0)-MATCH($F$1,enemy_skill_triggers!$1:$1,0)+1,FALSE)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9" s="48" t="str">
        <f ca="1">VLOOKUP($F249,OFFSET(enemy_skill_triggers!$A$1,0,0,COUNTA(enemy_skill_triggers!$A:$A),MATCH(N$1,enemy_skill_triggers!$1:$1,0)-MATCH($F$1,enemy_skill_triggers!$1:$1,0)+1),MATCH(N$1,enemy_skill_triggers!$1:$1,0)-MATCH($F$1,enemy_skill_triggers!$1:$1,0)+1,FALSE)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9" s="48">
        <f ca="1">VLOOKUP($F249,OFFSET(enemy_skill_triggers!$A$1,0,0,COUNTA(enemy_skill_triggers!$A:$A),MATCH(O$1,enemy_skill_triggers!$1:$1,0)-MATCH($F$1,enemy_skill_triggers!$1:$1,0)+1),MATCH(O$1,enemy_skill_triggers!$1:$1,0)-MATCH($F$1,enemy_skill_triggers!$1:$1,0)+1,FALSE)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9" s="47"/>
      <c r="Q249" s="47"/>
      <c r="R249" s="47"/>
    </row>
    <row r="250" spans="1:18" ht="21" customHeight="1" x14ac:dyDescent="0.15">
      <c r="A250" s="39" t="str">
        <f t="shared" ref="A250" si="23">B250&amp;"_"&amp;C250</f>
        <v>47003720_47003725</v>
      </c>
      <c r="B250" s="120">
        <v>47003720</v>
      </c>
      <c r="C250" s="120">
        <v>47003725</v>
      </c>
      <c r="D250" s="46" t="str">
        <f ca="1">VLOOKUP($C250,OFFSET(enemy_skills!$A$1,0,0,COUNTA(enemy_skills!$A:$A),MATCH(D$1,enemy_skills!$1:$1,0)-MATCH("enemy_skill_id",enemy_skills!$1:$1,0)+1),MATCH(D$1,enemy_skills!$1:$1,0)-MATCH("enemy_skill_id",enemy_skills!$1:$1,0)+1,FALSE)</f>
        <v>楽しい夜だな！　熱くなって来たぜ！</v>
      </c>
      <c r="E250" s="46" t="str">
        <f ca="1">VLOOKUP($C250,OFFSET(enemy_skills!$A$1,0,0,COUNTA(enemy_skills!$A:$A),MATCH(E$1,enemy_skills!$1:$1,0)-MATCH("enemy_skill_id",enemy_skills!$1:$1,0)+1),MATCH(E$1,enemy_skills!$1:$1,0)-MATCH("enemy_skill_id",enemy_skills!$1:$1,0)+1,FALSE)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250" s="120">
        <v>47003725</v>
      </c>
      <c r="G250" s="48">
        <f ca="1">VLOOKUP($F250,OFFSET(enemy_skill_triggers!$A$1,0,0,COUNTA(enemy_skill_triggers!$A:$A),MATCH(G$1,enemy_skill_triggers!$1:$1,0)-MATCH($F$1,enemy_skill_triggers!$1:$1,0)+1),MATCH(G$1,enemy_skill_triggers!$1:$1,0)-MATCH($F$1,enemy_skill_triggers!$1:$1,0)+1,FALSE)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0" s="48">
        <f ca="1">VLOOKUP($F250,OFFSET(enemy_skill_triggers!$A$1,0,0,COUNTA(enemy_skill_triggers!$A:$A),MATCH(H$1,enemy_skill_triggers!$1:$1,0)-MATCH($F$1,enemy_skill_triggers!$1:$1,0)+1),MATCH(H$1,enemy_skill_triggers!$1:$1,0)-MATCH($F$1,enemy_skill_triggers!$1:$1,0)+1,FALSE)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250" s="48">
        <f ca="1">VLOOKUP($F250,OFFSET(enemy_skill_triggers!$A$1,0,0,COUNTA(enemy_skill_triggers!$A:$A),MATCH(I$1,enemy_skill_triggers!$1:$1,0)-MATCH($F$1,enemy_skill_triggers!$1:$1,0)+1),MATCH(I$1,enemy_skill_triggers!$1:$1,0)-MATCH($F$1,enemy_skill_triggers!$1:$1,0)+1,FALSE)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0" s="48">
        <f ca="1">VLOOKUP($F250,OFFSET(enemy_skill_triggers!$A$1,0,0,COUNTA(enemy_skill_triggers!$A:$A),MATCH(J$1,enemy_skill_triggers!$1:$1,0)-MATCH($F$1,enemy_skill_triggers!$1:$1,0)+1),MATCH(J$1,enemy_skill_triggers!$1:$1,0)-MATCH($F$1,enemy_skill_triggers!$1:$1,0)+1,FALSE)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0" s="48" t="str">
        <f ca="1">VLOOKUP($F250,OFFSET(enemy_skill_triggers!$A$1,0,0,COUNTA(enemy_skill_triggers!$A:$A),MATCH(K$1,enemy_skill_triggers!$1:$1,0)-MATCH($F$1,enemy_skill_triggers!$1:$1,0)+1),MATCH(K$1,enemy_skill_triggers!$1:$1,0)-MATCH($F$1,enemy_skill_triggers!$1:$1,0)+1,FALSE)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0" s="48">
        <f ca="1">VLOOKUP($F250,OFFSET(enemy_skill_triggers!$A$1,0,0,COUNTA(enemy_skill_triggers!$A:$A),MATCH(L$1,enemy_skill_triggers!$1:$1,0)-MATCH($F$1,enemy_skill_triggers!$1:$1,0)+1),MATCH(L$1,enemy_skill_triggers!$1:$1,0)-MATCH($F$1,enemy_skill_triggers!$1:$1,0)+1,FALSE)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0" s="48">
        <f ca="1">VLOOKUP($F250,OFFSET(enemy_skill_triggers!$A$1,0,0,COUNTA(enemy_skill_triggers!$A:$A),MATCH(M$1,enemy_skill_triggers!$1:$1,0)-MATCH($F$1,enemy_skill_triggers!$1:$1,0)+1),MATCH(M$1,enemy_skill_triggers!$1:$1,0)-MATCH($F$1,enemy_skill_triggers!$1:$1,0)+1,FALSE)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0" s="48" t="str">
        <f ca="1">VLOOKUP($F250,OFFSET(enemy_skill_triggers!$A$1,0,0,COUNTA(enemy_skill_triggers!$A:$A),MATCH(N$1,enemy_skill_triggers!$1:$1,0)-MATCH($F$1,enemy_skill_triggers!$1:$1,0)+1),MATCH(N$1,enemy_skill_triggers!$1:$1,0)-MATCH($F$1,enemy_skill_triggers!$1:$1,0)+1,FALSE)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0" s="48">
        <f ca="1">VLOOKUP($F250,OFFSET(enemy_skill_triggers!$A$1,0,0,COUNTA(enemy_skill_triggers!$A:$A),MATCH(O$1,enemy_skill_triggers!$1:$1,0)-MATCH($F$1,enemy_skill_triggers!$1:$1,0)+1),MATCH(O$1,enemy_skill_triggers!$1:$1,0)-MATCH($F$1,enemy_skill_triggers!$1:$1,0)+1,FALSE)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0" s="47"/>
      <c r="Q250" s="47"/>
      <c r="R250" s="47"/>
    </row>
    <row r="251" spans="1:18" ht="21" customHeight="1" x14ac:dyDescent="0.15">
      <c r="A251" s="39" t="str">
        <f t="shared" ref="A251:A253" si="24">B251&amp;"_"&amp;C251</f>
        <v>47003720_47003726</v>
      </c>
      <c r="B251" s="120">
        <v>47003720</v>
      </c>
      <c r="C251" s="120">
        <v>47003726</v>
      </c>
      <c r="D251" s="46" t="str">
        <f ca="1">VLOOKUP($C251,OFFSET(enemy_skills!$A$1,0,0,COUNTA(enemy_skills!$A:$A),MATCH(D$1,enemy_skills!$1:$1,0)-MATCH("enemy_skill_id",enemy_skills!$1:$1,0)+1),MATCH(D$1,enemy_skills!$1:$1,0)-MATCH("enemy_skill_id",enemy_skills!$1:$1,0)+1,FALSE)</f>
        <v>可愛い魔女さん、ふふ…俺が怖いか？</v>
      </c>
      <c r="E251" s="46" t="str">
        <f ca="1">VLOOKUP($C251,OFFSET(enemy_skills!$A$1,0,0,COUNTA(enemy_skills!$A:$A),MATCH(E$1,enemy_skills!$1:$1,0)-MATCH("enemy_skill_id",enemy_skills!$1:$1,0)+1),MATCH(E$1,enemy_skills!$1:$1,0)-MATCH("enemy_skill_id",enemy_skills!$1:$1,0)+1,FALSE)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251" s="120">
        <v>47003726</v>
      </c>
      <c r="G251" s="48">
        <f ca="1">VLOOKUP($F251,OFFSET(enemy_skill_triggers!$A$1,0,0,COUNTA(enemy_skill_triggers!$A:$A),MATCH(G$1,enemy_skill_triggers!$1:$1,0)-MATCH($F$1,enemy_skill_triggers!$1:$1,0)+1),MATCH(G$1,enemy_skill_triggers!$1:$1,0)-MATCH($F$1,enemy_skill_triggers!$1:$1,0)+1,FALSE)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1" s="48">
        <f ca="1">VLOOKUP($F251,OFFSET(enemy_skill_triggers!$A$1,0,0,COUNTA(enemy_skill_triggers!$A:$A),MATCH(H$1,enemy_skill_triggers!$1:$1,0)-MATCH($F$1,enemy_skill_triggers!$1:$1,0)+1),MATCH(H$1,enemy_skill_triggers!$1:$1,0)-MATCH($F$1,enemy_skill_triggers!$1:$1,0)+1,FALSE)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251" s="48">
        <f ca="1">VLOOKUP($F251,OFFSET(enemy_skill_triggers!$A$1,0,0,COUNTA(enemy_skill_triggers!$A:$A),MATCH(I$1,enemy_skill_triggers!$1:$1,0)-MATCH($F$1,enemy_skill_triggers!$1:$1,0)+1),MATCH(I$1,enemy_skill_triggers!$1:$1,0)-MATCH($F$1,enemy_skill_triggers!$1:$1,0)+1,FALSE)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1" s="48" t="str">
        <f ca="1">VLOOKUP($F251,OFFSET(enemy_skill_triggers!$A$1,0,0,COUNTA(enemy_skill_triggers!$A:$A),MATCH(J$1,enemy_skill_triggers!$1:$1,0)-MATCH($F$1,enemy_skill_triggers!$1:$1,0)+1),MATCH(J$1,enemy_skill_triggers!$1:$1,0)-MATCH($F$1,enemy_skill_triggers!$1:$1,0)+1,FALSE)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1" s="48" t="str">
        <f ca="1">VLOOKUP($F251,OFFSET(enemy_skill_triggers!$A$1,0,0,COUNTA(enemy_skill_triggers!$A:$A),MATCH(K$1,enemy_skill_triggers!$1:$1,0)-MATCH($F$1,enemy_skill_triggers!$1:$1,0)+1),MATCH(K$1,enemy_skill_triggers!$1:$1,0)-MATCH($F$1,enemy_skill_triggers!$1:$1,0)+1,FALSE)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1" s="48">
        <f ca="1">VLOOKUP($F251,OFFSET(enemy_skill_triggers!$A$1,0,0,COUNTA(enemy_skill_triggers!$A:$A),MATCH(L$1,enemy_skill_triggers!$1:$1,0)-MATCH($F$1,enemy_skill_triggers!$1:$1,0)+1),MATCH(L$1,enemy_skill_triggers!$1:$1,0)-MATCH($F$1,enemy_skill_triggers!$1:$1,0)+1,FALSE)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1" s="48" t="str">
        <f ca="1">VLOOKUP($F251,OFFSET(enemy_skill_triggers!$A$1,0,0,COUNTA(enemy_skill_triggers!$A:$A),MATCH(M$1,enemy_skill_triggers!$1:$1,0)-MATCH($F$1,enemy_skill_triggers!$1:$1,0)+1),MATCH(M$1,enemy_skill_triggers!$1:$1,0)-MATCH($F$1,enemy_skill_triggers!$1:$1,0)+1,FALSE)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1" s="48">
        <f ca="1">VLOOKUP($F251,OFFSET(enemy_skill_triggers!$A$1,0,0,COUNTA(enemy_skill_triggers!$A:$A),MATCH(N$1,enemy_skill_triggers!$1:$1,0)-MATCH($F$1,enemy_skill_triggers!$1:$1,0)+1),MATCH(N$1,enemy_skill_triggers!$1:$1,0)-MATCH($F$1,enemy_skill_triggers!$1:$1,0)+1,FALSE)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251" s="48">
        <f ca="1">VLOOKUP($F251,OFFSET(enemy_skill_triggers!$A$1,0,0,COUNTA(enemy_skill_triggers!$A:$A),MATCH(O$1,enemy_skill_triggers!$1:$1,0)-MATCH($F$1,enemy_skill_triggers!$1:$1,0)+1),MATCH(O$1,enemy_skill_triggers!$1:$1,0)-MATCH($F$1,enemy_skill_triggers!$1:$1,0)+1,FALSE)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1" s="47"/>
      <c r="Q251" s="47"/>
      <c r="R251" s="47"/>
    </row>
    <row r="252" spans="1:18" ht="21" customHeight="1" x14ac:dyDescent="0.15">
      <c r="A252" s="39" t="str">
        <f t="shared" si="24"/>
        <v>47003720_47003726</v>
      </c>
      <c r="B252" s="120">
        <v>47003720</v>
      </c>
      <c r="C252" s="120">
        <v>47003726</v>
      </c>
      <c r="D252" s="46" t="str">
        <f ca="1">VLOOKUP($C252,OFFSET(enemy_skills!$A$1,0,0,COUNTA(enemy_skills!$A:$A),MATCH(D$1,enemy_skills!$1:$1,0)-MATCH("enemy_skill_id",enemy_skills!$1:$1,0)+1),MATCH(D$1,enemy_skills!$1:$1,0)-MATCH("enemy_skill_id",enemy_skills!$1:$1,0)+1,FALSE)</f>
        <v>可愛い魔女さん、ふふ…俺が怖いか？</v>
      </c>
      <c r="E252" s="46" t="str">
        <f ca="1">VLOOKUP($C252,OFFSET(enemy_skills!$A$1,0,0,COUNTA(enemy_skills!$A:$A),MATCH(E$1,enemy_skills!$1:$1,0)-MATCH("enemy_skill_id",enemy_skills!$1:$1,0)+1),MATCH(E$1,enemy_skills!$1:$1,0)-MATCH("enemy_skill_id",enemy_skills!$1:$1,0)+1,FALSE)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252" s="120">
        <v>47003727</v>
      </c>
      <c r="G252" s="48">
        <f ca="1">VLOOKUP($F252,OFFSET(enemy_skill_triggers!$A$1,0,0,COUNTA(enemy_skill_triggers!$A:$A),MATCH(G$1,enemy_skill_triggers!$1:$1,0)-MATCH($F$1,enemy_skill_triggers!$1:$1,0)+1),MATCH(G$1,enemy_skill_triggers!$1:$1,0)-MATCH($F$1,enemy_skill_triggers!$1:$1,0)+1,FALSE)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2" s="48">
        <f ca="1">VLOOKUP($F252,OFFSET(enemy_skill_triggers!$A$1,0,0,COUNTA(enemy_skill_triggers!$A:$A),MATCH(H$1,enemy_skill_triggers!$1:$1,0)-MATCH($F$1,enemy_skill_triggers!$1:$1,0)+1),MATCH(H$1,enemy_skill_triggers!$1:$1,0)-MATCH($F$1,enemy_skill_triggers!$1:$1,0)+1,FALSE)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252" s="48">
        <f ca="1">VLOOKUP($F252,OFFSET(enemy_skill_triggers!$A$1,0,0,COUNTA(enemy_skill_triggers!$A:$A),MATCH(I$1,enemy_skill_triggers!$1:$1,0)-MATCH($F$1,enemy_skill_triggers!$1:$1,0)+1),MATCH(I$1,enemy_skill_triggers!$1:$1,0)-MATCH($F$1,enemy_skill_triggers!$1:$1,0)+1,FALSE)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2" s="48" t="str">
        <f ca="1">VLOOKUP($F252,OFFSET(enemy_skill_triggers!$A$1,0,0,COUNTA(enemy_skill_triggers!$A:$A),MATCH(J$1,enemy_skill_triggers!$1:$1,0)-MATCH($F$1,enemy_skill_triggers!$1:$1,0)+1),MATCH(J$1,enemy_skill_triggers!$1:$1,0)-MATCH($F$1,enemy_skill_triggers!$1:$1,0)+1,FALSE)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2" s="48" t="str">
        <f ca="1">VLOOKUP($F252,OFFSET(enemy_skill_triggers!$A$1,0,0,COUNTA(enemy_skill_triggers!$A:$A),MATCH(K$1,enemy_skill_triggers!$1:$1,0)-MATCH($F$1,enemy_skill_triggers!$1:$1,0)+1),MATCH(K$1,enemy_skill_triggers!$1:$1,0)-MATCH($F$1,enemy_skill_triggers!$1:$1,0)+1,FALSE)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2" s="48">
        <f ca="1">VLOOKUP($F252,OFFSET(enemy_skill_triggers!$A$1,0,0,COUNTA(enemy_skill_triggers!$A:$A),MATCH(L$1,enemy_skill_triggers!$1:$1,0)-MATCH($F$1,enemy_skill_triggers!$1:$1,0)+1),MATCH(L$1,enemy_skill_triggers!$1:$1,0)-MATCH($F$1,enemy_skill_triggers!$1:$1,0)+1,FALSE)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2" s="48" t="str">
        <f ca="1">VLOOKUP($F252,OFFSET(enemy_skill_triggers!$A$1,0,0,COUNTA(enemy_skill_triggers!$A:$A),MATCH(M$1,enemy_skill_triggers!$1:$1,0)-MATCH($F$1,enemy_skill_triggers!$1:$1,0)+1),MATCH(M$1,enemy_skill_triggers!$1:$1,0)-MATCH($F$1,enemy_skill_triggers!$1:$1,0)+1,FALSE)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2" s="48">
        <f ca="1">VLOOKUP($F252,OFFSET(enemy_skill_triggers!$A$1,0,0,COUNTA(enemy_skill_triggers!$A:$A),MATCH(N$1,enemy_skill_triggers!$1:$1,0)-MATCH($F$1,enemy_skill_triggers!$1:$1,0)+1),MATCH(N$1,enemy_skill_triggers!$1:$1,0)-MATCH($F$1,enemy_skill_triggers!$1:$1,0)+1,FALSE)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252" s="48">
        <f ca="1">VLOOKUP($F252,OFFSET(enemy_skill_triggers!$A$1,0,0,COUNTA(enemy_skill_triggers!$A:$A),MATCH(O$1,enemy_skill_triggers!$1:$1,0)-MATCH($F$1,enemy_skill_triggers!$1:$1,0)+1),MATCH(O$1,enemy_skill_triggers!$1:$1,0)-MATCH($F$1,enemy_skill_triggers!$1:$1,0)+1,FALSE)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2" s="47"/>
      <c r="Q252" s="47"/>
      <c r="R252" s="47"/>
    </row>
    <row r="253" spans="1:18" ht="21" customHeight="1" x14ac:dyDescent="0.15">
      <c r="A253" s="39" t="str">
        <f t="shared" si="24"/>
        <v>47003720_47003727</v>
      </c>
      <c r="B253" s="120">
        <v>47003720</v>
      </c>
      <c r="C253" s="120">
        <v>47003727</v>
      </c>
      <c r="D253" s="46" t="str">
        <f ca="1">VLOOKUP($C253,OFFSET(enemy_skills!$A$1,0,0,COUNTA(enemy_skills!$A:$A),MATCH(D$1,enemy_skills!$1:$1,0)-MATCH("enemy_skill_id",enemy_skills!$1:$1,0)+1),MATCH(D$1,enemy_skills!$1:$1,0)-MATCH("enemy_skill_id",enemy_skills!$1:$1,0)+1,FALSE)</f>
        <v>姫様、城までエスコートしようか？</v>
      </c>
      <c r="E253" s="46" t="str">
        <f ca="1">VLOOKUP($C253,OFFSET(enemy_skills!$A$1,0,0,COUNTA(enemy_skills!$A:$A),MATCH(E$1,enemy_skills!$1:$1,0)-MATCH("enemy_skill_id",enemy_skills!$1:$1,0)+1),MATCH(E$1,enemy_skills!$1:$1,0)-MATCH("enemy_skill_id",enemy_skills!$1:$1,0)+1,FALSE)</f>
        <v>フィーバーゲージ増加</v>
      </c>
      <c r="F253" s="120">
        <v>47003728</v>
      </c>
      <c r="G253" s="48">
        <f ca="1">VLOOKUP($F253,OFFSET(enemy_skill_triggers!$A$1,0,0,COUNTA(enemy_skill_triggers!$A:$A),MATCH(G$1,enemy_skill_triggers!$1:$1,0)-MATCH($F$1,enemy_skill_triggers!$1:$1,0)+1),MATCH(G$1,enemy_skill_triggers!$1:$1,0)-MATCH($F$1,enemy_skill_triggers!$1:$1,0)+1,FALSE)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3" s="48">
        <f ca="1">VLOOKUP($F253,OFFSET(enemy_skill_triggers!$A$1,0,0,COUNTA(enemy_skill_triggers!$A:$A),MATCH(H$1,enemy_skill_triggers!$1:$1,0)-MATCH($F$1,enemy_skill_triggers!$1:$1,0)+1),MATCH(H$1,enemy_skill_triggers!$1:$1,0)-MATCH($F$1,enemy_skill_triggers!$1:$1,0)+1,FALSE)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253" s="48">
        <f ca="1">VLOOKUP($F253,OFFSET(enemy_skill_triggers!$A$1,0,0,COUNTA(enemy_skill_triggers!$A:$A),MATCH(I$1,enemy_skill_triggers!$1:$1,0)-MATCH($F$1,enemy_skill_triggers!$1:$1,0)+1),MATCH(I$1,enemy_skill_triggers!$1:$1,0)-MATCH($F$1,enemy_skill_triggers!$1:$1,0)+1,FALSE)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3" s="48" t="str">
        <f ca="1">VLOOKUP($F253,OFFSET(enemy_skill_triggers!$A$1,0,0,COUNTA(enemy_skill_triggers!$A:$A),MATCH(J$1,enemy_skill_triggers!$1:$1,0)-MATCH($F$1,enemy_skill_triggers!$1:$1,0)+1),MATCH(J$1,enemy_skill_triggers!$1:$1,0)-MATCH($F$1,enemy_skill_triggers!$1:$1,0)+1,FALSE)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3" s="48" t="str">
        <f ca="1">VLOOKUP($F253,OFFSET(enemy_skill_triggers!$A$1,0,0,COUNTA(enemy_skill_triggers!$A:$A),MATCH(K$1,enemy_skill_triggers!$1:$1,0)-MATCH($F$1,enemy_skill_triggers!$1:$1,0)+1),MATCH(K$1,enemy_skill_triggers!$1:$1,0)-MATCH($F$1,enemy_skill_triggers!$1:$1,0)+1,FALSE)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3" s="48">
        <f ca="1">VLOOKUP($F253,OFFSET(enemy_skill_triggers!$A$1,0,0,COUNTA(enemy_skill_triggers!$A:$A),MATCH(L$1,enemy_skill_triggers!$1:$1,0)-MATCH($F$1,enemy_skill_triggers!$1:$1,0)+1),MATCH(L$1,enemy_skill_triggers!$1:$1,0)-MATCH($F$1,enemy_skill_triggers!$1:$1,0)+1,FALSE)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3" s="48" t="str">
        <f ca="1">VLOOKUP($F253,OFFSET(enemy_skill_triggers!$A$1,0,0,COUNTA(enemy_skill_triggers!$A:$A),MATCH(M$1,enemy_skill_triggers!$1:$1,0)-MATCH($F$1,enemy_skill_triggers!$1:$1,0)+1),MATCH(M$1,enemy_skill_triggers!$1:$1,0)-MATCH($F$1,enemy_skill_triggers!$1:$1,0)+1,FALSE)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3" s="48">
        <f ca="1">VLOOKUP($F253,OFFSET(enemy_skill_triggers!$A$1,0,0,COUNTA(enemy_skill_triggers!$A:$A),MATCH(N$1,enemy_skill_triggers!$1:$1,0)-MATCH($F$1,enemy_skill_triggers!$1:$1,0)+1),MATCH(N$1,enemy_skill_triggers!$1:$1,0)-MATCH($F$1,enemy_skill_triggers!$1:$1,0)+1,FALSE)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253" s="48">
        <f ca="1">VLOOKUP($F253,OFFSET(enemy_skill_triggers!$A$1,0,0,COUNTA(enemy_skill_triggers!$A:$A),MATCH(O$1,enemy_skill_triggers!$1:$1,0)-MATCH($F$1,enemy_skill_triggers!$1:$1,0)+1),MATCH(O$1,enemy_skill_triggers!$1:$1,0)-MATCH($F$1,enemy_skill_triggers!$1:$1,0)+1,FALSE)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3" s="47"/>
      <c r="Q253" s="47"/>
      <c r="R253" s="47"/>
    </row>
    <row r="254" spans="1:18" ht="21" customHeight="1" x14ac:dyDescent="0.15">
      <c r="A254" s="39" t="str">
        <f t="shared" si="8"/>
        <v>47003740_47003741</v>
      </c>
      <c r="B254" s="47">
        <v>47003740</v>
      </c>
      <c r="C254" s="47">
        <v>47003741</v>
      </c>
      <c r="D254" s="46" t="str">
        <f ca="1">VLOOKUP($C254,OFFSET(enemy_skills!$A$1,0,0,COUNTA(enemy_skills!$A:$A),MATCH(D$1,enemy_skills!$1:$1,0)-MATCH("enemy_skill_id",enemy_skills!$1:$1,0)+1),MATCH(D$1,enemy_skills!$1:$1,0)-MATCH("enemy_skill_id",enemy_skills!$1:$1,0)+1,FALSE)</f>
        <v>あ〜あ、見つかっちゃたかぁ〜♪</v>
      </c>
      <c r="E254" s="46" t="str">
        <f ca="1">VLOOKUP($C254,OFFSET(enemy_skills!$A$1,0,0,COUNTA(enemy_skills!$A:$A),MATCH(E$1,enemy_skills!$1:$1,0)-MATCH("enemy_skill_id",enemy_skills!$1:$1,0)+1),MATCH(E$1,enemy_skills!$1:$1,0)-MATCH("enemy_skill_id",enemy_skills!$1:$1,0)+1,FALSE)</f>
        <v>種族デーモン以外に5ターン暗闇+_x000D_緑パネルをダメージパネルに変換</v>
      </c>
      <c r="F254" s="47">
        <v>47003741</v>
      </c>
      <c r="G254" s="48">
        <f ca="1">VLOOKUP($F254,OFFSET(enemy_skill_triggers!$A$1,0,0,COUNTA(enemy_skill_triggers!$A:$A),MATCH(G$1,enemy_skill_triggers!$1:$1,0)-MATCH($F$1,enemy_skill_triggers!$1:$1,0)+1),MATCH(G$1,enemy_skill_triggers!$1:$1,0)-MATCH($F$1,enemy_skill_triggers!$1:$1,0)+1,FALSE)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4" s="48">
        <f ca="1">VLOOKUP($F254,OFFSET(enemy_skill_triggers!$A$1,0,0,COUNTA(enemy_skill_triggers!$A:$A),MATCH(H$1,enemy_skill_triggers!$1:$1,0)-MATCH($F$1,enemy_skill_triggers!$1:$1,0)+1),MATCH(H$1,enemy_skill_triggers!$1:$1,0)-MATCH($F$1,enemy_skill_triggers!$1:$1,0)+1,FALSE)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4" s="48">
        <f ca="1">VLOOKUP($F254,OFFSET(enemy_skill_triggers!$A$1,0,0,COUNTA(enemy_skill_triggers!$A:$A),MATCH(I$1,enemy_skill_triggers!$1:$1,0)-MATCH($F$1,enemy_skill_triggers!$1:$1,0)+1),MATCH(I$1,enemy_skill_triggers!$1:$1,0)-MATCH($F$1,enemy_skill_triggers!$1:$1,0)+1,FALSE)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4" s="48" t="str">
        <f ca="1">VLOOKUP($F254,OFFSET(enemy_skill_triggers!$A$1,0,0,COUNTA(enemy_skill_triggers!$A:$A),MATCH(J$1,enemy_skill_triggers!$1:$1,0)-MATCH($F$1,enemy_skill_triggers!$1:$1,0)+1),MATCH(J$1,enemy_skill_triggers!$1:$1,0)-MATCH($F$1,enemy_skill_triggers!$1:$1,0)+1,FALSE)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4" s="48" t="str">
        <f ca="1">VLOOKUP($F254,OFFSET(enemy_skill_triggers!$A$1,0,0,COUNTA(enemy_skill_triggers!$A:$A),MATCH(K$1,enemy_skill_triggers!$1:$1,0)-MATCH($F$1,enemy_skill_triggers!$1:$1,0)+1),MATCH(K$1,enemy_skill_triggers!$1:$1,0)-MATCH($F$1,enemy_skill_triggers!$1:$1,0)+1,FALSE)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4" s="48">
        <f ca="1">VLOOKUP($F254,OFFSET(enemy_skill_triggers!$A$1,0,0,COUNTA(enemy_skill_triggers!$A:$A),MATCH(L$1,enemy_skill_triggers!$1:$1,0)-MATCH($F$1,enemy_skill_triggers!$1:$1,0)+1),MATCH(L$1,enemy_skill_triggers!$1:$1,0)-MATCH($F$1,enemy_skill_triggers!$1:$1,0)+1,FALSE)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4" s="48" t="str">
        <f ca="1">VLOOKUP($F254,OFFSET(enemy_skill_triggers!$A$1,0,0,COUNTA(enemy_skill_triggers!$A:$A),MATCH(M$1,enemy_skill_triggers!$1:$1,0)-MATCH($F$1,enemy_skill_triggers!$1:$1,0)+1),MATCH(M$1,enemy_skill_triggers!$1:$1,0)-MATCH($F$1,enemy_skill_triggers!$1:$1,0)+1,FALSE)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4" s="48" t="str">
        <f ca="1">VLOOKUP($F254,OFFSET(enemy_skill_triggers!$A$1,0,0,COUNTA(enemy_skill_triggers!$A:$A),MATCH(N$1,enemy_skill_triggers!$1:$1,0)-MATCH($F$1,enemy_skill_triggers!$1:$1,0)+1),MATCH(N$1,enemy_skill_triggers!$1:$1,0)-MATCH($F$1,enemy_skill_triggers!$1:$1,0)+1,FALSE)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4" s="48">
        <f ca="1">VLOOKUP($F254,OFFSET(enemy_skill_triggers!$A$1,0,0,COUNTA(enemy_skill_triggers!$A:$A),MATCH(O$1,enemy_skill_triggers!$1:$1,0)-MATCH($F$1,enemy_skill_triggers!$1:$1,0)+1),MATCH(O$1,enemy_skill_triggers!$1:$1,0)-MATCH($F$1,enemy_skill_triggers!$1:$1,0)+1,FALSE)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4" s="47"/>
      <c r="Q254" s="47"/>
      <c r="R254" s="47"/>
    </row>
    <row r="255" spans="1:18" ht="21" customHeight="1" x14ac:dyDescent="0.15">
      <c r="A255" s="39" t="str">
        <f t="shared" si="8"/>
        <v>47003740_47003742</v>
      </c>
      <c r="B255" s="47">
        <v>47003740</v>
      </c>
      <c r="C255" s="47">
        <v>47003742</v>
      </c>
      <c r="D255" s="46" t="str">
        <f ca="1">VLOOKUP($C255,OFFSET(enemy_skills!$A$1,0,0,COUNTA(enemy_skills!$A:$A),MATCH(D$1,enemy_skills!$1:$1,0)-MATCH("enemy_skill_id",enemy_skills!$1:$1,0)+1),MATCH(D$1,enemy_skills!$1:$1,0)-MATCH("enemy_skill_id",enemy_skills!$1:$1,0)+1,FALSE)</f>
        <v>暗闇からパンチ</v>
      </c>
      <c r="E255" s="46" t="str">
        <f ca="1">VLOOKUP($C255,OFFSET(enemy_skills!$A$1,0,0,COUNTA(enemy_skills!$A:$A),MATCH(E$1,enemy_skills!$1:$1,0)-MATCH("enemy_skill_id",enemy_skills!$1:$1,0)+1),MATCH(E$1,enemy_skills!$1:$1,0)-MATCH("enemy_skill_id",enemy_skills!$1:$1,0)+1,FALSE)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255" s="47">
        <v>47003742</v>
      </c>
      <c r="G255" s="48">
        <f ca="1">VLOOKUP($F255,OFFSET(enemy_skill_triggers!$A$1,0,0,COUNTA(enemy_skill_triggers!$A:$A),MATCH(G$1,enemy_skill_triggers!$1:$1,0)-MATCH($F$1,enemy_skill_triggers!$1:$1,0)+1),MATCH(G$1,enemy_skill_triggers!$1:$1,0)-MATCH($F$1,enemy_skill_triggers!$1:$1,0)+1,FALSE)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5" s="48">
        <f ca="1">VLOOKUP($F255,OFFSET(enemy_skill_triggers!$A$1,0,0,COUNTA(enemy_skill_triggers!$A:$A),MATCH(H$1,enemy_skill_triggers!$1:$1,0)-MATCH($F$1,enemy_skill_triggers!$1:$1,0)+1),MATCH(H$1,enemy_skill_triggers!$1:$1,0)-MATCH($F$1,enemy_skill_triggers!$1:$1,0)+1,FALSE)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55" s="48">
        <f ca="1">VLOOKUP($F255,OFFSET(enemy_skill_triggers!$A$1,0,0,COUNTA(enemy_skill_triggers!$A:$A),MATCH(I$1,enemy_skill_triggers!$1:$1,0)-MATCH($F$1,enemy_skill_triggers!$1:$1,0)+1),MATCH(I$1,enemy_skill_triggers!$1:$1,0)-MATCH($F$1,enemy_skill_triggers!$1:$1,0)+1,FALSE)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5" s="48" t="str">
        <f ca="1">VLOOKUP($F255,OFFSET(enemy_skill_triggers!$A$1,0,0,COUNTA(enemy_skill_triggers!$A:$A),MATCH(J$1,enemy_skill_triggers!$1:$1,0)-MATCH($F$1,enemy_skill_triggers!$1:$1,0)+1),MATCH(J$1,enemy_skill_triggers!$1:$1,0)-MATCH($F$1,enemy_skill_triggers!$1:$1,0)+1,FALSE)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5" s="48" t="str">
        <f ca="1">VLOOKUP($F255,OFFSET(enemy_skill_triggers!$A$1,0,0,COUNTA(enemy_skill_triggers!$A:$A),MATCH(K$1,enemy_skill_triggers!$1:$1,0)-MATCH($F$1,enemy_skill_triggers!$1:$1,0)+1),MATCH(K$1,enemy_skill_triggers!$1:$1,0)-MATCH($F$1,enemy_skill_triggers!$1:$1,0)+1,FALSE)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5" s="48">
        <f ca="1">VLOOKUP($F255,OFFSET(enemy_skill_triggers!$A$1,0,0,COUNTA(enemy_skill_triggers!$A:$A),MATCH(L$1,enemy_skill_triggers!$1:$1,0)-MATCH($F$1,enemy_skill_triggers!$1:$1,0)+1),MATCH(L$1,enemy_skill_triggers!$1:$1,0)-MATCH($F$1,enemy_skill_triggers!$1:$1,0)+1,FALSE)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5" s="48">
        <f ca="1">VLOOKUP($F255,OFFSET(enemy_skill_triggers!$A$1,0,0,COUNTA(enemy_skill_triggers!$A:$A),MATCH(M$1,enemy_skill_triggers!$1:$1,0)-MATCH($F$1,enemy_skill_triggers!$1:$1,0)+1),MATCH(M$1,enemy_skill_triggers!$1:$1,0)-MATCH($F$1,enemy_skill_triggers!$1:$1,0)+1,FALSE)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5" s="48" t="str">
        <f ca="1">VLOOKUP($F255,OFFSET(enemy_skill_triggers!$A$1,0,0,COUNTA(enemy_skill_triggers!$A:$A),MATCH(N$1,enemy_skill_triggers!$1:$1,0)-MATCH($F$1,enemy_skill_triggers!$1:$1,0)+1),MATCH(N$1,enemy_skill_triggers!$1:$1,0)-MATCH($F$1,enemy_skill_triggers!$1:$1,0)+1,FALSE)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5" s="48">
        <f ca="1">VLOOKUP($F255,OFFSET(enemy_skill_triggers!$A$1,0,0,COUNTA(enemy_skill_triggers!$A:$A),MATCH(O$1,enemy_skill_triggers!$1:$1,0)-MATCH($F$1,enemy_skill_triggers!$1:$1,0)+1),MATCH(O$1,enemy_skill_triggers!$1:$1,0)-MATCH($F$1,enemy_skill_triggers!$1:$1,0)+1,FALSE)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5" s="47"/>
      <c r="Q255" s="47"/>
      <c r="R255" s="47"/>
    </row>
    <row r="256" spans="1:18" ht="21" customHeight="1" x14ac:dyDescent="0.15">
      <c r="A256" s="39" t="str">
        <f t="shared" si="8"/>
        <v>47003740_47003743</v>
      </c>
      <c r="B256" s="47">
        <v>47003740</v>
      </c>
      <c r="C256" s="47">
        <v>47003743</v>
      </c>
      <c r="D256" s="46" t="str">
        <f ca="1">VLOOKUP($C256,OFFSET(enemy_skills!$A$1,0,0,COUNTA(enemy_skills!$A:$A),MATCH(D$1,enemy_skills!$1:$1,0)-MATCH("enemy_skill_id",enemy_skills!$1:$1,0)+1),MATCH(D$1,enemy_skills!$1:$1,0)-MATCH("enemy_skill_id",enemy_skills!$1:$1,0)+1,FALSE)</f>
        <v>パンプキンボム</v>
      </c>
      <c r="E256" s="46" t="str">
        <f ca="1">VLOOKUP($C256,OFFSET(enemy_skills!$A$1,0,0,COUNTA(enemy_skills!$A:$A),MATCH(E$1,enemy_skills!$1:$1,0)-MATCH("enemy_skill_id",enemy_skills!$1:$1,0)+1),MATCH(E$1,enemy_skills!$1:$1,0)-MATCH("enemy_skill_id",enemy_skills!$1:$1,0)+1,FALSE)</f>
        <v>ダメージパネルを12個生成+全体攻撃</v>
      </c>
      <c r="F256" s="47">
        <v>47003743</v>
      </c>
      <c r="G256" s="48">
        <f ca="1">VLOOKUP($F256,OFFSET(enemy_skill_triggers!$A$1,0,0,COUNTA(enemy_skill_triggers!$A:$A),MATCH(G$1,enemy_skill_triggers!$1:$1,0)-MATCH($F$1,enemy_skill_triggers!$1:$1,0)+1),MATCH(G$1,enemy_skill_triggers!$1:$1,0)-MATCH($F$1,enemy_skill_triggers!$1:$1,0)+1,FALSE)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6" s="48">
        <f ca="1">VLOOKUP($F256,OFFSET(enemy_skill_triggers!$A$1,0,0,COUNTA(enemy_skill_triggers!$A:$A),MATCH(H$1,enemy_skill_triggers!$1:$1,0)-MATCH($F$1,enemy_skill_triggers!$1:$1,0)+1),MATCH(H$1,enemy_skill_triggers!$1:$1,0)-MATCH($F$1,enemy_skill_triggers!$1:$1,0)+1,FALSE)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56" s="48">
        <f ca="1">VLOOKUP($F256,OFFSET(enemy_skill_triggers!$A$1,0,0,COUNTA(enemy_skill_triggers!$A:$A),MATCH(I$1,enemy_skill_triggers!$1:$1,0)-MATCH($F$1,enemy_skill_triggers!$1:$1,0)+1),MATCH(I$1,enemy_skill_triggers!$1:$1,0)-MATCH($F$1,enemy_skill_triggers!$1:$1,0)+1,FALSE)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6" s="48" t="str">
        <f ca="1">VLOOKUP($F256,OFFSET(enemy_skill_triggers!$A$1,0,0,COUNTA(enemy_skill_triggers!$A:$A),MATCH(J$1,enemy_skill_triggers!$1:$1,0)-MATCH($F$1,enemy_skill_triggers!$1:$1,0)+1),MATCH(J$1,enemy_skill_triggers!$1:$1,0)-MATCH($F$1,enemy_skill_triggers!$1:$1,0)+1,FALSE)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6" s="48" t="str">
        <f ca="1">VLOOKUP($F256,OFFSET(enemy_skill_triggers!$A$1,0,0,COUNTA(enemy_skill_triggers!$A:$A),MATCH(K$1,enemy_skill_triggers!$1:$1,0)-MATCH($F$1,enemy_skill_triggers!$1:$1,0)+1),MATCH(K$1,enemy_skill_triggers!$1:$1,0)-MATCH($F$1,enemy_skill_triggers!$1:$1,0)+1,FALSE)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6" s="48" t="str">
        <f ca="1">VLOOKUP($F256,OFFSET(enemy_skill_triggers!$A$1,0,0,COUNTA(enemy_skill_triggers!$A:$A),MATCH(L$1,enemy_skill_triggers!$1:$1,0)-MATCH($F$1,enemy_skill_triggers!$1:$1,0)+1),MATCH(L$1,enemy_skill_triggers!$1:$1,0)-MATCH($F$1,enemy_skill_triggers!$1:$1,0)+1,FALSE)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6" s="48">
        <f ca="1">VLOOKUP($F256,OFFSET(enemy_skill_triggers!$A$1,0,0,COUNTA(enemy_skill_triggers!$A:$A),MATCH(M$1,enemy_skill_triggers!$1:$1,0)-MATCH($F$1,enemy_skill_triggers!$1:$1,0)+1),MATCH(M$1,enemy_skill_triggers!$1:$1,0)-MATCH($F$1,enemy_skill_triggers!$1:$1,0)+1,FALSE)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6" s="48" t="str">
        <f ca="1">VLOOKUP($F256,OFFSET(enemy_skill_triggers!$A$1,0,0,COUNTA(enemy_skill_triggers!$A:$A),MATCH(N$1,enemy_skill_triggers!$1:$1,0)-MATCH($F$1,enemy_skill_triggers!$1:$1,0)+1),MATCH(N$1,enemy_skill_triggers!$1:$1,0)-MATCH($F$1,enemy_skill_triggers!$1:$1,0)+1,FALSE)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6" s="48">
        <f ca="1">VLOOKUP($F256,OFFSET(enemy_skill_triggers!$A$1,0,0,COUNTA(enemy_skill_triggers!$A:$A),MATCH(O$1,enemy_skill_triggers!$1:$1,0)-MATCH($F$1,enemy_skill_triggers!$1:$1,0)+1),MATCH(O$1,enemy_skill_triggers!$1:$1,0)-MATCH($F$1,enemy_skill_triggers!$1:$1,0)+1,FALSE)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6" s="47"/>
      <c r="Q256" s="47"/>
      <c r="R256" s="47"/>
    </row>
    <row r="257" spans="1:18" ht="21" customHeight="1" x14ac:dyDescent="0.15">
      <c r="A257" s="39" t="str">
        <f t="shared" si="8"/>
        <v>47003740_47003744</v>
      </c>
      <c r="B257" s="47">
        <v>47003740</v>
      </c>
      <c r="C257" s="47">
        <v>47003744</v>
      </c>
      <c r="D257" s="46" t="str">
        <f ca="1">VLOOKUP($C257,OFFSET(enemy_skills!$A$1,0,0,COUNTA(enemy_skills!$A:$A),MATCH(D$1,enemy_skills!$1:$1,0)-MATCH("enemy_skill_id",enemy_skills!$1:$1,0)+1),MATCH(D$1,enemy_skills!$1:$1,0)-MATCH("enemy_skill_id",enemy_skills!$1:$1,0)+1,FALSE)</f>
        <v>あなたのお菓子もちょ〜だい？</v>
      </c>
      <c r="E257" s="46" t="str">
        <f ca="1">VLOOKUP($C257,OFFSET(enemy_skills!$A$1,0,0,COUNTA(enemy_skills!$A:$A),MATCH(E$1,enemy_skills!$1:$1,0)-MATCH("enemy_skill_id",enemy_skills!$1:$1,0)+1),MATCH(E$1,enemy_skills!$1:$1,0)-MATCH("enemy_skill_id",enemy_skills!$1:$1,0)+1,FALSE)</f>
        <v>黄パネルを吸収して攻撃</v>
      </c>
      <c r="F257" s="47">
        <v>47003744</v>
      </c>
      <c r="G257" s="48">
        <f ca="1">VLOOKUP($F257,OFFSET(enemy_skill_triggers!$A$1,0,0,COUNTA(enemy_skill_triggers!$A:$A),MATCH(G$1,enemy_skill_triggers!$1:$1,0)-MATCH($F$1,enemy_skill_triggers!$1:$1,0)+1),MATCH(G$1,enemy_skill_triggers!$1:$1,0)-MATCH($F$1,enemy_skill_triggers!$1:$1,0)+1,FALSE)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7" s="48">
        <f ca="1">VLOOKUP($F257,OFFSET(enemy_skill_triggers!$A$1,0,0,COUNTA(enemy_skill_triggers!$A:$A),MATCH(H$1,enemy_skill_triggers!$1:$1,0)-MATCH($F$1,enemy_skill_triggers!$1:$1,0)+1),MATCH(H$1,enemy_skill_triggers!$1:$1,0)-MATCH($F$1,enemy_skill_triggers!$1:$1,0)+1,FALSE)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57" s="48">
        <f ca="1">VLOOKUP($F257,OFFSET(enemy_skill_triggers!$A$1,0,0,COUNTA(enemy_skill_triggers!$A:$A),MATCH(I$1,enemy_skill_triggers!$1:$1,0)-MATCH($F$1,enemy_skill_triggers!$1:$1,0)+1),MATCH(I$1,enemy_skill_triggers!$1:$1,0)-MATCH($F$1,enemy_skill_triggers!$1:$1,0)+1,FALSE)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7" s="48" t="str">
        <f ca="1">VLOOKUP($F257,OFFSET(enemy_skill_triggers!$A$1,0,0,COUNTA(enemy_skill_triggers!$A:$A),MATCH(J$1,enemy_skill_triggers!$1:$1,0)-MATCH($F$1,enemy_skill_triggers!$1:$1,0)+1),MATCH(J$1,enemy_skill_triggers!$1:$1,0)-MATCH($F$1,enemy_skill_triggers!$1:$1,0)+1,FALSE)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7" s="48" t="str">
        <f ca="1">VLOOKUP($F257,OFFSET(enemy_skill_triggers!$A$1,0,0,COUNTA(enemy_skill_triggers!$A:$A),MATCH(K$1,enemy_skill_triggers!$1:$1,0)-MATCH($F$1,enemy_skill_triggers!$1:$1,0)+1),MATCH(K$1,enemy_skill_triggers!$1:$1,0)-MATCH($F$1,enemy_skill_triggers!$1:$1,0)+1,FALSE)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7" s="48" t="str">
        <f ca="1">VLOOKUP($F257,OFFSET(enemy_skill_triggers!$A$1,0,0,COUNTA(enemy_skill_triggers!$A:$A),MATCH(L$1,enemy_skill_triggers!$1:$1,0)-MATCH($F$1,enemy_skill_triggers!$1:$1,0)+1),MATCH(L$1,enemy_skill_triggers!$1:$1,0)-MATCH($F$1,enemy_skill_triggers!$1:$1,0)+1,FALSE)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7" s="48">
        <f ca="1">VLOOKUP($F257,OFFSET(enemy_skill_triggers!$A$1,0,0,COUNTA(enemy_skill_triggers!$A:$A),MATCH(M$1,enemy_skill_triggers!$1:$1,0)-MATCH($F$1,enemy_skill_triggers!$1:$1,0)+1),MATCH(M$1,enemy_skill_triggers!$1:$1,0)-MATCH($F$1,enemy_skill_triggers!$1:$1,0)+1,FALSE)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7" s="48" t="str">
        <f ca="1">VLOOKUP($F257,OFFSET(enemy_skill_triggers!$A$1,0,0,COUNTA(enemy_skill_triggers!$A:$A),MATCH(N$1,enemy_skill_triggers!$1:$1,0)-MATCH($F$1,enemy_skill_triggers!$1:$1,0)+1),MATCH(N$1,enemy_skill_triggers!$1:$1,0)-MATCH($F$1,enemy_skill_triggers!$1:$1,0)+1,FALSE)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7" s="48">
        <f ca="1">VLOOKUP($F257,OFFSET(enemy_skill_triggers!$A$1,0,0,COUNTA(enemy_skill_triggers!$A:$A),MATCH(O$1,enemy_skill_triggers!$1:$1,0)-MATCH($F$1,enemy_skill_triggers!$1:$1,0)+1),MATCH(O$1,enemy_skill_triggers!$1:$1,0)-MATCH($F$1,enemy_skill_triggers!$1:$1,0)+1,FALSE)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7" s="47"/>
      <c r="Q257" s="47"/>
      <c r="R257" s="47"/>
    </row>
    <row r="258" spans="1:18" ht="21" customHeight="1" x14ac:dyDescent="0.15">
      <c r="A258" s="39" t="str">
        <f t="shared" ref="A258:A261" si="25">B258&amp;"_"&amp;C258</f>
        <v>47003740_47003745</v>
      </c>
      <c r="B258" s="47">
        <v>47003740</v>
      </c>
      <c r="C258" s="47">
        <v>47003745</v>
      </c>
      <c r="D258" s="46" t="str">
        <f ca="1">VLOOKUP($C258,OFFSET(enemy_skills!$A$1,0,0,COUNTA(enemy_skills!$A:$A),MATCH(D$1,enemy_skills!$1:$1,0)-MATCH("enemy_skill_id",enemy_skills!$1:$1,0)+1),MATCH(D$1,enemy_skills!$1:$1,0)-MATCH("enemy_skill_id",enemy_skills!$1:$1,0)+1,FALSE)</f>
        <v>んふふ〜♪か〜わい〜魔女さん♪_x000D_でもお菓子は渡さないよ〜</v>
      </c>
      <c r="E258" s="46" t="str">
        <f ca="1">VLOOKUP($C258,OFFSET(enemy_skills!$A$1,0,0,COUNTA(enemy_skills!$A:$A),MATCH(E$1,enemy_skills!$1:$1,0)-MATCH("enemy_skill_id",enemy_skills!$1:$1,0)+1),MATCH(E$1,enemy_skills!$1:$1,0)-MATCH("enemy_skill_id",enemy_skills!$1:$1,0)+1,FALSE)</f>
        <v>種族デーモン以外に5ターン暗闇+_x000D_緑パネルをダメージパネルに変換</v>
      </c>
      <c r="F258" s="47">
        <v>47003745</v>
      </c>
      <c r="G258" s="48">
        <f ca="1">VLOOKUP($F258,OFFSET(enemy_skill_triggers!$A$1,0,0,COUNTA(enemy_skill_triggers!$A:$A),MATCH(G$1,enemy_skill_triggers!$1:$1,0)-MATCH($F$1,enemy_skill_triggers!$1:$1,0)+1),MATCH(G$1,enemy_skill_triggers!$1:$1,0)-MATCH($F$1,enemy_skill_triggers!$1:$1,0)+1,FALSE)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8" s="48">
        <f ca="1">VLOOKUP($F258,OFFSET(enemy_skill_triggers!$A$1,0,0,COUNTA(enemy_skill_triggers!$A:$A),MATCH(H$1,enemy_skill_triggers!$1:$1,0)-MATCH($F$1,enemy_skill_triggers!$1:$1,0)+1),MATCH(H$1,enemy_skill_triggers!$1:$1,0)-MATCH($F$1,enemy_skill_triggers!$1:$1,0)+1,FALSE)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258" s="48">
        <f ca="1">VLOOKUP($F258,OFFSET(enemy_skill_triggers!$A$1,0,0,COUNTA(enemy_skill_triggers!$A:$A),MATCH(I$1,enemy_skill_triggers!$1:$1,0)-MATCH($F$1,enemy_skill_triggers!$1:$1,0)+1),MATCH(I$1,enemy_skill_triggers!$1:$1,0)-MATCH($F$1,enemy_skill_triggers!$1:$1,0)+1,FALSE)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8" s="48" t="str">
        <f ca="1">VLOOKUP($F258,OFFSET(enemy_skill_triggers!$A$1,0,0,COUNTA(enemy_skill_triggers!$A:$A),MATCH(J$1,enemy_skill_triggers!$1:$1,0)-MATCH($F$1,enemy_skill_triggers!$1:$1,0)+1),MATCH(J$1,enemy_skill_triggers!$1:$1,0)-MATCH($F$1,enemy_skill_triggers!$1:$1,0)+1,FALSE)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8" s="48" t="str">
        <f ca="1">VLOOKUP($F258,OFFSET(enemy_skill_triggers!$A$1,0,0,COUNTA(enemy_skill_triggers!$A:$A),MATCH(K$1,enemy_skill_triggers!$1:$1,0)-MATCH($F$1,enemy_skill_triggers!$1:$1,0)+1),MATCH(K$1,enemy_skill_triggers!$1:$1,0)-MATCH($F$1,enemy_skill_triggers!$1:$1,0)+1,FALSE)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8" s="48">
        <f ca="1">VLOOKUP($F258,OFFSET(enemy_skill_triggers!$A$1,0,0,COUNTA(enemy_skill_triggers!$A:$A),MATCH(L$1,enemy_skill_triggers!$1:$1,0)-MATCH($F$1,enemy_skill_triggers!$1:$1,0)+1),MATCH(L$1,enemy_skill_triggers!$1:$1,0)-MATCH($F$1,enemy_skill_triggers!$1:$1,0)+1,FALSE)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8" s="48" t="str">
        <f ca="1">VLOOKUP($F258,OFFSET(enemy_skill_triggers!$A$1,0,0,COUNTA(enemy_skill_triggers!$A:$A),MATCH(M$1,enemy_skill_triggers!$1:$1,0)-MATCH($F$1,enemy_skill_triggers!$1:$1,0)+1),MATCH(M$1,enemy_skill_triggers!$1:$1,0)-MATCH($F$1,enemy_skill_triggers!$1:$1,0)+1,FALSE)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8" s="48">
        <f ca="1">VLOOKUP($F258,OFFSET(enemy_skill_triggers!$A$1,0,0,COUNTA(enemy_skill_triggers!$A:$A),MATCH(N$1,enemy_skill_triggers!$1:$1,0)-MATCH($F$1,enemy_skill_triggers!$1:$1,0)+1),MATCH(N$1,enemy_skill_triggers!$1:$1,0)-MATCH($F$1,enemy_skill_triggers!$1:$1,0)+1,FALSE)</f>
        <v>1194</v>
      </c>
      <c r="O258" s="48">
        <f ca="1">VLOOKUP($F258,OFFSET(enemy_skill_triggers!$A$1,0,0,COUNTA(enemy_skill_triggers!$A:$A),MATCH(O$1,enemy_skill_triggers!$1:$1,0)-MATCH($F$1,enemy_skill_triggers!$1:$1,0)+1),MATCH(O$1,enemy_skill_triggers!$1:$1,0)-MATCH($F$1,enemy_skill_triggers!$1:$1,0)+1,FALSE)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8" s="47"/>
      <c r="Q258" s="47"/>
      <c r="R258" s="47"/>
    </row>
    <row r="259" spans="1:18" ht="21" customHeight="1" x14ac:dyDescent="0.15">
      <c r="A259" s="39" t="str">
        <f t="shared" si="25"/>
        <v>47003740_47003745</v>
      </c>
      <c r="B259" s="47">
        <v>47003740</v>
      </c>
      <c r="C259" s="47">
        <v>47003745</v>
      </c>
      <c r="D259" s="46" t="str">
        <f ca="1">VLOOKUP($C259,OFFSET(enemy_skills!$A$1,0,0,COUNTA(enemy_skills!$A:$A),MATCH(D$1,enemy_skills!$1:$1,0)-MATCH("enemy_skill_id",enemy_skills!$1:$1,0)+1),MATCH(D$1,enemy_skills!$1:$1,0)-MATCH("enemy_skill_id",enemy_skills!$1:$1,0)+1,FALSE)</f>
        <v>んふふ〜♪か〜わい〜魔女さん♪_x000D_でもお菓子は渡さないよ〜</v>
      </c>
      <c r="E259" s="46" t="str">
        <f ca="1">VLOOKUP($C259,OFFSET(enemy_skills!$A$1,0,0,COUNTA(enemy_skills!$A:$A),MATCH(E$1,enemy_skills!$1:$1,0)-MATCH("enemy_skill_id",enemy_skills!$1:$1,0)+1),MATCH(E$1,enemy_skills!$1:$1,0)-MATCH("enemy_skill_id",enemy_skills!$1:$1,0)+1,FALSE)</f>
        <v>種族デーモン以外に5ターン暗闇+_x000D_緑パネルをダメージパネルに変換</v>
      </c>
      <c r="F259" s="47">
        <v>47003746</v>
      </c>
      <c r="G259" s="48">
        <f ca="1">VLOOKUP($F259,OFFSET(enemy_skill_triggers!$A$1,0,0,COUNTA(enemy_skill_triggers!$A:$A),MATCH(G$1,enemy_skill_triggers!$1:$1,0)-MATCH($F$1,enemy_skill_triggers!$1:$1,0)+1),MATCH(G$1,enemy_skill_triggers!$1:$1,0)-MATCH($F$1,enemy_skill_triggers!$1:$1,0)+1,FALSE)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9" s="48">
        <f ca="1">VLOOKUP($F259,OFFSET(enemy_skill_triggers!$A$1,0,0,COUNTA(enemy_skill_triggers!$A:$A),MATCH(H$1,enemy_skill_triggers!$1:$1,0)-MATCH($F$1,enemy_skill_triggers!$1:$1,0)+1),MATCH(H$1,enemy_skill_triggers!$1:$1,0)-MATCH($F$1,enemy_skill_triggers!$1:$1,0)+1,FALSE)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259" s="48">
        <f ca="1">VLOOKUP($F259,OFFSET(enemy_skill_triggers!$A$1,0,0,COUNTA(enemy_skill_triggers!$A:$A),MATCH(I$1,enemy_skill_triggers!$1:$1,0)-MATCH($F$1,enemy_skill_triggers!$1:$1,0)+1),MATCH(I$1,enemy_skill_triggers!$1:$1,0)-MATCH($F$1,enemy_skill_triggers!$1:$1,0)+1,FALSE)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9" s="48" t="str">
        <f ca="1">VLOOKUP($F259,OFFSET(enemy_skill_triggers!$A$1,0,0,COUNTA(enemy_skill_triggers!$A:$A),MATCH(J$1,enemy_skill_triggers!$1:$1,0)-MATCH($F$1,enemy_skill_triggers!$1:$1,0)+1),MATCH(J$1,enemy_skill_triggers!$1:$1,0)-MATCH($F$1,enemy_skill_triggers!$1:$1,0)+1,FALSE)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9" s="48" t="str">
        <f ca="1">VLOOKUP($F259,OFFSET(enemy_skill_triggers!$A$1,0,0,COUNTA(enemy_skill_triggers!$A:$A),MATCH(K$1,enemy_skill_triggers!$1:$1,0)-MATCH($F$1,enemy_skill_triggers!$1:$1,0)+1),MATCH(K$1,enemy_skill_triggers!$1:$1,0)-MATCH($F$1,enemy_skill_triggers!$1:$1,0)+1,FALSE)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9" s="48">
        <f ca="1">VLOOKUP($F259,OFFSET(enemy_skill_triggers!$A$1,0,0,COUNTA(enemy_skill_triggers!$A:$A),MATCH(L$1,enemy_skill_triggers!$1:$1,0)-MATCH($F$1,enemy_skill_triggers!$1:$1,0)+1),MATCH(L$1,enemy_skill_triggers!$1:$1,0)-MATCH($F$1,enemy_skill_triggers!$1:$1,0)+1,FALSE)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9" s="48" t="str">
        <f ca="1">VLOOKUP($F259,OFFSET(enemy_skill_triggers!$A$1,0,0,COUNTA(enemy_skill_triggers!$A:$A),MATCH(M$1,enemy_skill_triggers!$1:$1,0)-MATCH($F$1,enemy_skill_triggers!$1:$1,0)+1),MATCH(M$1,enemy_skill_triggers!$1:$1,0)-MATCH($F$1,enemy_skill_triggers!$1:$1,0)+1,FALSE)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9" s="48">
        <f ca="1">VLOOKUP($F259,OFFSET(enemy_skill_triggers!$A$1,0,0,COUNTA(enemy_skill_triggers!$A:$A),MATCH(N$1,enemy_skill_triggers!$1:$1,0)-MATCH($F$1,enemy_skill_triggers!$1:$1,0)+1),MATCH(N$1,enemy_skill_triggers!$1:$1,0)-MATCH($F$1,enemy_skill_triggers!$1:$1,0)+1,FALSE)</f>
        <v>1195</v>
      </c>
      <c r="O259" s="48">
        <f ca="1">VLOOKUP($F259,OFFSET(enemy_skill_triggers!$A$1,0,0,COUNTA(enemy_skill_triggers!$A:$A),MATCH(O$1,enemy_skill_triggers!$1:$1,0)-MATCH($F$1,enemy_skill_triggers!$1:$1,0)+1),MATCH(O$1,enemy_skill_triggers!$1:$1,0)-MATCH($F$1,enemy_skill_triggers!$1:$1,0)+1,FALSE)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9" s="47"/>
      <c r="Q259" s="47"/>
      <c r="R259" s="47"/>
    </row>
    <row r="260" spans="1:18" ht="21" customHeight="1" x14ac:dyDescent="0.15">
      <c r="A260" s="39" t="str">
        <f t="shared" si="25"/>
        <v>47003740_47003746</v>
      </c>
      <c r="B260" s="47">
        <v>47003740</v>
      </c>
      <c r="C260" s="47">
        <v>47003746</v>
      </c>
      <c r="D260" s="46" t="str">
        <f ca="1">VLOOKUP($C260,OFFSET(enemy_skills!$A$1,0,0,COUNTA(enemy_skills!$A:$A),MATCH(D$1,enemy_skills!$1:$1,0)-MATCH("enemy_skill_id",enemy_skills!$1:$1,0)+1),MATCH(D$1,enemy_skills!$1:$1,0)-MATCH("enemy_skill_id",enemy_skills!$1:$1,0)+1,FALSE)</f>
        <v>きゃ〜キレイねラプンツェル〜♪_x000D_ワンちゃんもカワイイ〜♪</v>
      </c>
      <c r="E260" s="46" t="str">
        <f ca="1">VLOOKUP($C260,OFFSET(enemy_skills!$A$1,0,0,COUNTA(enemy_skills!$A:$A),MATCH(E$1,enemy_skills!$1:$1,0)-MATCH("enemy_skill_id",enemy_skills!$1:$1,0)+1),MATCH(E$1,enemy_skills!$1:$1,0)-MATCH("enemy_skill_id",enemy_skills!$1:$1,0)+1,FALSE)</f>
        <v>種族デーモン以外に5ターン暗闇+_x000D_緑パネルをダメージパネルに変換</v>
      </c>
      <c r="F260" s="47">
        <v>47003747</v>
      </c>
      <c r="G260" s="48">
        <f ca="1">VLOOKUP($F260,OFFSET(enemy_skill_triggers!$A$1,0,0,COUNTA(enemy_skill_triggers!$A:$A),MATCH(G$1,enemy_skill_triggers!$1:$1,0)-MATCH($F$1,enemy_skill_triggers!$1:$1,0)+1),MATCH(G$1,enemy_skill_triggers!$1:$1,0)-MATCH($F$1,enemy_skill_triggers!$1:$1,0)+1,FALSE)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0" s="48">
        <f ca="1">VLOOKUP($F260,OFFSET(enemy_skill_triggers!$A$1,0,0,COUNTA(enemy_skill_triggers!$A:$A),MATCH(H$1,enemy_skill_triggers!$1:$1,0)-MATCH($F$1,enemy_skill_triggers!$1:$1,0)+1),MATCH(H$1,enemy_skill_triggers!$1:$1,0)-MATCH($F$1,enemy_skill_triggers!$1:$1,0)+1,FALSE)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260" s="48">
        <f ca="1">VLOOKUP($F260,OFFSET(enemy_skill_triggers!$A$1,0,0,COUNTA(enemy_skill_triggers!$A:$A),MATCH(I$1,enemy_skill_triggers!$1:$1,0)-MATCH($F$1,enemy_skill_triggers!$1:$1,0)+1),MATCH(I$1,enemy_skill_triggers!$1:$1,0)-MATCH($F$1,enemy_skill_triggers!$1:$1,0)+1,FALSE)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0" s="48" t="str">
        <f ca="1">VLOOKUP($F260,OFFSET(enemy_skill_triggers!$A$1,0,0,COUNTA(enemy_skill_triggers!$A:$A),MATCH(J$1,enemy_skill_triggers!$1:$1,0)-MATCH($F$1,enemy_skill_triggers!$1:$1,0)+1),MATCH(J$1,enemy_skill_triggers!$1:$1,0)-MATCH($F$1,enemy_skill_triggers!$1:$1,0)+1,FALSE)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0" s="48" t="str">
        <f ca="1">VLOOKUP($F260,OFFSET(enemy_skill_triggers!$A$1,0,0,COUNTA(enemy_skill_triggers!$A:$A),MATCH(K$1,enemy_skill_triggers!$1:$1,0)-MATCH($F$1,enemy_skill_triggers!$1:$1,0)+1),MATCH(K$1,enemy_skill_triggers!$1:$1,0)-MATCH($F$1,enemy_skill_triggers!$1:$1,0)+1,FALSE)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0" s="48">
        <f ca="1">VLOOKUP($F260,OFFSET(enemy_skill_triggers!$A$1,0,0,COUNTA(enemy_skill_triggers!$A:$A),MATCH(L$1,enemy_skill_triggers!$1:$1,0)-MATCH($F$1,enemy_skill_triggers!$1:$1,0)+1),MATCH(L$1,enemy_skill_triggers!$1:$1,0)-MATCH($F$1,enemy_skill_triggers!$1:$1,0)+1,FALSE)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0" s="48" t="str">
        <f ca="1">VLOOKUP($F260,OFFSET(enemy_skill_triggers!$A$1,0,0,COUNTA(enemy_skill_triggers!$A:$A),MATCH(M$1,enemy_skill_triggers!$1:$1,0)-MATCH($F$1,enemy_skill_triggers!$1:$1,0)+1),MATCH(M$1,enemy_skill_triggers!$1:$1,0)-MATCH($F$1,enemy_skill_triggers!$1:$1,0)+1,FALSE)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0" s="48">
        <f ca="1">VLOOKUP($F260,OFFSET(enemy_skill_triggers!$A$1,0,0,COUNTA(enemy_skill_triggers!$A:$A),MATCH(N$1,enemy_skill_triggers!$1:$1,0)-MATCH($F$1,enemy_skill_triggers!$1:$1,0)+1),MATCH(N$1,enemy_skill_triggers!$1:$1,0)-MATCH($F$1,enemy_skill_triggers!$1:$1,0)+1,FALSE)</f>
        <v>1196</v>
      </c>
      <c r="O260" s="48">
        <f ca="1">VLOOKUP($F260,OFFSET(enemy_skill_triggers!$A$1,0,0,COUNTA(enemy_skill_triggers!$A:$A),MATCH(O$1,enemy_skill_triggers!$1:$1,0)-MATCH($F$1,enemy_skill_triggers!$1:$1,0)+1),MATCH(O$1,enemy_skill_triggers!$1:$1,0)-MATCH($F$1,enemy_skill_triggers!$1:$1,0)+1,FALSE)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0" s="47"/>
      <c r="Q260" s="47"/>
      <c r="R260" s="47"/>
    </row>
    <row r="261" spans="1:18" ht="21" customHeight="1" x14ac:dyDescent="0.15">
      <c r="A261" s="39" t="str">
        <f t="shared" si="25"/>
        <v>47003740_47003747</v>
      </c>
      <c r="B261" s="47">
        <v>47003740</v>
      </c>
      <c r="C261" s="47">
        <v>47003747</v>
      </c>
      <c r="D261" s="46" t="str">
        <f ca="1">VLOOKUP($C261,OFFSET(enemy_skills!$A$1,0,0,COUNTA(enemy_skills!$A:$A),MATCH(D$1,enemy_skills!$1:$1,0)-MATCH("enemy_skill_id",enemy_skills!$1:$1,0)+1),MATCH(D$1,enemy_skills!$1:$1,0)-MATCH("enemy_skill_id",enemy_skills!$1:$1,0)+1,FALSE)</f>
        <v>イケメンなヴァンパイアさん〜♪_x000D_お菓子を奪いにきたのかな〜</v>
      </c>
      <c r="E261" s="46" t="str">
        <f ca="1">VLOOKUP($C261,OFFSET(enemy_skills!$A$1,0,0,COUNTA(enemy_skills!$A:$A),MATCH(E$1,enemy_skills!$1:$1,0)-MATCH("enemy_skill_id",enemy_skills!$1:$1,0)+1),MATCH(E$1,enemy_skills!$1:$1,0)-MATCH("enemy_skill_id",enemy_skills!$1:$1,0)+1,FALSE)</f>
        <v>種族デーモン以外に5ターン暗闇+_x000D_緑パネルをダメージパネルに変換</v>
      </c>
      <c r="F261" s="47">
        <v>47003748</v>
      </c>
      <c r="G261" s="48">
        <f ca="1">VLOOKUP($F261,OFFSET(enemy_skill_triggers!$A$1,0,0,COUNTA(enemy_skill_triggers!$A:$A),MATCH(G$1,enemy_skill_triggers!$1:$1,0)-MATCH($F$1,enemy_skill_triggers!$1:$1,0)+1),MATCH(G$1,enemy_skill_triggers!$1:$1,0)-MATCH($F$1,enemy_skill_triggers!$1:$1,0)+1,FALSE)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1" s="48">
        <f ca="1">VLOOKUP($F261,OFFSET(enemy_skill_triggers!$A$1,0,0,COUNTA(enemy_skill_triggers!$A:$A),MATCH(H$1,enemy_skill_triggers!$1:$1,0)-MATCH($F$1,enemy_skill_triggers!$1:$1,0)+1),MATCH(H$1,enemy_skill_triggers!$1:$1,0)-MATCH($F$1,enemy_skill_triggers!$1:$1,0)+1,FALSE)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261" s="48">
        <f ca="1">VLOOKUP($F261,OFFSET(enemy_skill_triggers!$A$1,0,0,COUNTA(enemy_skill_triggers!$A:$A),MATCH(I$1,enemy_skill_triggers!$1:$1,0)-MATCH($F$1,enemy_skill_triggers!$1:$1,0)+1),MATCH(I$1,enemy_skill_triggers!$1:$1,0)-MATCH($F$1,enemy_skill_triggers!$1:$1,0)+1,FALSE)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1" s="48" t="str">
        <f ca="1">VLOOKUP($F261,OFFSET(enemy_skill_triggers!$A$1,0,0,COUNTA(enemy_skill_triggers!$A:$A),MATCH(J$1,enemy_skill_triggers!$1:$1,0)-MATCH($F$1,enemy_skill_triggers!$1:$1,0)+1),MATCH(J$1,enemy_skill_triggers!$1:$1,0)-MATCH($F$1,enemy_skill_triggers!$1:$1,0)+1,FALSE)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1" s="48" t="str">
        <f ca="1">VLOOKUP($F261,OFFSET(enemy_skill_triggers!$A$1,0,0,COUNTA(enemy_skill_triggers!$A:$A),MATCH(K$1,enemy_skill_triggers!$1:$1,0)-MATCH($F$1,enemy_skill_triggers!$1:$1,0)+1),MATCH(K$1,enemy_skill_triggers!$1:$1,0)-MATCH($F$1,enemy_skill_triggers!$1:$1,0)+1,FALSE)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1" s="48">
        <f ca="1">VLOOKUP($F261,OFFSET(enemy_skill_triggers!$A$1,0,0,COUNTA(enemy_skill_triggers!$A:$A),MATCH(L$1,enemy_skill_triggers!$1:$1,0)-MATCH($F$1,enemy_skill_triggers!$1:$1,0)+1),MATCH(L$1,enemy_skill_triggers!$1:$1,0)-MATCH($F$1,enemy_skill_triggers!$1:$1,0)+1,FALSE)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1" s="48" t="str">
        <f ca="1">VLOOKUP($F261,OFFSET(enemy_skill_triggers!$A$1,0,0,COUNTA(enemy_skill_triggers!$A:$A),MATCH(M$1,enemy_skill_triggers!$1:$1,0)-MATCH($F$1,enemy_skill_triggers!$1:$1,0)+1),MATCH(M$1,enemy_skill_triggers!$1:$1,0)-MATCH($F$1,enemy_skill_triggers!$1:$1,0)+1,FALSE)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1" s="48">
        <f ca="1">VLOOKUP($F261,OFFSET(enemy_skill_triggers!$A$1,0,0,COUNTA(enemy_skill_triggers!$A:$A),MATCH(N$1,enemy_skill_triggers!$1:$1,0)-MATCH($F$1,enemy_skill_triggers!$1:$1,0)+1),MATCH(N$1,enemy_skill_triggers!$1:$1,0)-MATCH($F$1,enemy_skill_triggers!$1:$1,0)+1,FALSE)</f>
        <v>1193</v>
      </c>
      <c r="O261" s="48">
        <f ca="1">VLOOKUP($F261,OFFSET(enemy_skill_triggers!$A$1,0,0,COUNTA(enemy_skill_triggers!$A:$A),MATCH(O$1,enemy_skill_triggers!$1:$1,0)-MATCH($F$1,enemy_skill_triggers!$1:$1,0)+1),MATCH(O$1,enemy_skill_triggers!$1:$1,0)-MATCH($F$1,enemy_skill_triggers!$1:$1,0)+1,FALSE)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1" s="47"/>
      <c r="Q261" s="47"/>
      <c r="R261" s="47"/>
    </row>
    <row r="262" spans="1:18" ht="21" customHeight="1" x14ac:dyDescent="0.15">
      <c r="A262" s="39" t="str">
        <f t="shared" si="8"/>
        <v>47003760_47003761</v>
      </c>
      <c r="B262" s="119">
        <v>47003760</v>
      </c>
      <c r="C262" s="119">
        <v>47003761</v>
      </c>
      <c r="D262" s="46" t="str">
        <f ca="1">VLOOKUP($C262,OFFSET(enemy_skills!$A$1,0,0,COUNTA(enemy_skills!$A:$A),MATCH(D$1,enemy_skills!$1:$1,0)-MATCH("enemy_skill_id",enemy_skills!$1:$1,0)+1),MATCH(D$1,enemy_skills!$1:$1,0)-MATCH("enemy_skill_id",enemy_skills!$1:$1,0)+1,FALSE)</f>
        <v>さぁ〜、イタズラしちゃうよぉ〜♪</v>
      </c>
      <c r="E262" s="46" t="str">
        <f ca="1">VLOOKUP($C262,OFFSET(enemy_skills!$A$1,0,0,COUNTA(enemy_skills!$A:$A),MATCH(E$1,enemy_skills!$1:$1,0)-MATCH("enemy_skill_id",enemy_skills!$1:$1,0)+1),MATCH(E$1,enemy_skills!$1:$1,0)-MATCH("enemy_skill_id",enemy_skills!$1:$1,0)+1,FALSE)</f>
        <v>種族デーモン以外に5ターン暗闇+_x000D_緑パネルをダメージパネルに変換</v>
      </c>
      <c r="F262" s="119">
        <v>47003761</v>
      </c>
      <c r="G262" s="48">
        <f ca="1">VLOOKUP($F262,OFFSET(enemy_skill_triggers!$A$1,0,0,COUNTA(enemy_skill_triggers!$A:$A),MATCH(G$1,enemy_skill_triggers!$1:$1,0)-MATCH($F$1,enemy_skill_triggers!$1:$1,0)+1),MATCH(G$1,enemy_skill_triggers!$1:$1,0)-MATCH($F$1,enemy_skill_triggers!$1:$1,0)+1,FALSE)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2" s="48">
        <f ca="1">VLOOKUP($F262,OFFSET(enemy_skill_triggers!$A$1,0,0,COUNTA(enemy_skill_triggers!$A:$A),MATCH(H$1,enemy_skill_triggers!$1:$1,0)-MATCH($F$1,enemy_skill_triggers!$1:$1,0)+1),MATCH(H$1,enemy_skill_triggers!$1:$1,0)-MATCH($F$1,enemy_skill_triggers!$1:$1,0)+1,FALSE)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2" s="48">
        <f ca="1">VLOOKUP($F262,OFFSET(enemy_skill_triggers!$A$1,0,0,COUNTA(enemy_skill_triggers!$A:$A),MATCH(I$1,enemy_skill_triggers!$1:$1,0)-MATCH($F$1,enemy_skill_triggers!$1:$1,0)+1),MATCH(I$1,enemy_skill_triggers!$1:$1,0)-MATCH($F$1,enemy_skill_triggers!$1:$1,0)+1,FALSE)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2" s="48" t="str">
        <f ca="1">VLOOKUP($F262,OFFSET(enemy_skill_triggers!$A$1,0,0,COUNTA(enemy_skill_triggers!$A:$A),MATCH(J$1,enemy_skill_triggers!$1:$1,0)-MATCH($F$1,enemy_skill_triggers!$1:$1,0)+1),MATCH(J$1,enemy_skill_triggers!$1:$1,0)-MATCH($F$1,enemy_skill_triggers!$1:$1,0)+1,FALSE)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2" s="48" t="str">
        <f ca="1">VLOOKUP($F262,OFFSET(enemy_skill_triggers!$A$1,0,0,COUNTA(enemy_skill_triggers!$A:$A),MATCH(K$1,enemy_skill_triggers!$1:$1,0)-MATCH($F$1,enemy_skill_triggers!$1:$1,0)+1),MATCH(K$1,enemy_skill_triggers!$1:$1,0)-MATCH($F$1,enemy_skill_triggers!$1:$1,0)+1,FALSE)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2" s="48">
        <f ca="1">VLOOKUP($F262,OFFSET(enemy_skill_triggers!$A$1,0,0,COUNTA(enemy_skill_triggers!$A:$A),MATCH(L$1,enemy_skill_triggers!$1:$1,0)-MATCH($F$1,enemy_skill_triggers!$1:$1,0)+1),MATCH(L$1,enemy_skill_triggers!$1:$1,0)-MATCH($F$1,enemy_skill_triggers!$1:$1,0)+1,FALSE)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2" s="48">
        <f ca="1">VLOOKUP($F262,OFFSET(enemy_skill_triggers!$A$1,0,0,COUNTA(enemy_skill_triggers!$A:$A),MATCH(M$1,enemy_skill_triggers!$1:$1,0)-MATCH($F$1,enemy_skill_triggers!$1:$1,0)+1),MATCH(M$1,enemy_skill_triggers!$1:$1,0)-MATCH($F$1,enemy_skill_triggers!$1:$1,0)+1,FALSE)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2" s="48" t="str">
        <f ca="1">VLOOKUP($F262,OFFSET(enemy_skill_triggers!$A$1,0,0,COUNTA(enemy_skill_triggers!$A:$A),MATCH(N$1,enemy_skill_triggers!$1:$1,0)-MATCH($F$1,enemy_skill_triggers!$1:$1,0)+1),MATCH(N$1,enemy_skill_triggers!$1:$1,0)-MATCH($F$1,enemy_skill_triggers!$1:$1,0)+1,FALSE)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2" s="48">
        <f ca="1">VLOOKUP($F262,OFFSET(enemy_skill_triggers!$A$1,0,0,COUNTA(enemy_skill_triggers!$A:$A),MATCH(O$1,enemy_skill_triggers!$1:$1,0)-MATCH($F$1,enemy_skill_triggers!$1:$1,0)+1),MATCH(O$1,enemy_skill_triggers!$1:$1,0)-MATCH($F$1,enemy_skill_triggers!$1:$1,0)+1,FALSE)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2" s="47"/>
      <c r="Q262" s="47"/>
      <c r="R262" s="47"/>
    </row>
    <row r="263" spans="1:18" ht="21" customHeight="1" x14ac:dyDescent="0.15">
      <c r="A263" s="39" t="str">
        <f t="shared" si="8"/>
        <v>47003760_47003762</v>
      </c>
      <c r="B263" s="119">
        <v>47003760</v>
      </c>
      <c r="C263" s="119">
        <v>47003762</v>
      </c>
      <c r="D263" s="46" t="str">
        <f ca="1">VLOOKUP($C263,OFFSET(enemy_skills!$A$1,0,0,COUNTA(enemy_skills!$A:$A),MATCH(D$1,enemy_skills!$1:$1,0)-MATCH("enemy_skill_id",enemy_skills!$1:$1,0)+1),MATCH(D$1,enemy_skills!$1:$1,0)-MATCH("enemy_skill_id",enemy_skills!$1:$1,0)+1,FALSE)</f>
        <v>暗闇からキック</v>
      </c>
      <c r="E263" s="46" t="str">
        <f ca="1">VLOOKUP($C263,OFFSET(enemy_skills!$A$1,0,0,COUNTA(enemy_skills!$A:$A),MATCH(E$1,enemy_skills!$1:$1,0)-MATCH("enemy_skill_id",enemy_skills!$1:$1,0)+1),MATCH(E$1,enemy_skills!$1:$1,0)-MATCH("enemy_skill_id",enemy_skills!$1:$1,0)+1,FALSE)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263" s="119">
        <v>47003762</v>
      </c>
      <c r="G263" s="48">
        <f ca="1">VLOOKUP($F263,OFFSET(enemy_skill_triggers!$A$1,0,0,COUNTA(enemy_skill_triggers!$A:$A),MATCH(G$1,enemy_skill_triggers!$1:$1,0)-MATCH($F$1,enemy_skill_triggers!$1:$1,0)+1),MATCH(G$1,enemy_skill_triggers!$1:$1,0)-MATCH($F$1,enemy_skill_triggers!$1:$1,0)+1,FALSE)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3" s="48">
        <f ca="1">VLOOKUP($F263,OFFSET(enemy_skill_triggers!$A$1,0,0,COUNTA(enemy_skill_triggers!$A:$A),MATCH(H$1,enemy_skill_triggers!$1:$1,0)-MATCH($F$1,enemy_skill_triggers!$1:$1,0)+1),MATCH(H$1,enemy_skill_triggers!$1:$1,0)-MATCH($F$1,enemy_skill_triggers!$1:$1,0)+1,FALSE)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63" s="48">
        <f ca="1">VLOOKUP($F263,OFFSET(enemy_skill_triggers!$A$1,0,0,COUNTA(enemy_skill_triggers!$A:$A),MATCH(I$1,enemy_skill_triggers!$1:$1,0)-MATCH($F$1,enemy_skill_triggers!$1:$1,0)+1),MATCH(I$1,enemy_skill_triggers!$1:$1,0)-MATCH($F$1,enemy_skill_triggers!$1:$1,0)+1,FALSE)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3" s="48" t="str">
        <f ca="1">VLOOKUP($F263,OFFSET(enemy_skill_triggers!$A$1,0,0,COUNTA(enemy_skill_triggers!$A:$A),MATCH(J$1,enemy_skill_triggers!$1:$1,0)-MATCH($F$1,enemy_skill_triggers!$1:$1,0)+1),MATCH(J$1,enemy_skill_triggers!$1:$1,0)-MATCH($F$1,enemy_skill_triggers!$1:$1,0)+1,FALSE)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3" s="48" t="str">
        <f ca="1">VLOOKUP($F263,OFFSET(enemy_skill_triggers!$A$1,0,0,COUNTA(enemy_skill_triggers!$A:$A),MATCH(K$1,enemy_skill_triggers!$1:$1,0)-MATCH($F$1,enemy_skill_triggers!$1:$1,0)+1),MATCH(K$1,enemy_skill_triggers!$1:$1,0)-MATCH($F$1,enemy_skill_triggers!$1:$1,0)+1,FALSE)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3" s="48">
        <f ca="1">VLOOKUP($F263,OFFSET(enemy_skill_triggers!$A$1,0,0,COUNTA(enemy_skill_triggers!$A:$A),MATCH(L$1,enemy_skill_triggers!$1:$1,0)-MATCH($F$1,enemy_skill_triggers!$1:$1,0)+1),MATCH(L$1,enemy_skill_triggers!$1:$1,0)-MATCH($F$1,enemy_skill_triggers!$1:$1,0)+1,FALSE)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3" s="48">
        <f ca="1">VLOOKUP($F263,OFFSET(enemy_skill_triggers!$A$1,0,0,COUNTA(enemy_skill_triggers!$A:$A),MATCH(M$1,enemy_skill_triggers!$1:$1,0)-MATCH($F$1,enemy_skill_triggers!$1:$1,0)+1),MATCH(M$1,enemy_skill_triggers!$1:$1,0)-MATCH($F$1,enemy_skill_triggers!$1:$1,0)+1,FALSE)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3" s="48" t="str">
        <f ca="1">VLOOKUP($F263,OFFSET(enemy_skill_triggers!$A$1,0,0,COUNTA(enemy_skill_triggers!$A:$A),MATCH(N$1,enemy_skill_triggers!$1:$1,0)-MATCH($F$1,enemy_skill_triggers!$1:$1,0)+1),MATCH(N$1,enemy_skill_triggers!$1:$1,0)-MATCH($F$1,enemy_skill_triggers!$1:$1,0)+1,FALSE)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3" s="48">
        <f ca="1">VLOOKUP($F263,OFFSET(enemy_skill_triggers!$A$1,0,0,COUNTA(enemy_skill_triggers!$A:$A),MATCH(O$1,enemy_skill_triggers!$1:$1,0)-MATCH($F$1,enemy_skill_triggers!$1:$1,0)+1),MATCH(O$1,enemy_skill_triggers!$1:$1,0)-MATCH($F$1,enemy_skill_triggers!$1:$1,0)+1,FALSE)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3" s="47"/>
      <c r="Q263" s="47"/>
      <c r="R263" s="47"/>
    </row>
    <row r="264" spans="1:18" ht="21" customHeight="1" x14ac:dyDescent="0.15">
      <c r="A264" s="39" t="str">
        <f t="shared" ref="A264" si="26">B264&amp;"_"&amp;C264</f>
        <v>47003760_47003763</v>
      </c>
      <c r="B264" s="119">
        <v>47003760</v>
      </c>
      <c r="C264" s="119">
        <v>47003763</v>
      </c>
      <c r="D264" s="46" t="str">
        <f ca="1">VLOOKUP($C264,OFFSET(enemy_skills!$A$1,0,0,COUNTA(enemy_skills!$A:$A),MATCH(D$1,enemy_skills!$1:$1,0)-MATCH("enemy_skill_id",enemy_skills!$1:$1,0)+1),MATCH(D$1,enemy_skills!$1:$1,0)-MATCH("enemy_skill_id",enemy_skills!$1:$1,0)+1,FALSE)</f>
        <v>キャンディーハンマー</v>
      </c>
      <c r="E264" s="46" t="str">
        <f ca="1">VLOOKUP($C264,OFFSET(enemy_skills!$A$1,0,0,COUNTA(enemy_skills!$A:$A),MATCH(E$1,enemy_skills!$1:$1,0)-MATCH("enemy_skill_id",enemy_skills!$1:$1,0)+1),MATCH(E$1,enemy_skills!$1:$1,0)-MATCH("enemy_skill_id",enemy_skills!$1:$1,0)+1,FALSE)</f>
        <v>ダメージパネルを8個生成+単体攻撃</v>
      </c>
      <c r="F264" s="119">
        <v>47003763</v>
      </c>
      <c r="G264" s="48">
        <f ca="1">VLOOKUP($F264,OFFSET(enemy_skill_triggers!$A$1,0,0,COUNTA(enemy_skill_triggers!$A:$A),MATCH(G$1,enemy_skill_triggers!$1:$1,0)-MATCH($F$1,enemy_skill_triggers!$1:$1,0)+1),MATCH(G$1,enemy_skill_triggers!$1:$1,0)-MATCH($F$1,enemy_skill_triggers!$1:$1,0)+1,FALSE)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4" s="48">
        <f ca="1">VLOOKUP($F264,OFFSET(enemy_skill_triggers!$A$1,0,0,COUNTA(enemy_skill_triggers!$A:$A),MATCH(H$1,enemy_skill_triggers!$1:$1,0)-MATCH($F$1,enemy_skill_triggers!$1:$1,0)+1),MATCH(H$1,enemy_skill_triggers!$1:$1,0)-MATCH($F$1,enemy_skill_triggers!$1:$1,0)+1,FALSE)</f>
        <v>213</v>
      </c>
      <c r="I264" s="48">
        <f ca="1">VLOOKUP($F264,OFFSET(enemy_skill_triggers!$A$1,0,0,COUNTA(enemy_skill_triggers!$A:$A),MATCH(I$1,enemy_skill_triggers!$1:$1,0)-MATCH($F$1,enemy_skill_triggers!$1:$1,0)+1),MATCH(I$1,enemy_skill_triggers!$1:$1,0)-MATCH($F$1,enemy_skill_triggers!$1:$1,0)+1,FALSE)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4" s="48" t="str">
        <f ca="1">VLOOKUP($F264,OFFSET(enemy_skill_triggers!$A$1,0,0,COUNTA(enemy_skill_triggers!$A:$A),MATCH(J$1,enemy_skill_triggers!$1:$1,0)-MATCH($F$1,enemy_skill_triggers!$1:$1,0)+1),MATCH(J$1,enemy_skill_triggers!$1:$1,0)-MATCH($F$1,enemy_skill_triggers!$1:$1,0)+1,FALSE)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4" s="48" t="str">
        <f ca="1">VLOOKUP($F264,OFFSET(enemy_skill_triggers!$A$1,0,0,COUNTA(enemy_skill_triggers!$A:$A),MATCH(K$1,enemy_skill_triggers!$1:$1,0)-MATCH($F$1,enemy_skill_triggers!$1:$1,0)+1),MATCH(K$1,enemy_skill_triggers!$1:$1,0)-MATCH($F$1,enemy_skill_triggers!$1:$1,0)+1,FALSE)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4" s="48" t="str">
        <f ca="1">VLOOKUP($F264,OFFSET(enemy_skill_triggers!$A$1,0,0,COUNTA(enemy_skill_triggers!$A:$A),MATCH(L$1,enemy_skill_triggers!$1:$1,0)-MATCH($F$1,enemy_skill_triggers!$1:$1,0)+1),MATCH(L$1,enemy_skill_triggers!$1:$1,0)-MATCH($F$1,enemy_skill_triggers!$1:$1,0)+1,FALSE)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4" s="48">
        <f ca="1">VLOOKUP($F264,OFFSET(enemy_skill_triggers!$A$1,0,0,COUNTA(enemy_skill_triggers!$A:$A),MATCH(M$1,enemy_skill_triggers!$1:$1,0)-MATCH($F$1,enemy_skill_triggers!$1:$1,0)+1),MATCH(M$1,enemy_skill_triggers!$1:$1,0)-MATCH($F$1,enemy_skill_triggers!$1:$1,0)+1,FALSE)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4" s="48" t="str">
        <f ca="1">VLOOKUP($F264,OFFSET(enemy_skill_triggers!$A$1,0,0,COUNTA(enemy_skill_triggers!$A:$A),MATCH(N$1,enemy_skill_triggers!$1:$1,0)-MATCH($F$1,enemy_skill_triggers!$1:$1,0)+1),MATCH(N$1,enemy_skill_triggers!$1:$1,0)-MATCH($F$1,enemy_skill_triggers!$1:$1,0)+1,FALSE)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4" s="48">
        <f ca="1">VLOOKUP($F264,OFFSET(enemy_skill_triggers!$A$1,0,0,COUNTA(enemy_skill_triggers!$A:$A),MATCH(O$1,enemy_skill_triggers!$1:$1,0)-MATCH($F$1,enemy_skill_triggers!$1:$1,0)+1),MATCH(O$1,enemy_skill_triggers!$1:$1,0)-MATCH($F$1,enemy_skill_triggers!$1:$1,0)+1,FALSE)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4" s="47"/>
      <c r="Q264" s="47"/>
      <c r="R264" s="47"/>
    </row>
    <row r="265" spans="1:18" ht="21" customHeight="1" x14ac:dyDescent="0.15">
      <c r="A265" s="39" t="str">
        <f t="shared" si="8"/>
        <v>47003760_47003764</v>
      </c>
      <c r="B265" s="119">
        <v>47003760</v>
      </c>
      <c r="C265" s="119">
        <v>47003764</v>
      </c>
      <c r="D265" s="46" t="str">
        <f ca="1">VLOOKUP($C265,OFFSET(enemy_skills!$A$1,0,0,COUNTA(enemy_skills!$A:$A),MATCH(D$1,enemy_skills!$1:$1,0)-MATCH("enemy_skill_id",enemy_skills!$1:$1,0)+1),MATCH(D$1,enemy_skills!$1:$1,0)-MATCH("enemy_skill_id",enemy_skills!$1:$1,0)+1,FALSE)</f>
        <v>うるさい口は塞いであげる♪</v>
      </c>
      <c r="E265" s="46" t="str">
        <f ca="1">VLOOKUP($C265,OFFSET(enemy_skills!$A$1,0,0,COUNTA(enemy_skills!$A:$A),MATCH(E$1,enemy_skills!$1:$1,0)-MATCH("enemy_skill_id",enemy_skills!$1:$1,0)+1),MATCH(E$1,enemy_skills!$1:$1,0)-MATCH("enemy_skill_id",enemy_skills!$1:$1,0)+1,FALSE)</f>
        <v>2ターンスキルバインド+自身の攻撃力UP</v>
      </c>
      <c r="F265" s="119">
        <v>47003764</v>
      </c>
      <c r="G265" s="48">
        <f ca="1">VLOOKUP($F265,OFFSET(enemy_skill_triggers!$A$1,0,0,COUNTA(enemy_skill_triggers!$A:$A),MATCH(G$1,enemy_skill_triggers!$1:$1,0)-MATCH($F$1,enemy_skill_triggers!$1:$1,0)+1),MATCH(G$1,enemy_skill_triggers!$1:$1,0)-MATCH($F$1,enemy_skill_triggers!$1:$1,0)+1,FALSE)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5" s="48">
        <f ca="1">VLOOKUP($F265,OFFSET(enemy_skill_triggers!$A$1,0,0,COUNTA(enemy_skill_triggers!$A:$A),MATCH(H$1,enemy_skill_triggers!$1:$1,0)-MATCH($F$1,enemy_skill_triggers!$1:$1,0)+1),MATCH(H$1,enemy_skill_triggers!$1:$1,0)-MATCH($F$1,enemy_skill_triggers!$1:$1,0)+1,FALSE)</f>
        <v>214</v>
      </c>
      <c r="I265" s="48">
        <f ca="1">VLOOKUP($F265,OFFSET(enemy_skill_triggers!$A$1,0,0,COUNTA(enemy_skill_triggers!$A:$A),MATCH(I$1,enemy_skill_triggers!$1:$1,0)-MATCH($F$1,enemy_skill_triggers!$1:$1,0)+1),MATCH(I$1,enemy_skill_triggers!$1:$1,0)-MATCH($F$1,enemy_skill_triggers!$1:$1,0)+1,FALSE)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5" s="48">
        <f ca="1">VLOOKUP($F265,OFFSET(enemy_skill_triggers!$A$1,0,0,COUNTA(enemy_skill_triggers!$A:$A),MATCH(J$1,enemy_skill_triggers!$1:$1,0)-MATCH($F$1,enemy_skill_triggers!$1:$1,0)+1),MATCH(J$1,enemy_skill_triggers!$1:$1,0)-MATCH($F$1,enemy_skill_triggers!$1:$1,0)+1,FALSE)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5" s="48" t="str">
        <f ca="1">VLOOKUP($F265,OFFSET(enemy_skill_triggers!$A$1,0,0,COUNTA(enemy_skill_triggers!$A:$A),MATCH(K$1,enemy_skill_triggers!$1:$1,0)-MATCH($F$1,enemy_skill_triggers!$1:$1,0)+1),MATCH(K$1,enemy_skill_triggers!$1:$1,0)-MATCH($F$1,enemy_skill_triggers!$1:$1,0)+1,FALSE)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5" s="48">
        <f ca="1">VLOOKUP($F265,OFFSET(enemy_skill_triggers!$A$1,0,0,COUNTA(enemy_skill_triggers!$A:$A),MATCH(L$1,enemy_skill_triggers!$1:$1,0)-MATCH($F$1,enemy_skill_triggers!$1:$1,0)+1),MATCH(L$1,enemy_skill_triggers!$1:$1,0)-MATCH($F$1,enemy_skill_triggers!$1:$1,0)+1,FALSE)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5" s="48">
        <f ca="1">VLOOKUP($F265,OFFSET(enemy_skill_triggers!$A$1,0,0,COUNTA(enemy_skill_triggers!$A:$A),MATCH(M$1,enemy_skill_triggers!$1:$1,0)-MATCH($F$1,enemy_skill_triggers!$1:$1,0)+1),MATCH(M$1,enemy_skill_triggers!$1:$1,0)-MATCH($F$1,enemy_skill_triggers!$1:$1,0)+1,FALSE)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5" s="48" t="str">
        <f ca="1">VLOOKUP($F265,OFFSET(enemy_skill_triggers!$A$1,0,0,COUNTA(enemy_skill_triggers!$A:$A),MATCH(N$1,enemy_skill_triggers!$1:$1,0)-MATCH($F$1,enemy_skill_triggers!$1:$1,0)+1),MATCH(N$1,enemy_skill_triggers!$1:$1,0)-MATCH($F$1,enemy_skill_triggers!$1:$1,0)+1,FALSE)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5" s="48">
        <f ca="1">VLOOKUP($F265,OFFSET(enemy_skill_triggers!$A$1,0,0,COUNTA(enemy_skill_triggers!$A:$A),MATCH(O$1,enemy_skill_triggers!$1:$1,0)-MATCH($F$1,enemy_skill_triggers!$1:$1,0)+1),MATCH(O$1,enemy_skill_triggers!$1:$1,0)-MATCH($F$1,enemy_skill_triggers!$1:$1,0)+1,FALSE)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5" s="47"/>
      <c r="Q265" s="47"/>
      <c r="R265" s="47"/>
    </row>
    <row r="266" spans="1:18" ht="21" customHeight="1" x14ac:dyDescent="0.15">
      <c r="A266" s="39" t="str">
        <f t="shared" ref="A266" si="27">B266&amp;"_"&amp;C266</f>
        <v>47003760_47003765</v>
      </c>
      <c r="B266" s="119">
        <v>47003760</v>
      </c>
      <c r="C266" s="119">
        <v>47003765</v>
      </c>
      <c r="D266" s="46" t="str">
        <f ca="1">VLOOKUP($C266,OFFSET(enemy_skills!$A$1,0,0,COUNTA(enemy_skills!$A:$A),MATCH(D$1,enemy_skills!$1:$1,0)-MATCH("enemy_skill_id",enemy_skills!$1:$1,0)+1),MATCH(D$1,enemy_skills!$1:$1,0)-MATCH("enemy_skill_id",enemy_skills!$1:$1,0)+1,FALSE)</f>
        <v>スウィート・カタラクト</v>
      </c>
      <c r="E266" s="46" t="str">
        <f ca="1">VLOOKUP($C266,OFFSET(enemy_skills!$A$1,0,0,COUNTA(enemy_skills!$A:$A),MATCH(E$1,enemy_skills!$1:$1,0)-MATCH("enemy_skill_id",enemy_skills!$1:$1,0)+1),MATCH(E$1,enemy_skills!$1:$1,0)-MATCH("enemy_skill_id",enemy_skills!$1:$1,0)+1,FALSE)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</v>
      </c>
      <c r="F266" s="119">
        <v>47003765</v>
      </c>
      <c r="G266" s="48">
        <f ca="1">VLOOKUP($F266,OFFSET(enemy_skill_triggers!$A$1,0,0,COUNTA(enemy_skill_triggers!$A:$A),MATCH(G$1,enemy_skill_triggers!$1:$1,0)-MATCH($F$1,enemy_skill_triggers!$1:$1,0)+1),MATCH(G$1,enemy_skill_triggers!$1:$1,0)-MATCH($F$1,enemy_skill_triggers!$1:$1,0)+1,FALSE)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6" s="48">
        <f ca="1">VLOOKUP($F266,OFFSET(enemy_skill_triggers!$A$1,0,0,COUNTA(enemy_skill_triggers!$A:$A),MATCH(H$1,enemy_skill_triggers!$1:$1,0)-MATCH($F$1,enemy_skill_triggers!$1:$1,0)+1),MATCH(H$1,enemy_skill_triggers!$1:$1,0)-MATCH($F$1,enemy_skill_triggers!$1:$1,0)+1,FALSE)</f>
        <v>212</v>
      </c>
      <c r="I266" s="48">
        <f ca="1">VLOOKUP($F266,OFFSET(enemy_skill_triggers!$A$1,0,0,COUNTA(enemy_skill_triggers!$A:$A),MATCH(I$1,enemy_skill_triggers!$1:$1,0)-MATCH($F$1,enemy_skill_triggers!$1:$1,0)+1),MATCH(I$1,enemy_skill_triggers!$1:$1,0)-MATCH($F$1,enemy_skill_triggers!$1:$1,0)+1,FALSE)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6" s="48">
        <f ca="1">VLOOKUP($F266,OFFSET(enemy_skill_triggers!$A$1,0,0,COUNTA(enemy_skill_triggers!$A:$A),MATCH(J$1,enemy_skill_triggers!$1:$1,0)-MATCH($F$1,enemy_skill_triggers!$1:$1,0)+1),MATCH(J$1,enemy_skill_triggers!$1:$1,0)-MATCH($F$1,enemy_skill_triggers!$1:$1,0)+1,FALSE)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6" s="48" t="str">
        <f ca="1">VLOOKUP($F266,OFFSET(enemy_skill_triggers!$A$1,0,0,COUNTA(enemy_skill_triggers!$A:$A),MATCH(K$1,enemy_skill_triggers!$1:$1,0)-MATCH($F$1,enemy_skill_triggers!$1:$1,0)+1),MATCH(K$1,enemy_skill_triggers!$1:$1,0)-MATCH($F$1,enemy_skill_triggers!$1:$1,0)+1,FALSE)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6" s="48" t="str">
        <f ca="1">VLOOKUP($F266,OFFSET(enemy_skill_triggers!$A$1,0,0,COUNTA(enemy_skill_triggers!$A:$A),MATCH(L$1,enemy_skill_triggers!$1:$1,0)-MATCH($F$1,enemy_skill_triggers!$1:$1,0)+1),MATCH(L$1,enemy_skill_triggers!$1:$1,0)-MATCH($F$1,enemy_skill_triggers!$1:$1,0)+1,FALSE)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6" s="48">
        <f ca="1">VLOOKUP($F266,OFFSET(enemy_skill_triggers!$A$1,0,0,COUNTA(enemy_skill_triggers!$A:$A),MATCH(M$1,enemy_skill_triggers!$1:$1,0)-MATCH($F$1,enemy_skill_triggers!$1:$1,0)+1),MATCH(M$1,enemy_skill_triggers!$1:$1,0)-MATCH($F$1,enemy_skill_triggers!$1:$1,0)+1,FALSE)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6" s="48" t="str">
        <f ca="1">VLOOKUP($F266,OFFSET(enemy_skill_triggers!$A$1,0,0,COUNTA(enemy_skill_triggers!$A:$A),MATCH(N$1,enemy_skill_triggers!$1:$1,0)-MATCH($F$1,enemy_skill_triggers!$1:$1,0)+1),MATCH(N$1,enemy_skill_triggers!$1:$1,0)-MATCH($F$1,enemy_skill_triggers!$1:$1,0)+1,FALSE)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6" s="48">
        <f ca="1">VLOOKUP($F266,OFFSET(enemy_skill_triggers!$A$1,0,0,COUNTA(enemy_skill_triggers!$A:$A),MATCH(O$1,enemy_skill_triggers!$1:$1,0)-MATCH($F$1,enemy_skill_triggers!$1:$1,0)+1),MATCH(O$1,enemy_skill_triggers!$1:$1,0)-MATCH($F$1,enemy_skill_triggers!$1:$1,0)+1,FALSE)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6" s="47"/>
      <c r="Q266" s="47"/>
      <c r="R266" s="47"/>
    </row>
    <row r="267" spans="1:18" ht="21" customHeight="1" x14ac:dyDescent="0.15">
      <c r="A267" s="39" t="str">
        <f t="shared" si="8"/>
        <v>47003780_47003781</v>
      </c>
      <c r="B267" s="121">
        <v>47003780</v>
      </c>
      <c r="C267" s="121">
        <v>47003781</v>
      </c>
      <c r="D267" s="46" t="str">
        <f ca="1">VLOOKUP($C267,OFFSET(enemy_skills!$A$1,0,0,COUNTA(enemy_skills!$A:$A),MATCH(D$1,enemy_skills!$1:$1,0)-MATCH("enemy_skill_id",enemy_skills!$1:$1,0)+1),MATCH(D$1,enemy_skills!$1:$1,0)-MATCH("enemy_skill_id",enemy_skills!$1:$1,0)+1,FALSE)</f>
        <v>この子達は絶対に渡さないんだから〜！</v>
      </c>
      <c r="E267" s="46" t="str">
        <f ca="1">VLOOKUP($C267,OFFSET(enemy_skills!$A$1,0,0,COUNTA(enemy_skills!$A:$A),MATCH(E$1,enemy_skills!$1:$1,0)-MATCH("enemy_skill_id",enemy_skills!$1:$1,0)+1),MATCH(E$1,enemy_skills!$1:$1,0)-MATCH("enemy_skill_id",enemy_skills!$1:$1,0)+1,FALSE)</f>
        <v>種族デーモン以外に2ターンスキルバインド+_x000D_ダメージパネルを4個生成+黄パネルドロップUP</v>
      </c>
      <c r="F267" s="121">
        <v>47003781</v>
      </c>
      <c r="G267" s="48">
        <f ca="1">VLOOKUP($F267,OFFSET(enemy_skill_triggers!$A$1,0,0,COUNTA(enemy_skill_triggers!$A:$A),MATCH(G$1,enemy_skill_triggers!$1:$1,0)-MATCH($F$1,enemy_skill_triggers!$1:$1,0)+1),MATCH(G$1,enemy_skill_triggers!$1:$1,0)-MATCH($F$1,enemy_skill_triggers!$1:$1,0)+1,FALSE)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7" s="48">
        <f ca="1">VLOOKUP($F267,OFFSET(enemy_skill_triggers!$A$1,0,0,COUNTA(enemy_skill_triggers!$A:$A),MATCH(H$1,enemy_skill_triggers!$1:$1,0)-MATCH($F$1,enemy_skill_triggers!$1:$1,0)+1),MATCH(H$1,enemy_skill_triggers!$1:$1,0)-MATCH($F$1,enemy_skill_triggers!$1:$1,0)+1,FALSE)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67" s="48">
        <f ca="1">VLOOKUP($F267,OFFSET(enemy_skill_triggers!$A$1,0,0,COUNTA(enemy_skill_triggers!$A:$A),MATCH(I$1,enemy_skill_triggers!$1:$1,0)-MATCH($F$1,enemy_skill_triggers!$1:$1,0)+1),MATCH(I$1,enemy_skill_triggers!$1:$1,0)-MATCH($F$1,enemy_skill_triggers!$1:$1,0)+1,FALSE)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7" s="48" t="str">
        <f ca="1">VLOOKUP($F267,OFFSET(enemy_skill_triggers!$A$1,0,0,COUNTA(enemy_skill_triggers!$A:$A),MATCH(J$1,enemy_skill_triggers!$1:$1,0)-MATCH($F$1,enemy_skill_triggers!$1:$1,0)+1),MATCH(J$1,enemy_skill_triggers!$1:$1,0)-MATCH($F$1,enemy_skill_triggers!$1:$1,0)+1,FALSE)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7" s="48" t="str">
        <f ca="1">VLOOKUP($F267,OFFSET(enemy_skill_triggers!$A$1,0,0,COUNTA(enemy_skill_triggers!$A:$A),MATCH(K$1,enemy_skill_triggers!$1:$1,0)-MATCH($F$1,enemy_skill_triggers!$1:$1,0)+1),MATCH(K$1,enemy_skill_triggers!$1:$1,0)-MATCH($F$1,enemy_skill_triggers!$1:$1,0)+1,FALSE)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7" s="48">
        <f ca="1">VLOOKUP($F267,OFFSET(enemy_skill_triggers!$A$1,0,0,COUNTA(enemy_skill_triggers!$A:$A),MATCH(L$1,enemy_skill_triggers!$1:$1,0)-MATCH($F$1,enemy_skill_triggers!$1:$1,0)+1),MATCH(L$1,enemy_skill_triggers!$1:$1,0)-MATCH($F$1,enemy_skill_triggers!$1:$1,0)+1,FALSE)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7" s="48">
        <f ca="1">VLOOKUP($F267,OFFSET(enemy_skill_triggers!$A$1,0,0,COUNTA(enemy_skill_triggers!$A:$A),MATCH(M$1,enemy_skill_triggers!$1:$1,0)-MATCH($F$1,enemy_skill_triggers!$1:$1,0)+1),MATCH(M$1,enemy_skill_triggers!$1:$1,0)-MATCH($F$1,enemy_skill_triggers!$1:$1,0)+1,FALSE)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7" s="48" t="str">
        <f ca="1">VLOOKUP($F267,OFFSET(enemy_skill_triggers!$A$1,0,0,COUNTA(enemy_skill_triggers!$A:$A),MATCH(N$1,enemy_skill_triggers!$1:$1,0)-MATCH($F$1,enemy_skill_triggers!$1:$1,0)+1),MATCH(N$1,enemy_skill_triggers!$1:$1,0)-MATCH($F$1,enemy_skill_triggers!$1:$1,0)+1,FALSE)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7" s="48">
        <f ca="1">VLOOKUP($F267,OFFSET(enemy_skill_triggers!$A$1,0,0,COUNTA(enemy_skill_triggers!$A:$A),MATCH(O$1,enemy_skill_triggers!$1:$1,0)-MATCH($F$1,enemy_skill_triggers!$1:$1,0)+1),MATCH(O$1,enemy_skill_triggers!$1:$1,0)-MATCH($F$1,enemy_skill_triggers!$1:$1,0)+1,FALSE)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7" s="47"/>
      <c r="Q267" s="47"/>
      <c r="R267" s="47"/>
    </row>
    <row r="268" spans="1:18" ht="21" customHeight="1" x14ac:dyDescent="0.15">
      <c r="A268" s="39" t="str">
        <f t="shared" si="8"/>
        <v>47003780_47003782</v>
      </c>
      <c r="B268" s="121">
        <v>47003780</v>
      </c>
      <c r="C268" s="121">
        <v>47003782</v>
      </c>
      <c r="D268" s="46" t="str">
        <f ca="1">VLOOKUP($C268,OFFSET(enemy_skills!$A$1,0,0,COUNTA(enemy_skills!$A:$A),MATCH(D$1,enemy_skills!$1:$1,0)-MATCH("enemy_skill_id",enemy_skills!$1:$1,0)+1),MATCH(D$1,enemy_skills!$1:$1,0)-MATCH("enemy_skill_id",enemy_skills!$1:$1,0)+1,FALSE)</f>
        <v>キャンディーハンマー</v>
      </c>
      <c r="E268" s="46" t="str">
        <f ca="1">VLOOKUP($C268,OFFSET(enemy_skills!$A$1,0,0,COUNTA(enemy_skills!$A:$A),MATCH(E$1,enemy_skills!$1:$1,0)-MATCH("enemy_skill_id",enemy_skills!$1:$1,0)+1),MATCH(E$1,enemy_skills!$1:$1,0)-MATCH("enemy_skill_id",enemy_skills!$1:$1,0)+1,FALSE)</f>
        <v>ダメージパネルを8個生成+単体攻撃</v>
      </c>
      <c r="F268" s="121">
        <v>47003782</v>
      </c>
      <c r="G268" s="48">
        <f ca="1">VLOOKUP($F268,OFFSET(enemy_skill_triggers!$A$1,0,0,COUNTA(enemy_skill_triggers!$A:$A),MATCH(G$1,enemy_skill_triggers!$1:$1,0)-MATCH($F$1,enemy_skill_triggers!$1:$1,0)+1),MATCH(G$1,enemy_skill_triggers!$1:$1,0)-MATCH($F$1,enemy_skill_triggers!$1:$1,0)+1,FALSE)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8" s="48">
        <f ca="1">VLOOKUP($F268,OFFSET(enemy_skill_triggers!$A$1,0,0,COUNTA(enemy_skill_triggers!$A:$A),MATCH(H$1,enemy_skill_triggers!$1:$1,0)-MATCH($F$1,enemy_skill_triggers!$1:$1,0)+1),MATCH(H$1,enemy_skill_triggers!$1:$1,0)-MATCH($F$1,enemy_skill_triggers!$1:$1,0)+1,FALSE)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68" s="48">
        <f ca="1">VLOOKUP($F268,OFFSET(enemy_skill_triggers!$A$1,0,0,COUNTA(enemy_skill_triggers!$A:$A),MATCH(I$1,enemy_skill_triggers!$1:$1,0)-MATCH($F$1,enemy_skill_triggers!$1:$1,0)+1),MATCH(I$1,enemy_skill_triggers!$1:$1,0)-MATCH($F$1,enemy_skill_triggers!$1:$1,0)+1,FALSE)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8" s="48" t="str">
        <f ca="1">VLOOKUP($F268,OFFSET(enemy_skill_triggers!$A$1,0,0,COUNTA(enemy_skill_triggers!$A:$A),MATCH(J$1,enemy_skill_triggers!$1:$1,0)-MATCH($F$1,enemy_skill_triggers!$1:$1,0)+1),MATCH(J$1,enemy_skill_triggers!$1:$1,0)-MATCH($F$1,enemy_skill_triggers!$1:$1,0)+1,FALSE)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8" s="48" t="str">
        <f ca="1">VLOOKUP($F268,OFFSET(enemy_skill_triggers!$A$1,0,0,COUNTA(enemy_skill_triggers!$A:$A),MATCH(K$1,enemy_skill_triggers!$1:$1,0)-MATCH($F$1,enemy_skill_triggers!$1:$1,0)+1),MATCH(K$1,enemy_skill_triggers!$1:$1,0)-MATCH($F$1,enemy_skill_triggers!$1:$1,0)+1,FALSE)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8" s="48" t="str">
        <f ca="1">VLOOKUP($F268,OFFSET(enemy_skill_triggers!$A$1,0,0,COUNTA(enemy_skill_triggers!$A:$A),MATCH(L$1,enemy_skill_triggers!$1:$1,0)-MATCH($F$1,enemy_skill_triggers!$1:$1,0)+1),MATCH(L$1,enemy_skill_triggers!$1:$1,0)-MATCH($F$1,enemy_skill_triggers!$1:$1,0)+1,FALSE)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8" s="48">
        <f ca="1">VLOOKUP($F268,OFFSET(enemy_skill_triggers!$A$1,0,0,COUNTA(enemy_skill_triggers!$A:$A),MATCH(M$1,enemy_skill_triggers!$1:$1,0)-MATCH($F$1,enemy_skill_triggers!$1:$1,0)+1),MATCH(M$1,enemy_skill_triggers!$1:$1,0)-MATCH($F$1,enemy_skill_triggers!$1:$1,0)+1,FALSE)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8" s="48" t="str">
        <f ca="1">VLOOKUP($F268,OFFSET(enemy_skill_triggers!$A$1,0,0,COUNTA(enemy_skill_triggers!$A:$A),MATCH(N$1,enemy_skill_triggers!$1:$1,0)-MATCH($F$1,enemy_skill_triggers!$1:$1,0)+1),MATCH(N$1,enemy_skill_triggers!$1:$1,0)-MATCH($F$1,enemy_skill_triggers!$1:$1,0)+1,FALSE)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8" s="48">
        <f ca="1">VLOOKUP($F268,OFFSET(enemy_skill_triggers!$A$1,0,0,COUNTA(enemy_skill_triggers!$A:$A),MATCH(O$1,enemy_skill_triggers!$1:$1,0)-MATCH($F$1,enemy_skill_triggers!$1:$1,0)+1),MATCH(O$1,enemy_skill_triggers!$1:$1,0)-MATCH($F$1,enemy_skill_triggers!$1:$1,0)+1,FALSE)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8" s="47"/>
      <c r="Q268" s="47"/>
      <c r="R268" s="47"/>
    </row>
    <row r="269" spans="1:18" ht="21" customHeight="1" x14ac:dyDescent="0.15">
      <c r="A269" s="39" t="str">
        <f t="shared" si="8"/>
        <v>47003780_47003783</v>
      </c>
      <c r="B269" s="121">
        <v>47003780</v>
      </c>
      <c r="C269" s="121">
        <v>47003783</v>
      </c>
      <c r="D269" s="46" t="str">
        <f ca="1">VLOOKUP($C269,OFFSET(enemy_skills!$A$1,0,0,COUNTA(enemy_skills!$A:$A),MATCH(D$1,enemy_skills!$1:$1,0)-MATCH("enemy_skill_id",enemy_skills!$1:$1,0)+1),MATCH(D$1,enemy_skills!$1:$1,0)-MATCH("enemy_skill_id",enemy_skills!$1:$1,0)+1,FALSE)</f>
        <v>お菓子はぜ〜んぶ私のもの〜♪</v>
      </c>
      <c r="E269" s="46" t="str">
        <f ca="1">VLOOKUP($C269,OFFSET(enemy_skills!$A$1,0,0,COUNTA(enemy_skills!$A:$A),MATCH(E$1,enemy_skills!$1:$1,0)-MATCH("enemy_skill_id",enemy_skills!$1:$1,0)+1),MATCH(E$1,enemy_skills!$1:$1,0)-MATCH("enemy_skill_id",enemy_skills!$1:$1,0)+1,FALSE)</f>
        <v>黄パネルを吸収して攻撃</v>
      </c>
      <c r="F269" s="121">
        <v>47003783</v>
      </c>
      <c r="G269" s="48">
        <f ca="1">VLOOKUP($F269,OFFSET(enemy_skill_triggers!$A$1,0,0,COUNTA(enemy_skill_triggers!$A:$A),MATCH(G$1,enemy_skill_triggers!$1:$1,0)-MATCH($F$1,enemy_skill_triggers!$1:$1,0)+1),MATCH(G$1,enemy_skill_triggers!$1:$1,0)-MATCH($F$1,enemy_skill_triggers!$1:$1,0)+1,FALSE)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9" s="48">
        <f ca="1">VLOOKUP($F269,OFFSET(enemy_skill_triggers!$A$1,0,0,COUNTA(enemy_skill_triggers!$A:$A),MATCH(H$1,enemy_skill_triggers!$1:$1,0)-MATCH($F$1,enemy_skill_triggers!$1:$1,0)+1),MATCH(H$1,enemy_skill_triggers!$1:$1,0)-MATCH($F$1,enemy_skill_triggers!$1:$1,0)+1,FALSE)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69" s="48">
        <f ca="1">VLOOKUP($F269,OFFSET(enemy_skill_triggers!$A$1,0,0,COUNTA(enemy_skill_triggers!$A:$A),MATCH(I$1,enemy_skill_triggers!$1:$1,0)-MATCH($F$1,enemy_skill_triggers!$1:$1,0)+1),MATCH(I$1,enemy_skill_triggers!$1:$1,0)-MATCH($F$1,enemy_skill_triggers!$1:$1,0)+1,FALSE)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9" s="48" t="str">
        <f ca="1">VLOOKUP($F269,OFFSET(enemy_skill_triggers!$A$1,0,0,COUNTA(enemy_skill_triggers!$A:$A),MATCH(J$1,enemy_skill_triggers!$1:$1,0)-MATCH($F$1,enemy_skill_triggers!$1:$1,0)+1),MATCH(J$1,enemy_skill_triggers!$1:$1,0)-MATCH($F$1,enemy_skill_triggers!$1:$1,0)+1,FALSE)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9" s="48" t="str">
        <f ca="1">VLOOKUP($F269,OFFSET(enemy_skill_triggers!$A$1,0,0,COUNTA(enemy_skill_triggers!$A:$A),MATCH(K$1,enemy_skill_triggers!$1:$1,0)-MATCH($F$1,enemy_skill_triggers!$1:$1,0)+1),MATCH(K$1,enemy_skill_triggers!$1:$1,0)-MATCH($F$1,enemy_skill_triggers!$1:$1,0)+1,FALSE)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9" s="48" t="str">
        <f ca="1">VLOOKUP($F269,OFFSET(enemy_skill_triggers!$A$1,0,0,COUNTA(enemy_skill_triggers!$A:$A),MATCH(L$1,enemy_skill_triggers!$1:$1,0)-MATCH($F$1,enemy_skill_triggers!$1:$1,0)+1),MATCH(L$1,enemy_skill_triggers!$1:$1,0)-MATCH($F$1,enemy_skill_triggers!$1:$1,0)+1,FALSE)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9" s="48">
        <f ca="1">VLOOKUP($F269,OFFSET(enemy_skill_triggers!$A$1,0,0,COUNTA(enemy_skill_triggers!$A:$A),MATCH(M$1,enemy_skill_triggers!$1:$1,0)-MATCH($F$1,enemy_skill_triggers!$1:$1,0)+1),MATCH(M$1,enemy_skill_triggers!$1:$1,0)-MATCH($F$1,enemy_skill_triggers!$1:$1,0)+1,FALSE)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9" s="48" t="str">
        <f ca="1">VLOOKUP($F269,OFFSET(enemy_skill_triggers!$A$1,0,0,COUNTA(enemy_skill_triggers!$A:$A),MATCH(N$1,enemy_skill_triggers!$1:$1,0)-MATCH($F$1,enemy_skill_triggers!$1:$1,0)+1),MATCH(N$1,enemy_skill_triggers!$1:$1,0)-MATCH($F$1,enemy_skill_triggers!$1:$1,0)+1,FALSE)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9" s="48">
        <f ca="1">VLOOKUP($F269,OFFSET(enemy_skill_triggers!$A$1,0,0,COUNTA(enemy_skill_triggers!$A:$A),MATCH(O$1,enemy_skill_triggers!$1:$1,0)-MATCH($F$1,enemy_skill_triggers!$1:$1,0)+1),MATCH(O$1,enemy_skill_triggers!$1:$1,0)-MATCH($F$1,enemy_skill_triggers!$1:$1,0)+1,FALSE)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9" s="47"/>
      <c r="Q269" s="47"/>
      <c r="R269" s="47"/>
    </row>
    <row r="270" spans="1:18" ht="21" customHeight="1" x14ac:dyDescent="0.15">
      <c r="A270" s="39" t="str">
        <f t="shared" si="8"/>
        <v>47003780_47003784</v>
      </c>
      <c r="B270" s="121">
        <v>47003780</v>
      </c>
      <c r="C270" s="121">
        <v>47003784</v>
      </c>
      <c r="D270" s="46" t="str">
        <f ca="1">VLOOKUP($C270,OFFSET(enemy_skills!$A$1,0,0,COUNTA(enemy_skills!$A:$A),MATCH(D$1,enemy_skills!$1:$1,0)-MATCH("enemy_skill_id",enemy_skills!$1:$1,0)+1),MATCH(D$1,enemy_skills!$1:$1,0)-MATCH("enemy_skill_id",enemy_skills!$1:$1,0)+1,FALSE)</f>
        <v>シュガー・ウォール</v>
      </c>
      <c r="E270" s="46" t="str">
        <f ca="1">VLOOKUP($C270,OFFSET(enemy_skills!$A$1,0,0,COUNTA(enemy_skills!$A:$A),MATCH(E$1,enemy_skills!$1:$1,0)-MATCH("enemy_skill_id",enemy_skills!$1:$1,0)+1),MATCH(E$1,enemy_skills!$1:$1,0)-MATCH("enemy_skill_id",enemy_skills!$1:$1,0)+1,FALSE)</f>
        <v>ハートパネル＆ハートボムパネルを吸収して攻撃+_x000D_自身の防御力UP</v>
      </c>
      <c r="F270" s="121">
        <v>47003784</v>
      </c>
      <c r="G270" s="48">
        <f ca="1">VLOOKUP($F270,OFFSET(enemy_skill_triggers!$A$1,0,0,COUNTA(enemy_skill_triggers!$A:$A),MATCH(G$1,enemy_skill_triggers!$1:$1,0)-MATCH($F$1,enemy_skill_triggers!$1:$1,0)+1),MATCH(G$1,enemy_skill_triggers!$1:$1,0)-MATCH($F$1,enemy_skill_triggers!$1:$1,0)+1,FALSE)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0" s="48">
        <f ca="1">VLOOKUP($F270,OFFSET(enemy_skill_triggers!$A$1,0,0,COUNTA(enemy_skill_triggers!$A:$A),MATCH(H$1,enemy_skill_triggers!$1:$1,0)-MATCH($F$1,enemy_skill_triggers!$1:$1,0)+1),MATCH(H$1,enemy_skill_triggers!$1:$1,0)-MATCH($F$1,enemy_skill_triggers!$1:$1,0)+1,FALSE)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70" s="48">
        <f ca="1">VLOOKUP($F270,OFFSET(enemy_skill_triggers!$A$1,0,0,COUNTA(enemy_skill_triggers!$A:$A),MATCH(I$1,enemy_skill_triggers!$1:$1,0)-MATCH($F$1,enemy_skill_triggers!$1:$1,0)+1),MATCH(I$1,enemy_skill_triggers!$1:$1,0)-MATCH($F$1,enemy_skill_triggers!$1:$1,0)+1,FALSE)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0" s="48">
        <f ca="1">VLOOKUP($F270,OFFSET(enemy_skill_triggers!$A$1,0,0,COUNTA(enemy_skill_triggers!$A:$A),MATCH(J$1,enemy_skill_triggers!$1:$1,0)-MATCH($F$1,enemy_skill_triggers!$1:$1,0)+1),MATCH(J$1,enemy_skill_triggers!$1:$1,0)-MATCH($F$1,enemy_skill_triggers!$1:$1,0)+1,FALSE)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70" s="48" t="str">
        <f ca="1">VLOOKUP($F270,OFFSET(enemy_skill_triggers!$A$1,0,0,COUNTA(enemy_skill_triggers!$A:$A),MATCH(K$1,enemy_skill_triggers!$1:$1,0)-MATCH($F$1,enemy_skill_triggers!$1:$1,0)+1),MATCH(K$1,enemy_skill_triggers!$1:$1,0)-MATCH($F$1,enemy_skill_triggers!$1:$1,0)+1,FALSE)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0" s="48">
        <f ca="1">VLOOKUP($F270,OFFSET(enemy_skill_triggers!$A$1,0,0,COUNTA(enemy_skill_triggers!$A:$A),MATCH(L$1,enemy_skill_triggers!$1:$1,0)-MATCH($F$1,enemy_skill_triggers!$1:$1,0)+1),MATCH(L$1,enemy_skill_triggers!$1:$1,0)-MATCH($F$1,enemy_skill_triggers!$1:$1,0)+1,FALSE)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0" s="48">
        <f ca="1">VLOOKUP($F270,OFFSET(enemy_skill_triggers!$A$1,0,0,COUNTA(enemy_skill_triggers!$A:$A),MATCH(M$1,enemy_skill_triggers!$1:$1,0)-MATCH($F$1,enemy_skill_triggers!$1:$1,0)+1),MATCH(M$1,enemy_skill_triggers!$1:$1,0)-MATCH($F$1,enemy_skill_triggers!$1:$1,0)+1,FALSE)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0" s="48" t="str">
        <f ca="1">VLOOKUP($F270,OFFSET(enemy_skill_triggers!$A$1,0,0,COUNTA(enemy_skill_triggers!$A:$A),MATCH(N$1,enemy_skill_triggers!$1:$1,0)-MATCH($F$1,enemy_skill_triggers!$1:$1,0)+1),MATCH(N$1,enemy_skill_triggers!$1:$1,0)-MATCH($F$1,enemy_skill_triggers!$1:$1,0)+1,FALSE)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0" s="48">
        <f ca="1">VLOOKUP($F270,OFFSET(enemy_skill_triggers!$A$1,0,0,COUNTA(enemy_skill_triggers!$A:$A),MATCH(O$1,enemy_skill_triggers!$1:$1,0)-MATCH($F$1,enemy_skill_triggers!$1:$1,0)+1),MATCH(O$1,enemy_skill_triggers!$1:$1,0)-MATCH($F$1,enemy_skill_triggers!$1:$1,0)+1,FALSE)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0" s="47"/>
      <c r="Q270" s="47"/>
      <c r="R270" s="47"/>
    </row>
    <row r="271" spans="1:18" ht="21" customHeight="1" x14ac:dyDescent="0.15">
      <c r="A271" s="39" t="str">
        <f t="shared" si="8"/>
        <v>47003780_47003785</v>
      </c>
      <c r="B271" s="121">
        <v>47003780</v>
      </c>
      <c r="C271" s="121">
        <v>47003785</v>
      </c>
      <c r="D271" s="46" t="str">
        <f ca="1">VLOOKUP($C271,OFFSET(enemy_skills!$A$1,0,0,COUNTA(enemy_skills!$A:$A),MATCH(D$1,enemy_skills!$1:$1,0)-MATCH("enemy_skill_id",enemy_skills!$1:$1,0)+1),MATCH(D$1,enemy_skills!$1:$1,0)-MATCH("enemy_skill_id",enemy_skills!$1:$1,0)+1,FALSE)</f>
        <v>パンプキンボムふぁいなる</v>
      </c>
      <c r="E271" s="46" t="str">
        <f ca="1">VLOOKUP($C271,OFFSET(enemy_skills!$A$1,0,0,COUNTA(enemy_skills!$A:$A),MATCH(E$1,enemy_skills!$1:$1,0)-MATCH("enemy_skill_id",enemy_skills!$1:$1,0)+1),MATCH(E$1,enemy_skills!$1:$1,0)-MATCH("enemy_skill_id",enemy_skills!$1:$1,0)+1,FALSE)</f>
        <v>ダメージパネルを12個生成</v>
      </c>
      <c r="F271" s="121">
        <v>47003785</v>
      </c>
      <c r="G271" s="48">
        <f ca="1">VLOOKUP($F271,OFFSET(enemy_skill_triggers!$A$1,0,0,COUNTA(enemy_skill_triggers!$A:$A),MATCH(G$1,enemy_skill_triggers!$1:$1,0)-MATCH($F$1,enemy_skill_triggers!$1:$1,0)+1),MATCH(G$1,enemy_skill_triggers!$1:$1,0)-MATCH($F$1,enemy_skill_triggers!$1:$1,0)+1,FALSE)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1" s="48">
        <f ca="1">VLOOKUP($F271,OFFSET(enemy_skill_triggers!$A$1,0,0,COUNTA(enemy_skill_triggers!$A:$A),MATCH(H$1,enemy_skill_triggers!$1:$1,0)-MATCH($F$1,enemy_skill_triggers!$1:$1,0)+1),MATCH(H$1,enemy_skill_triggers!$1:$1,0)-MATCH($F$1,enemy_skill_triggers!$1:$1,0)+1,FALSE)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71" s="48">
        <f ca="1">VLOOKUP($F271,OFFSET(enemy_skill_triggers!$A$1,0,0,COUNTA(enemy_skill_triggers!$A:$A),MATCH(I$1,enemy_skill_triggers!$1:$1,0)-MATCH($F$1,enemy_skill_triggers!$1:$1,0)+1),MATCH(I$1,enemy_skill_triggers!$1:$1,0)-MATCH($F$1,enemy_skill_triggers!$1:$1,0)+1,FALSE)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1" s="48">
        <f ca="1">VLOOKUP($F271,OFFSET(enemy_skill_triggers!$A$1,0,0,COUNTA(enemy_skill_triggers!$A:$A),MATCH(J$1,enemy_skill_triggers!$1:$1,0)-MATCH($F$1,enemy_skill_triggers!$1:$1,0)+1),MATCH(J$1,enemy_skill_triggers!$1:$1,0)-MATCH($F$1,enemy_skill_triggers!$1:$1,0)+1,FALSE)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71" s="48" t="str">
        <f ca="1">VLOOKUP($F271,OFFSET(enemy_skill_triggers!$A$1,0,0,COUNTA(enemy_skill_triggers!$A:$A),MATCH(K$1,enemy_skill_triggers!$1:$1,0)-MATCH($F$1,enemy_skill_triggers!$1:$1,0)+1),MATCH(K$1,enemy_skill_triggers!$1:$1,0)-MATCH($F$1,enemy_skill_triggers!$1:$1,0)+1,FALSE)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1" s="48">
        <f ca="1">VLOOKUP($F271,OFFSET(enemy_skill_triggers!$A$1,0,0,COUNTA(enemy_skill_triggers!$A:$A),MATCH(L$1,enemy_skill_triggers!$1:$1,0)-MATCH($F$1,enemy_skill_triggers!$1:$1,0)+1),MATCH(L$1,enemy_skill_triggers!$1:$1,0)-MATCH($F$1,enemy_skill_triggers!$1:$1,0)+1,FALSE)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1" s="48">
        <f ca="1">VLOOKUP($F271,OFFSET(enemy_skill_triggers!$A$1,0,0,COUNTA(enemy_skill_triggers!$A:$A),MATCH(M$1,enemy_skill_triggers!$1:$1,0)-MATCH($F$1,enemy_skill_triggers!$1:$1,0)+1),MATCH(M$1,enemy_skill_triggers!$1:$1,0)-MATCH($F$1,enemy_skill_triggers!$1:$1,0)+1,FALSE)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1" s="48" t="str">
        <f ca="1">VLOOKUP($F271,OFFSET(enemy_skill_triggers!$A$1,0,0,COUNTA(enemy_skill_triggers!$A:$A),MATCH(N$1,enemy_skill_triggers!$1:$1,0)-MATCH($F$1,enemy_skill_triggers!$1:$1,0)+1),MATCH(N$1,enemy_skill_triggers!$1:$1,0)-MATCH($F$1,enemy_skill_triggers!$1:$1,0)+1,FALSE)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1" s="48">
        <f ca="1">VLOOKUP($F271,OFFSET(enemy_skill_triggers!$A$1,0,0,COUNTA(enemy_skill_triggers!$A:$A),MATCH(O$1,enemy_skill_triggers!$1:$1,0)-MATCH($F$1,enemy_skill_triggers!$1:$1,0)+1),MATCH(O$1,enemy_skill_triggers!$1:$1,0)-MATCH($F$1,enemy_skill_triggers!$1:$1,0)+1,FALSE)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1" s="47"/>
      <c r="Q271" s="47"/>
      <c r="R271" s="47"/>
    </row>
    <row r="272" spans="1:18" ht="21" customHeight="1" x14ac:dyDescent="0.15">
      <c r="A272" s="39" t="str">
        <f t="shared" ref="A272" si="28">B272&amp;"_"&amp;C272</f>
        <v>47003780_47003786</v>
      </c>
      <c r="B272" s="121">
        <v>47003780</v>
      </c>
      <c r="C272" s="121">
        <v>47003786</v>
      </c>
      <c r="D272" s="46" t="str">
        <f ca="1">VLOOKUP($C272,OFFSET(enemy_skills!$A$1,0,0,COUNTA(enemy_skills!$A:$A),MATCH(D$1,enemy_skills!$1:$1,0)-MATCH("enemy_skill_id",enemy_skills!$1:$1,0)+1),MATCH(D$1,enemy_skills!$1:$1,0)-MATCH("enemy_skill_id",enemy_skills!$1:$1,0)+1,FALSE)</f>
        <v>ダメかぁ〜　せっかくたくさん集めたのになぁ〜</v>
      </c>
      <c r="E272" s="46" t="str">
        <f ca="1">VLOOKUP($C272,OFFSET(enemy_skills!$A$1,0,0,COUNTA(enemy_skills!$A:$A),MATCH(E$1,enemy_skills!$1:$1,0)-MATCH("enemy_skill_id",enemy_skills!$1:$1,0)+1),MATCH(E$1,enemy_skills!$1:$1,0)-MATCH("enemy_skill_id",enemy_skills!$1:$1,0)+1,FALSE)</f>
        <v>えっ、私にも分けてくれるの？　うん、ありがと…♪</v>
      </c>
      <c r="F272" s="121">
        <v>47003786</v>
      </c>
      <c r="G272" s="48">
        <f ca="1">VLOOKUP($F272,OFFSET(enemy_skill_triggers!$A$1,0,0,COUNTA(enemy_skill_triggers!$A:$A),MATCH(G$1,enemy_skill_triggers!$1:$1,0)-MATCH($F$1,enemy_skill_triggers!$1:$1,0)+1),MATCH(G$1,enemy_skill_triggers!$1:$1,0)-MATCH($F$1,enemy_skill_triggers!$1:$1,0)+1,FALSE)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2" s="48">
        <f ca="1">VLOOKUP($F272,OFFSET(enemy_skill_triggers!$A$1,0,0,COUNTA(enemy_skill_triggers!$A:$A),MATCH(H$1,enemy_skill_triggers!$1:$1,0)-MATCH($F$1,enemy_skill_triggers!$1:$1,0)+1),MATCH(H$1,enemy_skill_triggers!$1:$1,0)-MATCH($F$1,enemy_skill_triggers!$1:$1,0)+1,FALSE)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72" s="48">
        <f ca="1">VLOOKUP($F272,OFFSET(enemy_skill_triggers!$A$1,0,0,COUNTA(enemy_skill_triggers!$A:$A),MATCH(I$1,enemy_skill_triggers!$1:$1,0)-MATCH($F$1,enemy_skill_triggers!$1:$1,0)+1),MATCH(I$1,enemy_skill_triggers!$1:$1,0)-MATCH($F$1,enemy_skill_triggers!$1:$1,0)+1,FALSE)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2" s="48" t="str">
        <f ca="1">VLOOKUP($F272,OFFSET(enemy_skill_triggers!$A$1,0,0,COUNTA(enemy_skill_triggers!$A:$A),MATCH(J$1,enemy_skill_triggers!$1:$1,0)-MATCH($F$1,enemy_skill_triggers!$1:$1,0)+1),MATCH(J$1,enemy_skill_triggers!$1:$1,0)-MATCH($F$1,enemy_skill_triggers!$1:$1,0)+1,FALSE)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2" s="48" t="str">
        <f ca="1">VLOOKUP($F272,OFFSET(enemy_skill_triggers!$A$1,0,0,COUNTA(enemy_skill_triggers!$A:$A),MATCH(K$1,enemy_skill_triggers!$1:$1,0)-MATCH($F$1,enemy_skill_triggers!$1:$1,0)+1),MATCH(K$1,enemy_skill_triggers!$1:$1,0)-MATCH($F$1,enemy_skill_triggers!$1:$1,0)+1,FALSE)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2" s="48">
        <f ca="1">VLOOKUP($F272,OFFSET(enemy_skill_triggers!$A$1,0,0,COUNTA(enemy_skill_triggers!$A:$A),MATCH(L$1,enemy_skill_triggers!$1:$1,0)-MATCH($F$1,enemy_skill_triggers!$1:$1,0)+1),MATCH(L$1,enemy_skill_triggers!$1:$1,0)-MATCH($F$1,enemy_skill_triggers!$1:$1,0)+1,FALSE)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2" s="48">
        <f ca="1">VLOOKUP($F272,OFFSET(enemy_skill_triggers!$A$1,0,0,COUNTA(enemy_skill_triggers!$A:$A),MATCH(M$1,enemy_skill_triggers!$1:$1,0)-MATCH($F$1,enemy_skill_triggers!$1:$1,0)+1),MATCH(M$1,enemy_skill_triggers!$1:$1,0)-MATCH($F$1,enemy_skill_triggers!$1:$1,0)+1,FALSE)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2" s="48">
        <f ca="1">VLOOKUP($F272,OFFSET(enemy_skill_triggers!$A$1,0,0,COUNTA(enemy_skill_triggers!$A:$A),MATCH(N$1,enemy_skill_triggers!$1:$1,0)-MATCH($F$1,enemy_skill_triggers!$1:$1,0)+1),MATCH(N$1,enemy_skill_triggers!$1:$1,0)-MATCH($F$1,enemy_skill_triggers!$1:$1,0)+1,FALSE)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72" s="48">
        <f ca="1">VLOOKUP($F272,OFFSET(enemy_skill_triggers!$A$1,0,0,COUNTA(enemy_skill_triggers!$A:$A),MATCH(O$1,enemy_skill_triggers!$1:$1,0)-MATCH($F$1,enemy_skill_triggers!$1:$1,0)+1),MATCH(O$1,enemy_skill_triggers!$1:$1,0)-MATCH($F$1,enemy_skill_triggers!$1:$1,0)+1,FALSE)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2" s="47"/>
      <c r="Q272" s="47"/>
      <c r="R272" s="47"/>
    </row>
  </sheetData>
  <autoFilter ref="A1:R272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33"/>
  <sheetViews>
    <sheetView showGridLines="0" workbookViewId="0">
      <pane ySplit="1" topLeftCell="A2" activePane="bottomLeft" state="frozenSplit"/>
      <selection pane="bottomLeft" activeCell="F25" sqref="F25"/>
    </sheetView>
  </sheetViews>
  <sheetFormatPr baseColWidth="12" defaultColWidth="12.83203125" defaultRowHeight="40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40" customHeight="1" x14ac:dyDescent="0.15">
      <c r="A1" s="131" t="s">
        <v>78</v>
      </c>
      <c r="B1" s="131" t="s">
        <v>79</v>
      </c>
      <c r="C1" s="131" t="s">
        <v>80</v>
      </c>
      <c r="D1" s="131" t="s">
        <v>125</v>
      </c>
      <c r="E1" s="131" t="s">
        <v>81</v>
      </c>
      <c r="F1" s="131" t="s">
        <v>82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75</v>
      </c>
      <c r="AA1" s="41" t="s">
        <v>76</v>
      </c>
      <c r="AB1" s="41" t="s">
        <v>77</v>
      </c>
    </row>
    <row r="2" spans="1:28" ht="40" customHeight="1" x14ac:dyDescent="0.15">
      <c r="A2" s="47">
        <v>47003001</v>
      </c>
      <c r="B2" s="146" t="s">
        <v>447</v>
      </c>
      <c r="C2" s="50">
        <v>3</v>
      </c>
      <c r="D2" s="50" t="s">
        <v>126</v>
      </c>
      <c r="E2" s="51" t="s">
        <v>287</v>
      </c>
      <c r="F2" s="143" t="s">
        <v>578</v>
      </c>
      <c r="G2" s="130" t="str">
        <f t="shared" ref="G2:G54" si="0">IFERROR(LEFT(B2,FIND("],",B2)),B2)</f>
        <v>[effect:enemy_message, val1:1.5, val2:1.8]</v>
      </c>
      <c r="H2" s="64">
        <f t="shared" ref="H2:H54" si="1">FIND("effect:",G2)+7</f>
        <v>9</v>
      </c>
      <c r="I2" s="64">
        <f t="shared" ref="I2:I54" si="2">IFERROR(FIND(",",G2),LEN(G2))</f>
        <v>22</v>
      </c>
      <c r="J2" s="64" t="e">
        <f t="shared" ref="J2:J54" si="3">FIND("target:",G2)+7</f>
        <v>#VALUE!</v>
      </c>
      <c r="K2" s="64">
        <f t="shared" ref="K2:K54" si="4">FIND(",",G2,I2+1)</f>
        <v>32</v>
      </c>
      <c r="L2" s="64" t="str">
        <f>IFERROR(VLOOKUP(MID(G2,J2,K2-J2),[5]skilldef!$C:$D,2,FALSE),"-") &amp; " / " &amp; IFERROR(VLOOKUP(MID(G2,H2,I2-H2),[5]skilldef!$A:$B,2,FALSE),"-")</f>
        <v>- / -</v>
      </c>
      <c r="M2" s="64" t="str">
        <f t="shared" ref="M2:M54" si="5">IFERROR(RIGHT(B2,LEN(B2)-FIND("],",B2)-1),"none")</f>
        <v>[effect:enhance_unit, target:unit_demon, turn:-1, status:attack, val:0.25, calc:mul]</v>
      </c>
      <c r="N2" s="48" t="str">
        <f>IFERROR(LEFT(M2,FIND("],",M2)+S24),M2)</f>
        <v>[effect:enhance_unit, target:unit_demon, turn:-1, status:attack, val:0.25, calc:mul]</v>
      </c>
      <c r="O2" s="64">
        <f t="shared" ref="O2:O54" si="6">FIND("effect:",N2)+7</f>
        <v>9</v>
      </c>
      <c r="P2" s="64">
        <f t="shared" ref="P2:P54" si="7">IFERROR(FIND(",",N2),LEN(N2))</f>
        <v>21</v>
      </c>
      <c r="Q2" s="64">
        <f t="shared" ref="Q2:Q54" si="8">FIND("target:",N2)+7</f>
        <v>30</v>
      </c>
      <c r="R2" s="64">
        <f t="shared" ref="R2:R54" si="9">FIND(",",N2,P2+1)</f>
        <v>40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54" si="10">IFERROR(RIGHT(M2,LEN(M2)-FIND("],",M2)-1),"none")</f>
        <v>none</v>
      </c>
      <c r="U2" s="64" t="e">
        <f t="shared" ref="U2:U54" si="11">FIND("effect:",T2)+7</f>
        <v>#VALUE!</v>
      </c>
      <c r="V2" s="64">
        <f t="shared" ref="V2:V54" si="12">IFERROR(FIND(",",T2),LEN(T2))</f>
        <v>4</v>
      </c>
      <c r="W2" s="64" t="e">
        <f t="shared" ref="W2:W54" si="13">FIND("target:",T2)+7</f>
        <v>#VALUE!</v>
      </c>
      <c r="X2" s="64" t="e">
        <f t="shared" ref="X2:X54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40" customHeight="1" x14ac:dyDescent="0.15">
      <c r="A3" s="47">
        <v>47003002</v>
      </c>
      <c r="B3" s="146" t="s">
        <v>577</v>
      </c>
      <c r="C3" s="50">
        <v>3</v>
      </c>
      <c r="D3" s="50" t="s">
        <v>126</v>
      </c>
      <c r="E3" s="51" t="s">
        <v>288</v>
      </c>
      <c r="F3" s="51" t="s">
        <v>579</v>
      </c>
      <c r="G3" s="130" t="str">
        <f t="shared" si="0"/>
        <v>[effect:enemy_message, val1:1.5, val2:1.8]</v>
      </c>
      <c r="H3" s="64">
        <f t="shared" si="1"/>
        <v>9</v>
      </c>
      <c r="I3" s="64">
        <f t="shared" si="2"/>
        <v>22</v>
      </c>
      <c r="J3" s="64" t="e">
        <f t="shared" si="3"/>
        <v>#VALUE!</v>
      </c>
      <c r="K3" s="64">
        <f t="shared" si="4"/>
        <v>32</v>
      </c>
      <c r="L3" s="64" t="str">
        <f>IFERROR(VLOOKUP(MID(G3,J3,K3-J3),[5]skilldef!$C:$D,2,FALSE),"-") &amp; " / " &amp; IFERROR(VLOOKUP(MID(G3,H3,I3-H3),[5]skilldef!$A:$B,2,FALSE),"-")</f>
        <v>- / -</v>
      </c>
      <c r="M3" s="64" t="str">
        <f t="shared" si="5"/>
        <v>[effect:enhance_unit, target:unit_demon, turn:-1, status:attack, val:0.25, calc:mul]</v>
      </c>
      <c r="N3" s="48" t="str">
        <f>IFERROR(LEFT(M3,FIND("],",M3)+#REF!),M3)</f>
        <v>[effect:enhance_unit, target:unit_demon, turn:-1, status:attack, val:0.25, calc:mul]</v>
      </c>
      <c r="O3" s="64">
        <f t="shared" si="6"/>
        <v>9</v>
      </c>
      <c r="P3" s="64">
        <f t="shared" si="7"/>
        <v>21</v>
      </c>
      <c r="Q3" s="64">
        <f t="shared" si="8"/>
        <v>30</v>
      </c>
      <c r="R3" s="64">
        <f t="shared" si="9"/>
        <v>40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40" customHeight="1" x14ac:dyDescent="0.15">
      <c r="A4" s="47">
        <v>47003011</v>
      </c>
      <c r="B4" s="137" t="s">
        <v>448</v>
      </c>
      <c r="C4" s="124">
        <v>3</v>
      </c>
      <c r="D4" s="124" t="s">
        <v>126</v>
      </c>
      <c r="E4" s="51" t="s">
        <v>558</v>
      </c>
      <c r="F4" s="143" t="s">
        <v>459</v>
      </c>
      <c r="G4" s="130" t="str">
        <f t="shared" si="0"/>
        <v>[effect:crash_condition, target:unit_demon, turn:-1, val:-2, animation:crash_panel_reduce04]</v>
      </c>
      <c r="H4" s="64">
        <f t="shared" si="1"/>
        <v>9</v>
      </c>
      <c r="I4" s="64">
        <f t="shared" si="2"/>
        <v>24</v>
      </c>
      <c r="J4" s="64">
        <f t="shared" si="3"/>
        <v>33</v>
      </c>
      <c r="K4" s="64">
        <f t="shared" si="4"/>
        <v>43</v>
      </c>
      <c r="L4" s="64" t="str">
        <f>IFERROR(VLOOKUP(MID(G4,J4,K4-J4),[5]skilldef!$C:$D,2,FALSE),"-") &amp; " / " &amp; IFERROR(VLOOKUP(MID(G4,H4,I4-H4),[5]skilldef!$A:$B,2,FALSE),"-")</f>
        <v>- / -</v>
      </c>
      <c r="M4" s="64" t="str">
        <f t="shared" si="5"/>
        <v>none</v>
      </c>
      <c r="N4" s="48" t="str">
        <f>IFERROR(LEFT(M4,FIND("],",M4)+S32),M4)</f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40" customHeight="1" x14ac:dyDescent="0.15">
      <c r="A5" s="47">
        <v>47003013</v>
      </c>
      <c r="B5" s="47" t="s">
        <v>456</v>
      </c>
      <c r="C5" s="124">
        <v>3</v>
      </c>
      <c r="D5" s="124" t="s">
        <v>126</v>
      </c>
      <c r="E5" s="51" t="s">
        <v>553</v>
      </c>
      <c r="F5" s="51" t="s">
        <v>459</v>
      </c>
      <c r="G5" s="130" t="str">
        <f t="shared" si="0"/>
        <v>[effect:crash_condition, target:unit_demon, turn:-1, val:-2, animation:crash_panel_reduce04]</v>
      </c>
      <c r="H5" s="64">
        <f t="shared" si="1"/>
        <v>9</v>
      </c>
      <c r="I5" s="64">
        <f t="shared" si="2"/>
        <v>24</v>
      </c>
      <c r="J5" s="64">
        <f t="shared" si="3"/>
        <v>33</v>
      </c>
      <c r="K5" s="64">
        <f t="shared" si="4"/>
        <v>43</v>
      </c>
      <c r="L5" s="64" t="str">
        <f>IFERROR(VLOOKUP(MID(G5,J5,K5-J5),[5]skilldef!$C:$D,2,FALSE),"-") &amp; " / " &amp; IFERROR(VLOOKUP(MID(G5,H5,I5-H5),[5]skilldef!$A:$B,2,FALSE),"-")</f>
        <v>- / -</v>
      </c>
      <c r="M5" s="64" t="str">
        <f t="shared" si="5"/>
        <v>none</v>
      </c>
      <c r="N5" s="48" t="str">
        <f>IFERROR(LEFT(M5,FIND("],",M5)+S34),M5)</f>
        <v>none</v>
      </c>
      <c r="O5" s="64" t="e">
        <f t="shared" si="6"/>
        <v>#VALUE!</v>
      </c>
      <c r="P5" s="64">
        <f t="shared" si="7"/>
        <v>4</v>
      </c>
      <c r="Q5" s="64" t="e">
        <f t="shared" si="8"/>
        <v>#VALUE!</v>
      </c>
      <c r="R5" s="64" t="e">
        <f t="shared" si="9"/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40" customHeight="1" x14ac:dyDescent="0.15">
      <c r="A6" s="47">
        <v>47003014</v>
      </c>
      <c r="B6" s="47" t="s">
        <v>405</v>
      </c>
      <c r="C6" s="124">
        <v>3</v>
      </c>
      <c r="D6" s="124" t="s">
        <v>126</v>
      </c>
      <c r="E6" s="51" t="s">
        <v>554</v>
      </c>
      <c r="F6" s="51" t="s">
        <v>459</v>
      </c>
      <c r="G6" s="130" t="str">
        <f t="shared" si="0"/>
        <v>[effect:crash_condition, target:unit_demon, turn:-1, val:-2, animation:crash_panel_reduce04]</v>
      </c>
      <c r="H6" s="64">
        <f t="shared" si="1"/>
        <v>9</v>
      </c>
      <c r="I6" s="64">
        <f t="shared" si="2"/>
        <v>24</v>
      </c>
      <c r="J6" s="64">
        <f t="shared" si="3"/>
        <v>33</v>
      </c>
      <c r="K6" s="64">
        <f t="shared" si="4"/>
        <v>43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si="5"/>
        <v>none</v>
      </c>
      <c r="N6" s="48" t="str">
        <f>IFERROR(LEFT(M6,FIND("],",M6)+S35),M6)</f>
        <v>none</v>
      </c>
      <c r="O6" s="64" t="e">
        <f t="shared" si="6"/>
        <v>#VALUE!</v>
      </c>
      <c r="P6" s="64">
        <f t="shared" si="7"/>
        <v>4</v>
      </c>
      <c r="Q6" s="64" t="e">
        <f t="shared" si="8"/>
        <v>#VALUE!</v>
      </c>
      <c r="R6" s="64" t="e">
        <f t="shared" si="9"/>
        <v>#VALUE!</v>
      </c>
      <c r="S6" s="64" t="str">
        <f>IFERROR(VLOOKUP(MID(N6,Q6,R6-Q6),[5]skilldef!$C:$D,2,FALSE),"-") &amp; " / " &amp; IFERROR(VLOOKUP(MID(N6,O6,P6-O6),[5]skilldef!$A:$B,2,FALSE),"-")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40" customHeight="1" x14ac:dyDescent="0.15">
      <c r="A7" s="47">
        <v>47003021</v>
      </c>
      <c r="B7" s="137" t="s">
        <v>449</v>
      </c>
      <c r="C7" s="46">
        <v>3</v>
      </c>
      <c r="D7" s="46" t="s">
        <v>126</v>
      </c>
      <c r="E7" s="51" t="s">
        <v>555</v>
      </c>
      <c r="F7" s="143" t="s">
        <v>450</v>
      </c>
      <c r="G7" s="130" t="str">
        <f t="shared" si="0"/>
        <v>[effect:change_bomb_range, target:unit_demon, val:1.15, rate:1, turn:-1, animation:bomb_big]</v>
      </c>
      <c r="H7" s="64">
        <f t="shared" si="1"/>
        <v>9</v>
      </c>
      <c r="I7" s="64">
        <f t="shared" si="2"/>
        <v>26</v>
      </c>
      <c r="J7" s="64">
        <f t="shared" si="3"/>
        <v>35</v>
      </c>
      <c r="K7" s="64">
        <f t="shared" si="4"/>
        <v>45</v>
      </c>
      <c r="L7" s="64" t="str">
        <f>IFERROR(VLOOKUP(MID(G7,J7,K7-J7),[5]skilldef!$C:$D,2,FALSE),"-") &amp; " / " &amp; IFERROR(VLOOKUP(MID(G7,H7,I7-H7),[5]skilldef!$A:$B,2,FALSE),"-")</f>
        <v>- / -</v>
      </c>
      <c r="M7" s="64" t="str">
        <f t="shared" si="5"/>
        <v>none</v>
      </c>
      <c r="N7" s="48" t="str">
        <f>IFERROR(LEFT(M7,FIND("],",M7)+S32),M7)</f>
        <v>none</v>
      </c>
      <c r="O7" s="64" t="e">
        <f t="shared" si="6"/>
        <v>#VALUE!</v>
      </c>
      <c r="P7" s="64">
        <f t="shared" si="7"/>
        <v>4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40" customHeight="1" x14ac:dyDescent="0.15">
      <c r="A8" s="47">
        <v>47003023</v>
      </c>
      <c r="B8" s="47" t="s">
        <v>406</v>
      </c>
      <c r="C8" s="46">
        <v>3</v>
      </c>
      <c r="D8" s="46" t="s">
        <v>126</v>
      </c>
      <c r="E8" s="51" t="s">
        <v>556</v>
      </c>
      <c r="F8" s="51" t="s">
        <v>372</v>
      </c>
      <c r="G8" s="130" t="str">
        <f t="shared" si="0"/>
        <v>[effect:change_bomb_range, target:unit_demon, val:1.2, rate:1, turn:-1, animation:bomb_big]</v>
      </c>
      <c r="H8" s="64">
        <f t="shared" si="1"/>
        <v>9</v>
      </c>
      <c r="I8" s="64">
        <f t="shared" si="2"/>
        <v>26</v>
      </c>
      <c r="J8" s="64">
        <f t="shared" si="3"/>
        <v>35</v>
      </c>
      <c r="K8" s="64">
        <f t="shared" si="4"/>
        <v>45</v>
      </c>
      <c r="L8" s="64" t="str">
        <f>IFERROR(VLOOKUP(MID(G8,J8,K8-J8),[5]skilldef!$C:$D,2,FALSE),"-") &amp; " / " &amp; IFERROR(VLOOKUP(MID(G8,H8,I8-H8),[5]skilldef!$A:$B,2,FALSE),"-")</f>
        <v>- / -</v>
      </c>
      <c r="M8" s="64" t="str">
        <f t="shared" si="5"/>
        <v>none</v>
      </c>
      <c r="N8" s="48" t="str">
        <f>IFERROR(LEFT(M8,FIND("],",M8)+S35),M8)</f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40" customHeight="1" x14ac:dyDescent="0.15">
      <c r="A9" s="47">
        <v>47003024</v>
      </c>
      <c r="B9" s="47" t="s">
        <v>406</v>
      </c>
      <c r="C9" s="46">
        <v>3</v>
      </c>
      <c r="D9" s="46" t="s">
        <v>126</v>
      </c>
      <c r="E9" s="51" t="s">
        <v>557</v>
      </c>
      <c r="F9" s="51" t="s">
        <v>293</v>
      </c>
      <c r="G9" s="130" t="str">
        <f t="shared" si="0"/>
        <v>[effect:change_bomb_range, target:unit_demon, val:1.2, rate:1, turn:-1, animation:bomb_big]</v>
      </c>
      <c r="H9" s="64">
        <f t="shared" si="1"/>
        <v>9</v>
      </c>
      <c r="I9" s="64">
        <f t="shared" si="2"/>
        <v>26</v>
      </c>
      <c r="J9" s="64">
        <f t="shared" si="3"/>
        <v>35</v>
      </c>
      <c r="K9" s="64">
        <f t="shared" si="4"/>
        <v>45</v>
      </c>
      <c r="L9" s="64" t="str">
        <f>IFERROR(VLOOKUP(MID(G9,J9,K9-J9),[5]skilldef!$C:$D,2,FALSE),"-") &amp; " / " &amp; IFERROR(VLOOKUP(MID(G9,H9,I9-H9),[5]skilldef!$A:$B,2,FALSE),"-")</f>
        <v>- / -</v>
      </c>
      <c r="M9" s="64" t="str">
        <f t="shared" si="5"/>
        <v>none</v>
      </c>
      <c r="N9" s="48" t="str">
        <f>IFERROR(LEFT(M9,FIND("],",M9)+S37),M9)</f>
        <v>none</v>
      </c>
      <c r="O9" s="64" t="e">
        <f t="shared" si="6"/>
        <v>#VALUE!</v>
      </c>
      <c r="P9" s="64">
        <f t="shared" si="7"/>
        <v>4</v>
      </c>
      <c r="Q9" s="64" t="e">
        <f t="shared" si="8"/>
        <v>#VALUE!</v>
      </c>
      <c r="R9" s="64" t="e">
        <f t="shared" si="9"/>
        <v>#VALUE!</v>
      </c>
      <c r="S9" s="64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40" customHeight="1" x14ac:dyDescent="0.15">
      <c r="A10" s="47">
        <v>47003031</v>
      </c>
      <c r="B10" s="137" t="s">
        <v>452</v>
      </c>
      <c r="C10" s="125">
        <v>3</v>
      </c>
      <c r="D10" s="125" t="s">
        <v>126</v>
      </c>
      <c r="E10" s="51" t="s">
        <v>462</v>
      </c>
      <c r="F10" s="143" t="s">
        <v>607</v>
      </c>
      <c r="G10" s="130" t="str">
        <f t="shared" si="0"/>
        <v>[effect:sp_boost, target:unit_demon, val:6, animation:sp_boost_one03]</v>
      </c>
      <c r="H10" s="64">
        <f t="shared" si="1"/>
        <v>9</v>
      </c>
      <c r="I10" s="64">
        <f t="shared" si="2"/>
        <v>17</v>
      </c>
      <c r="J10" s="64">
        <f t="shared" si="3"/>
        <v>26</v>
      </c>
      <c r="K10" s="64">
        <f t="shared" si="4"/>
        <v>36</v>
      </c>
      <c r="L10" s="64" t="str">
        <f>IFERROR(VLOOKUP(MID(G10,J10,K10-J10),[5]skilldef!$C:$D,2,FALSE),"-") &amp; " / " &amp; IFERROR(VLOOKUP(MID(G10,H10,I10-H10),[5]skilldef!$A:$B,2,FALSE),"-")</f>
        <v>- / -</v>
      </c>
      <c r="M10" s="64" t="str">
        <f t="shared" si="5"/>
        <v>none</v>
      </c>
      <c r="N10" s="48" t="str">
        <f>IFERROR(LEFT(M10,FIND("],",M10)+#REF!),M10)</f>
        <v>none</v>
      </c>
      <c r="O10" s="64" t="e">
        <f t="shared" si="6"/>
        <v>#VALUE!</v>
      </c>
      <c r="P10" s="64">
        <f t="shared" si="7"/>
        <v>4</v>
      </c>
      <c r="Q10" s="64" t="e">
        <f t="shared" si="8"/>
        <v>#VALUE!</v>
      </c>
      <c r="R10" s="64" t="e">
        <f t="shared" si="9"/>
        <v>#VALUE!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40" customHeight="1" x14ac:dyDescent="0.15">
      <c r="A11" s="47">
        <v>47003032</v>
      </c>
      <c r="B11" s="47" t="s">
        <v>407</v>
      </c>
      <c r="C11" s="125">
        <v>3</v>
      </c>
      <c r="D11" s="125" t="s">
        <v>126</v>
      </c>
      <c r="E11" s="51" t="s">
        <v>295</v>
      </c>
      <c r="F11" s="51" t="s">
        <v>608</v>
      </c>
      <c r="G11" s="130" t="str">
        <f t="shared" si="0"/>
        <v>[effect:enemy_message, val1:1.5, val2:1.8]</v>
      </c>
      <c r="H11" s="64">
        <f t="shared" si="1"/>
        <v>9</v>
      </c>
      <c r="I11" s="64">
        <f t="shared" si="2"/>
        <v>22</v>
      </c>
      <c r="J11" s="64" t="e">
        <f t="shared" si="3"/>
        <v>#VALUE!</v>
      </c>
      <c r="K11" s="64">
        <f t="shared" si="4"/>
        <v>32</v>
      </c>
      <c r="L11" s="64" t="str">
        <f>IFERROR(VLOOKUP(MID(G11,J11,K11-J11),[5]skilldef!$C:$D,2,FALSE),"-") &amp; " / " &amp; IFERROR(VLOOKUP(MID(G11,H11,I11-H11),[5]skilldef!$A:$B,2,FALSE),"-")</f>
        <v>- / -</v>
      </c>
      <c r="M11" s="64" t="str">
        <f t="shared" si="5"/>
        <v>[effect:sp_boost, target:unit_all, val:6, animation:sp_boost_one03]</v>
      </c>
      <c r="N11" s="48" t="str">
        <f>IFERROR(LEFT(M11,FIND("],",M11)+#REF!),M11)</f>
        <v>[effect:sp_boost, target:unit_all, val:6, animation:sp_boost_one03]</v>
      </c>
      <c r="O11" s="64">
        <f t="shared" si="6"/>
        <v>9</v>
      </c>
      <c r="P11" s="64">
        <f t="shared" si="7"/>
        <v>17</v>
      </c>
      <c r="Q11" s="64">
        <f t="shared" si="8"/>
        <v>26</v>
      </c>
      <c r="R11" s="64">
        <f t="shared" si="9"/>
        <v>34</v>
      </c>
      <c r="S11" s="64" t="str">
        <f>IFERROR(VLOOKUP(MID(N11,Q11,R11-Q11),[5]skilldef!$C:$D,2,FALSE),"-") &amp; " / " &amp; IFERROR(VLOOKUP(MID(N11,O11,P11-O11),[5]skilldef!$A:$B,2,FALSE),"-")</f>
        <v>味方全体に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40" customHeight="1" x14ac:dyDescent="0.15">
      <c r="A12" s="47">
        <v>47003051</v>
      </c>
      <c r="B12" s="137" t="s">
        <v>266</v>
      </c>
      <c r="C12" s="50">
        <v>3</v>
      </c>
      <c r="D12" s="50" t="s">
        <v>126</v>
      </c>
      <c r="E12" s="51" t="s">
        <v>296</v>
      </c>
      <c r="F12" s="51" t="s">
        <v>297</v>
      </c>
      <c r="G12" s="130" t="str">
        <f t="shared" si="0"/>
        <v>[effect:enemy_message, val1:1.0, val2:1.8]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IFERROR(VLOOKUP(MID(G12,J12,K12-J12),[5]skilldef!$C:$D,2,FALSE),"-") &amp; " / " &amp; IFERROR(VLOOKUP(MID(G12,H12,I12-H12),[5]skilldef!$A:$B,2,FALSE),"-")</f>
        <v>- / -</v>
      </c>
      <c r="M12" s="64" t="str">
        <f t="shared" si="5"/>
        <v>[effect:fix_speed, target:myself, turn:1]</v>
      </c>
      <c r="N12" s="48" t="str">
        <f>IFERROR(LEFT(M12,FIND("],",M12)+#REF!),M12)</f>
        <v>[effect:fix_speed, target:myself, turn:1]</v>
      </c>
      <c r="O12" s="64">
        <f t="shared" si="6"/>
        <v>9</v>
      </c>
      <c r="P12" s="64">
        <f t="shared" si="7"/>
        <v>18</v>
      </c>
      <c r="Q12" s="64">
        <f t="shared" si="8"/>
        <v>27</v>
      </c>
      <c r="R12" s="64">
        <f t="shared" si="9"/>
        <v>33</v>
      </c>
      <c r="S12" s="64" t="str">
        <f>IFERROR(VLOOKUP(MID(N12,Q12,R12-Q12),[5]skilldef!$C:$D,2,FALSE),"-") &amp; " / " &amp; IFERROR(VLOOKUP(MID(N12,O12,P12-O12),[5]skilldef!$A:$B,2,FALSE),"-")</f>
        <v>自分自身に / 行動値設定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40" customHeight="1" x14ac:dyDescent="0.15">
      <c r="A13" s="47">
        <v>47003053</v>
      </c>
      <c r="B13" s="47" t="s">
        <v>279</v>
      </c>
      <c r="C13" s="50">
        <v>3</v>
      </c>
      <c r="D13" s="50" t="s">
        <v>126</v>
      </c>
      <c r="E13" s="51" t="s">
        <v>300</v>
      </c>
      <c r="F13" s="51" t="s">
        <v>301</v>
      </c>
      <c r="G13" s="130" t="str">
        <f t="shared" si="0"/>
        <v>[effect:rush, count:3, val:0.4]</v>
      </c>
      <c r="H13" s="64">
        <f t="shared" si="1"/>
        <v>9</v>
      </c>
      <c r="I13" s="64">
        <f t="shared" si="2"/>
        <v>13</v>
      </c>
      <c r="J13" s="64" t="e">
        <f t="shared" si="3"/>
        <v>#VALUE!</v>
      </c>
      <c r="K13" s="64">
        <f t="shared" si="4"/>
        <v>22</v>
      </c>
      <c r="L13" s="64" t="str">
        <f>IFERROR(VLOOKUP(MID(G13,J13,K13-J13),[5]skilldef!$C:$D,2,FALSE),"-") &amp; " / " &amp; IFERROR(VLOOKUP(MID(G13,H13,I13-H13),[5]skilldef!$A:$B,2,FALSE),"-")</f>
        <v>- / 連続攻撃</v>
      </c>
      <c r="M13" s="64" t="str">
        <f t="shared" si="5"/>
        <v>none</v>
      </c>
      <c r="N13" s="48" t="str">
        <f>IFERROR(LEFT(M13,FIND("],",M13)+#REF!),M13)</f>
        <v>none</v>
      </c>
      <c r="O13" s="64" t="e">
        <f t="shared" si="6"/>
        <v>#VALUE!</v>
      </c>
      <c r="P13" s="64">
        <f t="shared" si="7"/>
        <v>4</v>
      </c>
      <c r="Q13" s="64" t="e">
        <f t="shared" si="8"/>
        <v>#VALUE!</v>
      </c>
      <c r="R13" s="64" t="e">
        <f t="shared" si="9"/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40" customHeight="1" x14ac:dyDescent="0.15">
      <c r="A14" s="47">
        <v>47003054</v>
      </c>
      <c r="B14" s="137" t="s">
        <v>425</v>
      </c>
      <c r="C14" s="50">
        <v>3</v>
      </c>
      <c r="D14" s="50" t="s">
        <v>126</v>
      </c>
      <c r="E14" s="51" t="s">
        <v>402</v>
      </c>
      <c r="F14" s="143" t="s">
        <v>339</v>
      </c>
      <c r="G14" s="130" t="str">
        <f t="shared" si="0"/>
        <v>[effect:enemy_message, val1:1.3, val2:1.8]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32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si="5"/>
        <v>[effect:break_attack_fix, target:unit_one, val:100, lowest_val:3000, count:-1, color:yellow, block01:block_yellow],[effect:suicide, target:myself, val:1, dead_type:escape]</v>
      </c>
      <c r="N14" s="48" t="str">
        <f>IFERROR(LEFT(M14,FIND("],",M14)+#REF!),M14)</f>
        <v>[effect:break_attack_fix, target:unit_one, val:100, lowest_val:3000, count:-1, color:yellow, block01:block_yellow],[effect:suicide, target:myself, val:1, dead_type:escape]</v>
      </c>
      <c r="O14" s="64">
        <f t="shared" si="6"/>
        <v>9</v>
      </c>
      <c r="P14" s="64">
        <f t="shared" si="7"/>
        <v>25</v>
      </c>
      <c r="Q14" s="64">
        <f t="shared" si="8"/>
        <v>34</v>
      </c>
      <c r="R14" s="64">
        <f t="shared" si="9"/>
        <v>42</v>
      </c>
      <c r="S14" s="64" t="str">
        <f>IFERROR(VLOOKUP(MID(N14,Q14,R14-Q14),[5]skilldef!$C:$D,2,FALSE),"-") &amp; " / " &amp; IFERROR(VLOOKUP(MID(N14,O14,P14-O14),[5]skilldef!$A:$B,2,FALSE),"-")</f>
        <v>味方単体に / -</v>
      </c>
      <c r="T14" s="48" t="str">
        <f t="shared" si="10"/>
        <v>[effect:suicide, target:myself, val:1, dead_type:escape]</v>
      </c>
      <c r="U14" s="64">
        <f t="shared" si="11"/>
        <v>9</v>
      </c>
      <c r="V14" s="64">
        <f t="shared" si="12"/>
        <v>16</v>
      </c>
      <c r="W14" s="64">
        <f t="shared" si="13"/>
        <v>25</v>
      </c>
      <c r="X14" s="64">
        <f t="shared" si="14"/>
        <v>31</v>
      </c>
      <c r="Y14" s="64" t="str">
        <f>IFERROR(VLOOKUP(MID(T14,W14,X14-W14),[5]skilldef!$C:$D,2,FALSE),"-") &amp; " / " &amp; IFERROR(VLOOKUP(MID(T14,U14,V14-U14),[5]skilldef!$A:$B,2,FALSE),"-")</f>
        <v>自分自身に / -</v>
      </c>
      <c r="Z14" s="50"/>
      <c r="AA14" s="52"/>
      <c r="AB14" s="50"/>
    </row>
    <row r="15" spans="1:28" ht="40" customHeight="1" x14ac:dyDescent="0.15">
      <c r="A15" s="47">
        <v>47003055</v>
      </c>
      <c r="B15" s="47" t="s">
        <v>492</v>
      </c>
      <c r="C15" s="50">
        <v>3</v>
      </c>
      <c r="D15" s="50" t="s">
        <v>126</v>
      </c>
      <c r="E15" s="51" t="s">
        <v>302</v>
      </c>
      <c r="F15" s="51" t="s">
        <v>474</v>
      </c>
      <c r="G15" s="130" t="str">
        <f t="shared" si="0"/>
        <v>[effect:enemy_message, val1:2.0, val2:1.8]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32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5"/>
        <v>[effect:change_panel_ratio, turn:-1, block_type:yellow, val:0, animation:block_incidence04],[effect:fix_speed, target:myself, turn:1]</v>
      </c>
      <c r="N15" s="48" t="str">
        <f>IFERROR(LEFT(M15,FIND("],",M15)+#REF!),M15)</f>
        <v>[effect:change_panel_ratio, turn:-1, block_type:yellow, val:0, animation:block_incidence04],[effect:fix_speed, target:myself, turn:1]</v>
      </c>
      <c r="O15" s="64">
        <f t="shared" si="6"/>
        <v>9</v>
      </c>
      <c r="P15" s="64">
        <f t="shared" si="7"/>
        <v>27</v>
      </c>
      <c r="Q15" s="64">
        <f t="shared" si="8"/>
        <v>119</v>
      </c>
      <c r="R15" s="64">
        <f t="shared" si="9"/>
        <v>36</v>
      </c>
      <c r="S15" s="64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[effect:fix_speed, target:myself, turn:1]</v>
      </c>
      <c r="U15" s="64">
        <f t="shared" si="11"/>
        <v>9</v>
      </c>
      <c r="V15" s="64">
        <f t="shared" si="12"/>
        <v>18</v>
      </c>
      <c r="W15" s="64">
        <f t="shared" si="13"/>
        <v>27</v>
      </c>
      <c r="X15" s="64">
        <f t="shared" si="14"/>
        <v>33</v>
      </c>
      <c r="Y15" s="64" t="str">
        <f>IFERROR(VLOOKUP(MID(T15,W15,X15-W15),[5]skilldef!$C:$D,2,FALSE),"-") &amp; " / " &amp; IFERROR(VLOOKUP(MID(T15,U15,V15-U15),[5]skilldef!$A:$B,2,FALSE),"-")</f>
        <v>自分自身に / 行動値設定</v>
      </c>
      <c r="Z15" s="50"/>
      <c r="AA15" s="52"/>
      <c r="AB15" s="50"/>
    </row>
    <row r="16" spans="1:28" ht="40" customHeight="1" x14ac:dyDescent="0.15">
      <c r="A16" s="47">
        <v>47003056</v>
      </c>
      <c r="B16" s="47" t="s">
        <v>493</v>
      </c>
      <c r="C16" s="50">
        <v>3</v>
      </c>
      <c r="D16" s="50" t="s">
        <v>126</v>
      </c>
      <c r="E16" s="51" t="s">
        <v>304</v>
      </c>
      <c r="F16" s="51" t="s">
        <v>474</v>
      </c>
      <c r="G16" s="130" t="str">
        <f t="shared" si="0"/>
        <v>[effect:enemy_message, val1:2.0, val2:1.8]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>
        <f t="shared" si="4"/>
        <v>32</v>
      </c>
      <c r="L16" s="64" t="str">
        <f>IFERROR(VLOOKUP(MID(G16,J16,K16-J16),[5]skilldef!$C:$D,2,FALSE),"-") &amp; " / " &amp; IFERROR(VLOOKUP(MID(G16,H16,I16-H16),[5]skilldef!$A:$B,2,FALSE),"-")</f>
        <v>- / -</v>
      </c>
      <c r="M16" s="64" t="str">
        <f t="shared" si="5"/>
        <v>[effect:change_panel_ratio, turn:-1, block_type:yellow, val:0, animation:block_incidence04],[effect:fix_speed, target:myself, turn:1]</v>
      </c>
      <c r="N16" s="48" t="str">
        <f>IFERROR(LEFT(M16,FIND("],",M16)+#REF!),M16)</f>
        <v>[effect:change_panel_ratio, turn:-1, block_type:yellow, val:0, animation:block_incidence04],[effect:fix_speed, target:myself, turn:1]</v>
      </c>
      <c r="O16" s="64">
        <f t="shared" si="6"/>
        <v>9</v>
      </c>
      <c r="P16" s="64">
        <f t="shared" si="7"/>
        <v>27</v>
      </c>
      <c r="Q16" s="64">
        <f t="shared" si="8"/>
        <v>119</v>
      </c>
      <c r="R16" s="64">
        <f t="shared" si="9"/>
        <v>36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[effect:fix_speed, target:myself, turn:1]</v>
      </c>
      <c r="U16" s="64">
        <f t="shared" si="11"/>
        <v>9</v>
      </c>
      <c r="V16" s="64">
        <f t="shared" si="12"/>
        <v>18</v>
      </c>
      <c r="W16" s="64">
        <f t="shared" si="13"/>
        <v>27</v>
      </c>
      <c r="X16" s="64">
        <f t="shared" si="14"/>
        <v>33</v>
      </c>
      <c r="Y16" s="64" t="str">
        <f>IFERROR(VLOOKUP(MID(T16,W16,X16-W16),[5]skilldef!$C:$D,2,FALSE),"-") &amp; " / " &amp; IFERROR(VLOOKUP(MID(T16,U16,V16-U16),[5]skilldef!$A:$B,2,FALSE),"-")</f>
        <v>自分自身に / 行動値設定</v>
      </c>
      <c r="Z16" s="50"/>
      <c r="AA16" s="52"/>
      <c r="AB16" s="50"/>
    </row>
    <row r="17" spans="1:28" ht="40" customHeight="1" x14ac:dyDescent="0.15">
      <c r="A17" s="47">
        <v>47003057</v>
      </c>
      <c r="B17" s="47" t="s">
        <v>494</v>
      </c>
      <c r="C17" s="50">
        <v>3</v>
      </c>
      <c r="D17" s="50" t="s">
        <v>126</v>
      </c>
      <c r="E17" s="51" t="s">
        <v>305</v>
      </c>
      <c r="F17" s="51" t="s">
        <v>474</v>
      </c>
      <c r="G17" s="130" t="str">
        <f t="shared" si="0"/>
        <v>[effect:enemy_message, val1:2.0, val2:1.8]</v>
      </c>
      <c r="H17" s="64">
        <f t="shared" si="1"/>
        <v>9</v>
      </c>
      <c r="I17" s="64">
        <f t="shared" si="2"/>
        <v>22</v>
      </c>
      <c r="J17" s="64" t="e">
        <f t="shared" si="3"/>
        <v>#VALUE!</v>
      </c>
      <c r="K17" s="64">
        <f t="shared" si="4"/>
        <v>32</v>
      </c>
      <c r="L17" s="64" t="str">
        <f>IFERROR(VLOOKUP(MID(G17,J17,K17-J17),[5]skilldef!$C:$D,2,FALSE),"-") &amp; " / " &amp; IFERROR(VLOOKUP(MID(G17,H17,I17-H17),[5]skilldef!$A:$B,2,FALSE),"-")</f>
        <v>- / -</v>
      </c>
      <c r="M17" s="64" t="str">
        <f t="shared" si="5"/>
        <v>[effect:change_panel_ratio, turn:-1, block_type:yellow, val:0, animation:block_incidence04],[effect:fix_speed, target:myself, turn:1]</v>
      </c>
      <c r="N17" s="48" t="str">
        <f>IFERROR(LEFT(M17,FIND("],",M17)+#REF!),M17)</f>
        <v>[effect:change_panel_ratio, turn:-1, block_type:yellow, val:0, animation:block_incidence04],[effect:fix_speed, target:myself, turn:1]</v>
      </c>
      <c r="O17" s="64">
        <f t="shared" si="6"/>
        <v>9</v>
      </c>
      <c r="P17" s="64">
        <f t="shared" si="7"/>
        <v>27</v>
      </c>
      <c r="Q17" s="64">
        <f t="shared" si="8"/>
        <v>119</v>
      </c>
      <c r="R17" s="64">
        <f t="shared" si="9"/>
        <v>36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si="10"/>
        <v>[effect:fix_speed, target:myself, turn:1]</v>
      </c>
      <c r="U17" s="64">
        <f t="shared" si="11"/>
        <v>9</v>
      </c>
      <c r="V17" s="64">
        <f t="shared" si="12"/>
        <v>18</v>
      </c>
      <c r="W17" s="64">
        <f t="shared" si="13"/>
        <v>27</v>
      </c>
      <c r="X17" s="64">
        <f t="shared" si="14"/>
        <v>33</v>
      </c>
      <c r="Y17" s="64" t="str">
        <f>IFERROR(VLOOKUP(MID(T17,W17,X17-W17),[5]skilldef!$C:$D,2,FALSE),"-") &amp; " / " &amp; IFERROR(VLOOKUP(MID(T17,U17,V17-U17),[5]skilldef!$A:$B,2,FALSE),"-")</f>
        <v>自分自身に / 行動値設定</v>
      </c>
      <c r="Z17" s="50"/>
      <c r="AA17" s="52"/>
      <c r="AB17" s="50"/>
    </row>
    <row r="18" spans="1:28" ht="40" customHeight="1" x14ac:dyDescent="0.15">
      <c r="A18" s="47">
        <v>47003061</v>
      </c>
      <c r="B18" s="137" t="s">
        <v>413</v>
      </c>
      <c r="C18" s="126">
        <v>3</v>
      </c>
      <c r="D18" s="126" t="s">
        <v>126</v>
      </c>
      <c r="E18" s="51" t="s">
        <v>306</v>
      </c>
      <c r="F18" s="51" t="s">
        <v>307</v>
      </c>
      <c r="G18" s="130" t="str">
        <f t="shared" si="0"/>
        <v>[effect:enemy_message, val1:1.3, val2:1.8]</v>
      </c>
      <c r="H18" s="64">
        <f t="shared" si="1"/>
        <v>9</v>
      </c>
      <c r="I18" s="64">
        <f t="shared" si="2"/>
        <v>22</v>
      </c>
      <c r="J18" s="64" t="e">
        <f t="shared" si="3"/>
        <v>#VALUE!</v>
      </c>
      <c r="K18" s="64">
        <f t="shared" si="4"/>
        <v>32</v>
      </c>
      <c r="L18" s="64" t="str">
        <f>IFERROR(VLOOKUP(MID(G18,J18,K18-J18),[5]skilldef!$C:$D,2,FALSE),"-") &amp; " / " &amp; IFERROR(VLOOKUP(MID(G18,H18,I18-H18),[5]skilldef!$A:$B,2,FALSE),"-")</f>
        <v>- / -</v>
      </c>
      <c r="M18" s="64" t="str">
        <f t="shared" si="5"/>
        <v>[effect:fix_speed, target:myself, turn:2]</v>
      </c>
      <c r="N18" s="48" t="str">
        <f>IFERROR(LEFT(M18,FIND("],",M18)+#REF!),M18)</f>
        <v>[effect:fix_speed, target:myself, turn:2]</v>
      </c>
      <c r="O18" s="64">
        <f t="shared" si="6"/>
        <v>9</v>
      </c>
      <c r="P18" s="64">
        <f t="shared" si="7"/>
        <v>18</v>
      </c>
      <c r="Q18" s="64">
        <f t="shared" si="8"/>
        <v>27</v>
      </c>
      <c r="R18" s="64">
        <f t="shared" si="9"/>
        <v>33</v>
      </c>
      <c r="S18" s="64" t="str">
        <f>IFERROR(VLOOKUP(MID(N18,Q18,R18-Q18),[5]skilldef!$C:$D,2,FALSE),"-") &amp; " / " &amp; IFERROR(VLOOKUP(MID(N18,O18,P18-O18),[5]skilldef!$A:$B,2,FALSE),"-")</f>
        <v>自分自身に / 行動値設定</v>
      </c>
      <c r="T18" s="48" t="str">
        <f t="shared" si="10"/>
        <v>none</v>
      </c>
      <c r="U18" s="64" t="e">
        <f t="shared" si="11"/>
        <v>#VALUE!</v>
      </c>
      <c r="V18" s="64">
        <f t="shared" si="12"/>
        <v>4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40" customHeight="1" x14ac:dyDescent="0.15">
      <c r="A19" s="47">
        <v>47003063</v>
      </c>
      <c r="B19" s="47" t="s">
        <v>279</v>
      </c>
      <c r="C19" s="126">
        <v>3</v>
      </c>
      <c r="D19" s="126" t="s">
        <v>126</v>
      </c>
      <c r="E19" s="51" t="s">
        <v>309</v>
      </c>
      <c r="F19" s="51" t="s">
        <v>301</v>
      </c>
      <c r="G19" s="130" t="str">
        <f t="shared" si="0"/>
        <v>[effect:rush, count:3, val:0.4]</v>
      </c>
      <c r="H19" s="64">
        <f t="shared" si="1"/>
        <v>9</v>
      </c>
      <c r="I19" s="64">
        <f t="shared" si="2"/>
        <v>13</v>
      </c>
      <c r="J19" s="64" t="e">
        <f t="shared" si="3"/>
        <v>#VALUE!</v>
      </c>
      <c r="K19" s="64">
        <f t="shared" si="4"/>
        <v>22</v>
      </c>
      <c r="L19" s="64" t="str">
        <f>IFERROR(VLOOKUP(MID(G19,J19,K19-J19),[5]skilldef!$C:$D,2,FALSE),"-") &amp; " / " &amp; IFERROR(VLOOKUP(MID(G19,H19,I19-H19),[5]skilldef!$A:$B,2,FALSE),"-")</f>
        <v>- / 連続攻撃</v>
      </c>
      <c r="M19" s="64" t="str">
        <f t="shared" si="5"/>
        <v>none</v>
      </c>
      <c r="N19" s="48" t="str">
        <f>IFERROR(LEFT(M19,FIND("],",M19)+#REF!),M19)</f>
        <v>none</v>
      </c>
      <c r="O19" s="64" t="e">
        <f t="shared" si="6"/>
        <v>#VALUE!</v>
      </c>
      <c r="P19" s="64">
        <f t="shared" si="7"/>
        <v>4</v>
      </c>
      <c r="Q19" s="64" t="e">
        <f t="shared" si="8"/>
        <v>#VALUE!</v>
      </c>
      <c r="R19" s="64" t="e">
        <f t="shared" si="9"/>
        <v>#VALUE!</v>
      </c>
      <c r="S19" s="64" t="str">
        <f>IFERROR(VLOOKUP(MID(N19,Q19,R19-Q19),[5]skilldef!$C:$D,2,FALSE),"-") &amp; " / " &amp; IFERROR(VLOOKUP(MID(N19,O19,P19-O19),[5]skilldef!$A:$B,2,FALSE),"-")</f>
        <v>- / -</v>
      </c>
      <c r="T19" s="48" t="str">
        <f t="shared" si="10"/>
        <v>none</v>
      </c>
      <c r="U19" s="64" t="e">
        <f t="shared" si="11"/>
        <v>#VALUE!</v>
      </c>
      <c r="V19" s="64">
        <f t="shared" si="12"/>
        <v>4</v>
      </c>
      <c r="W19" s="64" t="e">
        <f t="shared" si="13"/>
        <v>#VALUE!</v>
      </c>
      <c r="X19" s="64" t="e">
        <f t="shared" si="14"/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40" customHeight="1" x14ac:dyDescent="0.15">
      <c r="A20" s="47">
        <v>47003064</v>
      </c>
      <c r="B20" s="137" t="s">
        <v>412</v>
      </c>
      <c r="C20" s="126">
        <v>3</v>
      </c>
      <c r="D20" s="126" t="s">
        <v>126</v>
      </c>
      <c r="E20" s="51" t="s">
        <v>310</v>
      </c>
      <c r="F20" s="51" t="s">
        <v>311</v>
      </c>
      <c r="G20" s="130" t="str">
        <f t="shared" si="0"/>
        <v>[effect:critical, val:1.5, animation:enemy_critical]</v>
      </c>
      <c r="H20" s="64">
        <f t="shared" si="1"/>
        <v>9</v>
      </c>
      <c r="I20" s="64">
        <f t="shared" si="2"/>
        <v>17</v>
      </c>
      <c r="J20" s="64" t="e">
        <f t="shared" si="3"/>
        <v>#VALUE!</v>
      </c>
      <c r="K20" s="64">
        <f t="shared" si="4"/>
        <v>26</v>
      </c>
      <c r="L20" s="64" t="str">
        <f>IFERROR(VLOOKUP(MID(G20,J20,K20-J20),[5]skilldef!$C:$D,2,FALSE),"-") &amp; " / " &amp; IFERROR(VLOOKUP(MID(G20,H20,I20-H20),[5]skilldef!$A:$B,2,FALSE),"-")</f>
        <v>- / 大攻撃</v>
      </c>
      <c r="M20" s="64" t="str">
        <f t="shared" si="5"/>
        <v>[effect:fix_speed, target:myself, turn:1]</v>
      </c>
      <c r="N20" s="48" t="str">
        <f>IFERROR(LEFT(M20,FIND("],",M20)+S44),M20)</f>
        <v>[effect:fix_speed, target:myself, turn:1]</v>
      </c>
      <c r="O20" s="64">
        <f t="shared" si="6"/>
        <v>9</v>
      </c>
      <c r="P20" s="64">
        <f t="shared" si="7"/>
        <v>18</v>
      </c>
      <c r="Q20" s="64">
        <f t="shared" si="8"/>
        <v>27</v>
      </c>
      <c r="R20" s="64">
        <f t="shared" si="9"/>
        <v>33</v>
      </c>
      <c r="S20" s="64" t="str">
        <f>IFERROR(VLOOKUP(MID(N20,Q20,R20-Q20),[5]skilldef!$C:$D,2,FALSE),"-") &amp; " / " &amp; IFERROR(VLOOKUP(MID(N20,O20,P20-O20),[5]skilldef!$A:$B,2,FALSE),"-")</f>
        <v>自分自身に / 行動値設定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40" customHeight="1" x14ac:dyDescent="0.15">
      <c r="A21" s="47">
        <v>47003065</v>
      </c>
      <c r="B21" s="47" t="s">
        <v>495</v>
      </c>
      <c r="C21" s="126">
        <v>3</v>
      </c>
      <c r="D21" s="126" t="s">
        <v>126</v>
      </c>
      <c r="E21" s="51" t="s">
        <v>312</v>
      </c>
      <c r="F21" s="51" t="s">
        <v>474</v>
      </c>
      <c r="G21" s="130" t="str">
        <f t="shared" si="0"/>
        <v>[effect:enemy_message, val1:2.0, val2:1.8]</v>
      </c>
      <c r="H21" s="64">
        <f t="shared" si="1"/>
        <v>9</v>
      </c>
      <c r="I21" s="64">
        <f t="shared" si="2"/>
        <v>22</v>
      </c>
      <c r="J21" s="64" t="e">
        <f t="shared" si="3"/>
        <v>#VALUE!</v>
      </c>
      <c r="K21" s="64">
        <f t="shared" si="4"/>
        <v>32</v>
      </c>
      <c r="L21" s="64" t="str">
        <f>IFERROR(VLOOKUP(MID(G21,J21,K21-J21),[5]skilldef!$C:$D,2,FALSE),"-") &amp; " / " &amp; IFERROR(VLOOKUP(MID(G21,H21,I21-H21),[5]skilldef!$A:$B,2,FALSE),"-")</f>
        <v>- / -</v>
      </c>
      <c r="M21" s="64" t="str">
        <f t="shared" si="5"/>
        <v>[effect:change_panel_ratio, turn:-1, block_type:yellow, val:0, animation:block_incidence04],[effect:fix_speed, target:myself, turn:1]</v>
      </c>
      <c r="N21" s="48" t="str">
        <f>IFERROR(LEFT(M21,FIND("],",M21)+#REF!),M21)</f>
        <v>[effect:change_panel_ratio, turn:-1, block_type:yellow, val:0, animation:block_incidence04],[effect:fix_speed, target:myself, turn:1]</v>
      </c>
      <c r="O21" s="64">
        <f t="shared" si="6"/>
        <v>9</v>
      </c>
      <c r="P21" s="64">
        <f t="shared" si="7"/>
        <v>27</v>
      </c>
      <c r="Q21" s="64">
        <f t="shared" si="8"/>
        <v>119</v>
      </c>
      <c r="R21" s="64">
        <f t="shared" si="9"/>
        <v>36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si="10"/>
        <v>[effect:fix_speed, target:myself, turn:1]</v>
      </c>
      <c r="U21" s="64">
        <f t="shared" si="11"/>
        <v>9</v>
      </c>
      <c r="V21" s="64">
        <f t="shared" si="12"/>
        <v>18</v>
      </c>
      <c r="W21" s="64">
        <f t="shared" si="13"/>
        <v>27</v>
      </c>
      <c r="X21" s="64">
        <f t="shared" si="14"/>
        <v>33</v>
      </c>
      <c r="Y21" s="64" t="str">
        <f>IFERROR(VLOOKUP(MID(T21,W21,X21-W21),[5]skilldef!$C:$D,2,FALSE),"-") &amp; " / " &amp; IFERROR(VLOOKUP(MID(T21,U21,V21-U21),[5]skilldef!$A:$B,2,FALSE),"-")</f>
        <v>自分自身に / 行動値設定</v>
      </c>
      <c r="Z21" s="50"/>
      <c r="AA21" s="52"/>
      <c r="AB21" s="50"/>
    </row>
    <row r="22" spans="1:28" ht="40" customHeight="1" x14ac:dyDescent="0.15">
      <c r="A22" s="47">
        <v>47003066</v>
      </c>
      <c r="B22" s="47" t="s">
        <v>496</v>
      </c>
      <c r="C22" s="126">
        <v>3</v>
      </c>
      <c r="D22" s="126" t="s">
        <v>126</v>
      </c>
      <c r="E22" s="51" t="s">
        <v>313</v>
      </c>
      <c r="F22" s="51" t="s">
        <v>474</v>
      </c>
      <c r="G22" s="130" t="str">
        <f t="shared" si="0"/>
        <v>[effect:enemy_message, val1:2.0, val2:1.8]</v>
      </c>
      <c r="H22" s="64">
        <f t="shared" si="1"/>
        <v>9</v>
      </c>
      <c r="I22" s="64">
        <f t="shared" si="2"/>
        <v>22</v>
      </c>
      <c r="J22" s="64" t="e">
        <f t="shared" si="3"/>
        <v>#VALUE!</v>
      </c>
      <c r="K22" s="64">
        <f t="shared" si="4"/>
        <v>32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 t="shared" si="5"/>
        <v>[effect:change_panel_ratio, turn:-1, block_type:yellow, val:0, animation:block_incidence04],[effect:fix_speed, target:myself, turn:1]</v>
      </c>
      <c r="N22" s="48" t="str">
        <f>IFERROR(LEFT(M22,FIND("],",M22)+#REF!),M22)</f>
        <v>[effect:change_panel_ratio, turn:-1, block_type:yellow, val:0, animation:block_incidence04],[effect:fix_speed, target:myself, turn:1]</v>
      </c>
      <c r="O22" s="64">
        <f t="shared" si="6"/>
        <v>9</v>
      </c>
      <c r="P22" s="64">
        <f t="shared" si="7"/>
        <v>27</v>
      </c>
      <c r="Q22" s="64">
        <f t="shared" si="8"/>
        <v>119</v>
      </c>
      <c r="R22" s="64">
        <f t="shared" si="9"/>
        <v>36</v>
      </c>
      <c r="S22" s="64" t="str">
        <f>IFERROR(VLOOKUP(MID(N22,Q22,R22-Q22),[5]skilldef!$C:$D,2,FALSE),"-") &amp; " / " &amp; IFERROR(VLOOKUP(MID(N22,O22,P22-O22),[5]skilldef!$A:$B,2,FALSE),"-")</f>
        <v>- / -</v>
      </c>
      <c r="T22" s="48" t="str">
        <f t="shared" si="10"/>
        <v>[effect:fix_speed, target:myself, turn:1]</v>
      </c>
      <c r="U22" s="64">
        <f t="shared" si="11"/>
        <v>9</v>
      </c>
      <c r="V22" s="64">
        <f t="shared" si="12"/>
        <v>18</v>
      </c>
      <c r="W22" s="64">
        <f t="shared" si="13"/>
        <v>27</v>
      </c>
      <c r="X22" s="64">
        <f t="shared" si="14"/>
        <v>33</v>
      </c>
      <c r="Y22" s="64" t="str">
        <f>IFERROR(VLOOKUP(MID(T22,W22,X22-W22),[5]skilldef!$C:$D,2,FALSE),"-") &amp; " / " &amp; IFERROR(VLOOKUP(MID(T22,U22,V22-U22),[5]skilldef!$A:$B,2,FALSE),"-")</f>
        <v>自分自身に / 行動値設定</v>
      </c>
      <c r="Z22" s="50"/>
      <c r="AA22" s="52"/>
      <c r="AB22" s="50"/>
    </row>
    <row r="23" spans="1:28" ht="40" customHeight="1" x14ac:dyDescent="0.15">
      <c r="A23" s="47">
        <v>47003067</v>
      </c>
      <c r="B23" s="47" t="s">
        <v>479</v>
      </c>
      <c r="C23" s="126">
        <v>3</v>
      </c>
      <c r="D23" s="126" t="s">
        <v>126</v>
      </c>
      <c r="E23" s="51" t="s">
        <v>314</v>
      </c>
      <c r="F23" s="51" t="s">
        <v>474</v>
      </c>
      <c r="G23" s="130" t="str">
        <f t="shared" si="0"/>
        <v>[effect:enemy_message, val1:2.0, val2:1.8]</v>
      </c>
      <c r="H23" s="64">
        <f t="shared" si="1"/>
        <v>9</v>
      </c>
      <c r="I23" s="64">
        <f t="shared" si="2"/>
        <v>22</v>
      </c>
      <c r="J23" s="64" t="e">
        <f t="shared" si="3"/>
        <v>#VALUE!</v>
      </c>
      <c r="K23" s="64">
        <f t="shared" si="4"/>
        <v>32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si="5"/>
        <v>[effect:change_panel_ratio, turn:-1, block_type:yellow, val:0, animation:block_incidence04],[effect:fix_speed, target:myself, turn:1]</v>
      </c>
      <c r="N23" s="48" t="str">
        <f>IFERROR(LEFT(M23,FIND("],",M23)+#REF!),M23)</f>
        <v>[effect:change_panel_ratio, turn:-1, block_type:yellow, val:0, animation:block_incidence04],[effect:fix_speed, target:myself, turn:1]</v>
      </c>
      <c r="O23" s="64">
        <f t="shared" si="6"/>
        <v>9</v>
      </c>
      <c r="P23" s="64">
        <f t="shared" si="7"/>
        <v>27</v>
      </c>
      <c r="Q23" s="64">
        <f t="shared" si="8"/>
        <v>119</v>
      </c>
      <c r="R23" s="64">
        <f t="shared" si="9"/>
        <v>36</v>
      </c>
      <c r="S23" s="64" t="str">
        <f>IFERROR(VLOOKUP(MID(N23,Q23,R23-Q23),[5]skilldef!$C:$D,2,FALSE),"-") &amp; " / " &amp; IFERROR(VLOOKUP(MID(N23,O23,P23-O23),[5]skilldef!$A:$B,2,FALSE),"-")</f>
        <v>- / -</v>
      </c>
      <c r="T23" s="48" t="str">
        <f t="shared" si="10"/>
        <v>[effect:fix_speed, target:myself, turn:1]</v>
      </c>
      <c r="U23" s="64">
        <f t="shared" si="11"/>
        <v>9</v>
      </c>
      <c r="V23" s="64">
        <f t="shared" si="12"/>
        <v>18</v>
      </c>
      <c r="W23" s="64">
        <f t="shared" si="13"/>
        <v>27</v>
      </c>
      <c r="X23" s="64">
        <f t="shared" si="14"/>
        <v>33</v>
      </c>
      <c r="Y23" s="64" t="str">
        <f>IFERROR(VLOOKUP(MID(T23,W23,X23-W23),[5]skilldef!$C:$D,2,FALSE),"-") &amp; " / " &amp; IFERROR(VLOOKUP(MID(T23,U23,V23-U23),[5]skilldef!$A:$B,2,FALSE),"-")</f>
        <v>自分自身に / 行動値設定</v>
      </c>
      <c r="Z23" s="50"/>
      <c r="AA23" s="52"/>
      <c r="AB23" s="50"/>
    </row>
    <row r="24" spans="1:28" ht="40" customHeight="1" x14ac:dyDescent="0.15">
      <c r="A24" s="47">
        <v>47003081</v>
      </c>
      <c r="B24" s="137" t="s">
        <v>413</v>
      </c>
      <c r="C24" s="127">
        <v>3</v>
      </c>
      <c r="D24" s="127" t="s">
        <v>126</v>
      </c>
      <c r="E24" s="51" t="s">
        <v>315</v>
      </c>
      <c r="F24" s="51" t="s">
        <v>316</v>
      </c>
      <c r="G24" s="130" t="str">
        <f t="shared" si="0"/>
        <v>[effect:enemy_message, val1:1.3, val2:1.8]</v>
      </c>
      <c r="H24" s="64">
        <f t="shared" si="1"/>
        <v>9</v>
      </c>
      <c r="I24" s="64">
        <f t="shared" si="2"/>
        <v>22</v>
      </c>
      <c r="J24" s="64" t="e">
        <f t="shared" si="3"/>
        <v>#VALUE!</v>
      </c>
      <c r="K24" s="64">
        <f t="shared" si="4"/>
        <v>32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si="5"/>
        <v>[effect:fix_speed, target:myself, turn:2]</v>
      </c>
      <c r="N24" s="48" t="str">
        <f>IFERROR(LEFT(M24,FIND("],",M24)+#REF!),M24)</f>
        <v>[effect:fix_speed, target:myself, turn:2]</v>
      </c>
      <c r="O24" s="64">
        <f t="shared" si="6"/>
        <v>9</v>
      </c>
      <c r="P24" s="64">
        <f t="shared" si="7"/>
        <v>18</v>
      </c>
      <c r="Q24" s="64">
        <f t="shared" si="8"/>
        <v>27</v>
      </c>
      <c r="R24" s="64">
        <f t="shared" si="9"/>
        <v>33</v>
      </c>
      <c r="S24" s="64" t="str">
        <f>IFERROR(VLOOKUP(MID(N24,Q24,R24-Q24),[5]skilldef!$C:$D,2,FALSE),"-") &amp; " / " &amp; IFERROR(VLOOKUP(MID(N24,O24,P24-O24),[5]skilldef!$A:$B,2,FALSE),"-")</f>
        <v>自分自身に / 行動値設定</v>
      </c>
      <c r="T24" s="48" t="str">
        <f t="shared" si="10"/>
        <v>none</v>
      </c>
      <c r="U24" s="64" t="e">
        <f t="shared" si="11"/>
        <v>#VALUE!</v>
      </c>
      <c r="V24" s="64">
        <f t="shared" si="12"/>
        <v>4</v>
      </c>
      <c r="W24" s="64" t="e">
        <f t="shared" si="13"/>
        <v>#VALUE!</v>
      </c>
      <c r="X24" s="64" t="e">
        <f t="shared" si="14"/>
        <v>#VALUE!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40" customHeight="1" x14ac:dyDescent="0.15">
      <c r="A25" s="47">
        <v>47003083</v>
      </c>
      <c r="B25" s="47" t="s">
        <v>279</v>
      </c>
      <c r="C25" s="127">
        <v>3</v>
      </c>
      <c r="D25" s="127" t="s">
        <v>126</v>
      </c>
      <c r="E25" s="51" t="s">
        <v>318</v>
      </c>
      <c r="F25" s="51" t="s">
        <v>387</v>
      </c>
      <c r="G25" s="130" t="str">
        <f t="shared" si="0"/>
        <v>[effect:rush, count:3, val:0.4]</v>
      </c>
      <c r="H25" s="64">
        <f t="shared" si="1"/>
        <v>9</v>
      </c>
      <c r="I25" s="64">
        <f t="shared" si="2"/>
        <v>13</v>
      </c>
      <c r="J25" s="64" t="e">
        <f t="shared" si="3"/>
        <v>#VALUE!</v>
      </c>
      <c r="K25" s="64">
        <f t="shared" si="4"/>
        <v>22</v>
      </c>
      <c r="L25" s="64" t="str">
        <f>IFERROR(VLOOKUP(MID(G25,J25,K25-J25),[5]skilldef!$C:$D,2,FALSE),"-") &amp; " / " &amp; IFERROR(VLOOKUP(MID(G25,H25,I25-H25),[5]skilldef!$A:$B,2,FALSE),"-")</f>
        <v>- / 連続攻撃</v>
      </c>
      <c r="M25" s="64" t="str">
        <f t="shared" si="5"/>
        <v>none</v>
      </c>
      <c r="N25" s="48" t="str">
        <f>IFERROR(LEFT(M25,FIND("],",M25)+#REF!),M25)</f>
        <v>none</v>
      </c>
      <c r="O25" s="64" t="e">
        <f t="shared" si="6"/>
        <v>#VALUE!</v>
      </c>
      <c r="P25" s="64">
        <f t="shared" si="7"/>
        <v>4</v>
      </c>
      <c r="Q25" s="64" t="e">
        <f t="shared" si="8"/>
        <v>#VALUE!</v>
      </c>
      <c r="R25" s="64" t="e">
        <f t="shared" si="9"/>
        <v>#VALUE!</v>
      </c>
      <c r="S25" s="64" t="str">
        <f>IFERROR(VLOOKUP(MID(N25,Q25,R25-Q25),[5]skilldef!$C:$D,2,FALSE),"-") &amp; " / " &amp; IFERROR(VLOOKUP(MID(N25,O25,P25-O25),[5]skilldef!$A:$B,2,FALSE),"-")</f>
        <v>- / -</v>
      </c>
      <c r="T25" s="48" t="str">
        <f t="shared" si="10"/>
        <v>none</v>
      </c>
      <c r="U25" s="64" t="e">
        <f t="shared" si="11"/>
        <v>#VALUE!</v>
      </c>
      <c r="V25" s="64">
        <f t="shared" si="12"/>
        <v>4</v>
      </c>
      <c r="W25" s="64" t="e">
        <f t="shared" si="13"/>
        <v>#VALUE!</v>
      </c>
      <c r="X25" s="64" t="e">
        <f t="shared" si="14"/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40" customHeight="1" x14ac:dyDescent="0.15">
      <c r="A26" s="47">
        <v>47003084</v>
      </c>
      <c r="B26" s="137" t="s">
        <v>412</v>
      </c>
      <c r="C26" s="127">
        <v>3</v>
      </c>
      <c r="D26" s="127" t="s">
        <v>126</v>
      </c>
      <c r="E26" s="51" t="s">
        <v>319</v>
      </c>
      <c r="F26" s="51" t="s">
        <v>311</v>
      </c>
      <c r="G26" s="130" t="str">
        <f t="shared" si="0"/>
        <v>[effect:critical, val:1.5, animation:enemy_critical]</v>
      </c>
      <c r="H26" s="64">
        <f t="shared" si="1"/>
        <v>9</v>
      </c>
      <c r="I26" s="64">
        <f t="shared" si="2"/>
        <v>17</v>
      </c>
      <c r="J26" s="64" t="e">
        <f t="shared" si="3"/>
        <v>#VALUE!</v>
      </c>
      <c r="K26" s="64">
        <f t="shared" si="4"/>
        <v>26</v>
      </c>
      <c r="L26" s="64" t="str">
        <f>IFERROR(VLOOKUP(MID(G26,J26,K26-J26),[5]skilldef!$C:$D,2,FALSE),"-") &amp; " / " &amp; IFERROR(VLOOKUP(MID(G26,H26,I26-H26),[5]skilldef!$A:$B,2,FALSE),"-")</f>
        <v>- / 大攻撃</v>
      </c>
      <c r="M26" s="64" t="str">
        <f t="shared" si="5"/>
        <v>[effect:fix_speed, target:myself, turn:1]</v>
      </c>
      <c r="N26" s="48" t="str">
        <f>IFERROR(LEFT(M26,FIND("],",M26)+S50),M26)</f>
        <v>[effect:fix_speed, target:myself, turn:1]</v>
      </c>
      <c r="O26" s="64">
        <f t="shared" si="6"/>
        <v>9</v>
      </c>
      <c r="P26" s="64">
        <f t="shared" si="7"/>
        <v>18</v>
      </c>
      <c r="Q26" s="64">
        <f t="shared" si="8"/>
        <v>27</v>
      </c>
      <c r="R26" s="64">
        <f t="shared" si="9"/>
        <v>33</v>
      </c>
      <c r="S26" s="64" t="str">
        <f>IFERROR(VLOOKUP(MID(N26,Q26,R26-Q26),[5]skilldef!$C:$D,2,FALSE),"-") &amp; " / " &amp; IFERROR(VLOOKUP(MID(N26,O26,P26-O26),[5]skilldef!$A:$B,2,FALSE),"-")</f>
        <v>自分自身に / 行動値設定</v>
      </c>
      <c r="T26" s="48" t="str">
        <f t="shared" si="10"/>
        <v>none</v>
      </c>
      <c r="U26" s="64" t="e">
        <f t="shared" si="11"/>
        <v>#VALUE!</v>
      </c>
      <c r="V26" s="64">
        <f t="shared" si="12"/>
        <v>4</v>
      </c>
      <c r="W26" s="64" t="e">
        <f t="shared" si="13"/>
        <v>#VALUE!</v>
      </c>
      <c r="X26" s="64" t="e">
        <f t="shared" si="14"/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40" customHeight="1" x14ac:dyDescent="0.15">
      <c r="A27" s="47">
        <v>47003085</v>
      </c>
      <c r="B27" s="47" t="s">
        <v>497</v>
      </c>
      <c r="C27" s="127">
        <v>3</v>
      </c>
      <c r="D27" s="127" t="s">
        <v>126</v>
      </c>
      <c r="E27" s="51" t="s">
        <v>320</v>
      </c>
      <c r="F27" s="51" t="s">
        <v>303</v>
      </c>
      <c r="G27" s="130" t="str">
        <f t="shared" si="0"/>
        <v>[effect:enemy_message, val1:2.0, val2:1.8]</v>
      </c>
      <c r="H27" s="64">
        <f t="shared" si="1"/>
        <v>9</v>
      </c>
      <c r="I27" s="64">
        <f t="shared" si="2"/>
        <v>22</v>
      </c>
      <c r="J27" s="64" t="e">
        <f t="shared" si="3"/>
        <v>#VALUE!</v>
      </c>
      <c r="K27" s="64">
        <f t="shared" si="4"/>
        <v>32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5"/>
        <v>[effect:change_panel_ratio, turn:-1, block_type:yellow, val:0.05, animation:block_incidence04],[effect:fix_speed, target:myself, turn:1]</v>
      </c>
      <c r="N27" s="48" t="str">
        <f>IFERROR(LEFT(M27,FIND("],",M27)+#REF!),M27)</f>
        <v>[effect:change_panel_ratio, turn:-1, block_type:yellow, val:0.05, animation:block_incidence04],[effect:fix_speed, target:myself, turn:1]</v>
      </c>
      <c r="O27" s="64">
        <f t="shared" si="6"/>
        <v>9</v>
      </c>
      <c r="P27" s="64">
        <f t="shared" si="7"/>
        <v>27</v>
      </c>
      <c r="Q27" s="64">
        <f t="shared" si="8"/>
        <v>122</v>
      </c>
      <c r="R27" s="64">
        <f t="shared" si="9"/>
        <v>36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si="10"/>
        <v>[effect:fix_speed, target:myself, turn:1]</v>
      </c>
      <c r="U27" s="64">
        <f t="shared" si="11"/>
        <v>9</v>
      </c>
      <c r="V27" s="64">
        <f t="shared" si="12"/>
        <v>18</v>
      </c>
      <c r="W27" s="64">
        <f t="shared" si="13"/>
        <v>27</v>
      </c>
      <c r="X27" s="64">
        <f t="shared" si="14"/>
        <v>33</v>
      </c>
      <c r="Y27" s="64" t="str">
        <f>IFERROR(VLOOKUP(MID(T27,W27,X27-W27),[5]skilldef!$C:$D,2,FALSE),"-") &amp; " / " &amp; IFERROR(VLOOKUP(MID(T27,U27,V27-U27),[5]skilldef!$A:$B,2,FALSE),"-")</f>
        <v>自分自身に / 行動値設定</v>
      </c>
      <c r="Z27" s="50"/>
      <c r="AA27" s="52"/>
      <c r="AB27" s="50"/>
    </row>
    <row r="28" spans="1:28" ht="40" customHeight="1" x14ac:dyDescent="0.15">
      <c r="A28" s="47">
        <v>47003086</v>
      </c>
      <c r="B28" s="47" t="s">
        <v>498</v>
      </c>
      <c r="C28" s="127">
        <v>3</v>
      </c>
      <c r="D28" s="127" t="s">
        <v>126</v>
      </c>
      <c r="E28" s="51" t="s">
        <v>321</v>
      </c>
      <c r="F28" s="51" t="s">
        <v>303</v>
      </c>
      <c r="G28" s="130" t="str">
        <f t="shared" si="0"/>
        <v>[effect:enemy_message, val1:2.0, val2:1.8]</v>
      </c>
      <c r="H28" s="64">
        <f t="shared" si="1"/>
        <v>9</v>
      </c>
      <c r="I28" s="64">
        <f t="shared" si="2"/>
        <v>22</v>
      </c>
      <c r="J28" s="64" t="e">
        <f t="shared" si="3"/>
        <v>#VALUE!</v>
      </c>
      <c r="K28" s="64">
        <f t="shared" si="4"/>
        <v>32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 t="shared" si="5"/>
        <v>[effect:change_panel_ratio, turn:-1, block_type:yellow, val:0.05, animation:block_incidence04],[effect:fix_speed, target:myself, turn:1]</v>
      </c>
      <c r="N28" s="48" t="str">
        <f>IFERROR(LEFT(M28,FIND("],",M28)+#REF!),M28)</f>
        <v>[effect:change_panel_ratio, turn:-1, block_type:yellow, val:0.05, animation:block_incidence04],[effect:fix_speed, target:myself, turn:1]</v>
      </c>
      <c r="O28" s="64">
        <f t="shared" si="6"/>
        <v>9</v>
      </c>
      <c r="P28" s="64">
        <f t="shared" si="7"/>
        <v>27</v>
      </c>
      <c r="Q28" s="64">
        <f t="shared" si="8"/>
        <v>122</v>
      </c>
      <c r="R28" s="64">
        <f t="shared" si="9"/>
        <v>36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si="10"/>
        <v>[effect:fix_speed, target:myself, turn:1]</v>
      </c>
      <c r="U28" s="64">
        <f t="shared" si="11"/>
        <v>9</v>
      </c>
      <c r="V28" s="64">
        <f t="shared" si="12"/>
        <v>18</v>
      </c>
      <c r="W28" s="64">
        <f t="shared" si="13"/>
        <v>27</v>
      </c>
      <c r="X28" s="64">
        <f t="shared" si="14"/>
        <v>33</v>
      </c>
      <c r="Y28" s="64" t="str">
        <f>IFERROR(VLOOKUP(MID(T28,W28,X28-W28),[5]skilldef!$C:$D,2,FALSE),"-") &amp; " / " &amp; IFERROR(VLOOKUP(MID(T28,U28,V28-U28),[5]skilldef!$A:$B,2,FALSE),"-")</f>
        <v>自分自身に / 行動値設定</v>
      </c>
      <c r="Z28" s="50"/>
      <c r="AA28" s="52"/>
      <c r="AB28" s="50"/>
    </row>
    <row r="29" spans="1:28" ht="40" customHeight="1" x14ac:dyDescent="0.15">
      <c r="A29" s="47">
        <v>47003087</v>
      </c>
      <c r="B29" s="47" t="s">
        <v>499</v>
      </c>
      <c r="C29" s="127">
        <v>3</v>
      </c>
      <c r="D29" s="127" t="s">
        <v>126</v>
      </c>
      <c r="E29" s="51" t="s">
        <v>322</v>
      </c>
      <c r="F29" s="51" t="s">
        <v>303</v>
      </c>
      <c r="G29" s="130" t="str">
        <f t="shared" si="0"/>
        <v>[effect:enemy_message, val1:2.0, val2:1.8]</v>
      </c>
      <c r="H29" s="64">
        <f t="shared" si="1"/>
        <v>9</v>
      </c>
      <c r="I29" s="64">
        <f t="shared" si="2"/>
        <v>22</v>
      </c>
      <c r="J29" s="64" t="e">
        <f t="shared" si="3"/>
        <v>#VALUE!</v>
      </c>
      <c r="K29" s="64">
        <f t="shared" si="4"/>
        <v>32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si="5"/>
        <v>[effect:change_panel_ratio, turn:-1, block_type:yellow, val:0.05, animation:block_incidence04],[effect:fix_speed, target:myself, turn:1]</v>
      </c>
      <c r="N29" s="48" t="str">
        <f>IFERROR(LEFT(M29,FIND("],",M29)+#REF!),M29)</f>
        <v>[effect:change_panel_ratio, turn:-1, block_type:yellow, val:0.05, animation:block_incidence04],[effect:fix_speed, target:myself, turn:1]</v>
      </c>
      <c r="O29" s="64">
        <f t="shared" si="6"/>
        <v>9</v>
      </c>
      <c r="P29" s="64">
        <f t="shared" si="7"/>
        <v>27</v>
      </c>
      <c r="Q29" s="64">
        <f t="shared" si="8"/>
        <v>122</v>
      </c>
      <c r="R29" s="64">
        <f t="shared" si="9"/>
        <v>36</v>
      </c>
      <c r="S29" s="64" t="str">
        <f>IFERROR(VLOOKUP(MID(N29,Q29,R29-Q29),[5]skilldef!$C:$D,2,FALSE),"-") &amp; " / " &amp; IFERROR(VLOOKUP(MID(N29,O29,P29-O29),[5]skilldef!$A:$B,2,FALSE),"-")</f>
        <v>- / -</v>
      </c>
      <c r="T29" s="48" t="str">
        <f t="shared" si="10"/>
        <v>[effect:fix_speed, target:myself, turn:1]</v>
      </c>
      <c r="U29" s="64">
        <f t="shared" si="11"/>
        <v>9</v>
      </c>
      <c r="V29" s="64">
        <f t="shared" si="12"/>
        <v>18</v>
      </c>
      <c r="W29" s="64">
        <f t="shared" si="13"/>
        <v>27</v>
      </c>
      <c r="X29" s="64">
        <f t="shared" si="14"/>
        <v>33</v>
      </c>
      <c r="Y29" s="64" t="str">
        <f>IFERROR(VLOOKUP(MID(T29,W29,X29-W29),[5]skilldef!$C:$D,2,FALSE),"-") &amp; " / " &amp; IFERROR(VLOOKUP(MID(T29,U29,V29-U29),[5]skilldef!$A:$B,2,FALSE),"-")</f>
        <v>自分自身に / 行動値設定</v>
      </c>
      <c r="Z29" s="50"/>
      <c r="AA29" s="52"/>
      <c r="AB29" s="50"/>
    </row>
    <row r="30" spans="1:28" ht="40" customHeight="1" x14ac:dyDescent="0.15">
      <c r="A30" s="47">
        <v>47003101</v>
      </c>
      <c r="B30" s="135" t="s">
        <v>500</v>
      </c>
      <c r="C30" s="132">
        <v>3</v>
      </c>
      <c r="D30" s="132" t="s">
        <v>126</v>
      </c>
      <c r="E30" s="138" t="s">
        <v>282</v>
      </c>
      <c r="F30" s="51" t="s">
        <v>323</v>
      </c>
      <c r="G30" s="130" t="str">
        <f t="shared" si="0"/>
        <v>[effect:enemy_message, val1:1.3, val2:1.8]</v>
      </c>
      <c r="H30" s="64">
        <f t="shared" si="1"/>
        <v>9</v>
      </c>
      <c r="I30" s="64">
        <f t="shared" si="2"/>
        <v>22</v>
      </c>
      <c r="J30" s="64" t="e">
        <f t="shared" si="3"/>
        <v>#VALUE!</v>
      </c>
      <c r="K30" s="64">
        <f t="shared" si="4"/>
        <v>32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si="5"/>
        <v>[effect:fix_speed, target:myself, turn:1]</v>
      </c>
      <c r="N30" s="48" t="str">
        <f>IFERROR(LEFT(M30,FIND("],",M30)+#REF!),M30)</f>
        <v>[effect:fix_speed, target:myself, turn:1]</v>
      </c>
      <c r="O30" s="64">
        <f t="shared" si="6"/>
        <v>9</v>
      </c>
      <c r="P30" s="64">
        <f t="shared" si="7"/>
        <v>18</v>
      </c>
      <c r="Q30" s="64">
        <f t="shared" si="8"/>
        <v>27</v>
      </c>
      <c r="R30" s="64">
        <f t="shared" si="9"/>
        <v>33</v>
      </c>
      <c r="S30" s="64" t="str">
        <f>IFERROR(VLOOKUP(MID(N30,Q30,R30-Q30),[5]skilldef!$C:$D,2,FALSE),"-") &amp; " / " &amp; IFERROR(VLOOKUP(MID(N30,O30,P30-O30),[5]skilldef!$A:$B,2,FALSE),"-")</f>
        <v>自分自身に / 行動値設定</v>
      </c>
      <c r="T30" s="48" t="str">
        <f t="shared" si="10"/>
        <v>none</v>
      </c>
      <c r="U30" s="64" t="e">
        <f t="shared" si="11"/>
        <v>#VALUE!</v>
      </c>
      <c r="V30" s="64">
        <f t="shared" si="12"/>
        <v>4</v>
      </c>
      <c r="W30" s="64" t="e">
        <f t="shared" si="13"/>
        <v>#VALUE!</v>
      </c>
      <c r="X30" s="64" t="e">
        <f t="shared" si="14"/>
        <v>#VALUE!</v>
      </c>
      <c r="Y30" s="64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40" customHeight="1" x14ac:dyDescent="0.15">
      <c r="A31" s="47">
        <v>47003102</v>
      </c>
      <c r="B31" s="47" t="s">
        <v>585</v>
      </c>
      <c r="C31" s="50">
        <v>3</v>
      </c>
      <c r="D31" s="50" t="s">
        <v>126</v>
      </c>
      <c r="E31" s="51" t="s">
        <v>324</v>
      </c>
      <c r="F31" s="51" t="s">
        <v>610</v>
      </c>
      <c r="G31" s="130" t="str">
        <f t="shared" si="0"/>
        <v>[effect:enemy_message, val1:1.0, val2:3.3]</v>
      </c>
      <c r="H31" s="64">
        <f t="shared" si="1"/>
        <v>9</v>
      </c>
      <c r="I31" s="64">
        <f t="shared" si="2"/>
        <v>22</v>
      </c>
      <c r="J31" s="64" t="e">
        <f t="shared" si="3"/>
        <v>#VALUE!</v>
      </c>
      <c r="K31" s="64">
        <f t="shared" si="4"/>
        <v>32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si="5"/>
        <v>[effect:damage_anti_tribe, target:unit_all, tribe:machine, val1:0.6, val2:0.3],[effect:hungup, target:unit_machine, turn:4, rate:1, animation:hungup02]</v>
      </c>
      <c r="N31" s="48" t="str">
        <f>IFERROR(LEFT(M31,FIND("],",M31)+#REF!),M31)</f>
        <v>[effect:damage_anti_tribe, target:unit_all, tribe:machine, val1:0.6, val2:0.3],[effect:hungup, target:unit_machine, turn:4, rate:1, animation:hungup02]</v>
      </c>
      <c r="O31" s="64">
        <f t="shared" si="6"/>
        <v>9</v>
      </c>
      <c r="P31" s="64">
        <f t="shared" si="7"/>
        <v>26</v>
      </c>
      <c r="Q31" s="64">
        <f t="shared" si="8"/>
        <v>35</v>
      </c>
      <c r="R31" s="64">
        <f t="shared" si="9"/>
        <v>43</v>
      </c>
      <c r="S31" s="64" t="str">
        <f>IFERROR(VLOOKUP(MID(N31,Q31,R31-Q31),[5]skilldef!$C:$D,2,FALSE),"-") &amp; " / " &amp; IFERROR(VLOOKUP(MID(N31,O31,P31-O31),[5]skilldef!$A:$B,2,FALSE),"-")</f>
        <v>味方全体に / 種族キラー</v>
      </c>
      <c r="T31" s="48" t="str">
        <f t="shared" si="10"/>
        <v>[effect:hungup, target:unit_machine, turn:4, rate:1, animation:hungup02]</v>
      </c>
      <c r="U31" s="64">
        <f t="shared" si="11"/>
        <v>9</v>
      </c>
      <c r="V31" s="64">
        <f t="shared" si="12"/>
        <v>15</v>
      </c>
      <c r="W31" s="64">
        <f t="shared" si="13"/>
        <v>24</v>
      </c>
      <c r="X31" s="64">
        <f t="shared" si="14"/>
        <v>36</v>
      </c>
      <c r="Y31" s="64" t="str">
        <f>IFERROR(VLOOKUP(MID(T31,W31,X31-W31),[5]skilldef!$C:$D,2,FALSE),"-") &amp; " / " &amp; IFERROR(VLOOKUP(MID(T31,U31,V31-U31),[5]skilldef!$A:$B,2,FALSE),"-")</f>
        <v>- / ハングアップ</v>
      </c>
      <c r="Z31" s="50"/>
      <c r="AA31" s="52"/>
      <c r="AB31" s="50"/>
    </row>
    <row r="32" spans="1:28" ht="40" customHeight="1" x14ac:dyDescent="0.15">
      <c r="A32" s="47">
        <v>47003103</v>
      </c>
      <c r="B32" s="137" t="s">
        <v>501</v>
      </c>
      <c r="C32" s="50">
        <v>3</v>
      </c>
      <c r="D32" s="50" t="s">
        <v>126</v>
      </c>
      <c r="E32" s="51" t="s">
        <v>325</v>
      </c>
      <c r="F32" s="51" t="s">
        <v>368</v>
      </c>
      <c r="G32" s="130" t="str">
        <f t="shared" si="0"/>
        <v>[effect:enemy_message, val1:1.0, val2:2.0]</v>
      </c>
      <c r="H32" s="64">
        <f t="shared" si="1"/>
        <v>9</v>
      </c>
      <c r="I32" s="64">
        <f t="shared" si="2"/>
        <v>22</v>
      </c>
      <c r="J32" s="64" t="e">
        <f t="shared" si="3"/>
        <v>#VALUE!</v>
      </c>
      <c r="K32" s="64">
        <f t="shared" si="4"/>
        <v>32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si="5"/>
        <v>[effect:break_attack_fix, target:unit_one, val:420, lowest_val:1, count:-1, color:green, block_color:block_heart, block01:block_heart, block02:crack_bomb],[effect:fix_speed, target:myself, turn:2]</v>
      </c>
      <c r="N32" s="48" t="str">
        <f>IFERROR(LEFT(M32,FIND("],",M32)+S46),M32)</f>
        <v>[effect:break_attack_fix, target:unit_one, val:420, lowest_val:1, count:-1, color:green, block_color:block_heart, block01:block_heart, block02:crack_bomb],[effect:fix_speed, target:myself, turn:2]</v>
      </c>
      <c r="O32" s="64">
        <f t="shared" si="6"/>
        <v>9</v>
      </c>
      <c r="P32" s="64">
        <f t="shared" si="7"/>
        <v>25</v>
      </c>
      <c r="Q32" s="64">
        <f t="shared" si="8"/>
        <v>34</v>
      </c>
      <c r="R32" s="64">
        <f t="shared" si="9"/>
        <v>42</v>
      </c>
      <c r="S32" s="64" t="str">
        <f>IFERROR(VLOOKUP(MID(N32,Q32,R32-Q32),[5]skilldef!$C:$D,2,FALSE),"-") &amp; " / " &amp; IFERROR(VLOOKUP(MID(N32,O32,P32-O32),[5]skilldef!$A:$B,2,FALSE),"-")</f>
        <v>味方単体に / -</v>
      </c>
      <c r="T32" s="48" t="str">
        <f t="shared" si="10"/>
        <v>[effect:fix_speed, target:myself, turn:2]</v>
      </c>
      <c r="U32" s="64">
        <f t="shared" si="11"/>
        <v>9</v>
      </c>
      <c r="V32" s="64">
        <f t="shared" si="12"/>
        <v>18</v>
      </c>
      <c r="W32" s="64">
        <f t="shared" si="13"/>
        <v>27</v>
      </c>
      <c r="X32" s="64">
        <f t="shared" si="14"/>
        <v>33</v>
      </c>
      <c r="Y32" s="64" t="str">
        <f>IFERROR(VLOOKUP(MID(T32,W32,X32-W32),[5]skilldef!$C:$D,2,FALSE),"-") &amp; " / " &amp; IFERROR(VLOOKUP(MID(T32,U32,V32-U32),[5]skilldef!$A:$B,2,FALSE),"-")</f>
        <v>自分自身に / 行動値設定</v>
      </c>
      <c r="Z32" s="50"/>
      <c r="AA32" s="52"/>
      <c r="AB32" s="50"/>
    </row>
    <row r="33" spans="1:28" ht="40" customHeight="1" x14ac:dyDescent="0.15">
      <c r="A33" s="47">
        <v>47003104</v>
      </c>
      <c r="B33" s="47" t="s">
        <v>366</v>
      </c>
      <c r="C33" s="50">
        <v>3</v>
      </c>
      <c r="D33" s="50" t="s">
        <v>126</v>
      </c>
      <c r="E33" s="51" t="s">
        <v>326</v>
      </c>
      <c r="F33" s="51" t="s">
        <v>365</v>
      </c>
      <c r="G33" s="130" t="str">
        <f t="shared" si="0"/>
        <v>[effect:rush, count:2, val:0.5]</v>
      </c>
      <c r="H33" s="64">
        <f t="shared" si="1"/>
        <v>9</v>
      </c>
      <c r="I33" s="64">
        <f t="shared" si="2"/>
        <v>13</v>
      </c>
      <c r="J33" s="64" t="e">
        <f t="shared" si="3"/>
        <v>#VALUE!</v>
      </c>
      <c r="K33" s="64">
        <f t="shared" si="4"/>
        <v>22</v>
      </c>
      <c r="L33" s="64" t="str">
        <f>IFERROR(VLOOKUP(MID(G33,J33,K33-J33),[5]skilldef!$C:$D,2,FALSE),"-") &amp; " / " &amp; IFERROR(VLOOKUP(MID(G33,H33,I33-H33),[5]skilldef!$A:$B,2,FALSE),"-")</f>
        <v>- / 連続攻撃</v>
      </c>
      <c r="M33" s="64" t="str">
        <f t="shared" si="5"/>
        <v>none</v>
      </c>
      <c r="N33" s="48" t="str">
        <f>IFERROR(LEFT(M33,FIND("],",M33)+S47),M33)</f>
        <v>none</v>
      </c>
      <c r="O33" s="64" t="e">
        <f t="shared" si="6"/>
        <v>#VALUE!</v>
      </c>
      <c r="P33" s="64">
        <f t="shared" si="7"/>
        <v>4</v>
      </c>
      <c r="Q33" s="64" t="e">
        <f t="shared" si="8"/>
        <v>#VALUE!</v>
      </c>
      <c r="R33" s="64" t="e">
        <f t="shared" si="9"/>
        <v>#VALUE!</v>
      </c>
      <c r="S33" s="64" t="str">
        <f>IFERROR(VLOOKUP(MID(N33,Q33,R33-Q33),[5]skilldef!$C:$D,2,FALSE),"-") &amp; " / " &amp; IFERROR(VLOOKUP(MID(N33,O33,P33-O33),[5]skilldef!$A:$B,2,FALSE),"-")</f>
        <v>- / -</v>
      </c>
      <c r="T33" s="48" t="str">
        <f t="shared" si="10"/>
        <v>none</v>
      </c>
      <c r="U33" s="64" t="e">
        <f t="shared" si="11"/>
        <v>#VALUE!</v>
      </c>
      <c r="V33" s="64">
        <f t="shared" si="12"/>
        <v>4</v>
      </c>
      <c r="W33" s="64" t="e">
        <f t="shared" si="13"/>
        <v>#VALUE!</v>
      </c>
      <c r="X33" s="64" t="e">
        <f t="shared" si="14"/>
        <v>#VALUE!</v>
      </c>
      <c r="Y33" s="64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40" customHeight="1" x14ac:dyDescent="0.15">
      <c r="A34" s="47">
        <v>47003105</v>
      </c>
      <c r="B34" s="47" t="s">
        <v>502</v>
      </c>
      <c r="C34" s="50">
        <v>3</v>
      </c>
      <c r="D34" s="50" t="s">
        <v>126</v>
      </c>
      <c r="E34" s="51" t="s">
        <v>327</v>
      </c>
      <c r="F34" s="51" t="s">
        <v>328</v>
      </c>
      <c r="G34" s="130" t="str">
        <f t="shared" si="0"/>
        <v>[effect:enemy_message, val1:1.3, val2:2.0]</v>
      </c>
      <c r="H34" s="64">
        <f t="shared" si="1"/>
        <v>9</v>
      </c>
      <c r="I34" s="64">
        <f t="shared" si="2"/>
        <v>22</v>
      </c>
      <c r="J34" s="64" t="e">
        <f t="shared" si="3"/>
        <v>#VALUE!</v>
      </c>
      <c r="K34" s="64">
        <f t="shared" si="4"/>
        <v>32</v>
      </c>
      <c r="L34" s="64" t="str">
        <f>IFERROR(VLOOKUP(MID(G34,J34,K34-J34),[5]skilldef!$C:$D,2,FALSE),"-") &amp; " / " &amp; IFERROR(VLOOKUP(MID(G34,H34,I34-H34),[5]skilldef!$A:$B,2,FALSE),"-")</f>
        <v>- / -</v>
      </c>
      <c r="M34" s="64" t="str">
        <f t="shared" si="5"/>
        <v>[effect:suicide, target:myself, val:1, dead_type:escape]</v>
      </c>
      <c r="N34" s="48" t="str">
        <f>IFERROR(LEFT(M34,FIND("],",M34)+#REF!),M34)</f>
        <v>[effect:suicide, target:myself, val:1, dead_type:escape]</v>
      </c>
      <c r="O34" s="64">
        <f t="shared" si="6"/>
        <v>9</v>
      </c>
      <c r="P34" s="64">
        <f t="shared" si="7"/>
        <v>16</v>
      </c>
      <c r="Q34" s="64">
        <f t="shared" si="8"/>
        <v>25</v>
      </c>
      <c r="R34" s="64">
        <f t="shared" si="9"/>
        <v>31</v>
      </c>
      <c r="S34" s="64" t="str">
        <f>IFERROR(VLOOKUP(MID(N34,Q34,R34-Q34),[5]skilldef!$C:$D,2,FALSE),"-") &amp; " / " &amp; IFERROR(VLOOKUP(MID(N34,O34,P34-O34),[5]skilldef!$A:$B,2,FALSE),"-")</f>
        <v>自分自身に / -</v>
      </c>
      <c r="T34" s="48" t="str">
        <f t="shared" si="10"/>
        <v>none</v>
      </c>
      <c r="U34" s="64" t="e">
        <f t="shared" si="11"/>
        <v>#VALUE!</v>
      </c>
      <c r="V34" s="64">
        <f t="shared" si="12"/>
        <v>4</v>
      </c>
      <c r="W34" s="64" t="e">
        <f t="shared" si="13"/>
        <v>#VALUE!</v>
      </c>
      <c r="X34" s="64" t="e">
        <f t="shared" si="14"/>
        <v>#VALUE!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40" customHeight="1" x14ac:dyDescent="0.15">
      <c r="A35" s="47">
        <v>47003106</v>
      </c>
      <c r="B35" s="47" t="s">
        <v>383</v>
      </c>
      <c r="C35" s="50">
        <v>3</v>
      </c>
      <c r="D35" s="50" t="s">
        <v>126</v>
      </c>
      <c r="E35" s="51" t="s">
        <v>283</v>
      </c>
      <c r="F35" s="51" t="s">
        <v>356</v>
      </c>
      <c r="G35" s="130" t="str">
        <f t="shared" si="0"/>
        <v>[effect:enemy_message, val1:2.0, val2:1.8]</v>
      </c>
      <c r="H35" s="64">
        <f t="shared" si="1"/>
        <v>9</v>
      </c>
      <c r="I35" s="64">
        <f t="shared" si="2"/>
        <v>22</v>
      </c>
      <c r="J35" s="64" t="e">
        <f t="shared" si="3"/>
        <v>#VALUE!</v>
      </c>
      <c r="K35" s="64">
        <f t="shared" si="4"/>
        <v>32</v>
      </c>
      <c r="L35" s="64" t="str">
        <f>IFERROR(VLOOKUP(MID(G35,J35,K35-J35),[5]skilldef!$C:$D,2,FALSE),"-") &amp; " / " &amp; IFERROR(VLOOKUP(MID(G35,H35,I35-H35),[5]skilldef!$A:$B,2,FALSE),"-")</f>
        <v>- / -</v>
      </c>
      <c r="M35" s="64" t="str">
        <f t="shared" si="5"/>
        <v>[effect:enhance_fever, val:1000, animation:fevergauge_up04],[effect:fix_speed, target:myself, turn:1]</v>
      </c>
      <c r="N35" s="48" t="str">
        <f>IFERROR(LEFT(M35,FIND("],",M35)+#REF!),M35)</f>
        <v>[effect:enhance_fever, val:1000, animation:fevergauge_up04],[effect:fix_speed, target:myself, turn:1]</v>
      </c>
      <c r="O35" s="64">
        <f t="shared" si="6"/>
        <v>9</v>
      </c>
      <c r="P35" s="64">
        <f t="shared" si="7"/>
        <v>22</v>
      </c>
      <c r="Q35" s="64">
        <f t="shared" si="8"/>
        <v>87</v>
      </c>
      <c r="R35" s="64">
        <f t="shared" si="9"/>
        <v>32</v>
      </c>
      <c r="S35" s="64" t="str">
        <f>IFERROR(VLOOKUP(MID(N35,Q35,R35-Q35),[5]skilldef!$C:$D,2,FALSE),"-") &amp; " / " &amp; IFERROR(VLOOKUP(MID(N35,O35,P35-O35),[5]skilldef!$A:$B,2,FALSE),"-")</f>
        <v>- / -</v>
      </c>
      <c r="T35" s="48" t="str">
        <f t="shared" si="10"/>
        <v>[effect:fix_speed, target:myself, turn:1]</v>
      </c>
      <c r="U35" s="64">
        <f t="shared" si="11"/>
        <v>9</v>
      </c>
      <c r="V35" s="64">
        <f t="shared" si="12"/>
        <v>18</v>
      </c>
      <c r="W35" s="64">
        <f t="shared" si="13"/>
        <v>27</v>
      </c>
      <c r="X35" s="64">
        <f t="shared" si="14"/>
        <v>33</v>
      </c>
      <c r="Y35" s="64" t="str">
        <f>IFERROR(VLOOKUP(MID(T35,W35,X35-W35),[5]skilldef!$C:$D,2,FALSE),"-") &amp; " / " &amp; IFERROR(VLOOKUP(MID(T35,U35,V35-U35),[5]skilldef!$A:$B,2,FALSE),"-")</f>
        <v>自分自身に / 行動値設定</v>
      </c>
      <c r="Z35" s="50"/>
      <c r="AA35" s="52"/>
      <c r="AB35" s="50"/>
    </row>
    <row r="36" spans="1:28" ht="40" customHeight="1" x14ac:dyDescent="0.15">
      <c r="A36" s="47">
        <v>47003107</v>
      </c>
      <c r="B36" s="47" t="s">
        <v>383</v>
      </c>
      <c r="C36" s="50">
        <v>3</v>
      </c>
      <c r="D36" s="50" t="s">
        <v>126</v>
      </c>
      <c r="E36" s="51" t="s">
        <v>329</v>
      </c>
      <c r="F36" s="51" t="s">
        <v>356</v>
      </c>
      <c r="G36" s="130" t="str">
        <f t="shared" si="0"/>
        <v>[effect:enemy_message, val1:2.0, val2:1.8]</v>
      </c>
      <c r="H36" s="64">
        <f t="shared" si="1"/>
        <v>9</v>
      </c>
      <c r="I36" s="64">
        <f t="shared" si="2"/>
        <v>22</v>
      </c>
      <c r="J36" s="64" t="e">
        <f t="shared" si="3"/>
        <v>#VALUE!</v>
      </c>
      <c r="K36" s="64">
        <f t="shared" si="4"/>
        <v>32</v>
      </c>
      <c r="L36" s="64" t="str">
        <f>IFERROR(VLOOKUP(MID(G36,J36,K36-J36),[5]skilldef!$C:$D,2,FALSE),"-") &amp; " / " &amp; IFERROR(VLOOKUP(MID(G36,H36,I36-H36),[5]skilldef!$A:$B,2,FALSE),"-")</f>
        <v>- / -</v>
      </c>
      <c r="M36" s="64" t="str">
        <f t="shared" si="5"/>
        <v>[effect:enhance_fever, val:1000, animation:fevergauge_up04],[effect:fix_speed, target:myself, turn:1]</v>
      </c>
      <c r="N36" s="48" t="str">
        <f>IFERROR(LEFT(M36,FIND("],",M36)+#REF!),M36)</f>
        <v>[effect:enhance_fever, val:1000, animation:fevergauge_up04],[effect:fix_speed, target:myself, turn:1]</v>
      </c>
      <c r="O36" s="64">
        <f t="shared" si="6"/>
        <v>9</v>
      </c>
      <c r="P36" s="64">
        <f t="shared" si="7"/>
        <v>22</v>
      </c>
      <c r="Q36" s="64">
        <f t="shared" si="8"/>
        <v>87</v>
      </c>
      <c r="R36" s="64">
        <f t="shared" si="9"/>
        <v>32</v>
      </c>
      <c r="S36" s="64" t="str">
        <f>IFERROR(VLOOKUP(MID(N36,Q36,R36-Q36),[5]skilldef!$C:$D,2,FALSE),"-") &amp; " / " &amp; IFERROR(VLOOKUP(MID(N36,O36,P36-O36),[5]skilldef!$A:$B,2,FALSE),"-")</f>
        <v>- / -</v>
      </c>
      <c r="T36" s="48" t="str">
        <f t="shared" si="10"/>
        <v>[effect:fix_speed, target:myself, turn:1]</v>
      </c>
      <c r="U36" s="64">
        <f t="shared" si="11"/>
        <v>9</v>
      </c>
      <c r="V36" s="64">
        <f t="shared" si="12"/>
        <v>18</v>
      </c>
      <c r="W36" s="64">
        <f t="shared" si="13"/>
        <v>27</v>
      </c>
      <c r="X36" s="64">
        <f t="shared" si="14"/>
        <v>33</v>
      </c>
      <c r="Y36" s="64" t="str">
        <f>IFERROR(VLOOKUP(MID(T36,W36,X36-W36),[5]skilldef!$C:$D,2,FALSE),"-") &amp; " / " &amp; IFERROR(VLOOKUP(MID(T36,U36,V36-U36),[5]skilldef!$A:$B,2,FALSE),"-")</f>
        <v>自分自身に / 行動値設定</v>
      </c>
      <c r="Z36" s="50"/>
      <c r="AA36" s="52"/>
      <c r="AB36" s="50"/>
    </row>
    <row r="37" spans="1:28" ht="40" customHeight="1" x14ac:dyDescent="0.15">
      <c r="A37" s="47">
        <v>47003121</v>
      </c>
      <c r="B37" s="135" t="s">
        <v>385</v>
      </c>
      <c r="C37" s="128">
        <v>3</v>
      </c>
      <c r="D37" s="128" t="s">
        <v>126</v>
      </c>
      <c r="E37" s="51" t="s">
        <v>367</v>
      </c>
      <c r="F37" s="51" t="s">
        <v>363</v>
      </c>
      <c r="G37" s="130" t="str">
        <f t="shared" si="0"/>
        <v>[effect:enemy_message, val1:2.0, val2:1.8]</v>
      </c>
      <c r="H37" s="64">
        <f t="shared" si="1"/>
        <v>9</v>
      </c>
      <c r="I37" s="64">
        <f t="shared" si="2"/>
        <v>22</v>
      </c>
      <c r="J37" s="64" t="e">
        <f t="shared" si="3"/>
        <v>#VALUE!</v>
      </c>
      <c r="K37" s="64">
        <f t="shared" si="4"/>
        <v>32</v>
      </c>
      <c r="L37" s="64" t="str">
        <f>IFERROR(VLOOKUP(MID(G37,J37,K37-J37),[5]skilldef!$C:$D,2,FALSE),"-") &amp; " / " &amp; IFERROR(VLOOKUP(MID(G37,H37,I37-H37),[5]skilldef!$A:$B,2,FALSE),"-")</f>
        <v>- / -</v>
      </c>
      <c r="M37" s="64" t="str">
        <f t="shared" si="5"/>
        <v>[effect:fix_speed, target:myself, turn:1]</v>
      </c>
      <c r="N37" s="48" t="str">
        <f>IFERROR(LEFT(M37,FIND("],",M37)+S52),M37)</f>
        <v>[effect:fix_speed, target:myself, turn:1]</v>
      </c>
      <c r="O37" s="64">
        <f t="shared" si="6"/>
        <v>9</v>
      </c>
      <c r="P37" s="64">
        <f t="shared" si="7"/>
        <v>18</v>
      </c>
      <c r="Q37" s="64">
        <f t="shared" si="8"/>
        <v>27</v>
      </c>
      <c r="R37" s="64">
        <f t="shared" si="9"/>
        <v>33</v>
      </c>
      <c r="S37" s="64" t="str">
        <f>IFERROR(VLOOKUP(MID(N37,Q37,R37-Q37),[5]skilldef!$C:$D,2,FALSE),"-") &amp; " / " &amp; IFERROR(VLOOKUP(MID(N37,O37,P37-O37),[5]skilldef!$A:$B,2,FALSE),"-")</f>
        <v>自分自身に / 行動値設定</v>
      </c>
      <c r="T37" s="48" t="str">
        <f t="shared" si="10"/>
        <v>none</v>
      </c>
      <c r="U37" s="64" t="e">
        <f t="shared" si="11"/>
        <v>#VALUE!</v>
      </c>
      <c r="V37" s="64">
        <f t="shared" si="12"/>
        <v>4</v>
      </c>
      <c r="W37" s="64" t="e">
        <f t="shared" si="13"/>
        <v>#VALUE!</v>
      </c>
      <c r="X37" s="64" t="e">
        <f t="shared" si="14"/>
        <v>#VALUE!</v>
      </c>
      <c r="Y37" s="64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40" customHeight="1" x14ac:dyDescent="0.15">
      <c r="A38" s="47">
        <v>47003122</v>
      </c>
      <c r="B38" s="137" t="s">
        <v>503</v>
      </c>
      <c r="C38" s="128">
        <v>3</v>
      </c>
      <c r="D38" s="128" t="s">
        <v>126</v>
      </c>
      <c r="E38" s="51" t="s">
        <v>364</v>
      </c>
      <c r="F38" s="51" t="s">
        <v>330</v>
      </c>
      <c r="G38" s="130" t="str">
        <f t="shared" si="0"/>
        <v>[effect:enemy_message, val1:1.3, val2:1.8]</v>
      </c>
      <c r="H38" s="64">
        <f t="shared" si="1"/>
        <v>9</v>
      </c>
      <c r="I38" s="64">
        <f t="shared" si="2"/>
        <v>22</v>
      </c>
      <c r="J38" s="64" t="e">
        <f t="shared" si="3"/>
        <v>#VALUE!</v>
      </c>
      <c r="K38" s="64">
        <f t="shared" si="4"/>
        <v>32</v>
      </c>
      <c r="L38" s="64" t="str">
        <f>IFERROR(VLOOKUP(MID(G38,J38,K38-J38),[5]skilldef!$C:$D,2,FALSE),"-") &amp; " / " &amp; IFERROR(VLOOKUP(MID(G38,H38,I38-H38),[5]skilldef!$A:$B,2,FALSE),"-")</f>
        <v>- / -</v>
      </c>
      <c r="M38" s="64" t="str">
        <f t="shared" si="5"/>
        <v>[effect:break_attack_fix, target:unit_one, val:260, lowest_val:1, count:-1, color:red, block_color:block_heart, block01:block_heart, block02:crack_bomb],[effect:fix_speed, target:myself, turn:2]</v>
      </c>
      <c r="N38" s="48" t="str">
        <f>IFERROR(LEFT(M38,FIND("],",M38)+#REF!),M38)</f>
        <v>[effect:break_attack_fix, target:unit_one, val:260, lowest_val:1, count:-1, color:red, block_color:block_heart, block01:block_heart, block02:crack_bomb],[effect:fix_speed, target:myself, turn:2]</v>
      </c>
      <c r="O38" s="64">
        <f t="shared" si="6"/>
        <v>9</v>
      </c>
      <c r="P38" s="64">
        <f t="shared" si="7"/>
        <v>25</v>
      </c>
      <c r="Q38" s="64">
        <f t="shared" si="8"/>
        <v>34</v>
      </c>
      <c r="R38" s="64">
        <f t="shared" si="9"/>
        <v>42</v>
      </c>
      <c r="S38" s="64" t="str">
        <f>IFERROR(VLOOKUP(MID(N38,Q38,R38-Q38),[5]skilldef!$C:$D,2,FALSE),"-") &amp; " / " &amp; IFERROR(VLOOKUP(MID(N38,O38,P38-O38),[5]skilldef!$A:$B,2,FALSE),"-")</f>
        <v>味方単体に / -</v>
      </c>
      <c r="T38" s="48" t="str">
        <f t="shared" si="10"/>
        <v>[effect:fix_speed, target:myself, turn:2]</v>
      </c>
      <c r="U38" s="64">
        <f t="shared" si="11"/>
        <v>9</v>
      </c>
      <c r="V38" s="64">
        <f t="shared" si="12"/>
        <v>18</v>
      </c>
      <c r="W38" s="64">
        <f t="shared" si="13"/>
        <v>27</v>
      </c>
      <c r="X38" s="64">
        <f t="shared" si="14"/>
        <v>33</v>
      </c>
      <c r="Y38" s="64" t="str">
        <f>IFERROR(VLOOKUP(MID(T38,W38,X38-W38),[5]skilldef!$C:$D,2,FALSE),"-") &amp; " / " &amp; IFERROR(VLOOKUP(MID(T38,U38,V38-U38),[5]skilldef!$A:$B,2,FALSE),"-")</f>
        <v>自分自身に / 行動値設定</v>
      </c>
      <c r="Z38" s="50"/>
      <c r="AA38" s="52"/>
      <c r="AB38" s="50"/>
    </row>
    <row r="39" spans="1:28" ht="40" customHeight="1" x14ac:dyDescent="0.15">
      <c r="A39" s="47">
        <v>47003123</v>
      </c>
      <c r="B39" s="47" t="s">
        <v>586</v>
      </c>
      <c r="C39" s="128">
        <v>3</v>
      </c>
      <c r="D39" s="128" t="s">
        <v>126</v>
      </c>
      <c r="E39" s="51" t="s">
        <v>331</v>
      </c>
      <c r="F39" s="51" t="s">
        <v>609</v>
      </c>
      <c r="G39" s="130" t="str">
        <f t="shared" si="0"/>
        <v>[effect:enemy_message, val1:1.0, val2:3.3]</v>
      </c>
      <c r="H39" s="64">
        <f t="shared" si="1"/>
        <v>9</v>
      </c>
      <c r="I39" s="64">
        <f t="shared" si="2"/>
        <v>22</v>
      </c>
      <c r="J39" s="64" t="e">
        <f t="shared" si="3"/>
        <v>#VALUE!</v>
      </c>
      <c r="K39" s="64">
        <f t="shared" si="4"/>
        <v>32</v>
      </c>
      <c r="L39" s="64" t="str">
        <f>IFERROR(VLOOKUP(MID(G39,J39,K39-J39),[5]skilldef!$C:$D,2,FALSE),"-") &amp; " / " &amp; IFERROR(VLOOKUP(MID(G39,H39,I39-H39),[5]skilldef!$A:$B,2,FALSE),"-")</f>
        <v>- / -</v>
      </c>
      <c r="M39" s="64" t="str">
        <f t="shared" si="5"/>
        <v>[effect:damage_anti_tribe, target:unit_all, tribe:machine, val1:0.5, val2:0.25],[effect:hungup, target:unit_machine, turn:4, rate:1, animation:hungup02]</v>
      </c>
      <c r="N39" s="48" t="str">
        <f>IFERROR(LEFT(M39,FIND("],",M39)+S52),M39)</f>
        <v>[effect:damage_anti_tribe, target:unit_all, tribe:machine, val1:0.5, val2:0.25],[effect:hungup, target:unit_machine, turn:4, rate:1, animation:hungup02]</v>
      </c>
      <c r="O39" s="64">
        <f t="shared" si="6"/>
        <v>9</v>
      </c>
      <c r="P39" s="64">
        <f t="shared" si="7"/>
        <v>26</v>
      </c>
      <c r="Q39" s="64">
        <f t="shared" si="8"/>
        <v>35</v>
      </c>
      <c r="R39" s="64">
        <f t="shared" si="9"/>
        <v>43</v>
      </c>
      <c r="S39" s="64" t="str">
        <f>IFERROR(VLOOKUP(MID(N39,Q39,R39-Q39),[5]skilldef!$C:$D,2,FALSE),"-") &amp; " / " &amp; IFERROR(VLOOKUP(MID(N39,O39,P39-O39),[5]skilldef!$A:$B,2,FALSE),"-")</f>
        <v>味方全体に / 種族キラー</v>
      </c>
      <c r="T39" s="48" t="str">
        <f t="shared" si="10"/>
        <v>[effect:hungup, target:unit_machine, turn:4, rate:1, animation:hungup02]</v>
      </c>
      <c r="U39" s="64">
        <f t="shared" si="11"/>
        <v>9</v>
      </c>
      <c r="V39" s="64">
        <f t="shared" si="12"/>
        <v>15</v>
      </c>
      <c r="W39" s="64">
        <f t="shared" si="13"/>
        <v>24</v>
      </c>
      <c r="X39" s="64">
        <f t="shared" si="14"/>
        <v>36</v>
      </c>
      <c r="Y39" s="64" t="str">
        <f>IFERROR(VLOOKUP(MID(T39,W39,X39-W39),[5]skilldef!$C:$D,2,FALSE),"-") &amp; " / " &amp; IFERROR(VLOOKUP(MID(T39,U39,V39-U39),[5]skilldef!$A:$B,2,FALSE),"-")</f>
        <v>- / ハングアップ</v>
      </c>
      <c r="Z39" s="50"/>
      <c r="AA39" s="52"/>
      <c r="AB39" s="50"/>
    </row>
    <row r="40" spans="1:28" ht="40" customHeight="1" x14ac:dyDescent="0.15">
      <c r="A40" s="47">
        <v>47003124</v>
      </c>
      <c r="B40" s="47" t="s">
        <v>394</v>
      </c>
      <c r="C40" s="128">
        <v>3</v>
      </c>
      <c r="D40" s="128" t="s">
        <v>126</v>
      </c>
      <c r="E40" s="51" t="s">
        <v>332</v>
      </c>
      <c r="F40" s="51" t="s">
        <v>365</v>
      </c>
      <c r="G40" s="130" t="str">
        <f t="shared" si="0"/>
        <v>[effect:rush, count:2, val:0.35]</v>
      </c>
      <c r="H40" s="64">
        <f t="shared" si="1"/>
        <v>9</v>
      </c>
      <c r="I40" s="64">
        <f t="shared" si="2"/>
        <v>13</v>
      </c>
      <c r="J40" s="64" t="e">
        <f t="shared" si="3"/>
        <v>#VALUE!</v>
      </c>
      <c r="K40" s="64">
        <f t="shared" si="4"/>
        <v>22</v>
      </c>
      <c r="L40" s="64" t="str">
        <f>IFERROR(VLOOKUP(MID(G40,J40,K40-J40),[5]skilldef!$C:$D,2,FALSE),"-") &amp; " / " &amp; IFERROR(VLOOKUP(MID(G40,H40,I40-H40),[5]skilldef!$A:$B,2,FALSE),"-")</f>
        <v>- / 連続攻撃</v>
      </c>
      <c r="M40" s="64" t="str">
        <f t="shared" si="5"/>
        <v>none</v>
      </c>
      <c r="N40" s="48" t="str">
        <f>IFERROR(LEFT(M40,FIND("],",M40)+S53),M40)</f>
        <v>none</v>
      </c>
      <c r="O40" s="64" t="e">
        <f t="shared" si="6"/>
        <v>#VALUE!</v>
      </c>
      <c r="P40" s="64">
        <f t="shared" si="7"/>
        <v>4</v>
      </c>
      <c r="Q40" s="64" t="e">
        <f t="shared" si="8"/>
        <v>#VALUE!</v>
      </c>
      <c r="R40" s="64" t="e">
        <f t="shared" si="9"/>
        <v>#VALUE!</v>
      </c>
      <c r="S40" s="64" t="str">
        <f>IFERROR(VLOOKUP(MID(N40,Q40,R40-Q40),[5]skilldef!$C:$D,2,FALSE),"-") &amp; " / " &amp; IFERROR(VLOOKUP(MID(N40,O40,P40-O40),[5]skilldef!$A:$B,2,FALSE),"-")</f>
        <v>- / -</v>
      </c>
      <c r="T40" s="48" t="str">
        <f t="shared" si="10"/>
        <v>none</v>
      </c>
      <c r="U40" s="64" t="e">
        <f t="shared" si="11"/>
        <v>#VALUE!</v>
      </c>
      <c r="V40" s="64">
        <f t="shared" si="12"/>
        <v>4</v>
      </c>
      <c r="W40" s="64" t="e">
        <f t="shared" si="13"/>
        <v>#VALUE!</v>
      </c>
      <c r="X40" s="64" t="e">
        <f t="shared" si="14"/>
        <v>#VALUE!</v>
      </c>
      <c r="Y40" s="64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40" customHeight="1" x14ac:dyDescent="0.15">
      <c r="A41" s="47">
        <v>47003125</v>
      </c>
      <c r="B41" s="137" t="s">
        <v>504</v>
      </c>
      <c r="C41" s="128">
        <v>3</v>
      </c>
      <c r="D41" s="128" t="s">
        <v>126</v>
      </c>
      <c r="E41" s="51" t="s">
        <v>333</v>
      </c>
      <c r="F41" s="51" t="s">
        <v>330</v>
      </c>
      <c r="G41" s="130" t="str">
        <f t="shared" si="0"/>
        <v>[effect:enemy_message, val1:1.5, val2:2.0]</v>
      </c>
      <c r="H41" s="64">
        <f t="shared" si="1"/>
        <v>9</v>
      </c>
      <c r="I41" s="64">
        <f t="shared" si="2"/>
        <v>22</v>
      </c>
      <c r="J41" s="64" t="e">
        <f t="shared" si="3"/>
        <v>#VALUE!</v>
      </c>
      <c r="K41" s="64">
        <f t="shared" si="4"/>
        <v>32</v>
      </c>
      <c r="L41" s="64" t="str">
        <f>IFERROR(VLOOKUP(MID(G41,J41,K41-J41),[5]skilldef!$C:$D,2,FALSE),"-") &amp; " / " &amp; IFERROR(VLOOKUP(MID(G41,H41,I41-H41),[5]skilldef!$A:$B,2,FALSE),"-")</f>
        <v>- / -</v>
      </c>
      <c r="M41" s="64" t="str">
        <f t="shared" si="5"/>
        <v>[effect:break_attack_fix, target:unit_one, val:310, lowest_val:1, count:-1, color:red, block_color:block_heart, block01:block_heart, block02:crack_bomb]</v>
      </c>
      <c r="N41" s="48" t="str">
        <f>IFERROR(LEFT(M41,FIND("],",M41)+S53),M41)</f>
        <v>[effect:break_attack_fix, target:unit_one, val:310, lowest_val:1, count:-1, color:red, block_color:block_heart, block01:block_heart, block02:crack_bomb]</v>
      </c>
      <c r="O41" s="64">
        <f t="shared" si="6"/>
        <v>9</v>
      </c>
      <c r="P41" s="64">
        <f t="shared" si="7"/>
        <v>25</v>
      </c>
      <c r="Q41" s="64">
        <f t="shared" si="8"/>
        <v>34</v>
      </c>
      <c r="R41" s="64">
        <f t="shared" si="9"/>
        <v>42</v>
      </c>
      <c r="S41" s="64" t="str">
        <f>IFERROR(VLOOKUP(MID(N41,Q41,R41-Q41),[5]skilldef!$C:$D,2,FALSE),"-") &amp; " / " &amp; IFERROR(VLOOKUP(MID(N41,O41,P41-O41),[5]skilldef!$A:$B,2,FALSE),"-")</f>
        <v>味方単体に / -</v>
      </c>
      <c r="T41" s="48" t="str">
        <f t="shared" si="10"/>
        <v>none</v>
      </c>
      <c r="U41" s="64" t="e">
        <f t="shared" si="11"/>
        <v>#VALUE!</v>
      </c>
      <c r="V41" s="64">
        <f t="shared" si="12"/>
        <v>4</v>
      </c>
      <c r="W41" s="64" t="e">
        <f t="shared" si="13"/>
        <v>#VALUE!</v>
      </c>
      <c r="X41" s="64" t="e">
        <f t="shared" si="14"/>
        <v>#VALUE!</v>
      </c>
      <c r="Y41" s="64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ht="40" customHeight="1" x14ac:dyDescent="0.15">
      <c r="A42" s="47">
        <v>47003126</v>
      </c>
      <c r="B42" s="135" t="s">
        <v>572</v>
      </c>
      <c r="C42" s="136">
        <v>3</v>
      </c>
      <c r="D42" s="136" t="s">
        <v>126</v>
      </c>
      <c r="E42" s="139" t="s">
        <v>334</v>
      </c>
      <c r="F42" s="51" t="s">
        <v>356</v>
      </c>
      <c r="G42" s="130" t="str">
        <f t="shared" si="0"/>
        <v>[effect:enemy_message, val1:1.5, val2:1.8]</v>
      </c>
      <c r="H42" s="64">
        <f t="shared" si="1"/>
        <v>9</v>
      </c>
      <c r="I42" s="64">
        <f t="shared" si="2"/>
        <v>22</v>
      </c>
      <c r="J42" s="64" t="e">
        <f t="shared" si="3"/>
        <v>#VALUE!</v>
      </c>
      <c r="K42" s="64">
        <f t="shared" si="4"/>
        <v>32</v>
      </c>
      <c r="L42" s="64" t="str">
        <f>IFERROR(VLOOKUP(MID(G42,J42,K42-J42),[5]skilldef!$C:$D,2,FALSE),"-") &amp; " / " &amp; IFERROR(VLOOKUP(MID(G42,H42,I42-H42),[5]skilldef!$A:$B,2,FALSE),"-")</f>
        <v>- / -</v>
      </c>
      <c r="M42" s="64" t="str">
        <f t="shared" si="5"/>
        <v>[effect:enhance_fever, val:1000, animation:fevergauge_up04],[effect:fix_speed, target:myself, turn:1]</v>
      </c>
      <c r="N42" s="48" t="str">
        <f>IFERROR(LEFT(M42,FIND("],",M42)+#REF!),M42)</f>
        <v>[effect:enhance_fever, val:1000, animation:fevergauge_up04],[effect:fix_speed, target:myself, turn:1]</v>
      </c>
      <c r="O42" s="64">
        <f t="shared" si="6"/>
        <v>9</v>
      </c>
      <c r="P42" s="64">
        <f t="shared" si="7"/>
        <v>22</v>
      </c>
      <c r="Q42" s="64">
        <f t="shared" si="8"/>
        <v>87</v>
      </c>
      <c r="R42" s="64">
        <f t="shared" si="9"/>
        <v>32</v>
      </c>
      <c r="S42" s="64" t="str">
        <f>IFERROR(VLOOKUP(MID(N42,Q42,R42-Q42),[5]skilldef!$C:$D,2,FALSE),"-") &amp; " / " &amp; IFERROR(VLOOKUP(MID(N42,O42,P42-O42),[5]skilldef!$A:$B,2,FALSE),"-")</f>
        <v>- / -</v>
      </c>
      <c r="T42" s="48" t="str">
        <f t="shared" si="10"/>
        <v>[effect:fix_speed, target:myself, turn:1]</v>
      </c>
      <c r="U42" s="64">
        <f t="shared" si="11"/>
        <v>9</v>
      </c>
      <c r="V42" s="64">
        <f t="shared" si="12"/>
        <v>18</v>
      </c>
      <c r="W42" s="64">
        <f t="shared" si="13"/>
        <v>27</v>
      </c>
      <c r="X42" s="64">
        <f t="shared" si="14"/>
        <v>33</v>
      </c>
      <c r="Y42" s="64" t="str">
        <f>IFERROR(VLOOKUP(MID(T42,W42,X42-W42),[5]skilldef!$C:$D,2,FALSE),"-") &amp; " / " &amp; IFERROR(VLOOKUP(MID(T42,U42,V42-U42),[5]skilldef!$A:$B,2,FALSE),"-")</f>
        <v>自分自身に / 行動値設定</v>
      </c>
      <c r="Z42" s="50"/>
      <c r="AA42" s="52"/>
      <c r="AB42" s="50"/>
    </row>
    <row r="43" spans="1:28" ht="40" customHeight="1" x14ac:dyDescent="0.15">
      <c r="A43" s="47">
        <v>47003127</v>
      </c>
      <c r="B43" s="135" t="s">
        <v>573</v>
      </c>
      <c r="C43" s="136">
        <v>3</v>
      </c>
      <c r="D43" s="136" t="s">
        <v>126</v>
      </c>
      <c r="E43" s="139" t="s">
        <v>284</v>
      </c>
      <c r="F43" s="51" t="s">
        <v>370</v>
      </c>
      <c r="G43" s="130" t="str">
        <f t="shared" si="0"/>
        <v>[effect:enemy_message, val1:1.5, val2:1.8]</v>
      </c>
      <c r="H43" s="64">
        <f t="shared" si="1"/>
        <v>9</v>
      </c>
      <c r="I43" s="64">
        <f t="shared" si="2"/>
        <v>22</v>
      </c>
      <c r="J43" s="64" t="e">
        <f t="shared" si="3"/>
        <v>#VALUE!</v>
      </c>
      <c r="K43" s="64">
        <f t="shared" si="4"/>
        <v>32</v>
      </c>
      <c r="L43" s="64" t="str">
        <f>IFERROR(VLOOKUP(MID(G43,J43,K43-J43),[5]skilldef!$C:$D,2,FALSE),"-") &amp; " / " &amp; IFERROR(VLOOKUP(MID(G43,H43,I43-H43),[5]skilldef!$A:$B,2,FALSE),"-")</f>
        <v>- / -</v>
      </c>
      <c r="M43" s="64" t="str">
        <f t="shared" si="5"/>
        <v>[effect:enhance_fever, val:1000, animation:fevergauge_up04],[effect:fix_speed, target:myself, turn:1]</v>
      </c>
      <c r="N43" s="48" t="str">
        <f>IFERROR(LEFT(M43,FIND("],",M43)+S55),M43)</f>
        <v>[effect:enhance_fever, val:1000, animation:fevergauge_up04],[effect:fix_speed, target:myself, turn:1]</v>
      </c>
      <c r="O43" s="64">
        <f t="shared" si="6"/>
        <v>9</v>
      </c>
      <c r="P43" s="64">
        <f t="shared" si="7"/>
        <v>22</v>
      </c>
      <c r="Q43" s="64">
        <f t="shared" si="8"/>
        <v>87</v>
      </c>
      <c r="R43" s="64">
        <f t="shared" si="9"/>
        <v>32</v>
      </c>
      <c r="S43" s="64" t="str">
        <f>IFERROR(VLOOKUP(MID(N43,Q43,R43-Q43),[5]skilldef!$C:$D,2,FALSE),"-") &amp; " / " &amp; IFERROR(VLOOKUP(MID(N43,O43,P43-O43),[5]skilldef!$A:$B,2,FALSE),"-")</f>
        <v>- / -</v>
      </c>
      <c r="T43" s="48" t="str">
        <f t="shared" si="10"/>
        <v>[effect:fix_speed, target:myself, turn:1]</v>
      </c>
      <c r="U43" s="64">
        <f t="shared" si="11"/>
        <v>9</v>
      </c>
      <c r="V43" s="64">
        <f t="shared" si="12"/>
        <v>18</v>
      </c>
      <c r="W43" s="64">
        <f t="shared" si="13"/>
        <v>27</v>
      </c>
      <c r="X43" s="64">
        <f t="shared" si="14"/>
        <v>33</v>
      </c>
      <c r="Y43" s="64" t="str">
        <f>IFERROR(VLOOKUP(MID(T43,W43,X43-W43),[5]skilldef!$C:$D,2,FALSE),"-") &amp; " / " &amp; IFERROR(VLOOKUP(MID(T43,U43,V43-U43),[5]skilldef!$A:$B,2,FALSE),"-")</f>
        <v>自分自身に / 行動値設定</v>
      </c>
      <c r="Z43" s="50"/>
      <c r="AA43" s="52"/>
      <c r="AB43" s="50"/>
    </row>
    <row r="44" spans="1:28" ht="40" customHeight="1" x14ac:dyDescent="0.15">
      <c r="A44" s="47">
        <v>47003141</v>
      </c>
      <c r="B44" s="137" t="s">
        <v>592</v>
      </c>
      <c r="C44" s="50">
        <v>3</v>
      </c>
      <c r="D44" s="50" t="s">
        <v>126</v>
      </c>
      <c r="E44" s="51" t="s">
        <v>285</v>
      </c>
      <c r="F44" s="143" t="s">
        <v>458</v>
      </c>
      <c r="G44" s="130" t="str">
        <f t="shared" si="0"/>
        <v>[effect:enemy_message, val1:1.3, val2:2.0]</v>
      </c>
      <c r="H44" s="64">
        <f t="shared" si="1"/>
        <v>9</v>
      </c>
      <c r="I44" s="64">
        <f t="shared" si="2"/>
        <v>22</v>
      </c>
      <c r="J44" s="64" t="e">
        <f t="shared" si="3"/>
        <v>#VALUE!</v>
      </c>
      <c r="K44" s="64">
        <f t="shared" si="4"/>
        <v>32</v>
      </c>
      <c r="L44" s="64" t="str">
        <f>IFERROR(VLOOKUP(MID(G44,J44,K44-J44),[5]skilldef!$C:$D,2,FALSE),"-") &amp; " / " &amp; IFERROR(VLOOKUP(MID(G44,H44,I44-H44),[5]skilldef!$A:$B,2,FALSE),"-")</f>
        <v>- / -</v>
      </c>
      <c r="M44" s="64" t="str">
        <f t="shared" si="5"/>
        <v>[effect:dark, target:unit_demon/not, turn:2, animation:enemy_dark],[effect:fix_speed, target:myself, turn:2]</v>
      </c>
      <c r="N44" s="48" t="str">
        <f>IFERROR(LEFT(M44,FIND("],",M44)+#REF!),M44)</f>
        <v>[effect:dark, target:unit_demon/not, turn:2, animation:enemy_dark],[effect:fix_speed, target:myself, turn:2]</v>
      </c>
      <c r="O44" s="64">
        <f t="shared" si="6"/>
        <v>9</v>
      </c>
      <c r="P44" s="64">
        <f t="shared" si="7"/>
        <v>13</v>
      </c>
      <c r="Q44" s="64">
        <f t="shared" si="8"/>
        <v>22</v>
      </c>
      <c r="R44" s="64">
        <f t="shared" si="9"/>
        <v>36</v>
      </c>
      <c r="S44" s="64" t="str">
        <f>IFERROR(VLOOKUP(MID(N44,Q44,R44-Q44),[5]skilldef!$C:$D,2,FALSE),"-") &amp; " / " &amp; IFERROR(VLOOKUP(MID(N44,O44,P44-O44),[5]skilldef!$A:$B,2,FALSE),"-")</f>
        <v>- / 暗黒</v>
      </c>
      <c r="T44" s="48" t="str">
        <f t="shared" si="10"/>
        <v>[effect:fix_speed, target:myself, turn:2]</v>
      </c>
      <c r="U44" s="64">
        <f t="shared" si="11"/>
        <v>9</v>
      </c>
      <c r="V44" s="64">
        <f t="shared" si="12"/>
        <v>18</v>
      </c>
      <c r="W44" s="64">
        <f t="shared" si="13"/>
        <v>27</v>
      </c>
      <c r="X44" s="64">
        <f t="shared" si="14"/>
        <v>33</v>
      </c>
      <c r="Y44" s="64" t="str">
        <f>IFERROR(VLOOKUP(MID(T44,W44,X44-W44),[5]skilldef!$C:$D,2,FALSE),"-") &amp; " / " &amp; IFERROR(VLOOKUP(MID(T44,U44,V44-U44),[5]skilldef!$A:$B,2,FALSE),"-")</f>
        <v>自分自身に / 行動値設定</v>
      </c>
      <c r="Z44" s="50"/>
      <c r="AA44" s="52"/>
      <c r="AB44" s="50"/>
    </row>
    <row r="45" spans="1:28" ht="40" customHeight="1" x14ac:dyDescent="0.15">
      <c r="A45" s="47">
        <v>47003142</v>
      </c>
      <c r="B45" s="137" t="s">
        <v>416</v>
      </c>
      <c r="C45" s="50">
        <v>3</v>
      </c>
      <c r="D45" s="50" t="s">
        <v>126</v>
      </c>
      <c r="E45" s="51" t="s">
        <v>335</v>
      </c>
      <c r="F45" s="51" t="s">
        <v>336</v>
      </c>
      <c r="G45" s="130" t="str">
        <f t="shared" si="0"/>
        <v>[effect:damage_anti_abnormal, target:unit_all, target_effect01:dark, val1:0.66, val2:0.33]</v>
      </c>
      <c r="H45" s="64">
        <f t="shared" si="1"/>
        <v>9</v>
      </c>
      <c r="I45" s="64">
        <f t="shared" si="2"/>
        <v>29</v>
      </c>
      <c r="J45" s="64">
        <f t="shared" si="3"/>
        <v>38</v>
      </c>
      <c r="K45" s="64">
        <f t="shared" si="4"/>
        <v>46</v>
      </c>
      <c r="L45" s="64" t="str">
        <f>IFERROR(VLOOKUP(MID(G45,J45,K45-J45),[5]skilldef!$C:$D,2,FALSE),"-") &amp; " / " &amp; IFERROR(VLOOKUP(MID(G45,H45,I45-H45),[5]skilldef!$A:$B,2,FALSE),"-")</f>
        <v>味方全体に / -</v>
      </c>
      <c r="M45" s="64" t="str">
        <f t="shared" si="5"/>
        <v>none</v>
      </c>
      <c r="N45" s="48" t="str">
        <f>IFERROR(LEFT(M45,FIND("],",M45)+#REF!),M45)</f>
        <v>none</v>
      </c>
      <c r="O45" s="64" t="e">
        <f t="shared" si="6"/>
        <v>#VALUE!</v>
      </c>
      <c r="P45" s="64">
        <f t="shared" si="7"/>
        <v>4</v>
      </c>
      <c r="Q45" s="64" t="e">
        <f t="shared" si="8"/>
        <v>#VALUE!</v>
      </c>
      <c r="R45" s="64" t="e">
        <f t="shared" si="9"/>
        <v>#VALUE!</v>
      </c>
      <c r="S45" s="64" t="str">
        <f>IFERROR(VLOOKUP(MID(N45,Q45,R45-Q45),[5]skilldef!$C:$D,2,FALSE),"-") &amp; " / " &amp; IFERROR(VLOOKUP(MID(N45,O45,P45-O45),[5]skilldef!$A:$B,2,FALSE),"-")</f>
        <v>- / -</v>
      </c>
      <c r="T45" s="48" t="str">
        <f t="shared" si="10"/>
        <v>none</v>
      </c>
      <c r="U45" s="64" t="e">
        <f t="shared" si="11"/>
        <v>#VALUE!</v>
      </c>
      <c r="V45" s="64">
        <f t="shared" si="12"/>
        <v>4</v>
      </c>
      <c r="W45" s="64" t="e">
        <f t="shared" si="13"/>
        <v>#VALUE!</v>
      </c>
      <c r="X45" s="64" t="e">
        <f t="shared" si="14"/>
        <v>#VALUE!</v>
      </c>
      <c r="Y45" s="64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40" customHeight="1" x14ac:dyDescent="0.15">
      <c r="A46" s="47">
        <v>47003144</v>
      </c>
      <c r="B46" s="137" t="s">
        <v>426</v>
      </c>
      <c r="C46" s="50">
        <v>3</v>
      </c>
      <c r="D46" s="50" t="s">
        <v>126</v>
      </c>
      <c r="E46" s="51" t="s">
        <v>338</v>
      </c>
      <c r="F46" s="51" t="s">
        <v>339</v>
      </c>
      <c r="G46" s="130" t="str">
        <f t="shared" si="0"/>
        <v xml:space="preserve">[effect:break_attack_fix, target:unit_one, val:100, lowest_val:3000, count:-1, color:yellow, block01:block_yellow]    </v>
      </c>
      <c r="H46" s="64">
        <f t="shared" si="1"/>
        <v>9</v>
      </c>
      <c r="I46" s="64">
        <f t="shared" si="2"/>
        <v>25</v>
      </c>
      <c r="J46" s="64">
        <f t="shared" si="3"/>
        <v>34</v>
      </c>
      <c r="K46" s="64">
        <f t="shared" si="4"/>
        <v>42</v>
      </c>
      <c r="L46" s="64" t="str">
        <f>IFERROR(VLOOKUP(MID(G46,J46,K46-J46),[5]skilldef!$C:$D,2,FALSE),"-") &amp; " / " &amp; IFERROR(VLOOKUP(MID(G46,H46,I46-H46),[5]skilldef!$A:$B,2,FALSE),"-")</f>
        <v>味方単体に / -</v>
      </c>
      <c r="M46" s="64" t="str">
        <f t="shared" si="5"/>
        <v>none</v>
      </c>
      <c r="N46" s="48" t="str">
        <f>IFERROR(LEFT(M46,FIND("],",M46)+#REF!),M46)</f>
        <v>none</v>
      </c>
      <c r="O46" s="64" t="e">
        <f t="shared" si="6"/>
        <v>#VALUE!</v>
      </c>
      <c r="P46" s="64">
        <f t="shared" si="7"/>
        <v>4</v>
      </c>
      <c r="Q46" s="64" t="e">
        <f t="shared" si="8"/>
        <v>#VALUE!</v>
      </c>
      <c r="R46" s="64" t="e">
        <f t="shared" si="9"/>
        <v>#VALUE!</v>
      </c>
      <c r="S46" s="64" t="str">
        <f>IFERROR(VLOOKUP(MID(N46,Q46,R46-Q46),[5]skilldef!$C:$D,2,FALSE),"-") &amp; " / " &amp; IFERROR(VLOOKUP(MID(N46,O46,P46-O46),[5]skilldef!$A:$B,2,FALSE),"-")</f>
        <v>- / -</v>
      </c>
      <c r="T46" s="48" t="str">
        <f t="shared" si="10"/>
        <v>none</v>
      </c>
      <c r="U46" s="64" t="e">
        <f t="shared" si="11"/>
        <v>#VALUE!</v>
      </c>
      <c r="V46" s="64">
        <f t="shared" si="12"/>
        <v>4</v>
      </c>
      <c r="W46" s="64" t="e">
        <f t="shared" si="13"/>
        <v>#VALUE!</v>
      </c>
      <c r="X46" s="64" t="e">
        <f t="shared" si="14"/>
        <v>#VALUE!</v>
      </c>
      <c r="Y46" s="64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</row>
    <row r="47" spans="1:28" ht="40" customHeight="1" x14ac:dyDescent="0.15">
      <c r="A47" s="47">
        <v>47003145</v>
      </c>
      <c r="B47" s="137" t="s">
        <v>598</v>
      </c>
      <c r="C47" s="50">
        <v>3</v>
      </c>
      <c r="D47" s="50" t="s">
        <v>126</v>
      </c>
      <c r="E47" s="51" t="s">
        <v>340</v>
      </c>
      <c r="F47" s="143" t="s">
        <v>458</v>
      </c>
      <c r="G47" s="130" t="str">
        <f t="shared" si="0"/>
        <v>[effect:enemy_message, val1:2.2, val2:2.0]</v>
      </c>
      <c r="H47" s="64">
        <f t="shared" si="1"/>
        <v>9</v>
      </c>
      <c r="I47" s="64">
        <f t="shared" si="2"/>
        <v>22</v>
      </c>
      <c r="J47" s="64" t="e">
        <f t="shared" si="3"/>
        <v>#VALUE!</v>
      </c>
      <c r="K47" s="64">
        <f t="shared" si="4"/>
        <v>32</v>
      </c>
      <c r="L47" s="64" t="str">
        <f>IFERROR(VLOOKUP(MID(G47,J47,K47-J47),[5]skilldef!$C:$D,2,FALSE),"-") &amp; " / " &amp; IFERROR(VLOOKUP(MID(G47,H47,I47-H47),[5]skilldef!$A:$B,2,FALSE),"-")</f>
        <v>- / -</v>
      </c>
      <c r="M47" s="64" t="str">
        <f t="shared" si="5"/>
        <v>[effect:dark, target:unit_demon/not, turn:2, animation:enemy_dark],[effect:fix_speed, target:myself, turn:2]</v>
      </c>
      <c r="N47" s="48" t="str">
        <f>IFERROR(LEFT(M47,FIND("],",M47)+#REF!),M47)</f>
        <v>[effect:dark, target:unit_demon/not, turn:2, animation:enemy_dark],[effect:fix_speed, target:myself, turn:2]</v>
      </c>
      <c r="O47" s="64">
        <f t="shared" si="6"/>
        <v>9</v>
      </c>
      <c r="P47" s="64">
        <f t="shared" si="7"/>
        <v>13</v>
      </c>
      <c r="Q47" s="64">
        <f t="shared" si="8"/>
        <v>22</v>
      </c>
      <c r="R47" s="64">
        <f t="shared" si="9"/>
        <v>36</v>
      </c>
      <c r="S47" s="64" t="str">
        <f>IFERROR(VLOOKUP(MID(N47,Q47,R47-Q47),[5]skilldef!$C:$D,2,FALSE),"-") &amp; " / " &amp; IFERROR(VLOOKUP(MID(N47,O47,P47-O47),[5]skilldef!$A:$B,2,FALSE),"-")</f>
        <v>- / 暗黒</v>
      </c>
      <c r="T47" s="48" t="str">
        <f t="shared" si="10"/>
        <v>[effect:fix_speed, target:myself, turn:2]</v>
      </c>
      <c r="U47" s="64">
        <f t="shared" si="11"/>
        <v>9</v>
      </c>
      <c r="V47" s="64">
        <f t="shared" si="12"/>
        <v>18</v>
      </c>
      <c r="W47" s="64">
        <f t="shared" si="13"/>
        <v>27</v>
      </c>
      <c r="X47" s="64">
        <f t="shared" si="14"/>
        <v>33</v>
      </c>
      <c r="Y47" s="64" t="str">
        <f>IFERROR(VLOOKUP(MID(T47,W47,X47-W47),[5]skilldef!$C:$D,2,FALSE),"-") &amp; " / " &amp; IFERROR(VLOOKUP(MID(T47,U47,V47-U47),[5]skilldef!$A:$B,2,FALSE),"-")</f>
        <v>自分自身に / 行動値設定</v>
      </c>
      <c r="Z47" s="50"/>
      <c r="AA47" s="52"/>
      <c r="AB47" s="50"/>
    </row>
    <row r="48" spans="1:28" ht="40" customHeight="1" x14ac:dyDescent="0.15">
      <c r="A48" s="47">
        <v>47003146</v>
      </c>
      <c r="B48" s="137" t="s">
        <v>599</v>
      </c>
      <c r="C48" s="50">
        <v>3</v>
      </c>
      <c r="D48" s="50" t="s">
        <v>126</v>
      </c>
      <c r="E48" s="51" t="s">
        <v>341</v>
      </c>
      <c r="F48" s="143" t="s">
        <v>458</v>
      </c>
      <c r="G48" s="130" t="str">
        <f t="shared" si="0"/>
        <v>[effect:enemy_message, val1:2.2, val2:2.0]</v>
      </c>
      <c r="H48" s="64">
        <f t="shared" si="1"/>
        <v>9</v>
      </c>
      <c r="I48" s="64">
        <f t="shared" si="2"/>
        <v>22</v>
      </c>
      <c r="J48" s="64" t="e">
        <f t="shared" si="3"/>
        <v>#VALUE!</v>
      </c>
      <c r="K48" s="64">
        <f t="shared" si="4"/>
        <v>32</v>
      </c>
      <c r="L48" s="64" t="str">
        <f>IFERROR(VLOOKUP(MID(G48,J48,K48-J48),[5]skilldef!$C:$D,2,FALSE),"-") &amp; " / " &amp; IFERROR(VLOOKUP(MID(G48,H48,I48-H48),[5]skilldef!$A:$B,2,FALSE),"-")</f>
        <v>- / -</v>
      </c>
      <c r="M48" s="64" t="str">
        <f t="shared" si="5"/>
        <v>[effect:dark, target:unit_demon/not, turn:2, animation:enemy_dark],[effect:fix_speed, target:myself, turn:2]</v>
      </c>
      <c r="N48" s="48" t="str">
        <f>IFERROR(LEFT(M48,FIND("],",M48)+#REF!),M48)</f>
        <v>[effect:dark, target:unit_demon/not, turn:2, animation:enemy_dark],[effect:fix_speed, target:myself, turn:2]</v>
      </c>
      <c r="O48" s="64">
        <f t="shared" si="6"/>
        <v>9</v>
      </c>
      <c r="P48" s="64">
        <f t="shared" si="7"/>
        <v>13</v>
      </c>
      <c r="Q48" s="64">
        <f t="shared" si="8"/>
        <v>22</v>
      </c>
      <c r="R48" s="64">
        <f t="shared" si="9"/>
        <v>36</v>
      </c>
      <c r="S48" s="64" t="str">
        <f>IFERROR(VLOOKUP(MID(N48,Q48,R48-Q48),[5]skilldef!$C:$D,2,FALSE),"-") &amp; " / " &amp; IFERROR(VLOOKUP(MID(N48,O48,P48-O48),[5]skilldef!$A:$B,2,FALSE),"-")</f>
        <v>- / 暗黒</v>
      </c>
      <c r="T48" s="48" t="str">
        <f t="shared" si="10"/>
        <v>[effect:fix_speed, target:myself, turn:2]</v>
      </c>
      <c r="U48" s="64">
        <f t="shared" si="11"/>
        <v>9</v>
      </c>
      <c r="V48" s="64">
        <f t="shared" si="12"/>
        <v>18</v>
      </c>
      <c r="W48" s="64">
        <f t="shared" si="13"/>
        <v>27</v>
      </c>
      <c r="X48" s="64">
        <f t="shared" si="14"/>
        <v>33</v>
      </c>
      <c r="Y48" s="64" t="str">
        <f>IFERROR(VLOOKUP(MID(T48,W48,X48-W48),[5]skilldef!$C:$D,2,FALSE),"-") &amp; " / " &amp; IFERROR(VLOOKUP(MID(T48,U48,V48-U48),[5]skilldef!$A:$B,2,FALSE),"-")</f>
        <v>自分自身に / 行動値設定</v>
      </c>
      <c r="Z48" s="50"/>
      <c r="AA48" s="52"/>
      <c r="AB48" s="50"/>
    </row>
    <row r="49" spans="1:28" ht="40" customHeight="1" x14ac:dyDescent="0.15">
      <c r="A49" s="47">
        <v>47003147</v>
      </c>
      <c r="B49" s="137" t="s">
        <v>600</v>
      </c>
      <c r="C49" s="50">
        <v>3</v>
      </c>
      <c r="D49" s="50" t="s">
        <v>126</v>
      </c>
      <c r="E49" s="51" t="s">
        <v>342</v>
      </c>
      <c r="F49" s="143" t="s">
        <v>458</v>
      </c>
      <c r="G49" s="130" t="str">
        <f t="shared" si="0"/>
        <v>[effect:enemy_message, val1:2.2, val2:2.0]</v>
      </c>
      <c r="H49" s="64">
        <f t="shared" si="1"/>
        <v>9</v>
      </c>
      <c r="I49" s="64">
        <f t="shared" si="2"/>
        <v>22</v>
      </c>
      <c r="J49" s="64" t="e">
        <f t="shared" si="3"/>
        <v>#VALUE!</v>
      </c>
      <c r="K49" s="64">
        <f t="shared" si="4"/>
        <v>32</v>
      </c>
      <c r="L49" s="64" t="str">
        <f>IFERROR(VLOOKUP(MID(G49,J49,K49-J49),[5]skilldef!$C:$D,2,FALSE),"-") &amp; " / " &amp; IFERROR(VLOOKUP(MID(G49,H49,I49-H49),[5]skilldef!$A:$B,2,FALSE),"-")</f>
        <v>- / -</v>
      </c>
      <c r="M49" s="64" t="str">
        <f t="shared" si="5"/>
        <v>[effect:dark, target:unit_demon/not, turn:2, animation:enemy_dark],[effect:fix_speed, target:myself, turn:2]</v>
      </c>
      <c r="N49" s="48" t="str">
        <f>IFERROR(LEFT(M49,FIND("],",M49)+#REF!),M49)</f>
        <v>[effect:dark, target:unit_demon/not, turn:2, animation:enemy_dark],[effect:fix_speed, target:myself, turn:2]</v>
      </c>
      <c r="O49" s="64">
        <f t="shared" si="6"/>
        <v>9</v>
      </c>
      <c r="P49" s="64">
        <f t="shared" si="7"/>
        <v>13</v>
      </c>
      <c r="Q49" s="64">
        <f t="shared" si="8"/>
        <v>22</v>
      </c>
      <c r="R49" s="64">
        <f t="shared" si="9"/>
        <v>36</v>
      </c>
      <c r="S49" s="64" t="str">
        <f>IFERROR(VLOOKUP(MID(N49,Q49,R49-Q49),[5]skilldef!$C:$D,2,FALSE),"-") &amp; " / " &amp; IFERROR(VLOOKUP(MID(N49,O49,P49-O49),[5]skilldef!$A:$B,2,FALSE),"-")</f>
        <v>- / 暗黒</v>
      </c>
      <c r="T49" s="48" t="str">
        <f t="shared" si="10"/>
        <v>[effect:fix_speed, target:myself, turn:2]</v>
      </c>
      <c r="U49" s="64">
        <f t="shared" si="11"/>
        <v>9</v>
      </c>
      <c r="V49" s="64">
        <f t="shared" si="12"/>
        <v>18</v>
      </c>
      <c r="W49" s="64">
        <f t="shared" si="13"/>
        <v>27</v>
      </c>
      <c r="X49" s="64">
        <f t="shared" si="14"/>
        <v>33</v>
      </c>
      <c r="Y49" s="64" t="str">
        <f>IFERROR(VLOOKUP(MID(T49,W49,X49-W49),[5]skilldef!$C:$D,2,FALSE),"-") &amp; " / " &amp; IFERROR(VLOOKUP(MID(T49,U49,V49-U49),[5]skilldef!$A:$B,2,FALSE),"-")</f>
        <v>自分自身に / 行動値設定</v>
      </c>
      <c r="Z49" s="50"/>
      <c r="AA49" s="52"/>
      <c r="AB49" s="50"/>
    </row>
    <row r="50" spans="1:28" ht="40" customHeight="1" x14ac:dyDescent="0.15">
      <c r="A50" s="47">
        <v>47003161</v>
      </c>
      <c r="B50" s="137" t="s">
        <v>594</v>
      </c>
      <c r="C50" s="126">
        <v>3</v>
      </c>
      <c r="D50" s="126" t="s">
        <v>126</v>
      </c>
      <c r="E50" s="51" t="s">
        <v>403</v>
      </c>
      <c r="F50" s="143" t="s">
        <v>458</v>
      </c>
      <c r="G50" s="130" t="str">
        <f t="shared" si="0"/>
        <v>[effect:enemy_message, val1:1.0, val2:2.0]</v>
      </c>
      <c r="H50" s="64">
        <f t="shared" si="1"/>
        <v>9</v>
      </c>
      <c r="I50" s="64">
        <f t="shared" si="2"/>
        <v>22</v>
      </c>
      <c r="J50" s="64" t="e">
        <f t="shared" si="3"/>
        <v>#VALUE!</v>
      </c>
      <c r="K50" s="64">
        <f t="shared" si="4"/>
        <v>32</v>
      </c>
      <c r="L50" s="64" t="str">
        <f>IFERROR(VLOOKUP(MID(G50,J50,K50-J50),[5]skilldef!$C:$D,2,FALSE),"-") &amp; " / " &amp; IFERROR(VLOOKUP(MID(G50,H50,I50-H50),[5]skilldef!$A:$B,2,FALSE),"-")</f>
        <v>- / -</v>
      </c>
      <c r="M50" s="64" t="str">
        <f t="shared" si="5"/>
        <v>[effect:dark, target:unit_demon/not, turn:2, animation:enemy_dark],[effect:fix_speed, target:myself, turn:2]</v>
      </c>
      <c r="N50" s="48" t="str">
        <f>IFERROR(LEFT(M50,FIND("],",M50)+#REF!),M50)</f>
        <v>[effect:dark, target:unit_demon/not, turn:2, animation:enemy_dark],[effect:fix_speed, target:myself, turn:2]</v>
      </c>
      <c r="O50" s="64">
        <f t="shared" si="6"/>
        <v>9</v>
      </c>
      <c r="P50" s="64">
        <f t="shared" si="7"/>
        <v>13</v>
      </c>
      <c r="Q50" s="64">
        <f t="shared" si="8"/>
        <v>22</v>
      </c>
      <c r="R50" s="64">
        <f t="shared" si="9"/>
        <v>36</v>
      </c>
      <c r="S50" s="64" t="str">
        <f>IFERROR(VLOOKUP(MID(N50,Q50,R50-Q50),[5]skilldef!$C:$D,2,FALSE),"-") &amp; " / " &amp; IFERROR(VLOOKUP(MID(N50,O50,P50-O50),[5]skilldef!$A:$B,2,FALSE),"-")</f>
        <v>- / 暗黒</v>
      </c>
      <c r="T50" s="48" t="str">
        <f t="shared" si="10"/>
        <v>[effect:fix_speed, target:myself, turn:2]</v>
      </c>
      <c r="U50" s="64">
        <f t="shared" si="11"/>
        <v>9</v>
      </c>
      <c r="V50" s="64">
        <f t="shared" si="12"/>
        <v>18</v>
      </c>
      <c r="W50" s="64">
        <f t="shared" si="13"/>
        <v>27</v>
      </c>
      <c r="X50" s="64">
        <f t="shared" si="14"/>
        <v>33</v>
      </c>
      <c r="Y50" s="64" t="str">
        <f>IFERROR(VLOOKUP(MID(T50,W50,X50-W50),[5]skilldef!$C:$D,2,FALSE),"-") &amp; " / " &amp; IFERROR(VLOOKUP(MID(T50,U50,V50-U50),[5]skilldef!$A:$B,2,FALSE),"-")</f>
        <v>自分自身に / 行動値設定</v>
      </c>
      <c r="Z50" s="50"/>
      <c r="AA50" s="52"/>
      <c r="AB50" s="50"/>
    </row>
    <row r="51" spans="1:28" ht="40" customHeight="1" x14ac:dyDescent="0.15">
      <c r="A51" s="47">
        <v>47003162</v>
      </c>
      <c r="B51" s="47" t="s">
        <v>420</v>
      </c>
      <c r="C51" s="126">
        <v>3</v>
      </c>
      <c r="D51" s="126" t="s">
        <v>126</v>
      </c>
      <c r="E51" s="51" t="s">
        <v>343</v>
      </c>
      <c r="F51" s="51" t="s">
        <v>336</v>
      </c>
      <c r="G51" s="130" t="str">
        <f t="shared" si="0"/>
        <v>[effect:damage_anti_abnormal, target:unit_all, target_effect01:dark, val1:0.7, val2:0.35]</v>
      </c>
      <c r="H51" s="64">
        <f t="shared" si="1"/>
        <v>9</v>
      </c>
      <c r="I51" s="64">
        <f t="shared" si="2"/>
        <v>29</v>
      </c>
      <c r="J51" s="64">
        <f t="shared" si="3"/>
        <v>38</v>
      </c>
      <c r="K51" s="64">
        <f t="shared" si="4"/>
        <v>46</v>
      </c>
      <c r="L51" s="64" t="str">
        <f>IFERROR(VLOOKUP(MID(G51,J51,K51-J51),[5]skilldef!$C:$D,2,FALSE),"-") &amp; " / " &amp; IFERROR(VLOOKUP(MID(G51,H51,I51-H51),[5]skilldef!$A:$B,2,FALSE),"-")</f>
        <v>味方全体に / -</v>
      </c>
      <c r="M51" s="64" t="str">
        <f t="shared" si="5"/>
        <v>[effect:fix_speed, target:myself, turn:1]</v>
      </c>
      <c r="N51" s="48" t="str">
        <f>IFERROR(LEFT(M51,FIND("],",M51)+#REF!),M51)</f>
        <v>[effect:fix_speed, target:myself, turn:1]</v>
      </c>
      <c r="O51" s="64">
        <f t="shared" si="6"/>
        <v>9</v>
      </c>
      <c r="P51" s="64">
        <f t="shared" si="7"/>
        <v>18</v>
      </c>
      <c r="Q51" s="64">
        <f t="shared" si="8"/>
        <v>27</v>
      </c>
      <c r="R51" s="64">
        <f t="shared" si="9"/>
        <v>33</v>
      </c>
      <c r="S51" s="64" t="str">
        <f>IFERROR(VLOOKUP(MID(N51,Q51,R51-Q51),[5]skilldef!$C:$D,2,FALSE),"-") &amp; " / " &amp; IFERROR(VLOOKUP(MID(N51,O51,P51-O51),[5]skilldef!$A:$B,2,FALSE),"-")</f>
        <v>自分自身に / 行動値設定</v>
      </c>
      <c r="T51" s="48" t="str">
        <f t="shared" si="10"/>
        <v>none</v>
      </c>
      <c r="U51" s="64" t="e">
        <f t="shared" si="11"/>
        <v>#VALUE!</v>
      </c>
      <c r="V51" s="64">
        <f t="shared" si="12"/>
        <v>4</v>
      </c>
      <c r="W51" s="64" t="e">
        <f t="shared" si="13"/>
        <v>#VALUE!</v>
      </c>
      <c r="X51" s="64" t="e">
        <f t="shared" si="14"/>
        <v>#VALUE!</v>
      </c>
      <c r="Y51" s="64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40" customHeight="1" x14ac:dyDescent="0.15">
      <c r="A52" s="47">
        <v>47003164</v>
      </c>
      <c r="B52" s="47" t="s">
        <v>505</v>
      </c>
      <c r="C52" s="126">
        <v>3</v>
      </c>
      <c r="D52" s="126" t="s">
        <v>126</v>
      </c>
      <c r="E52" s="51" t="s">
        <v>346</v>
      </c>
      <c r="F52" s="51" t="s">
        <v>551</v>
      </c>
      <c r="G52" s="130" t="str">
        <f t="shared" si="0"/>
        <v>[effect:enemy_message, val1:1.0, val2:2.0]</v>
      </c>
      <c r="H52" s="64">
        <f t="shared" si="1"/>
        <v>9</v>
      </c>
      <c r="I52" s="64">
        <f t="shared" si="2"/>
        <v>22</v>
      </c>
      <c r="J52" s="64" t="e">
        <f t="shared" si="3"/>
        <v>#VALUE!</v>
      </c>
      <c r="K52" s="64">
        <f t="shared" si="4"/>
        <v>32</v>
      </c>
      <c r="L52" s="64" t="str">
        <f>IFERROR(VLOOKUP(MID(G52,J52,K52-J52),[5]skilldef!$C:$D,2,FALSE),"-") &amp; " / " &amp; IFERROR(VLOOKUP(MID(G52,H52,I52-H52),[5]skilldef!$A:$B,2,FALSE),"-")</f>
        <v>- / -</v>
      </c>
      <c r="M52" s="64" t="str">
        <f t="shared" si="5"/>
        <v>[effect:hungup, target:unit_all, turn:2, rate:1, animation:hungup02],[effect:enhance_enemy, target:enemy_all, turn:-1, status:attack, val:0.2, calc:mul, animation:enemy_enhance_attack]</v>
      </c>
      <c r="N52" s="48" t="str">
        <f>IFERROR(LEFT(M52,FIND("],",M52)+#REF!),M52)</f>
        <v>[effect:hungup, target:unit_all, turn:2, rate:1, animation:hungup02],[effect:enhance_enemy, target:enemy_all, turn:-1, status:attack, val:0.2, calc:mul, animation:enemy_enhance_attack]</v>
      </c>
      <c r="O52" s="64">
        <f t="shared" si="6"/>
        <v>9</v>
      </c>
      <c r="P52" s="64">
        <f t="shared" si="7"/>
        <v>15</v>
      </c>
      <c r="Q52" s="64">
        <f t="shared" si="8"/>
        <v>24</v>
      </c>
      <c r="R52" s="64">
        <f t="shared" si="9"/>
        <v>32</v>
      </c>
      <c r="S52" s="64" t="str">
        <f>IFERROR(VLOOKUP(MID(N52,Q52,R52-Q52),[5]skilldef!$C:$D,2,FALSE),"-") &amp; " / " &amp; IFERROR(VLOOKUP(MID(N52,O52,P52-O52),[5]skilldef!$A:$B,2,FALSE),"-")</f>
        <v>味方全体に / ハングアップ</v>
      </c>
      <c r="T52" s="48" t="str">
        <f t="shared" si="10"/>
        <v>[effect:enhance_enemy, target:enemy_all, turn:-1, status:attack, val:0.2, calc:mul, animation:enemy_enhance_attack]</v>
      </c>
      <c r="U52" s="64">
        <f t="shared" si="11"/>
        <v>9</v>
      </c>
      <c r="V52" s="64">
        <f t="shared" si="12"/>
        <v>22</v>
      </c>
      <c r="W52" s="64">
        <f t="shared" si="13"/>
        <v>31</v>
      </c>
      <c r="X52" s="64">
        <f t="shared" si="14"/>
        <v>40</v>
      </c>
      <c r="Y52" s="64" t="str">
        <f>IFERROR(VLOOKUP(MID(T52,W52,X52-W52),[5]skilldef!$C:$D,2,FALSE),"-") &amp; " / " &amp; IFERROR(VLOOKUP(MID(T52,U52,V52-U52),[5]skilldef!$A:$B,2,FALSE),"-")</f>
        <v>敵全体に / ステータス強化</v>
      </c>
      <c r="Z52" s="50"/>
      <c r="AA52" s="52"/>
      <c r="AB52" s="50"/>
    </row>
    <row r="53" spans="1:28" ht="40" customHeight="1" x14ac:dyDescent="0.15">
      <c r="A53" s="47">
        <v>47003165</v>
      </c>
      <c r="B53" s="137" t="s">
        <v>506</v>
      </c>
      <c r="C53" s="126">
        <v>3</v>
      </c>
      <c r="D53" s="126" t="s">
        <v>126</v>
      </c>
      <c r="E53" s="51" t="s">
        <v>347</v>
      </c>
      <c r="F53" s="51" t="s">
        <v>330</v>
      </c>
      <c r="G53" s="130" t="str">
        <f t="shared" si="0"/>
        <v>[effect:enemy_message, val1:1.0, val2:2.0]</v>
      </c>
      <c r="H53" s="64">
        <f t="shared" si="1"/>
        <v>9</v>
      </c>
      <c r="I53" s="64">
        <f t="shared" si="2"/>
        <v>22</v>
      </c>
      <c r="J53" s="64" t="e">
        <f t="shared" si="3"/>
        <v>#VALUE!</v>
      </c>
      <c r="K53" s="64">
        <f t="shared" si="4"/>
        <v>32</v>
      </c>
      <c r="L53" s="64" t="str">
        <f>IFERROR(VLOOKUP(MID(G53,J53,K53-J53),[5]skilldef!$C:$D,2,FALSE),"-") &amp; " / " &amp; IFERROR(VLOOKUP(MID(G53,H53,I53-H53),[5]skilldef!$A:$B,2,FALSE),"-")</f>
        <v>- / -</v>
      </c>
      <c r="M53" s="64" t="str">
        <f t="shared" si="5"/>
        <v>[effect:break_attack_fix, target:unit_one, val:570, lowest_val:1, count:-1, color:yellow, block_color:block_heart, block01:block_heart, block02:crack_bomb]</v>
      </c>
      <c r="N53" s="48" t="str">
        <f>IFERROR(LEFT(M53,FIND("],",M53)+S55),M53)</f>
        <v>[effect:break_attack_fix, target:unit_one, val:570, lowest_val:1, count:-1, color:yellow, block_color:block_heart, block01:block_heart, block02:crack_bomb]</v>
      </c>
      <c r="O53" s="64">
        <f t="shared" si="6"/>
        <v>9</v>
      </c>
      <c r="P53" s="64">
        <f t="shared" si="7"/>
        <v>25</v>
      </c>
      <c r="Q53" s="64">
        <f t="shared" si="8"/>
        <v>34</v>
      </c>
      <c r="R53" s="64">
        <f t="shared" si="9"/>
        <v>42</v>
      </c>
      <c r="S53" s="64" t="str">
        <f>IFERROR(VLOOKUP(MID(N53,Q53,R53-Q53),[5]skilldef!$C:$D,2,FALSE),"-") &amp; " / " &amp; IFERROR(VLOOKUP(MID(N53,O53,P53-O53),[5]skilldef!$A:$B,2,FALSE),"-")</f>
        <v>味方単体に / -</v>
      </c>
      <c r="T53" s="48" t="str">
        <f t="shared" si="10"/>
        <v>none</v>
      </c>
      <c r="U53" s="64" t="e">
        <f t="shared" si="11"/>
        <v>#VALUE!</v>
      </c>
      <c r="V53" s="64">
        <f t="shared" si="12"/>
        <v>4</v>
      </c>
      <c r="W53" s="64" t="e">
        <f t="shared" si="13"/>
        <v>#VALUE!</v>
      </c>
      <c r="X53" s="64" t="e">
        <f t="shared" si="14"/>
        <v>#VALUE!</v>
      </c>
      <c r="Y53" s="64" t="str">
        <f>IFERROR(VLOOKUP(MID(T53,W53,X53-W53),[5]skilldef!$C:$D,2,FALSE),"-") &amp; " / " &amp; IFERROR(VLOOKUP(MID(T53,U53,V53-U53),[5]skilldef!$A:$B,2,FALSE),"-")</f>
        <v>- / -</v>
      </c>
      <c r="Z53" s="50"/>
      <c r="AA53" s="52"/>
      <c r="AB53" s="50"/>
    </row>
    <row r="54" spans="1:28" ht="40" customHeight="1" x14ac:dyDescent="0.15">
      <c r="A54" s="47">
        <v>47003181</v>
      </c>
      <c r="B54" s="137" t="s">
        <v>507</v>
      </c>
      <c r="C54" s="127">
        <v>3</v>
      </c>
      <c r="D54" s="127" t="s">
        <v>126</v>
      </c>
      <c r="E54" s="51" t="s">
        <v>348</v>
      </c>
      <c r="F54" s="51" t="s">
        <v>400</v>
      </c>
      <c r="G54" s="130" t="str">
        <f t="shared" si="0"/>
        <v>[effect:enemy_message, val1:1.5, val2:2.8]</v>
      </c>
      <c r="H54" s="64">
        <f t="shared" si="1"/>
        <v>9</v>
      </c>
      <c r="I54" s="64">
        <f t="shared" si="2"/>
        <v>22</v>
      </c>
      <c r="J54" s="64" t="e">
        <f t="shared" si="3"/>
        <v>#VALUE!</v>
      </c>
      <c r="K54" s="64">
        <f t="shared" si="4"/>
        <v>32</v>
      </c>
      <c r="L54" s="64" t="str">
        <f>IFERROR(VLOOKUP(MID(G54,J54,K54-J54),[5]skilldef!$C:$D,2,FALSE),"-") &amp; " / " &amp; IFERROR(VLOOKUP(MID(G54,H54,I54-H54),[5]skilldef!$A:$B,2,FALSE),"-")</f>
        <v>- / -</v>
      </c>
      <c r="M54" s="64" t="str">
        <f t="shared" si="5"/>
        <v>[effect:hungup, target:unit_demon/not, turn:2, rate:1, animation:hungup02],[effect:change_panel_ratio, turn:-1, block_type:yellow, val:0.4, animation:block_incidence04],[effect:fix_speed, target:myself, turn:1]</v>
      </c>
      <c r="N54" s="48" t="str">
        <f>IFERROR(LEFT(M54,FIND("],",M54)+#REF!),M54)</f>
        <v>[effect:hungup, target:unit_demon/not, turn:2, rate:1, animation:hungup02],[effect:change_panel_ratio, turn:-1, block_type:yellow, val:0.4, animation:block_incidence04],[effect:fix_speed, target:myself, turn:1]</v>
      </c>
      <c r="O54" s="64">
        <f t="shared" si="6"/>
        <v>9</v>
      </c>
      <c r="P54" s="64">
        <f t="shared" si="7"/>
        <v>15</v>
      </c>
      <c r="Q54" s="64">
        <f t="shared" si="8"/>
        <v>24</v>
      </c>
      <c r="R54" s="64">
        <f t="shared" si="9"/>
        <v>38</v>
      </c>
      <c r="S54" s="64" t="str">
        <f>IFERROR(VLOOKUP(MID(N54,Q54,R54-Q54),[5]skilldef!$C:$D,2,FALSE),"-") &amp; " / " &amp; IFERROR(VLOOKUP(MID(N54,O54,P54-O54),[5]skilldef!$A:$B,2,FALSE),"-")</f>
        <v>- / ハングアップ</v>
      </c>
      <c r="T54" s="48" t="str">
        <f t="shared" si="10"/>
        <v>[effect:change_panel_ratio, turn:-1, block_type:yellow, val:0.4, animation:block_incidence04],[effect:fix_speed, target:myself, turn:1]</v>
      </c>
      <c r="U54" s="64">
        <f t="shared" si="11"/>
        <v>9</v>
      </c>
      <c r="V54" s="64">
        <f t="shared" si="12"/>
        <v>27</v>
      </c>
      <c r="W54" s="64">
        <f t="shared" si="13"/>
        <v>121</v>
      </c>
      <c r="X54" s="64">
        <f t="shared" si="14"/>
        <v>36</v>
      </c>
      <c r="Y54" s="64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40" customHeight="1" x14ac:dyDescent="0.15">
      <c r="A55" s="47">
        <v>47003183</v>
      </c>
      <c r="B55" s="137" t="s">
        <v>427</v>
      </c>
      <c r="C55" s="127">
        <v>3</v>
      </c>
      <c r="D55" s="127" t="s">
        <v>126</v>
      </c>
      <c r="E55" s="51" t="s">
        <v>349</v>
      </c>
      <c r="F55" s="51" t="s">
        <v>339</v>
      </c>
      <c r="G55" s="130" t="str">
        <f t="shared" ref="G55:G57" si="15">IFERROR(LEFT(B55,FIND("],",B55)),B55)</f>
        <v xml:space="preserve">[effect:break_attack_fix, target:unit_one, val:100, lowest_val:3600, count:-1, color:yellow, block01:block_yellow]    </v>
      </c>
      <c r="H55" s="64">
        <f t="shared" ref="H55:H57" si="16">FIND("effect:",G55)+7</f>
        <v>9</v>
      </c>
      <c r="I55" s="64">
        <f t="shared" ref="I55:I57" si="17">IFERROR(FIND(",",G55),LEN(G55))</f>
        <v>25</v>
      </c>
      <c r="J55" s="64">
        <f t="shared" ref="J55:J57" si="18">FIND("target:",G55)+7</f>
        <v>34</v>
      </c>
      <c r="K55" s="64">
        <f t="shared" ref="K55:K57" si="19">FIND(",",G55,I55+1)</f>
        <v>42</v>
      </c>
      <c r="L55" s="64" t="str">
        <f>IFERROR(VLOOKUP(MID(G55,J55,K55-J55),[5]skilldef!$C:$D,2,FALSE),"-") &amp; " / " &amp; IFERROR(VLOOKUP(MID(G55,H55,I55-H55),[5]skilldef!$A:$B,2,FALSE),"-")</f>
        <v>味方単体に / -</v>
      </c>
      <c r="M55" s="64" t="str">
        <f t="shared" ref="M55:M57" si="20">IFERROR(RIGHT(B55,LEN(B55)-FIND("],",B55)-1),"none")</f>
        <v>none</v>
      </c>
      <c r="N55" s="48" t="str">
        <f>IFERROR(LEFT(M55,FIND("],",M55)+S56),M55)</f>
        <v>none</v>
      </c>
      <c r="O55" s="64" t="e">
        <f t="shared" ref="O55:O57" si="21">FIND("effect:",N55)+7</f>
        <v>#VALUE!</v>
      </c>
      <c r="P55" s="64">
        <f t="shared" ref="P55:P57" si="22">IFERROR(FIND(",",N55),LEN(N55))</f>
        <v>4</v>
      </c>
      <c r="Q55" s="64" t="e">
        <f t="shared" ref="Q55:Q57" si="23">FIND("target:",N55)+7</f>
        <v>#VALUE!</v>
      </c>
      <c r="R55" s="64" t="e">
        <f t="shared" ref="R55:R57" si="24">FIND(",",N55,P55+1)</f>
        <v>#VALUE!</v>
      </c>
      <c r="S55" s="64" t="str">
        <f>IFERROR(VLOOKUP(MID(N55,Q55,R55-Q55),[5]skilldef!$C:$D,2,FALSE),"-") &amp; " / " &amp; IFERROR(VLOOKUP(MID(N55,O55,P55-O55),[5]skilldef!$A:$B,2,FALSE),"-")</f>
        <v>- / -</v>
      </c>
      <c r="T55" s="48" t="str">
        <f t="shared" ref="T55:T57" si="25">IFERROR(RIGHT(M55,LEN(M55)-FIND("],",M55)-1),"none")</f>
        <v>none</v>
      </c>
      <c r="U55" s="64" t="e">
        <f t="shared" ref="U55:U57" si="26">FIND("effect:",T55)+7</f>
        <v>#VALUE!</v>
      </c>
      <c r="V55" s="64">
        <f t="shared" ref="V55:V57" si="27">IFERROR(FIND(",",T55),LEN(T55))</f>
        <v>4</v>
      </c>
      <c r="W55" s="64" t="e">
        <f t="shared" ref="W55:W57" si="28">FIND("target:",T55)+7</f>
        <v>#VALUE!</v>
      </c>
      <c r="X55" s="64" t="e">
        <f t="shared" ref="X55:X57" si="29">FIND(",",T55,V55+1)</f>
        <v>#VALUE!</v>
      </c>
      <c r="Y55" s="64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40" customHeight="1" x14ac:dyDescent="0.15">
      <c r="A56" s="47">
        <v>47003184</v>
      </c>
      <c r="B56" s="137" t="s">
        <v>508</v>
      </c>
      <c r="C56" s="127">
        <v>3</v>
      </c>
      <c r="D56" s="127" t="s">
        <v>126</v>
      </c>
      <c r="E56" s="51" t="s">
        <v>350</v>
      </c>
      <c r="F56" s="143" t="s">
        <v>419</v>
      </c>
      <c r="G56" s="130" t="str">
        <f t="shared" si="15"/>
        <v>[effect:enemy_message, val1:1.0, val2:2.5]</v>
      </c>
      <c r="H56" s="64">
        <f t="shared" si="16"/>
        <v>9</v>
      </c>
      <c r="I56" s="64">
        <f t="shared" si="17"/>
        <v>22</v>
      </c>
      <c r="J56" s="64" t="e">
        <f t="shared" si="18"/>
        <v>#VALUE!</v>
      </c>
      <c r="K56" s="64">
        <f t="shared" si="19"/>
        <v>32</v>
      </c>
      <c r="L56" s="64" t="str">
        <f>IFERROR(VLOOKUP(MID(G56,J56,K56-J56),[5]skilldef!$C:$D,2,FALSE),"-") &amp; " / " &amp; IFERROR(VLOOKUP(MID(G56,H56,I56-H56),[5]skilldef!$A:$B,2,FALSE),"-")</f>
        <v>- / -</v>
      </c>
      <c r="M56" s="64" t="str">
        <f t="shared" si="20"/>
        <v>[effect:break_attack_fix, target:unit_one, val:645, lowest_val:1, count:-1, color:yellow, block_color:block_heart, block01:block_heart, block02:crack_bomb]</v>
      </c>
      <c r="N56" s="48" t="str">
        <f>IFERROR(LEFT(M56,FIND("],",M56)+#REF!),M56)</f>
        <v>[effect:break_attack_fix, target:unit_one, val:645, lowest_val:1, count:-1, color:yellow, block_color:block_heart, block01:block_heart, block02:crack_bomb]</v>
      </c>
      <c r="O56" s="64">
        <f t="shared" si="21"/>
        <v>9</v>
      </c>
      <c r="P56" s="64">
        <f t="shared" si="22"/>
        <v>25</v>
      </c>
      <c r="Q56" s="64">
        <f t="shared" si="23"/>
        <v>34</v>
      </c>
      <c r="R56" s="64">
        <f t="shared" si="24"/>
        <v>42</v>
      </c>
      <c r="S56" s="64" t="str">
        <f>IFERROR(VLOOKUP(MID(N56,Q56,R56-Q56),[5]skilldef!$C:$D,2,FALSE),"-") &amp; " / " &amp; IFERROR(VLOOKUP(MID(N56,O56,P56-O56),[5]skilldef!$A:$B,2,FALSE),"-")</f>
        <v>味方単体に / -</v>
      </c>
      <c r="T56" s="48" t="str">
        <f t="shared" si="25"/>
        <v>none</v>
      </c>
      <c r="U56" s="64" t="e">
        <f t="shared" si="26"/>
        <v>#VALUE!</v>
      </c>
      <c r="V56" s="64">
        <f t="shared" si="27"/>
        <v>4</v>
      </c>
      <c r="W56" s="64" t="e">
        <f t="shared" si="28"/>
        <v>#VALUE!</v>
      </c>
      <c r="X56" s="64" t="e">
        <f t="shared" si="29"/>
        <v>#VALUE!</v>
      </c>
      <c r="Y56" s="64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  <row r="57" spans="1:28" ht="40" customHeight="1" x14ac:dyDescent="0.15">
      <c r="A57" s="47">
        <v>47003186</v>
      </c>
      <c r="B57" s="47" t="s">
        <v>461</v>
      </c>
      <c r="C57" s="127">
        <v>3</v>
      </c>
      <c r="D57" s="127" t="s">
        <v>126</v>
      </c>
      <c r="E57" s="51" t="s">
        <v>386</v>
      </c>
      <c r="F57" s="51" t="s">
        <v>369</v>
      </c>
      <c r="G57" s="130" t="str">
        <f t="shared" si="15"/>
        <v>[effect:enemy_message, val1:3.0, val2:3.0]</v>
      </c>
      <c r="H57" s="64">
        <f t="shared" si="16"/>
        <v>9</v>
      </c>
      <c r="I57" s="64">
        <f t="shared" si="17"/>
        <v>22</v>
      </c>
      <c r="J57" s="64" t="e">
        <f t="shared" si="18"/>
        <v>#VALUE!</v>
      </c>
      <c r="K57" s="64">
        <f t="shared" si="19"/>
        <v>32</v>
      </c>
      <c r="L57" s="64" t="str">
        <f>IFERROR(VLOOKUP(MID(G57,J57,K57-J57),[5]skilldef!$C:$D,2,FALSE),"-") &amp; " / " &amp; IFERROR(VLOOKUP(MID(G57,H57,I57-H57),[5]skilldef!$A:$B,2,FALSE),"-")</f>
        <v>- / -</v>
      </c>
      <c r="M57" s="64" t="str">
        <f t="shared" si="20"/>
        <v>none</v>
      </c>
      <c r="N57" s="48" t="str">
        <f t="shared" ref="N57" si="30">IFERROR(LEFT(M57,FIND("],",M57)+S58),M57)</f>
        <v>none</v>
      </c>
      <c r="O57" s="64" t="e">
        <f t="shared" si="21"/>
        <v>#VALUE!</v>
      </c>
      <c r="P57" s="64">
        <f t="shared" si="22"/>
        <v>4</v>
      </c>
      <c r="Q57" s="64" t="e">
        <f t="shared" si="23"/>
        <v>#VALUE!</v>
      </c>
      <c r="R57" s="64" t="e">
        <f t="shared" si="24"/>
        <v>#VALUE!</v>
      </c>
      <c r="S57" s="64" t="str">
        <f>IFERROR(VLOOKUP(MID(N57,Q57,R57-Q57),[5]skilldef!$C:$D,2,FALSE),"-") &amp; " / " &amp; IFERROR(VLOOKUP(MID(N57,O57,P57-O57),[5]skilldef!$A:$B,2,FALSE),"-")</f>
        <v>- / -</v>
      </c>
      <c r="T57" s="48" t="str">
        <f t="shared" si="25"/>
        <v>none</v>
      </c>
      <c r="U57" s="64" t="e">
        <f t="shared" si="26"/>
        <v>#VALUE!</v>
      </c>
      <c r="V57" s="64">
        <f t="shared" si="27"/>
        <v>4</v>
      </c>
      <c r="W57" s="64" t="e">
        <f t="shared" si="28"/>
        <v>#VALUE!</v>
      </c>
      <c r="X57" s="64" t="e">
        <f t="shared" si="29"/>
        <v>#VALUE!</v>
      </c>
      <c r="Y57" s="64" t="str">
        <f>IFERROR(VLOOKUP(MID(T57,W57,X57-W57),[5]skilldef!$C:$D,2,FALSE),"-") &amp; " / " &amp; IFERROR(VLOOKUP(MID(T57,U57,V57-U57),[5]skilldef!$A:$B,2,FALSE),"-")</f>
        <v>- / -</v>
      </c>
      <c r="Z57" s="50"/>
      <c r="AA57" s="52"/>
      <c r="AB57" s="50"/>
    </row>
    <row r="58" spans="1:28" ht="40" customHeight="1" x14ac:dyDescent="0.15">
      <c r="A58" s="142">
        <v>47003201</v>
      </c>
      <c r="B58" s="146" t="s">
        <v>447</v>
      </c>
      <c r="C58" s="50">
        <v>3</v>
      </c>
      <c r="D58" s="50" t="s">
        <v>126</v>
      </c>
      <c r="E58" s="51" t="s">
        <v>287</v>
      </c>
      <c r="F58" s="143" t="s">
        <v>580</v>
      </c>
      <c r="G58" s="130" t="str">
        <f t="shared" ref="G58:G110" si="31">IFERROR(LEFT(B58,FIND("],",B58)),B58)</f>
        <v>[effect:enemy_message, val1:1.5, val2:1.8]</v>
      </c>
      <c r="H58" s="64">
        <f t="shared" ref="H58:H110" si="32">FIND("effect:",G58)+7</f>
        <v>9</v>
      </c>
      <c r="I58" s="64">
        <f t="shared" ref="I58:I110" si="33">IFERROR(FIND(",",G58),LEN(G58))</f>
        <v>22</v>
      </c>
      <c r="J58" s="64" t="e">
        <f t="shared" ref="J58:J110" si="34">FIND("target:",G58)+7</f>
        <v>#VALUE!</v>
      </c>
      <c r="K58" s="64">
        <f t="shared" ref="K58:K110" si="35">FIND(",",G58,I58+1)</f>
        <v>32</v>
      </c>
      <c r="L58" s="64" t="str">
        <f>IFERROR(VLOOKUP(MID(G58,J58,K58-J58),[5]skilldef!$C:$D,2,FALSE),"-") &amp; " / " &amp; IFERROR(VLOOKUP(MID(G58,H58,I58-H58),[5]skilldef!$A:$B,2,FALSE),"-")</f>
        <v>- / -</v>
      </c>
      <c r="M58" s="64" t="str">
        <f t="shared" ref="M58:M110" si="36">IFERROR(RIGHT(B58,LEN(B58)-FIND("],",B58)-1),"none")</f>
        <v>[effect:enhance_unit, target:unit_demon, turn:-1, status:attack, val:0.25, calc:mul]</v>
      </c>
      <c r="N58" s="48" t="str">
        <f>IFERROR(LEFT(M58,FIND("],",M58)+S80),M58)</f>
        <v>[effect:enhance_unit, target:unit_demon, turn:-1, status:attack, val:0.25, calc:mul]</v>
      </c>
      <c r="O58" s="64">
        <f t="shared" ref="O58:O110" si="37">FIND("effect:",N58)+7</f>
        <v>9</v>
      </c>
      <c r="P58" s="64">
        <f t="shared" ref="P58:P110" si="38">IFERROR(FIND(",",N58),LEN(N58))</f>
        <v>21</v>
      </c>
      <c r="Q58" s="64">
        <f t="shared" ref="Q58:Q110" si="39">FIND("target:",N58)+7</f>
        <v>30</v>
      </c>
      <c r="R58" s="64">
        <f t="shared" ref="R58:R110" si="40">FIND(",",N58,P58+1)</f>
        <v>40</v>
      </c>
      <c r="S58" s="64" t="str">
        <f>IFERROR(VLOOKUP(MID(N58,Q58,R58-Q58),[5]skilldef!$C:$D,2,FALSE),"-") &amp; " / " &amp; IFERROR(VLOOKUP(MID(N58,O58,P58-O58),[5]skilldef!$A:$B,2,FALSE),"-")</f>
        <v>- / -</v>
      </c>
      <c r="T58" s="48" t="str">
        <f t="shared" ref="T58:T110" si="41">IFERROR(RIGHT(M58,LEN(M58)-FIND("],",M58)-1),"none")</f>
        <v>none</v>
      </c>
      <c r="U58" s="64" t="e">
        <f t="shared" ref="U58:U110" si="42">FIND("effect:",T58)+7</f>
        <v>#VALUE!</v>
      </c>
      <c r="V58" s="64">
        <f t="shared" ref="V58:V110" si="43">IFERROR(FIND(",",T58),LEN(T58))</f>
        <v>4</v>
      </c>
      <c r="W58" s="64" t="e">
        <f t="shared" ref="W58:W110" si="44">FIND("target:",T58)+7</f>
        <v>#VALUE!</v>
      </c>
      <c r="X58" s="64" t="e">
        <f t="shared" ref="X58:X110" si="45">FIND(",",T58,V58+1)</f>
        <v>#VALUE!</v>
      </c>
      <c r="Y58" s="64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</row>
    <row r="59" spans="1:28" ht="40" customHeight="1" x14ac:dyDescent="0.15">
      <c r="A59" s="142">
        <v>47003202</v>
      </c>
      <c r="B59" s="146" t="s">
        <v>447</v>
      </c>
      <c r="C59" s="50">
        <v>3</v>
      </c>
      <c r="D59" s="50" t="s">
        <v>126</v>
      </c>
      <c r="E59" s="51" t="s">
        <v>288</v>
      </c>
      <c r="F59" s="51" t="s">
        <v>581</v>
      </c>
      <c r="G59" s="130" t="str">
        <f t="shared" si="31"/>
        <v>[effect:enemy_message, val1:1.5, val2:1.8]</v>
      </c>
      <c r="H59" s="64">
        <f t="shared" si="32"/>
        <v>9</v>
      </c>
      <c r="I59" s="64">
        <f t="shared" si="33"/>
        <v>22</v>
      </c>
      <c r="J59" s="64" t="e">
        <f t="shared" si="34"/>
        <v>#VALUE!</v>
      </c>
      <c r="K59" s="64">
        <f t="shared" si="35"/>
        <v>32</v>
      </c>
      <c r="L59" s="64" t="str">
        <f>IFERROR(VLOOKUP(MID(G59,J59,K59-J59),[5]skilldef!$C:$D,2,FALSE),"-") &amp; " / " &amp; IFERROR(VLOOKUP(MID(G59,H59,I59-H59),[5]skilldef!$A:$B,2,FALSE),"-")</f>
        <v>- / -</v>
      </c>
      <c r="M59" s="64" t="str">
        <f t="shared" si="36"/>
        <v>[effect:enhance_unit, target:unit_demon, turn:-1, status:attack, val:0.25, calc:mul]</v>
      </c>
      <c r="N59" s="48" t="str">
        <f>IFERROR(LEFT(M59,FIND("],",M59)+#REF!),M59)</f>
        <v>[effect:enhance_unit, target:unit_demon, turn:-1, status:attack, val:0.25, calc:mul]</v>
      </c>
      <c r="O59" s="64">
        <f t="shared" si="37"/>
        <v>9</v>
      </c>
      <c r="P59" s="64">
        <f t="shared" si="38"/>
        <v>21</v>
      </c>
      <c r="Q59" s="64">
        <f t="shared" si="39"/>
        <v>30</v>
      </c>
      <c r="R59" s="64">
        <f t="shared" si="40"/>
        <v>40</v>
      </c>
      <c r="S59" s="64" t="str">
        <f>IFERROR(VLOOKUP(MID(N59,Q59,R59-Q59),[5]skilldef!$C:$D,2,FALSE),"-") &amp; " / " &amp; IFERROR(VLOOKUP(MID(N59,O59,P59-O59),[5]skilldef!$A:$B,2,FALSE),"-")</f>
        <v>- / -</v>
      </c>
      <c r="T59" s="48" t="str">
        <f t="shared" si="41"/>
        <v>none</v>
      </c>
      <c r="U59" s="64" t="e">
        <f t="shared" si="42"/>
        <v>#VALUE!</v>
      </c>
      <c r="V59" s="64">
        <f t="shared" si="43"/>
        <v>4</v>
      </c>
      <c r="W59" s="64" t="e">
        <f t="shared" si="44"/>
        <v>#VALUE!</v>
      </c>
      <c r="X59" s="64" t="e">
        <f t="shared" si="45"/>
        <v>#VALUE!</v>
      </c>
      <c r="Y59" s="64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</row>
    <row r="60" spans="1:28" ht="40" customHeight="1" x14ac:dyDescent="0.15">
      <c r="A60" s="142">
        <v>47003211</v>
      </c>
      <c r="B60" s="137" t="s">
        <v>448</v>
      </c>
      <c r="C60" s="124">
        <v>3</v>
      </c>
      <c r="D60" s="124" t="s">
        <v>126</v>
      </c>
      <c r="E60" s="51" t="s">
        <v>291</v>
      </c>
      <c r="F60" s="143" t="s">
        <v>459</v>
      </c>
      <c r="G60" s="130" t="str">
        <f t="shared" si="31"/>
        <v>[effect:crash_condition, target:unit_demon, turn:-1, val:-2, animation:crash_panel_reduce04]</v>
      </c>
      <c r="H60" s="64">
        <f t="shared" si="32"/>
        <v>9</v>
      </c>
      <c r="I60" s="64">
        <f t="shared" si="33"/>
        <v>24</v>
      </c>
      <c r="J60" s="64">
        <f t="shared" si="34"/>
        <v>33</v>
      </c>
      <c r="K60" s="64">
        <f t="shared" si="35"/>
        <v>43</v>
      </c>
      <c r="L60" s="64" t="str">
        <f>IFERROR(VLOOKUP(MID(G60,J60,K60-J60),[5]skilldef!$C:$D,2,FALSE),"-") &amp; " / " &amp; IFERROR(VLOOKUP(MID(G60,H60,I60-H60),[5]skilldef!$A:$B,2,FALSE),"-")</f>
        <v>- / -</v>
      </c>
      <c r="M60" s="64" t="str">
        <f t="shared" si="36"/>
        <v>none</v>
      </c>
      <c r="N60" s="48" t="str">
        <f>IFERROR(LEFT(M60,FIND("],",M60)+S88),M60)</f>
        <v>none</v>
      </c>
      <c r="O60" s="64" t="e">
        <f t="shared" si="37"/>
        <v>#VALUE!</v>
      </c>
      <c r="P60" s="64">
        <f t="shared" si="38"/>
        <v>4</v>
      </c>
      <c r="Q60" s="64" t="e">
        <f t="shared" si="39"/>
        <v>#VALUE!</v>
      </c>
      <c r="R60" s="64" t="e">
        <f t="shared" si="40"/>
        <v>#VALUE!</v>
      </c>
      <c r="S60" s="64" t="str">
        <f>IFERROR(VLOOKUP(MID(N60,Q60,R60-Q60),[5]skilldef!$C:$D,2,FALSE),"-") &amp; " / " &amp; IFERROR(VLOOKUP(MID(N60,O60,P60-O60),[5]skilldef!$A:$B,2,FALSE),"-")</f>
        <v>- / -</v>
      </c>
      <c r="T60" s="48" t="str">
        <f t="shared" si="41"/>
        <v>none</v>
      </c>
      <c r="U60" s="64" t="e">
        <f t="shared" si="42"/>
        <v>#VALUE!</v>
      </c>
      <c r="V60" s="64">
        <f t="shared" si="43"/>
        <v>4</v>
      </c>
      <c r="W60" s="64" t="e">
        <f t="shared" si="44"/>
        <v>#VALUE!</v>
      </c>
      <c r="X60" s="64" t="e">
        <f t="shared" si="45"/>
        <v>#VALUE!</v>
      </c>
      <c r="Y60" s="64" t="str">
        <f>IFERROR(VLOOKUP(MID(T60,W60,X60-W60),[5]skilldef!$C:$D,2,FALSE),"-") &amp; " / " &amp; IFERROR(VLOOKUP(MID(T60,U60,V60-U60),[5]skilldef!$A:$B,2,FALSE),"-")</f>
        <v>- / -</v>
      </c>
      <c r="Z60" s="50"/>
      <c r="AA60" s="52"/>
      <c r="AB60" s="50"/>
    </row>
    <row r="61" spans="1:28" ht="40" customHeight="1" x14ac:dyDescent="0.15">
      <c r="A61" s="142">
        <v>47003213</v>
      </c>
      <c r="B61" s="47" t="s">
        <v>405</v>
      </c>
      <c r="C61" s="124">
        <v>3</v>
      </c>
      <c r="D61" s="124" t="s">
        <v>126</v>
      </c>
      <c r="E61" s="51" t="s">
        <v>553</v>
      </c>
      <c r="F61" s="51" t="s">
        <v>459</v>
      </c>
      <c r="G61" s="130" t="str">
        <f t="shared" si="31"/>
        <v>[effect:crash_condition, target:unit_demon, turn:-1, val:-2, animation:crash_panel_reduce04]</v>
      </c>
      <c r="H61" s="64">
        <f t="shared" si="32"/>
        <v>9</v>
      </c>
      <c r="I61" s="64">
        <f t="shared" si="33"/>
        <v>24</v>
      </c>
      <c r="J61" s="64">
        <f t="shared" si="34"/>
        <v>33</v>
      </c>
      <c r="K61" s="64">
        <f t="shared" si="35"/>
        <v>43</v>
      </c>
      <c r="L61" s="64" t="str">
        <f>IFERROR(VLOOKUP(MID(G61,J61,K61-J61),[5]skilldef!$C:$D,2,FALSE),"-") &amp; " / " &amp; IFERROR(VLOOKUP(MID(G61,H61,I61-H61),[5]skilldef!$A:$B,2,FALSE),"-")</f>
        <v>- / -</v>
      </c>
      <c r="M61" s="64" t="str">
        <f t="shared" si="36"/>
        <v>none</v>
      </c>
      <c r="N61" s="48" t="str">
        <f>IFERROR(LEFT(M61,FIND("],",M61)+S90),M61)</f>
        <v>none</v>
      </c>
      <c r="O61" s="64" t="e">
        <f t="shared" si="37"/>
        <v>#VALUE!</v>
      </c>
      <c r="P61" s="64">
        <f t="shared" si="38"/>
        <v>4</v>
      </c>
      <c r="Q61" s="64" t="e">
        <f t="shared" si="39"/>
        <v>#VALUE!</v>
      </c>
      <c r="R61" s="64" t="e">
        <f t="shared" si="40"/>
        <v>#VALUE!</v>
      </c>
      <c r="S61" s="64" t="str">
        <f>IFERROR(VLOOKUP(MID(N61,Q61,R61-Q61),[5]skilldef!$C:$D,2,FALSE),"-") &amp; " / " &amp; IFERROR(VLOOKUP(MID(N61,O61,P61-O61),[5]skilldef!$A:$B,2,FALSE),"-")</f>
        <v>- / -</v>
      </c>
      <c r="T61" s="48" t="str">
        <f t="shared" si="41"/>
        <v>none</v>
      </c>
      <c r="U61" s="64" t="e">
        <f t="shared" si="42"/>
        <v>#VALUE!</v>
      </c>
      <c r="V61" s="64">
        <f t="shared" si="43"/>
        <v>4</v>
      </c>
      <c r="W61" s="64" t="e">
        <f t="shared" si="44"/>
        <v>#VALUE!</v>
      </c>
      <c r="X61" s="64" t="e">
        <f t="shared" si="45"/>
        <v>#VALUE!</v>
      </c>
      <c r="Y61" s="64" t="str">
        <f>IFERROR(VLOOKUP(MID(T61,W61,X61-W61),[5]skilldef!$C:$D,2,FALSE),"-") &amp; " / " &amp; IFERROR(VLOOKUP(MID(T61,U61,V61-U61),[5]skilldef!$A:$B,2,FALSE),"-")</f>
        <v>- / -</v>
      </c>
      <c r="Z61" s="50"/>
      <c r="AA61" s="52"/>
      <c r="AB61" s="50"/>
    </row>
    <row r="62" spans="1:28" ht="40" customHeight="1" x14ac:dyDescent="0.15">
      <c r="A62" s="142">
        <v>47003214</v>
      </c>
      <c r="B62" s="47" t="s">
        <v>405</v>
      </c>
      <c r="C62" s="124">
        <v>3</v>
      </c>
      <c r="D62" s="124" t="s">
        <v>126</v>
      </c>
      <c r="E62" s="51" t="s">
        <v>554</v>
      </c>
      <c r="F62" s="51" t="s">
        <v>459</v>
      </c>
      <c r="G62" s="130" t="str">
        <f t="shared" si="31"/>
        <v>[effect:crash_condition, target:unit_demon, turn:-1, val:-2, animation:crash_panel_reduce04]</v>
      </c>
      <c r="H62" s="64">
        <f t="shared" si="32"/>
        <v>9</v>
      </c>
      <c r="I62" s="64">
        <f t="shared" si="33"/>
        <v>24</v>
      </c>
      <c r="J62" s="64">
        <f t="shared" si="34"/>
        <v>33</v>
      </c>
      <c r="K62" s="64">
        <f t="shared" si="35"/>
        <v>43</v>
      </c>
      <c r="L62" s="64" t="str">
        <f>IFERROR(VLOOKUP(MID(G62,J62,K62-J62),[5]skilldef!$C:$D,2,FALSE),"-") &amp; " / " &amp; IFERROR(VLOOKUP(MID(G62,H62,I62-H62),[5]skilldef!$A:$B,2,FALSE),"-")</f>
        <v>- / -</v>
      </c>
      <c r="M62" s="64" t="str">
        <f t="shared" si="36"/>
        <v>none</v>
      </c>
      <c r="N62" s="48" t="str">
        <f>IFERROR(LEFT(M62,FIND("],",M62)+S91),M62)</f>
        <v>none</v>
      </c>
      <c r="O62" s="64" t="e">
        <f t="shared" si="37"/>
        <v>#VALUE!</v>
      </c>
      <c r="P62" s="64">
        <f t="shared" si="38"/>
        <v>4</v>
      </c>
      <c r="Q62" s="64" t="e">
        <f t="shared" si="39"/>
        <v>#VALUE!</v>
      </c>
      <c r="R62" s="64" t="e">
        <f t="shared" si="40"/>
        <v>#VALUE!</v>
      </c>
      <c r="S62" s="64" t="str">
        <f>IFERROR(VLOOKUP(MID(N62,Q62,R62-Q62),[5]skilldef!$C:$D,2,FALSE),"-") &amp; " / " &amp; IFERROR(VLOOKUP(MID(N62,O62,P62-O62),[5]skilldef!$A:$B,2,FALSE),"-")</f>
        <v>- / -</v>
      </c>
      <c r="T62" s="48" t="str">
        <f t="shared" si="41"/>
        <v>none</v>
      </c>
      <c r="U62" s="64" t="e">
        <f t="shared" si="42"/>
        <v>#VALUE!</v>
      </c>
      <c r="V62" s="64">
        <f t="shared" si="43"/>
        <v>4</v>
      </c>
      <c r="W62" s="64" t="e">
        <f t="shared" si="44"/>
        <v>#VALUE!</v>
      </c>
      <c r="X62" s="64" t="e">
        <f t="shared" si="45"/>
        <v>#VALUE!</v>
      </c>
      <c r="Y62" s="64" t="str">
        <f>IFERROR(VLOOKUP(MID(T62,W62,X62-W62),[5]skilldef!$C:$D,2,FALSE),"-") &amp; " / " &amp; IFERROR(VLOOKUP(MID(T62,U62,V62-U62),[5]skilldef!$A:$B,2,FALSE),"-")</f>
        <v>- / -</v>
      </c>
      <c r="Z62" s="50"/>
      <c r="AA62" s="52"/>
      <c r="AB62" s="50"/>
    </row>
    <row r="63" spans="1:28" ht="40" customHeight="1" x14ac:dyDescent="0.15">
      <c r="A63" s="142">
        <v>47003221</v>
      </c>
      <c r="B63" s="137" t="s">
        <v>449</v>
      </c>
      <c r="C63" s="46">
        <v>3</v>
      </c>
      <c r="D63" s="46" t="s">
        <v>126</v>
      </c>
      <c r="E63" s="51" t="s">
        <v>555</v>
      </c>
      <c r="F63" s="143" t="s">
        <v>450</v>
      </c>
      <c r="G63" s="130" t="str">
        <f t="shared" si="31"/>
        <v>[effect:change_bomb_range, target:unit_demon, val:1.15, rate:1, turn:-1, animation:bomb_big]</v>
      </c>
      <c r="H63" s="64">
        <f t="shared" si="32"/>
        <v>9</v>
      </c>
      <c r="I63" s="64">
        <f t="shared" si="33"/>
        <v>26</v>
      </c>
      <c r="J63" s="64">
        <f t="shared" si="34"/>
        <v>35</v>
      </c>
      <c r="K63" s="64">
        <f t="shared" si="35"/>
        <v>45</v>
      </c>
      <c r="L63" s="64" t="str">
        <f>IFERROR(VLOOKUP(MID(G63,J63,K63-J63),[5]skilldef!$C:$D,2,FALSE),"-") &amp; " / " &amp; IFERROR(VLOOKUP(MID(G63,H63,I63-H63),[5]skilldef!$A:$B,2,FALSE),"-")</f>
        <v>- / -</v>
      </c>
      <c r="M63" s="64" t="str">
        <f t="shared" si="36"/>
        <v>none</v>
      </c>
      <c r="N63" s="48" t="str">
        <f>IFERROR(LEFT(M63,FIND("],",M63)+S88),M63)</f>
        <v>none</v>
      </c>
      <c r="O63" s="64" t="e">
        <f t="shared" si="37"/>
        <v>#VALUE!</v>
      </c>
      <c r="P63" s="64">
        <f t="shared" si="38"/>
        <v>4</v>
      </c>
      <c r="Q63" s="64" t="e">
        <f t="shared" si="39"/>
        <v>#VALUE!</v>
      </c>
      <c r="R63" s="64" t="e">
        <f t="shared" si="40"/>
        <v>#VALUE!</v>
      </c>
      <c r="S63" s="64" t="str">
        <f>IFERROR(VLOOKUP(MID(N63,Q63,R63-Q63),[5]skilldef!$C:$D,2,FALSE),"-") &amp; " / " &amp; IFERROR(VLOOKUP(MID(N63,O63,P63-O63),[5]skilldef!$A:$B,2,FALSE),"-")</f>
        <v>- / -</v>
      </c>
      <c r="T63" s="48" t="str">
        <f t="shared" si="41"/>
        <v>none</v>
      </c>
      <c r="U63" s="64" t="e">
        <f t="shared" si="42"/>
        <v>#VALUE!</v>
      </c>
      <c r="V63" s="64">
        <f t="shared" si="43"/>
        <v>4</v>
      </c>
      <c r="W63" s="64" t="e">
        <f t="shared" si="44"/>
        <v>#VALUE!</v>
      </c>
      <c r="X63" s="64" t="e">
        <f t="shared" si="45"/>
        <v>#VALUE!</v>
      </c>
      <c r="Y63" s="64" t="str">
        <f>IFERROR(VLOOKUP(MID(T63,W63,X63-W63),[5]skilldef!$C:$D,2,FALSE),"-") &amp; " / " &amp; IFERROR(VLOOKUP(MID(T63,U63,V63-U63),[5]skilldef!$A:$B,2,FALSE),"-")</f>
        <v>- / -</v>
      </c>
      <c r="Z63" s="50"/>
      <c r="AA63" s="52"/>
      <c r="AB63" s="50"/>
    </row>
    <row r="64" spans="1:28" ht="40" customHeight="1" x14ac:dyDescent="0.15">
      <c r="A64" s="142">
        <v>47003223</v>
      </c>
      <c r="B64" s="47" t="s">
        <v>406</v>
      </c>
      <c r="C64" s="46">
        <v>3</v>
      </c>
      <c r="D64" s="46" t="s">
        <v>126</v>
      </c>
      <c r="E64" s="51" t="s">
        <v>556</v>
      </c>
      <c r="F64" s="51" t="s">
        <v>293</v>
      </c>
      <c r="G64" s="130" t="str">
        <f t="shared" si="31"/>
        <v>[effect:change_bomb_range, target:unit_demon, val:1.2, rate:1, turn:-1, animation:bomb_big]</v>
      </c>
      <c r="H64" s="64">
        <f t="shared" si="32"/>
        <v>9</v>
      </c>
      <c r="I64" s="64">
        <f t="shared" si="33"/>
        <v>26</v>
      </c>
      <c r="J64" s="64">
        <f t="shared" si="34"/>
        <v>35</v>
      </c>
      <c r="K64" s="64">
        <f t="shared" si="35"/>
        <v>45</v>
      </c>
      <c r="L64" s="64" t="str">
        <f>IFERROR(VLOOKUP(MID(G64,J64,K64-J64),[5]skilldef!$C:$D,2,FALSE),"-") &amp; " / " &amp; IFERROR(VLOOKUP(MID(G64,H64,I64-H64),[5]skilldef!$A:$B,2,FALSE),"-")</f>
        <v>- / -</v>
      </c>
      <c r="M64" s="64" t="str">
        <f t="shared" si="36"/>
        <v>none</v>
      </c>
      <c r="N64" s="48" t="str">
        <f>IFERROR(LEFT(M64,FIND("],",M64)+S91),M64)</f>
        <v>none</v>
      </c>
      <c r="O64" s="64" t="e">
        <f t="shared" si="37"/>
        <v>#VALUE!</v>
      </c>
      <c r="P64" s="64">
        <f t="shared" si="38"/>
        <v>4</v>
      </c>
      <c r="Q64" s="64" t="e">
        <f t="shared" si="39"/>
        <v>#VALUE!</v>
      </c>
      <c r="R64" s="64" t="e">
        <f t="shared" si="40"/>
        <v>#VALUE!</v>
      </c>
      <c r="S64" s="64" t="str">
        <f>IFERROR(VLOOKUP(MID(N64,Q64,R64-Q64),[5]skilldef!$C:$D,2,FALSE),"-") &amp; " / " &amp; IFERROR(VLOOKUP(MID(N64,O64,P64-O64),[5]skilldef!$A:$B,2,FALSE),"-")</f>
        <v>- / -</v>
      </c>
      <c r="T64" s="48" t="str">
        <f t="shared" si="41"/>
        <v>none</v>
      </c>
      <c r="U64" s="64" t="e">
        <f t="shared" si="42"/>
        <v>#VALUE!</v>
      </c>
      <c r="V64" s="64">
        <f t="shared" si="43"/>
        <v>4</v>
      </c>
      <c r="W64" s="64" t="e">
        <f t="shared" si="44"/>
        <v>#VALUE!</v>
      </c>
      <c r="X64" s="64" t="e">
        <f t="shared" si="45"/>
        <v>#VALUE!</v>
      </c>
      <c r="Y64" s="64" t="str">
        <f>IFERROR(VLOOKUP(MID(T64,W64,X64-W64),[5]skilldef!$C:$D,2,FALSE),"-") &amp; " / " &amp; IFERROR(VLOOKUP(MID(T64,U64,V64-U64),[5]skilldef!$A:$B,2,FALSE),"-")</f>
        <v>- / -</v>
      </c>
      <c r="Z64" s="50"/>
      <c r="AA64" s="52"/>
      <c r="AB64" s="50"/>
    </row>
    <row r="65" spans="1:28" ht="40" customHeight="1" x14ac:dyDescent="0.15">
      <c r="A65" s="142">
        <v>47003224</v>
      </c>
      <c r="B65" s="47" t="s">
        <v>406</v>
      </c>
      <c r="C65" s="46">
        <v>3</v>
      </c>
      <c r="D65" s="46" t="s">
        <v>126</v>
      </c>
      <c r="E65" s="51" t="s">
        <v>557</v>
      </c>
      <c r="F65" s="51" t="s">
        <v>293</v>
      </c>
      <c r="G65" s="130" t="str">
        <f t="shared" si="31"/>
        <v>[effect:change_bomb_range, target:unit_demon, val:1.2, rate:1, turn:-1, animation:bomb_big]</v>
      </c>
      <c r="H65" s="64">
        <f t="shared" si="32"/>
        <v>9</v>
      </c>
      <c r="I65" s="64">
        <f t="shared" si="33"/>
        <v>26</v>
      </c>
      <c r="J65" s="64">
        <f t="shared" si="34"/>
        <v>35</v>
      </c>
      <c r="K65" s="64">
        <f t="shared" si="35"/>
        <v>45</v>
      </c>
      <c r="L65" s="64" t="str">
        <f>IFERROR(VLOOKUP(MID(G65,J65,K65-J65),[5]skilldef!$C:$D,2,FALSE),"-") &amp; " / " &amp; IFERROR(VLOOKUP(MID(G65,H65,I65-H65),[5]skilldef!$A:$B,2,FALSE),"-")</f>
        <v>- / -</v>
      </c>
      <c r="M65" s="64" t="str">
        <f t="shared" si="36"/>
        <v>none</v>
      </c>
      <c r="N65" s="48" t="str">
        <f>IFERROR(LEFT(M65,FIND("],",M65)+S93),M65)</f>
        <v>none</v>
      </c>
      <c r="O65" s="64" t="e">
        <f t="shared" si="37"/>
        <v>#VALUE!</v>
      </c>
      <c r="P65" s="64">
        <f t="shared" si="38"/>
        <v>4</v>
      </c>
      <c r="Q65" s="64" t="e">
        <f t="shared" si="39"/>
        <v>#VALUE!</v>
      </c>
      <c r="R65" s="64" t="e">
        <f t="shared" si="40"/>
        <v>#VALUE!</v>
      </c>
      <c r="S65" s="64" t="str">
        <f>IFERROR(VLOOKUP(MID(N65,Q65,R65-Q65),[5]skilldef!$C:$D,2,FALSE),"-") &amp; " / " &amp; IFERROR(VLOOKUP(MID(N65,O65,P65-O65),[5]skilldef!$A:$B,2,FALSE),"-")</f>
        <v>- / -</v>
      </c>
      <c r="T65" s="48" t="str">
        <f t="shared" si="41"/>
        <v>none</v>
      </c>
      <c r="U65" s="64" t="e">
        <f t="shared" si="42"/>
        <v>#VALUE!</v>
      </c>
      <c r="V65" s="64">
        <f t="shared" si="43"/>
        <v>4</v>
      </c>
      <c r="W65" s="64" t="e">
        <f t="shared" si="44"/>
        <v>#VALUE!</v>
      </c>
      <c r="X65" s="64" t="e">
        <f t="shared" si="45"/>
        <v>#VALUE!</v>
      </c>
      <c r="Y65" s="64" t="str">
        <f>IFERROR(VLOOKUP(MID(T65,W65,X65-W65),[5]skilldef!$C:$D,2,FALSE),"-") &amp; " / " &amp; IFERROR(VLOOKUP(MID(T65,U65,V65-U65),[5]skilldef!$A:$B,2,FALSE),"-")</f>
        <v>- / -</v>
      </c>
      <c r="Z65" s="50"/>
      <c r="AA65" s="52"/>
      <c r="AB65" s="50"/>
    </row>
    <row r="66" spans="1:28" ht="40" customHeight="1" x14ac:dyDescent="0.15">
      <c r="A66" s="142">
        <v>47003231</v>
      </c>
      <c r="B66" s="137" t="s">
        <v>452</v>
      </c>
      <c r="C66" s="125">
        <v>3</v>
      </c>
      <c r="D66" s="125" t="s">
        <v>126</v>
      </c>
      <c r="E66" s="51" t="s">
        <v>462</v>
      </c>
      <c r="F66" s="143" t="s">
        <v>607</v>
      </c>
      <c r="G66" s="130" t="str">
        <f t="shared" si="31"/>
        <v>[effect:sp_boost, target:unit_demon, val:6, animation:sp_boost_one03]</v>
      </c>
      <c r="H66" s="64">
        <f t="shared" si="32"/>
        <v>9</v>
      </c>
      <c r="I66" s="64">
        <f t="shared" si="33"/>
        <v>17</v>
      </c>
      <c r="J66" s="64">
        <f t="shared" si="34"/>
        <v>26</v>
      </c>
      <c r="K66" s="64">
        <f t="shared" si="35"/>
        <v>36</v>
      </c>
      <c r="L66" s="64" t="str">
        <f>IFERROR(VLOOKUP(MID(G66,J66,K66-J66),[5]skilldef!$C:$D,2,FALSE),"-") &amp; " / " &amp; IFERROR(VLOOKUP(MID(G66,H66,I66-H66),[5]skilldef!$A:$B,2,FALSE),"-")</f>
        <v>- / -</v>
      </c>
      <c r="M66" s="64" t="str">
        <f t="shared" si="36"/>
        <v>none</v>
      </c>
      <c r="N66" s="48" t="str">
        <f>IFERROR(LEFT(M66,FIND("],",M66)+#REF!),M66)</f>
        <v>none</v>
      </c>
      <c r="O66" s="64" t="e">
        <f t="shared" si="37"/>
        <v>#VALUE!</v>
      </c>
      <c r="P66" s="64">
        <f t="shared" si="38"/>
        <v>4</v>
      </c>
      <c r="Q66" s="64" t="e">
        <f t="shared" si="39"/>
        <v>#VALUE!</v>
      </c>
      <c r="R66" s="64" t="e">
        <f t="shared" si="40"/>
        <v>#VALUE!</v>
      </c>
      <c r="S66" s="64" t="str">
        <f>IFERROR(VLOOKUP(MID(N66,Q66,R66-Q66),[5]skilldef!$C:$D,2,FALSE),"-") &amp; " / " &amp; IFERROR(VLOOKUP(MID(N66,O66,P66-O66),[5]skilldef!$A:$B,2,FALSE),"-")</f>
        <v>- / -</v>
      </c>
      <c r="T66" s="48" t="str">
        <f t="shared" si="41"/>
        <v>none</v>
      </c>
      <c r="U66" s="64" t="e">
        <f t="shared" si="42"/>
        <v>#VALUE!</v>
      </c>
      <c r="V66" s="64">
        <f t="shared" si="43"/>
        <v>4</v>
      </c>
      <c r="W66" s="64" t="e">
        <f t="shared" si="44"/>
        <v>#VALUE!</v>
      </c>
      <c r="X66" s="64" t="e">
        <f t="shared" si="45"/>
        <v>#VALUE!</v>
      </c>
      <c r="Y66" s="64" t="str">
        <f>IFERROR(VLOOKUP(MID(T66,W66,X66-W66),[5]skilldef!$C:$D,2,FALSE),"-") &amp; " / " &amp; IFERROR(VLOOKUP(MID(T66,U66,V66-U66),[5]skilldef!$A:$B,2,FALSE),"-")</f>
        <v>- / -</v>
      </c>
      <c r="Z66" s="50"/>
      <c r="AA66" s="52"/>
      <c r="AB66" s="50"/>
    </row>
    <row r="67" spans="1:28" ht="40" customHeight="1" x14ac:dyDescent="0.15">
      <c r="A67" s="142">
        <v>47003232</v>
      </c>
      <c r="B67" s="47" t="s">
        <v>407</v>
      </c>
      <c r="C67" s="125">
        <v>3</v>
      </c>
      <c r="D67" s="125" t="s">
        <v>126</v>
      </c>
      <c r="E67" s="51" t="s">
        <v>295</v>
      </c>
      <c r="F67" s="51" t="s">
        <v>608</v>
      </c>
      <c r="G67" s="130" t="str">
        <f t="shared" si="31"/>
        <v>[effect:enemy_message, val1:1.5, val2:1.8]</v>
      </c>
      <c r="H67" s="64">
        <f t="shared" si="32"/>
        <v>9</v>
      </c>
      <c r="I67" s="64">
        <f t="shared" si="33"/>
        <v>22</v>
      </c>
      <c r="J67" s="64" t="e">
        <f t="shared" si="34"/>
        <v>#VALUE!</v>
      </c>
      <c r="K67" s="64">
        <f t="shared" si="35"/>
        <v>32</v>
      </c>
      <c r="L67" s="64" t="str">
        <f>IFERROR(VLOOKUP(MID(G67,J67,K67-J67),[5]skilldef!$C:$D,2,FALSE),"-") &amp; " / " &amp; IFERROR(VLOOKUP(MID(G67,H67,I67-H67),[5]skilldef!$A:$B,2,FALSE),"-")</f>
        <v>- / -</v>
      </c>
      <c r="M67" s="64" t="str">
        <f t="shared" si="36"/>
        <v>[effect:sp_boost, target:unit_all, val:6, animation:sp_boost_one03]</v>
      </c>
      <c r="N67" s="48" t="str">
        <f>IFERROR(LEFT(M67,FIND("],",M67)+#REF!),M67)</f>
        <v>[effect:sp_boost, target:unit_all, val:6, animation:sp_boost_one03]</v>
      </c>
      <c r="O67" s="64">
        <f t="shared" si="37"/>
        <v>9</v>
      </c>
      <c r="P67" s="64">
        <f t="shared" si="38"/>
        <v>17</v>
      </c>
      <c r="Q67" s="64">
        <f t="shared" si="39"/>
        <v>26</v>
      </c>
      <c r="R67" s="64">
        <f t="shared" si="40"/>
        <v>34</v>
      </c>
      <c r="S67" s="64" t="str">
        <f>IFERROR(VLOOKUP(MID(N67,Q67,R67-Q67),[5]skilldef!$C:$D,2,FALSE),"-") &amp; " / " &amp; IFERROR(VLOOKUP(MID(N67,O67,P67-O67),[5]skilldef!$A:$B,2,FALSE),"-")</f>
        <v>味方全体に / -</v>
      </c>
      <c r="T67" s="48" t="str">
        <f t="shared" si="41"/>
        <v>none</v>
      </c>
      <c r="U67" s="64" t="e">
        <f t="shared" si="42"/>
        <v>#VALUE!</v>
      </c>
      <c r="V67" s="64">
        <f t="shared" si="43"/>
        <v>4</v>
      </c>
      <c r="W67" s="64" t="e">
        <f t="shared" si="44"/>
        <v>#VALUE!</v>
      </c>
      <c r="X67" s="64" t="e">
        <f t="shared" si="45"/>
        <v>#VALUE!</v>
      </c>
      <c r="Y67" s="64" t="str">
        <f>IFERROR(VLOOKUP(MID(T67,W67,X67-W67),[5]skilldef!$C:$D,2,FALSE),"-") &amp; " / " &amp; IFERROR(VLOOKUP(MID(T67,U67,V67-U67),[5]skilldef!$A:$B,2,FALSE),"-")</f>
        <v>- / -</v>
      </c>
      <c r="Z67" s="50"/>
      <c r="AA67" s="52"/>
      <c r="AB67" s="50"/>
    </row>
    <row r="68" spans="1:28" ht="40" customHeight="1" x14ac:dyDescent="0.15">
      <c r="A68" s="142">
        <v>47003251</v>
      </c>
      <c r="B68" s="137" t="s">
        <v>266</v>
      </c>
      <c r="C68" s="50">
        <v>3</v>
      </c>
      <c r="D68" s="50" t="s">
        <v>126</v>
      </c>
      <c r="E68" s="51" t="s">
        <v>296</v>
      </c>
      <c r="F68" s="51" t="s">
        <v>297</v>
      </c>
      <c r="G68" s="130" t="str">
        <f t="shared" si="31"/>
        <v>[effect:enemy_message, val1:1.0, val2:1.8]</v>
      </c>
      <c r="H68" s="64">
        <f t="shared" si="32"/>
        <v>9</v>
      </c>
      <c r="I68" s="64">
        <f t="shared" si="33"/>
        <v>22</v>
      </c>
      <c r="J68" s="64" t="e">
        <f t="shared" si="34"/>
        <v>#VALUE!</v>
      </c>
      <c r="K68" s="64">
        <f t="shared" si="35"/>
        <v>32</v>
      </c>
      <c r="L68" s="64" t="str">
        <f>IFERROR(VLOOKUP(MID(G68,J68,K68-J68),[5]skilldef!$C:$D,2,FALSE),"-") &amp; " / " &amp; IFERROR(VLOOKUP(MID(G68,H68,I68-H68),[5]skilldef!$A:$B,2,FALSE),"-")</f>
        <v>- / -</v>
      </c>
      <c r="M68" s="64" t="str">
        <f t="shared" si="36"/>
        <v>[effect:fix_speed, target:myself, turn:1]</v>
      </c>
      <c r="N68" s="48" t="str">
        <f>IFERROR(LEFT(M68,FIND("],",M68)+#REF!),M68)</f>
        <v>[effect:fix_speed, target:myself, turn:1]</v>
      </c>
      <c r="O68" s="64">
        <f t="shared" si="37"/>
        <v>9</v>
      </c>
      <c r="P68" s="64">
        <f t="shared" si="38"/>
        <v>18</v>
      </c>
      <c r="Q68" s="64">
        <f t="shared" si="39"/>
        <v>27</v>
      </c>
      <c r="R68" s="64">
        <f t="shared" si="40"/>
        <v>33</v>
      </c>
      <c r="S68" s="64" t="str">
        <f>IFERROR(VLOOKUP(MID(N68,Q68,R68-Q68),[5]skilldef!$C:$D,2,FALSE),"-") &amp; " / " &amp; IFERROR(VLOOKUP(MID(N68,O68,P68-O68),[5]skilldef!$A:$B,2,FALSE),"-")</f>
        <v>自分自身に / 行動値設定</v>
      </c>
      <c r="T68" s="48" t="str">
        <f t="shared" si="41"/>
        <v>none</v>
      </c>
      <c r="U68" s="64" t="e">
        <f t="shared" si="42"/>
        <v>#VALUE!</v>
      </c>
      <c r="V68" s="64">
        <f t="shared" si="43"/>
        <v>4</v>
      </c>
      <c r="W68" s="64" t="e">
        <f t="shared" si="44"/>
        <v>#VALUE!</v>
      </c>
      <c r="X68" s="64" t="e">
        <f t="shared" si="45"/>
        <v>#VALUE!</v>
      </c>
      <c r="Y68" s="64" t="str">
        <f>IFERROR(VLOOKUP(MID(T68,W68,X68-W68),[5]skilldef!$C:$D,2,FALSE),"-") &amp; " / " &amp; IFERROR(VLOOKUP(MID(T68,U68,V68-U68),[5]skilldef!$A:$B,2,FALSE),"-")</f>
        <v>- / -</v>
      </c>
      <c r="Z68" s="50"/>
      <c r="AA68" s="52"/>
      <c r="AB68" s="50"/>
    </row>
    <row r="69" spans="1:28" ht="40" customHeight="1" x14ac:dyDescent="0.15">
      <c r="A69" s="142">
        <v>47003253</v>
      </c>
      <c r="B69" s="47" t="s">
        <v>279</v>
      </c>
      <c r="C69" s="50">
        <v>3</v>
      </c>
      <c r="D69" s="50" t="s">
        <v>126</v>
      </c>
      <c r="E69" s="51" t="s">
        <v>300</v>
      </c>
      <c r="F69" s="51" t="s">
        <v>301</v>
      </c>
      <c r="G69" s="130" t="str">
        <f t="shared" si="31"/>
        <v>[effect:rush, count:3, val:0.4]</v>
      </c>
      <c r="H69" s="64">
        <f t="shared" si="32"/>
        <v>9</v>
      </c>
      <c r="I69" s="64">
        <f t="shared" si="33"/>
        <v>13</v>
      </c>
      <c r="J69" s="64" t="e">
        <f t="shared" si="34"/>
        <v>#VALUE!</v>
      </c>
      <c r="K69" s="64">
        <f t="shared" si="35"/>
        <v>22</v>
      </c>
      <c r="L69" s="64" t="str">
        <f>IFERROR(VLOOKUP(MID(G69,J69,K69-J69),[5]skilldef!$C:$D,2,FALSE),"-") &amp; " / " &amp; IFERROR(VLOOKUP(MID(G69,H69,I69-H69),[5]skilldef!$A:$B,2,FALSE),"-")</f>
        <v>- / 連続攻撃</v>
      </c>
      <c r="M69" s="64" t="str">
        <f t="shared" si="36"/>
        <v>none</v>
      </c>
      <c r="N69" s="48" t="str">
        <f>IFERROR(LEFT(M69,FIND("],",M69)+#REF!),M69)</f>
        <v>none</v>
      </c>
      <c r="O69" s="64" t="e">
        <f t="shared" si="37"/>
        <v>#VALUE!</v>
      </c>
      <c r="P69" s="64">
        <f t="shared" si="38"/>
        <v>4</v>
      </c>
      <c r="Q69" s="64" t="e">
        <f t="shared" si="39"/>
        <v>#VALUE!</v>
      </c>
      <c r="R69" s="64" t="e">
        <f t="shared" si="40"/>
        <v>#VALUE!</v>
      </c>
      <c r="S69" s="64" t="str">
        <f>IFERROR(VLOOKUP(MID(N69,Q69,R69-Q69),[5]skilldef!$C:$D,2,FALSE),"-") &amp; " / " &amp; IFERROR(VLOOKUP(MID(N69,O69,P69-O69),[5]skilldef!$A:$B,2,FALSE),"-")</f>
        <v>- / -</v>
      </c>
      <c r="T69" s="48" t="str">
        <f t="shared" si="41"/>
        <v>none</v>
      </c>
      <c r="U69" s="64" t="e">
        <f t="shared" si="42"/>
        <v>#VALUE!</v>
      </c>
      <c r="V69" s="64">
        <f t="shared" si="43"/>
        <v>4</v>
      </c>
      <c r="W69" s="64" t="e">
        <f t="shared" si="44"/>
        <v>#VALUE!</v>
      </c>
      <c r="X69" s="64" t="e">
        <f t="shared" si="45"/>
        <v>#VALUE!</v>
      </c>
      <c r="Y69" s="64" t="str">
        <f>IFERROR(VLOOKUP(MID(T69,W69,X69-W69),[5]skilldef!$C:$D,2,FALSE),"-") &amp; " / " &amp; IFERROR(VLOOKUP(MID(T69,U69,V69-U69),[5]skilldef!$A:$B,2,FALSE),"-")</f>
        <v>- / -</v>
      </c>
      <c r="Z69" s="50"/>
      <c r="AA69" s="52"/>
      <c r="AB69" s="50"/>
    </row>
    <row r="70" spans="1:28" ht="40" customHeight="1" x14ac:dyDescent="0.15">
      <c r="A70" s="142">
        <v>47003254</v>
      </c>
      <c r="B70" s="137" t="s">
        <v>421</v>
      </c>
      <c r="C70" s="50">
        <v>3</v>
      </c>
      <c r="D70" s="50" t="s">
        <v>126</v>
      </c>
      <c r="E70" s="51" t="s">
        <v>402</v>
      </c>
      <c r="F70" s="143" t="s">
        <v>339</v>
      </c>
      <c r="G70" s="130" t="str">
        <f t="shared" si="31"/>
        <v>[effect:enemy_message, val1:1.3, val2:1.8]</v>
      </c>
      <c r="H70" s="64">
        <f t="shared" si="32"/>
        <v>9</v>
      </c>
      <c r="I70" s="64">
        <f t="shared" si="33"/>
        <v>22</v>
      </c>
      <c r="J70" s="64" t="e">
        <f t="shared" si="34"/>
        <v>#VALUE!</v>
      </c>
      <c r="K70" s="64">
        <f t="shared" si="35"/>
        <v>32</v>
      </c>
      <c r="L70" s="64" t="str">
        <f>IFERROR(VLOOKUP(MID(G70,J70,K70-J70),[5]skilldef!$C:$D,2,FALSE),"-") &amp; " / " &amp; IFERROR(VLOOKUP(MID(G70,H70,I70-H70),[5]skilldef!$A:$B,2,FALSE),"-")</f>
        <v>- / -</v>
      </c>
      <c r="M70" s="64" t="str">
        <f t="shared" si="36"/>
        <v>[effect:break_attack_fix, target:unit_one, val:120, lowest_val:4000, count:-1, color:yellow, block01:block_yellow],[effect:suicide, target:myself, val:1, dead_type:escape]</v>
      </c>
      <c r="N70" s="48" t="str">
        <f>IFERROR(LEFT(M70,FIND("],",M70)+#REF!),M70)</f>
        <v>[effect:break_attack_fix, target:unit_one, val:120, lowest_val:4000, count:-1, color:yellow, block01:block_yellow],[effect:suicide, target:myself, val:1, dead_type:escape]</v>
      </c>
      <c r="O70" s="64">
        <f t="shared" si="37"/>
        <v>9</v>
      </c>
      <c r="P70" s="64">
        <f t="shared" si="38"/>
        <v>25</v>
      </c>
      <c r="Q70" s="64">
        <f t="shared" si="39"/>
        <v>34</v>
      </c>
      <c r="R70" s="64">
        <f t="shared" si="40"/>
        <v>42</v>
      </c>
      <c r="S70" s="64" t="str">
        <f>IFERROR(VLOOKUP(MID(N70,Q70,R70-Q70),[5]skilldef!$C:$D,2,FALSE),"-") &amp; " / " &amp; IFERROR(VLOOKUP(MID(N70,O70,P70-O70),[5]skilldef!$A:$B,2,FALSE),"-")</f>
        <v>味方単体に / -</v>
      </c>
      <c r="T70" s="48" t="str">
        <f t="shared" si="41"/>
        <v>[effect:suicide, target:myself, val:1, dead_type:escape]</v>
      </c>
      <c r="U70" s="64">
        <f t="shared" si="42"/>
        <v>9</v>
      </c>
      <c r="V70" s="64">
        <f t="shared" si="43"/>
        <v>16</v>
      </c>
      <c r="W70" s="64">
        <f t="shared" si="44"/>
        <v>25</v>
      </c>
      <c r="X70" s="64">
        <f t="shared" si="45"/>
        <v>31</v>
      </c>
      <c r="Y70" s="64" t="str">
        <f>IFERROR(VLOOKUP(MID(T70,W70,X70-W70),[5]skilldef!$C:$D,2,FALSE),"-") &amp; " / " &amp; IFERROR(VLOOKUP(MID(T70,U70,V70-U70),[5]skilldef!$A:$B,2,FALSE),"-")</f>
        <v>自分自身に / -</v>
      </c>
      <c r="Z70" s="50"/>
      <c r="AA70" s="52"/>
      <c r="AB70" s="50"/>
    </row>
    <row r="71" spans="1:28" ht="40" customHeight="1" x14ac:dyDescent="0.15">
      <c r="A71" s="142">
        <v>47003255</v>
      </c>
      <c r="B71" s="47" t="s">
        <v>509</v>
      </c>
      <c r="C71" s="50">
        <v>3</v>
      </c>
      <c r="D71" s="50" t="s">
        <v>126</v>
      </c>
      <c r="E71" s="51" t="s">
        <v>302</v>
      </c>
      <c r="F71" s="51" t="s">
        <v>474</v>
      </c>
      <c r="G71" s="130" t="str">
        <f t="shared" si="31"/>
        <v>[effect:enemy_message, val1:2.0, val2:1.8]</v>
      </c>
      <c r="H71" s="64">
        <f t="shared" si="32"/>
        <v>9</v>
      </c>
      <c r="I71" s="64">
        <f t="shared" si="33"/>
        <v>22</v>
      </c>
      <c r="J71" s="64" t="e">
        <f t="shared" si="34"/>
        <v>#VALUE!</v>
      </c>
      <c r="K71" s="64">
        <f t="shared" si="35"/>
        <v>32</v>
      </c>
      <c r="L71" s="64" t="str">
        <f>IFERROR(VLOOKUP(MID(G71,J71,K71-J71),[5]skilldef!$C:$D,2,FALSE),"-") &amp; " / " &amp; IFERROR(VLOOKUP(MID(G71,H71,I71-H71),[5]skilldef!$A:$B,2,FALSE),"-")</f>
        <v>- / -</v>
      </c>
      <c r="M71" s="64" t="str">
        <f t="shared" si="36"/>
        <v>[effect:change_panel_ratio, turn:-1, block_type:yellow, val:0, animation:block_incidence04],[effect:fix_speed, target:myself, turn:1]</v>
      </c>
      <c r="N71" s="48" t="str">
        <f>IFERROR(LEFT(M71,FIND("],",M71)+#REF!),M71)</f>
        <v>[effect:change_panel_ratio, turn:-1, block_type:yellow, val:0, animation:block_incidence04],[effect:fix_speed, target:myself, turn:1]</v>
      </c>
      <c r="O71" s="64">
        <f t="shared" si="37"/>
        <v>9</v>
      </c>
      <c r="P71" s="64">
        <f t="shared" si="38"/>
        <v>27</v>
      </c>
      <c r="Q71" s="64">
        <f t="shared" si="39"/>
        <v>119</v>
      </c>
      <c r="R71" s="64">
        <f t="shared" si="40"/>
        <v>36</v>
      </c>
      <c r="S71" s="64" t="str">
        <f>IFERROR(VLOOKUP(MID(N71,Q71,R71-Q71),[5]skilldef!$C:$D,2,FALSE),"-") &amp; " / " &amp; IFERROR(VLOOKUP(MID(N71,O71,P71-O71),[5]skilldef!$A:$B,2,FALSE),"-")</f>
        <v>- / -</v>
      </c>
      <c r="T71" s="48" t="str">
        <f t="shared" si="41"/>
        <v>[effect:fix_speed, target:myself, turn:1]</v>
      </c>
      <c r="U71" s="64">
        <f t="shared" si="42"/>
        <v>9</v>
      </c>
      <c r="V71" s="64">
        <f t="shared" si="43"/>
        <v>18</v>
      </c>
      <c r="W71" s="64">
        <f t="shared" si="44"/>
        <v>27</v>
      </c>
      <c r="X71" s="64">
        <f t="shared" si="45"/>
        <v>33</v>
      </c>
      <c r="Y71" s="64" t="str">
        <f>IFERROR(VLOOKUP(MID(T71,W71,X71-W71),[5]skilldef!$C:$D,2,FALSE),"-") &amp; " / " &amp; IFERROR(VLOOKUP(MID(T71,U71,V71-U71),[5]skilldef!$A:$B,2,FALSE),"-")</f>
        <v>自分自身に / 行動値設定</v>
      </c>
      <c r="Z71" s="50"/>
      <c r="AA71" s="52"/>
      <c r="AB71" s="50"/>
    </row>
    <row r="72" spans="1:28" ht="40" customHeight="1" x14ac:dyDescent="0.15">
      <c r="A72" s="142">
        <v>47003256</v>
      </c>
      <c r="B72" s="47" t="s">
        <v>509</v>
      </c>
      <c r="C72" s="50">
        <v>3</v>
      </c>
      <c r="D72" s="50" t="s">
        <v>126</v>
      </c>
      <c r="E72" s="51" t="s">
        <v>304</v>
      </c>
      <c r="F72" s="51" t="s">
        <v>474</v>
      </c>
      <c r="G72" s="130" t="str">
        <f t="shared" si="31"/>
        <v>[effect:enemy_message, val1:2.0, val2:1.8]</v>
      </c>
      <c r="H72" s="64">
        <f t="shared" si="32"/>
        <v>9</v>
      </c>
      <c r="I72" s="64">
        <f t="shared" si="33"/>
        <v>22</v>
      </c>
      <c r="J72" s="64" t="e">
        <f t="shared" si="34"/>
        <v>#VALUE!</v>
      </c>
      <c r="K72" s="64">
        <f t="shared" si="35"/>
        <v>32</v>
      </c>
      <c r="L72" s="64" t="str">
        <f>IFERROR(VLOOKUP(MID(G72,J72,K72-J72),[5]skilldef!$C:$D,2,FALSE),"-") &amp; " / " &amp; IFERROR(VLOOKUP(MID(G72,H72,I72-H72),[5]skilldef!$A:$B,2,FALSE),"-")</f>
        <v>- / -</v>
      </c>
      <c r="M72" s="64" t="str">
        <f t="shared" si="36"/>
        <v>[effect:change_panel_ratio, turn:-1, block_type:yellow, val:0, animation:block_incidence04],[effect:fix_speed, target:myself, turn:1]</v>
      </c>
      <c r="N72" s="48" t="str">
        <f>IFERROR(LEFT(M72,FIND("],",M72)+#REF!),M72)</f>
        <v>[effect:change_panel_ratio, turn:-1, block_type:yellow, val:0, animation:block_incidence04],[effect:fix_speed, target:myself, turn:1]</v>
      </c>
      <c r="O72" s="64">
        <f t="shared" si="37"/>
        <v>9</v>
      </c>
      <c r="P72" s="64">
        <f t="shared" si="38"/>
        <v>27</v>
      </c>
      <c r="Q72" s="64">
        <f t="shared" si="39"/>
        <v>119</v>
      </c>
      <c r="R72" s="64">
        <f t="shared" si="40"/>
        <v>36</v>
      </c>
      <c r="S72" s="64" t="str">
        <f>IFERROR(VLOOKUP(MID(N72,Q72,R72-Q72),[5]skilldef!$C:$D,2,FALSE),"-") &amp; " / " &amp; IFERROR(VLOOKUP(MID(N72,O72,P72-O72),[5]skilldef!$A:$B,2,FALSE),"-")</f>
        <v>- / -</v>
      </c>
      <c r="T72" s="48" t="str">
        <f t="shared" si="41"/>
        <v>[effect:fix_speed, target:myself, turn:1]</v>
      </c>
      <c r="U72" s="64">
        <f t="shared" si="42"/>
        <v>9</v>
      </c>
      <c r="V72" s="64">
        <f t="shared" si="43"/>
        <v>18</v>
      </c>
      <c r="W72" s="64">
        <f t="shared" si="44"/>
        <v>27</v>
      </c>
      <c r="X72" s="64">
        <f t="shared" si="45"/>
        <v>33</v>
      </c>
      <c r="Y72" s="64" t="str">
        <f>IFERROR(VLOOKUP(MID(T72,W72,X72-W72),[5]skilldef!$C:$D,2,FALSE),"-") &amp; " / " &amp; IFERROR(VLOOKUP(MID(T72,U72,V72-U72),[5]skilldef!$A:$B,2,FALSE),"-")</f>
        <v>自分自身に / 行動値設定</v>
      </c>
      <c r="Z72" s="50"/>
      <c r="AA72" s="52"/>
      <c r="AB72" s="50"/>
    </row>
    <row r="73" spans="1:28" ht="40" customHeight="1" x14ac:dyDescent="0.15">
      <c r="A73" s="142">
        <v>47003257</v>
      </c>
      <c r="B73" s="47" t="s">
        <v>510</v>
      </c>
      <c r="C73" s="50">
        <v>3</v>
      </c>
      <c r="D73" s="50" t="s">
        <v>126</v>
      </c>
      <c r="E73" s="51" t="s">
        <v>305</v>
      </c>
      <c r="F73" s="51" t="s">
        <v>474</v>
      </c>
      <c r="G73" s="130" t="str">
        <f t="shared" si="31"/>
        <v>[effect:enemy_message, val1:2.0, val2:1.8]</v>
      </c>
      <c r="H73" s="64">
        <f t="shared" si="32"/>
        <v>9</v>
      </c>
      <c r="I73" s="64">
        <f t="shared" si="33"/>
        <v>22</v>
      </c>
      <c r="J73" s="64" t="e">
        <f t="shared" si="34"/>
        <v>#VALUE!</v>
      </c>
      <c r="K73" s="64">
        <f t="shared" si="35"/>
        <v>32</v>
      </c>
      <c r="L73" s="64" t="str">
        <f>IFERROR(VLOOKUP(MID(G73,J73,K73-J73),[5]skilldef!$C:$D,2,FALSE),"-") &amp; " / " &amp; IFERROR(VLOOKUP(MID(G73,H73,I73-H73),[5]skilldef!$A:$B,2,FALSE),"-")</f>
        <v>- / -</v>
      </c>
      <c r="M73" s="64" t="str">
        <f t="shared" si="36"/>
        <v>[effect:change_panel_ratio, turn:-1, block_type:yellow, val:0, animation:block_incidence04],[effect:fix_speed, target:myself, turn:1]</v>
      </c>
      <c r="N73" s="48" t="str">
        <f>IFERROR(LEFT(M73,FIND("],",M73)+#REF!),M73)</f>
        <v>[effect:change_panel_ratio, turn:-1, block_type:yellow, val:0, animation:block_incidence04],[effect:fix_speed, target:myself, turn:1]</v>
      </c>
      <c r="O73" s="64">
        <f t="shared" si="37"/>
        <v>9</v>
      </c>
      <c r="P73" s="64">
        <f t="shared" si="38"/>
        <v>27</v>
      </c>
      <c r="Q73" s="64">
        <f t="shared" si="39"/>
        <v>119</v>
      </c>
      <c r="R73" s="64">
        <f t="shared" si="40"/>
        <v>36</v>
      </c>
      <c r="S73" s="64" t="str">
        <f>IFERROR(VLOOKUP(MID(N73,Q73,R73-Q73),[5]skilldef!$C:$D,2,FALSE),"-") &amp; " / " &amp; IFERROR(VLOOKUP(MID(N73,O73,P73-O73),[5]skilldef!$A:$B,2,FALSE),"-")</f>
        <v>- / -</v>
      </c>
      <c r="T73" s="48" t="str">
        <f t="shared" si="41"/>
        <v>[effect:fix_speed, target:myself, turn:1]</v>
      </c>
      <c r="U73" s="64">
        <f t="shared" si="42"/>
        <v>9</v>
      </c>
      <c r="V73" s="64">
        <f t="shared" si="43"/>
        <v>18</v>
      </c>
      <c r="W73" s="64">
        <f t="shared" si="44"/>
        <v>27</v>
      </c>
      <c r="X73" s="64">
        <f t="shared" si="45"/>
        <v>33</v>
      </c>
      <c r="Y73" s="64" t="str">
        <f>IFERROR(VLOOKUP(MID(T73,W73,X73-W73),[5]skilldef!$C:$D,2,FALSE),"-") &amp; " / " &amp; IFERROR(VLOOKUP(MID(T73,U73,V73-U73),[5]skilldef!$A:$B,2,FALSE),"-")</f>
        <v>自分自身に / 行動値設定</v>
      </c>
      <c r="Z73" s="50"/>
      <c r="AA73" s="52"/>
      <c r="AB73" s="50"/>
    </row>
    <row r="74" spans="1:28" ht="40" customHeight="1" x14ac:dyDescent="0.15">
      <c r="A74" s="142">
        <v>47003261</v>
      </c>
      <c r="B74" s="137" t="s">
        <v>413</v>
      </c>
      <c r="C74" s="126">
        <v>3</v>
      </c>
      <c r="D74" s="126" t="s">
        <v>126</v>
      </c>
      <c r="E74" s="51" t="s">
        <v>306</v>
      </c>
      <c r="F74" s="51" t="s">
        <v>307</v>
      </c>
      <c r="G74" s="130" t="str">
        <f t="shared" si="31"/>
        <v>[effect:enemy_message, val1:1.3, val2:1.8]</v>
      </c>
      <c r="H74" s="64">
        <f t="shared" si="32"/>
        <v>9</v>
      </c>
      <c r="I74" s="64">
        <f t="shared" si="33"/>
        <v>22</v>
      </c>
      <c r="J74" s="64" t="e">
        <f t="shared" si="34"/>
        <v>#VALUE!</v>
      </c>
      <c r="K74" s="64">
        <f t="shared" si="35"/>
        <v>32</v>
      </c>
      <c r="L74" s="64" t="str">
        <f>IFERROR(VLOOKUP(MID(G74,J74,K74-J74),[5]skilldef!$C:$D,2,FALSE),"-") &amp; " / " &amp; IFERROR(VLOOKUP(MID(G74,H74,I74-H74),[5]skilldef!$A:$B,2,FALSE),"-")</f>
        <v>- / -</v>
      </c>
      <c r="M74" s="64" t="str">
        <f t="shared" si="36"/>
        <v>[effect:fix_speed, target:myself, turn:2]</v>
      </c>
      <c r="N74" s="48" t="str">
        <f>IFERROR(LEFT(M74,FIND("],",M74)+#REF!),M74)</f>
        <v>[effect:fix_speed, target:myself, turn:2]</v>
      </c>
      <c r="O74" s="64">
        <f t="shared" si="37"/>
        <v>9</v>
      </c>
      <c r="P74" s="64">
        <f t="shared" si="38"/>
        <v>18</v>
      </c>
      <c r="Q74" s="64">
        <f t="shared" si="39"/>
        <v>27</v>
      </c>
      <c r="R74" s="64">
        <f t="shared" si="40"/>
        <v>33</v>
      </c>
      <c r="S74" s="64" t="str">
        <f>IFERROR(VLOOKUP(MID(N74,Q74,R74-Q74),[5]skilldef!$C:$D,2,FALSE),"-") &amp; " / " &amp; IFERROR(VLOOKUP(MID(N74,O74,P74-O74),[5]skilldef!$A:$B,2,FALSE),"-")</f>
        <v>自分自身に / 行動値設定</v>
      </c>
      <c r="T74" s="48" t="str">
        <f t="shared" si="41"/>
        <v>none</v>
      </c>
      <c r="U74" s="64" t="e">
        <f t="shared" si="42"/>
        <v>#VALUE!</v>
      </c>
      <c r="V74" s="64">
        <f t="shared" si="43"/>
        <v>4</v>
      </c>
      <c r="W74" s="64" t="e">
        <f t="shared" si="44"/>
        <v>#VALUE!</v>
      </c>
      <c r="X74" s="64" t="e">
        <f t="shared" si="45"/>
        <v>#VALUE!</v>
      </c>
      <c r="Y74" s="64" t="str">
        <f>IFERROR(VLOOKUP(MID(T74,W74,X74-W74),[5]skilldef!$C:$D,2,FALSE),"-") &amp; " / " &amp; IFERROR(VLOOKUP(MID(T74,U74,V74-U74),[5]skilldef!$A:$B,2,FALSE),"-")</f>
        <v>- / -</v>
      </c>
      <c r="Z74" s="50"/>
      <c r="AA74" s="52"/>
      <c r="AB74" s="50"/>
    </row>
    <row r="75" spans="1:28" ht="40" customHeight="1" x14ac:dyDescent="0.15">
      <c r="A75" s="142">
        <v>47003263</v>
      </c>
      <c r="B75" s="47" t="s">
        <v>279</v>
      </c>
      <c r="C75" s="126">
        <v>3</v>
      </c>
      <c r="D75" s="126" t="s">
        <v>126</v>
      </c>
      <c r="E75" s="51" t="s">
        <v>309</v>
      </c>
      <c r="F75" s="51" t="s">
        <v>301</v>
      </c>
      <c r="G75" s="130" t="str">
        <f t="shared" si="31"/>
        <v>[effect:rush, count:3, val:0.4]</v>
      </c>
      <c r="H75" s="64">
        <f t="shared" si="32"/>
        <v>9</v>
      </c>
      <c r="I75" s="64">
        <f t="shared" si="33"/>
        <v>13</v>
      </c>
      <c r="J75" s="64" t="e">
        <f t="shared" si="34"/>
        <v>#VALUE!</v>
      </c>
      <c r="K75" s="64">
        <f t="shared" si="35"/>
        <v>22</v>
      </c>
      <c r="L75" s="64" t="str">
        <f>IFERROR(VLOOKUP(MID(G75,J75,K75-J75),[5]skilldef!$C:$D,2,FALSE),"-") &amp; " / " &amp; IFERROR(VLOOKUP(MID(G75,H75,I75-H75),[5]skilldef!$A:$B,2,FALSE),"-")</f>
        <v>- / 連続攻撃</v>
      </c>
      <c r="M75" s="64" t="str">
        <f t="shared" si="36"/>
        <v>none</v>
      </c>
      <c r="N75" s="48" t="str">
        <f>IFERROR(LEFT(M75,FIND("],",M75)+#REF!),M75)</f>
        <v>none</v>
      </c>
      <c r="O75" s="64" t="e">
        <f t="shared" si="37"/>
        <v>#VALUE!</v>
      </c>
      <c r="P75" s="64">
        <f t="shared" si="38"/>
        <v>4</v>
      </c>
      <c r="Q75" s="64" t="e">
        <f t="shared" si="39"/>
        <v>#VALUE!</v>
      </c>
      <c r="R75" s="64" t="e">
        <f t="shared" si="40"/>
        <v>#VALUE!</v>
      </c>
      <c r="S75" s="64" t="str">
        <f>IFERROR(VLOOKUP(MID(N75,Q75,R75-Q75),[5]skilldef!$C:$D,2,FALSE),"-") &amp; " / " &amp; IFERROR(VLOOKUP(MID(N75,O75,P75-O75),[5]skilldef!$A:$B,2,FALSE),"-")</f>
        <v>- / -</v>
      </c>
      <c r="T75" s="48" t="str">
        <f t="shared" si="41"/>
        <v>none</v>
      </c>
      <c r="U75" s="64" t="e">
        <f t="shared" si="42"/>
        <v>#VALUE!</v>
      </c>
      <c r="V75" s="64">
        <f t="shared" si="43"/>
        <v>4</v>
      </c>
      <c r="W75" s="64" t="e">
        <f t="shared" si="44"/>
        <v>#VALUE!</v>
      </c>
      <c r="X75" s="64" t="e">
        <f t="shared" si="45"/>
        <v>#VALUE!</v>
      </c>
      <c r="Y75" s="64" t="str">
        <f>IFERROR(VLOOKUP(MID(T75,W75,X75-W75),[5]skilldef!$C:$D,2,FALSE),"-") &amp; " / " &amp; IFERROR(VLOOKUP(MID(T75,U75,V75-U75),[5]skilldef!$A:$B,2,FALSE),"-")</f>
        <v>- / -</v>
      </c>
      <c r="Z75" s="50"/>
      <c r="AA75" s="52"/>
      <c r="AB75" s="50"/>
    </row>
    <row r="76" spans="1:28" ht="40" customHeight="1" x14ac:dyDescent="0.15">
      <c r="A76" s="142">
        <v>47003264</v>
      </c>
      <c r="B76" s="137" t="s">
        <v>412</v>
      </c>
      <c r="C76" s="126">
        <v>3</v>
      </c>
      <c r="D76" s="126" t="s">
        <v>126</v>
      </c>
      <c r="E76" s="51" t="s">
        <v>310</v>
      </c>
      <c r="F76" s="51" t="s">
        <v>311</v>
      </c>
      <c r="G76" s="130" t="str">
        <f t="shared" si="31"/>
        <v>[effect:critical, val:1.5, animation:enemy_critical]</v>
      </c>
      <c r="H76" s="64">
        <f t="shared" si="32"/>
        <v>9</v>
      </c>
      <c r="I76" s="64">
        <f t="shared" si="33"/>
        <v>17</v>
      </c>
      <c r="J76" s="64" t="e">
        <f t="shared" si="34"/>
        <v>#VALUE!</v>
      </c>
      <c r="K76" s="64">
        <f t="shared" si="35"/>
        <v>26</v>
      </c>
      <c r="L76" s="64" t="str">
        <f>IFERROR(VLOOKUP(MID(G76,J76,K76-J76),[5]skilldef!$C:$D,2,FALSE),"-") &amp; " / " &amp; IFERROR(VLOOKUP(MID(G76,H76,I76-H76),[5]skilldef!$A:$B,2,FALSE),"-")</f>
        <v>- / 大攻撃</v>
      </c>
      <c r="M76" s="64" t="str">
        <f t="shared" si="36"/>
        <v>[effect:fix_speed, target:myself, turn:1]</v>
      </c>
      <c r="N76" s="48" t="str">
        <f>IFERROR(LEFT(M76,FIND("],",M76)+S100),M76)</f>
        <v>[effect:fix_speed, target:myself, turn:1]</v>
      </c>
      <c r="O76" s="64">
        <f t="shared" si="37"/>
        <v>9</v>
      </c>
      <c r="P76" s="64">
        <f t="shared" si="38"/>
        <v>18</v>
      </c>
      <c r="Q76" s="64">
        <f t="shared" si="39"/>
        <v>27</v>
      </c>
      <c r="R76" s="64">
        <f t="shared" si="40"/>
        <v>33</v>
      </c>
      <c r="S76" s="64" t="str">
        <f>IFERROR(VLOOKUP(MID(N76,Q76,R76-Q76),[5]skilldef!$C:$D,2,FALSE),"-") &amp; " / " &amp; IFERROR(VLOOKUP(MID(N76,O76,P76-O76),[5]skilldef!$A:$B,2,FALSE),"-")</f>
        <v>自分自身に / 行動値設定</v>
      </c>
      <c r="T76" s="48" t="str">
        <f t="shared" si="41"/>
        <v>none</v>
      </c>
      <c r="U76" s="64" t="e">
        <f t="shared" si="42"/>
        <v>#VALUE!</v>
      </c>
      <c r="V76" s="64">
        <f t="shared" si="43"/>
        <v>4</v>
      </c>
      <c r="W76" s="64" t="e">
        <f t="shared" si="44"/>
        <v>#VALUE!</v>
      </c>
      <c r="X76" s="64" t="e">
        <f t="shared" si="45"/>
        <v>#VALUE!</v>
      </c>
      <c r="Y76" s="64" t="str">
        <f>IFERROR(VLOOKUP(MID(T76,W76,X76-W76),[5]skilldef!$C:$D,2,FALSE),"-") &amp; " / " &amp; IFERROR(VLOOKUP(MID(T76,U76,V76-U76),[5]skilldef!$A:$B,2,FALSE),"-")</f>
        <v>- / -</v>
      </c>
      <c r="Z76" s="50"/>
      <c r="AA76" s="52"/>
      <c r="AB76" s="50"/>
    </row>
    <row r="77" spans="1:28" ht="40" customHeight="1" x14ac:dyDescent="0.15">
      <c r="A77" s="142">
        <v>47003265</v>
      </c>
      <c r="B77" s="47" t="s">
        <v>511</v>
      </c>
      <c r="C77" s="126">
        <v>3</v>
      </c>
      <c r="D77" s="126" t="s">
        <v>126</v>
      </c>
      <c r="E77" s="51" t="s">
        <v>312</v>
      </c>
      <c r="F77" s="51" t="s">
        <v>474</v>
      </c>
      <c r="G77" s="130" t="str">
        <f t="shared" si="31"/>
        <v>[effect:enemy_message, val1:2.0, val2:1.8]</v>
      </c>
      <c r="H77" s="64">
        <f t="shared" si="32"/>
        <v>9</v>
      </c>
      <c r="I77" s="64">
        <f t="shared" si="33"/>
        <v>22</v>
      </c>
      <c r="J77" s="64" t="e">
        <f t="shared" si="34"/>
        <v>#VALUE!</v>
      </c>
      <c r="K77" s="64">
        <f t="shared" si="35"/>
        <v>32</v>
      </c>
      <c r="L77" s="64" t="str">
        <f>IFERROR(VLOOKUP(MID(G77,J77,K77-J77),[5]skilldef!$C:$D,2,FALSE),"-") &amp; " / " &amp; IFERROR(VLOOKUP(MID(G77,H77,I77-H77),[5]skilldef!$A:$B,2,FALSE),"-")</f>
        <v>- / -</v>
      </c>
      <c r="M77" s="64" t="str">
        <f t="shared" si="36"/>
        <v>[effect:change_panel_ratio, turn:-1, block_type:yellow, val:0, animation:block_incidence04],[effect:fix_speed, target:myself, turn:1]</v>
      </c>
      <c r="N77" s="48" t="str">
        <f>IFERROR(LEFT(M77,FIND("],",M77)+#REF!),M77)</f>
        <v>[effect:change_panel_ratio, turn:-1, block_type:yellow, val:0, animation:block_incidence04],[effect:fix_speed, target:myself, turn:1]</v>
      </c>
      <c r="O77" s="64">
        <f t="shared" si="37"/>
        <v>9</v>
      </c>
      <c r="P77" s="64">
        <f t="shared" si="38"/>
        <v>27</v>
      </c>
      <c r="Q77" s="64">
        <f t="shared" si="39"/>
        <v>119</v>
      </c>
      <c r="R77" s="64">
        <f t="shared" si="40"/>
        <v>36</v>
      </c>
      <c r="S77" s="64" t="str">
        <f>IFERROR(VLOOKUP(MID(N77,Q77,R77-Q77),[5]skilldef!$C:$D,2,FALSE),"-") &amp; " / " &amp; IFERROR(VLOOKUP(MID(N77,O77,P77-O77),[5]skilldef!$A:$B,2,FALSE),"-")</f>
        <v>- / -</v>
      </c>
      <c r="T77" s="48" t="str">
        <f t="shared" si="41"/>
        <v>[effect:fix_speed, target:myself, turn:1]</v>
      </c>
      <c r="U77" s="64">
        <f t="shared" si="42"/>
        <v>9</v>
      </c>
      <c r="V77" s="64">
        <f t="shared" si="43"/>
        <v>18</v>
      </c>
      <c r="W77" s="64">
        <f t="shared" si="44"/>
        <v>27</v>
      </c>
      <c r="X77" s="64">
        <f t="shared" si="45"/>
        <v>33</v>
      </c>
      <c r="Y77" s="64" t="str">
        <f>IFERROR(VLOOKUP(MID(T77,W77,X77-W77),[5]skilldef!$C:$D,2,FALSE),"-") &amp; " / " &amp; IFERROR(VLOOKUP(MID(T77,U77,V77-U77),[5]skilldef!$A:$B,2,FALSE),"-")</f>
        <v>自分自身に / 行動値設定</v>
      </c>
      <c r="Z77" s="50"/>
      <c r="AA77" s="52"/>
      <c r="AB77" s="50"/>
    </row>
    <row r="78" spans="1:28" ht="40" customHeight="1" x14ac:dyDescent="0.15">
      <c r="A78" s="142">
        <v>47003266</v>
      </c>
      <c r="B78" s="47" t="s">
        <v>512</v>
      </c>
      <c r="C78" s="126">
        <v>3</v>
      </c>
      <c r="D78" s="126" t="s">
        <v>126</v>
      </c>
      <c r="E78" s="51" t="s">
        <v>313</v>
      </c>
      <c r="F78" s="51" t="s">
        <v>474</v>
      </c>
      <c r="G78" s="130" t="str">
        <f t="shared" si="31"/>
        <v>[effect:enemy_message, val1:2.0, val2:1.8]</v>
      </c>
      <c r="H78" s="64">
        <f t="shared" si="32"/>
        <v>9</v>
      </c>
      <c r="I78" s="64">
        <f t="shared" si="33"/>
        <v>22</v>
      </c>
      <c r="J78" s="64" t="e">
        <f t="shared" si="34"/>
        <v>#VALUE!</v>
      </c>
      <c r="K78" s="64">
        <f t="shared" si="35"/>
        <v>32</v>
      </c>
      <c r="L78" s="64" t="str">
        <f>IFERROR(VLOOKUP(MID(G78,J78,K78-J78),[5]skilldef!$C:$D,2,FALSE),"-") &amp; " / " &amp; IFERROR(VLOOKUP(MID(G78,H78,I78-H78),[5]skilldef!$A:$B,2,FALSE),"-")</f>
        <v>- / -</v>
      </c>
      <c r="M78" s="64" t="str">
        <f t="shared" si="36"/>
        <v>[effect:change_panel_ratio, turn:-1, block_type:yellow, val:0, animation:block_incidence04],[effect:fix_speed, target:myself, turn:1]</v>
      </c>
      <c r="N78" s="48" t="str">
        <f>IFERROR(LEFT(M78,FIND("],",M78)+#REF!),M78)</f>
        <v>[effect:change_panel_ratio, turn:-1, block_type:yellow, val:0, animation:block_incidence04],[effect:fix_speed, target:myself, turn:1]</v>
      </c>
      <c r="O78" s="64">
        <f t="shared" si="37"/>
        <v>9</v>
      </c>
      <c r="P78" s="64">
        <f t="shared" si="38"/>
        <v>27</v>
      </c>
      <c r="Q78" s="64">
        <f t="shared" si="39"/>
        <v>119</v>
      </c>
      <c r="R78" s="64">
        <f t="shared" si="40"/>
        <v>36</v>
      </c>
      <c r="S78" s="64" t="str">
        <f>IFERROR(VLOOKUP(MID(N78,Q78,R78-Q78),[5]skilldef!$C:$D,2,FALSE),"-") &amp; " / " &amp; IFERROR(VLOOKUP(MID(N78,O78,P78-O78),[5]skilldef!$A:$B,2,FALSE),"-")</f>
        <v>- / -</v>
      </c>
      <c r="T78" s="48" t="str">
        <f t="shared" si="41"/>
        <v>[effect:fix_speed, target:myself, turn:1]</v>
      </c>
      <c r="U78" s="64">
        <f t="shared" si="42"/>
        <v>9</v>
      </c>
      <c r="V78" s="64">
        <f t="shared" si="43"/>
        <v>18</v>
      </c>
      <c r="W78" s="64">
        <f t="shared" si="44"/>
        <v>27</v>
      </c>
      <c r="X78" s="64">
        <f t="shared" si="45"/>
        <v>33</v>
      </c>
      <c r="Y78" s="64" t="str">
        <f>IFERROR(VLOOKUP(MID(T78,W78,X78-W78),[5]skilldef!$C:$D,2,FALSE),"-") &amp; " / " &amp; IFERROR(VLOOKUP(MID(T78,U78,V78-U78),[5]skilldef!$A:$B,2,FALSE),"-")</f>
        <v>自分自身に / 行動値設定</v>
      </c>
      <c r="Z78" s="50"/>
      <c r="AA78" s="52"/>
      <c r="AB78" s="50"/>
    </row>
    <row r="79" spans="1:28" ht="40" customHeight="1" x14ac:dyDescent="0.15">
      <c r="A79" s="142">
        <v>47003267</v>
      </c>
      <c r="B79" s="47" t="s">
        <v>509</v>
      </c>
      <c r="C79" s="126">
        <v>3</v>
      </c>
      <c r="D79" s="126" t="s">
        <v>126</v>
      </c>
      <c r="E79" s="51" t="s">
        <v>314</v>
      </c>
      <c r="F79" s="51" t="s">
        <v>474</v>
      </c>
      <c r="G79" s="130" t="str">
        <f t="shared" si="31"/>
        <v>[effect:enemy_message, val1:2.0, val2:1.8]</v>
      </c>
      <c r="H79" s="64">
        <f t="shared" si="32"/>
        <v>9</v>
      </c>
      <c r="I79" s="64">
        <f t="shared" si="33"/>
        <v>22</v>
      </c>
      <c r="J79" s="64" t="e">
        <f t="shared" si="34"/>
        <v>#VALUE!</v>
      </c>
      <c r="K79" s="64">
        <f t="shared" si="35"/>
        <v>32</v>
      </c>
      <c r="L79" s="64" t="str">
        <f>IFERROR(VLOOKUP(MID(G79,J79,K79-J79),[5]skilldef!$C:$D,2,FALSE),"-") &amp; " / " &amp; IFERROR(VLOOKUP(MID(G79,H79,I79-H79),[5]skilldef!$A:$B,2,FALSE),"-")</f>
        <v>- / -</v>
      </c>
      <c r="M79" s="64" t="str">
        <f t="shared" si="36"/>
        <v>[effect:change_panel_ratio, turn:-1, block_type:yellow, val:0, animation:block_incidence04],[effect:fix_speed, target:myself, turn:1]</v>
      </c>
      <c r="N79" s="48" t="str">
        <f>IFERROR(LEFT(M79,FIND("],",M79)+#REF!),M79)</f>
        <v>[effect:change_panel_ratio, turn:-1, block_type:yellow, val:0, animation:block_incidence04],[effect:fix_speed, target:myself, turn:1]</v>
      </c>
      <c r="O79" s="64">
        <f t="shared" si="37"/>
        <v>9</v>
      </c>
      <c r="P79" s="64">
        <f t="shared" si="38"/>
        <v>27</v>
      </c>
      <c r="Q79" s="64">
        <f t="shared" si="39"/>
        <v>119</v>
      </c>
      <c r="R79" s="64">
        <f t="shared" si="40"/>
        <v>36</v>
      </c>
      <c r="S79" s="64" t="str">
        <f>IFERROR(VLOOKUP(MID(N79,Q79,R79-Q79),[5]skilldef!$C:$D,2,FALSE),"-") &amp; " / " &amp; IFERROR(VLOOKUP(MID(N79,O79,P79-O79),[5]skilldef!$A:$B,2,FALSE),"-")</f>
        <v>- / -</v>
      </c>
      <c r="T79" s="48" t="str">
        <f t="shared" si="41"/>
        <v>[effect:fix_speed, target:myself, turn:1]</v>
      </c>
      <c r="U79" s="64">
        <f t="shared" si="42"/>
        <v>9</v>
      </c>
      <c r="V79" s="64">
        <f t="shared" si="43"/>
        <v>18</v>
      </c>
      <c r="W79" s="64">
        <f t="shared" si="44"/>
        <v>27</v>
      </c>
      <c r="X79" s="64">
        <f t="shared" si="45"/>
        <v>33</v>
      </c>
      <c r="Y79" s="64" t="str">
        <f>IFERROR(VLOOKUP(MID(T79,W79,X79-W79),[5]skilldef!$C:$D,2,FALSE),"-") &amp; " / " &amp; IFERROR(VLOOKUP(MID(T79,U79,V79-U79),[5]skilldef!$A:$B,2,FALSE),"-")</f>
        <v>自分自身に / 行動値設定</v>
      </c>
      <c r="Z79" s="50"/>
      <c r="AA79" s="52"/>
      <c r="AB79" s="50"/>
    </row>
    <row r="80" spans="1:28" ht="40" customHeight="1" x14ac:dyDescent="0.15">
      <c r="A80" s="142">
        <v>47003281</v>
      </c>
      <c r="B80" s="137" t="s">
        <v>513</v>
      </c>
      <c r="C80" s="127">
        <v>3</v>
      </c>
      <c r="D80" s="127" t="s">
        <v>126</v>
      </c>
      <c r="E80" s="51" t="s">
        <v>315</v>
      </c>
      <c r="F80" s="51" t="s">
        <v>316</v>
      </c>
      <c r="G80" s="130" t="str">
        <f t="shared" si="31"/>
        <v>[effect:enemy_message, val1:1.3, val2:1.8]</v>
      </c>
      <c r="H80" s="64">
        <f t="shared" si="32"/>
        <v>9</v>
      </c>
      <c r="I80" s="64">
        <f t="shared" si="33"/>
        <v>22</v>
      </c>
      <c r="J80" s="64" t="e">
        <f t="shared" si="34"/>
        <v>#VALUE!</v>
      </c>
      <c r="K80" s="64">
        <f t="shared" si="35"/>
        <v>32</v>
      </c>
      <c r="L80" s="64" t="str">
        <f>IFERROR(VLOOKUP(MID(G80,J80,K80-J80),[5]skilldef!$C:$D,2,FALSE),"-") &amp; " / " &amp; IFERROR(VLOOKUP(MID(G80,H80,I80-H80),[5]skilldef!$A:$B,2,FALSE),"-")</f>
        <v>- / -</v>
      </c>
      <c r="M80" s="64" t="str">
        <f t="shared" si="36"/>
        <v>[effect:fix_speed, target:myself, turn:2]</v>
      </c>
      <c r="N80" s="48" t="str">
        <f>IFERROR(LEFT(M80,FIND("],",M80)+#REF!),M80)</f>
        <v>[effect:fix_speed, target:myself, turn:2]</v>
      </c>
      <c r="O80" s="64">
        <f t="shared" si="37"/>
        <v>9</v>
      </c>
      <c r="P80" s="64">
        <f t="shared" si="38"/>
        <v>18</v>
      </c>
      <c r="Q80" s="64">
        <f t="shared" si="39"/>
        <v>27</v>
      </c>
      <c r="R80" s="64">
        <f t="shared" si="40"/>
        <v>33</v>
      </c>
      <c r="S80" s="64" t="str">
        <f>IFERROR(VLOOKUP(MID(N80,Q80,R80-Q80),[5]skilldef!$C:$D,2,FALSE),"-") &amp; " / " &amp; IFERROR(VLOOKUP(MID(N80,O80,P80-O80),[5]skilldef!$A:$B,2,FALSE),"-")</f>
        <v>自分自身に / 行動値設定</v>
      </c>
      <c r="T80" s="48" t="str">
        <f t="shared" si="41"/>
        <v>none</v>
      </c>
      <c r="U80" s="64" t="e">
        <f t="shared" si="42"/>
        <v>#VALUE!</v>
      </c>
      <c r="V80" s="64">
        <f t="shared" si="43"/>
        <v>4</v>
      </c>
      <c r="W80" s="64" t="e">
        <f t="shared" si="44"/>
        <v>#VALUE!</v>
      </c>
      <c r="X80" s="64" t="e">
        <f t="shared" si="45"/>
        <v>#VALUE!</v>
      </c>
      <c r="Y80" s="64" t="str">
        <f>IFERROR(VLOOKUP(MID(T80,W80,X80-W80),[5]skilldef!$C:$D,2,FALSE),"-") &amp; " / " &amp; IFERROR(VLOOKUP(MID(T80,U80,V80-U80),[5]skilldef!$A:$B,2,FALSE),"-")</f>
        <v>- / -</v>
      </c>
      <c r="Z80" s="50"/>
      <c r="AA80" s="52"/>
      <c r="AB80" s="50"/>
    </row>
    <row r="81" spans="1:28" ht="40" customHeight="1" x14ac:dyDescent="0.15">
      <c r="A81" s="142">
        <v>47003283</v>
      </c>
      <c r="B81" s="47" t="s">
        <v>279</v>
      </c>
      <c r="C81" s="127">
        <v>3</v>
      </c>
      <c r="D81" s="127" t="s">
        <v>126</v>
      </c>
      <c r="E81" s="51" t="s">
        <v>318</v>
      </c>
      <c r="F81" s="51" t="s">
        <v>387</v>
      </c>
      <c r="G81" s="130" t="str">
        <f t="shared" si="31"/>
        <v>[effect:rush, count:3, val:0.4]</v>
      </c>
      <c r="H81" s="64">
        <f t="shared" si="32"/>
        <v>9</v>
      </c>
      <c r="I81" s="64">
        <f t="shared" si="33"/>
        <v>13</v>
      </c>
      <c r="J81" s="64" t="e">
        <f t="shared" si="34"/>
        <v>#VALUE!</v>
      </c>
      <c r="K81" s="64">
        <f t="shared" si="35"/>
        <v>22</v>
      </c>
      <c r="L81" s="64" t="str">
        <f>IFERROR(VLOOKUP(MID(G81,J81,K81-J81),[5]skilldef!$C:$D,2,FALSE),"-") &amp; " / " &amp; IFERROR(VLOOKUP(MID(G81,H81,I81-H81),[5]skilldef!$A:$B,2,FALSE),"-")</f>
        <v>- / 連続攻撃</v>
      </c>
      <c r="M81" s="64" t="str">
        <f t="shared" si="36"/>
        <v>none</v>
      </c>
      <c r="N81" s="48" t="str">
        <f>IFERROR(LEFT(M81,FIND("],",M81)+#REF!),M81)</f>
        <v>none</v>
      </c>
      <c r="O81" s="64" t="e">
        <f t="shared" si="37"/>
        <v>#VALUE!</v>
      </c>
      <c r="P81" s="64">
        <f t="shared" si="38"/>
        <v>4</v>
      </c>
      <c r="Q81" s="64" t="e">
        <f t="shared" si="39"/>
        <v>#VALUE!</v>
      </c>
      <c r="R81" s="64" t="e">
        <f t="shared" si="40"/>
        <v>#VALUE!</v>
      </c>
      <c r="S81" s="64" t="str">
        <f>IFERROR(VLOOKUP(MID(N81,Q81,R81-Q81),[5]skilldef!$C:$D,2,FALSE),"-") &amp; " / " &amp; IFERROR(VLOOKUP(MID(N81,O81,P81-O81),[5]skilldef!$A:$B,2,FALSE),"-")</f>
        <v>- / -</v>
      </c>
      <c r="T81" s="48" t="str">
        <f t="shared" si="41"/>
        <v>none</v>
      </c>
      <c r="U81" s="64" t="e">
        <f t="shared" si="42"/>
        <v>#VALUE!</v>
      </c>
      <c r="V81" s="64">
        <f t="shared" si="43"/>
        <v>4</v>
      </c>
      <c r="W81" s="64" t="e">
        <f t="shared" si="44"/>
        <v>#VALUE!</v>
      </c>
      <c r="X81" s="64" t="e">
        <f t="shared" si="45"/>
        <v>#VALUE!</v>
      </c>
      <c r="Y81" s="64" t="str">
        <f>IFERROR(VLOOKUP(MID(T81,W81,X81-W81),[5]skilldef!$C:$D,2,FALSE),"-") &amp; " / " &amp; IFERROR(VLOOKUP(MID(T81,U81,V81-U81),[5]skilldef!$A:$B,2,FALSE),"-")</f>
        <v>- / -</v>
      </c>
      <c r="Z81" s="50"/>
      <c r="AA81" s="52"/>
      <c r="AB81" s="50"/>
    </row>
    <row r="82" spans="1:28" ht="40" customHeight="1" x14ac:dyDescent="0.15">
      <c r="A82" s="142">
        <v>47003284</v>
      </c>
      <c r="B82" s="137" t="s">
        <v>412</v>
      </c>
      <c r="C82" s="127">
        <v>3</v>
      </c>
      <c r="D82" s="127" t="s">
        <v>126</v>
      </c>
      <c r="E82" s="51" t="s">
        <v>319</v>
      </c>
      <c r="F82" s="51" t="s">
        <v>311</v>
      </c>
      <c r="G82" s="130" t="str">
        <f t="shared" si="31"/>
        <v>[effect:critical, val:1.5, animation:enemy_critical]</v>
      </c>
      <c r="H82" s="64">
        <f t="shared" si="32"/>
        <v>9</v>
      </c>
      <c r="I82" s="64">
        <f t="shared" si="33"/>
        <v>17</v>
      </c>
      <c r="J82" s="64" t="e">
        <f t="shared" si="34"/>
        <v>#VALUE!</v>
      </c>
      <c r="K82" s="64">
        <f t="shared" si="35"/>
        <v>26</v>
      </c>
      <c r="L82" s="64" t="str">
        <f>IFERROR(VLOOKUP(MID(G82,J82,K82-J82),[5]skilldef!$C:$D,2,FALSE),"-") &amp; " / " &amp; IFERROR(VLOOKUP(MID(G82,H82,I82-H82),[5]skilldef!$A:$B,2,FALSE),"-")</f>
        <v>- / 大攻撃</v>
      </c>
      <c r="M82" s="64" t="str">
        <f t="shared" si="36"/>
        <v>[effect:fix_speed, target:myself, turn:1]</v>
      </c>
      <c r="N82" s="48" t="str">
        <f>IFERROR(LEFT(M82,FIND("],",M82)+S106),M82)</f>
        <v>[effect:fix_speed, target:myself, turn:1]</v>
      </c>
      <c r="O82" s="64">
        <f t="shared" si="37"/>
        <v>9</v>
      </c>
      <c r="P82" s="64">
        <f t="shared" si="38"/>
        <v>18</v>
      </c>
      <c r="Q82" s="64">
        <f t="shared" si="39"/>
        <v>27</v>
      </c>
      <c r="R82" s="64">
        <f t="shared" si="40"/>
        <v>33</v>
      </c>
      <c r="S82" s="64" t="str">
        <f>IFERROR(VLOOKUP(MID(N82,Q82,R82-Q82),[5]skilldef!$C:$D,2,FALSE),"-") &amp; " / " &amp; IFERROR(VLOOKUP(MID(N82,O82,P82-O82),[5]skilldef!$A:$B,2,FALSE),"-")</f>
        <v>自分自身に / 行動値設定</v>
      </c>
      <c r="T82" s="48" t="str">
        <f t="shared" si="41"/>
        <v>none</v>
      </c>
      <c r="U82" s="64" t="e">
        <f t="shared" si="42"/>
        <v>#VALUE!</v>
      </c>
      <c r="V82" s="64">
        <f t="shared" si="43"/>
        <v>4</v>
      </c>
      <c r="W82" s="64" t="e">
        <f t="shared" si="44"/>
        <v>#VALUE!</v>
      </c>
      <c r="X82" s="64" t="e">
        <f t="shared" si="45"/>
        <v>#VALUE!</v>
      </c>
      <c r="Y82" s="64" t="str">
        <f>IFERROR(VLOOKUP(MID(T82,W82,X82-W82),[5]skilldef!$C:$D,2,FALSE),"-") &amp; " / " &amp; IFERROR(VLOOKUP(MID(T82,U82,V82-U82),[5]skilldef!$A:$B,2,FALSE),"-")</f>
        <v>- / -</v>
      </c>
      <c r="Z82" s="50"/>
      <c r="AA82" s="52"/>
      <c r="AB82" s="50"/>
    </row>
    <row r="83" spans="1:28" ht="40" customHeight="1" x14ac:dyDescent="0.15">
      <c r="A83" s="142">
        <v>47003285</v>
      </c>
      <c r="B83" s="47" t="s">
        <v>514</v>
      </c>
      <c r="C83" s="127">
        <v>3</v>
      </c>
      <c r="D83" s="127" t="s">
        <v>126</v>
      </c>
      <c r="E83" s="51" t="s">
        <v>320</v>
      </c>
      <c r="F83" s="51" t="s">
        <v>303</v>
      </c>
      <c r="G83" s="130" t="str">
        <f t="shared" si="31"/>
        <v>[effect:enemy_message, val1:2.0, val2:1.8]</v>
      </c>
      <c r="H83" s="64">
        <f t="shared" si="32"/>
        <v>9</v>
      </c>
      <c r="I83" s="64">
        <f t="shared" si="33"/>
        <v>22</v>
      </c>
      <c r="J83" s="64" t="e">
        <f t="shared" si="34"/>
        <v>#VALUE!</v>
      </c>
      <c r="K83" s="64">
        <f t="shared" si="35"/>
        <v>32</v>
      </c>
      <c r="L83" s="64" t="str">
        <f>IFERROR(VLOOKUP(MID(G83,J83,K83-J83),[5]skilldef!$C:$D,2,FALSE),"-") &amp; " / " &amp; IFERROR(VLOOKUP(MID(G83,H83,I83-H83),[5]skilldef!$A:$B,2,FALSE),"-")</f>
        <v>- / -</v>
      </c>
      <c r="M83" s="64" t="str">
        <f t="shared" si="36"/>
        <v>[effect:change_panel_ratio, turn:-1, block_type:yellow, val:0.05, animation:block_incidence04],[effect:fix_speed, target:myself, turn:1]</v>
      </c>
      <c r="N83" s="48" t="str">
        <f>IFERROR(LEFT(M83,FIND("],",M83)+#REF!),M83)</f>
        <v>[effect:change_panel_ratio, turn:-1, block_type:yellow, val:0.05, animation:block_incidence04],[effect:fix_speed, target:myself, turn:1]</v>
      </c>
      <c r="O83" s="64">
        <f t="shared" si="37"/>
        <v>9</v>
      </c>
      <c r="P83" s="64">
        <f t="shared" si="38"/>
        <v>27</v>
      </c>
      <c r="Q83" s="64">
        <f t="shared" si="39"/>
        <v>122</v>
      </c>
      <c r="R83" s="64">
        <f t="shared" si="40"/>
        <v>36</v>
      </c>
      <c r="S83" s="64" t="str">
        <f>IFERROR(VLOOKUP(MID(N83,Q83,R83-Q83),[5]skilldef!$C:$D,2,FALSE),"-") &amp; " / " &amp; IFERROR(VLOOKUP(MID(N83,O83,P83-O83),[5]skilldef!$A:$B,2,FALSE),"-")</f>
        <v>- / -</v>
      </c>
      <c r="T83" s="48" t="str">
        <f t="shared" si="41"/>
        <v>[effect:fix_speed, target:myself, turn:1]</v>
      </c>
      <c r="U83" s="64">
        <f t="shared" si="42"/>
        <v>9</v>
      </c>
      <c r="V83" s="64">
        <f t="shared" si="43"/>
        <v>18</v>
      </c>
      <c r="W83" s="64">
        <f t="shared" si="44"/>
        <v>27</v>
      </c>
      <c r="X83" s="64">
        <f t="shared" si="45"/>
        <v>33</v>
      </c>
      <c r="Y83" s="64" t="str">
        <f>IFERROR(VLOOKUP(MID(T83,W83,X83-W83),[5]skilldef!$C:$D,2,FALSE),"-") &amp; " / " &amp; IFERROR(VLOOKUP(MID(T83,U83,V83-U83),[5]skilldef!$A:$B,2,FALSE),"-")</f>
        <v>自分自身に / 行動値設定</v>
      </c>
      <c r="Z83" s="50"/>
      <c r="AA83" s="52"/>
      <c r="AB83" s="50"/>
    </row>
    <row r="84" spans="1:28" ht="40" customHeight="1" x14ac:dyDescent="0.15">
      <c r="A84" s="142">
        <v>47003286</v>
      </c>
      <c r="B84" s="47" t="s">
        <v>515</v>
      </c>
      <c r="C84" s="127">
        <v>3</v>
      </c>
      <c r="D84" s="127" t="s">
        <v>126</v>
      </c>
      <c r="E84" s="51" t="s">
        <v>321</v>
      </c>
      <c r="F84" s="51" t="s">
        <v>303</v>
      </c>
      <c r="G84" s="130" t="str">
        <f t="shared" si="31"/>
        <v>[effect:enemy_message, val1:2.0, val2:1.8]</v>
      </c>
      <c r="H84" s="64">
        <f t="shared" si="32"/>
        <v>9</v>
      </c>
      <c r="I84" s="64">
        <f t="shared" si="33"/>
        <v>22</v>
      </c>
      <c r="J84" s="64" t="e">
        <f t="shared" si="34"/>
        <v>#VALUE!</v>
      </c>
      <c r="K84" s="64">
        <f t="shared" si="35"/>
        <v>32</v>
      </c>
      <c r="L84" s="64" t="str">
        <f>IFERROR(VLOOKUP(MID(G84,J84,K84-J84),[5]skilldef!$C:$D,2,FALSE),"-") &amp; " / " &amp; IFERROR(VLOOKUP(MID(G84,H84,I84-H84),[5]skilldef!$A:$B,2,FALSE),"-")</f>
        <v>- / -</v>
      </c>
      <c r="M84" s="64" t="str">
        <f t="shared" si="36"/>
        <v>[effect:change_panel_ratio, turn:-1, block_type:yellow, val:0.05, animation:block_incidence04],[effect:fix_speed, target:myself, turn:1]</v>
      </c>
      <c r="N84" s="48" t="str">
        <f>IFERROR(LEFT(M84,FIND("],",M84)+#REF!),M84)</f>
        <v>[effect:change_panel_ratio, turn:-1, block_type:yellow, val:0.05, animation:block_incidence04],[effect:fix_speed, target:myself, turn:1]</v>
      </c>
      <c r="O84" s="64">
        <f t="shared" si="37"/>
        <v>9</v>
      </c>
      <c r="P84" s="64">
        <f t="shared" si="38"/>
        <v>27</v>
      </c>
      <c r="Q84" s="64">
        <f t="shared" si="39"/>
        <v>122</v>
      </c>
      <c r="R84" s="64">
        <f t="shared" si="40"/>
        <v>36</v>
      </c>
      <c r="S84" s="64" t="str">
        <f>IFERROR(VLOOKUP(MID(N84,Q84,R84-Q84),[5]skilldef!$C:$D,2,FALSE),"-") &amp; " / " &amp; IFERROR(VLOOKUP(MID(N84,O84,P84-O84),[5]skilldef!$A:$B,2,FALSE),"-")</f>
        <v>- / -</v>
      </c>
      <c r="T84" s="48" t="str">
        <f t="shared" si="41"/>
        <v>[effect:fix_speed, target:myself, turn:1]</v>
      </c>
      <c r="U84" s="64">
        <f t="shared" si="42"/>
        <v>9</v>
      </c>
      <c r="V84" s="64">
        <f t="shared" si="43"/>
        <v>18</v>
      </c>
      <c r="W84" s="64">
        <f t="shared" si="44"/>
        <v>27</v>
      </c>
      <c r="X84" s="64">
        <f t="shared" si="45"/>
        <v>33</v>
      </c>
      <c r="Y84" s="64" t="str">
        <f>IFERROR(VLOOKUP(MID(T84,W84,X84-W84),[5]skilldef!$C:$D,2,FALSE),"-") &amp; " / " &amp; IFERROR(VLOOKUP(MID(T84,U84,V84-U84),[5]skilldef!$A:$B,2,FALSE),"-")</f>
        <v>自分自身に / 行動値設定</v>
      </c>
      <c r="Z84" s="50"/>
      <c r="AA84" s="52"/>
      <c r="AB84" s="50"/>
    </row>
    <row r="85" spans="1:28" ht="40" customHeight="1" x14ac:dyDescent="0.15">
      <c r="A85" s="142">
        <v>47003287</v>
      </c>
      <c r="B85" s="47" t="s">
        <v>516</v>
      </c>
      <c r="C85" s="127">
        <v>3</v>
      </c>
      <c r="D85" s="127" t="s">
        <v>126</v>
      </c>
      <c r="E85" s="51" t="s">
        <v>322</v>
      </c>
      <c r="F85" s="51" t="s">
        <v>303</v>
      </c>
      <c r="G85" s="130" t="str">
        <f t="shared" si="31"/>
        <v>[effect:enemy_message, val1:2.0, val2:1.8]</v>
      </c>
      <c r="H85" s="64">
        <f t="shared" si="32"/>
        <v>9</v>
      </c>
      <c r="I85" s="64">
        <f t="shared" si="33"/>
        <v>22</v>
      </c>
      <c r="J85" s="64" t="e">
        <f t="shared" si="34"/>
        <v>#VALUE!</v>
      </c>
      <c r="K85" s="64">
        <f t="shared" si="35"/>
        <v>32</v>
      </c>
      <c r="L85" s="64" t="str">
        <f>IFERROR(VLOOKUP(MID(G85,J85,K85-J85),[5]skilldef!$C:$D,2,FALSE),"-") &amp; " / " &amp; IFERROR(VLOOKUP(MID(G85,H85,I85-H85),[5]skilldef!$A:$B,2,FALSE),"-")</f>
        <v>- / -</v>
      </c>
      <c r="M85" s="64" t="str">
        <f t="shared" si="36"/>
        <v>[effect:change_panel_ratio, turn:-1, block_type:yellow, val:0.05, animation:block_incidence04],[effect:fix_speed, target:myself, turn:1]</v>
      </c>
      <c r="N85" s="48" t="str">
        <f>IFERROR(LEFT(M85,FIND("],",M85)+#REF!),M85)</f>
        <v>[effect:change_panel_ratio, turn:-1, block_type:yellow, val:0.05, animation:block_incidence04],[effect:fix_speed, target:myself, turn:1]</v>
      </c>
      <c r="O85" s="64">
        <f t="shared" si="37"/>
        <v>9</v>
      </c>
      <c r="P85" s="64">
        <f t="shared" si="38"/>
        <v>27</v>
      </c>
      <c r="Q85" s="64">
        <f t="shared" si="39"/>
        <v>122</v>
      </c>
      <c r="R85" s="64">
        <f t="shared" si="40"/>
        <v>36</v>
      </c>
      <c r="S85" s="64" t="str">
        <f>IFERROR(VLOOKUP(MID(N85,Q85,R85-Q85),[5]skilldef!$C:$D,2,FALSE),"-") &amp; " / " &amp; IFERROR(VLOOKUP(MID(N85,O85,P85-O85),[5]skilldef!$A:$B,2,FALSE),"-")</f>
        <v>- / -</v>
      </c>
      <c r="T85" s="48" t="str">
        <f t="shared" si="41"/>
        <v>[effect:fix_speed, target:myself, turn:1]</v>
      </c>
      <c r="U85" s="64">
        <f t="shared" si="42"/>
        <v>9</v>
      </c>
      <c r="V85" s="64">
        <f t="shared" si="43"/>
        <v>18</v>
      </c>
      <c r="W85" s="64">
        <f t="shared" si="44"/>
        <v>27</v>
      </c>
      <c r="X85" s="64">
        <f t="shared" si="45"/>
        <v>33</v>
      </c>
      <c r="Y85" s="64" t="str">
        <f>IFERROR(VLOOKUP(MID(T85,W85,X85-W85),[5]skilldef!$C:$D,2,FALSE),"-") &amp; " / " &amp; IFERROR(VLOOKUP(MID(T85,U85,V85-U85),[5]skilldef!$A:$B,2,FALSE),"-")</f>
        <v>自分自身に / 行動値設定</v>
      </c>
      <c r="Z85" s="50"/>
      <c r="AA85" s="52"/>
      <c r="AB85" s="50"/>
    </row>
    <row r="86" spans="1:28" ht="40" customHeight="1" x14ac:dyDescent="0.15">
      <c r="A86" s="142">
        <v>47003301</v>
      </c>
      <c r="B86" s="135" t="s">
        <v>517</v>
      </c>
      <c r="C86" s="132">
        <v>3</v>
      </c>
      <c r="D86" s="132" t="s">
        <v>126</v>
      </c>
      <c r="E86" s="138" t="s">
        <v>282</v>
      </c>
      <c r="F86" s="51" t="s">
        <v>323</v>
      </c>
      <c r="G86" s="130" t="str">
        <f t="shared" si="31"/>
        <v>[effect:enemy_message, val1:1.3, val2:1.8]</v>
      </c>
      <c r="H86" s="64">
        <f t="shared" si="32"/>
        <v>9</v>
      </c>
      <c r="I86" s="64">
        <f t="shared" si="33"/>
        <v>22</v>
      </c>
      <c r="J86" s="64" t="e">
        <f t="shared" si="34"/>
        <v>#VALUE!</v>
      </c>
      <c r="K86" s="64">
        <f t="shared" si="35"/>
        <v>32</v>
      </c>
      <c r="L86" s="64" t="str">
        <f>IFERROR(VLOOKUP(MID(G86,J86,K86-J86),[5]skilldef!$C:$D,2,FALSE),"-") &amp; " / " &amp; IFERROR(VLOOKUP(MID(G86,H86,I86-H86),[5]skilldef!$A:$B,2,FALSE),"-")</f>
        <v>- / -</v>
      </c>
      <c r="M86" s="64" t="str">
        <f t="shared" si="36"/>
        <v>[effect:fix_speed, target:myself, turn:1]</v>
      </c>
      <c r="N86" s="48" t="str">
        <f>IFERROR(LEFT(M86,FIND("],",M86)+#REF!),M86)</f>
        <v>[effect:fix_speed, target:myself, turn:1]</v>
      </c>
      <c r="O86" s="64">
        <f t="shared" si="37"/>
        <v>9</v>
      </c>
      <c r="P86" s="64">
        <f t="shared" si="38"/>
        <v>18</v>
      </c>
      <c r="Q86" s="64">
        <f t="shared" si="39"/>
        <v>27</v>
      </c>
      <c r="R86" s="64">
        <f t="shared" si="40"/>
        <v>33</v>
      </c>
      <c r="S86" s="64" t="str">
        <f>IFERROR(VLOOKUP(MID(N86,Q86,R86-Q86),[5]skilldef!$C:$D,2,FALSE),"-") &amp; " / " &amp; IFERROR(VLOOKUP(MID(N86,O86,P86-O86),[5]skilldef!$A:$B,2,FALSE),"-")</f>
        <v>自分自身に / 行動値設定</v>
      </c>
      <c r="T86" s="48" t="str">
        <f t="shared" si="41"/>
        <v>none</v>
      </c>
      <c r="U86" s="64" t="e">
        <f t="shared" si="42"/>
        <v>#VALUE!</v>
      </c>
      <c r="V86" s="64">
        <f t="shared" si="43"/>
        <v>4</v>
      </c>
      <c r="W86" s="64" t="e">
        <f t="shared" si="44"/>
        <v>#VALUE!</v>
      </c>
      <c r="X86" s="64" t="e">
        <f t="shared" si="45"/>
        <v>#VALUE!</v>
      </c>
      <c r="Y86" s="64" t="str">
        <f>IFERROR(VLOOKUP(MID(T86,W86,X86-W86),[5]skilldef!$C:$D,2,FALSE),"-") &amp; " / " &amp; IFERROR(VLOOKUP(MID(T86,U86,V86-U86),[5]skilldef!$A:$B,2,FALSE),"-")</f>
        <v>- / -</v>
      </c>
      <c r="Z86" s="50"/>
      <c r="AA86" s="52"/>
      <c r="AB86" s="50"/>
    </row>
    <row r="87" spans="1:28" ht="40" customHeight="1" x14ac:dyDescent="0.15">
      <c r="A87" s="142">
        <v>47003302</v>
      </c>
      <c r="B87" s="47" t="s">
        <v>587</v>
      </c>
      <c r="C87" s="50">
        <v>3</v>
      </c>
      <c r="D87" s="50" t="s">
        <v>126</v>
      </c>
      <c r="E87" s="51" t="s">
        <v>324</v>
      </c>
      <c r="F87" s="51" t="s">
        <v>609</v>
      </c>
      <c r="G87" s="130" t="str">
        <f t="shared" si="31"/>
        <v>[effect:enemy_message, val1:1.0, val2:3.3]</v>
      </c>
      <c r="H87" s="64">
        <f t="shared" si="32"/>
        <v>9</v>
      </c>
      <c r="I87" s="64">
        <f t="shared" si="33"/>
        <v>22</v>
      </c>
      <c r="J87" s="64" t="e">
        <f t="shared" si="34"/>
        <v>#VALUE!</v>
      </c>
      <c r="K87" s="64">
        <f t="shared" si="35"/>
        <v>32</v>
      </c>
      <c r="L87" s="64" t="str">
        <f>IFERROR(VLOOKUP(MID(G87,J87,K87-J87),[5]skilldef!$C:$D,2,FALSE),"-") &amp; " / " &amp; IFERROR(VLOOKUP(MID(G87,H87,I87-H87),[5]skilldef!$A:$B,2,FALSE),"-")</f>
        <v>- / -</v>
      </c>
      <c r="M87" s="64" t="str">
        <f t="shared" si="36"/>
        <v>[effect:damage_anti_tribe, target:unit_all, tribe:machine, val1:0.6, val2:0.3],[effect:hungup, target:unit_machine, turn:4, rate:1, animation:hungup02]</v>
      </c>
      <c r="N87" s="48" t="str">
        <f>IFERROR(LEFT(M87,FIND("],",M87)+#REF!),M87)</f>
        <v>[effect:damage_anti_tribe, target:unit_all, tribe:machine, val1:0.6, val2:0.3],[effect:hungup, target:unit_machine, turn:4, rate:1, animation:hungup02]</v>
      </c>
      <c r="O87" s="64">
        <f t="shared" si="37"/>
        <v>9</v>
      </c>
      <c r="P87" s="64">
        <f t="shared" si="38"/>
        <v>26</v>
      </c>
      <c r="Q87" s="64">
        <f t="shared" si="39"/>
        <v>35</v>
      </c>
      <c r="R87" s="64">
        <f t="shared" si="40"/>
        <v>43</v>
      </c>
      <c r="S87" s="64" t="str">
        <f>IFERROR(VLOOKUP(MID(N87,Q87,R87-Q87),[5]skilldef!$C:$D,2,FALSE),"-") &amp; " / " &amp; IFERROR(VLOOKUP(MID(N87,O87,P87-O87),[5]skilldef!$A:$B,2,FALSE),"-")</f>
        <v>味方全体に / 種族キラー</v>
      </c>
      <c r="T87" s="48" t="str">
        <f t="shared" si="41"/>
        <v>[effect:hungup, target:unit_machine, turn:4, rate:1, animation:hungup02]</v>
      </c>
      <c r="U87" s="64">
        <f t="shared" si="42"/>
        <v>9</v>
      </c>
      <c r="V87" s="64">
        <f t="shared" si="43"/>
        <v>15</v>
      </c>
      <c r="W87" s="64">
        <f t="shared" si="44"/>
        <v>24</v>
      </c>
      <c r="X87" s="64">
        <f t="shared" si="45"/>
        <v>36</v>
      </c>
      <c r="Y87" s="64" t="str">
        <f>IFERROR(VLOOKUP(MID(T87,W87,X87-W87),[5]skilldef!$C:$D,2,FALSE),"-") &amp; " / " &amp; IFERROR(VLOOKUP(MID(T87,U87,V87-U87),[5]skilldef!$A:$B,2,FALSE),"-")</f>
        <v>- / ハングアップ</v>
      </c>
      <c r="Z87" s="50"/>
      <c r="AA87" s="52"/>
      <c r="AB87" s="50"/>
    </row>
    <row r="88" spans="1:28" ht="40" customHeight="1" x14ac:dyDescent="0.15">
      <c r="A88" s="142">
        <v>47003303</v>
      </c>
      <c r="B88" s="137" t="s">
        <v>518</v>
      </c>
      <c r="C88" s="50">
        <v>3</v>
      </c>
      <c r="D88" s="50" t="s">
        <v>126</v>
      </c>
      <c r="E88" s="51" t="s">
        <v>325</v>
      </c>
      <c r="F88" s="51" t="s">
        <v>368</v>
      </c>
      <c r="G88" s="130" t="str">
        <f t="shared" si="31"/>
        <v>[effect:enemy_message, val1:1.0, val2:2.0]</v>
      </c>
      <c r="H88" s="64">
        <f t="shared" si="32"/>
        <v>9</v>
      </c>
      <c r="I88" s="64">
        <f t="shared" si="33"/>
        <v>22</v>
      </c>
      <c r="J88" s="64" t="e">
        <f t="shared" si="34"/>
        <v>#VALUE!</v>
      </c>
      <c r="K88" s="64">
        <f t="shared" si="35"/>
        <v>32</v>
      </c>
      <c r="L88" s="64" t="str">
        <f>IFERROR(VLOOKUP(MID(G88,J88,K88-J88),[5]skilldef!$C:$D,2,FALSE),"-") &amp; " / " &amp; IFERROR(VLOOKUP(MID(G88,H88,I88-H88),[5]skilldef!$A:$B,2,FALSE),"-")</f>
        <v>- / -</v>
      </c>
      <c r="M88" s="64" t="str">
        <f t="shared" si="36"/>
        <v>[effect:break_attack_fix, target:unit_one, val:560, lowest_val:1, count:-1, color:green, block_color:block_heart, block01:block_heart, block02:crack_bomb],[effect:fix_speed, target:myself, turn:2]</v>
      </c>
      <c r="N88" s="48" t="str">
        <f>IFERROR(LEFT(M88,FIND("],",M88)+S102),M88)</f>
        <v>[effect:break_attack_fix, target:unit_one, val:560, lowest_val:1, count:-1, color:green, block_color:block_heart, block01:block_heart, block02:crack_bomb],[effect:fix_speed, target:myself, turn:2]</v>
      </c>
      <c r="O88" s="64">
        <f t="shared" si="37"/>
        <v>9</v>
      </c>
      <c r="P88" s="64">
        <f t="shared" si="38"/>
        <v>25</v>
      </c>
      <c r="Q88" s="64">
        <f t="shared" si="39"/>
        <v>34</v>
      </c>
      <c r="R88" s="64">
        <f t="shared" si="40"/>
        <v>42</v>
      </c>
      <c r="S88" s="64" t="str">
        <f>IFERROR(VLOOKUP(MID(N88,Q88,R88-Q88),[5]skilldef!$C:$D,2,FALSE),"-") &amp; " / " &amp; IFERROR(VLOOKUP(MID(N88,O88,P88-O88),[5]skilldef!$A:$B,2,FALSE),"-")</f>
        <v>味方単体に / -</v>
      </c>
      <c r="T88" s="48" t="str">
        <f t="shared" si="41"/>
        <v>[effect:fix_speed, target:myself, turn:2]</v>
      </c>
      <c r="U88" s="64">
        <f t="shared" si="42"/>
        <v>9</v>
      </c>
      <c r="V88" s="64">
        <f t="shared" si="43"/>
        <v>18</v>
      </c>
      <c r="W88" s="64">
        <f t="shared" si="44"/>
        <v>27</v>
      </c>
      <c r="X88" s="64">
        <f t="shared" si="45"/>
        <v>33</v>
      </c>
      <c r="Y88" s="64" t="str">
        <f>IFERROR(VLOOKUP(MID(T88,W88,X88-W88),[5]skilldef!$C:$D,2,FALSE),"-") &amp; " / " &amp; IFERROR(VLOOKUP(MID(T88,U88,V88-U88),[5]skilldef!$A:$B,2,FALSE),"-")</f>
        <v>自分自身に / 行動値設定</v>
      </c>
      <c r="Z88" s="50"/>
      <c r="AA88" s="52"/>
      <c r="AB88" s="50"/>
    </row>
    <row r="89" spans="1:28" ht="40" customHeight="1" x14ac:dyDescent="0.15">
      <c r="A89" s="142">
        <v>47003304</v>
      </c>
      <c r="B89" s="47" t="s">
        <v>366</v>
      </c>
      <c r="C89" s="50">
        <v>3</v>
      </c>
      <c r="D89" s="50" t="s">
        <v>126</v>
      </c>
      <c r="E89" s="51" t="s">
        <v>326</v>
      </c>
      <c r="F89" s="51" t="s">
        <v>365</v>
      </c>
      <c r="G89" s="130" t="str">
        <f t="shared" si="31"/>
        <v>[effect:rush, count:2, val:0.5]</v>
      </c>
      <c r="H89" s="64">
        <f t="shared" si="32"/>
        <v>9</v>
      </c>
      <c r="I89" s="64">
        <f t="shared" si="33"/>
        <v>13</v>
      </c>
      <c r="J89" s="64" t="e">
        <f t="shared" si="34"/>
        <v>#VALUE!</v>
      </c>
      <c r="K89" s="64">
        <f t="shared" si="35"/>
        <v>22</v>
      </c>
      <c r="L89" s="64" t="str">
        <f>IFERROR(VLOOKUP(MID(G89,J89,K89-J89),[5]skilldef!$C:$D,2,FALSE),"-") &amp; " / " &amp; IFERROR(VLOOKUP(MID(G89,H89,I89-H89),[5]skilldef!$A:$B,2,FALSE),"-")</f>
        <v>- / 連続攻撃</v>
      </c>
      <c r="M89" s="64" t="str">
        <f t="shared" si="36"/>
        <v>none</v>
      </c>
      <c r="N89" s="48" t="str">
        <f>IFERROR(LEFT(M89,FIND("],",M89)+S103),M89)</f>
        <v>none</v>
      </c>
      <c r="O89" s="64" t="e">
        <f t="shared" si="37"/>
        <v>#VALUE!</v>
      </c>
      <c r="P89" s="64">
        <f t="shared" si="38"/>
        <v>4</v>
      </c>
      <c r="Q89" s="64" t="e">
        <f t="shared" si="39"/>
        <v>#VALUE!</v>
      </c>
      <c r="R89" s="64" t="e">
        <f t="shared" si="40"/>
        <v>#VALUE!</v>
      </c>
      <c r="S89" s="64" t="str">
        <f>IFERROR(VLOOKUP(MID(N89,Q89,R89-Q89),[5]skilldef!$C:$D,2,FALSE),"-") &amp; " / " &amp; IFERROR(VLOOKUP(MID(N89,O89,P89-O89),[5]skilldef!$A:$B,2,FALSE),"-")</f>
        <v>- / -</v>
      </c>
      <c r="T89" s="48" t="str">
        <f t="shared" si="41"/>
        <v>none</v>
      </c>
      <c r="U89" s="64" t="e">
        <f t="shared" si="42"/>
        <v>#VALUE!</v>
      </c>
      <c r="V89" s="64">
        <f t="shared" si="43"/>
        <v>4</v>
      </c>
      <c r="W89" s="64" t="e">
        <f t="shared" si="44"/>
        <v>#VALUE!</v>
      </c>
      <c r="X89" s="64" t="e">
        <f t="shared" si="45"/>
        <v>#VALUE!</v>
      </c>
      <c r="Y89" s="64" t="str">
        <f>IFERROR(VLOOKUP(MID(T89,W89,X89-W89),[5]skilldef!$C:$D,2,FALSE),"-") &amp; " / " &amp; IFERROR(VLOOKUP(MID(T89,U89,V89-U89),[5]skilldef!$A:$B,2,FALSE),"-")</f>
        <v>- / -</v>
      </c>
      <c r="Z89" s="50"/>
      <c r="AA89" s="52"/>
      <c r="AB89" s="50"/>
    </row>
    <row r="90" spans="1:28" ht="40" customHeight="1" x14ac:dyDescent="0.15">
      <c r="A90" s="142">
        <v>47003305</v>
      </c>
      <c r="B90" s="47" t="s">
        <v>519</v>
      </c>
      <c r="C90" s="50">
        <v>3</v>
      </c>
      <c r="D90" s="50" t="s">
        <v>126</v>
      </c>
      <c r="E90" s="51" t="s">
        <v>327</v>
      </c>
      <c r="F90" s="51" t="s">
        <v>328</v>
      </c>
      <c r="G90" s="130" t="str">
        <f t="shared" si="31"/>
        <v>[effect:enemy_message, val1:1.3, val2:2.0]</v>
      </c>
      <c r="H90" s="64">
        <f t="shared" si="32"/>
        <v>9</v>
      </c>
      <c r="I90" s="64">
        <f t="shared" si="33"/>
        <v>22</v>
      </c>
      <c r="J90" s="64" t="e">
        <f t="shared" si="34"/>
        <v>#VALUE!</v>
      </c>
      <c r="K90" s="64">
        <f t="shared" si="35"/>
        <v>32</v>
      </c>
      <c r="L90" s="64" t="str">
        <f>IFERROR(VLOOKUP(MID(G90,J90,K90-J90),[5]skilldef!$C:$D,2,FALSE),"-") &amp; " / " &amp; IFERROR(VLOOKUP(MID(G90,H90,I90-H90),[5]skilldef!$A:$B,2,FALSE),"-")</f>
        <v>- / -</v>
      </c>
      <c r="M90" s="64" t="str">
        <f t="shared" si="36"/>
        <v>[effect:suicide, target:myself, val:1, dead_type:escape]</v>
      </c>
      <c r="N90" s="48" t="str">
        <f>IFERROR(LEFT(M90,FIND("],",M90)+#REF!),M90)</f>
        <v>[effect:suicide, target:myself, val:1, dead_type:escape]</v>
      </c>
      <c r="O90" s="64">
        <f t="shared" si="37"/>
        <v>9</v>
      </c>
      <c r="P90" s="64">
        <f t="shared" si="38"/>
        <v>16</v>
      </c>
      <c r="Q90" s="64">
        <f t="shared" si="39"/>
        <v>25</v>
      </c>
      <c r="R90" s="64">
        <f t="shared" si="40"/>
        <v>31</v>
      </c>
      <c r="S90" s="64" t="str">
        <f>IFERROR(VLOOKUP(MID(N90,Q90,R90-Q90),[5]skilldef!$C:$D,2,FALSE),"-") &amp; " / " &amp; IFERROR(VLOOKUP(MID(N90,O90,P90-O90),[5]skilldef!$A:$B,2,FALSE),"-")</f>
        <v>自分自身に / -</v>
      </c>
      <c r="T90" s="48" t="str">
        <f t="shared" si="41"/>
        <v>none</v>
      </c>
      <c r="U90" s="64" t="e">
        <f t="shared" si="42"/>
        <v>#VALUE!</v>
      </c>
      <c r="V90" s="64">
        <f t="shared" si="43"/>
        <v>4</v>
      </c>
      <c r="W90" s="64" t="e">
        <f t="shared" si="44"/>
        <v>#VALUE!</v>
      </c>
      <c r="X90" s="64" t="e">
        <f t="shared" si="45"/>
        <v>#VALUE!</v>
      </c>
      <c r="Y90" s="64" t="str">
        <f>IFERROR(VLOOKUP(MID(T90,W90,X90-W90),[5]skilldef!$C:$D,2,FALSE),"-") &amp; " / " &amp; IFERROR(VLOOKUP(MID(T90,U90,V90-U90),[5]skilldef!$A:$B,2,FALSE),"-")</f>
        <v>- / -</v>
      </c>
      <c r="Z90" s="50"/>
      <c r="AA90" s="52"/>
      <c r="AB90" s="50"/>
    </row>
    <row r="91" spans="1:28" ht="40" customHeight="1" x14ac:dyDescent="0.15">
      <c r="A91" s="142">
        <v>47003306</v>
      </c>
      <c r="B91" s="47" t="s">
        <v>383</v>
      </c>
      <c r="C91" s="50">
        <v>3</v>
      </c>
      <c r="D91" s="50" t="s">
        <v>126</v>
      </c>
      <c r="E91" s="51" t="s">
        <v>283</v>
      </c>
      <c r="F91" s="51" t="s">
        <v>356</v>
      </c>
      <c r="G91" s="130" t="str">
        <f t="shared" si="31"/>
        <v>[effect:enemy_message, val1:2.0, val2:1.8]</v>
      </c>
      <c r="H91" s="64">
        <f t="shared" si="32"/>
        <v>9</v>
      </c>
      <c r="I91" s="64">
        <f t="shared" si="33"/>
        <v>22</v>
      </c>
      <c r="J91" s="64" t="e">
        <f t="shared" si="34"/>
        <v>#VALUE!</v>
      </c>
      <c r="K91" s="64">
        <f t="shared" si="35"/>
        <v>32</v>
      </c>
      <c r="L91" s="64" t="str">
        <f>IFERROR(VLOOKUP(MID(G91,J91,K91-J91),[5]skilldef!$C:$D,2,FALSE),"-") &amp; " / " &amp; IFERROR(VLOOKUP(MID(G91,H91,I91-H91),[5]skilldef!$A:$B,2,FALSE),"-")</f>
        <v>- / -</v>
      </c>
      <c r="M91" s="64" t="str">
        <f t="shared" si="36"/>
        <v>[effect:enhance_fever, val:1000, animation:fevergauge_up04],[effect:fix_speed, target:myself, turn:1]</v>
      </c>
      <c r="N91" s="48" t="str">
        <f>IFERROR(LEFT(M91,FIND("],",M91)+#REF!),M91)</f>
        <v>[effect:enhance_fever, val:1000, animation:fevergauge_up04],[effect:fix_speed, target:myself, turn:1]</v>
      </c>
      <c r="O91" s="64">
        <f t="shared" si="37"/>
        <v>9</v>
      </c>
      <c r="P91" s="64">
        <f t="shared" si="38"/>
        <v>22</v>
      </c>
      <c r="Q91" s="64">
        <f t="shared" si="39"/>
        <v>87</v>
      </c>
      <c r="R91" s="64">
        <f t="shared" si="40"/>
        <v>32</v>
      </c>
      <c r="S91" s="64" t="str">
        <f>IFERROR(VLOOKUP(MID(N91,Q91,R91-Q91),[5]skilldef!$C:$D,2,FALSE),"-") &amp; " / " &amp; IFERROR(VLOOKUP(MID(N91,O91,P91-O91),[5]skilldef!$A:$B,2,FALSE),"-")</f>
        <v>- / -</v>
      </c>
      <c r="T91" s="48" t="str">
        <f t="shared" si="41"/>
        <v>[effect:fix_speed, target:myself, turn:1]</v>
      </c>
      <c r="U91" s="64">
        <f t="shared" si="42"/>
        <v>9</v>
      </c>
      <c r="V91" s="64">
        <f t="shared" si="43"/>
        <v>18</v>
      </c>
      <c r="W91" s="64">
        <f t="shared" si="44"/>
        <v>27</v>
      </c>
      <c r="X91" s="64">
        <f t="shared" si="45"/>
        <v>33</v>
      </c>
      <c r="Y91" s="64" t="str">
        <f>IFERROR(VLOOKUP(MID(T91,W91,X91-W91),[5]skilldef!$C:$D,2,FALSE),"-") &amp; " / " &amp; IFERROR(VLOOKUP(MID(T91,U91,V91-U91),[5]skilldef!$A:$B,2,FALSE),"-")</f>
        <v>自分自身に / 行動値設定</v>
      </c>
      <c r="Z91" s="50"/>
      <c r="AA91" s="52"/>
      <c r="AB91" s="50"/>
    </row>
    <row r="92" spans="1:28" ht="40" customHeight="1" x14ac:dyDescent="0.15">
      <c r="A92" s="142">
        <v>47003307</v>
      </c>
      <c r="B92" s="47" t="s">
        <v>383</v>
      </c>
      <c r="C92" s="50">
        <v>3</v>
      </c>
      <c r="D92" s="50" t="s">
        <v>126</v>
      </c>
      <c r="E92" s="51" t="s">
        <v>329</v>
      </c>
      <c r="F92" s="51" t="s">
        <v>356</v>
      </c>
      <c r="G92" s="130" t="str">
        <f t="shared" si="31"/>
        <v>[effect:enemy_message, val1:2.0, val2:1.8]</v>
      </c>
      <c r="H92" s="64">
        <f t="shared" si="32"/>
        <v>9</v>
      </c>
      <c r="I92" s="64">
        <f t="shared" si="33"/>
        <v>22</v>
      </c>
      <c r="J92" s="64" t="e">
        <f t="shared" si="34"/>
        <v>#VALUE!</v>
      </c>
      <c r="K92" s="64">
        <f t="shared" si="35"/>
        <v>32</v>
      </c>
      <c r="L92" s="64" t="str">
        <f>IFERROR(VLOOKUP(MID(G92,J92,K92-J92),[5]skilldef!$C:$D,2,FALSE),"-") &amp; " / " &amp; IFERROR(VLOOKUP(MID(G92,H92,I92-H92),[5]skilldef!$A:$B,2,FALSE),"-")</f>
        <v>- / -</v>
      </c>
      <c r="M92" s="64" t="str">
        <f t="shared" si="36"/>
        <v>[effect:enhance_fever, val:1000, animation:fevergauge_up04],[effect:fix_speed, target:myself, turn:1]</v>
      </c>
      <c r="N92" s="48" t="str">
        <f>IFERROR(LEFT(M92,FIND("],",M92)+#REF!),M92)</f>
        <v>[effect:enhance_fever, val:1000, animation:fevergauge_up04],[effect:fix_speed, target:myself, turn:1]</v>
      </c>
      <c r="O92" s="64">
        <f t="shared" si="37"/>
        <v>9</v>
      </c>
      <c r="P92" s="64">
        <f t="shared" si="38"/>
        <v>22</v>
      </c>
      <c r="Q92" s="64">
        <f t="shared" si="39"/>
        <v>87</v>
      </c>
      <c r="R92" s="64">
        <f t="shared" si="40"/>
        <v>32</v>
      </c>
      <c r="S92" s="64" t="str">
        <f>IFERROR(VLOOKUP(MID(N92,Q92,R92-Q92),[5]skilldef!$C:$D,2,FALSE),"-") &amp; " / " &amp; IFERROR(VLOOKUP(MID(N92,O92,P92-O92),[5]skilldef!$A:$B,2,FALSE),"-")</f>
        <v>- / -</v>
      </c>
      <c r="T92" s="48" t="str">
        <f t="shared" si="41"/>
        <v>[effect:fix_speed, target:myself, turn:1]</v>
      </c>
      <c r="U92" s="64">
        <f t="shared" si="42"/>
        <v>9</v>
      </c>
      <c r="V92" s="64">
        <f t="shared" si="43"/>
        <v>18</v>
      </c>
      <c r="W92" s="64">
        <f t="shared" si="44"/>
        <v>27</v>
      </c>
      <c r="X92" s="64">
        <f t="shared" si="45"/>
        <v>33</v>
      </c>
      <c r="Y92" s="64" t="str">
        <f>IFERROR(VLOOKUP(MID(T92,W92,X92-W92),[5]skilldef!$C:$D,2,FALSE),"-") &amp; " / " &amp; IFERROR(VLOOKUP(MID(T92,U92,V92-U92),[5]skilldef!$A:$B,2,FALSE),"-")</f>
        <v>自分自身に / 行動値設定</v>
      </c>
      <c r="Z92" s="50"/>
      <c r="AA92" s="52"/>
      <c r="AB92" s="50"/>
    </row>
    <row r="93" spans="1:28" ht="40" customHeight="1" x14ac:dyDescent="0.15">
      <c r="A93" s="142">
        <v>47003321</v>
      </c>
      <c r="B93" s="135" t="s">
        <v>385</v>
      </c>
      <c r="C93" s="128">
        <v>3</v>
      </c>
      <c r="D93" s="128" t="s">
        <v>126</v>
      </c>
      <c r="E93" s="51" t="s">
        <v>367</v>
      </c>
      <c r="F93" s="51" t="s">
        <v>363</v>
      </c>
      <c r="G93" s="130" t="str">
        <f t="shared" si="31"/>
        <v>[effect:enemy_message, val1:2.0, val2:1.8]</v>
      </c>
      <c r="H93" s="64">
        <f t="shared" si="32"/>
        <v>9</v>
      </c>
      <c r="I93" s="64">
        <f t="shared" si="33"/>
        <v>22</v>
      </c>
      <c r="J93" s="64" t="e">
        <f t="shared" si="34"/>
        <v>#VALUE!</v>
      </c>
      <c r="K93" s="64">
        <f t="shared" si="35"/>
        <v>32</v>
      </c>
      <c r="L93" s="64" t="str">
        <f>IFERROR(VLOOKUP(MID(G93,J93,K93-J93),[5]skilldef!$C:$D,2,FALSE),"-") &amp; " / " &amp; IFERROR(VLOOKUP(MID(G93,H93,I93-H93),[5]skilldef!$A:$B,2,FALSE),"-")</f>
        <v>- / -</v>
      </c>
      <c r="M93" s="64" t="str">
        <f t="shared" si="36"/>
        <v>[effect:fix_speed, target:myself, turn:1]</v>
      </c>
      <c r="N93" s="48" t="str">
        <f>IFERROR(LEFT(M93,FIND("],",M93)+S108),M93)</f>
        <v>[effect:fix_speed, target:myself, turn:1]</v>
      </c>
      <c r="O93" s="64">
        <f t="shared" si="37"/>
        <v>9</v>
      </c>
      <c r="P93" s="64">
        <f t="shared" si="38"/>
        <v>18</v>
      </c>
      <c r="Q93" s="64">
        <f t="shared" si="39"/>
        <v>27</v>
      </c>
      <c r="R93" s="64">
        <f t="shared" si="40"/>
        <v>33</v>
      </c>
      <c r="S93" s="64" t="str">
        <f>IFERROR(VLOOKUP(MID(N93,Q93,R93-Q93),[5]skilldef!$C:$D,2,FALSE),"-") &amp; " / " &amp; IFERROR(VLOOKUP(MID(N93,O93,P93-O93),[5]skilldef!$A:$B,2,FALSE),"-")</f>
        <v>自分自身に / 行動値設定</v>
      </c>
      <c r="T93" s="48" t="str">
        <f t="shared" si="41"/>
        <v>none</v>
      </c>
      <c r="U93" s="64" t="e">
        <f t="shared" si="42"/>
        <v>#VALUE!</v>
      </c>
      <c r="V93" s="64">
        <f t="shared" si="43"/>
        <v>4</v>
      </c>
      <c r="W93" s="64" t="e">
        <f t="shared" si="44"/>
        <v>#VALUE!</v>
      </c>
      <c r="X93" s="64" t="e">
        <f t="shared" si="45"/>
        <v>#VALUE!</v>
      </c>
      <c r="Y93" s="64" t="str">
        <f>IFERROR(VLOOKUP(MID(T93,W93,X93-W93),[5]skilldef!$C:$D,2,FALSE),"-") &amp; " / " &amp; IFERROR(VLOOKUP(MID(T93,U93,V93-U93),[5]skilldef!$A:$B,2,FALSE),"-")</f>
        <v>- / -</v>
      </c>
      <c r="Z93" s="50"/>
      <c r="AA93" s="52"/>
      <c r="AB93" s="50"/>
    </row>
    <row r="94" spans="1:28" ht="40" customHeight="1" x14ac:dyDescent="0.15">
      <c r="A94" s="142">
        <v>47003322</v>
      </c>
      <c r="B94" s="137" t="s">
        <v>520</v>
      </c>
      <c r="C94" s="128">
        <v>3</v>
      </c>
      <c r="D94" s="128" t="s">
        <v>126</v>
      </c>
      <c r="E94" s="51" t="s">
        <v>364</v>
      </c>
      <c r="F94" s="51" t="s">
        <v>330</v>
      </c>
      <c r="G94" s="130" t="str">
        <f t="shared" si="31"/>
        <v>[effect:enemy_message, val1:1.3, val2:1.8]</v>
      </c>
      <c r="H94" s="64">
        <f t="shared" si="32"/>
        <v>9</v>
      </c>
      <c r="I94" s="64">
        <f t="shared" si="33"/>
        <v>22</v>
      </c>
      <c r="J94" s="64" t="e">
        <f t="shared" si="34"/>
        <v>#VALUE!</v>
      </c>
      <c r="K94" s="64">
        <f t="shared" si="35"/>
        <v>32</v>
      </c>
      <c r="L94" s="64" t="str">
        <f>IFERROR(VLOOKUP(MID(G94,J94,K94-J94),[5]skilldef!$C:$D,2,FALSE),"-") &amp; " / " &amp; IFERROR(VLOOKUP(MID(G94,H94,I94-H94),[5]skilldef!$A:$B,2,FALSE),"-")</f>
        <v>- / -</v>
      </c>
      <c r="M94" s="64" t="str">
        <f t="shared" si="36"/>
        <v>[effect:break_attack_fix, target:unit_one, val:345, lowest_val:1, count:-1, color:red, block_color:block_heart, block01:block_heart, block02:crack_bomb],[effect:fix_speed, target:myself, turn:2]</v>
      </c>
      <c r="N94" s="48" t="str">
        <f>IFERROR(LEFT(M94,FIND("],",M94)+#REF!),M94)</f>
        <v>[effect:break_attack_fix, target:unit_one, val:345, lowest_val:1, count:-1, color:red, block_color:block_heart, block01:block_heart, block02:crack_bomb],[effect:fix_speed, target:myself, turn:2]</v>
      </c>
      <c r="O94" s="64">
        <f t="shared" si="37"/>
        <v>9</v>
      </c>
      <c r="P94" s="64">
        <f t="shared" si="38"/>
        <v>25</v>
      </c>
      <c r="Q94" s="64">
        <f t="shared" si="39"/>
        <v>34</v>
      </c>
      <c r="R94" s="64">
        <f t="shared" si="40"/>
        <v>42</v>
      </c>
      <c r="S94" s="64" t="str">
        <f>IFERROR(VLOOKUP(MID(N94,Q94,R94-Q94),[5]skilldef!$C:$D,2,FALSE),"-") &amp; " / " &amp; IFERROR(VLOOKUP(MID(N94,O94,P94-O94),[5]skilldef!$A:$B,2,FALSE),"-")</f>
        <v>味方単体に / -</v>
      </c>
      <c r="T94" s="48" t="str">
        <f t="shared" si="41"/>
        <v>[effect:fix_speed, target:myself, turn:2]</v>
      </c>
      <c r="U94" s="64">
        <f t="shared" si="42"/>
        <v>9</v>
      </c>
      <c r="V94" s="64">
        <f t="shared" si="43"/>
        <v>18</v>
      </c>
      <c r="W94" s="64">
        <f t="shared" si="44"/>
        <v>27</v>
      </c>
      <c r="X94" s="64">
        <f t="shared" si="45"/>
        <v>33</v>
      </c>
      <c r="Y94" s="64" t="str">
        <f>IFERROR(VLOOKUP(MID(T94,W94,X94-W94),[5]skilldef!$C:$D,2,FALSE),"-") &amp; " / " &amp; IFERROR(VLOOKUP(MID(T94,U94,V94-U94),[5]skilldef!$A:$B,2,FALSE),"-")</f>
        <v>自分自身に / 行動値設定</v>
      </c>
      <c r="Z94" s="50"/>
      <c r="AA94" s="52"/>
      <c r="AB94" s="50"/>
    </row>
    <row r="95" spans="1:28" ht="40" customHeight="1" x14ac:dyDescent="0.15">
      <c r="A95" s="142">
        <v>47003323</v>
      </c>
      <c r="B95" s="47" t="s">
        <v>588</v>
      </c>
      <c r="C95" s="128">
        <v>3</v>
      </c>
      <c r="D95" s="128" t="s">
        <v>126</v>
      </c>
      <c r="E95" s="51" t="s">
        <v>331</v>
      </c>
      <c r="F95" s="51" t="s">
        <v>609</v>
      </c>
      <c r="G95" s="130" t="str">
        <f t="shared" si="31"/>
        <v>[effect:enemy_message, val1:1.0, val2:3.3]</v>
      </c>
      <c r="H95" s="64">
        <f t="shared" si="32"/>
        <v>9</v>
      </c>
      <c r="I95" s="64">
        <f t="shared" si="33"/>
        <v>22</v>
      </c>
      <c r="J95" s="64" t="e">
        <f t="shared" si="34"/>
        <v>#VALUE!</v>
      </c>
      <c r="K95" s="64">
        <f t="shared" si="35"/>
        <v>32</v>
      </c>
      <c r="L95" s="64" t="str">
        <f>IFERROR(VLOOKUP(MID(G95,J95,K95-J95),[5]skilldef!$C:$D,2,FALSE),"-") &amp; " / " &amp; IFERROR(VLOOKUP(MID(G95,H95,I95-H95),[5]skilldef!$A:$B,2,FALSE),"-")</f>
        <v>- / -</v>
      </c>
      <c r="M95" s="64" t="str">
        <f t="shared" si="36"/>
        <v>[effect:damage_anti_tribe, target:unit_all, tribe:machine, val1:0.5, val2:0.25],[effect:hungup, target:unit_machine, turn:4, rate:1, animation:hungup02]</v>
      </c>
      <c r="N95" s="48" t="str">
        <f>IFERROR(LEFT(M95,FIND("],",M95)+S108),M95)</f>
        <v>[effect:damage_anti_tribe, target:unit_all, tribe:machine, val1:0.5, val2:0.25],[effect:hungup, target:unit_machine, turn:4, rate:1, animation:hungup02]</v>
      </c>
      <c r="O95" s="64">
        <f t="shared" si="37"/>
        <v>9</v>
      </c>
      <c r="P95" s="64">
        <f t="shared" si="38"/>
        <v>26</v>
      </c>
      <c r="Q95" s="64">
        <f t="shared" si="39"/>
        <v>35</v>
      </c>
      <c r="R95" s="64">
        <f t="shared" si="40"/>
        <v>43</v>
      </c>
      <c r="S95" s="64" t="str">
        <f>IFERROR(VLOOKUP(MID(N95,Q95,R95-Q95),[5]skilldef!$C:$D,2,FALSE),"-") &amp; " / " &amp; IFERROR(VLOOKUP(MID(N95,O95,P95-O95),[5]skilldef!$A:$B,2,FALSE),"-")</f>
        <v>味方全体に / 種族キラー</v>
      </c>
      <c r="T95" s="48" t="str">
        <f t="shared" si="41"/>
        <v>[effect:hungup, target:unit_machine, turn:4, rate:1, animation:hungup02]</v>
      </c>
      <c r="U95" s="64">
        <f t="shared" si="42"/>
        <v>9</v>
      </c>
      <c r="V95" s="64">
        <f t="shared" si="43"/>
        <v>15</v>
      </c>
      <c r="W95" s="64">
        <f t="shared" si="44"/>
        <v>24</v>
      </c>
      <c r="X95" s="64">
        <f t="shared" si="45"/>
        <v>36</v>
      </c>
      <c r="Y95" s="64" t="str">
        <f>IFERROR(VLOOKUP(MID(T95,W95,X95-W95),[5]skilldef!$C:$D,2,FALSE),"-") &amp; " / " &amp; IFERROR(VLOOKUP(MID(T95,U95,V95-U95),[5]skilldef!$A:$B,2,FALSE),"-")</f>
        <v>- / ハングアップ</v>
      </c>
      <c r="Z95" s="50"/>
      <c r="AA95" s="52"/>
      <c r="AB95" s="50"/>
    </row>
    <row r="96" spans="1:28" ht="40" customHeight="1" x14ac:dyDescent="0.15">
      <c r="A96" s="142">
        <v>47003324</v>
      </c>
      <c r="B96" s="47" t="s">
        <v>394</v>
      </c>
      <c r="C96" s="128">
        <v>3</v>
      </c>
      <c r="D96" s="128" t="s">
        <v>126</v>
      </c>
      <c r="E96" s="51" t="s">
        <v>332</v>
      </c>
      <c r="F96" s="51" t="s">
        <v>365</v>
      </c>
      <c r="G96" s="130" t="str">
        <f t="shared" si="31"/>
        <v>[effect:rush, count:2, val:0.35]</v>
      </c>
      <c r="H96" s="64">
        <f t="shared" si="32"/>
        <v>9</v>
      </c>
      <c r="I96" s="64">
        <f t="shared" si="33"/>
        <v>13</v>
      </c>
      <c r="J96" s="64" t="e">
        <f t="shared" si="34"/>
        <v>#VALUE!</v>
      </c>
      <c r="K96" s="64">
        <f t="shared" si="35"/>
        <v>22</v>
      </c>
      <c r="L96" s="64" t="str">
        <f>IFERROR(VLOOKUP(MID(G96,J96,K96-J96),[5]skilldef!$C:$D,2,FALSE),"-") &amp; " / " &amp; IFERROR(VLOOKUP(MID(G96,H96,I96-H96),[5]skilldef!$A:$B,2,FALSE),"-")</f>
        <v>- / 連続攻撃</v>
      </c>
      <c r="M96" s="64" t="str">
        <f t="shared" si="36"/>
        <v>none</v>
      </c>
      <c r="N96" s="48" t="str">
        <f>IFERROR(LEFT(M96,FIND("],",M96)+S109),M96)</f>
        <v>none</v>
      </c>
      <c r="O96" s="64" t="e">
        <f t="shared" si="37"/>
        <v>#VALUE!</v>
      </c>
      <c r="P96" s="64">
        <f t="shared" si="38"/>
        <v>4</v>
      </c>
      <c r="Q96" s="64" t="e">
        <f t="shared" si="39"/>
        <v>#VALUE!</v>
      </c>
      <c r="R96" s="64" t="e">
        <f t="shared" si="40"/>
        <v>#VALUE!</v>
      </c>
      <c r="S96" s="64" t="str">
        <f>IFERROR(VLOOKUP(MID(N96,Q96,R96-Q96),[5]skilldef!$C:$D,2,FALSE),"-") &amp; " / " &amp; IFERROR(VLOOKUP(MID(N96,O96,P96-O96),[5]skilldef!$A:$B,2,FALSE),"-")</f>
        <v>- / -</v>
      </c>
      <c r="T96" s="48" t="str">
        <f t="shared" si="41"/>
        <v>none</v>
      </c>
      <c r="U96" s="64" t="e">
        <f t="shared" si="42"/>
        <v>#VALUE!</v>
      </c>
      <c r="V96" s="64">
        <f t="shared" si="43"/>
        <v>4</v>
      </c>
      <c r="W96" s="64" t="e">
        <f t="shared" si="44"/>
        <v>#VALUE!</v>
      </c>
      <c r="X96" s="64" t="e">
        <f t="shared" si="45"/>
        <v>#VALUE!</v>
      </c>
      <c r="Y96" s="64" t="str">
        <f>IFERROR(VLOOKUP(MID(T96,W96,X96-W96),[5]skilldef!$C:$D,2,FALSE),"-") &amp; " / " &amp; IFERROR(VLOOKUP(MID(T96,U96,V96-U96),[5]skilldef!$A:$B,2,FALSE),"-")</f>
        <v>- / -</v>
      </c>
      <c r="Z96" s="50"/>
      <c r="AA96" s="52"/>
      <c r="AB96" s="50"/>
    </row>
    <row r="97" spans="1:28" ht="40" customHeight="1" x14ac:dyDescent="0.15">
      <c r="A97" s="142">
        <v>47003325</v>
      </c>
      <c r="B97" s="137" t="s">
        <v>521</v>
      </c>
      <c r="C97" s="128">
        <v>3</v>
      </c>
      <c r="D97" s="128" t="s">
        <v>126</v>
      </c>
      <c r="E97" s="51" t="s">
        <v>333</v>
      </c>
      <c r="F97" s="51" t="s">
        <v>330</v>
      </c>
      <c r="G97" s="130" t="str">
        <f t="shared" si="31"/>
        <v>[effect:enemy_message, val1:1.5, val2:2.0]</v>
      </c>
      <c r="H97" s="64">
        <f t="shared" si="32"/>
        <v>9</v>
      </c>
      <c r="I97" s="64">
        <f t="shared" si="33"/>
        <v>22</v>
      </c>
      <c r="J97" s="64" t="e">
        <f t="shared" si="34"/>
        <v>#VALUE!</v>
      </c>
      <c r="K97" s="64">
        <f t="shared" si="35"/>
        <v>32</v>
      </c>
      <c r="L97" s="64" t="str">
        <f>IFERROR(VLOOKUP(MID(G97,J97,K97-J97),[5]skilldef!$C:$D,2,FALSE),"-") &amp; " / " &amp; IFERROR(VLOOKUP(MID(G97,H97,I97-H97),[5]skilldef!$A:$B,2,FALSE),"-")</f>
        <v>- / -</v>
      </c>
      <c r="M97" s="64" t="str">
        <f t="shared" si="36"/>
        <v>[effect:break_attack_fix, target:unit_one, val:430, lowest_val:1, count:-1, color:red, block_color:block_heart, block01:block_heart, block02:crack_bomb]</v>
      </c>
      <c r="N97" s="48" t="str">
        <f>IFERROR(LEFT(M97,FIND("],",M97)+S109),M97)</f>
        <v>[effect:break_attack_fix, target:unit_one, val:430, lowest_val:1, count:-1, color:red, block_color:block_heart, block01:block_heart, block02:crack_bomb]</v>
      </c>
      <c r="O97" s="64">
        <f t="shared" si="37"/>
        <v>9</v>
      </c>
      <c r="P97" s="64">
        <f t="shared" si="38"/>
        <v>25</v>
      </c>
      <c r="Q97" s="64">
        <f t="shared" si="39"/>
        <v>34</v>
      </c>
      <c r="R97" s="64">
        <f t="shared" si="40"/>
        <v>42</v>
      </c>
      <c r="S97" s="64" t="str">
        <f>IFERROR(VLOOKUP(MID(N97,Q97,R97-Q97),[5]skilldef!$C:$D,2,FALSE),"-") &amp; " / " &amp; IFERROR(VLOOKUP(MID(N97,O97,P97-O97),[5]skilldef!$A:$B,2,FALSE),"-")</f>
        <v>味方単体に / -</v>
      </c>
      <c r="T97" s="48" t="str">
        <f t="shared" si="41"/>
        <v>none</v>
      </c>
      <c r="U97" s="64" t="e">
        <f t="shared" si="42"/>
        <v>#VALUE!</v>
      </c>
      <c r="V97" s="64">
        <f t="shared" si="43"/>
        <v>4</v>
      </c>
      <c r="W97" s="64" t="e">
        <f t="shared" si="44"/>
        <v>#VALUE!</v>
      </c>
      <c r="X97" s="64" t="e">
        <f t="shared" si="45"/>
        <v>#VALUE!</v>
      </c>
      <c r="Y97" s="64" t="str">
        <f>IFERROR(VLOOKUP(MID(T97,W97,X97-W97),[5]skilldef!$C:$D,2,FALSE),"-") &amp; " / " &amp; IFERROR(VLOOKUP(MID(T97,U97,V97-U97),[5]skilldef!$A:$B,2,FALSE),"-")</f>
        <v>- / -</v>
      </c>
      <c r="Z97" s="50"/>
      <c r="AA97" s="52"/>
      <c r="AB97" s="50"/>
    </row>
    <row r="98" spans="1:28" ht="40" customHeight="1" x14ac:dyDescent="0.15">
      <c r="A98" s="142">
        <v>47003326</v>
      </c>
      <c r="B98" s="135" t="s">
        <v>574</v>
      </c>
      <c r="C98" s="136">
        <v>3</v>
      </c>
      <c r="D98" s="136" t="s">
        <v>126</v>
      </c>
      <c r="E98" s="139" t="s">
        <v>334</v>
      </c>
      <c r="F98" s="51" t="s">
        <v>356</v>
      </c>
      <c r="G98" s="130" t="str">
        <f t="shared" si="31"/>
        <v>[effect:enemy_message, val1:1.5, val2:1.8]</v>
      </c>
      <c r="H98" s="64">
        <f t="shared" si="32"/>
        <v>9</v>
      </c>
      <c r="I98" s="64">
        <f t="shared" si="33"/>
        <v>22</v>
      </c>
      <c r="J98" s="64" t="e">
        <f t="shared" si="34"/>
        <v>#VALUE!</v>
      </c>
      <c r="K98" s="64">
        <f t="shared" si="35"/>
        <v>32</v>
      </c>
      <c r="L98" s="64" t="str">
        <f>IFERROR(VLOOKUP(MID(G98,J98,K98-J98),[5]skilldef!$C:$D,2,FALSE),"-") &amp; " / " &amp; IFERROR(VLOOKUP(MID(G98,H98,I98-H98),[5]skilldef!$A:$B,2,FALSE),"-")</f>
        <v>- / -</v>
      </c>
      <c r="M98" s="64" t="str">
        <f t="shared" si="36"/>
        <v>[effect:enhance_fever, val:1000, animation:fevergauge_up04],[effect:fix_speed, target:myself, turn:1]</v>
      </c>
      <c r="N98" s="48" t="str">
        <f>IFERROR(LEFT(M98,FIND("],",M98)+#REF!),M98)</f>
        <v>[effect:enhance_fever, val:1000, animation:fevergauge_up04],[effect:fix_speed, target:myself, turn:1]</v>
      </c>
      <c r="O98" s="64">
        <f t="shared" si="37"/>
        <v>9</v>
      </c>
      <c r="P98" s="64">
        <f t="shared" si="38"/>
        <v>22</v>
      </c>
      <c r="Q98" s="64">
        <f t="shared" si="39"/>
        <v>87</v>
      </c>
      <c r="R98" s="64">
        <f t="shared" si="40"/>
        <v>32</v>
      </c>
      <c r="S98" s="64" t="str">
        <f>IFERROR(VLOOKUP(MID(N98,Q98,R98-Q98),[5]skilldef!$C:$D,2,FALSE),"-") &amp; " / " &amp; IFERROR(VLOOKUP(MID(N98,O98,P98-O98),[5]skilldef!$A:$B,2,FALSE),"-")</f>
        <v>- / -</v>
      </c>
      <c r="T98" s="48" t="str">
        <f t="shared" si="41"/>
        <v>[effect:fix_speed, target:myself, turn:1]</v>
      </c>
      <c r="U98" s="64">
        <f t="shared" si="42"/>
        <v>9</v>
      </c>
      <c r="V98" s="64">
        <f t="shared" si="43"/>
        <v>18</v>
      </c>
      <c r="W98" s="64">
        <f t="shared" si="44"/>
        <v>27</v>
      </c>
      <c r="X98" s="64">
        <f t="shared" si="45"/>
        <v>33</v>
      </c>
      <c r="Y98" s="64" t="str">
        <f>IFERROR(VLOOKUP(MID(T98,W98,X98-W98),[5]skilldef!$C:$D,2,FALSE),"-") &amp; " / " &amp; IFERROR(VLOOKUP(MID(T98,U98,V98-U98),[5]skilldef!$A:$B,2,FALSE),"-")</f>
        <v>自分自身に / 行動値設定</v>
      </c>
      <c r="Z98" s="50"/>
      <c r="AA98" s="52"/>
      <c r="AB98" s="50"/>
    </row>
    <row r="99" spans="1:28" ht="40" customHeight="1" x14ac:dyDescent="0.15">
      <c r="A99" s="142">
        <v>47003327</v>
      </c>
      <c r="B99" s="135" t="s">
        <v>575</v>
      </c>
      <c r="C99" s="136">
        <v>3</v>
      </c>
      <c r="D99" s="136" t="s">
        <v>126</v>
      </c>
      <c r="E99" s="139" t="s">
        <v>284</v>
      </c>
      <c r="F99" s="51" t="s">
        <v>370</v>
      </c>
      <c r="G99" s="130" t="str">
        <f t="shared" si="31"/>
        <v>[effect:enemy_message, val1:1.5, val2:1.8]</v>
      </c>
      <c r="H99" s="64">
        <f t="shared" si="32"/>
        <v>9</v>
      </c>
      <c r="I99" s="64">
        <f t="shared" si="33"/>
        <v>22</v>
      </c>
      <c r="J99" s="64" t="e">
        <f t="shared" si="34"/>
        <v>#VALUE!</v>
      </c>
      <c r="K99" s="64">
        <f t="shared" si="35"/>
        <v>32</v>
      </c>
      <c r="L99" s="64" t="str">
        <f>IFERROR(VLOOKUP(MID(G99,J99,K99-J99),[5]skilldef!$C:$D,2,FALSE),"-") &amp; " / " &amp; IFERROR(VLOOKUP(MID(G99,H99,I99-H99),[5]skilldef!$A:$B,2,FALSE),"-")</f>
        <v>- / -</v>
      </c>
      <c r="M99" s="64" t="str">
        <f t="shared" si="36"/>
        <v>[effect:enhance_fever, val:1000, animation:fevergauge_up04],[effect:fix_speed, target:myself, turn:1]</v>
      </c>
      <c r="N99" s="48" t="str">
        <f>IFERROR(LEFT(M99,FIND("],",M99)+S111),M99)</f>
        <v>[effect:enhance_fever, val:1000, animation:fevergauge_up04],[effect:fix_speed, target:myself, turn:1]</v>
      </c>
      <c r="O99" s="64">
        <f t="shared" si="37"/>
        <v>9</v>
      </c>
      <c r="P99" s="64">
        <f t="shared" si="38"/>
        <v>22</v>
      </c>
      <c r="Q99" s="64">
        <f t="shared" si="39"/>
        <v>87</v>
      </c>
      <c r="R99" s="64">
        <f t="shared" si="40"/>
        <v>32</v>
      </c>
      <c r="S99" s="64" t="str">
        <f>IFERROR(VLOOKUP(MID(N99,Q99,R99-Q99),[5]skilldef!$C:$D,2,FALSE),"-") &amp; " / " &amp; IFERROR(VLOOKUP(MID(N99,O99,P99-O99),[5]skilldef!$A:$B,2,FALSE),"-")</f>
        <v>- / -</v>
      </c>
      <c r="T99" s="48" t="str">
        <f t="shared" si="41"/>
        <v>[effect:fix_speed, target:myself, turn:1]</v>
      </c>
      <c r="U99" s="64">
        <f t="shared" si="42"/>
        <v>9</v>
      </c>
      <c r="V99" s="64">
        <f t="shared" si="43"/>
        <v>18</v>
      </c>
      <c r="W99" s="64">
        <f t="shared" si="44"/>
        <v>27</v>
      </c>
      <c r="X99" s="64">
        <f t="shared" si="45"/>
        <v>33</v>
      </c>
      <c r="Y99" s="64" t="str">
        <f>IFERROR(VLOOKUP(MID(T99,W99,X99-W99),[5]skilldef!$C:$D,2,FALSE),"-") &amp; " / " &amp; IFERROR(VLOOKUP(MID(T99,U99,V99-U99),[5]skilldef!$A:$B,2,FALSE),"-")</f>
        <v>自分自身に / 行動値設定</v>
      </c>
      <c r="Z99" s="50"/>
      <c r="AA99" s="52"/>
      <c r="AB99" s="50"/>
    </row>
    <row r="100" spans="1:28" ht="40" customHeight="1" x14ac:dyDescent="0.15">
      <c r="A100" s="142">
        <v>47003341</v>
      </c>
      <c r="B100" s="137" t="s">
        <v>592</v>
      </c>
      <c r="C100" s="50">
        <v>3</v>
      </c>
      <c r="D100" s="50" t="s">
        <v>126</v>
      </c>
      <c r="E100" s="51" t="s">
        <v>285</v>
      </c>
      <c r="F100" s="143" t="s">
        <v>457</v>
      </c>
      <c r="G100" s="130" t="str">
        <f t="shared" si="31"/>
        <v>[effect:enemy_message, val1:1.3, val2:2.0]</v>
      </c>
      <c r="H100" s="64">
        <f t="shared" si="32"/>
        <v>9</v>
      </c>
      <c r="I100" s="64">
        <f t="shared" si="33"/>
        <v>22</v>
      </c>
      <c r="J100" s="64" t="e">
        <f t="shared" si="34"/>
        <v>#VALUE!</v>
      </c>
      <c r="K100" s="64">
        <f t="shared" si="35"/>
        <v>32</v>
      </c>
      <c r="L100" s="64" t="str">
        <f>IFERROR(VLOOKUP(MID(G100,J100,K100-J100),[5]skilldef!$C:$D,2,FALSE),"-") &amp; " / " &amp; IFERROR(VLOOKUP(MID(G100,H100,I100-H100),[5]skilldef!$A:$B,2,FALSE),"-")</f>
        <v>- / -</v>
      </c>
      <c r="M100" s="64" t="str">
        <f t="shared" si="36"/>
        <v>[effect:dark, target:unit_demon/not, turn:2, animation:enemy_dark],[effect:fix_speed, target:myself, turn:2]</v>
      </c>
      <c r="N100" s="48" t="str">
        <f>IFERROR(LEFT(M100,FIND("],",M100)+#REF!),M100)</f>
        <v>[effect:dark, target:unit_demon/not, turn:2, animation:enemy_dark],[effect:fix_speed, target:myself, turn:2]</v>
      </c>
      <c r="O100" s="64">
        <f t="shared" si="37"/>
        <v>9</v>
      </c>
      <c r="P100" s="64">
        <f t="shared" si="38"/>
        <v>13</v>
      </c>
      <c r="Q100" s="64">
        <f t="shared" si="39"/>
        <v>22</v>
      </c>
      <c r="R100" s="64">
        <f t="shared" si="40"/>
        <v>36</v>
      </c>
      <c r="S100" s="64" t="str">
        <f>IFERROR(VLOOKUP(MID(N100,Q100,R100-Q100),[5]skilldef!$C:$D,2,FALSE),"-") &amp; " / " &amp; IFERROR(VLOOKUP(MID(N100,O100,P100-O100),[5]skilldef!$A:$B,2,FALSE),"-")</f>
        <v>- / 暗黒</v>
      </c>
      <c r="T100" s="48" t="str">
        <f t="shared" si="41"/>
        <v>[effect:fix_speed, target:myself, turn:2]</v>
      </c>
      <c r="U100" s="64">
        <f t="shared" si="42"/>
        <v>9</v>
      </c>
      <c r="V100" s="64">
        <f t="shared" si="43"/>
        <v>18</v>
      </c>
      <c r="W100" s="64">
        <f t="shared" si="44"/>
        <v>27</v>
      </c>
      <c r="X100" s="64">
        <f t="shared" si="45"/>
        <v>33</v>
      </c>
      <c r="Y100" s="64" t="str">
        <f>IFERROR(VLOOKUP(MID(T100,W100,X100-W100),[5]skilldef!$C:$D,2,FALSE),"-") &amp; " / " &amp; IFERROR(VLOOKUP(MID(T100,U100,V100-U100),[5]skilldef!$A:$B,2,FALSE),"-")</f>
        <v>自分自身に / 行動値設定</v>
      </c>
      <c r="Z100" s="50"/>
      <c r="AA100" s="52"/>
      <c r="AB100" s="50"/>
    </row>
    <row r="101" spans="1:28" ht="40" customHeight="1" x14ac:dyDescent="0.15">
      <c r="A101" s="142">
        <v>47003342</v>
      </c>
      <c r="B101" s="137" t="s">
        <v>422</v>
      </c>
      <c r="C101" s="50">
        <v>3</v>
      </c>
      <c r="D101" s="50" t="s">
        <v>126</v>
      </c>
      <c r="E101" s="51" t="s">
        <v>335</v>
      </c>
      <c r="F101" s="51" t="s">
        <v>336</v>
      </c>
      <c r="G101" s="130" t="str">
        <f t="shared" si="31"/>
        <v>[effect:damage_anti_abnormal, target:unit_all, target_effect01:dark, val1:0.66, val2:0.33]</v>
      </c>
      <c r="H101" s="64">
        <f t="shared" si="32"/>
        <v>9</v>
      </c>
      <c r="I101" s="64">
        <f t="shared" si="33"/>
        <v>29</v>
      </c>
      <c r="J101" s="64">
        <f t="shared" si="34"/>
        <v>38</v>
      </c>
      <c r="K101" s="64">
        <f t="shared" si="35"/>
        <v>46</v>
      </c>
      <c r="L101" s="64" t="str">
        <f>IFERROR(VLOOKUP(MID(G101,J101,K101-J101),[5]skilldef!$C:$D,2,FALSE),"-") &amp; " / " &amp; IFERROR(VLOOKUP(MID(G101,H101,I101-H101),[5]skilldef!$A:$B,2,FALSE),"-")</f>
        <v>味方全体に / -</v>
      </c>
      <c r="M101" s="64" t="str">
        <f t="shared" si="36"/>
        <v>none</v>
      </c>
      <c r="N101" s="48" t="str">
        <f>IFERROR(LEFT(M101,FIND("],",M101)+#REF!),M101)</f>
        <v>none</v>
      </c>
      <c r="O101" s="64" t="e">
        <f t="shared" si="37"/>
        <v>#VALUE!</v>
      </c>
      <c r="P101" s="64">
        <f t="shared" si="38"/>
        <v>4</v>
      </c>
      <c r="Q101" s="64" t="e">
        <f t="shared" si="39"/>
        <v>#VALUE!</v>
      </c>
      <c r="R101" s="64" t="e">
        <f t="shared" si="40"/>
        <v>#VALUE!</v>
      </c>
      <c r="S101" s="64" t="str">
        <f>IFERROR(VLOOKUP(MID(N101,Q101,R101-Q101),[5]skilldef!$C:$D,2,FALSE),"-") &amp; " / " &amp; IFERROR(VLOOKUP(MID(N101,O101,P101-O101),[5]skilldef!$A:$B,2,FALSE),"-")</f>
        <v>- / -</v>
      </c>
      <c r="T101" s="48" t="str">
        <f t="shared" si="41"/>
        <v>none</v>
      </c>
      <c r="U101" s="64" t="e">
        <f t="shared" si="42"/>
        <v>#VALUE!</v>
      </c>
      <c r="V101" s="64">
        <f t="shared" si="43"/>
        <v>4</v>
      </c>
      <c r="W101" s="64" t="e">
        <f t="shared" si="44"/>
        <v>#VALUE!</v>
      </c>
      <c r="X101" s="64" t="e">
        <f t="shared" si="45"/>
        <v>#VALUE!</v>
      </c>
      <c r="Y101" s="64" t="str">
        <f>IFERROR(VLOOKUP(MID(T101,W101,X101-W101),[5]skilldef!$C:$D,2,FALSE),"-") &amp; " / " &amp; IFERROR(VLOOKUP(MID(T101,U101,V101-U101),[5]skilldef!$A:$B,2,FALSE),"-")</f>
        <v>- / -</v>
      </c>
      <c r="Z101" s="50"/>
      <c r="AA101" s="52"/>
      <c r="AB101" s="50"/>
    </row>
    <row r="102" spans="1:28" ht="40" customHeight="1" x14ac:dyDescent="0.15">
      <c r="A102" s="142">
        <v>47003344</v>
      </c>
      <c r="B102" s="137" t="s">
        <v>423</v>
      </c>
      <c r="C102" s="50">
        <v>3</v>
      </c>
      <c r="D102" s="50" t="s">
        <v>126</v>
      </c>
      <c r="E102" s="51" t="s">
        <v>338</v>
      </c>
      <c r="F102" s="51" t="s">
        <v>339</v>
      </c>
      <c r="G102" s="130" t="str">
        <f t="shared" si="31"/>
        <v xml:space="preserve">[effect:break_attack_fix, target:unit_one, val:120, lowest_val:4000, count:-1, color:yellow, block01:block_yellow]    </v>
      </c>
      <c r="H102" s="64">
        <f t="shared" si="32"/>
        <v>9</v>
      </c>
      <c r="I102" s="64">
        <f t="shared" si="33"/>
        <v>25</v>
      </c>
      <c r="J102" s="64">
        <f t="shared" si="34"/>
        <v>34</v>
      </c>
      <c r="K102" s="64">
        <f t="shared" si="35"/>
        <v>42</v>
      </c>
      <c r="L102" s="64" t="str">
        <f>IFERROR(VLOOKUP(MID(G102,J102,K102-J102),[5]skilldef!$C:$D,2,FALSE),"-") &amp; " / " &amp; IFERROR(VLOOKUP(MID(G102,H102,I102-H102),[5]skilldef!$A:$B,2,FALSE),"-")</f>
        <v>味方単体に / -</v>
      </c>
      <c r="M102" s="64" t="str">
        <f t="shared" si="36"/>
        <v>none</v>
      </c>
      <c r="N102" s="48" t="str">
        <f>IFERROR(LEFT(M102,FIND("],",M102)+#REF!),M102)</f>
        <v>none</v>
      </c>
      <c r="O102" s="64" t="e">
        <f t="shared" si="37"/>
        <v>#VALUE!</v>
      </c>
      <c r="P102" s="64">
        <f t="shared" si="38"/>
        <v>4</v>
      </c>
      <c r="Q102" s="64" t="e">
        <f t="shared" si="39"/>
        <v>#VALUE!</v>
      </c>
      <c r="R102" s="64" t="e">
        <f t="shared" si="40"/>
        <v>#VALUE!</v>
      </c>
      <c r="S102" s="64" t="str">
        <f>IFERROR(VLOOKUP(MID(N102,Q102,R102-Q102),[5]skilldef!$C:$D,2,FALSE),"-") &amp; " / " &amp; IFERROR(VLOOKUP(MID(N102,O102,P102-O102),[5]skilldef!$A:$B,2,FALSE),"-")</f>
        <v>- / -</v>
      </c>
      <c r="T102" s="48" t="str">
        <f t="shared" si="41"/>
        <v>none</v>
      </c>
      <c r="U102" s="64" t="e">
        <f t="shared" si="42"/>
        <v>#VALUE!</v>
      </c>
      <c r="V102" s="64">
        <f t="shared" si="43"/>
        <v>4</v>
      </c>
      <c r="W102" s="64" t="e">
        <f t="shared" si="44"/>
        <v>#VALUE!</v>
      </c>
      <c r="X102" s="64" t="e">
        <f t="shared" si="45"/>
        <v>#VALUE!</v>
      </c>
      <c r="Y102" s="64" t="str">
        <f>IFERROR(VLOOKUP(MID(T102,W102,X102-W102),[5]skilldef!$C:$D,2,FALSE),"-") &amp; " / " &amp; IFERROR(VLOOKUP(MID(T102,U102,V102-U102),[5]skilldef!$A:$B,2,FALSE),"-")</f>
        <v>- / -</v>
      </c>
      <c r="Z102" s="50"/>
      <c r="AA102" s="52"/>
      <c r="AB102" s="50"/>
    </row>
    <row r="103" spans="1:28" ht="40" customHeight="1" x14ac:dyDescent="0.15">
      <c r="A103" s="142">
        <v>47003345</v>
      </c>
      <c r="B103" s="137" t="s">
        <v>595</v>
      </c>
      <c r="C103" s="50">
        <v>3</v>
      </c>
      <c r="D103" s="50" t="s">
        <v>126</v>
      </c>
      <c r="E103" s="51" t="s">
        <v>340</v>
      </c>
      <c r="F103" s="143" t="s">
        <v>457</v>
      </c>
      <c r="G103" s="130" t="str">
        <f t="shared" si="31"/>
        <v>[effect:enemy_message, val1:2.2, val2:2.0]</v>
      </c>
      <c r="H103" s="64">
        <f t="shared" si="32"/>
        <v>9</v>
      </c>
      <c r="I103" s="64">
        <f t="shared" si="33"/>
        <v>22</v>
      </c>
      <c r="J103" s="64" t="e">
        <f t="shared" si="34"/>
        <v>#VALUE!</v>
      </c>
      <c r="K103" s="64">
        <f t="shared" si="35"/>
        <v>32</v>
      </c>
      <c r="L103" s="64" t="str">
        <f>IFERROR(VLOOKUP(MID(G103,J103,K103-J103),[5]skilldef!$C:$D,2,FALSE),"-") &amp; " / " &amp; IFERROR(VLOOKUP(MID(G103,H103,I103-H103),[5]skilldef!$A:$B,2,FALSE),"-")</f>
        <v>- / -</v>
      </c>
      <c r="M103" s="64" t="str">
        <f t="shared" si="36"/>
        <v>[effect:dark, target:unit_demon/not, turn:2, animation:enemy_dark],[effect:fix_speed, target:myself, turn:2]</v>
      </c>
      <c r="N103" s="48" t="str">
        <f>IFERROR(LEFT(M103,FIND("],",M103)+#REF!),M103)</f>
        <v>[effect:dark, target:unit_demon/not, turn:2, animation:enemy_dark],[effect:fix_speed, target:myself, turn:2]</v>
      </c>
      <c r="O103" s="64">
        <f t="shared" si="37"/>
        <v>9</v>
      </c>
      <c r="P103" s="64">
        <f t="shared" si="38"/>
        <v>13</v>
      </c>
      <c r="Q103" s="64">
        <f t="shared" si="39"/>
        <v>22</v>
      </c>
      <c r="R103" s="64">
        <f t="shared" si="40"/>
        <v>36</v>
      </c>
      <c r="S103" s="64" t="str">
        <f>IFERROR(VLOOKUP(MID(N103,Q103,R103-Q103),[5]skilldef!$C:$D,2,FALSE),"-") &amp; " / " &amp; IFERROR(VLOOKUP(MID(N103,O103,P103-O103),[5]skilldef!$A:$B,2,FALSE),"-")</f>
        <v>- / 暗黒</v>
      </c>
      <c r="T103" s="48" t="str">
        <f t="shared" si="41"/>
        <v>[effect:fix_speed, target:myself, turn:2]</v>
      </c>
      <c r="U103" s="64">
        <f t="shared" si="42"/>
        <v>9</v>
      </c>
      <c r="V103" s="64">
        <f t="shared" si="43"/>
        <v>18</v>
      </c>
      <c r="W103" s="64">
        <f t="shared" si="44"/>
        <v>27</v>
      </c>
      <c r="X103" s="64">
        <f t="shared" si="45"/>
        <v>33</v>
      </c>
      <c r="Y103" s="64" t="str">
        <f>IFERROR(VLOOKUP(MID(T103,W103,X103-W103),[5]skilldef!$C:$D,2,FALSE),"-") &amp; " / " &amp; IFERROR(VLOOKUP(MID(T103,U103,V103-U103),[5]skilldef!$A:$B,2,FALSE),"-")</f>
        <v>自分自身に / 行動値設定</v>
      </c>
      <c r="Z103" s="50"/>
      <c r="AA103" s="52"/>
      <c r="AB103" s="50"/>
    </row>
    <row r="104" spans="1:28" ht="40" customHeight="1" x14ac:dyDescent="0.15">
      <c r="A104" s="142">
        <v>47003346</v>
      </c>
      <c r="B104" s="137" t="s">
        <v>596</v>
      </c>
      <c r="C104" s="50">
        <v>3</v>
      </c>
      <c r="D104" s="50" t="s">
        <v>126</v>
      </c>
      <c r="E104" s="51" t="s">
        <v>341</v>
      </c>
      <c r="F104" s="143" t="s">
        <v>457</v>
      </c>
      <c r="G104" s="130" t="str">
        <f t="shared" si="31"/>
        <v>[effect:enemy_message, val1:2.2, val2:2.0]</v>
      </c>
      <c r="H104" s="64">
        <f t="shared" si="32"/>
        <v>9</v>
      </c>
      <c r="I104" s="64">
        <f t="shared" si="33"/>
        <v>22</v>
      </c>
      <c r="J104" s="64" t="e">
        <f t="shared" si="34"/>
        <v>#VALUE!</v>
      </c>
      <c r="K104" s="64">
        <f t="shared" si="35"/>
        <v>32</v>
      </c>
      <c r="L104" s="64" t="str">
        <f>IFERROR(VLOOKUP(MID(G104,J104,K104-J104),[5]skilldef!$C:$D,2,FALSE),"-") &amp; " / " &amp; IFERROR(VLOOKUP(MID(G104,H104,I104-H104),[5]skilldef!$A:$B,2,FALSE),"-")</f>
        <v>- / -</v>
      </c>
      <c r="M104" s="64" t="str">
        <f t="shared" si="36"/>
        <v>[effect:dark, target:unit_demon/not, turn:2, animation:enemy_dark],[effect:fix_speed, target:myself, turn:2]</v>
      </c>
      <c r="N104" s="48" t="str">
        <f>IFERROR(LEFT(M104,FIND("],",M104)+#REF!),M104)</f>
        <v>[effect:dark, target:unit_demon/not, turn:2, animation:enemy_dark],[effect:fix_speed, target:myself, turn:2]</v>
      </c>
      <c r="O104" s="64">
        <f t="shared" si="37"/>
        <v>9</v>
      </c>
      <c r="P104" s="64">
        <f t="shared" si="38"/>
        <v>13</v>
      </c>
      <c r="Q104" s="64">
        <f t="shared" si="39"/>
        <v>22</v>
      </c>
      <c r="R104" s="64">
        <f t="shared" si="40"/>
        <v>36</v>
      </c>
      <c r="S104" s="64" t="str">
        <f>IFERROR(VLOOKUP(MID(N104,Q104,R104-Q104),[5]skilldef!$C:$D,2,FALSE),"-") &amp; " / " &amp; IFERROR(VLOOKUP(MID(N104,O104,P104-O104),[5]skilldef!$A:$B,2,FALSE),"-")</f>
        <v>- / 暗黒</v>
      </c>
      <c r="T104" s="48" t="str">
        <f t="shared" si="41"/>
        <v>[effect:fix_speed, target:myself, turn:2]</v>
      </c>
      <c r="U104" s="64">
        <f t="shared" si="42"/>
        <v>9</v>
      </c>
      <c r="V104" s="64">
        <f t="shared" si="43"/>
        <v>18</v>
      </c>
      <c r="W104" s="64">
        <f t="shared" si="44"/>
        <v>27</v>
      </c>
      <c r="X104" s="64">
        <f t="shared" si="45"/>
        <v>33</v>
      </c>
      <c r="Y104" s="64" t="str">
        <f>IFERROR(VLOOKUP(MID(T104,W104,X104-W104),[5]skilldef!$C:$D,2,FALSE),"-") &amp; " / " &amp; IFERROR(VLOOKUP(MID(T104,U104,V104-U104),[5]skilldef!$A:$B,2,FALSE),"-")</f>
        <v>自分自身に / 行動値設定</v>
      </c>
      <c r="Z104" s="50"/>
      <c r="AA104" s="52"/>
      <c r="AB104" s="50"/>
    </row>
    <row r="105" spans="1:28" ht="40" customHeight="1" x14ac:dyDescent="0.15">
      <c r="A105" s="142">
        <v>47003347</v>
      </c>
      <c r="B105" s="137" t="s">
        <v>597</v>
      </c>
      <c r="C105" s="50">
        <v>3</v>
      </c>
      <c r="D105" s="50" t="s">
        <v>126</v>
      </c>
      <c r="E105" s="51" t="s">
        <v>342</v>
      </c>
      <c r="F105" s="143" t="s">
        <v>457</v>
      </c>
      <c r="G105" s="130" t="str">
        <f t="shared" si="31"/>
        <v>[effect:enemy_message, val1:2.2, val2:2.0]</v>
      </c>
      <c r="H105" s="64">
        <f t="shared" si="32"/>
        <v>9</v>
      </c>
      <c r="I105" s="64">
        <f t="shared" si="33"/>
        <v>22</v>
      </c>
      <c r="J105" s="64" t="e">
        <f t="shared" si="34"/>
        <v>#VALUE!</v>
      </c>
      <c r="K105" s="64">
        <f t="shared" si="35"/>
        <v>32</v>
      </c>
      <c r="L105" s="64" t="str">
        <f>IFERROR(VLOOKUP(MID(G105,J105,K105-J105),[5]skilldef!$C:$D,2,FALSE),"-") &amp; " / " &amp; IFERROR(VLOOKUP(MID(G105,H105,I105-H105),[5]skilldef!$A:$B,2,FALSE),"-")</f>
        <v>- / -</v>
      </c>
      <c r="M105" s="64" t="str">
        <f t="shared" si="36"/>
        <v>[effect:dark, target:unit_demon/not, turn:2, animation:enemy_dark],[effect:fix_speed, target:myself, turn:2]</v>
      </c>
      <c r="N105" s="48" t="str">
        <f>IFERROR(LEFT(M105,FIND("],",M105)+#REF!),M105)</f>
        <v>[effect:dark, target:unit_demon/not, turn:2, animation:enemy_dark],[effect:fix_speed, target:myself, turn:2]</v>
      </c>
      <c r="O105" s="64">
        <f t="shared" si="37"/>
        <v>9</v>
      </c>
      <c r="P105" s="64">
        <f t="shared" si="38"/>
        <v>13</v>
      </c>
      <c r="Q105" s="64">
        <f t="shared" si="39"/>
        <v>22</v>
      </c>
      <c r="R105" s="64">
        <f t="shared" si="40"/>
        <v>36</v>
      </c>
      <c r="S105" s="64" t="str">
        <f>IFERROR(VLOOKUP(MID(N105,Q105,R105-Q105),[5]skilldef!$C:$D,2,FALSE),"-") &amp; " / " &amp; IFERROR(VLOOKUP(MID(N105,O105,P105-O105),[5]skilldef!$A:$B,2,FALSE),"-")</f>
        <v>- / 暗黒</v>
      </c>
      <c r="T105" s="48" t="str">
        <f t="shared" si="41"/>
        <v>[effect:fix_speed, target:myself, turn:2]</v>
      </c>
      <c r="U105" s="64">
        <f t="shared" si="42"/>
        <v>9</v>
      </c>
      <c r="V105" s="64">
        <f t="shared" si="43"/>
        <v>18</v>
      </c>
      <c r="W105" s="64">
        <f t="shared" si="44"/>
        <v>27</v>
      </c>
      <c r="X105" s="64">
        <f t="shared" si="45"/>
        <v>33</v>
      </c>
      <c r="Y105" s="64" t="str">
        <f>IFERROR(VLOOKUP(MID(T105,W105,X105-W105),[5]skilldef!$C:$D,2,FALSE),"-") &amp; " / " &amp; IFERROR(VLOOKUP(MID(T105,U105,V105-U105),[5]skilldef!$A:$B,2,FALSE),"-")</f>
        <v>自分自身に / 行動値設定</v>
      </c>
      <c r="Z105" s="50"/>
      <c r="AA105" s="52"/>
      <c r="AB105" s="50"/>
    </row>
    <row r="106" spans="1:28" ht="40" customHeight="1" x14ac:dyDescent="0.15">
      <c r="A106" s="142">
        <v>47003361</v>
      </c>
      <c r="B106" s="137" t="s">
        <v>594</v>
      </c>
      <c r="C106" s="126">
        <v>3</v>
      </c>
      <c r="D106" s="126" t="s">
        <v>126</v>
      </c>
      <c r="E106" s="51" t="s">
        <v>403</v>
      </c>
      <c r="F106" s="143" t="s">
        <v>457</v>
      </c>
      <c r="G106" s="130" t="str">
        <f t="shared" si="31"/>
        <v>[effect:enemy_message, val1:1.0, val2:2.0]</v>
      </c>
      <c r="H106" s="64">
        <f t="shared" si="32"/>
        <v>9</v>
      </c>
      <c r="I106" s="64">
        <f t="shared" si="33"/>
        <v>22</v>
      </c>
      <c r="J106" s="64" t="e">
        <f t="shared" si="34"/>
        <v>#VALUE!</v>
      </c>
      <c r="K106" s="64">
        <f t="shared" si="35"/>
        <v>32</v>
      </c>
      <c r="L106" s="64" t="str">
        <f>IFERROR(VLOOKUP(MID(G106,J106,K106-J106),[5]skilldef!$C:$D,2,FALSE),"-") &amp; " / " &amp; IFERROR(VLOOKUP(MID(G106,H106,I106-H106),[5]skilldef!$A:$B,2,FALSE),"-")</f>
        <v>- / -</v>
      </c>
      <c r="M106" s="64" t="str">
        <f t="shared" si="36"/>
        <v>[effect:dark, target:unit_demon/not, turn:2, animation:enemy_dark],[effect:fix_speed, target:myself, turn:2]</v>
      </c>
      <c r="N106" s="48" t="str">
        <f>IFERROR(LEFT(M106,FIND("],",M106)+#REF!),M106)</f>
        <v>[effect:dark, target:unit_demon/not, turn:2, animation:enemy_dark],[effect:fix_speed, target:myself, turn:2]</v>
      </c>
      <c r="O106" s="64">
        <f t="shared" si="37"/>
        <v>9</v>
      </c>
      <c r="P106" s="64">
        <f t="shared" si="38"/>
        <v>13</v>
      </c>
      <c r="Q106" s="64">
        <f t="shared" si="39"/>
        <v>22</v>
      </c>
      <c r="R106" s="64">
        <f t="shared" si="40"/>
        <v>36</v>
      </c>
      <c r="S106" s="64" t="str">
        <f>IFERROR(VLOOKUP(MID(N106,Q106,R106-Q106),[5]skilldef!$C:$D,2,FALSE),"-") &amp; " / " &amp; IFERROR(VLOOKUP(MID(N106,O106,P106-O106),[5]skilldef!$A:$B,2,FALSE),"-")</f>
        <v>- / 暗黒</v>
      </c>
      <c r="T106" s="48" t="str">
        <f t="shared" si="41"/>
        <v>[effect:fix_speed, target:myself, turn:2]</v>
      </c>
      <c r="U106" s="64">
        <f t="shared" si="42"/>
        <v>9</v>
      </c>
      <c r="V106" s="64">
        <f t="shared" si="43"/>
        <v>18</v>
      </c>
      <c r="W106" s="64">
        <f t="shared" si="44"/>
        <v>27</v>
      </c>
      <c r="X106" s="64">
        <f t="shared" si="45"/>
        <v>33</v>
      </c>
      <c r="Y106" s="64" t="str">
        <f>IFERROR(VLOOKUP(MID(T106,W106,X106-W106),[5]skilldef!$C:$D,2,FALSE),"-") &amp; " / " &amp; IFERROR(VLOOKUP(MID(T106,U106,V106-U106),[5]skilldef!$A:$B,2,FALSE),"-")</f>
        <v>自分自身に / 行動値設定</v>
      </c>
      <c r="Z106" s="50"/>
      <c r="AA106" s="52"/>
      <c r="AB106" s="50"/>
    </row>
    <row r="107" spans="1:28" ht="40" customHeight="1" x14ac:dyDescent="0.15">
      <c r="A107" s="142">
        <v>47003362</v>
      </c>
      <c r="B107" s="47" t="s">
        <v>420</v>
      </c>
      <c r="C107" s="126">
        <v>3</v>
      </c>
      <c r="D107" s="126" t="s">
        <v>126</v>
      </c>
      <c r="E107" s="51" t="s">
        <v>343</v>
      </c>
      <c r="F107" s="51" t="s">
        <v>336</v>
      </c>
      <c r="G107" s="130" t="str">
        <f t="shared" si="31"/>
        <v>[effect:damage_anti_abnormal, target:unit_all, target_effect01:dark, val1:0.7, val2:0.35]</v>
      </c>
      <c r="H107" s="64">
        <f t="shared" si="32"/>
        <v>9</v>
      </c>
      <c r="I107" s="64">
        <f t="shared" si="33"/>
        <v>29</v>
      </c>
      <c r="J107" s="64">
        <f t="shared" si="34"/>
        <v>38</v>
      </c>
      <c r="K107" s="64">
        <f t="shared" si="35"/>
        <v>46</v>
      </c>
      <c r="L107" s="64" t="str">
        <f>IFERROR(VLOOKUP(MID(G107,J107,K107-J107),[5]skilldef!$C:$D,2,FALSE),"-") &amp; " / " &amp; IFERROR(VLOOKUP(MID(G107,H107,I107-H107),[5]skilldef!$A:$B,2,FALSE),"-")</f>
        <v>味方全体に / -</v>
      </c>
      <c r="M107" s="64" t="str">
        <f t="shared" si="36"/>
        <v>[effect:fix_speed, target:myself, turn:1]</v>
      </c>
      <c r="N107" s="48" t="str">
        <f>IFERROR(LEFT(M107,FIND("],",M107)+#REF!),M107)</f>
        <v>[effect:fix_speed, target:myself, turn:1]</v>
      </c>
      <c r="O107" s="64">
        <f t="shared" si="37"/>
        <v>9</v>
      </c>
      <c r="P107" s="64">
        <f t="shared" si="38"/>
        <v>18</v>
      </c>
      <c r="Q107" s="64">
        <f t="shared" si="39"/>
        <v>27</v>
      </c>
      <c r="R107" s="64">
        <f t="shared" si="40"/>
        <v>33</v>
      </c>
      <c r="S107" s="64" t="str">
        <f>IFERROR(VLOOKUP(MID(N107,Q107,R107-Q107),[5]skilldef!$C:$D,2,FALSE),"-") &amp; " / " &amp; IFERROR(VLOOKUP(MID(N107,O107,P107-O107),[5]skilldef!$A:$B,2,FALSE),"-")</f>
        <v>自分自身に / 行動値設定</v>
      </c>
      <c r="T107" s="48" t="str">
        <f t="shared" si="41"/>
        <v>none</v>
      </c>
      <c r="U107" s="64" t="e">
        <f t="shared" si="42"/>
        <v>#VALUE!</v>
      </c>
      <c r="V107" s="64">
        <f t="shared" si="43"/>
        <v>4</v>
      </c>
      <c r="W107" s="64" t="e">
        <f t="shared" si="44"/>
        <v>#VALUE!</v>
      </c>
      <c r="X107" s="64" t="e">
        <f t="shared" si="45"/>
        <v>#VALUE!</v>
      </c>
      <c r="Y107" s="64" t="str">
        <f>IFERROR(VLOOKUP(MID(T107,W107,X107-W107),[5]skilldef!$C:$D,2,FALSE),"-") &amp; " / " &amp; IFERROR(VLOOKUP(MID(T107,U107,V107-U107),[5]skilldef!$A:$B,2,FALSE),"-")</f>
        <v>- / -</v>
      </c>
      <c r="Z107" s="50"/>
      <c r="AA107" s="52"/>
      <c r="AB107" s="50"/>
    </row>
    <row r="108" spans="1:28" ht="40" customHeight="1" x14ac:dyDescent="0.15">
      <c r="A108" s="142">
        <v>47003364</v>
      </c>
      <c r="B108" s="47" t="s">
        <v>505</v>
      </c>
      <c r="C108" s="126">
        <v>3</v>
      </c>
      <c r="D108" s="126" t="s">
        <v>126</v>
      </c>
      <c r="E108" s="51" t="s">
        <v>346</v>
      </c>
      <c r="F108" s="51" t="s">
        <v>550</v>
      </c>
      <c r="G108" s="130" t="str">
        <f t="shared" si="31"/>
        <v>[effect:enemy_message, val1:1.0, val2:2.0]</v>
      </c>
      <c r="H108" s="64">
        <f t="shared" si="32"/>
        <v>9</v>
      </c>
      <c r="I108" s="64">
        <f t="shared" si="33"/>
        <v>22</v>
      </c>
      <c r="J108" s="64" t="e">
        <f t="shared" si="34"/>
        <v>#VALUE!</v>
      </c>
      <c r="K108" s="64">
        <f t="shared" si="35"/>
        <v>32</v>
      </c>
      <c r="L108" s="64" t="str">
        <f>IFERROR(VLOOKUP(MID(G108,J108,K108-J108),[5]skilldef!$C:$D,2,FALSE),"-") &amp; " / " &amp; IFERROR(VLOOKUP(MID(G108,H108,I108-H108),[5]skilldef!$A:$B,2,FALSE),"-")</f>
        <v>- / -</v>
      </c>
      <c r="M108" s="64" t="str">
        <f t="shared" si="36"/>
        <v>[effect:hungup, target:unit_all, turn:2, rate:1, animation:hungup02],[effect:enhance_enemy, target:enemy_all, turn:-1, status:attack, val:0.2, calc:mul, animation:enemy_enhance_attack]</v>
      </c>
      <c r="N108" s="48" t="str">
        <f>IFERROR(LEFT(M108,FIND("],",M108)+#REF!),M108)</f>
        <v>[effect:hungup, target:unit_all, turn:2, rate:1, animation:hungup02],[effect:enhance_enemy, target:enemy_all, turn:-1, status:attack, val:0.2, calc:mul, animation:enemy_enhance_attack]</v>
      </c>
      <c r="O108" s="64">
        <f t="shared" si="37"/>
        <v>9</v>
      </c>
      <c r="P108" s="64">
        <f t="shared" si="38"/>
        <v>15</v>
      </c>
      <c r="Q108" s="64">
        <f t="shared" si="39"/>
        <v>24</v>
      </c>
      <c r="R108" s="64">
        <f t="shared" si="40"/>
        <v>32</v>
      </c>
      <c r="S108" s="64" t="str">
        <f>IFERROR(VLOOKUP(MID(N108,Q108,R108-Q108),[5]skilldef!$C:$D,2,FALSE),"-") &amp; " / " &amp; IFERROR(VLOOKUP(MID(N108,O108,P108-O108),[5]skilldef!$A:$B,2,FALSE),"-")</f>
        <v>味方全体に / ハングアップ</v>
      </c>
      <c r="T108" s="48" t="str">
        <f t="shared" si="41"/>
        <v>[effect:enhance_enemy, target:enemy_all, turn:-1, status:attack, val:0.2, calc:mul, animation:enemy_enhance_attack]</v>
      </c>
      <c r="U108" s="64">
        <f t="shared" si="42"/>
        <v>9</v>
      </c>
      <c r="V108" s="64">
        <f t="shared" si="43"/>
        <v>22</v>
      </c>
      <c r="W108" s="64">
        <f t="shared" si="44"/>
        <v>31</v>
      </c>
      <c r="X108" s="64">
        <f t="shared" si="45"/>
        <v>40</v>
      </c>
      <c r="Y108" s="64" t="str">
        <f>IFERROR(VLOOKUP(MID(T108,W108,X108-W108),[5]skilldef!$C:$D,2,FALSE),"-") &amp; " / " &amp; IFERROR(VLOOKUP(MID(T108,U108,V108-U108),[5]skilldef!$A:$B,2,FALSE),"-")</f>
        <v>敵全体に / ステータス強化</v>
      </c>
      <c r="Z108" s="50"/>
      <c r="AA108" s="52"/>
      <c r="AB108" s="50"/>
    </row>
    <row r="109" spans="1:28" ht="40" customHeight="1" x14ac:dyDescent="0.15">
      <c r="A109" s="142">
        <v>47003365</v>
      </c>
      <c r="B109" s="137" t="s">
        <v>522</v>
      </c>
      <c r="C109" s="126">
        <v>3</v>
      </c>
      <c r="D109" s="126" t="s">
        <v>126</v>
      </c>
      <c r="E109" s="51" t="s">
        <v>347</v>
      </c>
      <c r="F109" s="51" t="s">
        <v>330</v>
      </c>
      <c r="G109" s="130" t="str">
        <f t="shared" si="31"/>
        <v>[effect:enemy_message, val1:1.0, val2:2.0]</v>
      </c>
      <c r="H109" s="64">
        <f t="shared" si="32"/>
        <v>9</v>
      </c>
      <c r="I109" s="64">
        <f t="shared" si="33"/>
        <v>22</v>
      </c>
      <c r="J109" s="64" t="e">
        <f t="shared" si="34"/>
        <v>#VALUE!</v>
      </c>
      <c r="K109" s="64">
        <f t="shared" si="35"/>
        <v>32</v>
      </c>
      <c r="L109" s="64" t="str">
        <f>IFERROR(VLOOKUP(MID(G109,J109,K109-J109),[5]skilldef!$C:$D,2,FALSE),"-") &amp; " / " &amp; IFERROR(VLOOKUP(MID(G109,H109,I109-H109),[5]skilldef!$A:$B,2,FALSE),"-")</f>
        <v>- / -</v>
      </c>
      <c r="M109" s="64" t="str">
        <f t="shared" si="36"/>
        <v>[effect:break_attack_fix, target:unit_one, val:800, lowest_val:1, count:-1, color:yellow, block_color:block_heart, block01:block_heart, block02:crack_bomb]</v>
      </c>
      <c r="N109" s="48" t="str">
        <f>IFERROR(LEFT(M109,FIND("],",M109)+S111),M109)</f>
        <v>[effect:break_attack_fix, target:unit_one, val:800, lowest_val:1, count:-1, color:yellow, block_color:block_heart, block01:block_heart, block02:crack_bomb]</v>
      </c>
      <c r="O109" s="64">
        <f t="shared" si="37"/>
        <v>9</v>
      </c>
      <c r="P109" s="64">
        <f t="shared" si="38"/>
        <v>25</v>
      </c>
      <c r="Q109" s="64">
        <f t="shared" si="39"/>
        <v>34</v>
      </c>
      <c r="R109" s="64">
        <f t="shared" si="40"/>
        <v>42</v>
      </c>
      <c r="S109" s="64" t="str">
        <f>IFERROR(VLOOKUP(MID(N109,Q109,R109-Q109),[5]skilldef!$C:$D,2,FALSE),"-") &amp; " / " &amp; IFERROR(VLOOKUP(MID(N109,O109,P109-O109),[5]skilldef!$A:$B,2,FALSE),"-")</f>
        <v>味方単体に / -</v>
      </c>
      <c r="T109" s="48" t="str">
        <f t="shared" si="41"/>
        <v>none</v>
      </c>
      <c r="U109" s="64" t="e">
        <f t="shared" si="42"/>
        <v>#VALUE!</v>
      </c>
      <c r="V109" s="64">
        <f t="shared" si="43"/>
        <v>4</v>
      </c>
      <c r="W109" s="64" t="e">
        <f t="shared" si="44"/>
        <v>#VALUE!</v>
      </c>
      <c r="X109" s="64" t="e">
        <f t="shared" si="45"/>
        <v>#VALUE!</v>
      </c>
      <c r="Y109" s="64" t="str">
        <f>IFERROR(VLOOKUP(MID(T109,W109,X109-W109),[5]skilldef!$C:$D,2,FALSE),"-") &amp; " / " &amp; IFERROR(VLOOKUP(MID(T109,U109,V109-U109),[5]skilldef!$A:$B,2,FALSE),"-")</f>
        <v>- / -</v>
      </c>
      <c r="Z109" s="50"/>
      <c r="AA109" s="52"/>
      <c r="AB109" s="50"/>
    </row>
    <row r="110" spans="1:28" ht="40" customHeight="1" x14ac:dyDescent="0.15">
      <c r="A110" s="142">
        <v>47003381</v>
      </c>
      <c r="B110" s="137" t="s">
        <v>523</v>
      </c>
      <c r="C110" s="127">
        <v>3</v>
      </c>
      <c r="D110" s="127" t="s">
        <v>126</v>
      </c>
      <c r="E110" s="51" t="s">
        <v>348</v>
      </c>
      <c r="F110" s="51" t="s">
        <v>400</v>
      </c>
      <c r="G110" s="130" t="str">
        <f t="shared" si="31"/>
        <v>[effect:enemy_message, val1:1.5, val2:2.8]</v>
      </c>
      <c r="H110" s="64">
        <f t="shared" si="32"/>
        <v>9</v>
      </c>
      <c r="I110" s="64">
        <f t="shared" si="33"/>
        <v>22</v>
      </c>
      <c r="J110" s="64" t="e">
        <f t="shared" si="34"/>
        <v>#VALUE!</v>
      </c>
      <c r="K110" s="64">
        <f t="shared" si="35"/>
        <v>32</v>
      </c>
      <c r="L110" s="64" t="str">
        <f>IFERROR(VLOOKUP(MID(G110,J110,K110-J110),[5]skilldef!$C:$D,2,FALSE),"-") &amp; " / " &amp; IFERROR(VLOOKUP(MID(G110,H110,I110-H110),[5]skilldef!$A:$B,2,FALSE),"-")</f>
        <v>- / -</v>
      </c>
      <c r="M110" s="64" t="str">
        <f t="shared" si="36"/>
        <v>[effect:hungup, target:unit_demon/not, turn:2, rate:1, animation:hungup02],[effect:change_panel_ratio, turn:-1, block_type:yellow, val:0.4, animation:block_incidence04],[effect:fix_speed, target:myself, turn:1]</v>
      </c>
      <c r="N110" s="48" t="str">
        <f>IFERROR(LEFT(M110,FIND("],",M110)+#REF!),M110)</f>
        <v>[effect:hungup, target:unit_demon/not, turn:2, rate:1, animation:hungup02],[effect:change_panel_ratio, turn:-1, block_type:yellow, val:0.4, animation:block_incidence04],[effect:fix_speed, target:myself, turn:1]</v>
      </c>
      <c r="O110" s="64">
        <f t="shared" si="37"/>
        <v>9</v>
      </c>
      <c r="P110" s="64">
        <f t="shared" si="38"/>
        <v>15</v>
      </c>
      <c r="Q110" s="64">
        <f t="shared" si="39"/>
        <v>24</v>
      </c>
      <c r="R110" s="64">
        <f t="shared" si="40"/>
        <v>38</v>
      </c>
      <c r="S110" s="64" t="str">
        <f>IFERROR(VLOOKUP(MID(N110,Q110,R110-Q110),[5]skilldef!$C:$D,2,FALSE),"-") &amp; " / " &amp; IFERROR(VLOOKUP(MID(N110,O110,P110-O110),[5]skilldef!$A:$B,2,FALSE),"-")</f>
        <v>- / ハングアップ</v>
      </c>
      <c r="T110" s="48" t="str">
        <f t="shared" si="41"/>
        <v>[effect:change_panel_ratio, turn:-1, block_type:yellow, val:0.4, animation:block_incidence04],[effect:fix_speed, target:myself, turn:1]</v>
      </c>
      <c r="U110" s="64">
        <f t="shared" si="42"/>
        <v>9</v>
      </c>
      <c r="V110" s="64">
        <f t="shared" si="43"/>
        <v>27</v>
      </c>
      <c r="W110" s="64">
        <f t="shared" si="44"/>
        <v>121</v>
      </c>
      <c r="X110" s="64">
        <f t="shared" si="45"/>
        <v>36</v>
      </c>
      <c r="Y110" s="64" t="str">
        <f>IFERROR(VLOOKUP(MID(T110,W110,X110-W110),[5]skilldef!$C:$D,2,FALSE),"-") &amp; " / " &amp; IFERROR(VLOOKUP(MID(T110,U110,V110-U110),[5]skilldef!$A:$B,2,FALSE),"-")</f>
        <v>- / -</v>
      </c>
      <c r="Z110" s="50"/>
      <c r="AA110" s="52"/>
      <c r="AB110" s="50"/>
    </row>
    <row r="111" spans="1:28" ht="40" customHeight="1" x14ac:dyDescent="0.15">
      <c r="A111" s="142">
        <v>47003383</v>
      </c>
      <c r="B111" s="137" t="s">
        <v>424</v>
      </c>
      <c r="C111" s="127">
        <v>3</v>
      </c>
      <c r="D111" s="127" t="s">
        <v>126</v>
      </c>
      <c r="E111" s="51" t="s">
        <v>349</v>
      </c>
      <c r="F111" s="51" t="s">
        <v>339</v>
      </c>
      <c r="G111" s="130" t="str">
        <f t="shared" ref="G111:G113" si="46">IFERROR(LEFT(B111,FIND("],",B111)),B111)</f>
        <v xml:space="preserve">[effect:break_attack_fix, target:unit_one, val:120, lowest_val:4800, count:-1, color:yellow, block01:block_yellow]    </v>
      </c>
      <c r="H111" s="64">
        <f t="shared" ref="H111:H113" si="47">FIND("effect:",G111)+7</f>
        <v>9</v>
      </c>
      <c r="I111" s="64">
        <f t="shared" ref="I111:I113" si="48">IFERROR(FIND(",",G111),LEN(G111))</f>
        <v>25</v>
      </c>
      <c r="J111" s="64">
        <f t="shared" ref="J111:J113" si="49">FIND("target:",G111)+7</f>
        <v>34</v>
      </c>
      <c r="K111" s="64">
        <f t="shared" ref="K111:K113" si="50">FIND(",",G111,I111+1)</f>
        <v>42</v>
      </c>
      <c r="L111" s="64" t="str">
        <f>IFERROR(VLOOKUP(MID(G111,J111,K111-J111),[5]skilldef!$C:$D,2,FALSE),"-") &amp; " / " &amp; IFERROR(VLOOKUP(MID(G111,H111,I111-H111),[5]skilldef!$A:$B,2,FALSE),"-")</f>
        <v>味方単体に / -</v>
      </c>
      <c r="M111" s="64" t="str">
        <f t="shared" ref="M111:M113" si="51">IFERROR(RIGHT(B111,LEN(B111)-FIND("],",B111)-1),"none")</f>
        <v>none</v>
      </c>
      <c r="N111" s="48" t="str">
        <f>IFERROR(LEFT(M111,FIND("],",M111)+S112),M111)</f>
        <v>none</v>
      </c>
      <c r="O111" s="64" t="e">
        <f t="shared" ref="O111:O113" si="52">FIND("effect:",N111)+7</f>
        <v>#VALUE!</v>
      </c>
      <c r="P111" s="64">
        <f t="shared" ref="P111:P113" si="53">IFERROR(FIND(",",N111),LEN(N111))</f>
        <v>4</v>
      </c>
      <c r="Q111" s="64" t="e">
        <f t="shared" ref="Q111:Q113" si="54">FIND("target:",N111)+7</f>
        <v>#VALUE!</v>
      </c>
      <c r="R111" s="64" t="e">
        <f t="shared" ref="R111:R113" si="55">FIND(",",N111,P111+1)</f>
        <v>#VALUE!</v>
      </c>
      <c r="S111" s="64" t="str">
        <f>IFERROR(VLOOKUP(MID(N111,Q111,R111-Q111),[5]skilldef!$C:$D,2,FALSE),"-") &amp; " / " &amp; IFERROR(VLOOKUP(MID(N111,O111,P111-O111),[5]skilldef!$A:$B,2,FALSE),"-")</f>
        <v>- / -</v>
      </c>
      <c r="T111" s="48" t="str">
        <f t="shared" ref="T111:T113" si="56">IFERROR(RIGHT(M111,LEN(M111)-FIND("],",M111)-1),"none")</f>
        <v>none</v>
      </c>
      <c r="U111" s="64" t="e">
        <f t="shared" ref="U111:U113" si="57">FIND("effect:",T111)+7</f>
        <v>#VALUE!</v>
      </c>
      <c r="V111" s="64">
        <f t="shared" ref="V111:V113" si="58">IFERROR(FIND(",",T111),LEN(T111))</f>
        <v>4</v>
      </c>
      <c r="W111" s="64" t="e">
        <f t="shared" ref="W111:W113" si="59">FIND("target:",T111)+7</f>
        <v>#VALUE!</v>
      </c>
      <c r="X111" s="64" t="e">
        <f t="shared" ref="X111:X113" si="60">FIND(",",T111,V111+1)</f>
        <v>#VALUE!</v>
      </c>
      <c r="Y111" s="64" t="str">
        <f>IFERROR(VLOOKUP(MID(T111,W111,X111-W111),[5]skilldef!$C:$D,2,FALSE),"-") &amp; " / " &amp; IFERROR(VLOOKUP(MID(T111,U111,V111-U111),[5]skilldef!$A:$B,2,FALSE),"-")</f>
        <v>- / -</v>
      </c>
      <c r="Z111" s="50"/>
      <c r="AA111" s="52"/>
      <c r="AB111" s="50"/>
    </row>
    <row r="112" spans="1:28" ht="40" customHeight="1" x14ac:dyDescent="0.15">
      <c r="A112" s="142">
        <v>47003384</v>
      </c>
      <c r="B112" s="137" t="s">
        <v>524</v>
      </c>
      <c r="C112" s="127">
        <v>3</v>
      </c>
      <c r="D112" s="127" t="s">
        <v>126</v>
      </c>
      <c r="E112" s="51" t="s">
        <v>350</v>
      </c>
      <c r="F112" s="143" t="s">
        <v>419</v>
      </c>
      <c r="G112" s="130" t="str">
        <f t="shared" si="46"/>
        <v>[effect:enemy_message, val1:1.0, val2:2.5]</v>
      </c>
      <c r="H112" s="64">
        <f t="shared" si="47"/>
        <v>9</v>
      </c>
      <c r="I112" s="64">
        <f t="shared" si="48"/>
        <v>22</v>
      </c>
      <c r="J112" s="64" t="e">
        <f t="shared" si="49"/>
        <v>#VALUE!</v>
      </c>
      <c r="K112" s="64">
        <f t="shared" si="50"/>
        <v>32</v>
      </c>
      <c r="L112" s="64" t="str">
        <f>IFERROR(VLOOKUP(MID(G112,J112,K112-J112),[5]skilldef!$C:$D,2,FALSE),"-") &amp; " / " &amp; IFERROR(VLOOKUP(MID(G112,H112,I112-H112),[5]skilldef!$A:$B,2,FALSE),"-")</f>
        <v>- / -</v>
      </c>
      <c r="M112" s="64" t="str">
        <f t="shared" si="51"/>
        <v>[effect:break_attack_fix, target:unit_one, val:915, lowest_val:1, count:-1, color:yellow, block_color:block_heart, block01:block_heart, block02:crack_bomb]</v>
      </c>
      <c r="N112" s="48" t="str">
        <f>IFERROR(LEFT(M112,FIND("],",M112)+#REF!),M112)</f>
        <v>[effect:break_attack_fix, target:unit_one, val:915, lowest_val:1, count:-1, color:yellow, block_color:block_heart, block01:block_heart, block02:crack_bomb]</v>
      </c>
      <c r="O112" s="64">
        <f t="shared" si="52"/>
        <v>9</v>
      </c>
      <c r="P112" s="64">
        <f t="shared" si="53"/>
        <v>25</v>
      </c>
      <c r="Q112" s="64">
        <f t="shared" si="54"/>
        <v>34</v>
      </c>
      <c r="R112" s="64">
        <f t="shared" si="55"/>
        <v>42</v>
      </c>
      <c r="S112" s="64" t="str">
        <f>IFERROR(VLOOKUP(MID(N112,Q112,R112-Q112),[5]skilldef!$C:$D,2,FALSE),"-") &amp; " / " &amp; IFERROR(VLOOKUP(MID(N112,O112,P112-O112),[5]skilldef!$A:$B,2,FALSE),"-")</f>
        <v>味方単体に / -</v>
      </c>
      <c r="T112" s="48" t="str">
        <f t="shared" si="56"/>
        <v>none</v>
      </c>
      <c r="U112" s="64" t="e">
        <f t="shared" si="57"/>
        <v>#VALUE!</v>
      </c>
      <c r="V112" s="64">
        <f t="shared" si="58"/>
        <v>4</v>
      </c>
      <c r="W112" s="64" t="e">
        <f t="shared" si="59"/>
        <v>#VALUE!</v>
      </c>
      <c r="X112" s="64" t="e">
        <f t="shared" si="60"/>
        <v>#VALUE!</v>
      </c>
      <c r="Y112" s="64" t="str">
        <f>IFERROR(VLOOKUP(MID(T112,W112,X112-W112),[5]skilldef!$C:$D,2,FALSE),"-") &amp; " / " &amp; IFERROR(VLOOKUP(MID(T112,U112,V112-U112),[5]skilldef!$A:$B,2,FALSE),"-")</f>
        <v>- / -</v>
      </c>
      <c r="Z112" s="50"/>
      <c r="AA112" s="52"/>
      <c r="AB112" s="50"/>
    </row>
    <row r="113" spans="1:28" ht="40" customHeight="1" x14ac:dyDescent="0.15">
      <c r="A113" s="142">
        <v>47003386</v>
      </c>
      <c r="B113" s="47" t="s">
        <v>461</v>
      </c>
      <c r="C113" s="127">
        <v>3</v>
      </c>
      <c r="D113" s="127" t="s">
        <v>126</v>
      </c>
      <c r="E113" s="51" t="s">
        <v>386</v>
      </c>
      <c r="F113" s="51" t="s">
        <v>369</v>
      </c>
      <c r="G113" s="130" t="str">
        <f t="shared" si="46"/>
        <v>[effect:enemy_message, val1:3.0, val2:3.0]</v>
      </c>
      <c r="H113" s="64">
        <f t="shared" si="47"/>
        <v>9</v>
      </c>
      <c r="I113" s="64">
        <f t="shared" si="48"/>
        <v>22</v>
      </c>
      <c r="J113" s="64" t="e">
        <f t="shared" si="49"/>
        <v>#VALUE!</v>
      </c>
      <c r="K113" s="64">
        <f t="shared" si="50"/>
        <v>32</v>
      </c>
      <c r="L113" s="64" t="str">
        <f>IFERROR(VLOOKUP(MID(G113,J113,K113-J113),[5]skilldef!$C:$D,2,FALSE),"-") &amp; " / " &amp; IFERROR(VLOOKUP(MID(G113,H113,I113-H113),[5]skilldef!$A:$B,2,FALSE),"-")</f>
        <v>- / -</v>
      </c>
      <c r="M113" s="64" t="str">
        <f t="shared" si="51"/>
        <v>none</v>
      </c>
      <c r="N113" s="48" t="str">
        <f t="shared" ref="N113" si="61">IFERROR(LEFT(M113,FIND("],",M113)+S114),M113)</f>
        <v>none</v>
      </c>
      <c r="O113" s="64" t="e">
        <f t="shared" si="52"/>
        <v>#VALUE!</v>
      </c>
      <c r="P113" s="64">
        <f t="shared" si="53"/>
        <v>4</v>
      </c>
      <c r="Q113" s="64" t="e">
        <f t="shared" si="54"/>
        <v>#VALUE!</v>
      </c>
      <c r="R113" s="64" t="e">
        <f t="shared" si="55"/>
        <v>#VALUE!</v>
      </c>
      <c r="S113" s="64" t="str">
        <f>IFERROR(VLOOKUP(MID(N113,Q113,R113-Q113),[5]skilldef!$C:$D,2,FALSE),"-") &amp; " / " &amp; IFERROR(VLOOKUP(MID(N113,O113,P113-O113),[5]skilldef!$A:$B,2,FALSE),"-")</f>
        <v>- / -</v>
      </c>
      <c r="T113" s="48" t="str">
        <f t="shared" si="56"/>
        <v>none</v>
      </c>
      <c r="U113" s="64" t="e">
        <f t="shared" si="57"/>
        <v>#VALUE!</v>
      </c>
      <c r="V113" s="64">
        <f t="shared" si="58"/>
        <v>4</v>
      </c>
      <c r="W113" s="64" t="e">
        <f t="shared" si="59"/>
        <v>#VALUE!</v>
      </c>
      <c r="X113" s="64" t="e">
        <f t="shared" si="60"/>
        <v>#VALUE!</v>
      </c>
      <c r="Y113" s="64" t="str">
        <f>IFERROR(VLOOKUP(MID(T113,W113,X113-W113),[5]skilldef!$C:$D,2,FALSE),"-") &amp; " / " &amp; IFERROR(VLOOKUP(MID(T113,U113,V113-U113),[5]skilldef!$A:$B,2,FALSE),"-")</f>
        <v>- / -</v>
      </c>
      <c r="Z113" s="50"/>
      <c r="AA113" s="52"/>
      <c r="AB113" s="50"/>
    </row>
    <row r="114" spans="1:28" ht="40" customHeight="1" x14ac:dyDescent="0.15">
      <c r="A114" s="141">
        <v>47003401</v>
      </c>
      <c r="B114" s="146" t="s">
        <v>447</v>
      </c>
      <c r="C114" s="50">
        <v>3</v>
      </c>
      <c r="D114" s="50" t="s">
        <v>126</v>
      </c>
      <c r="E114" s="51" t="s">
        <v>287</v>
      </c>
      <c r="F114" s="143" t="s">
        <v>582</v>
      </c>
      <c r="G114" s="130" t="str">
        <f t="shared" ref="G114:G166" si="62">IFERROR(LEFT(B114,FIND("],",B114)),B114)</f>
        <v>[effect:enemy_message, val1:1.5, val2:1.8]</v>
      </c>
      <c r="H114" s="64">
        <f t="shared" ref="H114:H166" si="63">FIND("effect:",G114)+7</f>
        <v>9</v>
      </c>
      <c r="I114" s="64">
        <f t="shared" ref="I114:I166" si="64">IFERROR(FIND(",",G114),LEN(G114))</f>
        <v>22</v>
      </c>
      <c r="J114" s="64" t="e">
        <f t="shared" ref="J114:J166" si="65">FIND("target:",G114)+7</f>
        <v>#VALUE!</v>
      </c>
      <c r="K114" s="64">
        <f t="shared" ref="K114:K166" si="66">FIND(",",G114,I114+1)</f>
        <v>32</v>
      </c>
      <c r="L114" s="64" t="str">
        <f>IFERROR(VLOOKUP(MID(G114,J114,K114-J114),[5]skilldef!$C:$D,2,FALSE),"-") &amp; " / " &amp; IFERROR(VLOOKUP(MID(G114,H114,I114-H114),[5]skilldef!$A:$B,2,FALSE),"-")</f>
        <v>- / -</v>
      </c>
      <c r="M114" s="64" t="str">
        <f t="shared" ref="M114:M166" si="67">IFERROR(RIGHT(B114,LEN(B114)-FIND("],",B114)-1),"none")</f>
        <v>[effect:enhance_unit, target:unit_demon, turn:-1, status:attack, val:0.25, calc:mul]</v>
      </c>
      <c r="N114" s="48" t="str">
        <f>IFERROR(LEFT(M114,FIND("],",M114)+S136),M114)</f>
        <v>[effect:enhance_unit, target:unit_demon, turn:-1, status:attack, val:0.25, calc:mul]</v>
      </c>
      <c r="O114" s="64">
        <f t="shared" ref="O114:O166" si="68">FIND("effect:",N114)+7</f>
        <v>9</v>
      </c>
      <c r="P114" s="64">
        <f t="shared" ref="P114:P166" si="69">IFERROR(FIND(",",N114),LEN(N114))</f>
        <v>21</v>
      </c>
      <c r="Q114" s="64">
        <f t="shared" ref="Q114:Q166" si="70">FIND("target:",N114)+7</f>
        <v>30</v>
      </c>
      <c r="R114" s="64">
        <f t="shared" ref="R114:R166" si="71">FIND(",",N114,P114+1)</f>
        <v>40</v>
      </c>
      <c r="S114" s="64" t="str">
        <f>IFERROR(VLOOKUP(MID(N114,Q114,R114-Q114),[5]skilldef!$C:$D,2,FALSE),"-") &amp; " / " &amp; IFERROR(VLOOKUP(MID(N114,O114,P114-O114),[5]skilldef!$A:$B,2,FALSE),"-")</f>
        <v>- / -</v>
      </c>
      <c r="T114" s="48" t="str">
        <f t="shared" ref="T114:T166" si="72">IFERROR(RIGHT(M114,LEN(M114)-FIND("],",M114)-1),"none")</f>
        <v>none</v>
      </c>
      <c r="U114" s="64" t="e">
        <f t="shared" ref="U114:U166" si="73">FIND("effect:",T114)+7</f>
        <v>#VALUE!</v>
      </c>
      <c r="V114" s="64">
        <f t="shared" ref="V114:V166" si="74">IFERROR(FIND(",",T114),LEN(T114))</f>
        <v>4</v>
      </c>
      <c r="W114" s="64" t="e">
        <f t="shared" ref="W114:W166" si="75">FIND("target:",T114)+7</f>
        <v>#VALUE!</v>
      </c>
      <c r="X114" s="64" t="e">
        <f t="shared" ref="X114:X166" si="76">FIND(",",T114,V114+1)</f>
        <v>#VALUE!</v>
      </c>
      <c r="Y114" s="64" t="str">
        <f>IFERROR(VLOOKUP(MID(T114,W114,X114-W114),[5]skilldef!$C:$D,2,FALSE),"-") &amp; " / " &amp; IFERROR(VLOOKUP(MID(T114,U114,V114-U114),[5]skilldef!$A:$B,2,FALSE),"-")</f>
        <v>- / -</v>
      </c>
      <c r="Z114" s="50"/>
      <c r="AA114" s="52"/>
      <c r="AB114" s="50"/>
    </row>
    <row r="115" spans="1:28" ht="40" customHeight="1" x14ac:dyDescent="0.15">
      <c r="A115" s="141">
        <v>47003402</v>
      </c>
      <c r="B115" s="146" t="s">
        <v>447</v>
      </c>
      <c r="C115" s="50">
        <v>3</v>
      </c>
      <c r="D115" s="50" t="s">
        <v>126</v>
      </c>
      <c r="E115" s="51" t="s">
        <v>288</v>
      </c>
      <c r="F115" s="51" t="s">
        <v>578</v>
      </c>
      <c r="G115" s="130" t="str">
        <f t="shared" si="62"/>
        <v>[effect:enemy_message, val1:1.5, val2:1.8]</v>
      </c>
      <c r="H115" s="64">
        <f t="shared" si="63"/>
        <v>9</v>
      </c>
      <c r="I115" s="64">
        <f t="shared" si="64"/>
        <v>22</v>
      </c>
      <c r="J115" s="64" t="e">
        <f t="shared" si="65"/>
        <v>#VALUE!</v>
      </c>
      <c r="K115" s="64">
        <f t="shared" si="66"/>
        <v>32</v>
      </c>
      <c r="L115" s="64" t="str">
        <f>IFERROR(VLOOKUP(MID(G115,J115,K115-J115),[5]skilldef!$C:$D,2,FALSE),"-") &amp; " / " &amp; IFERROR(VLOOKUP(MID(G115,H115,I115-H115),[5]skilldef!$A:$B,2,FALSE),"-")</f>
        <v>- / -</v>
      </c>
      <c r="M115" s="64" t="str">
        <f t="shared" si="67"/>
        <v>[effect:enhance_unit, target:unit_demon, turn:-1, status:attack, val:0.25, calc:mul]</v>
      </c>
      <c r="N115" s="48" t="str">
        <f>IFERROR(LEFT(M115,FIND("],",M115)+#REF!),M115)</f>
        <v>[effect:enhance_unit, target:unit_demon, turn:-1, status:attack, val:0.25, calc:mul]</v>
      </c>
      <c r="O115" s="64">
        <f t="shared" si="68"/>
        <v>9</v>
      </c>
      <c r="P115" s="64">
        <f t="shared" si="69"/>
        <v>21</v>
      </c>
      <c r="Q115" s="64">
        <f t="shared" si="70"/>
        <v>30</v>
      </c>
      <c r="R115" s="64">
        <f t="shared" si="71"/>
        <v>40</v>
      </c>
      <c r="S115" s="64" t="str">
        <f>IFERROR(VLOOKUP(MID(N115,Q115,R115-Q115),[5]skilldef!$C:$D,2,FALSE),"-") &amp; " / " &amp; IFERROR(VLOOKUP(MID(N115,O115,P115-O115),[5]skilldef!$A:$B,2,FALSE),"-")</f>
        <v>- / -</v>
      </c>
      <c r="T115" s="48" t="str">
        <f t="shared" si="72"/>
        <v>none</v>
      </c>
      <c r="U115" s="64" t="e">
        <f t="shared" si="73"/>
        <v>#VALUE!</v>
      </c>
      <c r="V115" s="64">
        <f t="shared" si="74"/>
        <v>4</v>
      </c>
      <c r="W115" s="64" t="e">
        <f t="shared" si="75"/>
        <v>#VALUE!</v>
      </c>
      <c r="X115" s="64" t="e">
        <f t="shared" si="76"/>
        <v>#VALUE!</v>
      </c>
      <c r="Y115" s="64" t="str">
        <f>IFERROR(VLOOKUP(MID(T115,W115,X115-W115),[5]skilldef!$C:$D,2,FALSE),"-") &amp; " / " &amp; IFERROR(VLOOKUP(MID(T115,U115,V115-U115),[5]skilldef!$A:$B,2,FALSE),"-")</f>
        <v>- / -</v>
      </c>
      <c r="Z115" s="50"/>
      <c r="AA115" s="52"/>
      <c r="AB115" s="50"/>
    </row>
    <row r="116" spans="1:28" ht="40" customHeight="1" x14ac:dyDescent="0.15">
      <c r="A116" s="141">
        <v>47003411</v>
      </c>
      <c r="B116" s="137" t="s">
        <v>448</v>
      </c>
      <c r="C116" s="124">
        <v>3</v>
      </c>
      <c r="D116" s="124" t="s">
        <v>126</v>
      </c>
      <c r="E116" s="51" t="s">
        <v>291</v>
      </c>
      <c r="F116" s="143" t="s">
        <v>459</v>
      </c>
      <c r="G116" s="130" t="str">
        <f t="shared" si="62"/>
        <v>[effect:crash_condition, target:unit_demon, turn:-1, val:-2, animation:crash_panel_reduce04]</v>
      </c>
      <c r="H116" s="64">
        <f t="shared" si="63"/>
        <v>9</v>
      </c>
      <c r="I116" s="64">
        <f t="shared" si="64"/>
        <v>24</v>
      </c>
      <c r="J116" s="64">
        <f t="shared" si="65"/>
        <v>33</v>
      </c>
      <c r="K116" s="64">
        <f t="shared" si="66"/>
        <v>43</v>
      </c>
      <c r="L116" s="64" t="str">
        <f>IFERROR(VLOOKUP(MID(G116,J116,K116-J116),[5]skilldef!$C:$D,2,FALSE),"-") &amp; " / " &amp; IFERROR(VLOOKUP(MID(G116,H116,I116-H116),[5]skilldef!$A:$B,2,FALSE),"-")</f>
        <v>- / -</v>
      </c>
      <c r="M116" s="64" t="str">
        <f t="shared" si="67"/>
        <v>none</v>
      </c>
      <c r="N116" s="48" t="str">
        <f>IFERROR(LEFT(M116,FIND("],",M116)+S144),M116)</f>
        <v>none</v>
      </c>
      <c r="O116" s="64" t="e">
        <f t="shared" si="68"/>
        <v>#VALUE!</v>
      </c>
      <c r="P116" s="64">
        <f t="shared" si="69"/>
        <v>4</v>
      </c>
      <c r="Q116" s="64" t="e">
        <f t="shared" si="70"/>
        <v>#VALUE!</v>
      </c>
      <c r="R116" s="64" t="e">
        <f t="shared" si="71"/>
        <v>#VALUE!</v>
      </c>
      <c r="S116" s="64" t="str">
        <f>IFERROR(VLOOKUP(MID(N116,Q116,R116-Q116),[5]skilldef!$C:$D,2,FALSE),"-") &amp; " / " &amp; IFERROR(VLOOKUP(MID(N116,O116,P116-O116),[5]skilldef!$A:$B,2,FALSE),"-")</f>
        <v>- / -</v>
      </c>
      <c r="T116" s="48" t="str">
        <f t="shared" si="72"/>
        <v>none</v>
      </c>
      <c r="U116" s="64" t="e">
        <f t="shared" si="73"/>
        <v>#VALUE!</v>
      </c>
      <c r="V116" s="64">
        <f t="shared" si="74"/>
        <v>4</v>
      </c>
      <c r="W116" s="64" t="e">
        <f t="shared" si="75"/>
        <v>#VALUE!</v>
      </c>
      <c r="X116" s="64" t="e">
        <f t="shared" si="76"/>
        <v>#VALUE!</v>
      </c>
      <c r="Y116" s="64" t="str">
        <f>IFERROR(VLOOKUP(MID(T116,W116,X116-W116),[5]skilldef!$C:$D,2,FALSE),"-") &amp; " / " &amp; IFERROR(VLOOKUP(MID(T116,U116,V116-U116),[5]skilldef!$A:$B,2,FALSE),"-")</f>
        <v>- / -</v>
      </c>
      <c r="Z116" s="50"/>
      <c r="AA116" s="52"/>
      <c r="AB116" s="50"/>
    </row>
    <row r="117" spans="1:28" ht="40" customHeight="1" x14ac:dyDescent="0.15">
      <c r="A117" s="141">
        <v>47003413</v>
      </c>
      <c r="B117" s="47" t="s">
        <v>405</v>
      </c>
      <c r="C117" s="124">
        <v>3</v>
      </c>
      <c r="D117" s="124" t="s">
        <v>126</v>
      </c>
      <c r="E117" s="51" t="s">
        <v>553</v>
      </c>
      <c r="F117" s="51" t="s">
        <v>459</v>
      </c>
      <c r="G117" s="130" t="str">
        <f t="shared" si="62"/>
        <v>[effect:crash_condition, target:unit_demon, turn:-1, val:-2, animation:crash_panel_reduce04]</v>
      </c>
      <c r="H117" s="64">
        <f t="shared" si="63"/>
        <v>9</v>
      </c>
      <c r="I117" s="64">
        <f t="shared" si="64"/>
        <v>24</v>
      </c>
      <c r="J117" s="64">
        <f t="shared" si="65"/>
        <v>33</v>
      </c>
      <c r="K117" s="64">
        <f t="shared" si="66"/>
        <v>43</v>
      </c>
      <c r="L117" s="64" t="str">
        <f>IFERROR(VLOOKUP(MID(G117,J117,K117-J117),[5]skilldef!$C:$D,2,FALSE),"-") &amp; " / " &amp; IFERROR(VLOOKUP(MID(G117,H117,I117-H117),[5]skilldef!$A:$B,2,FALSE),"-")</f>
        <v>- / -</v>
      </c>
      <c r="M117" s="64" t="str">
        <f t="shared" si="67"/>
        <v>none</v>
      </c>
      <c r="N117" s="48" t="str">
        <f>IFERROR(LEFT(M117,FIND("],",M117)+S146),M117)</f>
        <v>none</v>
      </c>
      <c r="O117" s="64" t="e">
        <f t="shared" si="68"/>
        <v>#VALUE!</v>
      </c>
      <c r="P117" s="64">
        <f t="shared" si="69"/>
        <v>4</v>
      </c>
      <c r="Q117" s="64" t="e">
        <f t="shared" si="70"/>
        <v>#VALUE!</v>
      </c>
      <c r="R117" s="64" t="e">
        <f t="shared" si="71"/>
        <v>#VALUE!</v>
      </c>
      <c r="S117" s="64" t="str">
        <f>IFERROR(VLOOKUP(MID(N117,Q117,R117-Q117),[5]skilldef!$C:$D,2,FALSE),"-") &amp; " / " &amp; IFERROR(VLOOKUP(MID(N117,O117,P117-O117),[5]skilldef!$A:$B,2,FALSE),"-")</f>
        <v>- / -</v>
      </c>
      <c r="T117" s="48" t="str">
        <f t="shared" si="72"/>
        <v>none</v>
      </c>
      <c r="U117" s="64" t="e">
        <f t="shared" si="73"/>
        <v>#VALUE!</v>
      </c>
      <c r="V117" s="64">
        <f t="shared" si="74"/>
        <v>4</v>
      </c>
      <c r="W117" s="64" t="e">
        <f t="shared" si="75"/>
        <v>#VALUE!</v>
      </c>
      <c r="X117" s="64" t="e">
        <f t="shared" si="76"/>
        <v>#VALUE!</v>
      </c>
      <c r="Y117" s="64" t="str">
        <f>IFERROR(VLOOKUP(MID(T117,W117,X117-W117),[5]skilldef!$C:$D,2,FALSE),"-") &amp; " / " &amp; IFERROR(VLOOKUP(MID(T117,U117,V117-U117),[5]skilldef!$A:$B,2,FALSE),"-")</f>
        <v>- / -</v>
      </c>
      <c r="Z117" s="50"/>
      <c r="AA117" s="52"/>
      <c r="AB117" s="50"/>
    </row>
    <row r="118" spans="1:28" ht="40" customHeight="1" x14ac:dyDescent="0.15">
      <c r="A118" s="141">
        <v>47003414</v>
      </c>
      <c r="B118" s="47" t="s">
        <v>405</v>
      </c>
      <c r="C118" s="124">
        <v>3</v>
      </c>
      <c r="D118" s="124" t="s">
        <v>126</v>
      </c>
      <c r="E118" s="51" t="s">
        <v>554</v>
      </c>
      <c r="F118" s="51" t="s">
        <v>459</v>
      </c>
      <c r="G118" s="130" t="str">
        <f t="shared" si="62"/>
        <v>[effect:crash_condition, target:unit_demon, turn:-1, val:-2, animation:crash_panel_reduce04]</v>
      </c>
      <c r="H118" s="64">
        <f t="shared" si="63"/>
        <v>9</v>
      </c>
      <c r="I118" s="64">
        <f t="shared" si="64"/>
        <v>24</v>
      </c>
      <c r="J118" s="64">
        <f t="shared" si="65"/>
        <v>33</v>
      </c>
      <c r="K118" s="64">
        <f t="shared" si="66"/>
        <v>43</v>
      </c>
      <c r="L118" s="64" t="str">
        <f>IFERROR(VLOOKUP(MID(G118,J118,K118-J118),[5]skilldef!$C:$D,2,FALSE),"-") &amp; " / " &amp; IFERROR(VLOOKUP(MID(G118,H118,I118-H118),[5]skilldef!$A:$B,2,FALSE),"-")</f>
        <v>- / -</v>
      </c>
      <c r="M118" s="64" t="str">
        <f t="shared" si="67"/>
        <v>none</v>
      </c>
      <c r="N118" s="48" t="str">
        <f>IFERROR(LEFT(M118,FIND("],",M118)+S147),M118)</f>
        <v>none</v>
      </c>
      <c r="O118" s="64" t="e">
        <f t="shared" si="68"/>
        <v>#VALUE!</v>
      </c>
      <c r="P118" s="64">
        <f t="shared" si="69"/>
        <v>4</v>
      </c>
      <c r="Q118" s="64" t="e">
        <f t="shared" si="70"/>
        <v>#VALUE!</v>
      </c>
      <c r="R118" s="64" t="e">
        <f t="shared" si="71"/>
        <v>#VALUE!</v>
      </c>
      <c r="S118" s="64" t="str">
        <f>IFERROR(VLOOKUP(MID(N118,Q118,R118-Q118),[5]skilldef!$C:$D,2,FALSE),"-") &amp; " / " &amp; IFERROR(VLOOKUP(MID(N118,O118,P118-O118),[5]skilldef!$A:$B,2,FALSE),"-")</f>
        <v>- / -</v>
      </c>
      <c r="T118" s="48" t="str">
        <f t="shared" si="72"/>
        <v>none</v>
      </c>
      <c r="U118" s="64" t="e">
        <f t="shared" si="73"/>
        <v>#VALUE!</v>
      </c>
      <c r="V118" s="64">
        <f t="shared" si="74"/>
        <v>4</v>
      </c>
      <c r="W118" s="64" t="e">
        <f t="shared" si="75"/>
        <v>#VALUE!</v>
      </c>
      <c r="X118" s="64" t="e">
        <f t="shared" si="76"/>
        <v>#VALUE!</v>
      </c>
      <c r="Y118" s="64" t="str">
        <f>IFERROR(VLOOKUP(MID(T118,W118,X118-W118),[5]skilldef!$C:$D,2,FALSE),"-") &amp; " / " &amp; IFERROR(VLOOKUP(MID(T118,U118,V118-U118),[5]skilldef!$A:$B,2,FALSE),"-")</f>
        <v>- / -</v>
      </c>
      <c r="Z118" s="50"/>
      <c r="AA118" s="52"/>
      <c r="AB118" s="50"/>
    </row>
    <row r="119" spans="1:28" ht="40" customHeight="1" x14ac:dyDescent="0.15">
      <c r="A119" s="141">
        <v>47003421</v>
      </c>
      <c r="B119" s="137" t="s">
        <v>449</v>
      </c>
      <c r="C119" s="46">
        <v>3</v>
      </c>
      <c r="D119" s="46" t="s">
        <v>126</v>
      </c>
      <c r="E119" s="51" t="s">
        <v>555</v>
      </c>
      <c r="F119" s="143" t="s">
        <v>451</v>
      </c>
      <c r="G119" s="130" t="str">
        <f t="shared" si="62"/>
        <v>[effect:change_bomb_range, target:unit_demon, val:1.15, rate:1, turn:-1, animation:bomb_big]</v>
      </c>
      <c r="H119" s="64">
        <f t="shared" si="63"/>
        <v>9</v>
      </c>
      <c r="I119" s="64">
        <f t="shared" si="64"/>
        <v>26</v>
      </c>
      <c r="J119" s="64">
        <f t="shared" si="65"/>
        <v>35</v>
      </c>
      <c r="K119" s="64">
        <f t="shared" si="66"/>
        <v>45</v>
      </c>
      <c r="L119" s="64" t="str">
        <f>IFERROR(VLOOKUP(MID(G119,J119,K119-J119),[5]skilldef!$C:$D,2,FALSE),"-") &amp; " / " &amp; IFERROR(VLOOKUP(MID(G119,H119,I119-H119),[5]skilldef!$A:$B,2,FALSE),"-")</f>
        <v>- / -</v>
      </c>
      <c r="M119" s="64" t="str">
        <f t="shared" si="67"/>
        <v>none</v>
      </c>
      <c r="N119" s="48" t="str">
        <f>IFERROR(LEFT(M119,FIND("],",M119)+S144),M119)</f>
        <v>none</v>
      </c>
      <c r="O119" s="64" t="e">
        <f t="shared" si="68"/>
        <v>#VALUE!</v>
      </c>
      <c r="P119" s="64">
        <f t="shared" si="69"/>
        <v>4</v>
      </c>
      <c r="Q119" s="64" t="e">
        <f t="shared" si="70"/>
        <v>#VALUE!</v>
      </c>
      <c r="R119" s="64" t="e">
        <f t="shared" si="71"/>
        <v>#VALUE!</v>
      </c>
      <c r="S119" s="64" t="str">
        <f>IFERROR(VLOOKUP(MID(N119,Q119,R119-Q119),[5]skilldef!$C:$D,2,FALSE),"-") &amp; " / " &amp; IFERROR(VLOOKUP(MID(N119,O119,P119-O119),[5]skilldef!$A:$B,2,FALSE),"-")</f>
        <v>- / -</v>
      </c>
      <c r="T119" s="48" t="str">
        <f t="shared" si="72"/>
        <v>none</v>
      </c>
      <c r="U119" s="64" t="e">
        <f t="shared" si="73"/>
        <v>#VALUE!</v>
      </c>
      <c r="V119" s="64">
        <f t="shared" si="74"/>
        <v>4</v>
      </c>
      <c r="W119" s="64" t="e">
        <f t="shared" si="75"/>
        <v>#VALUE!</v>
      </c>
      <c r="X119" s="64" t="e">
        <f t="shared" si="76"/>
        <v>#VALUE!</v>
      </c>
      <c r="Y119" s="64" t="str">
        <f>IFERROR(VLOOKUP(MID(T119,W119,X119-W119),[5]skilldef!$C:$D,2,FALSE),"-") &amp; " / " &amp; IFERROR(VLOOKUP(MID(T119,U119,V119-U119),[5]skilldef!$A:$B,2,FALSE),"-")</f>
        <v>- / -</v>
      </c>
      <c r="Z119" s="50"/>
      <c r="AA119" s="52"/>
      <c r="AB119" s="50"/>
    </row>
    <row r="120" spans="1:28" ht="40" customHeight="1" x14ac:dyDescent="0.15">
      <c r="A120" s="141">
        <v>47003423</v>
      </c>
      <c r="B120" s="47" t="s">
        <v>406</v>
      </c>
      <c r="C120" s="46">
        <v>3</v>
      </c>
      <c r="D120" s="46" t="s">
        <v>126</v>
      </c>
      <c r="E120" s="51" t="s">
        <v>556</v>
      </c>
      <c r="F120" s="51" t="s">
        <v>293</v>
      </c>
      <c r="G120" s="130" t="str">
        <f t="shared" si="62"/>
        <v>[effect:change_bomb_range, target:unit_demon, val:1.2, rate:1, turn:-1, animation:bomb_big]</v>
      </c>
      <c r="H120" s="64">
        <f t="shared" si="63"/>
        <v>9</v>
      </c>
      <c r="I120" s="64">
        <f t="shared" si="64"/>
        <v>26</v>
      </c>
      <c r="J120" s="64">
        <f t="shared" si="65"/>
        <v>35</v>
      </c>
      <c r="K120" s="64">
        <f t="shared" si="66"/>
        <v>45</v>
      </c>
      <c r="L120" s="64" t="str">
        <f>IFERROR(VLOOKUP(MID(G120,J120,K120-J120),[5]skilldef!$C:$D,2,FALSE),"-") &amp; " / " &amp; IFERROR(VLOOKUP(MID(G120,H120,I120-H120),[5]skilldef!$A:$B,2,FALSE),"-")</f>
        <v>- / -</v>
      </c>
      <c r="M120" s="64" t="str">
        <f t="shared" si="67"/>
        <v>none</v>
      </c>
      <c r="N120" s="48" t="str">
        <f>IFERROR(LEFT(M120,FIND("],",M120)+S147),M120)</f>
        <v>none</v>
      </c>
      <c r="O120" s="64" t="e">
        <f t="shared" si="68"/>
        <v>#VALUE!</v>
      </c>
      <c r="P120" s="64">
        <f t="shared" si="69"/>
        <v>4</v>
      </c>
      <c r="Q120" s="64" t="e">
        <f t="shared" si="70"/>
        <v>#VALUE!</v>
      </c>
      <c r="R120" s="64" t="e">
        <f t="shared" si="71"/>
        <v>#VALUE!</v>
      </c>
      <c r="S120" s="64" t="str">
        <f>IFERROR(VLOOKUP(MID(N120,Q120,R120-Q120),[5]skilldef!$C:$D,2,FALSE),"-") &amp; " / " &amp; IFERROR(VLOOKUP(MID(N120,O120,P120-O120),[5]skilldef!$A:$B,2,FALSE),"-")</f>
        <v>- / -</v>
      </c>
      <c r="T120" s="48" t="str">
        <f t="shared" si="72"/>
        <v>none</v>
      </c>
      <c r="U120" s="64" t="e">
        <f t="shared" si="73"/>
        <v>#VALUE!</v>
      </c>
      <c r="V120" s="64">
        <f t="shared" si="74"/>
        <v>4</v>
      </c>
      <c r="W120" s="64" t="e">
        <f t="shared" si="75"/>
        <v>#VALUE!</v>
      </c>
      <c r="X120" s="64" t="e">
        <f t="shared" si="76"/>
        <v>#VALUE!</v>
      </c>
      <c r="Y120" s="64" t="str">
        <f>IFERROR(VLOOKUP(MID(T120,W120,X120-W120),[5]skilldef!$C:$D,2,FALSE),"-") &amp; " / " &amp; IFERROR(VLOOKUP(MID(T120,U120,V120-U120),[5]skilldef!$A:$B,2,FALSE),"-")</f>
        <v>- / -</v>
      </c>
      <c r="Z120" s="50"/>
      <c r="AA120" s="52"/>
      <c r="AB120" s="50"/>
    </row>
    <row r="121" spans="1:28" ht="40" customHeight="1" x14ac:dyDescent="0.15">
      <c r="A121" s="141">
        <v>47003424</v>
      </c>
      <c r="B121" s="47" t="s">
        <v>406</v>
      </c>
      <c r="C121" s="46">
        <v>3</v>
      </c>
      <c r="D121" s="46" t="s">
        <v>126</v>
      </c>
      <c r="E121" s="51" t="s">
        <v>557</v>
      </c>
      <c r="F121" s="51" t="s">
        <v>293</v>
      </c>
      <c r="G121" s="130" t="str">
        <f t="shared" si="62"/>
        <v>[effect:change_bomb_range, target:unit_demon, val:1.2, rate:1, turn:-1, animation:bomb_big]</v>
      </c>
      <c r="H121" s="64">
        <f t="shared" si="63"/>
        <v>9</v>
      </c>
      <c r="I121" s="64">
        <f t="shared" si="64"/>
        <v>26</v>
      </c>
      <c r="J121" s="64">
        <f t="shared" si="65"/>
        <v>35</v>
      </c>
      <c r="K121" s="64">
        <f t="shared" si="66"/>
        <v>45</v>
      </c>
      <c r="L121" s="64" t="str">
        <f>IFERROR(VLOOKUP(MID(G121,J121,K121-J121),[5]skilldef!$C:$D,2,FALSE),"-") &amp; " / " &amp; IFERROR(VLOOKUP(MID(G121,H121,I121-H121),[5]skilldef!$A:$B,2,FALSE),"-")</f>
        <v>- / -</v>
      </c>
      <c r="M121" s="64" t="str">
        <f t="shared" si="67"/>
        <v>none</v>
      </c>
      <c r="N121" s="48" t="str">
        <f>IFERROR(LEFT(M121,FIND("],",M121)+S149),M121)</f>
        <v>none</v>
      </c>
      <c r="O121" s="64" t="e">
        <f t="shared" si="68"/>
        <v>#VALUE!</v>
      </c>
      <c r="P121" s="64">
        <f t="shared" si="69"/>
        <v>4</v>
      </c>
      <c r="Q121" s="64" t="e">
        <f t="shared" si="70"/>
        <v>#VALUE!</v>
      </c>
      <c r="R121" s="64" t="e">
        <f t="shared" si="71"/>
        <v>#VALUE!</v>
      </c>
      <c r="S121" s="64" t="str">
        <f>IFERROR(VLOOKUP(MID(N121,Q121,R121-Q121),[5]skilldef!$C:$D,2,FALSE),"-") &amp; " / " &amp; IFERROR(VLOOKUP(MID(N121,O121,P121-O121),[5]skilldef!$A:$B,2,FALSE),"-")</f>
        <v>- / -</v>
      </c>
      <c r="T121" s="48" t="str">
        <f t="shared" si="72"/>
        <v>none</v>
      </c>
      <c r="U121" s="64" t="e">
        <f t="shared" si="73"/>
        <v>#VALUE!</v>
      </c>
      <c r="V121" s="64">
        <f t="shared" si="74"/>
        <v>4</v>
      </c>
      <c r="W121" s="64" t="e">
        <f t="shared" si="75"/>
        <v>#VALUE!</v>
      </c>
      <c r="X121" s="64" t="e">
        <f t="shared" si="76"/>
        <v>#VALUE!</v>
      </c>
      <c r="Y121" s="64" t="str">
        <f>IFERROR(VLOOKUP(MID(T121,W121,X121-W121),[5]skilldef!$C:$D,2,FALSE),"-") &amp; " / " &amp; IFERROR(VLOOKUP(MID(T121,U121,V121-U121),[5]skilldef!$A:$B,2,FALSE),"-")</f>
        <v>- / -</v>
      </c>
      <c r="Z121" s="50"/>
      <c r="AA121" s="52"/>
      <c r="AB121" s="50"/>
    </row>
    <row r="122" spans="1:28" ht="40" customHeight="1" x14ac:dyDescent="0.15">
      <c r="A122" s="141">
        <v>47003431</v>
      </c>
      <c r="B122" s="137" t="s">
        <v>452</v>
      </c>
      <c r="C122" s="125">
        <v>3</v>
      </c>
      <c r="D122" s="125" t="s">
        <v>126</v>
      </c>
      <c r="E122" s="51" t="s">
        <v>462</v>
      </c>
      <c r="F122" s="143" t="s">
        <v>607</v>
      </c>
      <c r="G122" s="130" t="str">
        <f t="shared" si="62"/>
        <v>[effect:sp_boost, target:unit_demon, val:6, animation:sp_boost_one03]</v>
      </c>
      <c r="H122" s="64">
        <f t="shared" si="63"/>
        <v>9</v>
      </c>
      <c r="I122" s="64">
        <f t="shared" si="64"/>
        <v>17</v>
      </c>
      <c r="J122" s="64">
        <f t="shared" si="65"/>
        <v>26</v>
      </c>
      <c r="K122" s="64">
        <f t="shared" si="66"/>
        <v>36</v>
      </c>
      <c r="L122" s="64" t="str">
        <f>IFERROR(VLOOKUP(MID(G122,J122,K122-J122),[5]skilldef!$C:$D,2,FALSE),"-") &amp; " / " &amp; IFERROR(VLOOKUP(MID(G122,H122,I122-H122),[5]skilldef!$A:$B,2,FALSE),"-")</f>
        <v>- / -</v>
      </c>
      <c r="M122" s="64" t="str">
        <f t="shared" si="67"/>
        <v>none</v>
      </c>
      <c r="N122" s="48" t="str">
        <f>IFERROR(LEFT(M122,FIND("],",M122)+#REF!),M122)</f>
        <v>none</v>
      </c>
      <c r="O122" s="64" t="e">
        <f t="shared" si="68"/>
        <v>#VALUE!</v>
      </c>
      <c r="P122" s="64">
        <f t="shared" si="69"/>
        <v>4</v>
      </c>
      <c r="Q122" s="64" t="e">
        <f t="shared" si="70"/>
        <v>#VALUE!</v>
      </c>
      <c r="R122" s="64" t="e">
        <f t="shared" si="71"/>
        <v>#VALUE!</v>
      </c>
      <c r="S122" s="64" t="str">
        <f>IFERROR(VLOOKUP(MID(N122,Q122,R122-Q122),[5]skilldef!$C:$D,2,FALSE),"-") &amp; " / " &amp; IFERROR(VLOOKUP(MID(N122,O122,P122-O122),[5]skilldef!$A:$B,2,FALSE),"-")</f>
        <v>- / -</v>
      </c>
      <c r="T122" s="48" t="str">
        <f t="shared" si="72"/>
        <v>none</v>
      </c>
      <c r="U122" s="64" t="e">
        <f t="shared" si="73"/>
        <v>#VALUE!</v>
      </c>
      <c r="V122" s="64">
        <f t="shared" si="74"/>
        <v>4</v>
      </c>
      <c r="W122" s="64" t="e">
        <f t="shared" si="75"/>
        <v>#VALUE!</v>
      </c>
      <c r="X122" s="64" t="e">
        <f t="shared" si="76"/>
        <v>#VALUE!</v>
      </c>
      <c r="Y122" s="64" t="str">
        <f>IFERROR(VLOOKUP(MID(T122,W122,X122-W122),[5]skilldef!$C:$D,2,FALSE),"-") &amp; " / " &amp; IFERROR(VLOOKUP(MID(T122,U122,V122-U122),[5]skilldef!$A:$B,2,FALSE),"-")</f>
        <v>- / -</v>
      </c>
      <c r="Z122" s="50"/>
      <c r="AA122" s="52"/>
      <c r="AB122" s="50"/>
    </row>
    <row r="123" spans="1:28" ht="40" customHeight="1" x14ac:dyDescent="0.15">
      <c r="A123" s="141">
        <v>47003432</v>
      </c>
      <c r="B123" s="47" t="s">
        <v>407</v>
      </c>
      <c r="C123" s="125">
        <v>3</v>
      </c>
      <c r="D123" s="125" t="s">
        <v>126</v>
      </c>
      <c r="E123" s="51" t="s">
        <v>295</v>
      </c>
      <c r="F123" s="51" t="s">
        <v>608</v>
      </c>
      <c r="G123" s="130" t="str">
        <f t="shared" si="62"/>
        <v>[effect:enemy_message, val1:1.5, val2:1.8]</v>
      </c>
      <c r="H123" s="64">
        <f t="shared" si="63"/>
        <v>9</v>
      </c>
      <c r="I123" s="64">
        <f t="shared" si="64"/>
        <v>22</v>
      </c>
      <c r="J123" s="64" t="e">
        <f t="shared" si="65"/>
        <v>#VALUE!</v>
      </c>
      <c r="K123" s="64">
        <f t="shared" si="66"/>
        <v>32</v>
      </c>
      <c r="L123" s="64" t="str">
        <f>IFERROR(VLOOKUP(MID(G123,J123,K123-J123),[5]skilldef!$C:$D,2,FALSE),"-") &amp; " / " &amp; IFERROR(VLOOKUP(MID(G123,H123,I123-H123),[5]skilldef!$A:$B,2,FALSE),"-")</f>
        <v>- / -</v>
      </c>
      <c r="M123" s="64" t="str">
        <f t="shared" si="67"/>
        <v>[effect:sp_boost, target:unit_all, val:6, animation:sp_boost_one03]</v>
      </c>
      <c r="N123" s="48" t="str">
        <f>IFERROR(LEFT(M123,FIND("],",M123)+#REF!),M123)</f>
        <v>[effect:sp_boost, target:unit_all, val:6, animation:sp_boost_one03]</v>
      </c>
      <c r="O123" s="64">
        <f t="shared" si="68"/>
        <v>9</v>
      </c>
      <c r="P123" s="64">
        <f t="shared" si="69"/>
        <v>17</v>
      </c>
      <c r="Q123" s="64">
        <f t="shared" si="70"/>
        <v>26</v>
      </c>
      <c r="R123" s="64">
        <f t="shared" si="71"/>
        <v>34</v>
      </c>
      <c r="S123" s="64" t="str">
        <f>IFERROR(VLOOKUP(MID(N123,Q123,R123-Q123),[5]skilldef!$C:$D,2,FALSE),"-") &amp; " / " &amp; IFERROR(VLOOKUP(MID(N123,O123,P123-O123),[5]skilldef!$A:$B,2,FALSE),"-")</f>
        <v>味方全体に / -</v>
      </c>
      <c r="T123" s="48" t="str">
        <f t="shared" si="72"/>
        <v>none</v>
      </c>
      <c r="U123" s="64" t="e">
        <f t="shared" si="73"/>
        <v>#VALUE!</v>
      </c>
      <c r="V123" s="64">
        <f t="shared" si="74"/>
        <v>4</v>
      </c>
      <c r="W123" s="64" t="e">
        <f t="shared" si="75"/>
        <v>#VALUE!</v>
      </c>
      <c r="X123" s="64" t="e">
        <f t="shared" si="76"/>
        <v>#VALUE!</v>
      </c>
      <c r="Y123" s="64" t="str">
        <f>IFERROR(VLOOKUP(MID(T123,W123,X123-W123),[5]skilldef!$C:$D,2,FALSE),"-") &amp; " / " &amp; IFERROR(VLOOKUP(MID(T123,U123,V123-U123),[5]skilldef!$A:$B,2,FALSE),"-")</f>
        <v>- / -</v>
      </c>
      <c r="Z123" s="50"/>
      <c r="AA123" s="52"/>
      <c r="AB123" s="50"/>
    </row>
    <row r="124" spans="1:28" ht="40" customHeight="1" x14ac:dyDescent="0.15">
      <c r="A124" s="141">
        <v>47003451</v>
      </c>
      <c r="B124" s="137" t="s">
        <v>411</v>
      </c>
      <c r="C124" s="50">
        <v>3</v>
      </c>
      <c r="D124" s="50" t="s">
        <v>126</v>
      </c>
      <c r="E124" s="51" t="s">
        <v>296</v>
      </c>
      <c r="F124" s="51" t="s">
        <v>297</v>
      </c>
      <c r="G124" s="130" t="str">
        <f t="shared" si="62"/>
        <v>[effect:enemy_message, val1:1.0, val2:1.8]</v>
      </c>
      <c r="H124" s="64">
        <f t="shared" si="63"/>
        <v>9</v>
      </c>
      <c r="I124" s="64">
        <f t="shared" si="64"/>
        <v>22</v>
      </c>
      <c r="J124" s="64" t="e">
        <f t="shared" si="65"/>
        <v>#VALUE!</v>
      </c>
      <c r="K124" s="64">
        <f t="shared" si="66"/>
        <v>32</v>
      </c>
      <c r="L124" s="64" t="str">
        <f>IFERROR(VLOOKUP(MID(G124,J124,K124-J124),[5]skilldef!$C:$D,2,FALSE),"-") &amp; " / " &amp; IFERROR(VLOOKUP(MID(G124,H124,I124-H124),[5]skilldef!$A:$B,2,FALSE),"-")</f>
        <v>- / -</v>
      </c>
      <c r="M124" s="64" t="str">
        <f t="shared" si="67"/>
        <v>[effect:fix_speed, target:myself, turn:1]</v>
      </c>
      <c r="N124" s="48" t="str">
        <f>IFERROR(LEFT(M124,FIND("],",M124)+#REF!),M124)</f>
        <v>[effect:fix_speed, target:myself, turn:1]</v>
      </c>
      <c r="O124" s="64">
        <f t="shared" si="68"/>
        <v>9</v>
      </c>
      <c r="P124" s="64">
        <f t="shared" si="69"/>
        <v>18</v>
      </c>
      <c r="Q124" s="64">
        <f t="shared" si="70"/>
        <v>27</v>
      </c>
      <c r="R124" s="64">
        <f t="shared" si="71"/>
        <v>33</v>
      </c>
      <c r="S124" s="64" t="str">
        <f>IFERROR(VLOOKUP(MID(N124,Q124,R124-Q124),[5]skilldef!$C:$D,2,FALSE),"-") &amp; " / " &amp; IFERROR(VLOOKUP(MID(N124,O124,P124-O124),[5]skilldef!$A:$B,2,FALSE),"-")</f>
        <v>自分自身に / 行動値設定</v>
      </c>
      <c r="T124" s="48" t="str">
        <f t="shared" si="72"/>
        <v>none</v>
      </c>
      <c r="U124" s="64" t="e">
        <f t="shared" si="73"/>
        <v>#VALUE!</v>
      </c>
      <c r="V124" s="64">
        <f t="shared" si="74"/>
        <v>4</v>
      </c>
      <c r="W124" s="64" t="e">
        <f t="shared" si="75"/>
        <v>#VALUE!</v>
      </c>
      <c r="X124" s="64" t="e">
        <f t="shared" si="76"/>
        <v>#VALUE!</v>
      </c>
      <c r="Y124" s="64" t="str">
        <f>IFERROR(VLOOKUP(MID(T124,W124,X124-W124),[5]skilldef!$C:$D,2,FALSE),"-") &amp; " / " &amp; IFERROR(VLOOKUP(MID(T124,U124,V124-U124),[5]skilldef!$A:$B,2,FALSE),"-")</f>
        <v>- / -</v>
      </c>
      <c r="Z124" s="50"/>
      <c r="AA124" s="52"/>
      <c r="AB124" s="50"/>
    </row>
    <row r="125" spans="1:28" ht="40" customHeight="1" x14ac:dyDescent="0.15">
      <c r="A125" s="141">
        <v>47003453</v>
      </c>
      <c r="B125" s="47" t="s">
        <v>279</v>
      </c>
      <c r="C125" s="50">
        <v>3</v>
      </c>
      <c r="D125" s="50" t="s">
        <v>126</v>
      </c>
      <c r="E125" s="51" t="s">
        <v>300</v>
      </c>
      <c r="F125" s="51" t="s">
        <v>301</v>
      </c>
      <c r="G125" s="130" t="str">
        <f t="shared" si="62"/>
        <v>[effect:rush, count:3, val:0.4]</v>
      </c>
      <c r="H125" s="64">
        <f t="shared" si="63"/>
        <v>9</v>
      </c>
      <c r="I125" s="64">
        <f t="shared" si="64"/>
        <v>13</v>
      </c>
      <c r="J125" s="64" t="e">
        <f t="shared" si="65"/>
        <v>#VALUE!</v>
      </c>
      <c r="K125" s="64">
        <f t="shared" si="66"/>
        <v>22</v>
      </c>
      <c r="L125" s="64" t="str">
        <f>IFERROR(VLOOKUP(MID(G125,J125,K125-J125),[5]skilldef!$C:$D,2,FALSE),"-") &amp; " / " &amp; IFERROR(VLOOKUP(MID(G125,H125,I125-H125),[5]skilldef!$A:$B,2,FALSE),"-")</f>
        <v>- / 連続攻撃</v>
      </c>
      <c r="M125" s="64" t="str">
        <f t="shared" si="67"/>
        <v>none</v>
      </c>
      <c r="N125" s="48" t="str">
        <f>IFERROR(LEFT(M125,FIND("],",M125)+#REF!),M125)</f>
        <v>none</v>
      </c>
      <c r="O125" s="64" t="e">
        <f t="shared" si="68"/>
        <v>#VALUE!</v>
      </c>
      <c r="P125" s="64">
        <f t="shared" si="69"/>
        <v>4</v>
      </c>
      <c r="Q125" s="64" t="e">
        <f t="shared" si="70"/>
        <v>#VALUE!</v>
      </c>
      <c r="R125" s="64" t="e">
        <f t="shared" si="71"/>
        <v>#VALUE!</v>
      </c>
      <c r="S125" s="64" t="str">
        <f>IFERROR(VLOOKUP(MID(N125,Q125,R125-Q125),[5]skilldef!$C:$D,2,FALSE),"-") &amp; " / " &amp; IFERROR(VLOOKUP(MID(N125,O125,P125-O125),[5]skilldef!$A:$B,2,FALSE),"-")</f>
        <v>- / -</v>
      </c>
      <c r="T125" s="48" t="str">
        <f t="shared" si="72"/>
        <v>none</v>
      </c>
      <c r="U125" s="64" t="e">
        <f t="shared" si="73"/>
        <v>#VALUE!</v>
      </c>
      <c r="V125" s="64">
        <f t="shared" si="74"/>
        <v>4</v>
      </c>
      <c r="W125" s="64" t="e">
        <f t="shared" si="75"/>
        <v>#VALUE!</v>
      </c>
      <c r="X125" s="64" t="e">
        <f t="shared" si="76"/>
        <v>#VALUE!</v>
      </c>
      <c r="Y125" s="64" t="str">
        <f>IFERROR(VLOOKUP(MID(T125,W125,X125-W125),[5]skilldef!$C:$D,2,FALSE),"-") &amp; " / " &amp; IFERROR(VLOOKUP(MID(T125,U125,V125-U125),[5]skilldef!$A:$B,2,FALSE),"-")</f>
        <v>- / -</v>
      </c>
      <c r="Z125" s="50"/>
      <c r="AA125" s="52"/>
      <c r="AB125" s="50"/>
    </row>
    <row r="126" spans="1:28" ht="40" customHeight="1" x14ac:dyDescent="0.15">
      <c r="A126" s="141">
        <v>47003454</v>
      </c>
      <c r="B126" s="137" t="s">
        <v>410</v>
      </c>
      <c r="C126" s="50">
        <v>3</v>
      </c>
      <c r="D126" s="50" t="s">
        <v>126</v>
      </c>
      <c r="E126" s="51" t="s">
        <v>402</v>
      </c>
      <c r="F126" s="143" t="s">
        <v>339</v>
      </c>
      <c r="G126" s="130" t="str">
        <f t="shared" si="62"/>
        <v>[effect:enemy_message, val1:1.3, val2:1.8]</v>
      </c>
      <c r="H126" s="64">
        <f t="shared" si="63"/>
        <v>9</v>
      </c>
      <c r="I126" s="64">
        <f t="shared" si="64"/>
        <v>22</v>
      </c>
      <c r="J126" s="64" t="e">
        <f t="shared" si="65"/>
        <v>#VALUE!</v>
      </c>
      <c r="K126" s="64">
        <f t="shared" si="66"/>
        <v>32</v>
      </c>
      <c r="L126" s="64" t="str">
        <f>IFERROR(VLOOKUP(MID(G126,J126,K126-J126),[5]skilldef!$C:$D,2,FALSE),"-") &amp; " / " &amp; IFERROR(VLOOKUP(MID(G126,H126,I126-H126),[5]skilldef!$A:$B,2,FALSE),"-")</f>
        <v>- / -</v>
      </c>
      <c r="M126" s="64" t="str">
        <f t="shared" si="67"/>
        <v>[effect:break_attack_fix, target:unit_one, val:150, lowest_val:5000, count:-1, color:yellow, block01:block_yellow],[effect:suicide, target:myself, val:1, dead_type:escape]</v>
      </c>
      <c r="N126" s="48" t="str">
        <f>IFERROR(LEFT(M126,FIND("],",M126)+#REF!),M126)</f>
        <v>[effect:break_attack_fix, target:unit_one, val:150, lowest_val:5000, count:-1, color:yellow, block01:block_yellow],[effect:suicide, target:myself, val:1, dead_type:escape]</v>
      </c>
      <c r="O126" s="64">
        <f t="shared" si="68"/>
        <v>9</v>
      </c>
      <c r="P126" s="64">
        <f t="shared" si="69"/>
        <v>25</v>
      </c>
      <c r="Q126" s="64">
        <f t="shared" si="70"/>
        <v>34</v>
      </c>
      <c r="R126" s="64">
        <f t="shared" si="71"/>
        <v>42</v>
      </c>
      <c r="S126" s="64" t="str">
        <f>IFERROR(VLOOKUP(MID(N126,Q126,R126-Q126),[5]skilldef!$C:$D,2,FALSE),"-") &amp; " / " &amp; IFERROR(VLOOKUP(MID(N126,O126,P126-O126),[5]skilldef!$A:$B,2,FALSE),"-")</f>
        <v>味方単体に / -</v>
      </c>
      <c r="T126" s="48" t="str">
        <f t="shared" si="72"/>
        <v>[effect:suicide, target:myself, val:1, dead_type:escape]</v>
      </c>
      <c r="U126" s="64">
        <f t="shared" si="73"/>
        <v>9</v>
      </c>
      <c r="V126" s="64">
        <f t="shared" si="74"/>
        <v>16</v>
      </c>
      <c r="W126" s="64">
        <f t="shared" si="75"/>
        <v>25</v>
      </c>
      <c r="X126" s="64">
        <f t="shared" si="76"/>
        <v>31</v>
      </c>
      <c r="Y126" s="64" t="str">
        <f>IFERROR(VLOOKUP(MID(T126,W126,X126-W126),[5]skilldef!$C:$D,2,FALSE),"-") &amp; " / " &amp; IFERROR(VLOOKUP(MID(T126,U126,V126-U126),[5]skilldef!$A:$B,2,FALSE),"-")</f>
        <v>自分自身に / -</v>
      </c>
      <c r="Z126" s="50"/>
      <c r="AA126" s="52"/>
      <c r="AB126" s="50"/>
    </row>
    <row r="127" spans="1:28" ht="40" customHeight="1" x14ac:dyDescent="0.15">
      <c r="A127" s="141">
        <v>47003455</v>
      </c>
      <c r="B127" s="47" t="s">
        <v>525</v>
      </c>
      <c r="C127" s="50">
        <v>3</v>
      </c>
      <c r="D127" s="50" t="s">
        <v>126</v>
      </c>
      <c r="E127" s="51" t="s">
        <v>302</v>
      </c>
      <c r="F127" s="51" t="s">
        <v>474</v>
      </c>
      <c r="G127" s="130" t="str">
        <f t="shared" si="62"/>
        <v>[effect:enemy_message, val1:2.0, val2:1.8]</v>
      </c>
      <c r="H127" s="64">
        <f t="shared" si="63"/>
        <v>9</v>
      </c>
      <c r="I127" s="64">
        <f t="shared" si="64"/>
        <v>22</v>
      </c>
      <c r="J127" s="64" t="e">
        <f t="shared" si="65"/>
        <v>#VALUE!</v>
      </c>
      <c r="K127" s="64">
        <f t="shared" si="66"/>
        <v>32</v>
      </c>
      <c r="L127" s="64" t="str">
        <f>IFERROR(VLOOKUP(MID(G127,J127,K127-J127),[5]skilldef!$C:$D,2,FALSE),"-") &amp; " / " &amp; IFERROR(VLOOKUP(MID(G127,H127,I127-H127),[5]skilldef!$A:$B,2,FALSE),"-")</f>
        <v>- / -</v>
      </c>
      <c r="M127" s="64" t="str">
        <f t="shared" si="67"/>
        <v>[effect:change_panel_ratio, turn:-1, block_type:yellow, val:0, animation:block_incidence04],[effect:fix_speed, target:myself, turn:1]</v>
      </c>
      <c r="N127" s="48" t="str">
        <f>IFERROR(LEFT(M127,FIND("],",M127)+#REF!),M127)</f>
        <v>[effect:change_panel_ratio, turn:-1, block_type:yellow, val:0, animation:block_incidence04],[effect:fix_speed, target:myself, turn:1]</v>
      </c>
      <c r="O127" s="64">
        <f t="shared" si="68"/>
        <v>9</v>
      </c>
      <c r="P127" s="64">
        <f t="shared" si="69"/>
        <v>27</v>
      </c>
      <c r="Q127" s="64">
        <f t="shared" si="70"/>
        <v>119</v>
      </c>
      <c r="R127" s="64">
        <f t="shared" si="71"/>
        <v>36</v>
      </c>
      <c r="S127" s="64" t="str">
        <f>IFERROR(VLOOKUP(MID(N127,Q127,R127-Q127),[5]skilldef!$C:$D,2,FALSE),"-") &amp; " / " &amp; IFERROR(VLOOKUP(MID(N127,O127,P127-O127),[5]skilldef!$A:$B,2,FALSE),"-")</f>
        <v>- / -</v>
      </c>
      <c r="T127" s="48" t="str">
        <f t="shared" si="72"/>
        <v>[effect:fix_speed, target:myself, turn:1]</v>
      </c>
      <c r="U127" s="64">
        <f t="shared" si="73"/>
        <v>9</v>
      </c>
      <c r="V127" s="64">
        <f t="shared" si="74"/>
        <v>18</v>
      </c>
      <c r="W127" s="64">
        <f t="shared" si="75"/>
        <v>27</v>
      </c>
      <c r="X127" s="64">
        <f t="shared" si="76"/>
        <v>33</v>
      </c>
      <c r="Y127" s="64" t="str">
        <f>IFERROR(VLOOKUP(MID(T127,W127,X127-W127),[5]skilldef!$C:$D,2,FALSE),"-") &amp; " / " &amp; IFERROR(VLOOKUP(MID(T127,U127,V127-U127),[5]skilldef!$A:$B,2,FALSE),"-")</f>
        <v>自分自身に / 行動値設定</v>
      </c>
      <c r="Z127" s="50"/>
      <c r="AA127" s="52"/>
      <c r="AB127" s="50"/>
    </row>
    <row r="128" spans="1:28" ht="40" customHeight="1" x14ac:dyDescent="0.15">
      <c r="A128" s="141">
        <v>47003456</v>
      </c>
      <c r="B128" s="47" t="s">
        <v>509</v>
      </c>
      <c r="C128" s="50">
        <v>3</v>
      </c>
      <c r="D128" s="50" t="s">
        <v>126</v>
      </c>
      <c r="E128" s="51" t="s">
        <v>304</v>
      </c>
      <c r="F128" s="51" t="s">
        <v>474</v>
      </c>
      <c r="G128" s="130" t="str">
        <f t="shared" si="62"/>
        <v>[effect:enemy_message, val1:2.0, val2:1.8]</v>
      </c>
      <c r="H128" s="64">
        <f t="shared" si="63"/>
        <v>9</v>
      </c>
      <c r="I128" s="64">
        <f t="shared" si="64"/>
        <v>22</v>
      </c>
      <c r="J128" s="64" t="e">
        <f t="shared" si="65"/>
        <v>#VALUE!</v>
      </c>
      <c r="K128" s="64">
        <f t="shared" si="66"/>
        <v>32</v>
      </c>
      <c r="L128" s="64" t="str">
        <f>IFERROR(VLOOKUP(MID(G128,J128,K128-J128),[5]skilldef!$C:$D,2,FALSE),"-") &amp; " / " &amp; IFERROR(VLOOKUP(MID(G128,H128,I128-H128),[5]skilldef!$A:$B,2,FALSE),"-")</f>
        <v>- / -</v>
      </c>
      <c r="M128" s="64" t="str">
        <f t="shared" si="67"/>
        <v>[effect:change_panel_ratio, turn:-1, block_type:yellow, val:0, animation:block_incidence04],[effect:fix_speed, target:myself, turn:1]</v>
      </c>
      <c r="N128" s="48" t="str">
        <f>IFERROR(LEFT(M128,FIND("],",M128)+#REF!),M128)</f>
        <v>[effect:change_panel_ratio, turn:-1, block_type:yellow, val:0, animation:block_incidence04],[effect:fix_speed, target:myself, turn:1]</v>
      </c>
      <c r="O128" s="64">
        <f t="shared" si="68"/>
        <v>9</v>
      </c>
      <c r="P128" s="64">
        <f t="shared" si="69"/>
        <v>27</v>
      </c>
      <c r="Q128" s="64">
        <f t="shared" si="70"/>
        <v>119</v>
      </c>
      <c r="R128" s="64">
        <f t="shared" si="71"/>
        <v>36</v>
      </c>
      <c r="S128" s="64" t="str">
        <f>IFERROR(VLOOKUP(MID(N128,Q128,R128-Q128),[5]skilldef!$C:$D,2,FALSE),"-") &amp; " / " &amp; IFERROR(VLOOKUP(MID(N128,O128,P128-O128),[5]skilldef!$A:$B,2,FALSE),"-")</f>
        <v>- / -</v>
      </c>
      <c r="T128" s="48" t="str">
        <f t="shared" si="72"/>
        <v>[effect:fix_speed, target:myself, turn:1]</v>
      </c>
      <c r="U128" s="64">
        <f t="shared" si="73"/>
        <v>9</v>
      </c>
      <c r="V128" s="64">
        <f t="shared" si="74"/>
        <v>18</v>
      </c>
      <c r="W128" s="64">
        <f t="shared" si="75"/>
        <v>27</v>
      </c>
      <c r="X128" s="64">
        <f t="shared" si="76"/>
        <v>33</v>
      </c>
      <c r="Y128" s="64" t="str">
        <f>IFERROR(VLOOKUP(MID(T128,W128,X128-W128),[5]skilldef!$C:$D,2,FALSE),"-") &amp; " / " &amp; IFERROR(VLOOKUP(MID(T128,U128,V128-U128),[5]skilldef!$A:$B,2,FALSE),"-")</f>
        <v>自分自身に / 行動値設定</v>
      </c>
      <c r="Z128" s="50"/>
      <c r="AA128" s="52"/>
      <c r="AB128" s="50"/>
    </row>
    <row r="129" spans="1:28" ht="40" customHeight="1" x14ac:dyDescent="0.15">
      <c r="A129" s="141">
        <v>47003457</v>
      </c>
      <c r="B129" s="47" t="s">
        <v>526</v>
      </c>
      <c r="C129" s="50">
        <v>3</v>
      </c>
      <c r="D129" s="50" t="s">
        <v>126</v>
      </c>
      <c r="E129" s="51" t="s">
        <v>305</v>
      </c>
      <c r="F129" s="51" t="s">
        <v>474</v>
      </c>
      <c r="G129" s="130" t="str">
        <f t="shared" si="62"/>
        <v>[effect:enemy_message, val1:2.0, val2:1.8]</v>
      </c>
      <c r="H129" s="64">
        <f t="shared" si="63"/>
        <v>9</v>
      </c>
      <c r="I129" s="64">
        <f t="shared" si="64"/>
        <v>22</v>
      </c>
      <c r="J129" s="64" t="e">
        <f t="shared" si="65"/>
        <v>#VALUE!</v>
      </c>
      <c r="K129" s="64">
        <f t="shared" si="66"/>
        <v>32</v>
      </c>
      <c r="L129" s="64" t="str">
        <f>IFERROR(VLOOKUP(MID(G129,J129,K129-J129),[5]skilldef!$C:$D,2,FALSE),"-") &amp; " / " &amp; IFERROR(VLOOKUP(MID(G129,H129,I129-H129),[5]skilldef!$A:$B,2,FALSE),"-")</f>
        <v>- / -</v>
      </c>
      <c r="M129" s="64" t="str">
        <f t="shared" si="67"/>
        <v>[effect:change_panel_ratio, turn:-1, block_type:yellow, val:0, animation:block_incidence04],[effect:fix_speed, target:myself, turn:1]</v>
      </c>
      <c r="N129" s="48" t="str">
        <f>IFERROR(LEFT(M129,FIND("],",M129)+#REF!),M129)</f>
        <v>[effect:change_panel_ratio, turn:-1, block_type:yellow, val:0, animation:block_incidence04],[effect:fix_speed, target:myself, turn:1]</v>
      </c>
      <c r="O129" s="64">
        <f t="shared" si="68"/>
        <v>9</v>
      </c>
      <c r="P129" s="64">
        <f t="shared" si="69"/>
        <v>27</v>
      </c>
      <c r="Q129" s="64">
        <f t="shared" si="70"/>
        <v>119</v>
      </c>
      <c r="R129" s="64">
        <f t="shared" si="71"/>
        <v>36</v>
      </c>
      <c r="S129" s="64" t="str">
        <f>IFERROR(VLOOKUP(MID(N129,Q129,R129-Q129),[5]skilldef!$C:$D,2,FALSE),"-") &amp; " / " &amp; IFERROR(VLOOKUP(MID(N129,O129,P129-O129),[5]skilldef!$A:$B,2,FALSE),"-")</f>
        <v>- / -</v>
      </c>
      <c r="T129" s="48" t="str">
        <f t="shared" si="72"/>
        <v>[effect:fix_speed, target:myself, turn:1]</v>
      </c>
      <c r="U129" s="64">
        <f t="shared" si="73"/>
        <v>9</v>
      </c>
      <c r="V129" s="64">
        <f t="shared" si="74"/>
        <v>18</v>
      </c>
      <c r="W129" s="64">
        <f t="shared" si="75"/>
        <v>27</v>
      </c>
      <c r="X129" s="64">
        <f t="shared" si="76"/>
        <v>33</v>
      </c>
      <c r="Y129" s="64" t="str">
        <f>IFERROR(VLOOKUP(MID(T129,W129,X129-W129),[5]skilldef!$C:$D,2,FALSE),"-") &amp; " / " &amp; IFERROR(VLOOKUP(MID(T129,U129,V129-U129),[5]skilldef!$A:$B,2,FALSE),"-")</f>
        <v>自分自身に / 行動値設定</v>
      </c>
      <c r="Z129" s="50"/>
      <c r="AA129" s="52"/>
      <c r="AB129" s="50"/>
    </row>
    <row r="130" spans="1:28" ht="40" customHeight="1" x14ac:dyDescent="0.15">
      <c r="A130" s="141">
        <v>47003461</v>
      </c>
      <c r="B130" s="137" t="s">
        <v>527</v>
      </c>
      <c r="C130" s="126">
        <v>3</v>
      </c>
      <c r="D130" s="126" t="s">
        <v>126</v>
      </c>
      <c r="E130" s="51" t="s">
        <v>306</v>
      </c>
      <c r="F130" s="51" t="s">
        <v>307</v>
      </c>
      <c r="G130" s="130" t="str">
        <f t="shared" si="62"/>
        <v>[effect:enemy_message, val1:1.3, val2:1.8]</v>
      </c>
      <c r="H130" s="64">
        <f t="shared" si="63"/>
        <v>9</v>
      </c>
      <c r="I130" s="64">
        <f t="shared" si="64"/>
        <v>22</v>
      </c>
      <c r="J130" s="64" t="e">
        <f t="shared" si="65"/>
        <v>#VALUE!</v>
      </c>
      <c r="K130" s="64">
        <f t="shared" si="66"/>
        <v>32</v>
      </c>
      <c r="L130" s="64" t="str">
        <f>IFERROR(VLOOKUP(MID(G130,J130,K130-J130),[5]skilldef!$C:$D,2,FALSE),"-") &amp; " / " &amp; IFERROR(VLOOKUP(MID(G130,H130,I130-H130),[5]skilldef!$A:$B,2,FALSE),"-")</f>
        <v>- / -</v>
      </c>
      <c r="M130" s="64" t="str">
        <f t="shared" si="67"/>
        <v>[effect:fix_speed, target:myself, turn:2]</v>
      </c>
      <c r="N130" s="48" t="str">
        <f>IFERROR(LEFT(M130,FIND("],",M130)+#REF!),M130)</f>
        <v>[effect:fix_speed, target:myself, turn:2]</v>
      </c>
      <c r="O130" s="64">
        <f t="shared" si="68"/>
        <v>9</v>
      </c>
      <c r="P130" s="64">
        <f t="shared" si="69"/>
        <v>18</v>
      </c>
      <c r="Q130" s="64">
        <f t="shared" si="70"/>
        <v>27</v>
      </c>
      <c r="R130" s="64">
        <f t="shared" si="71"/>
        <v>33</v>
      </c>
      <c r="S130" s="64" t="str">
        <f>IFERROR(VLOOKUP(MID(N130,Q130,R130-Q130),[5]skilldef!$C:$D,2,FALSE),"-") &amp; " / " &amp; IFERROR(VLOOKUP(MID(N130,O130,P130-O130),[5]skilldef!$A:$B,2,FALSE),"-")</f>
        <v>自分自身に / 行動値設定</v>
      </c>
      <c r="T130" s="48" t="str">
        <f t="shared" si="72"/>
        <v>none</v>
      </c>
      <c r="U130" s="64" t="e">
        <f t="shared" si="73"/>
        <v>#VALUE!</v>
      </c>
      <c r="V130" s="64">
        <f t="shared" si="74"/>
        <v>4</v>
      </c>
      <c r="W130" s="64" t="e">
        <f t="shared" si="75"/>
        <v>#VALUE!</v>
      </c>
      <c r="X130" s="64" t="e">
        <f t="shared" si="76"/>
        <v>#VALUE!</v>
      </c>
      <c r="Y130" s="64" t="str">
        <f>IFERROR(VLOOKUP(MID(T130,W130,X130-W130),[5]skilldef!$C:$D,2,FALSE),"-") &amp; " / " &amp; IFERROR(VLOOKUP(MID(T130,U130,V130-U130),[5]skilldef!$A:$B,2,FALSE),"-")</f>
        <v>- / -</v>
      </c>
      <c r="Z130" s="50"/>
      <c r="AA130" s="52"/>
      <c r="AB130" s="50"/>
    </row>
    <row r="131" spans="1:28" ht="40" customHeight="1" x14ac:dyDescent="0.15">
      <c r="A131" s="141">
        <v>47003463</v>
      </c>
      <c r="B131" s="47" t="s">
        <v>286</v>
      </c>
      <c r="C131" s="126">
        <v>3</v>
      </c>
      <c r="D131" s="126" t="s">
        <v>126</v>
      </c>
      <c r="E131" s="51" t="s">
        <v>309</v>
      </c>
      <c r="F131" s="51" t="s">
        <v>301</v>
      </c>
      <c r="G131" s="130" t="str">
        <f t="shared" si="62"/>
        <v>[effect:rush, count:3, val:0.4]</v>
      </c>
      <c r="H131" s="64">
        <f t="shared" si="63"/>
        <v>9</v>
      </c>
      <c r="I131" s="64">
        <f t="shared" si="64"/>
        <v>13</v>
      </c>
      <c r="J131" s="64" t="e">
        <f t="shared" si="65"/>
        <v>#VALUE!</v>
      </c>
      <c r="K131" s="64">
        <f t="shared" si="66"/>
        <v>22</v>
      </c>
      <c r="L131" s="64" t="str">
        <f>IFERROR(VLOOKUP(MID(G131,J131,K131-J131),[5]skilldef!$C:$D,2,FALSE),"-") &amp; " / " &amp; IFERROR(VLOOKUP(MID(G131,H131,I131-H131),[5]skilldef!$A:$B,2,FALSE),"-")</f>
        <v>- / 連続攻撃</v>
      </c>
      <c r="M131" s="64" t="str">
        <f t="shared" si="67"/>
        <v>none</v>
      </c>
      <c r="N131" s="48" t="str">
        <f>IFERROR(LEFT(M131,FIND("],",M131)+#REF!),M131)</f>
        <v>none</v>
      </c>
      <c r="O131" s="64" t="e">
        <f t="shared" si="68"/>
        <v>#VALUE!</v>
      </c>
      <c r="P131" s="64">
        <f t="shared" si="69"/>
        <v>4</v>
      </c>
      <c r="Q131" s="64" t="e">
        <f t="shared" si="70"/>
        <v>#VALUE!</v>
      </c>
      <c r="R131" s="64" t="e">
        <f t="shared" si="71"/>
        <v>#VALUE!</v>
      </c>
      <c r="S131" s="64" t="str">
        <f>IFERROR(VLOOKUP(MID(N131,Q131,R131-Q131),[5]skilldef!$C:$D,2,FALSE),"-") &amp; " / " &amp; IFERROR(VLOOKUP(MID(N131,O131,P131-O131),[5]skilldef!$A:$B,2,FALSE),"-")</f>
        <v>- / -</v>
      </c>
      <c r="T131" s="48" t="str">
        <f t="shared" si="72"/>
        <v>none</v>
      </c>
      <c r="U131" s="64" t="e">
        <f t="shared" si="73"/>
        <v>#VALUE!</v>
      </c>
      <c r="V131" s="64">
        <f t="shared" si="74"/>
        <v>4</v>
      </c>
      <c r="W131" s="64" t="e">
        <f t="shared" si="75"/>
        <v>#VALUE!</v>
      </c>
      <c r="X131" s="64" t="e">
        <f t="shared" si="76"/>
        <v>#VALUE!</v>
      </c>
      <c r="Y131" s="64" t="str">
        <f>IFERROR(VLOOKUP(MID(T131,W131,X131-W131),[5]skilldef!$C:$D,2,FALSE),"-") &amp; " / " &amp; IFERROR(VLOOKUP(MID(T131,U131,V131-U131),[5]skilldef!$A:$B,2,FALSE),"-")</f>
        <v>- / -</v>
      </c>
      <c r="Z131" s="50"/>
      <c r="AA131" s="52"/>
      <c r="AB131" s="50"/>
    </row>
    <row r="132" spans="1:28" ht="40" customHeight="1" x14ac:dyDescent="0.15">
      <c r="A132" s="141">
        <v>47003464</v>
      </c>
      <c r="B132" s="137" t="s">
        <v>412</v>
      </c>
      <c r="C132" s="126">
        <v>3</v>
      </c>
      <c r="D132" s="126" t="s">
        <v>126</v>
      </c>
      <c r="E132" s="51" t="s">
        <v>310</v>
      </c>
      <c r="F132" s="51" t="s">
        <v>311</v>
      </c>
      <c r="G132" s="130" t="str">
        <f t="shared" si="62"/>
        <v>[effect:critical, val:1.5, animation:enemy_critical]</v>
      </c>
      <c r="H132" s="64">
        <f t="shared" si="63"/>
        <v>9</v>
      </c>
      <c r="I132" s="64">
        <f t="shared" si="64"/>
        <v>17</v>
      </c>
      <c r="J132" s="64" t="e">
        <f t="shared" si="65"/>
        <v>#VALUE!</v>
      </c>
      <c r="K132" s="64">
        <f t="shared" si="66"/>
        <v>26</v>
      </c>
      <c r="L132" s="64" t="str">
        <f>IFERROR(VLOOKUP(MID(G132,J132,K132-J132),[5]skilldef!$C:$D,2,FALSE),"-") &amp; " / " &amp; IFERROR(VLOOKUP(MID(G132,H132,I132-H132),[5]skilldef!$A:$B,2,FALSE),"-")</f>
        <v>- / 大攻撃</v>
      </c>
      <c r="M132" s="64" t="str">
        <f t="shared" si="67"/>
        <v>[effect:fix_speed, target:myself, turn:1]</v>
      </c>
      <c r="N132" s="48" t="str">
        <f>IFERROR(LEFT(M132,FIND("],",M132)+S156),M132)</f>
        <v>[effect:fix_speed, target:myself, turn:1]</v>
      </c>
      <c r="O132" s="64">
        <f t="shared" si="68"/>
        <v>9</v>
      </c>
      <c r="P132" s="64">
        <f t="shared" si="69"/>
        <v>18</v>
      </c>
      <c r="Q132" s="64">
        <f t="shared" si="70"/>
        <v>27</v>
      </c>
      <c r="R132" s="64">
        <f t="shared" si="71"/>
        <v>33</v>
      </c>
      <c r="S132" s="64" t="str">
        <f>IFERROR(VLOOKUP(MID(N132,Q132,R132-Q132),[5]skilldef!$C:$D,2,FALSE),"-") &amp; " / " &amp; IFERROR(VLOOKUP(MID(N132,O132,P132-O132),[5]skilldef!$A:$B,2,FALSE),"-")</f>
        <v>自分自身に / 行動値設定</v>
      </c>
      <c r="T132" s="48" t="str">
        <f t="shared" si="72"/>
        <v>none</v>
      </c>
      <c r="U132" s="64" t="e">
        <f t="shared" si="73"/>
        <v>#VALUE!</v>
      </c>
      <c r="V132" s="64">
        <f t="shared" si="74"/>
        <v>4</v>
      </c>
      <c r="W132" s="64" t="e">
        <f t="shared" si="75"/>
        <v>#VALUE!</v>
      </c>
      <c r="X132" s="64" t="e">
        <f t="shared" si="76"/>
        <v>#VALUE!</v>
      </c>
      <c r="Y132" s="64" t="str">
        <f>IFERROR(VLOOKUP(MID(T132,W132,X132-W132),[5]skilldef!$C:$D,2,FALSE),"-") &amp; " / " &amp; IFERROR(VLOOKUP(MID(T132,U132,V132-U132),[5]skilldef!$A:$B,2,FALSE),"-")</f>
        <v>- / -</v>
      </c>
      <c r="Z132" s="50"/>
      <c r="AA132" s="52"/>
      <c r="AB132" s="50"/>
    </row>
    <row r="133" spans="1:28" ht="40" customHeight="1" x14ac:dyDescent="0.15">
      <c r="A133" s="141">
        <v>47003465</v>
      </c>
      <c r="B133" s="47" t="s">
        <v>528</v>
      </c>
      <c r="C133" s="126">
        <v>3</v>
      </c>
      <c r="D133" s="126" t="s">
        <v>126</v>
      </c>
      <c r="E133" s="51" t="s">
        <v>312</v>
      </c>
      <c r="F133" s="51" t="s">
        <v>474</v>
      </c>
      <c r="G133" s="130" t="str">
        <f t="shared" si="62"/>
        <v>[effect:enemy_message, val1:2.0, val2:1.8]</v>
      </c>
      <c r="H133" s="64">
        <f t="shared" si="63"/>
        <v>9</v>
      </c>
      <c r="I133" s="64">
        <f t="shared" si="64"/>
        <v>22</v>
      </c>
      <c r="J133" s="64" t="e">
        <f t="shared" si="65"/>
        <v>#VALUE!</v>
      </c>
      <c r="K133" s="64">
        <f t="shared" si="66"/>
        <v>32</v>
      </c>
      <c r="L133" s="64" t="str">
        <f>IFERROR(VLOOKUP(MID(G133,J133,K133-J133),[5]skilldef!$C:$D,2,FALSE),"-") &amp; " / " &amp; IFERROR(VLOOKUP(MID(G133,H133,I133-H133),[5]skilldef!$A:$B,2,FALSE),"-")</f>
        <v>- / -</v>
      </c>
      <c r="M133" s="64" t="str">
        <f t="shared" si="67"/>
        <v>[effect:change_panel_ratio, turn:-1, block_type:yellow, val:0, animation:block_incidence04],[effect:fix_speed, target:myself, turn:1]</v>
      </c>
      <c r="N133" s="48" t="str">
        <f>IFERROR(LEFT(M133,FIND("],",M133)+#REF!),M133)</f>
        <v>[effect:change_panel_ratio, turn:-1, block_type:yellow, val:0, animation:block_incidence04],[effect:fix_speed, target:myself, turn:1]</v>
      </c>
      <c r="O133" s="64">
        <f t="shared" si="68"/>
        <v>9</v>
      </c>
      <c r="P133" s="64">
        <f t="shared" si="69"/>
        <v>27</v>
      </c>
      <c r="Q133" s="64">
        <f t="shared" si="70"/>
        <v>119</v>
      </c>
      <c r="R133" s="64">
        <f t="shared" si="71"/>
        <v>36</v>
      </c>
      <c r="S133" s="64" t="str">
        <f>IFERROR(VLOOKUP(MID(N133,Q133,R133-Q133),[5]skilldef!$C:$D,2,FALSE),"-") &amp; " / " &amp; IFERROR(VLOOKUP(MID(N133,O133,P133-O133),[5]skilldef!$A:$B,2,FALSE),"-")</f>
        <v>- / -</v>
      </c>
      <c r="T133" s="48" t="str">
        <f t="shared" si="72"/>
        <v>[effect:fix_speed, target:myself, turn:1]</v>
      </c>
      <c r="U133" s="64">
        <f t="shared" si="73"/>
        <v>9</v>
      </c>
      <c r="V133" s="64">
        <f t="shared" si="74"/>
        <v>18</v>
      </c>
      <c r="W133" s="64">
        <f t="shared" si="75"/>
        <v>27</v>
      </c>
      <c r="X133" s="64">
        <f t="shared" si="76"/>
        <v>33</v>
      </c>
      <c r="Y133" s="64" t="str">
        <f>IFERROR(VLOOKUP(MID(T133,W133,X133-W133),[5]skilldef!$C:$D,2,FALSE),"-") &amp; " / " &amp; IFERROR(VLOOKUP(MID(T133,U133,V133-U133),[5]skilldef!$A:$B,2,FALSE),"-")</f>
        <v>自分自身に / 行動値設定</v>
      </c>
      <c r="Z133" s="50"/>
      <c r="AA133" s="52"/>
      <c r="AB133" s="50"/>
    </row>
    <row r="134" spans="1:28" ht="40" customHeight="1" x14ac:dyDescent="0.15">
      <c r="A134" s="141">
        <v>47003466</v>
      </c>
      <c r="B134" s="47" t="s">
        <v>495</v>
      </c>
      <c r="C134" s="126">
        <v>3</v>
      </c>
      <c r="D134" s="126" t="s">
        <v>126</v>
      </c>
      <c r="E134" s="51" t="s">
        <v>313</v>
      </c>
      <c r="F134" s="51" t="s">
        <v>474</v>
      </c>
      <c r="G134" s="130" t="str">
        <f t="shared" si="62"/>
        <v>[effect:enemy_message, val1:2.0, val2:1.8]</v>
      </c>
      <c r="H134" s="64">
        <f t="shared" si="63"/>
        <v>9</v>
      </c>
      <c r="I134" s="64">
        <f t="shared" si="64"/>
        <v>22</v>
      </c>
      <c r="J134" s="64" t="e">
        <f t="shared" si="65"/>
        <v>#VALUE!</v>
      </c>
      <c r="K134" s="64">
        <f t="shared" si="66"/>
        <v>32</v>
      </c>
      <c r="L134" s="64" t="str">
        <f>IFERROR(VLOOKUP(MID(G134,J134,K134-J134),[5]skilldef!$C:$D,2,FALSE),"-") &amp; " / " &amp; IFERROR(VLOOKUP(MID(G134,H134,I134-H134),[5]skilldef!$A:$B,2,FALSE),"-")</f>
        <v>- / -</v>
      </c>
      <c r="M134" s="64" t="str">
        <f t="shared" si="67"/>
        <v>[effect:change_panel_ratio, turn:-1, block_type:yellow, val:0, animation:block_incidence04],[effect:fix_speed, target:myself, turn:1]</v>
      </c>
      <c r="N134" s="48" t="str">
        <f>IFERROR(LEFT(M134,FIND("],",M134)+#REF!),M134)</f>
        <v>[effect:change_panel_ratio, turn:-1, block_type:yellow, val:0, animation:block_incidence04],[effect:fix_speed, target:myself, turn:1]</v>
      </c>
      <c r="O134" s="64">
        <f t="shared" si="68"/>
        <v>9</v>
      </c>
      <c r="P134" s="64">
        <f t="shared" si="69"/>
        <v>27</v>
      </c>
      <c r="Q134" s="64">
        <f t="shared" si="70"/>
        <v>119</v>
      </c>
      <c r="R134" s="64">
        <f t="shared" si="71"/>
        <v>36</v>
      </c>
      <c r="S134" s="64" t="str">
        <f>IFERROR(VLOOKUP(MID(N134,Q134,R134-Q134),[5]skilldef!$C:$D,2,FALSE),"-") &amp; " / " &amp; IFERROR(VLOOKUP(MID(N134,O134,P134-O134),[5]skilldef!$A:$B,2,FALSE),"-")</f>
        <v>- / -</v>
      </c>
      <c r="T134" s="48" t="str">
        <f t="shared" si="72"/>
        <v>[effect:fix_speed, target:myself, turn:1]</v>
      </c>
      <c r="U134" s="64">
        <f t="shared" si="73"/>
        <v>9</v>
      </c>
      <c r="V134" s="64">
        <f t="shared" si="74"/>
        <v>18</v>
      </c>
      <c r="W134" s="64">
        <f t="shared" si="75"/>
        <v>27</v>
      </c>
      <c r="X134" s="64">
        <f t="shared" si="76"/>
        <v>33</v>
      </c>
      <c r="Y134" s="64" t="str">
        <f>IFERROR(VLOOKUP(MID(T134,W134,X134-W134),[5]skilldef!$C:$D,2,FALSE),"-") &amp; " / " &amp; IFERROR(VLOOKUP(MID(T134,U134,V134-U134),[5]skilldef!$A:$B,2,FALSE),"-")</f>
        <v>自分自身に / 行動値設定</v>
      </c>
      <c r="Z134" s="50"/>
      <c r="AA134" s="52"/>
      <c r="AB134" s="50"/>
    </row>
    <row r="135" spans="1:28" ht="40" customHeight="1" x14ac:dyDescent="0.15">
      <c r="A135" s="141">
        <v>47003467</v>
      </c>
      <c r="B135" s="47" t="s">
        <v>512</v>
      </c>
      <c r="C135" s="126">
        <v>3</v>
      </c>
      <c r="D135" s="126" t="s">
        <v>126</v>
      </c>
      <c r="E135" s="51" t="s">
        <v>314</v>
      </c>
      <c r="F135" s="51" t="s">
        <v>474</v>
      </c>
      <c r="G135" s="130" t="str">
        <f t="shared" si="62"/>
        <v>[effect:enemy_message, val1:2.0, val2:1.8]</v>
      </c>
      <c r="H135" s="64">
        <f t="shared" si="63"/>
        <v>9</v>
      </c>
      <c r="I135" s="64">
        <f t="shared" si="64"/>
        <v>22</v>
      </c>
      <c r="J135" s="64" t="e">
        <f t="shared" si="65"/>
        <v>#VALUE!</v>
      </c>
      <c r="K135" s="64">
        <f t="shared" si="66"/>
        <v>32</v>
      </c>
      <c r="L135" s="64" t="str">
        <f>IFERROR(VLOOKUP(MID(G135,J135,K135-J135),[5]skilldef!$C:$D,2,FALSE),"-") &amp; " / " &amp; IFERROR(VLOOKUP(MID(G135,H135,I135-H135),[5]skilldef!$A:$B,2,FALSE),"-")</f>
        <v>- / -</v>
      </c>
      <c r="M135" s="64" t="str">
        <f t="shared" si="67"/>
        <v>[effect:change_panel_ratio, turn:-1, block_type:yellow, val:0, animation:block_incidence04],[effect:fix_speed, target:myself, turn:1]</v>
      </c>
      <c r="N135" s="48" t="str">
        <f>IFERROR(LEFT(M135,FIND("],",M135)+#REF!),M135)</f>
        <v>[effect:change_panel_ratio, turn:-1, block_type:yellow, val:0, animation:block_incidence04],[effect:fix_speed, target:myself, turn:1]</v>
      </c>
      <c r="O135" s="64">
        <f t="shared" si="68"/>
        <v>9</v>
      </c>
      <c r="P135" s="64">
        <f t="shared" si="69"/>
        <v>27</v>
      </c>
      <c r="Q135" s="64">
        <f t="shared" si="70"/>
        <v>119</v>
      </c>
      <c r="R135" s="64">
        <f t="shared" si="71"/>
        <v>36</v>
      </c>
      <c r="S135" s="64" t="str">
        <f>IFERROR(VLOOKUP(MID(N135,Q135,R135-Q135),[5]skilldef!$C:$D,2,FALSE),"-") &amp; " / " &amp; IFERROR(VLOOKUP(MID(N135,O135,P135-O135),[5]skilldef!$A:$B,2,FALSE),"-")</f>
        <v>- / -</v>
      </c>
      <c r="T135" s="48" t="str">
        <f t="shared" si="72"/>
        <v>[effect:fix_speed, target:myself, turn:1]</v>
      </c>
      <c r="U135" s="64">
        <f t="shared" si="73"/>
        <v>9</v>
      </c>
      <c r="V135" s="64">
        <f t="shared" si="74"/>
        <v>18</v>
      </c>
      <c r="W135" s="64">
        <f t="shared" si="75"/>
        <v>27</v>
      </c>
      <c r="X135" s="64">
        <f t="shared" si="76"/>
        <v>33</v>
      </c>
      <c r="Y135" s="64" t="str">
        <f>IFERROR(VLOOKUP(MID(T135,W135,X135-W135),[5]skilldef!$C:$D,2,FALSE),"-") &amp; " / " &amp; IFERROR(VLOOKUP(MID(T135,U135,V135-U135),[5]skilldef!$A:$B,2,FALSE),"-")</f>
        <v>自分自身に / 行動値設定</v>
      </c>
      <c r="Z135" s="50"/>
      <c r="AA135" s="52"/>
      <c r="AB135" s="50"/>
    </row>
    <row r="136" spans="1:28" ht="40" customHeight="1" x14ac:dyDescent="0.15">
      <c r="A136" s="141">
        <v>47003481</v>
      </c>
      <c r="B136" s="137" t="s">
        <v>414</v>
      </c>
      <c r="C136" s="127">
        <v>3</v>
      </c>
      <c r="D136" s="127" t="s">
        <v>126</v>
      </c>
      <c r="E136" s="51" t="s">
        <v>315</v>
      </c>
      <c r="F136" s="51" t="s">
        <v>316</v>
      </c>
      <c r="G136" s="130" t="str">
        <f t="shared" si="62"/>
        <v>[effect:enemy_message, val1:1.3, val2:1.8]</v>
      </c>
      <c r="H136" s="64">
        <f t="shared" si="63"/>
        <v>9</v>
      </c>
      <c r="I136" s="64">
        <f t="shared" si="64"/>
        <v>22</v>
      </c>
      <c r="J136" s="64" t="e">
        <f t="shared" si="65"/>
        <v>#VALUE!</v>
      </c>
      <c r="K136" s="64">
        <f t="shared" si="66"/>
        <v>32</v>
      </c>
      <c r="L136" s="64" t="str">
        <f>IFERROR(VLOOKUP(MID(G136,J136,K136-J136),[5]skilldef!$C:$D,2,FALSE),"-") &amp; " / " &amp; IFERROR(VLOOKUP(MID(G136,H136,I136-H136),[5]skilldef!$A:$B,2,FALSE),"-")</f>
        <v>- / -</v>
      </c>
      <c r="M136" s="64" t="str">
        <f t="shared" si="67"/>
        <v>[effect:fix_speed, target:myself, turn:2]</v>
      </c>
      <c r="N136" s="48" t="str">
        <f>IFERROR(LEFT(M136,FIND("],",M136)+#REF!),M136)</f>
        <v>[effect:fix_speed, target:myself, turn:2]</v>
      </c>
      <c r="O136" s="64">
        <f t="shared" si="68"/>
        <v>9</v>
      </c>
      <c r="P136" s="64">
        <f t="shared" si="69"/>
        <v>18</v>
      </c>
      <c r="Q136" s="64">
        <f t="shared" si="70"/>
        <v>27</v>
      </c>
      <c r="R136" s="64">
        <f t="shared" si="71"/>
        <v>33</v>
      </c>
      <c r="S136" s="64" t="str">
        <f>IFERROR(VLOOKUP(MID(N136,Q136,R136-Q136),[5]skilldef!$C:$D,2,FALSE),"-") &amp; " / " &amp; IFERROR(VLOOKUP(MID(N136,O136,P136-O136),[5]skilldef!$A:$B,2,FALSE),"-")</f>
        <v>自分自身に / 行動値設定</v>
      </c>
      <c r="T136" s="48" t="str">
        <f t="shared" si="72"/>
        <v>none</v>
      </c>
      <c r="U136" s="64" t="e">
        <f t="shared" si="73"/>
        <v>#VALUE!</v>
      </c>
      <c r="V136" s="64">
        <f t="shared" si="74"/>
        <v>4</v>
      </c>
      <c r="W136" s="64" t="e">
        <f t="shared" si="75"/>
        <v>#VALUE!</v>
      </c>
      <c r="X136" s="64" t="e">
        <f t="shared" si="76"/>
        <v>#VALUE!</v>
      </c>
      <c r="Y136" s="64" t="str">
        <f>IFERROR(VLOOKUP(MID(T136,W136,X136-W136),[5]skilldef!$C:$D,2,FALSE),"-") &amp; " / " &amp; IFERROR(VLOOKUP(MID(T136,U136,V136-U136),[5]skilldef!$A:$B,2,FALSE),"-")</f>
        <v>- / -</v>
      </c>
      <c r="Z136" s="50"/>
      <c r="AA136" s="52"/>
      <c r="AB136" s="50"/>
    </row>
    <row r="137" spans="1:28" ht="40" customHeight="1" x14ac:dyDescent="0.15">
      <c r="A137" s="141">
        <v>47003483</v>
      </c>
      <c r="B137" s="47" t="s">
        <v>279</v>
      </c>
      <c r="C137" s="127">
        <v>3</v>
      </c>
      <c r="D137" s="127" t="s">
        <v>126</v>
      </c>
      <c r="E137" s="51" t="s">
        <v>318</v>
      </c>
      <c r="F137" s="51" t="s">
        <v>387</v>
      </c>
      <c r="G137" s="130" t="str">
        <f t="shared" si="62"/>
        <v>[effect:rush, count:3, val:0.4]</v>
      </c>
      <c r="H137" s="64">
        <f t="shared" si="63"/>
        <v>9</v>
      </c>
      <c r="I137" s="64">
        <f t="shared" si="64"/>
        <v>13</v>
      </c>
      <c r="J137" s="64" t="e">
        <f t="shared" si="65"/>
        <v>#VALUE!</v>
      </c>
      <c r="K137" s="64">
        <f t="shared" si="66"/>
        <v>22</v>
      </c>
      <c r="L137" s="64" t="str">
        <f>IFERROR(VLOOKUP(MID(G137,J137,K137-J137),[5]skilldef!$C:$D,2,FALSE),"-") &amp; " / " &amp; IFERROR(VLOOKUP(MID(G137,H137,I137-H137),[5]skilldef!$A:$B,2,FALSE),"-")</f>
        <v>- / 連続攻撃</v>
      </c>
      <c r="M137" s="64" t="str">
        <f t="shared" si="67"/>
        <v>none</v>
      </c>
      <c r="N137" s="48" t="str">
        <f>IFERROR(LEFT(M137,FIND("],",M137)+#REF!),M137)</f>
        <v>none</v>
      </c>
      <c r="O137" s="64" t="e">
        <f t="shared" si="68"/>
        <v>#VALUE!</v>
      </c>
      <c r="P137" s="64">
        <f t="shared" si="69"/>
        <v>4</v>
      </c>
      <c r="Q137" s="64" t="e">
        <f t="shared" si="70"/>
        <v>#VALUE!</v>
      </c>
      <c r="R137" s="64" t="e">
        <f t="shared" si="71"/>
        <v>#VALUE!</v>
      </c>
      <c r="S137" s="64" t="str">
        <f>IFERROR(VLOOKUP(MID(N137,Q137,R137-Q137),[5]skilldef!$C:$D,2,FALSE),"-") &amp; " / " &amp; IFERROR(VLOOKUP(MID(N137,O137,P137-O137),[5]skilldef!$A:$B,2,FALSE),"-")</f>
        <v>- / -</v>
      </c>
      <c r="T137" s="48" t="str">
        <f t="shared" si="72"/>
        <v>none</v>
      </c>
      <c r="U137" s="64" t="e">
        <f t="shared" si="73"/>
        <v>#VALUE!</v>
      </c>
      <c r="V137" s="64">
        <f t="shared" si="74"/>
        <v>4</v>
      </c>
      <c r="W137" s="64" t="e">
        <f t="shared" si="75"/>
        <v>#VALUE!</v>
      </c>
      <c r="X137" s="64" t="e">
        <f t="shared" si="76"/>
        <v>#VALUE!</v>
      </c>
      <c r="Y137" s="64" t="str">
        <f>IFERROR(VLOOKUP(MID(T137,W137,X137-W137),[5]skilldef!$C:$D,2,FALSE),"-") &amp; " / " &amp; IFERROR(VLOOKUP(MID(T137,U137,V137-U137),[5]skilldef!$A:$B,2,FALSE),"-")</f>
        <v>- / -</v>
      </c>
      <c r="Z137" s="50"/>
      <c r="AA137" s="52"/>
      <c r="AB137" s="50"/>
    </row>
    <row r="138" spans="1:28" ht="40" customHeight="1" x14ac:dyDescent="0.15">
      <c r="A138" s="141">
        <v>47003484</v>
      </c>
      <c r="B138" s="137" t="s">
        <v>415</v>
      </c>
      <c r="C138" s="127">
        <v>3</v>
      </c>
      <c r="D138" s="127" t="s">
        <v>126</v>
      </c>
      <c r="E138" s="51" t="s">
        <v>319</v>
      </c>
      <c r="F138" s="51" t="s">
        <v>311</v>
      </c>
      <c r="G138" s="130" t="str">
        <f t="shared" si="62"/>
        <v>[effect:critical, val:1.5, animation:enemy_critical]</v>
      </c>
      <c r="H138" s="64">
        <f t="shared" si="63"/>
        <v>9</v>
      </c>
      <c r="I138" s="64">
        <f t="shared" si="64"/>
        <v>17</v>
      </c>
      <c r="J138" s="64" t="e">
        <f t="shared" si="65"/>
        <v>#VALUE!</v>
      </c>
      <c r="K138" s="64">
        <f t="shared" si="66"/>
        <v>26</v>
      </c>
      <c r="L138" s="64" t="str">
        <f>IFERROR(VLOOKUP(MID(G138,J138,K138-J138),[5]skilldef!$C:$D,2,FALSE),"-") &amp; " / " &amp; IFERROR(VLOOKUP(MID(G138,H138,I138-H138),[5]skilldef!$A:$B,2,FALSE),"-")</f>
        <v>- / 大攻撃</v>
      </c>
      <c r="M138" s="64" t="str">
        <f t="shared" si="67"/>
        <v>[effect:fix_speed, target:myself, turn:1]</v>
      </c>
      <c r="N138" s="48" t="str">
        <f>IFERROR(LEFT(M138,FIND("],",M138)+S162),M138)</f>
        <v>[effect:fix_speed, target:myself, turn:1]</v>
      </c>
      <c r="O138" s="64">
        <f t="shared" si="68"/>
        <v>9</v>
      </c>
      <c r="P138" s="64">
        <f t="shared" si="69"/>
        <v>18</v>
      </c>
      <c r="Q138" s="64">
        <f t="shared" si="70"/>
        <v>27</v>
      </c>
      <c r="R138" s="64">
        <f t="shared" si="71"/>
        <v>33</v>
      </c>
      <c r="S138" s="64" t="str">
        <f>IFERROR(VLOOKUP(MID(N138,Q138,R138-Q138),[5]skilldef!$C:$D,2,FALSE),"-") &amp; " / " &amp; IFERROR(VLOOKUP(MID(N138,O138,P138-O138),[5]skilldef!$A:$B,2,FALSE),"-")</f>
        <v>自分自身に / 行動値設定</v>
      </c>
      <c r="T138" s="48" t="str">
        <f t="shared" si="72"/>
        <v>none</v>
      </c>
      <c r="U138" s="64" t="e">
        <f t="shared" si="73"/>
        <v>#VALUE!</v>
      </c>
      <c r="V138" s="64">
        <f t="shared" si="74"/>
        <v>4</v>
      </c>
      <c r="W138" s="64" t="e">
        <f t="shared" si="75"/>
        <v>#VALUE!</v>
      </c>
      <c r="X138" s="64" t="e">
        <f t="shared" si="76"/>
        <v>#VALUE!</v>
      </c>
      <c r="Y138" s="64" t="str">
        <f>IFERROR(VLOOKUP(MID(T138,W138,X138-W138),[5]skilldef!$C:$D,2,FALSE),"-") &amp; " / " &amp; IFERROR(VLOOKUP(MID(T138,U138,V138-U138),[5]skilldef!$A:$B,2,FALSE),"-")</f>
        <v>- / -</v>
      </c>
      <c r="Z138" s="50"/>
      <c r="AA138" s="52"/>
      <c r="AB138" s="50"/>
    </row>
    <row r="139" spans="1:28" ht="40" customHeight="1" x14ac:dyDescent="0.15">
      <c r="A139" s="141">
        <v>47003485</v>
      </c>
      <c r="B139" s="47" t="s">
        <v>529</v>
      </c>
      <c r="C139" s="127">
        <v>3</v>
      </c>
      <c r="D139" s="127" t="s">
        <v>126</v>
      </c>
      <c r="E139" s="51" t="s">
        <v>320</v>
      </c>
      <c r="F139" s="51" t="s">
        <v>303</v>
      </c>
      <c r="G139" s="130" t="str">
        <f t="shared" si="62"/>
        <v>[effect:enemy_message, val1:2.0, val2:1.8]</v>
      </c>
      <c r="H139" s="64">
        <f t="shared" si="63"/>
        <v>9</v>
      </c>
      <c r="I139" s="64">
        <f t="shared" si="64"/>
        <v>22</v>
      </c>
      <c r="J139" s="64" t="e">
        <f t="shared" si="65"/>
        <v>#VALUE!</v>
      </c>
      <c r="K139" s="64">
        <f t="shared" si="66"/>
        <v>32</v>
      </c>
      <c r="L139" s="64" t="str">
        <f>IFERROR(VLOOKUP(MID(G139,J139,K139-J139),[5]skilldef!$C:$D,2,FALSE),"-") &amp; " / " &amp; IFERROR(VLOOKUP(MID(G139,H139,I139-H139),[5]skilldef!$A:$B,2,FALSE),"-")</f>
        <v>- / -</v>
      </c>
      <c r="M139" s="64" t="str">
        <f t="shared" si="67"/>
        <v>[effect:change_panel_ratio, turn:-1, block_type:yellow, val:0.05, animation:block_incidence04],[effect:fix_speed, target:myself, turn:1]</v>
      </c>
      <c r="N139" s="48" t="str">
        <f>IFERROR(LEFT(M139,FIND("],",M139)+#REF!),M139)</f>
        <v>[effect:change_panel_ratio, turn:-1, block_type:yellow, val:0.05, animation:block_incidence04],[effect:fix_speed, target:myself, turn:1]</v>
      </c>
      <c r="O139" s="64">
        <f t="shared" si="68"/>
        <v>9</v>
      </c>
      <c r="P139" s="64">
        <f t="shared" si="69"/>
        <v>27</v>
      </c>
      <c r="Q139" s="64">
        <f t="shared" si="70"/>
        <v>122</v>
      </c>
      <c r="R139" s="64">
        <f t="shared" si="71"/>
        <v>36</v>
      </c>
      <c r="S139" s="64" t="str">
        <f>IFERROR(VLOOKUP(MID(N139,Q139,R139-Q139),[5]skilldef!$C:$D,2,FALSE),"-") &amp; " / " &amp; IFERROR(VLOOKUP(MID(N139,O139,P139-O139),[5]skilldef!$A:$B,2,FALSE),"-")</f>
        <v>- / -</v>
      </c>
      <c r="T139" s="48" t="str">
        <f t="shared" si="72"/>
        <v>[effect:fix_speed, target:myself, turn:1]</v>
      </c>
      <c r="U139" s="64">
        <f t="shared" si="73"/>
        <v>9</v>
      </c>
      <c r="V139" s="64">
        <f t="shared" si="74"/>
        <v>18</v>
      </c>
      <c r="W139" s="64">
        <f t="shared" si="75"/>
        <v>27</v>
      </c>
      <c r="X139" s="64">
        <f t="shared" si="76"/>
        <v>33</v>
      </c>
      <c r="Y139" s="64" t="str">
        <f>IFERROR(VLOOKUP(MID(T139,W139,X139-W139),[5]skilldef!$C:$D,2,FALSE),"-") &amp; " / " &amp; IFERROR(VLOOKUP(MID(T139,U139,V139-U139),[5]skilldef!$A:$B,2,FALSE),"-")</f>
        <v>自分自身に / 行動値設定</v>
      </c>
      <c r="Z139" s="50"/>
      <c r="AA139" s="52"/>
      <c r="AB139" s="50"/>
    </row>
    <row r="140" spans="1:28" ht="40" customHeight="1" x14ac:dyDescent="0.15">
      <c r="A140" s="141">
        <v>47003486</v>
      </c>
      <c r="B140" s="47" t="s">
        <v>482</v>
      </c>
      <c r="C140" s="127">
        <v>3</v>
      </c>
      <c r="D140" s="127" t="s">
        <v>126</v>
      </c>
      <c r="E140" s="51" t="s">
        <v>321</v>
      </c>
      <c r="F140" s="51" t="s">
        <v>303</v>
      </c>
      <c r="G140" s="130" t="str">
        <f t="shared" si="62"/>
        <v>[effect:enemy_message, val1:2.0, val2:1.8]</v>
      </c>
      <c r="H140" s="64">
        <f t="shared" si="63"/>
        <v>9</v>
      </c>
      <c r="I140" s="64">
        <f t="shared" si="64"/>
        <v>22</v>
      </c>
      <c r="J140" s="64" t="e">
        <f t="shared" si="65"/>
        <v>#VALUE!</v>
      </c>
      <c r="K140" s="64">
        <f t="shared" si="66"/>
        <v>32</v>
      </c>
      <c r="L140" s="64" t="str">
        <f>IFERROR(VLOOKUP(MID(G140,J140,K140-J140),[5]skilldef!$C:$D,2,FALSE),"-") &amp; " / " &amp; IFERROR(VLOOKUP(MID(G140,H140,I140-H140),[5]skilldef!$A:$B,2,FALSE),"-")</f>
        <v>- / -</v>
      </c>
      <c r="M140" s="64" t="str">
        <f t="shared" si="67"/>
        <v>[effect:change_panel_ratio, turn:-1, block_type:yellow, val:0.05, animation:block_incidence04],[effect:fix_speed, target:myself, turn:1]</v>
      </c>
      <c r="N140" s="48" t="str">
        <f>IFERROR(LEFT(M140,FIND("],",M140)+#REF!),M140)</f>
        <v>[effect:change_panel_ratio, turn:-1, block_type:yellow, val:0.05, animation:block_incidence04],[effect:fix_speed, target:myself, turn:1]</v>
      </c>
      <c r="O140" s="64">
        <f t="shared" si="68"/>
        <v>9</v>
      </c>
      <c r="P140" s="64">
        <f t="shared" si="69"/>
        <v>27</v>
      </c>
      <c r="Q140" s="64">
        <f t="shared" si="70"/>
        <v>122</v>
      </c>
      <c r="R140" s="64">
        <f t="shared" si="71"/>
        <v>36</v>
      </c>
      <c r="S140" s="64" t="str">
        <f>IFERROR(VLOOKUP(MID(N140,Q140,R140-Q140),[5]skilldef!$C:$D,2,FALSE),"-") &amp; " / " &amp; IFERROR(VLOOKUP(MID(N140,O140,P140-O140),[5]skilldef!$A:$B,2,FALSE),"-")</f>
        <v>- / -</v>
      </c>
      <c r="T140" s="48" t="str">
        <f t="shared" si="72"/>
        <v>[effect:fix_speed, target:myself, turn:1]</v>
      </c>
      <c r="U140" s="64">
        <f t="shared" si="73"/>
        <v>9</v>
      </c>
      <c r="V140" s="64">
        <f t="shared" si="74"/>
        <v>18</v>
      </c>
      <c r="W140" s="64">
        <f t="shared" si="75"/>
        <v>27</v>
      </c>
      <c r="X140" s="64">
        <f t="shared" si="76"/>
        <v>33</v>
      </c>
      <c r="Y140" s="64" t="str">
        <f>IFERROR(VLOOKUP(MID(T140,W140,X140-W140),[5]skilldef!$C:$D,2,FALSE),"-") &amp; " / " &amp; IFERROR(VLOOKUP(MID(T140,U140,V140-U140),[5]skilldef!$A:$B,2,FALSE),"-")</f>
        <v>自分自身に / 行動値設定</v>
      </c>
      <c r="Z140" s="50"/>
      <c r="AA140" s="52"/>
      <c r="AB140" s="50"/>
    </row>
    <row r="141" spans="1:28" ht="40" customHeight="1" x14ac:dyDescent="0.15">
      <c r="A141" s="141">
        <v>47003487</v>
      </c>
      <c r="B141" s="47" t="s">
        <v>530</v>
      </c>
      <c r="C141" s="127">
        <v>3</v>
      </c>
      <c r="D141" s="127" t="s">
        <v>126</v>
      </c>
      <c r="E141" s="51" t="s">
        <v>322</v>
      </c>
      <c r="F141" s="51" t="s">
        <v>303</v>
      </c>
      <c r="G141" s="130" t="str">
        <f t="shared" si="62"/>
        <v>[effect:enemy_message, val1:2.0, val2:1.8]</v>
      </c>
      <c r="H141" s="64">
        <f t="shared" si="63"/>
        <v>9</v>
      </c>
      <c r="I141" s="64">
        <f t="shared" si="64"/>
        <v>22</v>
      </c>
      <c r="J141" s="64" t="e">
        <f t="shared" si="65"/>
        <v>#VALUE!</v>
      </c>
      <c r="K141" s="64">
        <f t="shared" si="66"/>
        <v>32</v>
      </c>
      <c r="L141" s="64" t="str">
        <f>IFERROR(VLOOKUP(MID(G141,J141,K141-J141),[5]skilldef!$C:$D,2,FALSE),"-") &amp; " / " &amp; IFERROR(VLOOKUP(MID(G141,H141,I141-H141),[5]skilldef!$A:$B,2,FALSE),"-")</f>
        <v>- / -</v>
      </c>
      <c r="M141" s="64" t="str">
        <f t="shared" si="67"/>
        <v>[effect:change_panel_ratio, turn:-1, block_type:yellow, val:0.05, animation:block_incidence04],[effect:fix_speed, target:myself, turn:1]</v>
      </c>
      <c r="N141" s="48" t="str">
        <f>IFERROR(LEFT(M141,FIND("],",M141)+#REF!),M141)</f>
        <v>[effect:change_panel_ratio, turn:-1, block_type:yellow, val:0.05, animation:block_incidence04],[effect:fix_speed, target:myself, turn:1]</v>
      </c>
      <c r="O141" s="64">
        <f t="shared" si="68"/>
        <v>9</v>
      </c>
      <c r="P141" s="64">
        <f t="shared" si="69"/>
        <v>27</v>
      </c>
      <c r="Q141" s="64">
        <f t="shared" si="70"/>
        <v>122</v>
      </c>
      <c r="R141" s="64">
        <f t="shared" si="71"/>
        <v>36</v>
      </c>
      <c r="S141" s="64" t="str">
        <f>IFERROR(VLOOKUP(MID(N141,Q141,R141-Q141),[5]skilldef!$C:$D,2,FALSE),"-") &amp; " / " &amp; IFERROR(VLOOKUP(MID(N141,O141,P141-O141),[5]skilldef!$A:$B,2,FALSE),"-")</f>
        <v>- / -</v>
      </c>
      <c r="T141" s="48" t="str">
        <f t="shared" si="72"/>
        <v>[effect:fix_speed, target:myself, turn:1]</v>
      </c>
      <c r="U141" s="64">
        <f t="shared" si="73"/>
        <v>9</v>
      </c>
      <c r="V141" s="64">
        <f t="shared" si="74"/>
        <v>18</v>
      </c>
      <c r="W141" s="64">
        <f t="shared" si="75"/>
        <v>27</v>
      </c>
      <c r="X141" s="64">
        <f t="shared" si="76"/>
        <v>33</v>
      </c>
      <c r="Y141" s="64" t="str">
        <f>IFERROR(VLOOKUP(MID(T141,W141,X141-W141),[5]skilldef!$C:$D,2,FALSE),"-") &amp; " / " &amp; IFERROR(VLOOKUP(MID(T141,U141,V141-U141),[5]skilldef!$A:$B,2,FALSE),"-")</f>
        <v>自分自身に / 行動値設定</v>
      </c>
      <c r="Z141" s="50"/>
      <c r="AA141" s="52"/>
      <c r="AB141" s="50"/>
    </row>
    <row r="142" spans="1:28" ht="40" customHeight="1" x14ac:dyDescent="0.15">
      <c r="A142" s="141">
        <v>47003501</v>
      </c>
      <c r="B142" s="135" t="s">
        <v>531</v>
      </c>
      <c r="C142" s="132">
        <v>3</v>
      </c>
      <c r="D142" s="132" t="s">
        <v>126</v>
      </c>
      <c r="E142" s="138" t="s">
        <v>282</v>
      </c>
      <c r="F142" s="51" t="s">
        <v>323</v>
      </c>
      <c r="G142" s="130" t="str">
        <f t="shared" si="62"/>
        <v>[effect:enemy_message, val1:1.3, val2:1.8]</v>
      </c>
      <c r="H142" s="64">
        <f t="shared" si="63"/>
        <v>9</v>
      </c>
      <c r="I142" s="64">
        <f t="shared" si="64"/>
        <v>22</v>
      </c>
      <c r="J142" s="64" t="e">
        <f t="shared" si="65"/>
        <v>#VALUE!</v>
      </c>
      <c r="K142" s="64">
        <f t="shared" si="66"/>
        <v>32</v>
      </c>
      <c r="L142" s="64" t="str">
        <f>IFERROR(VLOOKUP(MID(G142,J142,K142-J142),[5]skilldef!$C:$D,2,FALSE),"-") &amp; " / " &amp; IFERROR(VLOOKUP(MID(G142,H142,I142-H142),[5]skilldef!$A:$B,2,FALSE),"-")</f>
        <v>- / -</v>
      </c>
      <c r="M142" s="64" t="str">
        <f t="shared" si="67"/>
        <v>[effect:fix_speed, target:myself, turn:1]</v>
      </c>
      <c r="N142" s="48" t="str">
        <f>IFERROR(LEFT(M142,FIND("],",M142)+#REF!),M142)</f>
        <v>[effect:fix_speed, target:myself, turn:1]</v>
      </c>
      <c r="O142" s="64">
        <f t="shared" si="68"/>
        <v>9</v>
      </c>
      <c r="P142" s="64">
        <f t="shared" si="69"/>
        <v>18</v>
      </c>
      <c r="Q142" s="64">
        <f t="shared" si="70"/>
        <v>27</v>
      </c>
      <c r="R142" s="64">
        <f t="shared" si="71"/>
        <v>33</v>
      </c>
      <c r="S142" s="64" t="str">
        <f>IFERROR(VLOOKUP(MID(N142,Q142,R142-Q142),[5]skilldef!$C:$D,2,FALSE),"-") &amp; " / " &amp; IFERROR(VLOOKUP(MID(N142,O142,P142-O142),[5]skilldef!$A:$B,2,FALSE),"-")</f>
        <v>自分自身に / 行動値設定</v>
      </c>
      <c r="T142" s="48" t="str">
        <f t="shared" si="72"/>
        <v>none</v>
      </c>
      <c r="U142" s="64" t="e">
        <f t="shared" si="73"/>
        <v>#VALUE!</v>
      </c>
      <c r="V142" s="64">
        <f t="shared" si="74"/>
        <v>4</v>
      </c>
      <c r="W142" s="64" t="e">
        <f t="shared" si="75"/>
        <v>#VALUE!</v>
      </c>
      <c r="X142" s="64" t="e">
        <f t="shared" si="76"/>
        <v>#VALUE!</v>
      </c>
      <c r="Y142" s="64" t="str">
        <f>IFERROR(VLOOKUP(MID(T142,W142,X142-W142),[5]skilldef!$C:$D,2,FALSE),"-") &amp; " / " &amp; IFERROR(VLOOKUP(MID(T142,U142,V142-U142),[5]skilldef!$A:$B,2,FALSE),"-")</f>
        <v>- / -</v>
      </c>
      <c r="Z142" s="50"/>
      <c r="AA142" s="52"/>
      <c r="AB142" s="50"/>
    </row>
    <row r="143" spans="1:28" ht="40" customHeight="1" x14ac:dyDescent="0.15">
      <c r="A143" s="141">
        <v>47003502</v>
      </c>
      <c r="B143" s="47" t="s">
        <v>589</v>
      </c>
      <c r="C143" s="50">
        <v>3</v>
      </c>
      <c r="D143" s="50" t="s">
        <v>126</v>
      </c>
      <c r="E143" s="51" t="s">
        <v>324</v>
      </c>
      <c r="F143" s="51" t="s">
        <v>609</v>
      </c>
      <c r="G143" s="130" t="str">
        <f t="shared" si="62"/>
        <v>[effect:enemy_message, val1:1.0, val2:3.3]</v>
      </c>
      <c r="H143" s="64">
        <f t="shared" si="63"/>
        <v>9</v>
      </c>
      <c r="I143" s="64">
        <f t="shared" si="64"/>
        <v>22</v>
      </c>
      <c r="J143" s="64" t="e">
        <f t="shared" si="65"/>
        <v>#VALUE!</v>
      </c>
      <c r="K143" s="64">
        <f t="shared" si="66"/>
        <v>32</v>
      </c>
      <c r="L143" s="64" t="str">
        <f>IFERROR(VLOOKUP(MID(G143,J143,K143-J143),[5]skilldef!$C:$D,2,FALSE),"-") &amp; " / " &amp; IFERROR(VLOOKUP(MID(G143,H143,I143-H143),[5]skilldef!$A:$B,2,FALSE),"-")</f>
        <v>- / -</v>
      </c>
      <c r="M143" s="64" t="str">
        <f t="shared" si="67"/>
        <v>[effect:damage_anti_tribe, target:unit_all, tribe:machine, val1:0.6, val2:0.3],[effect:hungup, target:unit_machine, turn:4, rate:1, animation:hungup02]</v>
      </c>
      <c r="N143" s="48" t="str">
        <f>IFERROR(LEFT(M143,FIND("],",M143)+#REF!),M143)</f>
        <v>[effect:damage_anti_tribe, target:unit_all, tribe:machine, val1:0.6, val2:0.3],[effect:hungup, target:unit_machine, turn:4, rate:1, animation:hungup02]</v>
      </c>
      <c r="O143" s="64">
        <f t="shared" si="68"/>
        <v>9</v>
      </c>
      <c r="P143" s="64">
        <f t="shared" si="69"/>
        <v>26</v>
      </c>
      <c r="Q143" s="64">
        <f t="shared" si="70"/>
        <v>35</v>
      </c>
      <c r="R143" s="64">
        <f t="shared" si="71"/>
        <v>43</v>
      </c>
      <c r="S143" s="64" t="str">
        <f>IFERROR(VLOOKUP(MID(N143,Q143,R143-Q143),[5]skilldef!$C:$D,2,FALSE),"-") &amp; " / " &amp; IFERROR(VLOOKUP(MID(N143,O143,P143-O143),[5]skilldef!$A:$B,2,FALSE),"-")</f>
        <v>味方全体に / 種族キラー</v>
      </c>
      <c r="T143" s="48" t="str">
        <f t="shared" si="72"/>
        <v>[effect:hungup, target:unit_machine, turn:4, rate:1, animation:hungup02]</v>
      </c>
      <c r="U143" s="64">
        <f t="shared" si="73"/>
        <v>9</v>
      </c>
      <c r="V143" s="64">
        <f t="shared" si="74"/>
        <v>15</v>
      </c>
      <c r="W143" s="64">
        <f t="shared" si="75"/>
        <v>24</v>
      </c>
      <c r="X143" s="64">
        <f t="shared" si="76"/>
        <v>36</v>
      </c>
      <c r="Y143" s="64" t="str">
        <f>IFERROR(VLOOKUP(MID(T143,W143,X143-W143),[5]skilldef!$C:$D,2,FALSE),"-") &amp; " / " &amp; IFERROR(VLOOKUP(MID(T143,U143,V143-U143),[5]skilldef!$A:$B,2,FALSE),"-")</f>
        <v>- / ハングアップ</v>
      </c>
      <c r="Z143" s="50"/>
      <c r="AA143" s="52"/>
      <c r="AB143" s="50"/>
    </row>
    <row r="144" spans="1:28" ht="40" customHeight="1" x14ac:dyDescent="0.15">
      <c r="A144" s="141">
        <v>47003503</v>
      </c>
      <c r="B144" s="137" t="s">
        <v>532</v>
      </c>
      <c r="C144" s="50">
        <v>3</v>
      </c>
      <c r="D144" s="50" t="s">
        <v>126</v>
      </c>
      <c r="E144" s="51" t="s">
        <v>325</v>
      </c>
      <c r="F144" s="51" t="s">
        <v>368</v>
      </c>
      <c r="G144" s="130" t="str">
        <f t="shared" si="62"/>
        <v>[effect:enemy_message, val1:1.0, val2:2.0]</v>
      </c>
      <c r="H144" s="64">
        <f t="shared" si="63"/>
        <v>9</v>
      </c>
      <c r="I144" s="64">
        <f t="shared" si="64"/>
        <v>22</v>
      </c>
      <c r="J144" s="64" t="e">
        <f t="shared" si="65"/>
        <v>#VALUE!</v>
      </c>
      <c r="K144" s="64">
        <f t="shared" si="66"/>
        <v>32</v>
      </c>
      <c r="L144" s="64" t="str">
        <f>IFERROR(VLOOKUP(MID(G144,J144,K144-J144),[5]skilldef!$C:$D,2,FALSE),"-") &amp; " / " &amp; IFERROR(VLOOKUP(MID(G144,H144,I144-H144),[5]skilldef!$A:$B,2,FALSE),"-")</f>
        <v>- / -</v>
      </c>
      <c r="M144" s="64" t="str">
        <f t="shared" si="67"/>
        <v>[effect:break_attack_fix, target:unit_one, val:700, lowest_val:1, count:-1, color:green, block_color:block_heart, block01:block_heart, block02:crack_bomb],[effect:fix_speed, target:myself, turn:2]</v>
      </c>
      <c r="N144" s="48" t="str">
        <f>IFERROR(LEFT(M144,FIND("],",M144)+S158),M144)</f>
        <v>[effect:break_attack_fix, target:unit_one, val:700, lowest_val:1, count:-1, color:green, block_color:block_heart, block01:block_heart, block02:crack_bomb],[effect:fix_speed, target:myself, turn:2]</v>
      </c>
      <c r="O144" s="64">
        <f t="shared" si="68"/>
        <v>9</v>
      </c>
      <c r="P144" s="64">
        <f t="shared" si="69"/>
        <v>25</v>
      </c>
      <c r="Q144" s="64">
        <f t="shared" si="70"/>
        <v>34</v>
      </c>
      <c r="R144" s="64">
        <f t="shared" si="71"/>
        <v>42</v>
      </c>
      <c r="S144" s="64" t="str">
        <f>IFERROR(VLOOKUP(MID(N144,Q144,R144-Q144),[5]skilldef!$C:$D,2,FALSE),"-") &amp; " / " &amp; IFERROR(VLOOKUP(MID(N144,O144,P144-O144),[5]skilldef!$A:$B,2,FALSE),"-")</f>
        <v>味方単体に / -</v>
      </c>
      <c r="T144" s="48" t="str">
        <f t="shared" si="72"/>
        <v>[effect:fix_speed, target:myself, turn:2]</v>
      </c>
      <c r="U144" s="64">
        <f t="shared" si="73"/>
        <v>9</v>
      </c>
      <c r="V144" s="64">
        <f t="shared" si="74"/>
        <v>18</v>
      </c>
      <c r="W144" s="64">
        <f t="shared" si="75"/>
        <v>27</v>
      </c>
      <c r="X144" s="64">
        <f t="shared" si="76"/>
        <v>33</v>
      </c>
      <c r="Y144" s="64" t="str">
        <f>IFERROR(VLOOKUP(MID(T144,W144,X144-W144),[5]skilldef!$C:$D,2,FALSE),"-") &amp; " / " &amp; IFERROR(VLOOKUP(MID(T144,U144,V144-U144),[5]skilldef!$A:$B,2,FALSE),"-")</f>
        <v>自分自身に / 行動値設定</v>
      </c>
      <c r="Z144" s="50"/>
      <c r="AA144" s="52"/>
      <c r="AB144" s="50"/>
    </row>
    <row r="145" spans="1:28" ht="40" customHeight="1" x14ac:dyDescent="0.15">
      <c r="A145" s="141">
        <v>47003504</v>
      </c>
      <c r="B145" s="47" t="s">
        <v>366</v>
      </c>
      <c r="C145" s="50">
        <v>3</v>
      </c>
      <c r="D145" s="50" t="s">
        <v>126</v>
      </c>
      <c r="E145" s="51" t="s">
        <v>326</v>
      </c>
      <c r="F145" s="51" t="s">
        <v>373</v>
      </c>
      <c r="G145" s="130" t="str">
        <f t="shared" si="62"/>
        <v>[effect:rush, count:2, val:0.5]</v>
      </c>
      <c r="H145" s="64">
        <f t="shared" si="63"/>
        <v>9</v>
      </c>
      <c r="I145" s="64">
        <f t="shared" si="64"/>
        <v>13</v>
      </c>
      <c r="J145" s="64" t="e">
        <f t="shared" si="65"/>
        <v>#VALUE!</v>
      </c>
      <c r="K145" s="64">
        <f t="shared" si="66"/>
        <v>22</v>
      </c>
      <c r="L145" s="64" t="str">
        <f>IFERROR(VLOOKUP(MID(G145,J145,K145-J145),[5]skilldef!$C:$D,2,FALSE),"-") &amp; " / " &amp; IFERROR(VLOOKUP(MID(G145,H145,I145-H145),[5]skilldef!$A:$B,2,FALSE),"-")</f>
        <v>- / 連続攻撃</v>
      </c>
      <c r="M145" s="64" t="str">
        <f t="shared" si="67"/>
        <v>none</v>
      </c>
      <c r="N145" s="48" t="str">
        <f>IFERROR(LEFT(M145,FIND("],",M145)+S159),M145)</f>
        <v>none</v>
      </c>
      <c r="O145" s="64" t="e">
        <f t="shared" si="68"/>
        <v>#VALUE!</v>
      </c>
      <c r="P145" s="64">
        <f t="shared" si="69"/>
        <v>4</v>
      </c>
      <c r="Q145" s="64" t="e">
        <f t="shared" si="70"/>
        <v>#VALUE!</v>
      </c>
      <c r="R145" s="64" t="e">
        <f t="shared" si="71"/>
        <v>#VALUE!</v>
      </c>
      <c r="S145" s="64" t="str">
        <f>IFERROR(VLOOKUP(MID(N145,Q145,R145-Q145),[5]skilldef!$C:$D,2,FALSE),"-") &amp; " / " &amp; IFERROR(VLOOKUP(MID(N145,O145,P145-O145),[5]skilldef!$A:$B,2,FALSE),"-")</f>
        <v>- / -</v>
      </c>
      <c r="T145" s="48" t="str">
        <f t="shared" si="72"/>
        <v>none</v>
      </c>
      <c r="U145" s="64" t="e">
        <f t="shared" si="73"/>
        <v>#VALUE!</v>
      </c>
      <c r="V145" s="64">
        <f t="shared" si="74"/>
        <v>4</v>
      </c>
      <c r="W145" s="64" t="e">
        <f t="shared" si="75"/>
        <v>#VALUE!</v>
      </c>
      <c r="X145" s="64" t="e">
        <f t="shared" si="76"/>
        <v>#VALUE!</v>
      </c>
      <c r="Y145" s="64" t="str">
        <f>IFERROR(VLOOKUP(MID(T145,W145,X145-W145),[5]skilldef!$C:$D,2,FALSE),"-") &amp; " / " &amp; IFERROR(VLOOKUP(MID(T145,U145,V145-U145),[5]skilldef!$A:$B,2,FALSE),"-")</f>
        <v>- / -</v>
      </c>
      <c r="Z145" s="50"/>
      <c r="AA145" s="52"/>
      <c r="AB145" s="50"/>
    </row>
    <row r="146" spans="1:28" ht="40" customHeight="1" x14ac:dyDescent="0.15">
      <c r="A146" s="141">
        <v>47003505</v>
      </c>
      <c r="B146" s="47" t="s">
        <v>533</v>
      </c>
      <c r="C146" s="50">
        <v>3</v>
      </c>
      <c r="D146" s="50" t="s">
        <v>126</v>
      </c>
      <c r="E146" s="51" t="s">
        <v>327</v>
      </c>
      <c r="F146" s="51" t="s">
        <v>328</v>
      </c>
      <c r="G146" s="130" t="str">
        <f t="shared" si="62"/>
        <v>[effect:enemy_message, val1:1.3, val2:2.0]</v>
      </c>
      <c r="H146" s="64">
        <f t="shared" si="63"/>
        <v>9</v>
      </c>
      <c r="I146" s="64">
        <f t="shared" si="64"/>
        <v>22</v>
      </c>
      <c r="J146" s="64" t="e">
        <f t="shared" si="65"/>
        <v>#VALUE!</v>
      </c>
      <c r="K146" s="64">
        <f t="shared" si="66"/>
        <v>32</v>
      </c>
      <c r="L146" s="64" t="str">
        <f>IFERROR(VLOOKUP(MID(G146,J146,K146-J146),[5]skilldef!$C:$D,2,FALSE),"-") &amp; " / " &amp; IFERROR(VLOOKUP(MID(G146,H146,I146-H146),[5]skilldef!$A:$B,2,FALSE),"-")</f>
        <v>- / -</v>
      </c>
      <c r="M146" s="64" t="str">
        <f t="shared" si="67"/>
        <v>[effect:suicide, target:myself, val:1, dead_type:escape]</v>
      </c>
      <c r="N146" s="48" t="str">
        <f>IFERROR(LEFT(M146,FIND("],",M146)+#REF!),M146)</f>
        <v>[effect:suicide, target:myself, val:1, dead_type:escape]</v>
      </c>
      <c r="O146" s="64">
        <f t="shared" si="68"/>
        <v>9</v>
      </c>
      <c r="P146" s="64">
        <f t="shared" si="69"/>
        <v>16</v>
      </c>
      <c r="Q146" s="64">
        <f t="shared" si="70"/>
        <v>25</v>
      </c>
      <c r="R146" s="64">
        <f t="shared" si="71"/>
        <v>31</v>
      </c>
      <c r="S146" s="64" t="str">
        <f>IFERROR(VLOOKUP(MID(N146,Q146,R146-Q146),[5]skilldef!$C:$D,2,FALSE),"-") &amp; " / " &amp; IFERROR(VLOOKUP(MID(N146,O146,P146-O146),[5]skilldef!$A:$B,2,FALSE),"-")</f>
        <v>自分自身に / -</v>
      </c>
      <c r="T146" s="48" t="str">
        <f t="shared" si="72"/>
        <v>none</v>
      </c>
      <c r="U146" s="64" t="e">
        <f t="shared" si="73"/>
        <v>#VALUE!</v>
      </c>
      <c r="V146" s="64">
        <f t="shared" si="74"/>
        <v>4</v>
      </c>
      <c r="W146" s="64" t="e">
        <f t="shared" si="75"/>
        <v>#VALUE!</v>
      </c>
      <c r="X146" s="64" t="e">
        <f t="shared" si="76"/>
        <v>#VALUE!</v>
      </c>
      <c r="Y146" s="64" t="str">
        <f>IFERROR(VLOOKUP(MID(T146,W146,X146-W146),[5]skilldef!$C:$D,2,FALSE),"-") &amp; " / " &amp; IFERROR(VLOOKUP(MID(T146,U146,V146-U146),[5]skilldef!$A:$B,2,FALSE),"-")</f>
        <v>- / -</v>
      </c>
      <c r="Z146" s="50"/>
      <c r="AA146" s="52"/>
      <c r="AB146" s="50"/>
    </row>
    <row r="147" spans="1:28" ht="40" customHeight="1" x14ac:dyDescent="0.15">
      <c r="A147" s="141">
        <v>47003506</v>
      </c>
      <c r="B147" s="47" t="s">
        <v>383</v>
      </c>
      <c r="C147" s="50">
        <v>3</v>
      </c>
      <c r="D147" s="50" t="s">
        <v>126</v>
      </c>
      <c r="E147" s="51" t="s">
        <v>283</v>
      </c>
      <c r="F147" s="51" t="s">
        <v>356</v>
      </c>
      <c r="G147" s="130" t="str">
        <f t="shared" si="62"/>
        <v>[effect:enemy_message, val1:2.0, val2:1.8]</v>
      </c>
      <c r="H147" s="64">
        <f t="shared" si="63"/>
        <v>9</v>
      </c>
      <c r="I147" s="64">
        <f t="shared" si="64"/>
        <v>22</v>
      </c>
      <c r="J147" s="64" t="e">
        <f t="shared" si="65"/>
        <v>#VALUE!</v>
      </c>
      <c r="K147" s="64">
        <f t="shared" si="66"/>
        <v>32</v>
      </c>
      <c r="L147" s="64" t="str">
        <f>IFERROR(VLOOKUP(MID(G147,J147,K147-J147),[5]skilldef!$C:$D,2,FALSE),"-") &amp; " / " &amp; IFERROR(VLOOKUP(MID(G147,H147,I147-H147),[5]skilldef!$A:$B,2,FALSE),"-")</f>
        <v>- / -</v>
      </c>
      <c r="M147" s="64" t="str">
        <f t="shared" si="67"/>
        <v>[effect:enhance_fever, val:1000, animation:fevergauge_up04],[effect:fix_speed, target:myself, turn:1]</v>
      </c>
      <c r="N147" s="48" t="str">
        <f>IFERROR(LEFT(M147,FIND("],",M147)+#REF!),M147)</f>
        <v>[effect:enhance_fever, val:1000, animation:fevergauge_up04],[effect:fix_speed, target:myself, turn:1]</v>
      </c>
      <c r="O147" s="64">
        <f t="shared" si="68"/>
        <v>9</v>
      </c>
      <c r="P147" s="64">
        <f t="shared" si="69"/>
        <v>22</v>
      </c>
      <c r="Q147" s="64">
        <f t="shared" si="70"/>
        <v>87</v>
      </c>
      <c r="R147" s="64">
        <f t="shared" si="71"/>
        <v>32</v>
      </c>
      <c r="S147" s="64" t="str">
        <f>IFERROR(VLOOKUP(MID(N147,Q147,R147-Q147),[5]skilldef!$C:$D,2,FALSE),"-") &amp; " / " &amp; IFERROR(VLOOKUP(MID(N147,O147,P147-O147),[5]skilldef!$A:$B,2,FALSE),"-")</f>
        <v>- / -</v>
      </c>
      <c r="T147" s="48" t="str">
        <f t="shared" si="72"/>
        <v>[effect:fix_speed, target:myself, turn:1]</v>
      </c>
      <c r="U147" s="64">
        <f t="shared" si="73"/>
        <v>9</v>
      </c>
      <c r="V147" s="64">
        <f t="shared" si="74"/>
        <v>18</v>
      </c>
      <c r="W147" s="64">
        <f t="shared" si="75"/>
        <v>27</v>
      </c>
      <c r="X147" s="64">
        <f t="shared" si="76"/>
        <v>33</v>
      </c>
      <c r="Y147" s="64" t="str">
        <f>IFERROR(VLOOKUP(MID(T147,W147,X147-W147),[5]skilldef!$C:$D,2,FALSE),"-") &amp; " / " &amp; IFERROR(VLOOKUP(MID(T147,U147,V147-U147),[5]skilldef!$A:$B,2,FALSE),"-")</f>
        <v>自分自身に / 行動値設定</v>
      </c>
      <c r="Z147" s="50"/>
      <c r="AA147" s="52"/>
      <c r="AB147" s="50"/>
    </row>
    <row r="148" spans="1:28" ht="40" customHeight="1" x14ac:dyDescent="0.15">
      <c r="A148" s="141">
        <v>47003507</v>
      </c>
      <c r="B148" s="47" t="s">
        <v>384</v>
      </c>
      <c r="C148" s="50">
        <v>3</v>
      </c>
      <c r="D148" s="50" t="s">
        <v>126</v>
      </c>
      <c r="E148" s="51" t="s">
        <v>329</v>
      </c>
      <c r="F148" s="51" t="s">
        <v>356</v>
      </c>
      <c r="G148" s="130" t="str">
        <f t="shared" si="62"/>
        <v>[effect:enemy_message, val1:2.0, val2:1.8]</v>
      </c>
      <c r="H148" s="64">
        <f t="shared" si="63"/>
        <v>9</v>
      </c>
      <c r="I148" s="64">
        <f t="shared" si="64"/>
        <v>22</v>
      </c>
      <c r="J148" s="64" t="e">
        <f t="shared" si="65"/>
        <v>#VALUE!</v>
      </c>
      <c r="K148" s="64">
        <f t="shared" si="66"/>
        <v>32</v>
      </c>
      <c r="L148" s="64" t="str">
        <f>IFERROR(VLOOKUP(MID(G148,J148,K148-J148),[5]skilldef!$C:$D,2,FALSE),"-") &amp; " / " &amp; IFERROR(VLOOKUP(MID(G148,H148,I148-H148),[5]skilldef!$A:$B,2,FALSE),"-")</f>
        <v>- / -</v>
      </c>
      <c r="M148" s="64" t="str">
        <f t="shared" si="67"/>
        <v>[effect:enhance_fever, val:1000, animation:fevergauge_up04],[effect:fix_speed, target:myself, turn:1]</v>
      </c>
      <c r="N148" s="48" t="str">
        <f>IFERROR(LEFT(M148,FIND("],",M148)+#REF!),M148)</f>
        <v>[effect:enhance_fever, val:1000, animation:fevergauge_up04],[effect:fix_speed, target:myself, turn:1]</v>
      </c>
      <c r="O148" s="64">
        <f t="shared" si="68"/>
        <v>9</v>
      </c>
      <c r="P148" s="64">
        <f t="shared" si="69"/>
        <v>22</v>
      </c>
      <c r="Q148" s="64">
        <f t="shared" si="70"/>
        <v>87</v>
      </c>
      <c r="R148" s="64">
        <f t="shared" si="71"/>
        <v>32</v>
      </c>
      <c r="S148" s="64" t="str">
        <f>IFERROR(VLOOKUP(MID(N148,Q148,R148-Q148),[5]skilldef!$C:$D,2,FALSE),"-") &amp; " / " &amp; IFERROR(VLOOKUP(MID(N148,O148,P148-O148),[5]skilldef!$A:$B,2,FALSE),"-")</f>
        <v>- / -</v>
      </c>
      <c r="T148" s="48" t="str">
        <f t="shared" si="72"/>
        <v>[effect:fix_speed, target:myself, turn:1]</v>
      </c>
      <c r="U148" s="64">
        <f t="shared" si="73"/>
        <v>9</v>
      </c>
      <c r="V148" s="64">
        <f t="shared" si="74"/>
        <v>18</v>
      </c>
      <c r="W148" s="64">
        <f t="shared" si="75"/>
        <v>27</v>
      </c>
      <c r="X148" s="64">
        <f t="shared" si="76"/>
        <v>33</v>
      </c>
      <c r="Y148" s="64" t="str">
        <f>IFERROR(VLOOKUP(MID(T148,W148,X148-W148),[5]skilldef!$C:$D,2,FALSE),"-") &amp; " / " &amp; IFERROR(VLOOKUP(MID(T148,U148,V148-U148),[5]skilldef!$A:$B,2,FALSE),"-")</f>
        <v>自分自身に / 行動値設定</v>
      </c>
      <c r="Z148" s="50"/>
      <c r="AA148" s="52"/>
      <c r="AB148" s="50"/>
    </row>
    <row r="149" spans="1:28" ht="40" customHeight="1" x14ac:dyDescent="0.15">
      <c r="A149" s="141">
        <v>47003521</v>
      </c>
      <c r="B149" s="135" t="s">
        <v>385</v>
      </c>
      <c r="C149" s="128">
        <v>3</v>
      </c>
      <c r="D149" s="128" t="s">
        <v>126</v>
      </c>
      <c r="E149" s="51" t="s">
        <v>367</v>
      </c>
      <c r="F149" s="51" t="s">
        <v>363</v>
      </c>
      <c r="G149" s="130" t="str">
        <f t="shared" si="62"/>
        <v>[effect:enemy_message, val1:2.0, val2:1.8]</v>
      </c>
      <c r="H149" s="64">
        <f t="shared" si="63"/>
        <v>9</v>
      </c>
      <c r="I149" s="64">
        <f t="shared" si="64"/>
        <v>22</v>
      </c>
      <c r="J149" s="64" t="e">
        <f t="shared" si="65"/>
        <v>#VALUE!</v>
      </c>
      <c r="K149" s="64">
        <f t="shared" si="66"/>
        <v>32</v>
      </c>
      <c r="L149" s="64" t="str">
        <f>IFERROR(VLOOKUP(MID(G149,J149,K149-J149),[5]skilldef!$C:$D,2,FALSE),"-") &amp; " / " &amp; IFERROR(VLOOKUP(MID(G149,H149,I149-H149),[5]skilldef!$A:$B,2,FALSE),"-")</f>
        <v>- / -</v>
      </c>
      <c r="M149" s="64" t="str">
        <f t="shared" si="67"/>
        <v>[effect:fix_speed, target:myself, turn:1]</v>
      </c>
      <c r="N149" s="48" t="str">
        <f>IFERROR(LEFT(M149,FIND("],",M149)+S164),M149)</f>
        <v>[effect:fix_speed, target:myself, turn:1]</v>
      </c>
      <c r="O149" s="64">
        <f t="shared" si="68"/>
        <v>9</v>
      </c>
      <c r="P149" s="64">
        <f t="shared" si="69"/>
        <v>18</v>
      </c>
      <c r="Q149" s="64">
        <f t="shared" si="70"/>
        <v>27</v>
      </c>
      <c r="R149" s="64">
        <f t="shared" si="71"/>
        <v>33</v>
      </c>
      <c r="S149" s="64" t="str">
        <f>IFERROR(VLOOKUP(MID(N149,Q149,R149-Q149),[5]skilldef!$C:$D,2,FALSE),"-") &amp; " / " &amp; IFERROR(VLOOKUP(MID(N149,O149,P149-O149),[5]skilldef!$A:$B,2,FALSE),"-")</f>
        <v>自分自身に / 行動値設定</v>
      </c>
      <c r="T149" s="48" t="str">
        <f t="shared" si="72"/>
        <v>none</v>
      </c>
      <c r="U149" s="64" t="e">
        <f t="shared" si="73"/>
        <v>#VALUE!</v>
      </c>
      <c r="V149" s="64">
        <f t="shared" si="74"/>
        <v>4</v>
      </c>
      <c r="W149" s="64" t="e">
        <f t="shared" si="75"/>
        <v>#VALUE!</v>
      </c>
      <c r="X149" s="64" t="e">
        <f t="shared" si="76"/>
        <v>#VALUE!</v>
      </c>
      <c r="Y149" s="64" t="str">
        <f>IFERROR(VLOOKUP(MID(T149,W149,X149-W149),[5]skilldef!$C:$D,2,FALSE),"-") &amp; " / " &amp; IFERROR(VLOOKUP(MID(T149,U149,V149-U149),[5]skilldef!$A:$B,2,FALSE),"-")</f>
        <v>- / -</v>
      </c>
      <c r="Z149" s="50"/>
      <c r="AA149" s="52"/>
      <c r="AB149" s="50"/>
    </row>
    <row r="150" spans="1:28" ht="40" customHeight="1" x14ac:dyDescent="0.15">
      <c r="A150" s="141">
        <v>47003522</v>
      </c>
      <c r="B150" s="137" t="s">
        <v>534</v>
      </c>
      <c r="C150" s="128">
        <v>3</v>
      </c>
      <c r="D150" s="128" t="s">
        <v>126</v>
      </c>
      <c r="E150" s="51" t="s">
        <v>364</v>
      </c>
      <c r="F150" s="51" t="s">
        <v>330</v>
      </c>
      <c r="G150" s="130" t="str">
        <f t="shared" si="62"/>
        <v>[effect:enemy_message, val1:1.3, val2:1.8]</v>
      </c>
      <c r="H150" s="64">
        <f t="shared" si="63"/>
        <v>9</v>
      </c>
      <c r="I150" s="64">
        <f t="shared" si="64"/>
        <v>22</v>
      </c>
      <c r="J150" s="64" t="e">
        <f t="shared" si="65"/>
        <v>#VALUE!</v>
      </c>
      <c r="K150" s="64">
        <f t="shared" si="66"/>
        <v>32</v>
      </c>
      <c r="L150" s="64" t="str">
        <f>IFERROR(VLOOKUP(MID(G150,J150,K150-J150),[5]skilldef!$C:$D,2,FALSE),"-") &amp; " / " &amp; IFERROR(VLOOKUP(MID(G150,H150,I150-H150),[5]skilldef!$A:$B,2,FALSE),"-")</f>
        <v>- / -</v>
      </c>
      <c r="M150" s="64" t="str">
        <f t="shared" si="67"/>
        <v>[effect:break_attack_fix, target:unit_one, val:430, lowest_val:1, count:-1, color:red, block_color:block_heart, block01:block_heart, block02:crack_bomb],[effect:fix_speed, target:myself, turn:2]</v>
      </c>
      <c r="N150" s="48" t="str">
        <f>IFERROR(LEFT(M150,FIND("],",M150)+#REF!),M150)</f>
        <v>[effect:break_attack_fix, target:unit_one, val:430, lowest_val:1, count:-1, color:red, block_color:block_heart, block01:block_heart, block02:crack_bomb],[effect:fix_speed, target:myself, turn:2]</v>
      </c>
      <c r="O150" s="64">
        <f t="shared" si="68"/>
        <v>9</v>
      </c>
      <c r="P150" s="64">
        <f t="shared" si="69"/>
        <v>25</v>
      </c>
      <c r="Q150" s="64">
        <f t="shared" si="70"/>
        <v>34</v>
      </c>
      <c r="R150" s="64">
        <f t="shared" si="71"/>
        <v>42</v>
      </c>
      <c r="S150" s="64" t="str">
        <f>IFERROR(VLOOKUP(MID(N150,Q150,R150-Q150),[5]skilldef!$C:$D,2,FALSE),"-") &amp; " / " &amp; IFERROR(VLOOKUP(MID(N150,O150,P150-O150),[5]skilldef!$A:$B,2,FALSE),"-")</f>
        <v>味方単体に / -</v>
      </c>
      <c r="T150" s="48" t="str">
        <f t="shared" si="72"/>
        <v>[effect:fix_speed, target:myself, turn:2]</v>
      </c>
      <c r="U150" s="64">
        <f t="shared" si="73"/>
        <v>9</v>
      </c>
      <c r="V150" s="64">
        <f t="shared" si="74"/>
        <v>18</v>
      </c>
      <c r="W150" s="64">
        <f t="shared" si="75"/>
        <v>27</v>
      </c>
      <c r="X150" s="64">
        <f t="shared" si="76"/>
        <v>33</v>
      </c>
      <c r="Y150" s="64" t="str">
        <f>IFERROR(VLOOKUP(MID(T150,W150,X150-W150),[5]skilldef!$C:$D,2,FALSE),"-") &amp; " / " &amp; IFERROR(VLOOKUP(MID(T150,U150,V150-U150),[5]skilldef!$A:$B,2,FALSE),"-")</f>
        <v>自分自身に / 行動値設定</v>
      </c>
      <c r="Z150" s="50"/>
      <c r="AA150" s="52"/>
      <c r="AB150" s="50"/>
    </row>
    <row r="151" spans="1:28" ht="40" customHeight="1" x14ac:dyDescent="0.15">
      <c r="A151" s="141">
        <v>47003523</v>
      </c>
      <c r="B151" s="47" t="s">
        <v>590</v>
      </c>
      <c r="C151" s="128">
        <v>3</v>
      </c>
      <c r="D151" s="128" t="s">
        <v>126</v>
      </c>
      <c r="E151" s="51" t="s">
        <v>331</v>
      </c>
      <c r="F151" s="51" t="s">
        <v>609</v>
      </c>
      <c r="G151" s="130" t="str">
        <f t="shared" si="62"/>
        <v>[effect:enemy_message, val1:1.0, val2:3.3]</v>
      </c>
      <c r="H151" s="64">
        <f t="shared" si="63"/>
        <v>9</v>
      </c>
      <c r="I151" s="64">
        <f t="shared" si="64"/>
        <v>22</v>
      </c>
      <c r="J151" s="64" t="e">
        <f t="shared" si="65"/>
        <v>#VALUE!</v>
      </c>
      <c r="K151" s="64">
        <f t="shared" si="66"/>
        <v>32</v>
      </c>
      <c r="L151" s="64" t="str">
        <f>IFERROR(VLOOKUP(MID(G151,J151,K151-J151),[5]skilldef!$C:$D,2,FALSE),"-") &amp; " / " &amp; IFERROR(VLOOKUP(MID(G151,H151,I151-H151),[5]skilldef!$A:$B,2,FALSE),"-")</f>
        <v>- / -</v>
      </c>
      <c r="M151" s="64" t="str">
        <f t="shared" si="67"/>
        <v>[effect:damage_anti_tribe, target:unit_all, tribe:machine, val1:0.5, val2:0.25],[effect:hungup, target:unit_machine, turn:4, rate:1, animation:hungup02]</v>
      </c>
      <c r="N151" s="48" t="str">
        <f>IFERROR(LEFT(M151,FIND("],",M151)+S164),M151)</f>
        <v>[effect:damage_anti_tribe, target:unit_all, tribe:machine, val1:0.5, val2:0.25],[effect:hungup, target:unit_machine, turn:4, rate:1, animation:hungup02]</v>
      </c>
      <c r="O151" s="64">
        <f t="shared" si="68"/>
        <v>9</v>
      </c>
      <c r="P151" s="64">
        <f t="shared" si="69"/>
        <v>26</v>
      </c>
      <c r="Q151" s="64">
        <f t="shared" si="70"/>
        <v>35</v>
      </c>
      <c r="R151" s="64">
        <f t="shared" si="71"/>
        <v>43</v>
      </c>
      <c r="S151" s="64" t="str">
        <f>IFERROR(VLOOKUP(MID(N151,Q151,R151-Q151),[5]skilldef!$C:$D,2,FALSE),"-") &amp; " / " &amp; IFERROR(VLOOKUP(MID(N151,O151,P151-O151),[5]skilldef!$A:$B,2,FALSE),"-")</f>
        <v>味方全体に / 種族キラー</v>
      </c>
      <c r="T151" s="48" t="str">
        <f t="shared" si="72"/>
        <v>[effect:hungup, target:unit_machine, turn:4, rate:1, animation:hungup02]</v>
      </c>
      <c r="U151" s="64">
        <f t="shared" si="73"/>
        <v>9</v>
      </c>
      <c r="V151" s="64">
        <f t="shared" si="74"/>
        <v>15</v>
      </c>
      <c r="W151" s="64">
        <f t="shared" si="75"/>
        <v>24</v>
      </c>
      <c r="X151" s="64">
        <f t="shared" si="76"/>
        <v>36</v>
      </c>
      <c r="Y151" s="64" t="str">
        <f>IFERROR(VLOOKUP(MID(T151,W151,X151-W151),[5]skilldef!$C:$D,2,FALSE),"-") &amp; " / " &amp; IFERROR(VLOOKUP(MID(T151,U151,V151-U151),[5]skilldef!$A:$B,2,FALSE),"-")</f>
        <v>- / ハングアップ</v>
      </c>
      <c r="Z151" s="50"/>
      <c r="AA151" s="52"/>
      <c r="AB151" s="50"/>
    </row>
    <row r="152" spans="1:28" ht="40" customHeight="1" x14ac:dyDescent="0.15">
      <c r="A152" s="141">
        <v>47003524</v>
      </c>
      <c r="B152" s="47" t="s">
        <v>394</v>
      </c>
      <c r="C152" s="128">
        <v>3</v>
      </c>
      <c r="D152" s="128" t="s">
        <v>126</v>
      </c>
      <c r="E152" s="51" t="s">
        <v>332</v>
      </c>
      <c r="F152" s="51" t="s">
        <v>365</v>
      </c>
      <c r="G152" s="130" t="str">
        <f t="shared" si="62"/>
        <v>[effect:rush, count:2, val:0.35]</v>
      </c>
      <c r="H152" s="64">
        <f t="shared" si="63"/>
        <v>9</v>
      </c>
      <c r="I152" s="64">
        <f t="shared" si="64"/>
        <v>13</v>
      </c>
      <c r="J152" s="64" t="e">
        <f t="shared" si="65"/>
        <v>#VALUE!</v>
      </c>
      <c r="K152" s="64">
        <f t="shared" si="66"/>
        <v>22</v>
      </c>
      <c r="L152" s="64" t="str">
        <f>IFERROR(VLOOKUP(MID(G152,J152,K152-J152),[5]skilldef!$C:$D,2,FALSE),"-") &amp; " / " &amp; IFERROR(VLOOKUP(MID(G152,H152,I152-H152),[5]skilldef!$A:$B,2,FALSE),"-")</f>
        <v>- / 連続攻撃</v>
      </c>
      <c r="M152" s="64" t="str">
        <f t="shared" si="67"/>
        <v>none</v>
      </c>
      <c r="N152" s="48" t="str">
        <f>IFERROR(LEFT(M152,FIND("],",M152)+S165),M152)</f>
        <v>none</v>
      </c>
      <c r="O152" s="64" t="e">
        <f t="shared" si="68"/>
        <v>#VALUE!</v>
      </c>
      <c r="P152" s="64">
        <f t="shared" si="69"/>
        <v>4</v>
      </c>
      <c r="Q152" s="64" t="e">
        <f t="shared" si="70"/>
        <v>#VALUE!</v>
      </c>
      <c r="R152" s="64" t="e">
        <f t="shared" si="71"/>
        <v>#VALUE!</v>
      </c>
      <c r="S152" s="64" t="str">
        <f>IFERROR(VLOOKUP(MID(N152,Q152,R152-Q152),[5]skilldef!$C:$D,2,FALSE),"-") &amp; " / " &amp; IFERROR(VLOOKUP(MID(N152,O152,P152-O152),[5]skilldef!$A:$B,2,FALSE),"-")</f>
        <v>- / -</v>
      </c>
      <c r="T152" s="48" t="str">
        <f t="shared" si="72"/>
        <v>none</v>
      </c>
      <c r="U152" s="64" t="e">
        <f t="shared" si="73"/>
        <v>#VALUE!</v>
      </c>
      <c r="V152" s="64">
        <f t="shared" si="74"/>
        <v>4</v>
      </c>
      <c r="W152" s="64" t="e">
        <f t="shared" si="75"/>
        <v>#VALUE!</v>
      </c>
      <c r="X152" s="64" t="e">
        <f t="shared" si="76"/>
        <v>#VALUE!</v>
      </c>
      <c r="Y152" s="64" t="str">
        <f>IFERROR(VLOOKUP(MID(T152,W152,X152-W152),[5]skilldef!$C:$D,2,FALSE),"-") &amp; " / " &amp; IFERROR(VLOOKUP(MID(T152,U152,V152-U152),[5]skilldef!$A:$B,2,FALSE),"-")</f>
        <v>- / -</v>
      </c>
      <c r="Z152" s="50"/>
      <c r="AA152" s="52"/>
      <c r="AB152" s="50"/>
    </row>
    <row r="153" spans="1:28" ht="40" customHeight="1" x14ac:dyDescent="0.15">
      <c r="A153" s="141">
        <v>47003525</v>
      </c>
      <c r="B153" s="137" t="s">
        <v>535</v>
      </c>
      <c r="C153" s="128">
        <v>3</v>
      </c>
      <c r="D153" s="128" t="s">
        <v>126</v>
      </c>
      <c r="E153" s="51" t="s">
        <v>333</v>
      </c>
      <c r="F153" s="51" t="s">
        <v>330</v>
      </c>
      <c r="G153" s="130" t="str">
        <f t="shared" si="62"/>
        <v>[effect:enemy_message, val1:1.5, val2:2.0]</v>
      </c>
      <c r="H153" s="64">
        <f t="shared" si="63"/>
        <v>9</v>
      </c>
      <c r="I153" s="64">
        <f t="shared" si="64"/>
        <v>22</v>
      </c>
      <c r="J153" s="64" t="e">
        <f t="shared" si="65"/>
        <v>#VALUE!</v>
      </c>
      <c r="K153" s="64">
        <f t="shared" si="66"/>
        <v>32</v>
      </c>
      <c r="L153" s="64" t="str">
        <f>IFERROR(VLOOKUP(MID(G153,J153,K153-J153),[5]skilldef!$C:$D,2,FALSE),"-") &amp; " / " &amp; IFERROR(VLOOKUP(MID(G153,H153,I153-H153),[5]skilldef!$A:$B,2,FALSE),"-")</f>
        <v>- / -</v>
      </c>
      <c r="M153" s="64" t="str">
        <f t="shared" si="67"/>
        <v>[effect:break_attack_fix, target:unit_one, val:540, lowest_val:1, count:-1, color:red, block_color:block_heart, block01:block_heart, block02:crack_bomb]</v>
      </c>
      <c r="N153" s="48" t="str">
        <f>IFERROR(LEFT(M153,FIND("],",M153)+S165),M153)</f>
        <v>[effect:break_attack_fix, target:unit_one, val:540, lowest_val:1, count:-1, color:red, block_color:block_heart, block01:block_heart, block02:crack_bomb]</v>
      </c>
      <c r="O153" s="64">
        <f t="shared" si="68"/>
        <v>9</v>
      </c>
      <c r="P153" s="64">
        <f t="shared" si="69"/>
        <v>25</v>
      </c>
      <c r="Q153" s="64">
        <f t="shared" si="70"/>
        <v>34</v>
      </c>
      <c r="R153" s="64">
        <f t="shared" si="71"/>
        <v>42</v>
      </c>
      <c r="S153" s="64" t="str">
        <f>IFERROR(VLOOKUP(MID(N153,Q153,R153-Q153),[5]skilldef!$C:$D,2,FALSE),"-") &amp; " / " &amp; IFERROR(VLOOKUP(MID(N153,O153,P153-O153),[5]skilldef!$A:$B,2,FALSE),"-")</f>
        <v>味方単体に / -</v>
      </c>
      <c r="T153" s="48" t="str">
        <f t="shared" si="72"/>
        <v>none</v>
      </c>
      <c r="U153" s="64" t="e">
        <f t="shared" si="73"/>
        <v>#VALUE!</v>
      </c>
      <c r="V153" s="64">
        <f t="shared" si="74"/>
        <v>4</v>
      </c>
      <c r="W153" s="64" t="e">
        <f t="shared" si="75"/>
        <v>#VALUE!</v>
      </c>
      <c r="X153" s="64" t="e">
        <f t="shared" si="76"/>
        <v>#VALUE!</v>
      </c>
      <c r="Y153" s="64" t="str">
        <f>IFERROR(VLOOKUP(MID(T153,W153,X153-W153),[5]skilldef!$C:$D,2,FALSE),"-") &amp; " / " &amp; IFERROR(VLOOKUP(MID(T153,U153,V153-U153),[5]skilldef!$A:$B,2,FALSE),"-")</f>
        <v>- / -</v>
      </c>
      <c r="Z153" s="50"/>
      <c r="AA153" s="52"/>
      <c r="AB153" s="50"/>
    </row>
    <row r="154" spans="1:28" ht="40" customHeight="1" x14ac:dyDescent="0.15">
      <c r="A154" s="141">
        <v>47003526</v>
      </c>
      <c r="B154" s="135" t="s">
        <v>576</v>
      </c>
      <c r="C154" s="136">
        <v>3</v>
      </c>
      <c r="D154" s="136" t="s">
        <v>126</v>
      </c>
      <c r="E154" s="139" t="s">
        <v>334</v>
      </c>
      <c r="F154" s="51" t="s">
        <v>356</v>
      </c>
      <c r="G154" s="130" t="str">
        <f t="shared" si="62"/>
        <v>[effect:enemy_message, val1:1.5, val2:1.8]</v>
      </c>
      <c r="H154" s="64">
        <f t="shared" si="63"/>
        <v>9</v>
      </c>
      <c r="I154" s="64">
        <f t="shared" si="64"/>
        <v>22</v>
      </c>
      <c r="J154" s="64" t="e">
        <f t="shared" si="65"/>
        <v>#VALUE!</v>
      </c>
      <c r="K154" s="64">
        <f t="shared" si="66"/>
        <v>32</v>
      </c>
      <c r="L154" s="64" t="str">
        <f>IFERROR(VLOOKUP(MID(G154,J154,K154-J154),[5]skilldef!$C:$D,2,FALSE),"-") &amp; " / " &amp; IFERROR(VLOOKUP(MID(G154,H154,I154-H154),[5]skilldef!$A:$B,2,FALSE),"-")</f>
        <v>- / -</v>
      </c>
      <c r="M154" s="64" t="str">
        <f t="shared" si="67"/>
        <v>[effect:enhance_fever, val:1000, animation:fevergauge_up04],[effect:fix_speed, target:myself, turn:1]</v>
      </c>
      <c r="N154" s="48" t="str">
        <f>IFERROR(LEFT(M154,FIND("],",M154)+#REF!),M154)</f>
        <v>[effect:enhance_fever, val:1000, animation:fevergauge_up04],[effect:fix_speed, target:myself, turn:1]</v>
      </c>
      <c r="O154" s="64">
        <f t="shared" si="68"/>
        <v>9</v>
      </c>
      <c r="P154" s="64">
        <f t="shared" si="69"/>
        <v>22</v>
      </c>
      <c r="Q154" s="64">
        <f t="shared" si="70"/>
        <v>87</v>
      </c>
      <c r="R154" s="64">
        <f t="shared" si="71"/>
        <v>32</v>
      </c>
      <c r="S154" s="64" t="str">
        <f>IFERROR(VLOOKUP(MID(N154,Q154,R154-Q154),[5]skilldef!$C:$D,2,FALSE),"-") &amp; " / " &amp; IFERROR(VLOOKUP(MID(N154,O154,P154-O154),[5]skilldef!$A:$B,2,FALSE),"-")</f>
        <v>- / -</v>
      </c>
      <c r="T154" s="48" t="str">
        <f t="shared" si="72"/>
        <v>[effect:fix_speed, target:myself, turn:1]</v>
      </c>
      <c r="U154" s="64">
        <f t="shared" si="73"/>
        <v>9</v>
      </c>
      <c r="V154" s="64">
        <f t="shared" si="74"/>
        <v>18</v>
      </c>
      <c r="W154" s="64">
        <f t="shared" si="75"/>
        <v>27</v>
      </c>
      <c r="X154" s="64">
        <f t="shared" si="76"/>
        <v>33</v>
      </c>
      <c r="Y154" s="64" t="str">
        <f>IFERROR(VLOOKUP(MID(T154,W154,X154-W154),[5]skilldef!$C:$D,2,FALSE),"-") &amp; " / " &amp; IFERROR(VLOOKUP(MID(T154,U154,V154-U154),[5]skilldef!$A:$B,2,FALSE),"-")</f>
        <v>自分自身に / 行動値設定</v>
      </c>
      <c r="Z154" s="50"/>
      <c r="AA154" s="52"/>
      <c r="AB154" s="50"/>
    </row>
    <row r="155" spans="1:28" ht="40" customHeight="1" x14ac:dyDescent="0.15">
      <c r="A155" s="141">
        <v>47003527</v>
      </c>
      <c r="B155" s="135" t="s">
        <v>573</v>
      </c>
      <c r="C155" s="136">
        <v>3</v>
      </c>
      <c r="D155" s="136" t="s">
        <v>126</v>
      </c>
      <c r="E155" s="139" t="s">
        <v>284</v>
      </c>
      <c r="F155" s="51" t="s">
        <v>370</v>
      </c>
      <c r="G155" s="130" t="str">
        <f t="shared" si="62"/>
        <v>[effect:enemy_message, val1:1.5, val2:1.8]</v>
      </c>
      <c r="H155" s="64">
        <f t="shared" si="63"/>
        <v>9</v>
      </c>
      <c r="I155" s="64">
        <f t="shared" si="64"/>
        <v>22</v>
      </c>
      <c r="J155" s="64" t="e">
        <f t="shared" si="65"/>
        <v>#VALUE!</v>
      </c>
      <c r="K155" s="64">
        <f t="shared" si="66"/>
        <v>32</v>
      </c>
      <c r="L155" s="64" t="str">
        <f>IFERROR(VLOOKUP(MID(G155,J155,K155-J155),[5]skilldef!$C:$D,2,FALSE),"-") &amp; " / " &amp; IFERROR(VLOOKUP(MID(G155,H155,I155-H155),[5]skilldef!$A:$B,2,FALSE),"-")</f>
        <v>- / -</v>
      </c>
      <c r="M155" s="64" t="str">
        <f t="shared" si="67"/>
        <v>[effect:enhance_fever, val:1000, animation:fevergauge_up04],[effect:fix_speed, target:myself, turn:1]</v>
      </c>
      <c r="N155" s="48" t="str">
        <f>IFERROR(LEFT(M155,FIND("],",M155)+S167),M155)</f>
        <v>[effect:enhance_fever, val:1000, animation:fevergauge_up04],[effect:fix_speed, target:myself, turn:1]</v>
      </c>
      <c r="O155" s="64">
        <f t="shared" si="68"/>
        <v>9</v>
      </c>
      <c r="P155" s="64">
        <f t="shared" si="69"/>
        <v>22</v>
      </c>
      <c r="Q155" s="64">
        <f t="shared" si="70"/>
        <v>87</v>
      </c>
      <c r="R155" s="64">
        <f t="shared" si="71"/>
        <v>32</v>
      </c>
      <c r="S155" s="64" t="str">
        <f>IFERROR(VLOOKUP(MID(N155,Q155,R155-Q155),[5]skilldef!$C:$D,2,FALSE),"-") &amp; " / " &amp; IFERROR(VLOOKUP(MID(N155,O155,P155-O155),[5]skilldef!$A:$B,2,FALSE),"-")</f>
        <v>- / -</v>
      </c>
      <c r="T155" s="48" t="str">
        <f t="shared" si="72"/>
        <v>[effect:fix_speed, target:myself, turn:1]</v>
      </c>
      <c r="U155" s="64">
        <f t="shared" si="73"/>
        <v>9</v>
      </c>
      <c r="V155" s="64">
        <f t="shared" si="74"/>
        <v>18</v>
      </c>
      <c r="W155" s="64">
        <f t="shared" si="75"/>
        <v>27</v>
      </c>
      <c r="X155" s="64">
        <f t="shared" si="76"/>
        <v>33</v>
      </c>
      <c r="Y155" s="64" t="str">
        <f>IFERROR(VLOOKUP(MID(T155,W155,X155-W155),[5]skilldef!$C:$D,2,FALSE),"-") &amp; " / " &amp; IFERROR(VLOOKUP(MID(T155,U155,V155-U155),[5]skilldef!$A:$B,2,FALSE),"-")</f>
        <v>自分自身に / 行動値設定</v>
      </c>
      <c r="Z155" s="50"/>
      <c r="AA155" s="52"/>
      <c r="AB155" s="50"/>
    </row>
    <row r="156" spans="1:28" ht="40" customHeight="1" x14ac:dyDescent="0.15">
      <c r="A156" s="141">
        <v>47003541</v>
      </c>
      <c r="B156" s="137" t="s">
        <v>591</v>
      </c>
      <c r="C156" s="50">
        <v>3</v>
      </c>
      <c r="D156" s="50" t="s">
        <v>126</v>
      </c>
      <c r="E156" s="51" t="s">
        <v>285</v>
      </c>
      <c r="F156" s="143" t="s">
        <v>399</v>
      </c>
      <c r="G156" s="130" t="str">
        <f t="shared" si="62"/>
        <v>[effect:enemy_message, val1:1.3, val2:2.0]</v>
      </c>
      <c r="H156" s="64">
        <f t="shared" si="63"/>
        <v>9</v>
      </c>
      <c r="I156" s="64">
        <f t="shared" si="64"/>
        <v>22</v>
      </c>
      <c r="J156" s="64" t="e">
        <f t="shared" si="65"/>
        <v>#VALUE!</v>
      </c>
      <c r="K156" s="64">
        <f t="shared" si="66"/>
        <v>32</v>
      </c>
      <c r="L156" s="64" t="str">
        <f>IFERROR(VLOOKUP(MID(G156,J156,K156-J156),[5]skilldef!$C:$D,2,FALSE),"-") &amp; " / " &amp; IFERROR(VLOOKUP(MID(G156,H156,I156-H156),[5]skilldef!$A:$B,2,FALSE),"-")</f>
        <v>- / -</v>
      </c>
      <c r="M156" s="64" t="str">
        <f t="shared" si="67"/>
        <v>[effect:dark, target:unit_demon/not, turn:5, animation:enemy_dark],[effect:fix_speed, target:myself, turn:2]</v>
      </c>
      <c r="N156" s="48" t="str">
        <f>IFERROR(LEFT(M156,FIND("],",M156)+#REF!),M156)</f>
        <v>[effect:dark, target:unit_demon/not, turn:5, animation:enemy_dark],[effect:fix_speed, target:myself, turn:2]</v>
      </c>
      <c r="O156" s="64">
        <f t="shared" si="68"/>
        <v>9</v>
      </c>
      <c r="P156" s="64">
        <f t="shared" si="69"/>
        <v>13</v>
      </c>
      <c r="Q156" s="64">
        <f t="shared" si="70"/>
        <v>22</v>
      </c>
      <c r="R156" s="64">
        <f t="shared" si="71"/>
        <v>36</v>
      </c>
      <c r="S156" s="64" t="str">
        <f>IFERROR(VLOOKUP(MID(N156,Q156,R156-Q156),[5]skilldef!$C:$D,2,FALSE),"-") &amp; " / " &amp; IFERROR(VLOOKUP(MID(N156,O156,P156-O156),[5]skilldef!$A:$B,2,FALSE),"-")</f>
        <v>- / 暗黒</v>
      </c>
      <c r="T156" s="48" t="str">
        <f t="shared" si="72"/>
        <v>[effect:fix_speed, target:myself, turn:2]</v>
      </c>
      <c r="U156" s="64">
        <f t="shared" si="73"/>
        <v>9</v>
      </c>
      <c r="V156" s="64">
        <f t="shared" si="74"/>
        <v>18</v>
      </c>
      <c r="W156" s="64">
        <f t="shared" si="75"/>
        <v>27</v>
      </c>
      <c r="X156" s="64">
        <f t="shared" si="76"/>
        <v>33</v>
      </c>
      <c r="Y156" s="64" t="str">
        <f>IFERROR(VLOOKUP(MID(T156,W156,X156-W156),[5]skilldef!$C:$D,2,FALSE),"-") &amp; " / " &amp; IFERROR(VLOOKUP(MID(T156,U156,V156-U156),[5]skilldef!$A:$B,2,FALSE),"-")</f>
        <v>自分自身に / 行動値設定</v>
      </c>
      <c r="Z156" s="50"/>
      <c r="AA156" s="52"/>
      <c r="AB156" s="50"/>
    </row>
    <row r="157" spans="1:28" ht="40" customHeight="1" x14ac:dyDescent="0.15">
      <c r="A157" s="141">
        <v>47003542</v>
      </c>
      <c r="B157" s="137" t="s">
        <v>416</v>
      </c>
      <c r="C157" s="50">
        <v>3</v>
      </c>
      <c r="D157" s="50" t="s">
        <v>126</v>
      </c>
      <c r="E157" s="51" t="s">
        <v>335</v>
      </c>
      <c r="F157" s="51" t="s">
        <v>336</v>
      </c>
      <c r="G157" s="130" t="str">
        <f t="shared" si="62"/>
        <v>[effect:damage_anti_abnormal, target:unit_all, target_effect01:dark, val1:0.66, val2:0.33]</v>
      </c>
      <c r="H157" s="64">
        <f t="shared" si="63"/>
        <v>9</v>
      </c>
      <c r="I157" s="64">
        <f t="shared" si="64"/>
        <v>29</v>
      </c>
      <c r="J157" s="64">
        <f t="shared" si="65"/>
        <v>38</v>
      </c>
      <c r="K157" s="64">
        <f t="shared" si="66"/>
        <v>46</v>
      </c>
      <c r="L157" s="64" t="str">
        <f>IFERROR(VLOOKUP(MID(G157,J157,K157-J157),[5]skilldef!$C:$D,2,FALSE),"-") &amp; " / " &amp; IFERROR(VLOOKUP(MID(G157,H157,I157-H157),[5]skilldef!$A:$B,2,FALSE),"-")</f>
        <v>味方全体に / -</v>
      </c>
      <c r="M157" s="64" t="str">
        <f t="shared" si="67"/>
        <v>none</v>
      </c>
      <c r="N157" s="48" t="str">
        <f>IFERROR(LEFT(M157,FIND("],",M157)+#REF!),M157)</f>
        <v>none</v>
      </c>
      <c r="O157" s="64" t="e">
        <f t="shared" si="68"/>
        <v>#VALUE!</v>
      </c>
      <c r="P157" s="64">
        <f t="shared" si="69"/>
        <v>4</v>
      </c>
      <c r="Q157" s="64" t="e">
        <f t="shared" si="70"/>
        <v>#VALUE!</v>
      </c>
      <c r="R157" s="64" t="e">
        <f t="shared" si="71"/>
        <v>#VALUE!</v>
      </c>
      <c r="S157" s="64" t="str">
        <f>IFERROR(VLOOKUP(MID(N157,Q157,R157-Q157),[5]skilldef!$C:$D,2,FALSE),"-") &amp; " / " &amp; IFERROR(VLOOKUP(MID(N157,O157,P157-O157),[5]skilldef!$A:$B,2,FALSE),"-")</f>
        <v>- / -</v>
      </c>
      <c r="T157" s="48" t="str">
        <f t="shared" si="72"/>
        <v>none</v>
      </c>
      <c r="U157" s="64" t="e">
        <f t="shared" si="73"/>
        <v>#VALUE!</v>
      </c>
      <c r="V157" s="64">
        <f t="shared" si="74"/>
        <v>4</v>
      </c>
      <c r="W157" s="64" t="e">
        <f t="shared" si="75"/>
        <v>#VALUE!</v>
      </c>
      <c r="X157" s="64" t="e">
        <f t="shared" si="76"/>
        <v>#VALUE!</v>
      </c>
      <c r="Y157" s="64" t="str">
        <f>IFERROR(VLOOKUP(MID(T157,W157,X157-W157),[5]skilldef!$C:$D,2,FALSE),"-") &amp; " / " &amp; IFERROR(VLOOKUP(MID(T157,U157,V157-U157),[5]skilldef!$A:$B,2,FALSE),"-")</f>
        <v>- / -</v>
      </c>
      <c r="Z157" s="50"/>
      <c r="AA157" s="52"/>
      <c r="AB157" s="50"/>
    </row>
    <row r="158" spans="1:28" ht="40" customHeight="1" x14ac:dyDescent="0.15">
      <c r="A158" s="141">
        <v>47003544</v>
      </c>
      <c r="B158" s="137" t="s">
        <v>453</v>
      </c>
      <c r="C158" s="50">
        <v>3</v>
      </c>
      <c r="D158" s="50" t="s">
        <v>126</v>
      </c>
      <c r="E158" s="51" t="s">
        <v>338</v>
      </c>
      <c r="F158" s="51" t="s">
        <v>339</v>
      </c>
      <c r="G158" s="130" t="str">
        <f t="shared" si="62"/>
        <v xml:space="preserve">[effect:break_attack_fix, target:unit_one, val:150, lowest_val:6500, count:-1, color:yellow, block01:block_yellow]    </v>
      </c>
      <c r="H158" s="64">
        <f t="shared" si="63"/>
        <v>9</v>
      </c>
      <c r="I158" s="64">
        <f t="shared" si="64"/>
        <v>25</v>
      </c>
      <c r="J158" s="64">
        <f t="shared" si="65"/>
        <v>34</v>
      </c>
      <c r="K158" s="64">
        <f t="shared" si="66"/>
        <v>42</v>
      </c>
      <c r="L158" s="64" t="str">
        <f>IFERROR(VLOOKUP(MID(G158,J158,K158-J158),[5]skilldef!$C:$D,2,FALSE),"-") &amp; " / " &amp; IFERROR(VLOOKUP(MID(G158,H158,I158-H158),[5]skilldef!$A:$B,2,FALSE),"-")</f>
        <v>味方単体に / -</v>
      </c>
      <c r="M158" s="64" t="str">
        <f t="shared" si="67"/>
        <v>none</v>
      </c>
      <c r="N158" s="48" t="str">
        <f>IFERROR(LEFT(M158,FIND("],",M158)+#REF!),M158)</f>
        <v>none</v>
      </c>
      <c r="O158" s="64" t="e">
        <f t="shared" si="68"/>
        <v>#VALUE!</v>
      </c>
      <c r="P158" s="64">
        <f t="shared" si="69"/>
        <v>4</v>
      </c>
      <c r="Q158" s="64" t="e">
        <f t="shared" si="70"/>
        <v>#VALUE!</v>
      </c>
      <c r="R158" s="64" t="e">
        <f t="shared" si="71"/>
        <v>#VALUE!</v>
      </c>
      <c r="S158" s="64" t="str">
        <f>IFERROR(VLOOKUP(MID(N158,Q158,R158-Q158),[5]skilldef!$C:$D,2,FALSE),"-") &amp; " / " &amp; IFERROR(VLOOKUP(MID(N158,O158,P158-O158),[5]skilldef!$A:$B,2,FALSE),"-")</f>
        <v>- / -</v>
      </c>
      <c r="T158" s="48" t="str">
        <f t="shared" si="72"/>
        <v>none</v>
      </c>
      <c r="U158" s="64" t="e">
        <f t="shared" si="73"/>
        <v>#VALUE!</v>
      </c>
      <c r="V158" s="64">
        <f t="shared" si="74"/>
        <v>4</v>
      </c>
      <c r="W158" s="64" t="e">
        <f t="shared" si="75"/>
        <v>#VALUE!</v>
      </c>
      <c r="X158" s="64" t="e">
        <f t="shared" si="76"/>
        <v>#VALUE!</v>
      </c>
      <c r="Y158" s="64" t="str">
        <f>IFERROR(VLOOKUP(MID(T158,W158,X158-W158),[5]skilldef!$C:$D,2,FALSE),"-") &amp; " / " &amp; IFERROR(VLOOKUP(MID(T158,U158,V158-U158),[5]skilldef!$A:$B,2,FALSE),"-")</f>
        <v>- / -</v>
      </c>
      <c r="Z158" s="50"/>
      <c r="AA158" s="52"/>
      <c r="AB158" s="50"/>
    </row>
    <row r="159" spans="1:28" ht="40" customHeight="1" x14ac:dyDescent="0.15">
      <c r="A159" s="141">
        <v>47003545</v>
      </c>
      <c r="B159" s="137" t="s">
        <v>601</v>
      </c>
      <c r="C159" s="50">
        <v>3</v>
      </c>
      <c r="D159" s="50" t="s">
        <v>126</v>
      </c>
      <c r="E159" s="51" t="s">
        <v>340</v>
      </c>
      <c r="F159" s="143" t="s">
        <v>399</v>
      </c>
      <c r="G159" s="130" t="str">
        <f t="shared" si="62"/>
        <v>[effect:enemy_message, val1:2.2, val2:2.0]</v>
      </c>
      <c r="H159" s="64">
        <f t="shared" si="63"/>
        <v>9</v>
      </c>
      <c r="I159" s="64">
        <f t="shared" si="64"/>
        <v>22</v>
      </c>
      <c r="J159" s="64" t="e">
        <f t="shared" si="65"/>
        <v>#VALUE!</v>
      </c>
      <c r="K159" s="64">
        <f t="shared" si="66"/>
        <v>32</v>
      </c>
      <c r="L159" s="64" t="str">
        <f>IFERROR(VLOOKUP(MID(G159,J159,K159-J159),[5]skilldef!$C:$D,2,FALSE),"-") &amp; " / " &amp; IFERROR(VLOOKUP(MID(G159,H159,I159-H159),[5]skilldef!$A:$B,2,FALSE),"-")</f>
        <v>- / -</v>
      </c>
      <c r="M159" s="64" t="str">
        <f t="shared" si="67"/>
        <v>[effect:dark, target:unit_demon/not, turn:5, animation:enemy_dark],[effect:fix_speed, target:myself, turn:2]</v>
      </c>
      <c r="N159" s="48" t="str">
        <f>IFERROR(LEFT(M159,FIND("],",M159)+#REF!),M159)</f>
        <v>[effect:dark, target:unit_demon/not, turn:5, animation:enemy_dark],[effect:fix_speed, target:myself, turn:2]</v>
      </c>
      <c r="O159" s="64">
        <f t="shared" si="68"/>
        <v>9</v>
      </c>
      <c r="P159" s="64">
        <f t="shared" si="69"/>
        <v>13</v>
      </c>
      <c r="Q159" s="64">
        <f t="shared" si="70"/>
        <v>22</v>
      </c>
      <c r="R159" s="64">
        <f t="shared" si="71"/>
        <v>36</v>
      </c>
      <c r="S159" s="64" t="str">
        <f>IFERROR(VLOOKUP(MID(N159,Q159,R159-Q159),[5]skilldef!$C:$D,2,FALSE),"-") &amp; " / " &amp; IFERROR(VLOOKUP(MID(N159,O159,P159-O159),[5]skilldef!$A:$B,2,FALSE),"-")</f>
        <v>- / 暗黒</v>
      </c>
      <c r="T159" s="48" t="str">
        <f t="shared" si="72"/>
        <v>[effect:fix_speed, target:myself, turn:2]</v>
      </c>
      <c r="U159" s="64">
        <f t="shared" si="73"/>
        <v>9</v>
      </c>
      <c r="V159" s="64">
        <f t="shared" si="74"/>
        <v>18</v>
      </c>
      <c r="W159" s="64">
        <f t="shared" si="75"/>
        <v>27</v>
      </c>
      <c r="X159" s="64">
        <f t="shared" si="76"/>
        <v>33</v>
      </c>
      <c r="Y159" s="64" t="str">
        <f>IFERROR(VLOOKUP(MID(T159,W159,X159-W159),[5]skilldef!$C:$D,2,FALSE),"-") &amp; " / " &amp; IFERROR(VLOOKUP(MID(T159,U159,V159-U159),[5]skilldef!$A:$B,2,FALSE),"-")</f>
        <v>自分自身に / 行動値設定</v>
      </c>
      <c r="Z159" s="50"/>
      <c r="AA159" s="52"/>
      <c r="AB159" s="50"/>
    </row>
    <row r="160" spans="1:28" ht="40" customHeight="1" x14ac:dyDescent="0.15">
      <c r="A160" s="141">
        <v>47003546</v>
      </c>
      <c r="B160" s="137" t="s">
        <v>602</v>
      </c>
      <c r="C160" s="50">
        <v>3</v>
      </c>
      <c r="D160" s="50" t="s">
        <v>126</v>
      </c>
      <c r="E160" s="51" t="s">
        <v>341</v>
      </c>
      <c r="F160" s="143" t="s">
        <v>399</v>
      </c>
      <c r="G160" s="130" t="str">
        <f t="shared" si="62"/>
        <v>[effect:enemy_message, val1:2.2, val2:2.0]</v>
      </c>
      <c r="H160" s="64">
        <f t="shared" si="63"/>
        <v>9</v>
      </c>
      <c r="I160" s="64">
        <f t="shared" si="64"/>
        <v>22</v>
      </c>
      <c r="J160" s="64" t="e">
        <f t="shared" si="65"/>
        <v>#VALUE!</v>
      </c>
      <c r="K160" s="64">
        <f t="shared" si="66"/>
        <v>32</v>
      </c>
      <c r="L160" s="64" t="str">
        <f>IFERROR(VLOOKUP(MID(G160,J160,K160-J160),[5]skilldef!$C:$D,2,FALSE),"-") &amp; " / " &amp; IFERROR(VLOOKUP(MID(G160,H160,I160-H160),[5]skilldef!$A:$B,2,FALSE),"-")</f>
        <v>- / -</v>
      </c>
      <c r="M160" s="64" t="str">
        <f t="shared" si="67"/>
        <v>[effect:dark, target:unit_demon/not, turn:5, animation:enemy_dark],[effect:fix_speed, target:myself, turn:2]</v>
      </c>
      <c r="N160" s="48" t="str">
        <f>IFERROR(LEFT(M160,FIND("],",M160)+#REF!),M160)</f>
        <v>[effect:dark, target:unit_demon/not, turn:5, animation:enemy_dark],[effect:fix_speed, target:myself, turn:2]</v>
      </c>
      <c r="O160" s="64">
        <f t="shared" si="68"/>
        <v>9</v>
      </c>
      <c r="P160" s="64">
        <f t="shared" si="69"/>
        <v>13</v>
      </c>
      <c r="Q160" s="64">
        <f t="shared" si="70"/>
        <v>22</v>
      </c>
      <c r="R160" s="64">
        <f t="shared" si="71"/>
        <v>36</v>
      </c>
      <c r="S160" s="64" t="str">
        <f>IFERROR(VLOOKUP(MID(N160,Q160,R160-Q160),[5]skilldef!$C:$D,2,FALSE),"-") &amp; " / " &amp; IFERROR(VLOOKUP(MID(N160,O160,P160-O160),[5]skilldef!$A:$B,2,FALSE),"-")</f>
        <v>- / 暗黒</v>
      </c>
      <c r="T160" s="48" t="str">
        <f t="shared" si="72"/>
        <v>[effect:fix_speed, target:myself, turn:2]</v>
      </c>
      <c r="U160" s="64">
        <f t="shared" si="73"/>
        <v>9</v>
      </c>
      <c r="V160" s="64">
        <f t="shared" si="74"/>
        <v>18</v>
      </c>
      <c r="W160" s="64">
        <f t="shared" si="75"/>
        <v>27</v>
      </c>
      <c r="X160" s="64">
        <f t="shared" si="76"/>
        <v>33</v>
      </c>
      <c r="Y160" s="64" t="str">
        <f>IFERROR(VLOOKUP(MID(T160,W160,X160-W160),[5]skilldef!$C:$D,2,FALSE),"-") &amp; " / " &amp; IFERROR(VLOOKUP(MID(T160,U160,V160-U160),[5]skilldef!$A:$B,2,FALSE),"-")</f>
        <v>自分自身に / 行動値設定</v>
      </c>
      <c r="Z160" s="50"/>
      <c r="AA160" s="52"/>
      <c r="AB160" s="50"/>
    </row>
    <row r="161" spans="1:28" ht="40" customHeight="1" x14ac:dyDescent="0.15">
      <c r="A161" s="141">
        <v>47003547</v>
      </c>
      <c r="B161" s="137" t="s">
        <v>603</v>
      </c>
      <c r="C161" s="50">
        <v>3</v>
      </c>
      <c r="D161" s="50" t="s">
        <v>126</v>
      </c>
      <c r="E161" s="51" t="s">
        <v>342</v>
      </c>
      <c r="F161" s="143" t="s">
        <v>399</v>
      </c>
      <c r="G161" s="130" t="str">
        <f t="shared" si="62"/>
        <v>[effect:enemy_message, val1:2.2, val2:2.0]</v>
      </c>
      <c r="H161" s="64">
        <f t="shared" si="63"/>
        <v>9</v>
      </c>
      <c r="I161" s="64">
        <f t="shared" si="64"/>
        <v>22</v>
      </c>
      <c r="J161" s="64" t="e">
        <f t="shared" si="65"/>
        <v>#VALUE!</v>
      </c>
      <c r="K161" s="64">
        <f t="shared" si="66"/>
        <v>32</v>
      </c>
      <c r="L161" s="64" t="str">
        <f>IFERROR(VLOOKUP(MID(G161,J161,K161-J161),[5]skilldef!$C:$D,2,FALSE),"-") &amp; " / " &amp; IFERROR(VLOOKUP(MID(G161,H161,I161-H161),[5]skilldef!$A:$B,2,FALSE),"-")</f>
        <v>- / -</v>
      </c>
      <c r="M161" s="64" t="str">
        <f t="shared" si="67"/>
        <v>[effect:dark, target:unit_demon/not, turn:5, animation:enemy_dark],[effect:fix_speed, target:myself, turn:2]</v>
      </c>
      <c r="N161" s="48" t="str">
        <f>IFERROR(LEFT(M161,FIND("],",M161)+#REF!),M161)</f>
        <v>[effect:dark, target:unit_demon/not, turn:5, animation:enemy_dark],[effect:fix_speed, target:myself, turn:2]</v>
      </c>
      <c r="O161" s="64">
        <f t="shared" si="68"/>
        <v>9</v>
      </c>
      <c r="P161" s="64">
        <f t="shared" si="69"/>
        <v>13</v>
      </c>
      <c r="Q161" s="64">
        <f t="shared" si="70"/>
        <v>22</v>
      </c>
      <c r="R161" s="64">
        <f t="shared" si="71"/>
        <v>36</v>
      </c>
      <c r="S161" s="64" t="str">
        <f>IFERROR(VLOOKUP(MID(N161,Q161,R161-Q161),[5]skilldef!$C:$D,2,FALSE),"-") &amp; " / " &amp; IFERROR(VLOOKUP(MID(N161,O161,P161-O161),[5]skilldef!$A:$B,2,FALSE),"-")</f>
        <v>- / 暗黒</v>
      </c>
      <c r="T161" s="48" t="str">
        <f t="shared" si="72"/>
        <v>[effect:fix_speed, target:myself, turn:2]</v>
      </c>
      <c r="U161" s="64">
        <f t="shared" si="73"/>
        <v>9</v>
      </c>
      <c r="V161" s="64">
        <f t="shared" si="74"/>
        <v>18</v>
      </c>
      <c r="W161" s="64">
        <f t="shared" si="75"/>
        <v>27</v>
      </c>
      <c r="X161" s="64">
        <f t="shared" si="76"/>
        <v>33</v>
      </c>
      <c r="Y161" s="64" t="str">
        <f>IFERROR(VLOOKUP(MID(T161,W161,X161-W161),[5]skilldef!$C:$D,2,FALSE),"-") &amp; " / " &amp; IFERROR(VLOOKUP(MID(T161,U161,V161-U161),[5]skilldef!$A:$B,2,FALSE),"-")</f>
        <v>自分自身に / 行動値設定</v>
      </c>
      <c r="Z161" s="50"/>
      <c r="AA161" s="52"/>
      <c r="AB161" s="50"/>
    </row>
    <row r="162" spans="1:28" ht="40" customHeight="1" x14ac:dyDescent="0.15">
      <c r="A162" s="141">
        <v>47003561</v>
      </c>
      <c r="B162" s="137" t="s">
        <v>593</v>
      </c>
      <c r="C162" s="126">
        <v>3</v>
      </c>
      <c r="D162" s="126" t="s">
        <v>126</v>
      </c>
      <c r="E162" s="51" t="s">
        <v>403</v>
      </c>
      <c r="F162" s="143" t="s">
        <v>401</v>
      </c>
      <c r="G162" s="130" t="str">
        <f t="shared" si="62"/>
        <v>[effect:enemy_message, val1:1.0, val2:2.0]</v>
      </c>
      <c r="H162" s="64">
        <f t="shared" si="63"/>
        <v>9</v>
      </c>
      <c r="I162" s="64">
        <f t="shared" si="64"/>
        <v>22</v>
      </c>
      <c r="J162" s="64" t="e">
        <f t="shared" si="65"/>
        <v>#VALUE!</v>
      </c>
      <c r="K162" s="64">
        <f t="shared" si="66"/>
        <v>32</v>
      </c>
      <c r="L162" s="64" t="str">
        <f>IFERROR(VLOOKUP(MID(G162,J162,K162-J162),[5]skilldef!$C:$D,2,FALSE),"-") &amp; " / " &amp; IFERROR(VLOOKUP(MID(G162,H162,I162-H162),[5]skilldef!$A:$B,2,FALSE),"-")</f>
        <v>- / -</v>
      </c>
      <c r="M162" s="64" t="str">
        <f t="shared" si="67"/>
        <v>[effect:dark, target:unit_demon/not, turn:5, animation:enemy_dark],[effect:fix_speed, target:myself, turn:2]</v>
      </c>
      <c r="N162" s="48" t="str">
        <f>IFERROR(LEFT(M162,FIND("],",M162)+#REF!),M162)</f>
        <v>[effect:dark, target:unit_demon/not, turn:5, animation:enemy_dark],[effect:fix_speed, target:myself, turn:2]</v>
      </c>
      <c r="O162" s="64">
        <f t="shared" si="68"/>
        <v>9</v>
      </c>
      <c r="P162" s="64">
        <f t="shared" si="69"/>
        <v>13</v>
      </c>
      <c r="Q162" s="64">
        <f t="shared" si="70"/>
        <v>22</v>
      </c>
      <c r="R162" s="64">
        <f t="shared" si="71"/>
        <v>36</v>
      </c>
      <c r="S162" s="64" t="str">
        <f>IFERROR(VLOOKUP(MID(N162,Q162,R162-Q162),[5]skilldef!$C:$D,2,FALSE),"-") &amp; " / " &amp; IFERROR(VLOOKUP(MID(N162,O162,P162-O162),[5]skilldef!$A:$B,2,FALSE),"-")</f>
        <v>- / 暗黒</v>
      </c>
      <c r="T162" s="48" t="str">
        <f t="shared" si="72"/>
        <v>[effect:fix_speed, target:myself, turn:2]</v>
      </c>
      <c r="U162" s="64">
        <f t="shared" si="73"/>
        <v>9</v>
      </c>
      <c r="V162" s="64">
        <f t="shared" si="74"/>
        <v>18</v>
      </c>
      <c r="W162" s="64">
        <f t="shared" si="75"/>
        <v>27</v>
      </c>
      <c r="X162" s="64">
        <f t="shared" si="76"/>
        <v>33</v>
      </c>
      <c r="Y162" s="64" t="str">
        <f>IFERROR(VLOOKUP(MID(T162,W162,X162-W162),[5]skilldef!$C:$D,2,FALSE),"-") &amp; " / " &amp; IFERROR(VLOOKUP(MID(T162,U162,V162-U162),[5]skilldef!$A:$B,2,FALSE),"-")</f>
        <v>自分自身に / 行動値設定</v>
      </c>
      <c r="Z162" s="50"/>
      <c r="AA162" s="52"/>
      <c r="AB162" s="50"/>
    </row>
    <row r="163" spans="1:28" ht="40" customHeight="1" x14ac:dyDescent="0.15">
      <c r="A163" s="141">
        <v>47003562</v>
      </c>
      <c r="B163" s="47" t="s">
        <v>455</v>
      </c>
      <c r="C163" s="126">
        <v>3</v>
      </c>
      <c r="D163" s="126" t="s">
        <v>126</v>
      </c>
      <c r="E163" s="51" t="s">
        <v>343</v>
      </c>
      <c r="F163" s="51" t="s">
        <v>336</v>
      </c>
      <c r="G163" s="130" t="str">
        <f t="shared" si="62"/>
        <v>[effect:damage_anti_abnormal, target:unit_all, target_effect01:dark, val1:0.7, val2:0.35]</v>
      </c>
      <c r="H163" s="64">
        <f t="shared" si="63"/>
        <v>9</v>
      </c>
      <c r="I163" s="64">
        <f t="shared" si="64"/>
        <v>29</v>
      </c>
      <c r="J163" s="64">
        <f t="shared" si="65"/>
        <v>38</v>
      </c>
      <c r="K163" s="64">
        <f t="shared" si="66"/>
        <v>46</v>
      </c>
      <c r="L163" s="64" t="str">
        <f>IFERROR(VLOOKUP(MID(G163,J163,K163-J163),[5]skilldef!$C:$D,2,FALSE),"-") &amp; " / " &amp; IFERROR(VLOOKUP(MID(G163,H163,I163-H163),[5]skilldef!$A:$B,2,FALSE),"-")</f>
        <v>味方全体に / -</v>
      </c>
      <c r="M163" s="64" t="str">
        <f t="shared" si="67"/>
        <v>[effect:fix_speed, target:myself, turn:1]</v>
      </c>
      <c r="N163" s="48" t="str">
        <f>IFERROR(LEFT(M163,FIND("],",M163)+#REF!),M163)</f>
        <v>[effect:fix_speed, target:myself, turn:1]</v>
      </c>
      <c r="O163" s="64">
        <f t="shared" si="68"/>
        <v>9</v>
      </c>
      <c r="P163" s="64">
        <f t="shared" si="69"/>
        <v>18</v>
      </c>
      <c r="Q163" s="64">
        <f t="shared" si="70"/>
        <v>27</v>
      </c>
      <c r="R163" s="64">
        <f t="shared" si="71"/>
        <v>33</v>
      </c>
      <c r="S163" s="64" t="str">
        <f>IFERROR(VLOOKUP(MID(N163,Q163,R163-Q163),[5]skilldef!$C:$D,2,FALSE),"-") &amp; " / " &amp; IFERROR(VLOOKUP(MID(N163,O163,P163-O163),[5]skilldef!$A:$B,2,FALSE),"-")</f>
        <v>自分自身に / 行動値設定</v>
      </c>
      <c r="T163" s="48" t="str">
        <f t="shared" si="72"/>
        <v>none</v>
      </c>
      <c r="U163" s="64" t="e">
        <f t="shared" si="73"/>
        <v>#VALUE!</v>
      </c>
      <c r="V163" s="64">
        <f t="shared" si="74"/>
        <v>4</v>
      </c>
      <c r="W163" s="64" t="e">
        <f t="shared" si="75"/>
        <v>#VALUE!</v>
      </c>
      <c r="X163" s="64" t="e">
        <f t="shared" si="76"/>
        <v>#VALUE!</v>
      </c>
      <c r="Y163" s="64" t="str">
        <f>IFERROR(VLOOKUP(MID(T163,W163,X163-W163),[5]skilldef!$C:$D,2,FALSE),"-") &amp; " / " &amp; IFERROR(VLOOKUP(MID(T163,U163,V163-U163),[5]skilldef!$A:$B,2,FALSE),"-")</f>
        <v>- / -</v>
      </c>
      <c r="Z163" s="50"/>
      <c r="AA163" s="52"/>
      <c r="AB163" s="50"/>
    </row>
    <row r="164" spans="1:28" ht="40" customHeight="1" x14ac:dyDescent="0.15">
      <c r="A164" s="141">
        <v>47003564</v>
      </c>
      <c r="B164" s="47" t="s">
        <v>536</v>
      </c>
      <c r="C164" s="126">
        <v>3</v>
      </c>
      <c r="D164" s="126" t="s">
        <v>126</v>
      </c>
      <c r="E164" s="51" t="s">
        <v>346</v>
      </c>
      <c r="F164" s="51" t="s">
        <v>550</v>
      </c>
      <c r="G164" s="130" t="str">
        <f t="shared" si="62"/>
        <v>[effect:enemy_message, val1:1.0, val2:2.0]</v>
      </c>
      <c r="H164" s="64">
        <f t="shared" si="63"/>
        <v>9</v>
      </c>
      <c r="I164" s="64">
        <f t="shared" si="64"/>
        <v>22</v>
      </c>
      <c r="J164" s="64" t="e">
        <f t="shared" si="65"/>
        <v>#VALUE!</v>
      </c>
      <c r="K164" s="64">
        <f t="shared" si="66"/>
        <v>32</v>
      </c>
      <c r="L164" s="64" t="str">
        <f>IFERROR(VLOOKUP(MID(G164,J164,K164-J164),[5]skilldef!$C:$D,2,FALSE),"-") &amp; " / " &amp; IFERROR(VLOOKUP(MID(G164,H164,I164-H164),[5]skilldef!$A:$B,2,FALSE),"-")</f>
        <v>- / -</v>
      </c>
      <c r="M164" s="64" t="str">
        <f t="shared" si="67"/>
        <v>[effect:hungup, target:unit_all, turn:2, rate:1, animation:hungup02],[effect:enhance_enemy, target:enemy_all, turn:-1, status:attack, val:0.2, calc:mul, animation:enemy_enhance_attack]</v>
      </c>
      <c r="N164" s="48" t="str">
        <f>IFERROR(LEFT(M164,FIND("],",M164)+#REF!),M164)</f>
        <v>[effect:hungup, target:unit_all, turn:2, rate:1, animation:hungup02],[effect:enhance_enemy, target:enemy_all, turn:-1, status:attack, val:0.2, calc:mul, animation:enemy_enhance_attack]</v>
      </c>
      <c r="O164" s="64">
        <f t="shared" si="68"/>
        <v>9</v>
      </c>
      <c r="P164" s="64">
        <f t="shared" si="69"/>
        <v>15</v>
      </c>
      <c r="Q164" s="64">
        <f t="shared" si="70"/>
        <v>24</v>
      </c>
      <c r="R164" s="64">
        <f t="shared" si="71"/>
        <v>32</v>
      </c>
      <c r="S164" s="64" t="str">
        <f>IFERROR(VLOOKUP(MID(N164,Q164,R164-Q164),[5]skilldef!$C:$D,2,FALSE),"-") &amp; " / " &amp; IFERROR(VLOOKUP(MID(N164,O164,P164-O164),[5]skilldef!$A:$B,2,FALSE),"-")</f>
        <v>味方全体に / ハングアップ</v>
      </c>
      <c r="T164" s="48" t="str">
        <f t="shared" si="72"/>
        <v>[effect:enhance_enemy, target:enemy_all, turn:-1, status:attack, val:0.2, calc:mul, animation:enemy_enhance_attack]</v>
      </c>
      <c r="U164" s="64">
        <f t="shared" si="73"/>
        <v>9</v>
      </c>
      <c r="V164" s="64">
        <f t="shared" si="74"/>
        <v>22</v>
      </c>
      <c r="W164" s="64">
        <f t="shared" si="75"/>
        <v>31</v>
      </c>
      <c r="X164" s="64">
        <f t="shared" si="76"/>
        <v>40</v>
      </c>
      <c r="Y164" s="64" t="str">
        <f>IFERROR(VLOOKUP(MID(T164,W164,X164-W164),[5]skilldef!$C:$D,2,FALSE),"-") &amp; " / " &amp; IFERROR(VLOOKUP(MID(T164,U164,V164-U164),[5]skilldef!$A:$B,2,FALSE),"-")</f>
        <v>敵全体に / ステータス強化</v>
      </c>
      <c r="Z164" s="50"/>
      <c r="AA164" s="52"/>
      <c r="AB164" s="50"/>
    </row>
    <row r="165" spans="1:28" ht="40" customHeight="1" x14ac:dyDescent="0.15">
      <c r="A165" s="141">
        <v>47003565</v>
      </c>
      <c r="B165" s="137" t="s">
        <v>537</v>
      </c>
      <c r="C165" s="126">
        <v>3</v>
      </c>
      <c r="D165" s="126" t="s">
        <v>126</v>
      </c>
      <c r="E165" s="51" t="s">
        <v>347</v>
      </c>
      <c r="F165" s="51" t="s">
        <v>418</v>
      </c>
      <c r="G165" s="130" t="str">
        <f t="shared" si="62"/>
        <v>[effect:enemy_message, val1:1.0, val2:2.0]</v>
      </c>
      <c r="H165" s="64">
        <f t="shared" si="63"/>
        <v>9</v>
      </c>
      <c r="I165" s="64">
        <f t="shared" si="64"/>
        <v>22</v>
      </c>
      <c r="J165" s="64" t="e">
        <f t="shared" si="65"/>
        <v>#VALUE!</v>
      </c>
      <c r="K165" s="64">
        <f t="shared" si="66"/>
        <v>32</v>
      </c>
      <c r="L165" s="64" t="str">
        <f>IFERROR(VLOOKUP(MID(G165,J165,K165-J165),[5]skilldef!$C:$D,2,FALSE),"-") &amp; " / " &amp; IFERROR(VLOOKUP(MID(G165,H165,I165-H165),[5]skilldef!$A:$B,2,FALSE),"-")</f>
        <v>- / -</v>
      </c>
      <c r="M165" s="64" t="str">
        <f t="shared" si="67"/>
        <v>[effect:break_attack_fix, target:unit_one, val:1150, lowest_val:1, count:-1, color:yellow, block_color:block_heart, block01:block_heart, block02:crack_bomb]</v>
      </c>
      <c r="N165" s="48" t="str">
        <f>IFERROR(LEFT(M165,FIND("],",M165)+S167),M165)</f>
        <v>[effect:break_attack_fix, target:unit_one, val:1150, lowest_val:1, count:-1, color:yellow, block_color:block_heart, block01:block_heart, block02:crack_bomb]</v>
      </c>
      <c r="O165" s="64">
        <f t="shared" si="68"/>
        <v>9</v>
      </c>
      <c r="P165" s="64">
        <f t="shared" si="69"/>
        <v>25</v>
      </c>
      <c r="Q165" s="64">
        <f t="shared" si="70"/>
        <v>34</v>
      </c>
      <c r="R165" s="64">
        <f t="shared" si="71"/>
        <v>42</v>
      </c>
      <c r="S165" s="64" t="str">
        <f>IFERROR(VLOOKUP(MID(N165,Q165,R165-Q165),[5]skilldef!$C:$D,2,FALSE),"-") &amp; " / " &amp; IFERROR(VLOOKUP(MID(N165,O165,P165-O165),[5]skilldef!$A:$B,2,FALSE),"-")</f>
        <v>味方単体に / -</v>
      </c>
      <c r="T165" s="48" t="str">
        <f t="shared" si="72"/>
        <v>none</v>
      </c>
      <c r="U165" s="64" t="e">
        <f t="shared" si="73"/>
        <v>#VALUE!</v>
      </c>
      <c r="V165" s="64">
        <f t="shared" si="74"/>
        <v>4</v>
      </c>
      <c r="W165" s="64" t="e">
        <f t="shared" si="75"/>
        <v>#VALUE!</v>
      </c>
      <c r="X165" s="64" t="e">
        <f t="shared" si="76"/>
        <v>#VALUE!</v>
      </c>
      <c r="Y165" s="64" t="str">
        <f>IFERROR(VLOOKUP(MID(T165,W165,X165-W165),[5]skilldef!$C:$D,2,FALSE),"-") &amp; " / " &amp; IFERROR(VLOOKUP(MID(T165,U165,V165-U165),[5]skilldef!$A:$B,2,FALSE),"-")</f>
        <v>- / -</v>
      </c>
      <c r="Z165" s="50"/>
      <c r="AA165" s="52"/>
      <c r="AB165" s="50"/>
    </row>
    <row r="166" spans="1:28" ht="40" customHeight="1" x14ac:dyDescent="0.15">
      <c r="A166" s="141">
        <v>47003581</v>
      </c>
      <c r="B166" s="137" t="s">
        <v>538</v>
      </c>
      <c r="C166" s="127">
        <v>3</v>
      </c>
      <c r="D166" s="127" t="s">
        <v>126</v>
      </c>
      <c r="E166" s="51" t="s">
        <v>348</v>
      </c>
      <c r="F166" s="51" t="s">
        <v>400</v>
      </c>
      <c r="G166" s="130" t="str">
        <f t="shared" si="62"/>
        <v>[effect:enemy_message, val1:1.5, val2:2.8]</v>
      </c>
      <c r="H166" s="64">
        <f t="shared" si="63"/>
        <v>9</v>
      </c>
      <c r="I166" s="64">
        <f t="shared" si="64"/>
        <v>22</v>
      </c>
      <c r="J166" s="64" t="e">
        <f t="shared" si="65"/>
        <v>#VALUE!</v>
      </c>
      <c r="K166" s="64">
        <f t="shared" si="66"/>
        <v>32</v>
      </c>
      <c r="L166" s="64" t="str">
        <f>IFERROR(VLOOKUP(MID(G166,J166,K166-J166),[5]skilldef!$C:$D,2,FALSE),"-") &amp; " / " &amp; IFERROR(VLOOKUP(MID(G166,H166,I166-H166),[5]skilldef!$A:$B,2,FALSE),"-")</f>
        <v>- / -</v>
      </c>
      <c r="M166" s="64" t="str">
        <f t="shared" si="67"/>
        <v>[effect:hungup, target:unit_demon/not, turn:2, rate:1, animation:hungup02],[effect:change_panel_ratio, turn:-1, block_type:yellow, val:0.4, animation:block_incidence04],[effect:fix_speed, target:myself, turn:1]</v>
      </c>
      <c r="N166" s="48" t="str">
        <f>IFERROR(LEFT(M166,FIND("],",M166)+#REF!),M166)</f>
        <v>[effect:hungup, target:unit_demon/not, turn:2, rate:1, animation:hungup02],[effect:change_panel_ratio, turn:-1, block_type:yellow, val:0.4, animation:block_incidence04],[effect:fix_speed, target:myself, turn:1]</v>
      </c>
      <c r="O166" s="64">
        <f t="shared" si="68"/>
        <v>9</v>
      </c>
      <c r="P166" s="64">
        <f t="shared" si="69"/>
        <v>15</v>
      </c>
      <c r="Q166" s="64">
        <f t="shared" si="70"/>
        <v>24</v>
      </c>
      <c r="R166" s="64">
        <f t="shared" si="71"/>
        <v>38</v>
      </c>
      <c r="S166" s="64" t="str">
        <f>IFERROR(VLOOKUP(MID(N166,Q166,R166-Q166),[5]skilldef!$C:$D,2,FALSE),"-") &amp; " / " &amp; IFERROR(VLOOKUP(MID(N166,O166,P166-O166),[5]skilldef!$A:$B,2,FALSE),"-")</f>
        <v>- / ハングアップ</v>
      </c>
      <c r="T166" s="48" t="str">
        <f t="shared" si="72"/>
        <v>[effect:change_panel_ratio, turn:-1, block_type:yellow, val:0.4, animation:block_incidence04],[effect:fix_speed, target:myself, turn:1]</v>
      </c>
      <c r="U166" s="64">
        <f t="shared" si="73"/>
        <v>9</v>
      </c>
      <c r="V166" s="64">
        <f t="shared" si="74"/>
        <v>27</v>
      </c>
      <c r="W166" s="64">
        <f t="shared" si="75"/>
        <v>121</v>
      </c>
      <c r="X166" s="64">
        <f t="shared" si="76"/>
        <v>36</v>
      </c>
      <c r="Y166" s="64" t="str">
        <f>IFERROR(VLOOKUP(MID(T166,W166,X166-W166),[5]skilldef!$C:$D,2,FALSE),"-") &amp; " / " &amp; IFERROR(VLOOKUP(MID(T166,U166,V166-U166),[5]skilldef!$A:$B,2,FALSE),"-")</f>
        <v>- / -</v>
      </c>
      <c r="Z166" s="50"/>
      <c r="AA166" s="52"/>
      <c r="AB166" s="50"/>
    </row>
    <row r="167" spans="1:28" ht="40" customHeight="1" x14ac:dyDescent="0.15">
      <c r="A167" s="141">
        <v>47003583</v>
      </c>
      <c r="B167" s="137" t="s">
        <v>454</v>
      </c>
      <c r="C167" s="127">
        <v>3</v>
      </c>
      <c r="D167" s="127" t="s">
        <v>126</v>
      </c>
      <c r="E167" s="51" t="s">
        <v>349</v>
      </c>
      <c r="F167" s="51" t="s">
        <v>339</v>
      </c>
      <c r="G167" s="130" t="str">
        <f t="shared" ref="G167:G169" si="77">IFERROR(LEFT(B167,FIND("],",B167)),B167)</f>
        <v xml:space="preserve">[effect:break_attack_fix, target:unit_one, val:150, lowest_val:8000, count:-1, color:yellow, block01:block_yellow]    </v>
      </c>
      <c r="H167" s="64">
        <f t="shared" ref="H167:H169" si="78">FIND("effect:",G167)+7</f>
        <v>9</v>
      </c>
      <c r="I167" s="64">
        <f t="shared" ref="I167:I169" si="79">IFERROR(FIND(",",G167),LEN(G167))</f>
        <v>25</v>
      </c>
      <c r="J167" s="64">
        <f t="shared" ref="J167:J169" si="80">FIND("target:",G167)+7</f>
        <v>34</v>
      </c>
      <c r="K167" s="64">
        <f t="shared" ref="K167:K169" si="81">FIND(",",G167,I167+1)</f>
        <v>42</v>
      </c>
      <c r="L167" s="64" t="str">
        <f>IFERROR(VLOOKUP(MID(G167,J167,K167-J167),[5]skilldef!$C:$D,2,FALSE),"-") &amp; " / " &amp; IFERROR(VLOOKUP(MID(G167,H167,I167-H167),[5]skilldef!$A:$B,2,FALSE),"-")</f>
        <v>味方単体に / -</v>
      </c>
      <c r="M167" s="64" t="str">
        <f t="shared" ref="M167:M169" si="82">IFERROR(RIGHT(B167,LEN(B167)-FIND("],",B167)-1),"none")</f>
        <v>none</v>
      </c>
      <c r="N167" s="48" t="str">
        <f>IFERROR(LEFT(M167,FIND("],",M167)+S168),M167)</f>
        <v>none</v>
      </c>
      <c r="O167" s="64" t="e">
        <f t="shared" ref="O167:O169" si="83">FIND("effect:",N167)+7</f>
        <v>#VALUE!</v>
      </c>
      <c r="P167" s="64">
        <f t="shared" ref="P167:P169" si="84">IFERROR(FIND(",",N167),LEN(N167))</f>
        <v>4</v>
      </c>
      <c r="Q167" s="64" t="e">
        <f t="shared" ref="Q167:Q169" si="85">FIND("target:",N167)+7</f>
        <v>#VALUE!</v>
      </c>
      <c r="R167" s="64" t="e">
        <f t="shared" ref="R167:R169" si="86">FIND(",",N167,P167+1)</f>
        <v>#VALUE!</v>
      </c>
      <c r="S167" s="64" t="str">
        <f>IFERROR(VLOOKUP(MID(N167,Q167,R167-Q167),[5]skilldef!$C:$D,2,FALSE),"-") &amp; " / " &amp; IFERROR(VLOOKUP(MID(N167,O167,P167-O167),[5]skilldef!$A:$B,2,FALSE),"-")</f>
        <v>- / -</v>
      </c>
      <c r="T167" s="48" t="str">
        <f t="shared" ref="T167:T169" si="87">IFERROR(RIGHT(M167,LEN(M167)-FIND("],",M167)-1),"none")</f>
        <v>none</v>
      </c>
      <c r="U167" s="64" t="e">
        <f t="shared" ref="U167:U169" si="88">FIND("effect:",T167)+7</f>
        <v>#VALUE!</v>
      </c>
      <c r="V167" s="64">
        <f t="shared" ref="V167:V169" si="89">IFERROR(FIND(",",T167),LEN(T167))</f>
        <v>4</v>
      </c>
      <c r="W167" s="64" t="e">
        <f t="shared" ref="W167:W169" si="90">FIND("target:",T167)+7</f>
        <v>#VALUE!</v>
      </c>
      <c r="X167" s="64" t="e">
        <f t="shared" ref="X167:X169" si="91">FIND(",",T167,V167+1)</f>
        <v>#VALUE!</v>
      </c>
      <c r="Y167" s="64" t="str">
        <f>IFERROR(VLOOKUP(MID(T167,W167,X167-W167),[5]skilldef!$C:$D,2,FALSE),"-") &amp; " / " &amp; IFERROR(VLOOKUP(MID(T167,U167,V167-U167),[5]skilldef!$A:$B,2,FALSE),"-")</f>
        <v>- / -</v>
      </c>
      <c r="Z167" s="50"/>
      <c r="AA167" s="52"/>
      <c r="AB167" s="50"/>
    </row>
    <row r="168" spans="1:28" ht="40" customHeight="1" x14ac:dyDescent="0.15">
      <c r="A168" s="141">
        <v>47003584</v>
      </c>
      <c r="B168" s="137" t="s">
        <v>539</v>
      </c>
      <c r="C168" s="127">
        <v>3</v>
      </c>
      <c r="D168" s="127" t="s">
        <v>126</v>
      </c>
      <c r="E168" s="51" t="s">
        <v>350</v>
      </c>
      <c r="F168" s="143" t="s">
        <v>419</v>
      </c>
      <c r="G168" s="130" t="str">
        <f t="shared" si="77"/>
        <v>[effect:enemy_message, val1:1.0, val2:2.5]</v>
      </c>
      <c r="H168" s="64">
        <f t="shared" si="78"/>
        <v>9</v>
      </c>
      <c r="I168" s="64">
        <f t="shared" si="79"/>
        <v>22</v>
      </c>
      <c r="J168" s="64" t="e">
        <f t="shared" si="80"/>
        <v>#VALUE!</v>
      </c>
      <c r="K168" s="64">
        <f t="shared" si="81"/>
        <v>32</v>
      </c>
      <c r="L168" s="64" t="str">
        <f>IFERROR(VLOOKUP(MID(G168,J168,K168-J168),[5]skilldef!$C:$D,2,FALSE),"-") &amp; " / " &amp; IFERROR(VLOOKUP(MID(G168,H168,I168-H168),[5]skilldef!$A:$B,2,FALSE),"-")</f>
        <v>- / -</v>
      </c>
      <c r="M168" s="64" t="str">
        <f t="shared" si="82"/>
        <v>[effect:break_attack_fix, target:unit_one, val:1150, lowest_val:1, count:-1, color:yellow, block_color:block_heart, block01:block_heart, block02:crack_bomb]</v>
      </c>
      <c r="N168" s="48" t="str">
        <f>IFERROR(LEFT(M168,FIND("],",M168)+#REF!),M168)</f>
        <v>[effect:break_attack_fix, target:unit_one, val:1150, lowest_val:1, count:-1, color:yellow, block_color:block_heart, block01:block_heart, block02:crack_bomb]</v>
      </c>
      <c r="O168" s="64">
        <f t="shared" si="83"/>
        <v>9</v>
      </c>
      <c r="P168" s="64">
        <f t="shared" si="84"/>
        <v>25</v>
      </c>
      <c r="Q168" s="64">
        <f t="shared" si="85"/>
        <v>34</v>
      </c>
      <c r="R168" s="64">
        <f t="shared" si="86"/>
        <v>42</v>
      </c>
      <c r="S168" s="64" t="str">
        <f>IFERROR(VLOOKUP(MID(N168,Q168,R168-Q168),[5]skilldef!$C:$D,2,FALSE),"-") &amp; " / " &amp; IFERROR(VLOOKUP(MID(N168,O168,P168-O168),[5]skilldef!$A:$B,2,FALSE),"-")</f>
        <v>味方単体に / -</v>
      </c>
      <c r="T168" s="48" t="str">
        <f t="shared" si="87"/>
        <v>none</v>
      </c>
      <c r="U168" s="64" t="e">
        <f t="shared" si="88"/>
        <v>#VALUE!</v>
      </c>
      <c r="V168" s="64">
        <f t="shared" si="89"/>
        <v>4</v>
      </c>
      <c r="W168" s="64" t="e">
        <f t="shared" si="90"/>
        <v>#VALUE!</v>
      </c>
      <c r="X168" s="64" t="e">
        <f t="shared" si="91"/>
        <v>#VALUE!</v>
      </c>
      <c r="Y168" s="64" t="str">
        <f>IFERROR(VLOOKUP(MID(T168,W168,X168-W168),[5]skilldef!$C:$D,2,FALSE),"-") &amp; " / " &amp; IFERROR(VLOOKUP(MID(T168,U168,V168-U168),[5]skilldef!$A:$B,2,FALSE),"-")</f>
        <v>- / -</v>
      </c>
      <c r="Z168" s="50"/>
      <c r="AA168" s="52"/>
      <c r="AB168" s="50"/>
    </row>
    <row r="169" spans="1:28" ht="40" customHeight="1" x14ac:dyDescent="0.15">
      <c r="A169" s="141">
        <v>47003586</v>
      </c>
      <c r="B169" s="47" t="s">
        <v>461</v>
      </c>
      <c r="C169" s="127">
        <v>3</v>
      </c>
      <c r="D169" s="127" t="s">
        <v>126</v>
      </c>
      <c r="E169" s="51" t="s">
        <v>386</v>
      </c>
      <c r="F169" s="51" t="s">
        <v>369</v>
      </c>
      <c r="G169" s="130" t="str">
        <f t="shared" si="77"/>
        <v>[effect:enemy_message, val1:3.0, val2:3.0]</v>
      </c>
      <c r="H169" s="64">
        <f t="shared" si="78"/>
        <v>9</v>
      </c>
      <c r="I169" s="64">
        <f t="shared" si="79"/>
        <v>22</v>
      </c>
      <c r="J169" s="64" t="e">
        <f t="shared" si="80"/>
        <v>#VALUE!</v>
      </c>
      <c r="K169" s="64">
        <f t="shared" si="81"/>
        <v>32</v>
      </c>
      <c r="L169" s="64" t="str">
        <f>IFERROR(VLOOKUP(MID(G169,J169,K169-J169),[5]skilldef!$C:$D,2,FALSE),"-") &amp; " / " &amp; IFERROR(VLOOKUP(MID(G169,H169,I169-H169),[5]skilldef!$A:$B,2,FALSE),"-")</f>
        <v>- / -</v>
      </c>
      <c r="M169" s="64" t="str">
        <f t="shared" si="82"/>
        <v>none</v>
      </c>
      <c r="N169" s="48" t="str">
        <f t="shared" ref="N169" si="92">IFERROR(LEFT(M169,FIND("],",M169)+S170),M169)</f>
        <v>none</v>
      </c>
      <c r="O169" s="64" t="e">
        <f t="shared" si="83"/>
        <v>#VALUE!</v>
      </c>
      <c r="P169" s="64">
        <f t="shared" si="84"/>
        <v>4</v>
      </c>
      <c r="Q169" s="64" t="e">
        <f t="shared" si="85"/>
        <v>#VALUE!</v>
      </c>
      <c r="R169" s="64" t="e">
        <f t="shared" si="86"/>
        <v>#VALUE!</v>
      </c>
      <c r="S169" s="64" t="str">
        <f>IFERROR(VLOOKUP(MID(N169,Q169,R169-Q169),[5]skilldef!$C:$D,2,FALSE),"-") &amp; " / " &amp; IFERROR(VLOOKUP(MID(N169,O169,P169-O169),[5]skilldef!$A:$B,2,FALSE),"-")</f>
        <v>- / -</v>
      </c>
      <c r="T169" s="48" t="str">
        <f t="shared" si="87"/>
        <v>none</v>
      </c>
      <c r="U169" s="64" t="e">
        <f t="shared" si="88"/>
        <v>#VALUE!</v>
      </c>
      <c r="V169" s="64">
        <f t="shared" si="89"/>
        <v>4</v>
      </c>
      <c r="W169" s="64" t="e">
        <f t="shared" si="90"/>
        <v>#VALUE!</v>
      </c>
      <c r="X169" s="64" t="e">
        <f t="shared" si="91"/>
        <v>#VALUE!</v>
      </c>
      <c r="Y169" s="64" t="str">
        <f>IFERROR(VLOOKUP(MID(T169,W169,X169-W169),[5]skilldef!$C:$D,2,FALSE),"-") &amp; " / " &amp; IFERROR(VLOOKUP(MID(T169,U169,V169-U169),[5]skilldef!$A:$B,2,FALSE),"-")</f>
        <v>- / -</v>
      </c>
      <c r="Z169" s="50"/>
      <c r="AA169" s="52"/>
      <c r="AB169" s="50"/>
    </row>
    <row r="170" spans="1:28" ht="40" customHeight="1" x14ac:dyDescent="0.15">
      <c r="A170" s="47">
        <v>47003601</v>
      </c>
      <c r="B170" s="47" t="s">
        <v>379</v>
      </c>
      <c r="C170" s="50">
        <v>3</v>
      </c>
      <c r="D170" s="50" t="s">
        <v>126</v>
      </c>
      <c r="E170" s="51" t="s">
        <v>287</v>
      </c>
      <c r="F170" s="51" t="s">
        <v>289</v>
      </c>
      <c r="G170" s="130" t="str">
        <f t="shared" ref="G170" si="93">IFERROR(LEFT(B170,FIND("],",B170)),B170)</f>
        <v>[effect:enemy_message, val1:1.2, val2:0]</v>
      </c>
      <c r="H170" s="64">
        <f t="shared" ref="H170" si="94">FIND("effect:",G170)+7</f>
        <v>9</v>
      </c>
      <c r="I170" s="64">
        <f t="shared" ref="I170" si="95">IFERROR(FIND(",",G170),LEN(G170))</f>
        <v>22</v>
      </c>
      <c r="J170" s="64" t="e">
        <f t="shared" ref="J170" si="96">FIND("target:",G170)+7</f>
        <v>#VALUE!</v>
      </c>
      <c r="K170" s="64">
        <f t="shared" ref="K170" si="97">FIND(",",G170,I170+1)</f>
        <v>32</v>
      </c>
      <c r="L170" s="64" t="str">
        <f>IFERROR(VLOOKUP(MID(G170,J170,K170-J170),[5]skilldef!$C:$D,2,FALSE),"-") &amp; " / " &amp; IFERROR(VLOOKUP(MID(G170,H170,I170-H170),[5]skilldef!$A:$B,2,FALSE),"-")</f>
        <v>- / -</v>
      </c>
      <c r="M170" s="64" t="str">
        <f t="shared" ref="M170" si="98">IFERROR(RIGHT(B170,LEN(B170)-FIND("],",B170)-1),"none")</f>
        <v>none</v>
      </c>
      <c r="N170" s="48" t="str">
        <f>IFERROR(LEFT(M170,FIND("],",M170)+S200),M170)</f>
        <v>none</v>
      </c>
      <c r="O170" s="64" t="e">
        <f t="shared" ref="O170" si="99">FIND("effect:",N170)+7</f>
        <v>#VALUE!</v>
      </c>
      <c r="P170" s="64">
        <f t="shared" ref="P170" si="100">IFERROR(FIND(",",N170),LEN(N170))</f>
        <v>4</v>
      </c>
      <c r="Q170" s="64" t="e">
        <f t="shared" ref="Q170" si="101">FIND("target:",N170)+7</f>
        <v>#VALUE!</v>
      </c>
      <c r="R170" s="64" t="e">
        <f t="shared" ref="R170" si="102">FIND(",",N170,P170+1)</f>
        <v>#VALUE!</v>
      </c>
      <c r="S170" s="64" t="str">
        <f>IFERROR(VLOOKUP(MID(N170,Q170,R170-Q170),[5]skilldef!$C:$D,2,FALSE),"-") &amp; " / " &amp; IFERROR(VLOOKUP(MID(N170,O170,P170-O170),[5]skilldef!$A:$B,2,FALSE),"-")</f>
        <v>- / -</v>
      </c>
      <c r="T170" s="48" t="str">
        <f t="shared" ref="T170" si="103">IFERROR(RIGHT(M170,LEN(M170)-FIND("],",M170)-1),"none")</f>
        <v>none</v>
      </c>
      <c r="U170" s="64" t="e">
        <f t="shared" ref="U170" si="104">FIND("effect:",T170)+7</f>
        <v>#VALUE!</v>
      </c>
      <c r="V170" s="64">
        <f t="shared" ref="V170" si="105">IFERROR(FIND(",",T170),LEN(T170))</f>
        <v>4</v>
      </c>
      <c r="W170" s="64" t="e">
        <f t="shared" ref="W170" si="106">FIND("target:",T170)+7</f>
        <v>#VALUE!</v>
      </c>
      <c r="X170" s="64" t="e">
        <f t="shared" ref="X170" si="107">FIND(",",T170,V170+1)</f>
        <v>#VALUE!</v>
      </c>
      <c r="Y170" s="64" t="str">
        <f>IFERROR(VLOOKUP(MID(T170,W170,X170-W170),[5]skilldef!$C:$D,2,FALSE),"-") &amp; " / " &amp; IFERROR(VLOOKUP(MID(T170,U170,V170-U170),[5]skilldef!$A:$B,2,FALSE),"-")</f>
        <v>- / -</v>
      </c>
      <c r="Z170" s="50"/>
      <c r="AA170" s="52"/>
      <c r="AB170" s="50"/>
    </row>
    <row r="171" spans="1:28" ht="40" customHeight="1" x14ac:dyDescent="0.15">
      <c r="A171" s="47">
        <v>47003602</v>
      </c>
      <c r="B171" s="135" t="s">
        <v>408</v>
      </c>
      <c r="C171" s="50">
        <v>3</v>
      </c>
      <c r="D171" s="50" t="s">
        <v>126</v>
      </c>
      <c r="E171" s="51" t="s">
        <v>288</v>
      </c>
      <c r="F171" s="51" t="s">
        <v>371</v>
      </c>
      <c r="G171" s="130" t="str">
        <f t="shared" ref="G171:G173" si="108">IFERROR(LEFT(B171,FIND("],",B171)),B171)</f>
        <v>[effect:enemy_message, val1:1.5, val2:1.8]</v>
      </c>
      <c r="H171" s="64">
        <f t="shared" ref="H171:H173" si="109">FIND("effect:",G171)+7</f>
        <v>9</v>
      </c>
      <c r="I171" s="64">
        <f t="shared" ref="I171:I173" si="110">IFERROR(FIND(",",G171),LEN(G171))</f>
        <v>22</v>
      </c>
      <c r="J171" s="64" t="e">
        <f t="shared" ref="J171:J173" si="111">FIND("target:",G171)+7</f>
        <v>#VALUE!</v>
      </c>
      <c r="K171" s="64">
        <f t="shared" ref="K171:K173" si="112">FIND(",",G171,I171+1)</f>
        <v>32</v>
      </c>
      <c r="L171" s="64" t="str">
        <f>IFERROR(VLOOKUP(MID(G171,J171,K171-J171),[5]skilldef!$C:$D,2,FALSE),"-") &amp; " / " &amp; IFERROR(VLOOKUP(MID(G171,H171,I171-H171),[5]skilldef!$A:$B,2,FALSE),"-")</f>
        <v>- / -</v>
      </c>
      <c r="M171" s="64" t="str">
        <f t="shared" ref="M171:M173" si="113">IFERROR(RIGHT(B171,LEN(B171)-FIND("],",B171)-1),"none")</f>
        <v>[effect:enhance_unit, target:unit_demon, turn:-1, status:attack, val:0.2, calc:mul],[effect:suicide, target:myself, val:0.95, dead_type:escape]</v>
      </c>
      <c r="N171" s="48" t="str">
        <f>IFERROR(LEFT(M171,FIND("],",M171)+S201),M171)</f>
        <v>[effect:enhance_unit, target:unit_demon, turn:-1, status:attack, val:0.2, calc:mul],[effect:suicide, target:myself, val:0.95, dead_type:escape]</v>
      </c>
      <c r="O171" s="64">
        <f t="shared" ref="O171:O173" si="114">FIND("effect:",N171)+7</f>
        <v>9</v>
      </c>
      <c r="P171" s="64">
        <f t="shared" ref="P171:P173" si="115">IFERROR(FIND(",",N171),LEN(N171))</f>
        <v>21</v>
      </c>
      <c r="Q171" s="64">
        <f t="shared" ref="Q171:Q173" si="116">FIND("target:",N171)+7</f>
        <v>30</v>
      </c>
      <c r="R171" s="64">
        <f t="shared" ref="R171:R173" si="117">FIND(",",N171,P171+1)</f>
        <v>40</v>
      </c>
      <c r="S171" s="64" t="str">
        <f>IFERROR(VLOOKUP(MID(N171,Q171,R171-Q171),[5]skilldef!$C:$D,2,FALSE),"-") &amp; " / " &amp; IFERROR(VLOOKUP(MID(N171,O171,P171-O171),[5]skilldef!$A:$B,2,FALSE),"-")</f>
        <v>- / -</v>
      </c>
      <c r="T171" s="48" t="str">
        <f t="shared" ref="T171:T173" si="118">IFERROR(RIGHT(M171,LEN(M171)-FIND("],",M171)-1),"none")</f>
        <v>[effect:suicide, target:myself, val:0.95, dead_type:escape]</v>
      </c>
      <c r="U171" s="64">
        <f t="shared" ref="U171:U173" si="119">FIND("effect:",T171)+7</f>
        <v>9</v>
      </c>
      <c r="V171" s="64">
        <f t="shared" ref="V171:V173" si="120">IFERROR(FIND(",",T171),LEN(T171))</f>
        <v>16</v>
      </c>
      <c r="W171" s="64">
        <f t="shared" ref="W171:W173" si="121">FIND("target:",T171)+7</f>
        <v>25</v>
      </c>
      <c r="X171" s="64">
        <f t="shared" ref="X171:X173" si="122">FIND(",",T171,V171+1)</f>
        <v>31</v>
      </c>
      <c r="Y171" s="64" t="str">
        <f>IFERROR(VLOOKUP(MID(T171,W171,X171-W171),[5]skilldef!$C:$D,2,FALSE),"-") &amp; " / " &amp; IFERROR(VLOOKUP(MID(T171,U171,V171-U171),[5]skilldef!$A:$B,2,FALSE),"-")</f>
        <v>自分自身に / -</v>
      </c>
      <c r="Z171" s="50"/>
      <c r="AA171" s="52"/>
      <c r="AB171" s="50"/>
    </row>
    <row r="172" spans="1:28" ht="40" customHeight="1" x14ac:dyDescent="0.15">
      <c r="A172" s="47">
        <v>47003603</v>
      </c>
      <c r="B172" s="47" t="s">
        <v>376</v>
      </c>
      <c r="C172" s="50">
        <v>3</v>
      </c>
      <c r="D172" s="50" t="s">
        <v>126</v>
      </c>
      <c r="E172" s="51" t="s">
        <v>290</v>
      </c>
      <c r="F172" s="51" t="s">
        <v>289</v>
      </c>
      <c r="G172" s="130" t="str">
        <f t="shared" si="108"/>
        <v>[effect:enemy_message, val1:1.5, val2:0]</v>
      </c>
      <c r="H172" s="64">
        <f t="shared" si="109"/>
        <v>9</v>
      </c>
      <c r="I172" s="64">
        <f t="shared" si="110"/>
        <v>22</v>
      </c>
      <c r="J172" s="64" t="e">
        <f t="shared" si="111"/>
        <v>#VALUE!</v>
      </c>
      <c r="K172" s="64">
        <f t="shared" si="112"/>
        <v>32</v>
      </c>
      <c r="L172" s="64" t="str">
        <f>IFERROR(VLOOKUP(MID(G172,J172,K172-J172),[5]skilldef!$C:$D,2,FALSE),"-") &amp; " / " &amp; IFERROR(VLOOKUP(MID(G172,H172,I172-H172),[5]skilldef!$A:$B,2,FALSE),"-")</f>
        <v>- / -</v>
      </c>
      <c r="M172" s="64" t="str">
        <f t="shared" si="113"/>
        <v>none</v>
      </c>
      <c r="N172" s="48" t="str">
        <f>IFERROR(LEFT(M172,FIND("],",M172)+S203),M172)</f>
        <v>none</v>
      </c>
      <c r="O172" s="64" t="e">
        <f t="shared" si="114"/>
        <v>#VALUE!</v>
      </c>
      <c r="P172" s="64">
        <f t="shared" si="115"/>
        <v>4</v>
      </c>
      <c r="Q172" s="64" t="e">
        <f t="shared" si="116"/>
        <v>#VALUE!</v>
      </c>
      <c r="R172" s="64" t="e">
        <f t="shared" si="117"/>
        <v>#VALUE!</v>
      </c>
      <c r="S172" s="64" t="str">
        <f>IFERROR(VLOOKUP(MID(N172,Q172,R172-Q172),[5]skilldef!$C:$D,2,FALSE),"-") &amp; " / " &amp; IFERROR(VLOOKUP(MID(N172,O172,P172-O172),[5]skilldef!$A:$B,2,FALSE),"-")</f>
        <v>- / -</v>
      </c>
      <c r="T172" s="48" t="str">
        <f t="shared" si="118"/>
        <v>none</v>
      </c>
      <c r="U172" s="64" t="e">
        <f t="shared" si="119"/>
        <v>#VALUE!</v>
      </c>
      <c r="V172" s="64">
        <f t="shared" si="120"/>
        <v>4</v>
      </c>
      <c r="W172" s="64" t="e">
        <f t="shared" si="121"/>
        <v>#VALUE!</v>
      </c>
      <c r="X172" s="64" t="e">
        <f t="shared" si="122"/>
        <v>#VALUE!</v>
      </c>
      <c r="Y172" s="64" t="str">
        <f>IFERROR(VLOOKUP(MID(T172,W172,X172-W172),[5]skilldef!$C:$D,2,FALSE),"-") &amp; " / " &amp; IFERROR(VLOOKUP(MID(T172,U172,V172-U172),[5]skilldef!$A:$B,2,FALSE),"-")</f>
        <v>- / -</v>
      </c>
      <c r="Z172" s="50"/>
      <c r="AA172" s="52"/>
      <c r="AB172" s="50"/>
    </row>
    <row r="173" spans="1:28" ht="40" customHeight="1" x14ac:dyDescent="0.15">
      <c r="A173" s="47">
        <v>47003604</v>
      </c>
      <c r="B173" s="47" t="s">
        <v>377</v>
      </c>
      <c r="C173" s="50">
        <v>3</v>
      </c>
      <c r="D173" s="50" t="s">
        <v>126</v>
      </c>
      <c r="E173" s="51" t="s">
        <v>353</v>
      </c>
      <c r="F173" s="51" t="s">
        <v>289</v>
      </c>
      <c r="G173" s="130" t="str">
        <f t="shared" si="108"/>
        <v>[effect:enemy_message, val1:1.5, val2:0]</v>
      </c>
      <c r="H173" s="64">
        <f t="shared" si="109"/>
        <v>9</v>
      </c>
      <c r="I173" s="64">
        <f t="shared" si="110"/>
        <v>22</v>
      </c>
      <c r="J173" s="64" t="e">
        <f t="shared" si="111"/>
        <v>#VALUE!</v>
      </c>
      <c r="K173" s="64">
        <f t="shared" si="112"/>
        <v>32</v>
      </c>
      <c r="L173" s="64" t="str">
        <f>IFERROR(VLOOKUP(MID(G173,J173,K173-J173),[5]skilldef!$C:$D,2,FALSE),"-") &amp; " / " &amp; IFERROR(VLOOKUP(MID(G173,H173,I173-H173),[5]skilldef!$A:$B,2,FALSE),"-")</f>
        <v>- / -</v>
      </c>
      <c r="M173" s="64" t="str">
        <f t="shared" si="113"/>
        <v>none</v>
      </c>
      <c r="N173" s="48" t="str">
        <f>IFERROR(LEFT(M173,FIND("],",M173)+#REF!),M173)</f>
        <v>none</v>
      </c>
      <c r="O173" s="64" t="e">
        <f t="shared" si="114"/>
        <v>#VALUE!</v>
      </c>
      <c r="P173" s="64">
        <f t="shared" si="115"/>
        <v>4</v>
      </c>
      <c r="Q173" s="64" t="e">
        <f t="shared" si="116"/>
        <v>#VALUE!</v>
      </c>
      <c r="R173" s="64" t="e">
        <f t="shared" si="117"/>
        <v>#VALUE!</v>
      </c>
      <c r="S173" s="64" t="str">
        <f>IFERROR(VLOOKUP(MID(N173,Q173,R173-Q173),[5]skilldef!$C:$D,2,FALSE),"-") &amp; " / " &amp; IFERROR(VLOOKUP(MID(N173,O173,P173-O173),[5]skilldef!$A:$B,2,FALSE),"-")</f>
        <v>- / -</v>
      </c>
      <c r="T173" s="48" t="str">
        <f t="shared" si="118"/>
        <v>none</v>
      </c>
      <c r="U173" s="64" t="e">
        <f t="shared" si="119"/>
        <v>#VALUE!</v>
      </c>
      <c r="V173" s="64">
        <f t="shared" si="120"/>
        <v>4</v>
      </c>
      <c r="W173" s="64" t="e">
        <f t="shared" si="121"/>
        <v>#VALUE!</v>
      </c>
      <c r="X173" s="64" t="e">
        <f t="shared" si="122"/>
        <v>#VALUE!</v>
      </c>
      <c r="Y173" s="64" t="str">
        <f>IFERROR(VLOOKUP(MID(T173,W173,X173-W173),[5]skilldef!$C:$D,2,FALSE),"-") &amp; " / " &amp; IFERROR(VLOOKUP(MID(T173,U173,V173-U173),[5]skilldef!$A:$B,2,FALSE),"-")</f>
        <v>- / -</v>
      </c>
      <c r="Z173" s="50"/>
      <c r="AA173" s="52"/>
      <c r="AB173" s="50"/>
    </row>
    <row r="174" spans="1:28" ht="40" customHeight="1" x14ac:dyDescent="0.15">
      <c r="A174" s="120">
        <v>47003611</v>
      </c>
      <c r="B174" s="47" t="s">
        <v>281</v>
      </c>
      <c r="C174" s="124">
        <v>3</v>
      </c>
      <c r="D174" s="124" t="s">
        <v>126</v>
      </c>
      <c r="E174" s="51" t="s">
        <v>559</v>
      </c>
      <c r="F174" s="51" t="s">
        <v>292</v>
      </c>
      <c r="G174" s="130" t="str">
        <f t="shared" ref="G174:G177" si="123">IFERROR(LEFT(B174,FIND("],",B174)),B174)</f>
        <v>[effect:enemy_message, val1:1.0, val2:0]</v>
      </c>
      <c r="H174" s="64">
        <f t="shared" ref="H174:H177" si="124">FIND("effect:",G174)+7</f>
        <v>9</v>
      </c>
      <c r="I174" s="64">
        <f t="shared" ref="I174:I177" si="125">IFERROR(FIND(",",G174),LEN(G174))</f>
        <v>22</v>
      </c>
      <c r="J174" s="64" t="e">
        <f t="shared" ref="J174:J177" si="126">FIND("target:",G174)+7</f>
        <v>#VALUE!</v>
      </c>
      <c r="K174" s="64">
        <f t="shared" ref="K174:K177" si="127">FIND(",",G174,I174+1)</f>
        <v>32</v>
      </c>
      <c r="L174" s="64" t="str">
        <f>IFERROR(VLOOKUP(MID(G174,J174,K174-J174),[5]skilldef!$C:$D,2,FALSE),"-") &amp; " / " &amp; IFERROR(VLOOKUP(MID(G174,H174,I174-H174),[5]skilldef!$A:$B,2,FALSE),"-")</f>
        <v>- / -</v>
      </c>
      <c r="M174" s="64" t="str">
        <f t="shared" ref="M174:M177" si="128">IFERROR(RIGHT(B174,LEN(B174)-FIND("],",B174)-1),"none")</f>
        <v>none</v>
      </c>
      <c r="N174" s="48" t="str">
        <f>IFERROR(LEFT(M174,FIND("],",M174)+S209),M174)</f>
        <v>none</v>
      </c>
      <c r="O174" s="64" t="e">
        <f t="shared" ref="O174:O177" si="129">FIND("effect:",N174)+7</f>
        <v>#VALUE!</v>
      </c>
      <c r="P174" s="64">
        <f t="shared" ref="P174:P177" si="130">IFERROR(FIND(",",N174),LEN(N174))</f>
        <v>4</v>
      </c>
      <c r="Q174" s="64" t="e">
        <f t="shared" ref="Q174:Q177" si="131">FIND("target:",N174)+7</f>
        <v>#VALUE!</v>
      </c>
      <c r="R174" s="64" t="e">
        <f t="shared" ref="R174:R177" si="132">FIND(",",N174,P174+1)</f>
        <v>#VALUE!</v>
      </c>
      <c r="S174" s="64" t="str">
        <f>IFERROR(VLOOKUP(MID(N174,Q174,R174-Q174),[5]skilldef!$C:$D,2,FALSE),"-") &amp; " / " &amp; IFERROR(VLOOKUP(MID(N174,O174,P174-O174),[5]skilldef!$A:$B,2,FALSE),"-")</f>
        <v>- / -</v>
      </c>
      <c r="T174" s="48" t="str">
        <f t="shared" ref="T174:T177" si="133">IFERROR(RIGHT(M174,LEN(M174)-FIND("],",M174)-1),"none")</f>
        <v>none</v>
      </c>
      <c r="U174" s="64" t="e">
        <f t="shared" ref="U174:U177" si="134">FIND("effect:",T174)+7</f>
        <v>#VALUE!</v>
      </c>
      <c r="V174" s="64">
        <f t="shared" ref="V174:V177" si="135">IFERROR(FIND(",",T174),LEN(T174))</f>
        <v>4</v>
      </c>
      <c r="W174" s="64" t="e">
        <f t="shared" ref="W174:W177" si="136">FIND("target:",T174)+7</f>
        <v>#VALUE!</v>
      </c>
      <c r="X174" s="64" t="e">
        <f t="shared" ref="X174:X177" si="137">FIND(",",T174,V174+1)</f>
        <v>#VALUE!</v>
      </c>
      <c r="Y174" s="64" t="str">
        <f>IFERROR(VLOOKUP(MID(T174,W174,X174-W174),[5]skilldef!$C:$D,2,FALSE),"-") &amp; " / " &amp; IFERROR(VLOOKUP(MID(T174,U174,V174-U174),[5]skilldef!$A:$B,2,FALSE),"-")</f>
        <v>- / -</v>
      </c>
      <c r="Z174" s="50"/>
      <c r="AA174" s="52"/>
      <c r="AB174" s="50"/>
    </row>
    <row r="175" spans="1:28" ht="40" customHeight="1" x14ac:dyDescent="0.15">
      <c r="A175" s="120">
        <v>47003612</v>
      </c>
      <c r="B175" s="47" t="s">
        <v>281</v>
      </c>
      <c r="C175" s="124">
        <v>3</v>
      </c>
      <c r="D175" s="124" t="s">
        <v>126</v>
      </c>
      <c r="E175" s="51" t="s">
        <v>560</v>
      </c>
      <c r="F175" s="51" t="s">
        <v>292</v>
      </c>
      <c r="G175" s="130" t="str">
        <f t="shared" ref="G175" si="138">IFERROR(LEFT(B175,FIND("],",B175)),B175)</f>
        <v>[effect:enemy_message, val1:1.0, val2:0]</v>
      </c>
      <c r="H175" s="64">
        <f t="shared" ref="H175" si="139">FIND("effect:",G175)+7</f>
        <v>9</v>
      </c>
      <c r="I175" s="64">
        <f t="shared" ref="I175" si="140">IFERROR(FIND(",",G175),LEN(G175))</f>
        <v>22</v>
      </c>
      <c r="J175" s="64" t="e">
        <f t="shared" ref="J175" si="141">FIND("target:",G175)+7</f>
        <v>#VALUE!</v>
      </c>
      <c r="K175" s="64">
        <f t="shared" ref="K175" si="142">FIND(",",G175,I175+1)</f>
        <v>32</v>
      </c>
      <c r="L175" s="64" t="str">
        <f>IFERROR(VLOOKUP(MID(G175,J175,K175-J175),[5]skilldef!$C:$D,2,FALSE),"-") &amp; " / " &amp; IFERROR(VLOOKUP(MID(G175,H175,I175-H175),[5]skilldef!$A:$B,2,FALSE),"-")</f>
        <v>- / -</v>
      </c>
      <c r="M175" s="64" t="str">
        <f t="shared" ref="M175" si="143">IFERROR(RIGHT(B175,LEN(B175)-FIND("],",B175)-1),"none")</f>
        <v>none</v>
      </c>
      <c r="N175" s="48" t="str">
        <f>IFERROR(LEFT(M175,FIND("],",M175)+S211),M175)</f>
        <v>none</v>
      </c>
      <c r="O175" s="64" t="e">
        <f t="shared" ref="O175" si="144">FIND("effect:",N175)+7</f>
        <v>#VALUE!</v>
      </c>
      <c r="P175" s="64">
        <f t="shared" ref="P175" si="145">IFERROR(FIND(",",N175),LEN(N175))</f>
        <v>4</v>
      </c>
      <c r="Q175" s="64" t="e">
        <f t="shared" ref="Q175" si="146">FIND("target:",N175)+7</f>
        <v>#VALUE!</v>
      </c>
      <c r="R175" s="64" t="e">
        <f t="shared" ref="R175" si="147">FIND(",",N175,P175+1)</f>
        <v>#VALUE!</v>
      </c>
      <c r="S175" s="64" t="str">
        <f>IFERROR(VLOOKUP(MID(N175,Q175,R175-Q175),[5]skilldef!$C:$D,2,FALSE),"-") &amp; " / " &amp; IFERROR(VLOOKUP(MID(N175,O175,P175-O175),[5]skilldef!$A:$B,2,FALSE),"-")</f>
        <v>- / -</v>
      </c>
      <c r="T175" s="48" t="str">
        <f t="shared" ref="T175" si="148">IFERROR(RIGHT(M175,LEN(M175)-FIND("],",M175)-1),"none")</f>
        <v>none</v>
      </c>
      <c r="U175" s="64" t="e">
        <f t="shared" ref="U175" si="149">FIND("effect:",T175)+7</f>
        <v>#VALUE!</v>
      </c>
      <c r="V175" s="64">
        <f t="shared" ref="V175" si="150">IFERROR(FIND(",",T175),LEN(T175))</f>
        <v>4</v>
      </c>
      <c r="W175" s="64" t="e">
        <f t="shared" ref="W175" si="151">FIND("target:",T175)+7</f>
        <v>#VALUE!</v>
      </c>
      <c r="X175" s="64" t="e">
        <f t="shared" ref="X175" si="152">FIND(",",T175,V175+1)</f>
        <v>#VALUE!</v>
      </c>
      <c r="Y175" s="64" t="str">
        <f>IFERROR(VLOOKUP(MID(T175,W175,X175-W175),[5]skilldef!$C:$D,2,FALSE),"-") &amp; " / " &amp; IFERROR(VLOOKUP(MID(T175,U175,V175-U175),[5]skilldef!$A:$B,2,FALSE),"-")</f>
        <v>- / -</v>
      </c>
      <c r="Z175" s="50"/>
      <c r="AA175" s="52"/>
      <c r="AB175" s="50"/>
    </row>
    <row r="176" spans="1:28" ht="40" customHeight="1" x14ac:dyDescent="0.15">
      <c r="A176" s="120">
        <v>47003613</v>
      </c>
      <c r="B176" s="47" t="s">
        <v>357</v>
      </c>
      <c r="C176" s="124">
        <v>3</v>
      </c>
      <c r="D176" s="124" t="s">
        <v>126</v>
      </c>
      <c r="E176" s="51" t="s">
        <v>561</v>
      </c>
      <c r="F176" s="51" t="s">
        <v>459</v>
      </c>
      <c r="G176" s="130" t="str">
        <f t="shared" si="123"/>
        <v>[effect:crash_condition, target:unit_demon, turn:-1, val:-2, animation:crash_panel_reduce04]</v>
      </c>
      <c r="H176" s="64">
        <f t="shared" si="124"/>
        <v>9</v>
      </c>
      <c r="I176" s="64">
        <f t="shared" si="125"/>
        <v>24</v>
      </c>
      <c r="J176" s="64">
        <f t="shared" si="126"/>
        <v>33</v>
      </c>
      <c r="K176" s="64">
        <f t="shared" si="127"/>
        <v>43</v>
      </c>
      <c r="L176" s="64" t="str">
        <f>IFERROR(VLOOKUP(MID(G176,J176,K176-J176),[5]skilldef!$C:$D,2,FALSE),"-") &amp; " / " &amp; IFERROR(VLOOKUP(MID(G176,H176,I176-H176),[5]skilldef!$A:$B,2,FALSE),"-")</f>
        <v>- / -</v>
      </c>
      <c r="M176" s="64" t="str">
        <f t="shared" si="128"/>
        <v>[effect:suicide, target:myself, val:0.95, dead_type:escape]</v>
      </c>
      <c r="N176" s="48" t="str">
        <f>IFERROR(LEFT(M176,FIND("],",M176)+S211),M176)</f>
        <v>[effect:suicide, target:myself, val:0.95, dead_type:escape]</v>
      </c>
      <c r="O176" s="64">
        <f t="shared" si="129"/>
        <v>9</v>
      </c>
      <c r="P176" s="64">
        <f t="shared" si="130"/>
        <v>16</v>
      </c>
      <c r="Q176" s="64">
        <f t="shared" si="131"/>
        <v>25</v>
      </c>
      <c r="R176" s="64">
        <f t="shared" si="132"/>
        <v>31</v>
      </c>
      <c r="S176" s="64" t="str">
        <f>IFERROR(VLOOKUP(MID(N176,Q176,R176-Q176),[5]skilldef!$C:$D,2,FALSE),"-") &amp; " / " &amp; IFERROR(VLOOKUP(MID(N176,O176,P176-O176),[5]skilldef!$A:$B,2,FALSE),"-")</f>
        <v>自分自身に / -</v>
      </c>
      <c r="T176" s="48" t="str">
        <f t="shared" si="133"/>
        <v>none</v>
      </c>
      <c r="U176" s="64" t="e">
        <f t="shared" si="134"/>
        <v>#VALUE!</v>
      </c>
      <c r="V176" s="64">
        <f t="shared" si="135"/>
        <v>4</v>
      </c>
      <c r="W176" s="64" t="e">
        <f t="shared" si="136"/>
        <v>#VALUE!</v>
      </c>
      <c r="X176" s="64" t="e">
        <f t="shared" si="137"/>
        <v>#VALUE!</v>
      </c>
      <c r="Y176" s="64" t="str">
        <f>IFERROR(VLOOKUP(MID(T176,W176,X176-W176),[5]skilldef!$C:$D,2,FALSE),"-") &amp; " / " &amp; IFERROR(VLOOKUP(MID(T176,U176,V176-U176),[5]skilldef!$A:$B,2,FALSE),"-")</f>
        <v>- / -</v>
      </c>
      <c r="Z176" s="50"/>
      <c r="AA176" s="52"/>
      <c r="AB176" s="50"/>
    </row>
    <row r="177" spans="1:28" ht="40" customHeight="1" x14ac:dyDescent="0.15">
      <c r="A177" s="120">
        <v>47003614</v>
      </c>
      <c r="B177" s="47" t="s">
        <v>357</v>
      </c>
      <c r="C177" s="124">
        <v>3</v>
      </c>
      <c r="D177" s="124" t="s">
        <v>126</v>
      </c>
      <c r="E177" s="51" t="s">
        <v>562</v>
      </c>
      <c r="F177" s="51" t="s">
        <v>459</v>
      </c>
      <c r="G177" s="130" t="str">
        <f t="shared" si="123"/>
        <v>[effect:crash_condition, target:unit_demon, turn:-1, val:-2, animation:crash_panel_reduce04]</v>
      </c>
      <c r="H177" s="64">
        <f t="shared" si="124"/>
        <v>9</v>
      </c>
      <c r="I177" s="64">
        <f t="shared" si="125"/>
        <v>24</v>
      </c>
      <c r="J177" s="64">
        <f t="shared" si="126"/>
        <v>33</v>
      </c>
      <c r="K177" s="64">
        <f t="shared" si="127"/>
        <v>43</v>
      </c>
      <c r="L177" s="64" t="str">
        <f>IFERROR(VLOOKUP(MID(G177,J177,K177-J177),[5]skilldef!$C:$D,2,FALSE),"-") &amp; " / " &amp; IFERROR(VLOOKUP(MID(G177,H177,I177-H177),[5]skilldef!$A:$B,2,FALSE),"-")</f>
        <v>- / -</v>
      </c>
      <c r="M177" s="64" t="str">
        <f t="shared" si="128"/>
        <v>[effect:suicide, target:myself, val:0.95, dead_type:escape]</v>
      </c>
      <c r="N177" s="48" t="str">
        <f>IFERROR(LEFT(M177,FIND("],",M177)+S212),M177)</f>
        <v>[effect:suicide, target:myself, val:0.95, dead_type:escape]</v>
      </c>
      <c r="O177" s="64">
        <f t="shared" si="129"/>
        <v>9</v>
      </c>
      <c r="P177" s="64">
        <f t="shared" si="130"/>
        <v>16</v>
      </c>
      <c r="Q177" s="64">
        <f t="shared" si="131"/>
        <v>25</v>
      </c>
      <c r="R177" s="64">
        <f t="shared" si="132"/>
        <v>31</v>
      </c>
      <c r="S177" s="64" t="str">
        <f>IFERROR(VLOOKUP(MID(N177,Q177,R177-Q177),[5]skilldef!$C:$D,2,FALSE),"-") &amp; " / " &amp; IFERROR(VLOOKUP(MID(N177,O177,P177-O177),[5]skilldef!$A:$B,2,FALSE),"-")</f>
        <v>自分自身に / -</v>
      </c>
      <c r="T177" s="48" t="str">
        <f t="shared" si="133"/>
        <v>none</v>
      </c>
      <c r="U177" s="64" t="e">
        <f t="shared" si="134"/>
        <v>#VALUE!</v>
      </c>
      <c r="V177" s="64">
        <f t="shared" si="135"/>
        <v>4</v>
      </c>
      <c r="W177" s="64" t="e">
        <f t="shared" si="136"/>
        <v>#VALUE!</v>
      </c>
      <c r="X177" s="64" t="e">
        <f t="shared" si="137"/>
        <v>#VALUE!</v>
      </c>
      <c r="Y177" s="64" t="str">
        <f>IFERROR(VLOOKUP(MID(T177,W177,X177-W177),[5]skilldef!$C:$D,2,FALSE),"-") &amp; " / " &amp; IFERROR(VLOOKUP(MID(T177,U177,V177-U177),[5]skilldef!$A:$B,2,FALSE),"-")</f>
        <v>- / -</v>
      </c>
      <c r="Z177" s="50"/>
      <c r="AA177" s="52"/>
      <c r="AB177" s="50"/>
    </row>
    <row r="178" spans="1:28" ht="40" customHeight="1" x14ac:dyDescent="0.15">
      <c r="A178" s="48">
        <v>47003621</v>
      </c>
      <c r="B178" s="47" t="s">
        <v>273</v>
      </c>
      <c r="C178" s="46">
        <v>3</v>
      </c>
      <c r="D178" s="46" t="s">
        <v>126</v>
      </c>
      <c r="E178" s="51" t="s">
        <v>563</v>
      </c>
      <c r="F178" s="51" t="s">
        <v>292</v>
      </c>
      <c r="G178" s="130" t="str">
        <f t="shared" ref="G178:G194" si="153">IFERROR(LEFT(B178,FIND("],",B178)),B178)</f>
        <v>[effect:enemy_message, val1:1.0, val2:0]</v>
      </c>
      <c r="H178" s="64">
        <f t="shared" ref="H178:H196" si="154">FIND("effect:",G178)+7</f>
        <v>9</v>
      </c>
      <c r="I178" s="64">
        <f t="shared" ref="I178:I194" si="155">IFERROR(FIND(",",G178),LEN(G178))</f>
        <v>22</v>
      </c>
      <c r="J178" s="64" t="e">
        <f t="shared" ref="J178:J194" si="156">FIND("target:",G178)+7</f>
        <v>#VALUE!</v>
      </c>
      <c r="K178" s="64">
        <f t="shared" ref="K178:K194" si="157">FIND(",",G178,I178+1)</f>
        <v>32</v>
      </c>
      <c r="L178" s="64" t="str">
        <f>IFERROR(VLOOKUP(MID(G178,J178,K178-J178),[5]skilldef!$C:$D,2,FALSE),"-") &amp; " / " &amp; IFERROR(VLOOKUP(MID(G178,H178,I178-H178),[5]skilldef!$A:$B,2,FALSE),"-")</f>
        <v>- / -</v>
      </c>
      <c r="M178" s="64" t="str">
        <f t="shared" ref="M178:M194" si="158">IFERROR(RIGHT(B178,LEN(B178)-FIND("],",B178)-1),"none")</f>
        <v>none</v>
      </c>
      <c r="N178" s="48" t="str">
        <f>IFERROR(LEFT(M178,FIND("],",M178)+S209),M178)</f>
        <v>none</v>
      </c>
      <c r="O178" s="64" t="e">
        <f t="shared" ref="O178:O196" si="159">FIND("effect:",N178)+7</f>
        <v>#VALUE!</v>
      </c>
      <c r="P178" s="64">
        <f t="shared" ref="P178:P194" si="160">IFERROR(FIND(",",N178),LEN(N178))</f>
        <v>4</v>
      </c>
      <c r="Q178" s="64" t="e">
        <f t="shared" ref="Q178:Q194" si="161">FIND("target:",N178)+7</f>
        <v>#VALUE!</v>
      </c>
      <c r="R178" s="64" t="e">
        <f t="shared" ref="R178:R194" si="162">FIND(",",N178,P178+1)</f>
        <v>#VALUE!</v>
      </c>
      <c r="S178" s="64" t="str">
        <f>IFERROR(VLOOKUP(MID(N178,Q178,R178-Q178),[5]skilldef!$C:$D,2,FALSE),"-") &amp; " / " &amp; IFERROR(VLOOKUP(MID(N178,O178,P178-O178),[5]skilldef!$A:$B,2,FALSE),"-")</f>
        <v>- / -</v>
      </c>
      <c r="T178" s="48" t="str">
        <f t="shared" ref="T178:T194" si="163">IFERROR(RIGHT(M178,LEN(M178)-FIND("],",M178)-1),"none")</f>
        <v>none</v>
      </c>
      <c r="U178" s="64" t="e">
        <f t="shared" ref="U178:U196" si="164">FIND("effect:",T178)+7</f>
        <v>#VALUE!</v>
      </c>
      <c r="V178" s="64">
        <f t="shared" ref="V178:V194" si="165">IFERROR(FIND(",",T178),LEN(T178))</f>
        <v>4</v>
      </c>
      <c r="W178" s="64" t="e">
        <f t="shared" ref="W178:W194" si="166">FIND("target:",T178)+7</f>
        <v>#VALUE!</v>
      </c>
      <c r="X178" s="64" t="e">
        <f t="shared" ref="X178:X194" si="167">FIND(",",T178,V178+1)</f>
        <v>#VALUE!</v>
      </c>
      <c r="Y178" s="64" t="str">
        <f>IFERROR(VLOOKUP(MID(T178,W178,X178-W178),[5]skilldef!$C:$D,2,FALSE),"-") &amp; " / " &amp; IFERROR(VLOOKUP(MID(T178,U178,V178-U178),[5]skilldef!$A:$B,2,FALSE),"-")</f>
        <v>- / -</v>
      </c>
      <c r="Z178" s="50"/>
      <c r="AA178" s="52"/>
      <c r="AB178" s="50"/>
    </row>
    <row r="179" spans="1:28" ht="40" customHeight="1" x14ac:dyDescent="0.15">
      <c r="A179" s="48">
        <v>47003622</v>
      </c>
      <c r="B179" s="47" t="s">
        <v>273</v>
      </c>
      <c r="C179" s="46">
        <v>3</v>
      </c>
      <c r="D179" s="46" t="s">
        <v>126</v>
      </c>
      <c r="E179" s="51" t="s">
        <v>564</v>
      </c>
      <c r="F179" s="51" t="s">
        <v>292</v>
      </c>
      <c r="G179" s="130" t="str">
        <f t="shared" ref="G179:G181" si="168">IFERROR(LEFT(B179,FIND("],",B179)),B179)</f>
        <v>[effect:enemy_message, val1:1.0, val2:0]</v>
      </c>
      <c r="H179" s="64">
        <f t="shared" ref="H179:H181" si="169">FIND("effect:",G179)+7</f>
        <v>9</v>
      </c>
      <c r="I179" s="64">
        <f t="shared" ref="I179:I181" si="170">IFERROR(FIND(",",G179),LEN(G179))</f>
        <v>22</v>
      </c>
      <c r="J179" s="64" t="e">
        <f t="shared" ref="J179:J181" si="171">FIND("target:",G179)+7</f>
        <v>#VALUE!</v>
      </c>
      <c r="K179" s="64">
        <f t="shared" ref="K179:K181" si="172">FIND(",",G179,I179+1)</f>
        <v>32</v>
      </c>
      <c r="L179" s="64" t="str">
        <f>IFERROR(VLOOKUP(MID(G179,J179,K179-J179),[5]skilldef!$C:$D,2,FALSE),"-") &amp; " / " &amp; IFERROR(VLOOKUP(MID(G179,H179,I179-H179),[5]skilldef!$A:$B,2,FALSE),"-")</f>
        <v>- / -</v>
      </c>
      <c r="M179" s="64" t="str">
        <f t="shared" ref="M179:M181" si="173">IFERROR(RIGHT(B179,LEN(B179)-FIND("],",B179)-1),"none")</f>
        <v>none</v>
      </c>
      <c r="N179" s="48" t="str">
        <f>IFERROR(LEFT(M179,FIND("],",M179)+S211),M179)</f>
        <v>none</v>
      </c>
      <c r="O179" s="64" t="e">
        <f t="shared" ref="O179:O181" si="174">FIND("effect:",N179)+7</f>
        <v>#VALUE!</v>
      </c>
      <c r="P179" s="64">
        <f t="shared" ref="P179:P181" si="175">IFERROR(FIND(",",N179),LEN(N179))</f>
        <v>4</v>
      </c>
      <c r="Q179" s="64" t="e">
        <f t="shared" ref="Q179:Q181" si="176">FIND("target:",N179)+7</f>
        <v>#VALUE!</v>
      </c>
      <c r="R179" s="64" t="e">
        <f t="shared" ref="R179:R181" si="177">FIND(",",N179,P179+1)</f>
        <v>#VALUE!</v>
      </c>
      <c r="S179" s="64" t="str">
        <f>IFERROR(VLOOKUP(MID(N179,Q179,R179-Q179),[5]skilldef!$C:$D,2,FALSE),"-") &amp; " / " &amp; IFERROR(VLOOKUP(MID(N179,O179,P179-O179),[5]skilldef!$A:$B,2,FALSE),"-")</f>
        <v>- / -</v>
      </c>
      <c r="T179" s="48" t="str">
        <f t="shared" ref="T179:T181" si="178">IFERROR(RIGHT(M179,LEN(M179)-FIND("],",M179)-1),"none")</f>
        <v>none</v>
      </c>
      <c r="U179" s="64" t="e">
        <f t="shared" ref="U179:U181" si="179">FIND("effect:",T179)+7</f>
        <v>#VALUE!</v>
      </c>
      <c r="V179" s="64">
        <f t="shared" ref="V179:V181" si="180">IFERROR(FIND(",",T179),LEN(T179))</f>
        <v>4</v>
      </c>
      <c r="W179" s="64" t="e">
        <f t="shared" ref="W179:W181" si="181">FIND("target:",T179)+7</f>
        <v>#VALUE!</v>
      </c>
      <c r="X179" s="64" t="e">
        <f t="shared" ref="X179:X181" si="182">FIND(",",T179,V179+1)</f>
        <v>#VALUE!</v>
      </c>
      <c r="Y179" s="64" t="str">
        <f>IFERROR(VLOOKUP(MID(T179,W179,X179-W179),[5]skilldef!$C:$D,2,FALSE),"-") &amp; " / " &amp; IFERROR(VLOOKUP(MID(T179,U179,V179-U179),[5]skilldef!$A:$B,2,FALSE),"-")</f>
        <v>- / -</v>
      </c>
      <c r="Z179" s="50"/>
      <c r="AA179" s="52"/>
      <c r="AB179" s="50"/>
    </row>
    <row r="180" spans="1:28" ht="40" customHeight="1" x14ac:dyDescent="0.15">
      <c r="A180" s="48">
        <v>47003623</v>
      </c>
      <c r="B180" s="47" t="s">
        <v>270</v>
      </c>
      <c r="C180" s="46">
        <v>3</v>
      </c>
      <c r="D180" s="46" t="s">
        <v>126</v>
      </c>
      <c r="E180" s="51" t="s">
        <v>565</v>
      </c>
      <c r="F180" s="51" t="s">
        <v>372</v>
      </c>
      <c r="G180" s="130" t="str">
        <f t="shared" si="168"/>
        <v>[effect:change_bomb_range, target:unit_demon, val:1.2, rate:1, turn:-1, animation:bomb_big]</v>
      </c>
      <c r="H180" s="64">
        <f t="shared" si="169"/>
        <v>9</v>
      </c>
      <c r="I180" s="64">
        <f t="shared" si="170"/>
        <v>26</v>
      </c>
      <c r="J180" s="64">
        <f t="shared" si="171"/>
        <v>35</v>
      </c>
      <c r="K180" s="64">
        <f t="shared" si="172"/>
        <v>45</v>
      </c>
      <c r="L180" s="64" t="str">
        <f>IFERROR(VLOOKUP(MID(G180,J180,K180-J180),[5]skilldef!$C:$D,2,FALSE),"-") &amp; " / " &amp; IFERROR(VLOOKUP(MID(G180,H180,I180-H180),[5]skilldef!$A:$B,2,FALSE),"-")</f>
        <v>- / -</v>
      </c>
      <c r="M180" s="64" t="str">
        <f t="shared" si="173"/>
        <v>[effect:suicide, target:myself, val:0.95, dead_type:escape]</v>
      </c>
      <c r="N180" s="48" t="str">
        <f>IFERROR(LEFT(M180,FIND("],",M180)+S212),M180)</f>
        <v>[effect:suicide, target:myself, val:0.95, dead_type:escape]</v>
      </c>
      <c r="O180" s="64">
        <f t="shared" si="174"/>
        <v>9</v>
      </c>
      <c r="P180" s="64">
        <f t="shared" si="175"/>
        <v>16</v>
      </c>
      <c r="Q180" s="64">
        <f t="shared" si="176"/>
        <v>25</v>
      </c>
      <c r="R180" s="64">
        <f t="shared" si="177"/>
        <v>31</v>
      </c>
      <c r="S180" s="64" t="str">
        <f>IFERROR(VLOOKUP(MID(N180,Q180,R180-Q180),[5]skilldef!$C:$D,2,FALSE),"-") &amp; " / " &amp; IFERROR(VLOOKUP(MID(N180,O180,P180-O180),[5]skilldef!$A:$B,2,FALSE),"-")</f>
        <v>自分自身に / -</v>
      </c>
      <c r="T180" s="48" t="str">
        <f t="shared" si="178"/>
        <v>none</v>
      </c>
      <c r="U180" s="64" t="e">
        <f t="shared" si="179"/>
        <v>#VALUE!</v>
      </c>
      <c r="V180" s="64">
        <f t="shared" si="180"/>
        <v>4</v>
      </c>
      <c r="W180" s="64" t="e">
        <f t="shared" si="181"/>
        <v>#VALUE!</v>
      </c>
      <c r="X180" s="64" t="e">
        <f t="shared" si="182"/>
        <v>#VALUE!</v>
      </c>
      <c r="Y180" s="64" t="str">
        <f>IFERROR(VLOOKUP(MID(T180,W180,X180-W180),[5]skilldef!$C:$D,2,FALSE),"-") &amp; " / " &amp; IFERROR(VLOOKUP(MID(T180,U180,V180-U180),[5]skilldef!$A:$B,2,FALSE),"-")</f>
        <v>- / -</v>
      </c>
      <c r="Z180" s="50"/>
      <c r="AA180" s="52"/>
      <c r="AB180" s="50"/>
    </row>
    <row r="181" spans="1:28" ht="40" customHeight="1" x14ac:dyDescent="0.15">
      <c r="A181" s="48">
        <v>47003624</v>
      </c>
      <c r="B181" s="47" t="s">
        <v>271</v>
      </c>
      <c r="C181" s="46">
        <v>3</v>
      </c>
      <c r="D181" s="46" t="s">
        <v>126</v>
      </c>
      <c r="E181" s="51" t="s">
        <v>566</v>
      </c>
      <c r="F181" s="51" t="s">
        <v>293</v>
      </c>
      <c r="G181" s="130" t="str">
        <f t="shared" si="168"/>
        <v>[effect:change_bomb_range, target:unit_demon, val:1.2, rate:1, turn:-1, animation:bomb_big]</v>
      </c>
      <c r="H181" s="64">
        <f t="shared" si="169"/>
        <v>9</v>
      </c>
      <c r="I181" s="64">
        <f t="shared" si="170"/>
        <v>26</v>
      </c>
      <c r="J181" s="64">
        <f t="shared" si="171"/>
        <v>35</v>
      </c>
      <c r="K181" s="64">
        <f t="shared" si="172"/>
        <v>45</v>
      </c>
      <c r="L181" s="64" t="str">
        <f>IFERROR(VLOOKUP(MID(G181,J181,K181-J181),[5]skilldef!$C:$D,2,FALSE),"-") &amp; " / " &amp; IFERROR(VLOOKUP(MID(G181,H181,I181-H181),[5]skilldef!$A:$B,2,FALSE),"-")</f>
        <v>- / -</v>
      </c>
      <c r="M181" s="64" t="str">
        <f t="shared" si="173"/>
        <v>[effect:suicide, target:myself, val:0.95, dead_type:escape]</v>
      </c>
      <c r="N181" s="48" t="str">
        <f>IFERROR(LEFT(M181,FIND("],",M181)+S214),M181)</f>
        <v>[effect:suicide, target:myself, val:0.95, dead_type:escape]</v>
      </c>
      <c r="O181" s="64">
        <f t="shared" si="174"/>
        <v>9</v>
      </c>
      <c r="P181" s="64">
        <f t="shared" si="175"/>
        <v>16</v>
      </c>
      <c r="Q181" s="64">
        <f t="shared" si="176"/>
        <v>25</v>
      </c>
      <c r="R181" s="64">
        <f t="shared" si="177"/>
        <v>31</v>
      </c>
      <c r="S181" s="64" t="str">
        <f>IFERROR(VLOOKUP(MID(N181,Q181,R181-Q181),[5]skilldef!$C:$D,2,FALSE),"-") &amp; " / " &amp; IFERROR(VLOOKUP(MID(N181,O181,P181-O181),[5]skilldef!$A:$B,2,FALSE),"-")</f>
        <v>自分自身に / -</v>
      </c>
      <c r="T181" s="48" t="str">
        <f t="shared" si="178"/>
        <v>none</v>
      </c>
      <c r="U181" s="64" t="e">
        <f t="shared" si="179"/>
        <v>#VALUE!</v>
      </c>
      <c r="V181" s="64">
        <f t="shared" si="180"/>
        <v>4</v>
      </c>
      <c r="W181" s="64" t="e">
        <f t="shared" si="181"/>
        <v>#VALUE!</v>
      </c>
      <c r="X181" s="64" t="e">
        <f t="shared" si="182"/>
        <v>#VALUE!</v>
      </c>
      <c r="Y181" s="64" t="str">
        <f>IFERROR(VLOOKUP(MID(T181,W181,X181-W181),[5]skilldef!$C:$D,2,FALSE),"-") &amp; " / " &amp; IFERROR(VLOOKUP(MID(T181,U181,V181-U181),[5]skilldef!$A:$B,2,FALSE),"-")</f>
        <v>- / -</v>
      </c>
      <c r="Z181" s="50"/>
      <c r="AA181" s="52"/>
      <c r="AB181" s="50"/>
    </row>
    <row r="182" spans="1:28" ht="40" customHeight="1" x14ac:dyDescent="0.15">
      <c r="A182" s="123">
        <v>47003631</v>
      </c>
      <c r="B182" s="47" t="s">
        <v>378</v>
      </c>
      <c r="C182" s="125">
        <v>3</v>
      </c>
      <c r="D182" s="125" t="s">
        <v>126</v>
      </c>
      <c r="E182" s="51" t="s">
        <v>463</v>
      </c>
      <c r="F182" s="51" t="s">
        <v>294</v>
      </c>
      <c r="G182" s="130" t="str">
        <f t="shared" si="153"/>
        <v>[effect:enemy_message, val1:1.2, val2:0]</v>
      </c>
      <c r="H182" s="64">
        <f t="shared" si="154"/>
        <v>9</v>
      </c>
      <c r="I182" s="64">
        <f t="shared" si="155"/>
        <v>22</v>
      </c>
      <c r="J182" s="64" t="e">
        <f t="shared" si="156"/>
        <v>#VALUE!</v>
      </c>
      <c r="K182" s="64">
        <f t="shared" si="157"/>
        <v>32</v>
      </c>
      <c r="L182" s="64" t="str">
        <f>IFERROR(VLOOKUP(MID(G182,J182,K182-J182),[5]skilldef!$C:$D,2,FALSE),"-") &amp; " / " &amp; IFERROR(VLOOKUP(MID(G182,H182,I182-H182),[5]skilldef!$A:$B,2,FALSE),"-")</f>
        <v>- / -</v>
      </c>
      <c r="M182" s="64" t="str">
        <f t="shared" si="158"/>
        <v>none</v>
      </c>
      <c r="N182" s="48" t="str">
        <f>IFERROR(LEFT(M182,FIND("],",M182)+#REF!),M182)</f>
        <v>none</v>
      </c>
      <c r="O182" s="64" t="e">
        <f t="shared" si="159"/>
        <v>#VALUE!</v>
      </c>
      <c r="P182" s="64">
        <f t="shared" si="160"/>
        <v>4</v>
      </c>
      <c r="Q182" s="64" t="e">
        <f t="shared" si="161"/>
        <v>#VALUE!</v>
      </c>
      <c r="R182" s="64" t="e">
        <f t="shared" si="162"/>
        <v>#VALUE!</v>
      </c>
      <c r="S182" s="64" t="str">
        <f>IFERROR(VLOOKUP(MID(N182,Q182,R182-Q182),[5]skilldef!$C:$D,2,FALSE),"-") &amp; " / " &amp; IFERROR(VLOOKUP(MID(N182,O182,P182-O182),[5]skilldef!$A:$B,2,FALSE),"-")</f>
        <v>- / -</v>
      </c>
      <c r="T182" s="48" t="str">
        <f t="shared" si="163"/>
        <v>none</v>
      </c>
      <c r="U182" s="64" t="e">
        <f t="shared" si="164"/>
        <v>#VALUE!</v>
      </c>
      <c r="V182" s="64">
        <f t="shared" si="165"/>
        <v>4</v>
      </c>
      <c r="W182" s="64" t="e">
        <f t="shared" si="166"/>
        <v>#VALUE!</v>
      </c>
      <c r="X182" s="64" t="e">
        <f t="shared" si="167"/>
        <v>#VALUE!</v>
      </c>
      <c r="Y182" s="64" t="str">
        <f>IFERROR(VLOOKUP(MID(T182,W182,X182-W182),[5]skilldef!$C:$D,2,FALSE),"-") &amp; " / " &amp; IFERROR(VLOOKUP(MID(T182,U182,V182-U182),[5]skilldef!$A:$B,2,FALSE),"-")</f>
        <v>- / -</v>
      </c>
      <c r="Z182" s="50"/>
      <c r="AA182" s="52"/>
      <c r="AB182" s="50"/>
    </row>
    <row r="183" spans="1:28" ht="40" customHeight="1" x14ac:dyDescent="0.15">
      <c r="A183" s="123">
        <v>47003632</v>
      </c>
      <c r="B183" s="47" t="s">
        <v>409</v>
      </c>
      <c r="C183" s="125">
        <v>3</v>
      </c>
      <c r="D183" s="125" t="s">
        <v>126</v>
      </c>
      <c r="E183" s="51" t="s">
        <v>295</v>
      </c>
      <c r="F183" s="51" t="s">
        <v>608</v>
      </c>
      <c r="G183" s="130" t="str">
        <f t="shared" ref="G183:G185" si="183">IFERROR(LEFT(B183,FIND("],",B183)),B183)</f>
        <v>[effect:enemy_message, val1:1.5, val2:1.8]</v>
      </c>
      <c r="H183" s="64">
        <f t="shared" ref="H183:H185" si="184">FIND("effect:",G183)+7</f>
        <v>9</v>
      </c>
      <c r="I183" s="64">
        <f t="shared" ref="I183:I185" si="185">IFERROR(FIND(",",G183),LEN(G183))</f>
        <v>22</v>
      </c>
      <c r="J183" s="64" t="e">
        <f t="shared" ref="J183:J185" si="186">FIND("target:",G183)+7</f>
        <v>#VALUE!</v>
      </c>
      <c r="K183" s="64">
        <f t="shared" ref="K183:K185" si="187">FIND(",",G183,I183+1)</f>
        <v>32</v>
      </c>
      <c r="L183" s="64" t="str">
        <f>IFERROR(VLOOKUP(MID(G183,J183,K183-J183),[5]skilldef!$C:$D,2,FALSE),"-") &amp; " / " &amp; IFERROR(VLOOKUP(MID(G183,H183,I183-H183),[5]skilldef!$A:$B,2,FALSE),"-")</f>
        <v>- / -</v>
      </c>
      <c r="M183" s="64" t="str">
        <f t="shared" ref="M183:M185" si="188">IFERROR(RIGHT(B183,LEN(B183)-FIND("],",B183)-1),"none")</f>
        <v>[effect:sp_boost, target:unit_all, val:6, animation:sp_boost_one03],[effect:suicide, target:myself, val:0.95, dead_type:escape]</v>
      </c>
      <c r="N183" s="48" t="str">
        <f>IFERROR(LEFT(M183,FIND("],",M183)+#REF!),M183)</f>
        <v>[effect:sp_boost, target:unit_all, val:6, animation:sp_boost_one03],[effect:suicide, target:myself, val:0.95, dead_type:escape]</v>
      </c>
      <c r="O183" s="64">
        <f t="shared" ref="O183:O185" si="189">FIND("effect:",N183)+7</f>
        <v>9</v>
      </c>
      <c r="P183" s="64">
        <f t="shared" ref="P183:P185" si="190">IFERROR(FIND(",",N183),LEN(N183))</f>
        <v>17</v>
      </c>
      <c r="Q183" s="64">
        <f t="shared" ref="Q183:Q185" si="191">FIND("target:",N183)+7</f>
        <v>26</v>
      </c>
      <c r="R183" s="64">
        <f t="shared" ref="R183:R185" si="192">FIND(",",N183,P183+1)</f>
        <v>34</v>
      </c>
      <c r="S183" s="64" t="str">
        <f>IFERROR(VLOOKUP(MID(N183,Q183,R183-Q183),[5]skilldef!$C:$D,2,FALSE),"-") &amp; " / " &amp; IFERROR(VLOOKUP(MID(N183,O183,P183-O183),[5]skilldef!$A:$B,2,FALSE),"-")</f>
        <v>味方全体に / -</v>
      </c>
      <c r="T183" s="48" t="str">
        <f t="shared" ref="T183:T185" si="193">IFERROR(RIGHT(M183,LEN(M183)-FIND("],",M183)-1),"none")</f>
        <v>[effect:suicide, target:myself, val:0.95, dead_type:escape]</v>
      </c>
      <c r="U183" s="64">
        <f t="shared" ref="U183:U185" si="194">FIND("effect:",T183)+7</f>
        <v>9</v>
      </c>
      <c r="V183" s="64">
        <f t="shared" ref="V183:V185" si="195">IFERROR(FIND(",",T183),LEN(T183))</f>
        <v>16</v>
      </c>
      <c r="W183" s="64">
        <f t="shared" ref="W183:W185" si="196">FIND("target:",T183)+7</f>
        <v>25</v>
      </c>
      <c r="X183" s="64">
        <f t="shared" ref="X183:X185" si="197">FIND(",",T183,V183+1)</f>
        <v>31</v>
      </c>
      <c r="Y183" s="64" t="str">
        <f>IFERROR(VLOOKUP(MID(T183,W183,X183-W183),[5]skilldef!$C:$D,2,FALSE),"-") &amp; " / " &amp; IFERROR(VLOOKUP(MID(T183,U183,V183-U183),[5]skilldef!$A:$B,2,FALSE),"-")</f>
        <v>自分自身に / -</v>
      </c>
      <c r="Z183" s="50"/>
      <c r="AA183" s="52"/>
      <c r="AB183" s="50"/>
    </row>
    <row r="184" spans="1:28" ht="40" customHeight="1" x14ac:dyDescent="0.15">
      <c r="A184" s="123">
        <v>47003633</v>
      </c>
      <c r="B184" s="47" t="s">
        <v>478</v>
      </c>
      <c r="C184" s="125">
        <v>3</v>
      </c>
      <c r="D184" s="125" t="s">
        <v>126</v>
      </c>
      <c r="E184" s="51" t="s">
        <v>380</v>
      </c>
      <c r="F184" s="51" t="s">
        <v>280</v>
      </c>
      <c r="G184" s="130" t="str">
        <f t="shared" si="183"/>
        <v>[effect:enemy_message, val1:1.5, val2:0]</v>
      </c>
      <c r="H184" s="64">
        <f t="shared" si="184"/>
        <v>9</v>
      </c>
      <c r="I184" s="64">
        <f t="shared" si="185"/>
        <v>22</v>
      </c>
      <c r="J184" s="64" t="e">
        <f t="shared" si="186"/>
        <v>#VALUE!</v>
      </c>
      <c r="K184" s="64">
        <f t="shared" si="187"/>
        <v>32</v>
      </c>
      <c r="L184" s="64" t="str">
        <f>IFERROR(VLOOKUP(MID(G184,J184,K184-J184),[5]skilldef!$C:$D,2,FALSE),"-") &amp; " / " &amp; IFERROR(VLOOKUP(MID(G184,H184,I184-H184),[5]skilldef!$A:$B,2,FALSE),"-")</f>
        <v>- / -</v>
      </c>
      <c r="M184" s="64" t="str">
        <f t="shared" si="188"/>
        <v>none</v>
      </c>
      <c r="N184" s="48" t="str">
        <f>IFERROR(LEFT(M184,FIND("],",M184)+#REF!),M184)</f>
        <v>none</v>
      </c>
      <c r="O184" s="64" t="e">
        <f t="shared" si="189"/>
        <v>#VALUE!</v>
      </c>
      <c r="P184" s="64">
        <f t="shared" si="190"/>
        <v>4</v>
      </c>
      <c r="Q184" s="64" t="e">
        <f t="shared" si="191"/>
        <v>#VALUE!</v>
      </c>
      <c r="R184" s="64" t="e">
        <f t="shared" si="192"/>
        <v>#VALUE!</v>
      </c>
      <c r="S184" s="64" t="str">
        <f>IFERROR(VLOOKUP(MID(N184,Q184,R184-Q184),[5]skilldef!$C:$D,2,FALSE),"-") &amp; " / " &amp; IFERROR(VLOOKUP(MID(N184,O184,P184-O184),[5]skilldef!$A:$B,2,FALSE),"-")</f>
        <v>- / -</v>
      </c>
      <c r="T184" s="48" t="str">
        <f t="shared" si="193"/>
        <v>none</v>
      </c>
      <c r="U184" s="64" t="e">
        <f t="shared" si="194"/>
        <v>#VALUE!</v>
      </c>
      <c r="V184" s="64">
        <f t="shared" si="195"/>
        <v>4</v>
      </c>
      <c r="W184" s="64" t="e">
        <f t="shared" si="196"/>
        <v>#VALUE!</v>
      </c>
      <c r="X184" s="64" t="e">
        <f t="shared" si="197"/>
        <v>#VALUE!</v>
      </c>
      <c r="Y184" s="64" t="str">
        <f>IFERROR(VLOOKUP(MID(T184,W184,X184-W184),[5]skilldef!$C:$D,2,FALSE),"-") &amp; " / " &amp; IFERROR(VLOOKUP(MID(T184,U184,V184-U184),[5]skilldef!$A:$B,2,FALSE),"-")</f>
        <v>- / -</v>
      </c>
      <c r="Z184" s="50"/>
      <c r="AA184" s="52"/>
      <c r="AB184" s="50"/>
    </row>
    <row r="185" spans="1:28" ht="40" customHeight="1" x14ac:dyDescent="0.15">
      <c r="A185" s="123">
        <v>47003634</v>
      </c>
      <c r="B185" s="47" t="s">
        <v>381</v>
      </c>
      <c r="C185" s="125">
        <v>3</v>
      </c>
      <c r="D185" s="125" t="s">
        <v>126</v>
      </c>
      <c r="E185" s="51" t="s">
        <v>388</v>
      </c>
      <c r="F185" s="51" t="s">
        <v>294</v>
      </c>
      <c r="G185" s="130" t="str">
        <f t="shared" si="183"/>
        <v>[effect:enemy_message, val1:1.5, val2:0]</v>
      </c>
      <c r="H185" s="64">
        <f t="shared" si="184"/>
        <v>9</v>
      </c>
      <c r="I185" s="64">
        <f t="shared" si="185"/>
        <v>22</v>
      </c>
      <c r="J185" s="64" t="e">
        <f t="shared" si="186"/>
        <v>#VALUE!</v>
      </c>
      <c r="K185" s="64">
        <f t="shared" si="187"/>
        <v>32</v>
      </c>
      <c r="L185" s="64" t="str">
        <f>IFERROR(VLOOKUP(MID(G185,J185,K185-J185),[5]skilldef!$C:$D,2,FALSE),"-") &amp; " / " &amp; IFERROR(VLOOKUP(MID(G185,H185,I185-H185),[5]skilldef!$A:$B,2,FALSE),"-")</f>
        <v>- / -</v>
      </c>
      <c r="M185" s="64" t="str">
        <f t="shared" si="188"/>
        <v>none</v>
      </c>
      <c r="N185" s="48" t="str">
        <f>IFERROR(LEFT(M185,FIND("],",M185)+#REF!),M185)</f>
        <v>none</v>
      </c>
      <c r="O185" s="64" t="e">
        <f t="shared" si="189"/>
        <v>#VALUE!</v>
      </c>
      <c r="P185" s="64">
        <f t="shared" si="190"/>
        <v>4</v>
      </c>
      <c r="Q185" s="64" t="e">
        <f t="shared" si="191"/>
        <v>#VALUE!</v>
      </c>
      <c r="R185" s="64" t="e">
        <f t="shared" si="192"/>
        <v>#VALUE!</v>
      </c>
      <c r="S185" s="64" t="str">
        <f>IFERROR(VLOOKUP(MID(N185,Q185,R185-Q185),[5]skilldef!$C:$D,2,FALSE),"-") &amp; " / " &amp; IFERROR(VLOOKUP(MID(N185,O185,P185-O185),[5]skilldef!$A:$B,2,FALSE),"-")</f>
        <v>- / -</v>
      </c>
      <c r="T185" s="48" t="str">
        <f t="shared" si="193"/>
        <v>none</v>
      </c>
      <c r="U185" s="64" t="e">
        <f t="shared" si="194"/>
        <v>#VALUE!</v>
      </c>
      <c r="V185" s="64">
        <f t="shared" si="195"/>
        <v>4</v>
      </c>
      <c r="W185" s="64" t="e">
        <f t="shared" si="196"/>
        <v>#VALUE!</v>
      </c>
      <c r="X185" s="64" t="e">
        <f t="shared" si="197"/>
        <v>#VALUE!</v>
      </c>
      <c r="Y185" s="64" t="str">
        <f>IFERROR(VLOOKUP(MID(T185,W185,X185-W185),[5]skilldef!$C:$D,2,FALSE),"-") &amp; " / " &amp; IFERROR(VLOOKUP(MID(T185,U185,V185-U185),[5]skilldef!$A:$B,2,FALSE),"-")</f>
        <v>- / -</v>
      </c>
      <c r="Z185" s="50"/>
      <c r="AA185" s="52"/>
      <c r="AB185" s="50"/>
    </row>
    <row r="186" spans="1:28" ht="40" customHeight="1" x14ac:dyDescent="0.15">
      <c r="A186" s="47">
        <v>47003651</v>
      </c>
      <c r="B186" s="47" t="s">
        <v>267</v>
      </c>
      <c r="C186" s="50">
        <v>3</v>
      </c>
      <c r="D186" s="50" t="s">
        <v>126</v>
      </c>
      <c r="E186" s="51" t="s">
        <v>296</v>
      </c>
      <c r="F186" s="51" t="s">
        <v>297</v>
      </c>
      <c r="G186" s="130" t="str">
        <f t="shared" si="153"/>
        <v>[effect:enemy_message, val1:1.0, val2:1.8]</v>
      </c>
      <c r="H186" s="64">
        <f t="shared" si="154"/>
        <v>9</v>
      </c>
      <c r="I186" s="64">
        <f t="shared" si="155"/>
        <v>22</v>
      </c>
      <c r="J186" s="64" t="e">
        <f t="shared" si="156"/>
        <v>#VALUE!</v>
      </c>
      <c r="K186" s="64">
        <f t="shared" si="157"/>
        <v>32</v>
      </c>
      <c r="L186" s="64" t="str">
        <f>IFERROR(VLOOKUP(MID(G186,J186,K186-J186),[5]skilldef!$C:$D,2,FALSE),"-") &amp; " / " &amp; IFERROR(VLOOKUP(MID(G186,H186,I186-H186),[5]skilldef!$A:$B,2,FALSE),"-")</f>
        <v>- / -</v>
      </c>
      <c r="M186" s="64" t="str">
        <f t="shared" si="158"/>
        <v>[effect:fix_speed, target:myself, turn:1]</v>
      </c>
      <c r="N186" s="48" t="str">
        <f>IFERROR(LEFT(M186,FIND("],",M186)+#REF!),M186)</f>
        <v>[effect:fix_speed, target:myself, turn:1]</v>
      </c>
      <c r="O186" s="64">
        <f t="shared" si="159"/>
        <v>9</v>
      </c>
      <c r="P186" s="64">
        <f t="shared" si="160"/>
        <v>18</v>
      </c>
      <c r="Q186" s="64">
        <f t="shared" si="161"/>
        <v>27</v>
      </c>
      <c r="R186" s="64">
        <f t="shared" si="162"/>
        <v>33</v>
      </c>
      <c r="S186" s="64" t="str">
        <f>IFERROR(VLOOKUP(MID(N186,Q186,R186-Q186),[5]skilldef!$C:$D,2,FALSE),"-") &amp; " / " &amp; IFERROR(VLOOKUP(MID(N186,O186,P186-O186),[5]skilldef!$A:$B,2,FALSE),"-")</f>
        <v>自分自身に / 行動値設定</v>
      </c>
      <c r="T186" s="48" t="str">
        <f t="shared" si="163"/>
        <v>none</v>
      </c>
      <c r="U186" s="64" t="e">
        <f t="shared" si="164"/>
        <v>#VALUE!</v>
      </c>
      <c r="V186" s="64">
        <f t="shared" si="165"/>
        <v>4</v>
      </c>
      <c r="W186" s="64" t="e">
        <f t="shared" si="166"/>
        <v>#VALUE!</v>
      </c>
      <c r="X186" s="64" t="e">
        <f t="shared" si="167"/>
        <v>#VALUE!</v>
      </c>
      <c r="Y186" s="64" t="str">
        <f>IFERROR(VLOOKUP(MID(T186,W186,X186-W186),[5]skilldef!$C:$D,2,FALSE),"-") &amp; " / " &amp; IFERROR(VLOOKUP(MID(T186,U186,V186-U186),[5]skilldef!$A:$B,2,FALSE),"-")</f>
        <v>- / -</v>
      </c>
      <c r="Z186" s="50"/>
      <c r="AA186" s="52"/>
      <c r="AB186" s="50"/>
    </row>
    <row r="187" spans="1:28" ht="40" customHeight="1" x14ac:dyDescent="0.15">
      <c r="A187" s="47">
        <v>47003652</v>
      </c>
      <c r="B187" s="47" t="s">
        <v>397</v>
      </c>
      <c r="C187" s="50">
        <v>3</v>
      </c>
      <c r="D187" s="50" t="s">
        <v>126</v>
      </c>
      <c r="E187" s="51" t="s">
        <v>298</v>
      </c>
      <c r="F187" s="51" t="s">
        <v>299</v>
      </c>
      <c r="G187" s="130" t="str">
        <f t="shared" si="153"/>
        <v>[effect:force_change_block, new_block:damage, target:block_all, ignore01:crash, ignore02:crack_bomb, ignore03:color_break, count:3, val:0.04]</v>
      </c>
      <c r="H187" s="64">
        <f t="shared" si="154"/>
        <v>9</v>
      </c>
      <c r="I187" s="64">
        <f t="shared" si="155"/>
        <v>27</v>
      </c>
      <c r="J187" s="64">
        <f t="shared" si="156"/>
        <v>54</v>
      </c>
      <c r="K187" s="64">
        <f t="shared" si="157"/>
        <v>45</v>
      </c>
      <c r="L187" s="64" t="str">
        <f>IFERROR(VLOOKUP(MID(G187,J187,K187-J187),[5]skilldef!$C:$D,2,FALSE),"-") &amp; " / " &amp; IFERROR(VLOOKUP(MID(G187,H187,I187-H187),[5]skilldef!$A:$B,2,FALSE),"-")</f>
        <v>- / -</v>
      </c>
      <c r="M187" s="64" t="str">
        <f t="shared" si="158"/>
        <v>[effect:critical, val:1]</v>
      </c>
      <c r="N187" s="48" t="str">
        <f>IFERROR(LEFT(M187,FIND("],",M187)+#REF!),M187)</f>
        <v>[effect:critical, val:1]</v>
      </c>
      <c r="O187" s="64">
        <f t="shared" si="159"/>
        <v>9</v>
      </c>
      <c r="P187" s="64">
        <f t="shared" si="160"/>
        <v>17</v>
      </c>
      <c r="Q187" s="64" t="e">
        <f t="shared" si="161"/>
        <v>#VALUE!</v>
      </c>
      <c r="R187" s="64" t="e">
        <f t="shared" si="162"/>
        <v>#VALUE!</v>
      </c>
      <c r="S187" s="64" t="str">
        <f>IFERROR(VLOOKUP(MID(N187,Q187,R187-Q187),[5]skilldef!$C:$D,2,FALSE),"-") &amp; " / " &amp; IFERROR(VLOOKUP(MID(N187,O187,P187-O187),[5]skilldef!$A:$B,2,FALSE),"-")</f>
        <v>- / 大攻撃</v>
      </c>
      <c r="T187" s="48" t="str">
        <f t="shared" si="163"/>
        <v>none</v>
      </c>
      <c r="U187" s="64" t="e">
        <f t="shared" si="164"/>
        <v>#VALUE!</v>
      </c>
      <c r="V187" s="64">
        <f t="shared" si="165"/>
        <v>4</v>
      </c>
      <c r="W187" s="64" t="e">
        <f t="shared" si="166"/>
        <v>#VALUE!</v>
      </c>
      <c r="X187" s="64" t="e">
        <f t="shared" si="167"/>
        <v>#VALUE!</v>
      </c>
      <c r="Y187" s="64" t="str">
        <f>IFERROR(VLOOKUP(MID(T187,W187,X187-W187),[5]skilldef!$C:$D,2,FALSE),"-") &amp; " / " &amp; IFERROR(VLOOKUP(MID(T187,U187,V187-U187),[5]skilldef!$A:$B,2,FALSE),"-")</f>
        <v>- / -</v>
      </c>
      <c r="Z187" s="50"/>
      <c r="AA187" s="52"/>
      <c r="AB187" s="50"/>
    </row>
    <row r="188" spans="1:28" ht="40" customHeight="1" x14ac:dyDescent="0.15">
      <c r="A188" s="47">
        <v>47003653</v>
      </c>
      <c r="B188" s="47" t="s">
        <v>279</v>
      </c>
      <c r="C188" s="50">
        <v>3</v>
      </c>
      <c r="D188" s="50" t="s">
        <v>126</v>
      </c>
      <c r="E188" s="51" t="s">
        <v>300</v>
      </c>
      <c r="F188" s="51" t="s">
        <v>301</v>
      </c>
      <c r="G188" s="130" t="str">
        <f t="shared" ref="G188" si="198">IFERROR(LEFT(B188,FIND("],",B188)),B188)</f>
        <v>[effect:rush, count:3, val:0.4]</v>
      </c>
      <c r="H188" s="64">
        <f t="shared" ref="H188" si="199">FIND("effect:",G188)+7</f>
        <v>9</v>
      </c>
      <c r="I188" s="64">
        <f t="shared" ref="I188" si="200">IFERROR(FIND(",",G188),LEN(G188))</f>
        <v>13</v>
      </c>
      <c r="J188" s="64" t="e">
        <f t="shared" ref="J188" si="201">FIND("target:",G188)+7</f>
        <v>#VALUE!</v>
      </c>
      <c r="K188" s="64">
        <f t="shared" ref="K188" si="202">FIND(",",G188,I188+1)</f>
        <v>22</v>
      </c>
      <c r="L188" s="64" t="str">
        <f>IFERROR(VLOOKUP(MID(G188,J188,K188-J188),[5]skilldef!$C:$D,2,FALSE),"-") &amp; " / " &amp; IFERROR(VLOOKUP(MID(G188,H188,I188-H188),[5]skilldef!$A:$B,2,FALSE),"-")</f>
        <v>- / 連続攻撃</v>
      </c>
      <c r="M188" s="64" t="str">
        <f t="shared" ref="M188" si="203">IFERROR(RIGHT(B188,LEN(B188)-FIND("],",B188)-1),"none")</f>
        <v>none</v>
      </c>
      <c r="N188" s="48" t="str">
        <f>IFERROR(LEFT(M188,FIND("],",M188)+#REF!),M188)</f>
        <v>none</v>
      </c>
      <c r="O188" s="64" t="e">
        <f t="shared" ref="O188" si="204">FIND("effect:",N188)+7</f>
        <v>#VALUE!</v>
      </c>
      <c r="P188" s="64">
        <f t="shared" ref="P188" si="205">IFERROR(FIND(",",N188),LEN(N188))</f>
        <v>4</v>
      </c>
      <c r="Q188" s="64" t="e">
        <f t="shared" ref="Q188" si="206">FIND("target:",N188)+7</f>
        <v>#VALUE!</v>
      </c>
      <c r="R188" s="64" t="e">
        <f t="shared" ref="R188" si="207">FIND(",",N188,P188+1)</f>
        <v>#VALUE!</v>
      </c>
      <c r="S188" s="64" t="str">
        <f>IFERROR(VLOOKUP(MID(N188,Q188,R188-Q188),[5]skilldef!$C:$D,2,FALSE),"-") &amp; " / " &amp; IFERROR(VLOOKUP(MID(N188,O188,P188-O188),[5]skilldef!$A:$B,2,FALSE),"-")</f>
        <v>- / -</v>
      </c>
      <c r="T188" s="48" t="str">
        <f t="shared" ref="T188" si="208">IFERROR(RIGHT(M188,LEN(M188)-FIND("],",M188)-1),"none")</f>
        <v>none</v>
      </c>
      <c r="U188" s="64" t="e">
        <f t="shared" ref="U188" si="209">FIND("effect:",T188)+7</f>
        <v>#VALUE!</v>
      </c>
      <c r="V188" s="64">
        <f t="shared" ref="V188" si="210">IFERROR(FIND(",",T188),LEN(T188))</f>
        <v>4</v>
      </c>
      <c r="W188" s="64" t="e">
        <f t="shared" ref="W188" si="211">FIND("target:",T188)+7</f>
        <v>#VALUE!</v>
      </c>
      <c r="X188" s="64" t="e">
        <f t="shared" ref="X188" si="212">FIND(",",T188,V188+1)</f>
        <v>#VALUE!</v>
      </c>
      <c r="Y188" s="64" t="str">
        <f>IFERROR(VLOOKUP(MID(T188,W188,X188-W188),[5]skilldef!$C:$D,2,FALSE),"-") &amp; " / " &amp; IFERROR(VLOOKUP(MID(T188,U188,V188-U188),[5]skilldef!$A:$B,2,FALSE),"-")</f>
        <v>- / -</v>
      </c>
      <c r="Z188" s="50"/>
      <c r="AA188" s="52"/>
      <c r="AB188" s="50"/>
    </row>
    <row r="189" spans="1:28" ht="40" customHeight="1" x14ac:dyDescent="0.15">
      <c r="A189" s="47">
        <v>47003654</v>
      </c>
      <c r="B189" s="47" t="s">
        <v>398</v>
      </c>
      <c r="C189" s="50">
        <v>3</v>
      </c>
      <c r="D189" s="50" t="s">
        <v>126</v>
      </c>
      <c r="E189" s="51" t="s">
        <v>402</v>
      </c>
      <c r="F189" s="51" t="s">
        <v>549</v>
      </c>
      <c r="G189" s="130" t="str">
        <f t="shared" si="153"/>
        <v>[effect:enemy_message, val1:1.3, val2:1.8]</v>
      </c>
      <c r="H189" s="64">
        <f t="shared" si="154"/>
        <v>9</v>
      </c>
      <c r="I189" s="64">
        <f t="shared" si="155"/>
        <v>22</v>
      </c>
      <c r="J189" s="64" t="e">
        <f t="shared" si="156"/>
        <v>#VALUE!</v>
      </c>
      <c r="K189" s="64">
        <f t="shared" si="157"/>
        <v>32</v>
      </c>
      <c r="L189" s="64" t="str">
        <f>IFERROR(VLOOKUP(MID(G189,J189,K189-J189),[5]skilldef!$C:$D,2,FALSE),"-") &amp; " / " &amp; IFERROR(VLOOKUP(MID(G189,H189,I189-H189),[5]skilldef!$A:$B,2,FALSE),"-")</f>
        <v>- / -</v>
      </c>
      <c r="M189" s="64" t="str">
        <f t="shared" si="158"/>
        <v>[effect:force_change_block, new_block:damage, target:block_all, ignore01:crash, ignore02:crack_bomb, ignore03:color_break, count:6, val:0.04],[effect:suicide, target:myself, val:1, dead_type:escape]</v>
      </c>
      <c r="N189" s="48" t="str">
        <f>IFERROR(LEFT(M189,FIND("],",M189)+#REF!),M189)</f>
        <v>[effect:force_change_block, new_block:damage, target:block_all, ignore01:crash, ignore02:crack_bomb, ignore03:color_break, count:6, val:0.04],[effect:suicide, target:myself, val:1, dead_type:escape]</v>
      </c>
      <c r="O189" s="64">
        <f t="shared" si="159"/>
        <v>9</v>
      </c>
      <c r="P189" s="64">
        <f t="shared" si="160"/>
        <v>27</v>
      </c>
      <c r="Q189" s="64">
        <f t="shared" si="161"/>
        <v>54</v>
      </c>
      <c r="R189" s="64">
        <f t="shared" si="162"/>
        <v>45</v>
      </c>
      <c r="S189" s="64" t="str">
        <f>IFERROR(VLOOKUP(MID(N189,Q189,R189-Q189),[5]skilldef!$C:$D,2,FALSE),"-") &amp; " / " &amp; IFERROR(VLOOKUP(MID(N189,O189,P189-O189),[5]skilldef!$A:$B,2,FALSE),"-")</f>
        <v>- / -</v>
      </c>
      <c r="T189" s="48" t="str">
        <f t="shared" si="163"/>
        <v>[effect:suicide, target:myself, val:1, dead_type:escape]</v>
      </c>
      <c r="U189" s="64">
        <f t="shared" si="164"/>
        <v>9</v>
      </c>
      <c r="V189" s="64">
        <f t="shared" si="165"/>
        <v>16</v>
      </c>
      <c r="W189" s="64">
        <f t="shared" si="166"/>
        <v>25</v>
      </c>
      <c r="X189" s="64">
        <f t="shared" si="167"/>
        <v>31</v>
      </c>
      <c r="Y189" s="64" t="str">
        <f>IFERROR(VLOOKUP(MID(T189,W189,X189-W189),[5]skilldef!$C:$D,2,FALSE),"-") &amp; " / " &amp; IFERROR(VLOOKUP(MID(T189,U189,V189-U189),[5]skilldef!$A:$B,2,FALSE),"-")</f>
        <v>自分自身に / -</v>
      </c>
      <c r="Z189" s="50"/>
      <c r="AA189" s="52"/>
      <c r="AB189" s="50"/>
    </row>
    <row r="190" spans="1:28" ht="40" customHeight="1" x14ac:dyDescent="0.15">
      <c r="A190" s="47">
        <v>47003655</v>
      </c>
      <c r="B190" s="47" t="s">
        <v>485</v>
      </c>
      <c r="C190" s="50">
        <v>3</v>
      </c>
      <c r="D190" s="50" t="s">
        <v>126</v>
      </c>
      <c r="E190" s="51" t="s">
        <v>302</v>
      </c>
      <c r="F190" s="51" t="s">
        <v>474</v>
      </c>
      <c r="G190" s="130" t="str">
        <f t="shared" ref="G190:G192" si="213">IFERROR(LEFT(B190,FIND("],",B190)),B190)</f>
        <v>[effect:enemy_message, val1:2.0, val2:1.8]</v>
      </c>
      <c r="H190" s="64">
        <f t="shared" ref="H190:H192" si="214">FIND("effect:",G190)+7</f>
        <v>9</v>
      </c>
      <c r="I190" s="64">
        <f t="shared" ref="I190:I192" si="215">IFERROR(FIND(",",G190),LEN(G190))</f>
        <v>22</v>
      </c>
      <c r="J190" s="64" t="e">
        <f t="shared" ref="J190:J192" si="216">FIND("target:",G190)+7</f>
        <v>#VALUE!</v>
      </c>
      <c r="K190" s="64">
        <f t="shared" ref="K190:K192" si="217">FIND(",",G190,I190+1)</f>
        <v>32</v>
      </c>
      <c r="L190" s="64" t="str">
        <f>IFERROR(VLOOKUP(MID(G190,J190,K190-J190),[5]skilldef!$C:$D,2,FALSE),"-") &amp; " / " &amp; IFERROR(VLOOKUP(MID(G190,H190,I190-H190),[5]skilldef!$A:$B,2,FALSE),"-")</f>
        <v>- / -</v>
      </c>
      <c r="M190" s="64" t="str">
        <f t="shared" ref="M190:M192" si="218">IFERROR(RIGHT(B190,LEN(B190)-FIND("],",B190)-1),"none")</f>
        <v>[effect:change_panel_ratio, turn:-1, block_type:yellow, val:0, animation:block_incidence04],[effect:fix_speed, target:myself, turn:1]</v>
      </c>
      <c r="N190" s="48" t="str">
        <f>IFERROR(LEFT(M190,FIND("],",M190)+#REF!),M190)</f>
        <v>[effect:change_panel_ratio, turn:-1, block_type:yellow, val:0, animation:block_incidence04],[effect:fix_speed, target:myself, turn:1]</v>
      </c>
      <c r="O190" s="64">
        <f t="shared" ref="O190:O192" si="219">FIND("effect:",N190)+7</f>
        <v>9</v>
      </c>
      <c r="P190" s="64">
        <f t="shared" ref="P190:P192" si="220">IFERROR(FIND(",",N190),LEN(N190))</f>
        <v>27</v>
      </c>
      <c r="Q190" s="64">
        <f t="shared" ref="Q190:Q192" si="221">FIND("target:",N190)+7</f>
        <v>119</v>
      </c>
      <c r="R190" s="64">
        <f t="shared" ref="R190:R192" si="222">FIND(",",N190,P190+1)</f>
        <v>36</v>
      </c>
      <c r="S190" s="64" t="str">
        <f>IFERROR(VLOOKUP(MID(N190,Q190,R190-Q190),[5]skilldef!$C:$D,2,FALSE),"-") &amp; " / " &amp; IFERROR(VLOOKUP(MID(N190,O190,P190-O190),[5]skilldef!$A:$B,2,FALSE),"-")</f>
        <v>- / -</v>
      </c>
      <c r="T190" s="48" t="str">
        <f t="shared" ref="T190:T192" si="223">IFERROR(RIGHT(M190,LEN(M190)-FIND("],",M190)-1),"none")</f>
        <v>[effect:fix_speed, target:myself, turn:1]</v>
      </c>
      <c r="U190" s="64">
        <f t="shared" ref="U190:U192" si="224">FIND("effect:",T190)+7</f>
        <v>9</v>
      </c>
      <c r="V190" s="64">
        <f t="shared" ref="V190:V192" si="225">IFERROR(FIND(",",T190),LEN(T190))</f>
        <v>18</v>
      </c>
      <c r="W190" s="64">
        <f t="shared" ref="W190:W192" si="226">FIND("target:",T190)+7</f>
        <v>27</v>
      </c>
      <c r="X190" s="64">
        <f t="shared" ref="X190:X192" si="227">FIND(",",T190,V190+1)</f>
        <v>33</v>
      </c>
      <c r="Y190" s="64" t="str">
        <f>IFERROR(VLOOKUP(MID(T190,W190,X190-W190),[5]skilldef!$C:$D,2,FALSE),"-") &amp; " / " &amp; IFERROR(VLOOKUP(MID(T190,U190,V190-U190),[5]skilldef!$A:$B,2,FALSE),"-")</f>
        <v>自分自身に / 行動値設定</v>
      </c>
      <c r="Z190" s="50"/>
      <c r="AA190" s="52"/>
      <c r="AB190" s="50"/>
    </row>
    <row r="191" spans="1:28" ht="40" customHeight="1" x14ac:dyDescent="0.15">
      <c r="A191" s="47">
        <v>47003656</v>
      </c>
      <c r="B191" s="47" t="s">
        <v>486</v>
      </c>
      <c r="C191" s="50">
        <v>3</v>
      </c>
      <c r="D191" s="50" t="s">
        <v>126</v>
      </c>
      <c r="E191" s="51" t="s">
        <v>304</v>
      </c>
      <c r="F191" s="51" t="s">
        <v>474</v>
      </c>
      <c r="G191" s="130" t="str">
        <f t="shared" si="213"/>
        <v>[effect:enemy_message, val1:2.0, val2:1.8]</v>
      </c>
      <c r="H191" s="64">
        <f t="shared" si="214"/>
        <v>9</v>
      </c>
      <c r="I191" s="64">
        <f t="shared" si="215"/>
        <v>22</v>
      </c>
      <c r="J191" s="64" t="e">
        <f t="shared" si="216"/>
        <v>#VALUE!</v>
      </c>
      <c r="K191" s="64">
        <f t="shared" si="217"/>
        <v>32</v>
      </c>
      <c r="L191" s="64" t="str">
        <f>IFERROR(VLOOKUP(MID(G191,J191,K191-J191),[5]skilldef!$C:$D,2,FALSE),"-") &amp; " / " &amp; IFERROR(VLOOKUP(MID(G191,H191,I191-H191),[5]skilldef!$A:$B,2,FALSE),"-")</f>
        <v>- / -</v>
      </c>
      <c r="M191" s="64" t="str">
        <f t="shared" si="218"/>
        <v>[effect:change_panel_ratio, turn:-1, block_type:yellow, val:0, animation:block_incidence04],[effect:fix_speed, target:myself, turn:1]</v>
      </c>
      <c r="N191" s="48" t="str">
        <f>IFERROR(LEFT(M191,FIND("],",M191)+#REF!),M191)</f>
        <v>[effect:change_panel_ratio, turn:-1, block_type:yellow, val:0, animation:block_incidence04],[effect:fix_speed, target:myself, turn:1]</v>
      </c>
      <c r="O191" s="64">
        <f t="shared" si="219"/>
        <v>9</v>
      </c>
      <c r="P191" s="64">
        <f t="shared" si="220"/>
        <v>27</v>
      </c>
      <c r="Q191" s="64">
        <f t="shared" si="221"/>
        <v>119</v>
      </c>
      <c r="R191" s="64">
        <f t="shared" si="222"/>
        <v>36</v>
      </c>
      <c r="S191" s="64" t="str">
        <f>IFERROR(VLOOKUP(MID(N191,Q191,R191-Q191),[5]skilldef!$C:$D,2,FALSE),"-") &amp; " / " &amp; IFERROR(VLOOKUP(MID(N191,O191,P191-O191),[5]skilldef!$A:$B,2,FALSE),"-")</f>
        <v>- / -</v>
      </c>
      <c r="T191" s="48" t="str">
        <f t="shared" si="223"/>
        <v>[effect:fix_speed, target:myself, turn:1]</v>
      </c>
      <c r="U191" s="64">
        <f t="shared" si="224"/>
        <v>9</v>
      </c>
      <c r="V191" s="64">
        <f t="shared" si="225"/>
        <v>18</v>
      </c>
      <c r="W191" s="64">
        <f t="shared" si="226"/>
        <v>27</v>
      </c>
      <c r="X191" s="64">
        <f t="shared" si="227"/>
        <v>33</v>
      </c>
      <c r="Y191" s="64" t="str">
        <f>IFERROR(VLOOKUP(MID(T191,W191,X191-W191),[5]skilldef!$C:$D,2,FALSE),"-") &amp; " / " &amp; IFERROR(VLOOKUP(MID(T191,U191,V191-U191),[5]skilldef!$A:$B,2,FALSE),"-")</f>
        <v>自分自身に / 行動値設定</v>
      </c>
      <c r="Z191" s="50"/>
      <c r="AA191" s="52"/>
      <c r="AB191" s="50"/>
    </row>
    <row r="192" spans="1:28" ht="40" customHeight="1" x14ac:dyDescent="0.15">
      <c r="A192" s="47">
        <v>47003657</v>
      </c>
      <c r="B192" s="47" t="s">
        <v>487</v>
      </c>
      <c r="C192" s="50">
        <v>3</v>
      </c>
      <c r="D192" s="50" t="s">
        <v>126</v>
      </c>
      <c r="E192" s="51" t="s">
        <v>305</v>
      </c>
      <c r="F192" s="51" t="s">
        <v>474</v>
      </c>
      <c r="G192" s="130" t="str">
        <f t="shared" si="213"/>
        <v>[effect:enemy_message, val1:2.0, val2:1.8]</v>
      </c>
      <c r="H192" s="64">
        <f t="shared" si="214"/>
        <v>9</v>
      </c>
      <c r="I192" s="64">
        <f t="shared" si="215"/>
        <v>22</v>
      </c>
      <c r="J192" s="64" t="e">
        <f t="shared" si="216"/>
        <v>#VALUE!</v>
      </c>
      <c r="K192" s="64">
        <f t="shared" si="217"/>
        <v>32</v>
      </c>
      <c r="L192" s="64" t="str">
        <f>IFERROR(VLOOKUP(MID(G192,J192,K192-J192),[5]skilldef!$C:$D,2,FALSE),"-") &amp; " / " &amp; IFERROR(VLOOKUP(MID(G192,H192,I192-H192),[5]skilldef!$A:$B,2,FALSE),"-")</f>
        <v>- / -</v>
      </c>
      <c r="M192" s="64" t="str">
        <f t="shared" si="218"/>
        <v>[effect:change_panel_ratio, turn:-1, block_type:yellow, val:0, animation:block_incidence04],[effect:fix_speed, target:myself, turn:1]</v>
      </c>
      <c r="N192" s="48" t="str">
        <f>IFERROR(LEFT(M192,FIND("],",M192)+#REF!),M192)</f>
        <v>[effect:change_panel_ratio, turn:-1, block_type:yellow, val:0, animation:block_incidence04],[effect:fix_speed, target:myself, turn:1]</v>
      </c>
      <c r="O192" s="64">
        <f t="shared" si="219"/>
        <v>9</v>
      </c>
      <c r="P192" s="64">
        <f t="shared" si="220"/>
        <v>27</v>
      </c>
      <c r="Q192" s="64">
        <f t="shared" si="221"/>
        <v>119</v>
      </c>
      <c r="R192" s="64">
        <f t="shared" si="222"/>
        <v>36</v>
      </c>
      <c r="S192" s="64" t="str">
        <f>IFERROR(VLOOKUP(MID(N192,Q192,R192-Q192),[5]skilldef!$C:$D,2,FALSE),"-") &amp; " / " &amp; IFERROR(VLOOKUP(MID(N192,O192,P192-O192),[5]skilldef!$A:$B,2,FALSE),"-")</f>
        <v>- / -</v>
      </c>
      <c r="T192" s="48" t="str">
        <f t="shared" si="223"/>
        <v>[effect:fix_speed, target:myself, turn:1]</v>
      </c>
      <c r="U192" s="64">
        <f t="shared" si="224"/>
        <v>9</v>
      </c>
      <c r="V192" s="64">
        <f t="shared" si="225"/>
        <v>18</v>
      </c>
      <c r="W192" s="64">
        <f t="shared" si="226"/>
        <v>27</v>
      </c>
      <c r="X192" s="64">
        <f t="shared" si="227"/>
        <v>33</v>
      </c>
      <c r="Y192" s="64" t="str">
        <f>IFERROR(VLOOKUP(MID(T192,W192,X192-W192),[5]skilldef!$C:$D,2,FALSE),"-") &amp; " / " &amp; IFERROR(VLOOKUP(MID(T192,U192,V192-U192),[5]skilldef!$A:$B,2,FALSE),"-")</f>
        <v>自分自身に / 行動値設定</v>
      </c>
      <c r="Z192" s="50"/>
      <c r="AA192" s="52"/>
      <c r="AB192" s="50"/>
    </row>
    <row r="193" spans="1:28" ht="40" customHeight="1" x14ac:dyDescent="0.15">
      <c r="A193" s="119">
        <v>47003661</v>
      </c>
      <c r="B193" s="47" t="s">
        <v>404</v>
      </c>
      <c r="C193" s="126">
        <v>3</v>
      </c>
      <c r="D193" s="126" t="s">
        <v>126</v>
      </c>
      <c r="E193" s="51" t="s">
        <v>306</v>
      </c>
      <c r="F193" s="51" t="s">
        <v>307</v>
      </c>
      <c r="G193" s="130" t="str">
        <f t="shared" si="153"/>
        <v>[effect:enemy_message, val1:1.3, val2:1.8]</v>
      </c>
      <c r="H193" s="64">
        <f t="shared" si="154"/>
        <v>9</v>
      </c>
      <c r="I193" s="64">
        <f t="shared" si="155"/>
        <v>22</v>
      </c>
      <c r="J193" s="64" t="e">
        <f t="shared" si="156"/>
        <v>#VALUE!</v>
      </c>
      <c r="K193" s="64">
        <f t="shared" si="157"/>
        <v>32</v>
      </c>
      <c r="L193" s="64" t="str">
        <f>IFERROR(VLOOKUP(MID(G193,J193,K193-J193),[5]skilldef!$C:$D,2,FALSE),"-") &amp; " / " &amp; IFERROR(VLOOKUP(MID(G193,H193,I193-H193),[5]skilldef!$A:$B,2,FALSE),"-")</f>
        <v>- / -</v>
      </c>
      <c r="M193" s="64" t="str">
        <f t="shared" si="158"/>
        <v>[effect:fix_speed, target:myself, turn:1]</v>
      </c>
      <c r="N193" s="48" t="str">
        <f>IFERROR(LEFT(M193,FIND("],",M193)+#REF!),M193)</f>
        <v>[effect:fix_speed, target:myself, turn:1]</v>
      </c>
      <c r="O193" s="64">
        <f t="shared" si="159"/>
        <v>9</v>
      </c>
      <c r="P193" s="64">
        <f t="shared" si="160"/>
        <v>18</v>
      </c>
      <c r="Q193" s="64">
        <f t="shared" si="161"/>
        <v>27</v>
      </c>
      <c r="R193" s="64">
        <f t="shared" si="162"/>
        <v>33</v>
      </c>
      <c r="S193" s="64" t="str">
        <f>IFERROR(VLOOKUP(MID(N193,Q193,R193-Q193),[5]skilldef!$C:$D,2,FALSE),"-") &amp; " / " &amp; IFERROR(VLOOKUP(MID(N193,O193,P193-O193),[5]skilldef!$A:$B,2,FALSE),"-")</f>
        <v>自分自身に / 行動値設定</v>
      </c>
      <c r="T193" s="48" t="str">
        <f t="shared" si="163"/>
        <v>none</v>
      </c>
      <c r="U193" s="64" t="e">
        <f t="shared" si="164"/>
        <v>#VALUE!</v>
      </c>
      <c r="V193" s="64">
        <f t="shared" si="165"/>
        <v>4</v>
      </c>
      <c r="W193" s="64" t="e">
        <f t="shared" si="166"/>
        <v>#VALUE!</v>
      </c>
      <c r="X193" s="64" t="e">
        <f t="shared" si="167"/>
        <v>#VALUE!</v>
      </c>
      <c r="Y193" s="64" t="str">
        <f>IFERROR(VLOOKUP(MID(T193,W193,X193-W193),[5]skilldef!$C:$D,2,FALSE),"-") &amp; " / " &amp; IFERROR(VLOOKUP(MID(T193,U193,V193-U193),[5]skilldef!$A:$B,2,FALSE),"-")</f>
        <v>- / -</v>
      </c>
      <c r="Z193" s="50"/>
      <c r="AA193" s="52"/>
      <c r="AB193" s="50"/>
    </row>
    <row r="194" spans="1:28" ht="40" customHeight="1" x14ac:dyDescent="0.15">
      <c r="A194" s="119">
        <v>47003662</v>
      </c>
      <c r="B194" s="47" t="s">
        <v>396</v>
      </c>
      <c r="C194" s="126">
        <v>3</v>
      </c>
      <c r="D194" s="126" t="s">
        <v>126</v>
      </c>
      <c r="E194" s="51" t="s">
        <v>308</v>
      </c>
      <c r="F194" s="51" t="s">
        <v>360</v>
      </c>
      <c r="G194" s="130" t="str">
        <f t="shared" si="153"/>
        <v>[effect:force_change_block, new_block:damage, target:block_all, ignore01:crash, ignore02:crack_bomb, ignore03:color_break, count:6, val:0.05]</v>
      </c>
      <c r="H194" s="64">
        <f t="shared" si="154"/>
        <v>9</v>
      </c>
      <c r="I194" s="64">
        <f t="shared" si="155"/>
        <v>27</v>
      </c>
      <c r="J194" s="64">
        <f t="shared" si="156"/>
        <v>54</v>
      </c>
      <c r="K194" s="64">
        <f t="shared" si="157"/>
        <v>45</v>
      </c>
      <c r="L194" s="64" t="str">
        <f>IFERROR(VLOOKUP(MID(G194,J194,K194-J194),[5]skilldef!$C:$D,2,FALSE),"-") &amp; " / " &amp; IFERROR(VLOOKUP(MID(G194,H194,I194-H194),[5]skilldef!$A:$B,2,FALSE),"-")</f>
        <v>- / -</v>
      </c>
      <c r="M194" s="64" t="str">
        <f t="shared" si="158"/>
        <v>[effect:critical, val:1],[effect:fix_speed, target:myself, turn:2]</v>
      </c>
      <c r="N194" s="48" t="str">
        <f>IFERROR(LEFT(M194,FIND("],",M194)+#REF!),M194)</f>
        <v>[effect:critical, val:1],[effect:fix_speed, target:myself, turn:2]</v>
      </c>
      <c r="O194" s="64">
        <f t="shared" si="159"/>
        <v>9</v>
      </c>
      <c r="P194" s="64">
        <f t="shared" si="160"/>
        <v>17</v>
      </c>
      <c r="Q194" s="64">
        <f t="shared" si="161"/>
        <v>52</v>
      </c>
      <c r="R194" s="64">
        <f t="shared" si="162"/>
        <v>25</v>
      </c>
      <c r="S194" s="64" t="str">
        <f>IFERROR(VLOOKUP(MID(N194,Q194,R194-Q194),[5]skilldef!$C:$D,2,FALSE),"-") &amp; " / " &amp; IFERROR(VLOOKUP(MID(N194,O194,P194-O194),[5]skilldef!$A:$B,2,FALSE),"-")</f>
        <v>- / 大攻撃</v>
      </c>
      <c r="T194" s="48" t="str">
        <f t="shared" si="163"/>
        <v>[effect:fix_speed, target:myself, turn:2]</v>
      </c>
      <c r="U194" s="64">
        <f t="shared" si="164"/>
        <v>9</v>
      </c>
      <c r="V194" s="64">
        <f t="shared" si="165"/>
        <v>18</v>
      </c>
      <c r="W194" s="64">
        <f t="shared" si="166"/>
        <v>27</v>
      </c>
      <c r="X194" s="64">
        <f t="shared" si="167"/>
        <v>33</v>
      </c>
      <c r="Y194" s="64" t="str">
        <f>IFERROR(VLOOKUP(MID(T194,W194,X194-W194),[5]skilldef!$C:$D,2,FALSE),"-") &amp; " / " &amp; IFERROR(VLOOKUP(MID(T194,U194,V194-U194),[5]skilldef!$A:$B,2,FALSE),"-")</f>
        <v>自分自身に / 行動値設定</v>
      </c>
      <c r="Z194" s="50"/>
      <c r="AA194" s="52"/>
      <c r="AB194" s="50"/>
    </row>
    <row r="195" spans="1:28" ht="40" customHeight="1" x14ac:dyDescent="0.15">
      <c r="A195" s="119">
        <v>47003663</v>
      </c>
      <c r="B195" s="47" t="s">
        <v>286</v>
      </c>
      <c r="C195" s="126">
        <v>3</v>
      </c>
      <c r="D195" s="126" t="s">
        <v>126</v>
      </c>
      <c r="E195" s="51" t="s">
        <v>309</v>
      </c>
      <c r="F195" s="51" t="s">
        <v>301</v>
      </c>
      <c r="G195" s="130" t="str">
        <f t="shared" ref="G195" si="228">IFERROR(LEFT(B195,FIND("],",B195)),B195)</f>
        <v>[effect:rush, count:3, val:0.4]</v>
      </c>
      <c r="H195" s="64">
        <f t="shared" ref="H195" si="229">FIND("effect:",G195)+7</f>
        <v>9</v>
      </c>
      <c r="I195" s="64">
        <f t="shared" ref="I195" si="230">IFERROR(FIND(",",G195),LEN(G195))</f>
        <v>13</v>
      </c>
      <c r="J195" s="64" t="e">
        <f t="shared" ref="J195" si="231">FIND("target:",G195)+7</f>
        <v>#VALUE!</v>
      </c>
      <c r="K195" s="64">
        <f t="shared" ref="K195" si="232">FIND(",",G195,I195+1)</f>
        <v>22</v>
      </c>
      <c r="L195" s="64" t="str">
        <f>IFERROR(VLOOKUP(MID(G195,J195,K195-J195),[5]skilldef!$C:$D,2,FALSE),"-") &amp; " / " &amp; IFERROR(VLOOKUP(MID(G195,H195,I195-H195),[5]skilldef!$A:$B,2,FALSE),"-")</f>
        <v>- / 連続攻撃</v>
      </c>
      <c r="M195" s="64" t="str">
        <f t="shared" ref="M195" si="233">IFERROR(RIGHT(B195,LEN(B195)-FIND("],",B195)-1),"none")</f>
        <v>none</v>
      </c>
      <c r="N195" s="48" t="str">
        <f>IFERROR(LEFT(M195,FIND("],",M195)+#REF!),M195)</f>
        <v>none</v>
      </c>
      <c r="O195" s="64" t="e">
        <f t="shared" ref="O195" si="234">FIND("effect:",N195)+7</f>
        <v>#VALUE!</v>
      </c>
      <c r="P195" s="64">
        <f t="shared" ref="P195" si="235">IFERROR(FIND(",",N195),LEN(N195))</f>
        <v>4</v>
      </c>
      <c r="Q195" s="64" t="e">
        <f t="shared" ref="Q195" si="236">FIND("target:",N195)+7</f>
        <v>#VALUE!</v>
      </c>
      <c r="R195" s="64" t="e">
        <f t="shared" ref="R195" si="237">FIND(",",N195,P195+1)</f>
        <v>#VALUE!</v>
      </c>
      <c r="S195" s="64" t="str">
        <f>IFERROR(VLOOKUP(MID(N195,Q195,R195-Q195),[5]skilldef!$C:$D,2,FALSE),"-") &amp; " / " &amp; IFERROR(VLOOKUP(MID(N195,O195,P195-O195),[5]skilldef!$A:$B,2,FALSE),"-")</f>
        <v>- / -</v>
      </c>
      <c r="T195" s="48" t="str">
        <f t="shared" ref="T195" si="238">IFERROR(RIGHT(M195,LEN(M195)-FIND("],",M195)-1),"none")</f>
        <v>none</v>
      </c>
      <c r="U195" s="64" t="e">
        <f t="shared" ref="U195" si="239">FIND("effect:",T195)+7</f>
        <v>#VALUE!</v>
      </c>
      <c r="V195" s="64">
        <f t="shared" ref="V195" si="240">IFERROR(FIND(",",T195),LEN(T195))</f>
        <v>4</v>
      </c>
      <c r="W195" s="64" t="e">
        <f t="shared" ref="W195" si="241">FIND("target:",T195)+7</f>
        <v>#VALUE!</v>
      </c>
      <c r="X195" s="64" t="e">
        <f t="shared" ref="X195" si="242">FIND(",",T195,V195+1)</f>
        <v>#VALUE!</v>
      </c>
      <c r="Y195" s="64" t="str">
        <f>IFERROR(VLOOKUP(MID(T195,W195,X195-W195),[5]skilldef!$C:$D,2,FALSE),"-") &amp; " / " &amp; IFERROR(VLOOKUP(MID(T195,U195,V195-U195),[5]skilldef!$A:$B,2,FALSE),"-")</f>
        <v>- / -</v>
      </c>
      <c r="Z195" s="50"/>
      <c r="AA195" s="52"/>
      <c r="AB195" s="50"/>
    </row>
    <row r="196" spans="1:28" ht="40" customHeight="1" x14ac:dyDescent="0.15">
      <c r="A196" s="119">
        <v>47003664</v>
      </c>
      <c r="B196" s="47" t="s">
        <v>272</v>
      </c>
      <c r="C196" s="126">
        <v>3</v>
      </c>
      <c r="D196" s="126" t="s">
        <v>126</v>
      </c>
      <c r="E196" s="51" t="s">
        <v>310</v>
      </c>
      <c r="F196" s="51" t="s">
        <v>311</v>
      </c>
      <c r="G196" s="130" t="str">
        <f t="shared" ref="G196:G202" si="243">IFERROR(LEFT(B196,FIND("],",B196)),B196)</f>
        <v>[effect:critical, val:1.5, animation:enemy_critical]</v>
      </c>
      <c r="H196" s="64">
        <f t="shared" si="154"/>
        <v>9</v>
      </c>
      <c r="I196" s="64">
        <f t="shared" ref="I196:I202" si="244">IFERROR(FIND(",",G196),LEN(G196))</f>
        <v>17</v>
      </c>
      <c r="J196" s="64" t="e">
        <f t="shared" ref="J196:J202" si="245">FIND("target:",G196)+7</f>
        <v>#VALUE!</v>
      </c>
      <c r="K196" s="64">
        <f t="shared" ref="K196:K202" si="246">FIND(",",G196,I196+1)</f>
        <v>26</v>
      </c>
      <c r="L196" s="64" t="str">
        <f>IFERROR(VLOOKUP(MID(G196,J196,K196-J196),[5]skilldef!$C:$D,2,FALSE),"-") &amp; " / " &amp; IFERROR(VLOOKUP(MID(G196,H196,I196-H196),[5]skilldef!$A:$B,2,FALSE),"-")</f>
        <v>- / 大攻撃</v>
      </c>
      <c r="M196" s="64" t="str">
        <f t="shared" ref="M196:M202" si="247">IFERROR(RIGHT(B196,LEN(B196)-FIND("],",B196)-1),"none")</f>
        <v>none</v>
      </c>
      <c r="N196" s="48" t="str">
        <f>IFERROR(LEFT(M196,FIND("],",M196)+S221),M196)</f>
        <v>none</v>
      </c>
      <c r="O196" s="64" t="e">
        <f t="shared" si="159"/>
        <v>#VALUE!</v>
      </c>
      <c r="P196" s="64">
        <f t="shared" ref="P196:P202" si="248">IFERROR(FIND(",",N196),LEN(N196))</f>
        <v>4</v>
      </c>
      <c r="Q196" s="64" t="e">
        <f t="shared" ref="Q196:Q202" si="249">FIND("target:",N196)+7</f>
        <v>#VALUE!</v>
      </c>
      <c r="R196" s="64" t="e">
        <f t="shared" ref="R196:R202" si="250">FIND(",",N196,P196+1)</f>
        <v>#VALUE!</v>
      </c>
      <c r="S196" s="64" t="str">
        <f>IFERROR(VLOOKUP(MID(N196,Q196,R196-Q196),[5]skilldef!$C:$D,2,FALSE),"-") &amp; " / " &amp; IFERROR(VLOOKUP(MID(N196,O196,P196-O196),[5]skilldef!$A:$B,2,FALSE),"-")</f>
        <v>- / -</v>
      </c>
      <c r="T196" s="48" t="str">
        <f t="shared" ref="T196:T202" si="251">IFERROR(RIGHT(M196,LEN(M196)-FIND("],",M196)-1),"none")</f>
        <v>none</v>
      </c>
      <c r="U196" s="64" t="e">
        <f t="shared" si="164"/>
        <v>#VALUE!</v>
      </c>
      <c r="V196" s="64">
        <f t="shared" ref="V196:V202" si="252">IFERROR(FIND(",",T196),LEN(T196))</f>
        <v>4</v>
      </c>
      <c r="W196" s="64" t="e">
        <f t="shared" ref="W196:W202" si="253">FIND("target:",T196)+7</f>
        <v>#VALUE!</v>
      </c>
      <c r="X196" s="64" t="e">
        <f t="shared" ref="X196:X202" si="254">FIND(",",T196,V196+1)</f>
        <v>#VALUE!</v>
      </c>
      <c r="Y196" s="64" t="str">
        <f>IFERROR(VLOOKUP(MID(T196,W196,X196-W196),[5]skilldef!$C:$D,2,FALSE),"-") &amp; " / " &amp; IFERROR(VLOOKUP(MID(T196,U196,V196-U196),[5]skilldef!$A:$B,2,FALSE),"-")</f>
        <v>- / -</v>
      </c>
      <c r="Z196" s="50"/>
      <c r="AA196" s="52"/>
      <c r="AB196" s="50"/>
    </row>
    <row r="197" spans="1:28" ht="40" customHeight="1" x14ac:dyDescent="0.15">
      <c r="A197" s="119">
        <v>47003665</v>
      </c>
      <c r="B197" s="47" t="s">
        <v>479</v>
      </c>
      <c r="C197" s="126">
        <v>3</v>
      </c>
      <c r="D197" s="126" t="s">
        <v>126</v>
      </c>
      <c r="E197" s="51" t="s">
        <v>312</v>
      </c>
      <c r="F197" s="51" t="s">
        <v>474</v>
      </c>
      <c r="G197" s="130" t="str">
        <f t="shared" ref="G197:G199" si="255">IFERROR(LEFT(B197,FIND("],",B197)),B197)</f>
        <v>[effect:enemy_message, val1:2.0, val2:1.8]</v>
      </c>
      <c r="H197" s="64">
        <f t="shared" ref="H197:H199" si="256">FIND("effect:",G197)+7</f>
        <v>9</v>
      </c>
      <c r="I197" s="64">
        <f t="shared" ref="I197:I199" si="257">IFERROR(FIND(",",G197),LEN(G197))</f>
        <v>22</v>
      </c>
      <c r="J197" s="64" t="e">
        <f t="shared" ref="J197:J199" si="258">FIND("target:",G197)+7</f>
        <v>#VALUE!</v>
      </c>
      <c r="K197" s="64">
        <f t="shared" ref="K197:K199" si="259">FIND(",",G197,I197+1)</f>
        <v>32</v>
      </c>
      <c r="L197" s="64" t="str">
        <f>IFERROR(VLOOKUP(MID(G197,J197,K197-J197),[5]skilldef!$C:$D,2,FALSE),"-") &amp; " / " &amp; IFERROR(VLOOKUP(MID(G197,H197,I197-H197),[5]skilldef!$A:$B,2,FALSE),"-")</f>
        <v>- / -</v>
      </c>
      <c r="M197" s="64" t="str">
        <f t="shared" ref="M197:M199" si="260">IFERROR(RIGHT(B197,LEN(B197)-FIND("],",B197)-1),"none")</f>
        <v>[effect:change_panel_ratio, turn:-1, block_type:yellow, val:0, animation:block_incidence04],[effect:fix_speed, target:myself, turn:1]</v>
      </c>
      <c r="N197" s="48" t="str">
        <f>IFERROR(LEFT(M197,FIND("],",M197)+#REF!),M197)</f>
        <v>[effect:change_panel_ratio, turn:-1, block_type:yellow, val:0, animation:block_incidence04],[effect:fix_speed, target:myself, turn:1]</v>
      </c>
      <c r="O197" s="64">
        <f t="shared" ref="O197:O199" si="261">FIND("effect:",N197)+7</f>
        <v>9</v>
      </c>
      <c r="P197" s="64">
        <f t="shared" ref="P197:P199" si="262">IFERROR(FIND(",",N197),LEN(N197))</f>
        <v>27</v>
      </c>
      <c r="Q197" s="64">
        <f t="shared" ref="Q197:Q199" si="263">FIND("target:",N197)+7</f>
        <v>119</v>
      </c>
      <c r="R197" s="64">
        <f t="shared" ref="R197:R199" si="264">FIND(",",N197,P197+1)</f>
        <v>36</v>
      </c>
      <c r="S197" s="64" t="str">
        <f>IFERROR(VLOOKUP(MID(N197,Q197,R197-Q197),[5]skilldef!$C:$D,2,FALSE),"-") &amp; " / " &amp; IFERROR(VLOOKUP(MID(N197,O197,P197-O197),[5]skilldef!$A:$B,2,FALSE),"-")</f>
        <v>- / -</v>
      </c>
      <c r="T197" s="48" t="str">
        <f t="shared" ref="T197:T199" si="265">IFERROR(RIGHT(M197,LEN(M197)-FIND("],",M197)-1),"none")</f>
        <v>[effect:fix_speed, target:myself, turn:1]</v>
      </c>
      <c r="U197" s="64">
        <f t="shared" ref="U197:U199" si="266">FIND("effect:",T197)+7</f>
        <v>9</v>
      </c>
      <c r="V197" s="64">
        <f t="shared" ref="V197:V199" si="267">IFERROR(FIND(",",T197),LEN(T197))</f>
        <v>18</v>
      </c>
      <c r="W197" s="64">
        <f t="shared" ref="W197:W199" si="268">FIND("target:",T197)+7</f>
        <v>27</v>
      </c>
      <c r="X197" s="64">
        <f t="shared" ref="X197:X199" si="269">FIND(",",T197,V197+1)</f>
        <v>33</v>
      </c>
      <c r="Y197" s="64" t="str">
        <f>IFERROR(VLOOKUP(MID(T197,W197,X197-W197),[5]skilldef!$C:$D,2,FALSE),"-") &amp; " / " &amp; IFERROR(VLOOKUP(MID(T197,U197,V197-U197),[5]skilldef!$A:$B,2,FALSE),"-")</f>
        <v>自分自身に / 行動値設定</v>
      </c>
      <c r="Z197" s="50"/>
      <c r="AA197" s="52"/>
      <c r="AB197" s="50"/>
    </row>
    <row r="198" spans="1:28" ht="40" customHeight="1" x14ac:dyDescent="0.15">
      <c r="A198" s="119">
        <v>47003666</v>
      </c>
      <c r="B198" s="47" t="s">
        <v>480</v>
      </c>
      <c r="C198" s="126">
        <v>3</v>
      </c>
      <c r="D198" s="126" t="s">
        <v>126</v>
      </c>
      <c r="E198" s="51" t="s">
        <v>313</v>
      </c>
      <c r="F198" s="51" t="s">
        <v>474</v>
      </c>
      <c r="G198" s="130" t="str">
        <f t="shared" si="255"/>
        <v>[effect:enemy_message, val1:2.0, val2:1.8]</v>
      </c>
      <c r="H198" s="64">
        <f t="shared" si="256"/>
        <v>9</v>
      </c>
      <c r="I198" s="64">
        <f t="shared" si="257"/>
        <v>22</v>
      </c>
      <c r="J198" s="64" t="e">
        <f t="shared" si="258"/>
        <v>#VALUE!</v>
      </c>
      <c r="K198" s="64">
        <f t="shared" si="259"/>
        <v>32</v>
      </c>
      <c r="L198" s="64" t="str">
        <f>IFERROR(VLOOKUP(MID(G198,J198,K198-J198),[5]skilldef!$C:$D,2,FALSE),"-") &amp; " / " &amp; IFERROR(VLOOKUP(MID(G198,H198,I198-H198),[5]skilldef!$A:$B,2,FALSE),"-")</f>
        <v>- / -</v>
      </c>
      <c r="M198" s="64" t="str">
        <f t="shared" si="260"/>
        <v>[effect:change_panel_ratio, turn:-1, block_type:yellow, val:0, animation:block_incidence04],[effect:fix_speed, target:myself, turn:1]</v>
      </c>
      <c r="N198" s="48" t="str">
        <f>IFERROR(LEFT(M198,FIND("],",M198)+#REF!),M198)</f>
        <v>[effect:change_panel_ratio, turn:-1, block_type:yellow, val:0, animation:block_incidence04],[effect:fix_speed, target:myself, turn:1]</v>
      </c>
      <c r="O198" s="64">
        <f t="shared" si="261"/>
        <v>9</v>
      </c>
      <c r="P198" s="64">
        <f t="shared" si="262"/>
        <v>27</v>
      </c>
      <c r="Q198" s="64">
        <f t="shared" si="263"/>
        <v>119</v>
      </c>
      <c r="R198" s="64">
        <f t="shared" si="264"/>
        <v>36</v>
      </c>
      <c r="S198" s="64" t="str">
        <f>IFERROR(VLOOKUP(MID(N198,Q198,R198-Q198),[5]skilldef!$C:$D,2,FALSE),"-") &amp; " / " &amp; IFERROR(VLOOKUP(MID(N198,O198,P198-O198),[5]skilldef!$A:$B,2,FALSE),"-")</f>
        <v>- / -</v>
      </c>
      <c r="T198" s="48" t="str">
        <f t="shared" si="265"/>
        <v>[effect:fix_speed, target:myself, turn:1]</v>
      </c>
      <c r="U198" s="64">
        <f t="shared" si="266"/>
        <v>9</v>
      </c>
      <c r="V198" s="64">
        <f t="shared" si="267"/>
        <v>18</v>
      </c>
      <c r="W198" s="64">
        <f t="shared" si="268"/>
        <v>27</v>
      </c>
      <c r="X198" s="64">
        <f t="shared" si="269"/>
        <v>33</v>
      </c>
      <c r="Y198" s="64" t="str">
        <f>IFERROR(VLOOKUP(MID(T198,W198,X198-W198),[5]skilldef!$C:$D,2,FALSE),"-") &amp; " / " &amp; IFERROR(VLOOKUP(MID(T198,U198,V198-U198),[5]skilldef!$A:$B,2,FALSE),"-")</f>
        <v>自分自身に / 行動値設定</v>
      </c>
      <c r="Z198" s="50"/>
      <c r="AA198" s="52"/>
      <c r="AB198" s="50"/>
    </row>
    <row r="199" spans="1:28" ht="40" customHeight="1" x14ac:dyDescent="0.15">
      <c r="A199" s="119">
        <v>47003667</v>
      </c>
      <c r="B199" s="47" t="s">
        <v>481</v>
      </c>
      <c r="C199" s="126">
        <v>3</v>
      </c>
      <c r="D199" s="126" t="s">
        <v>126</v>
      </c>
      <c r="E199" s="51" t="s">
        <v>314</v>
      </c>
      <c r="F199" s="51" t="s">
        <v>474</v>
      </c>
      <c r="G199" s="130" t="str">
        <f t="shared" si="255"/>
        <v>[effect:enemy_message, val1:2.0, val2:1.8]</v>
      </c>
      <c r="H199" s="64">
        <f t="shared" si="256"/>
        <v>9</v>
      </c>
      <c r="I199" s="64">
        <f t="shared" si="257"/>
        <v>22</v>
      </c>
      <c r="J199" s="64" t="e">
        <f t="shared" si="258"/>
        <v>#VALUE!</v>
      </c>
      <c r="K199" s="64">
        <f t="shared" si="259"/>
        <v>32</v>
      </c>
      <c r="L199" s="64" t="str">
        <f>IFERROR(VLOOKUP(MID(G199,J199,K199-J199),[5]skilldef!$C:$D,2,FALSE),"-") &amp; " / " &amp; IFERROR(VLOOKUP(MID(G199,H199,I199-H199),[5]skilldef!$A:$B,2,FALSE),"-")</f>
        <v>- / -</v>
      </c>
      <c r="M199" s="64" t="str">
        <f t="shared" si="260"/>
        <v>[effect:change_panel_ratio, turn:-1, block_type:yellow, val:0, animation:block_incidence04],[effect:fix_speed, target:myself, turn:1]</v>
      </c>
      <c r="N199" s="48" t="str">
        <f>IFERROR(LEFT(M199,FIND("],",M199)+#REF!),M199)</f>
        <v>[effect:change_panel_ratio, turn:-1, block_type:yellow, val:0, animation:block_incidence04],[effect:fix_speed, target:myself, turn:1]</v>
      </c>
      <c r="O199" s="64">
        <f t="shared" si="261"/>
        <v>9</v>
      </c>
      <c r="P199" s="64">
        <f t="shared" si="262"/>
        <v>27</v>
      </c>
      <c r="Q199" s="64">
        <f t="shared" si="263"/>
        <v>119</v>
      </c>
      <c r="R199" s="64">
        <f t="shared" si="264"/>
        <v>36</v>
      </c>
      <c r="S199" s="64" t="str">
        <f>IFERROR(VLOOKUP(MID(N199,Q199,R199-Q199),[5]skilldef!$C:$D,2,FALSE),"-") &amp; " / " &amp; IFERROR(VLOOKUP(MID(N199,O199,P199-O199),[5]skilldef!$A:$B,2,FALSE),"-")</f>
        <v>- / -</v>
      </c>
      <c r="T199" s="48" t="str">
        <f t="shared" si="265"/>
        <v>[effect:fix_speed, target:myself, turn:1]</v>
      </c>
      <c r="U199" s="64">
        <f t="shared" si="266"/>
        <v>9</v>
      </c>
      <c r="V199" s="64">
        <f t="shared" si="267"/>
        <v>18</v>
      </c>
      <c r="W199" s="64">
        <f t="shared" si="268"/>
        <v>27</v>
      </c>
      <c r="X199" s="64">
        <f t="shared" si="269"/>
        <v>33</v>
      </c>
      <c r="Y199" s="64" t="str">
        <f>IFERROR(VLOOKUP(MID(T199,W199,X199-W199),[5]skilldef!$C:$D,2,FALSE),"-") &amp; " / " &amp; IFERROR(VLOOKUP(MID(T199,U199,V199-U199),[5]skilldef!$A:$B,2,FALSE),"-")</f>
        <v>自分自身に / 行動値設定</v>
      </c>
      <c r="Z199" s="50"/>
      <c r="AA199" s="52"/>
      <c r="AB199" s="50"/>
    </row>
    <row r="200" spans="1:28" ht="40" customHeight="1" x14ac:dyDescent="0.15">
      <c r="A200" s="121">
        <v>47003681</v>
      </c>
      <c r="B200" s="47" t="s">
        <v>382</v>
      </c>
      <c r="C200" s="127">
        <v>3</v>
      </c>
      <c r="D200" s="127" t="s">
        <v>126</v>
      </c>
      <c r="E200" s="51" t="s">
        <v>315</v>
      </c>
      <c r="F200" s="51" t="s">
        <v>316</v>
      </c>
      <c r="G200" s="130" t="str">
        <f t="shared" si="243"/>
        <v>[effect:enemy_message, val1:1.3, val2:1.8]</v>
      </c>
      <c r="H200" s="64">
        <f t="shared" ref="H200:H203" si="270">FIND("effect:",G200)+7</f>
        <v>9</v>
      </c>
      <c r="I200" s="64">
        <f t="shared" si="244"/>
        <v>22</v>
      </c>
      <c r="J200" s="64" t="e">
        <f t="shared" si="245"/>
        <v>#VALUE!</v>
      </c>
      <c r="K200" s="64">
        <f t="shared" si="246"/>
        <v>32</v>
      </c>
      <c r="L200" s="64" t="str">
        <f>IFERROR(VLOOKUP(MID(G200,J200,K200-J200),[5]skilldef!$C:$D,2,FALSE),"-") &amp; " / " &amp; IFERROR(VLOOKUP(MID(G200,H200,I200-H200),[5]skilldef!$A:$B,2,FALSE),"-")</f>
        <v>- / -</v>
      </c>
      <c r="M200" s="64" t="str">
        <f t="shared" si="247"/>
        <v>[effect:fix_speed, target:myself, turn:1]</v>
      </c>
      <c r="N200" s="48" t="str">
        <f>IFERROR(LEFT(M200,FIND("],",M200)+#REF!),M200)</f>
        <v>[effect:fix_speed, target:myself, turn:1]</v>
      </c>
      <c r="O200" s="64">
        <f t="shared" ref="O200:O203" si="271">FIND("effect:",N200)+7</f>
        <v>9</v>
      </c>
      <c r="P200" s="64">
        <f t="shared" si="248"/>
        <v>18</v>
      </c>
      <c r="Q200" s="64">
        <f t="shared" si="249"/>
        <v>27</v>
      </c>
      <c r="R200" s="64">
        <f t="shared" si="250"/>
        <v>33</v>
      </c>
      <c r="S200" s="64" t="str">
        <f>IFERROR(VLOOKUP(MID(N200,Q200,R200-Q200),[5]skilldef!$C:$D,2,FALSE),"-") &amp; " / " &amp; IFERROR(VLOOKUP(MID(N200,O200,P200-O200),[5]skilldef!$A:$B,2,FALSE),"-")</f>
        <v>自分自身に / 行動値設定</v>
      </c>
      <c r="T200" s="48" t="str">
        <f t="shared" si="251"/>
        <v>none</v>
      </c>
      <c r="U200" s="64" t="e">
        <f t="shared" ref="U200:U203" si="272">FIND("effect:",T200)+7</f>
        <v>#VALUE!</v>
      </c>
      <c r="V200" s="64">
        <f t="shared" si="252"/>
        <v>4</v>
      </c>
      <c r="W200" s="64" t="e">
        <f t="shared" si="253"/>
        <v>#VALUE!</v>
      </c>
      <c r="X200" s="64" t="e">
        <f t="shared" si="254"/>
        <v>#VALUE!</v>
      </c>
      <c r="Y200" s="64" t="str">
        <f>IFERROR(VLOOKUP(MID(T200,W200,X200-W200),[5]skilldef!$C:$D,2,FALSE),"-") &amp; " / " &amp; IFERROR(VLOOKUP(MID(T200,U200,V200-U200),[5]skilldef!$A:$B,2,FALSE),"-")</f>
        <v>- / -</v>
      </c>
      <c r="Z200" s="50"/>
      <c r="AA200" s="52"/>
      <c r="AB200" s="50"/>
    </row>
    <row r="201" spans="1:28" ht="40" customHeight="1" x14ac:dyDescent="0.15">
      <c r="A201" s="121">
        <v>47003682</v>
      </c>
      <c r="B201" s="47" t="s">
        <v>358</v>
      </c>
      <c r="C201" s="127">
        <v>3</v>
      </c>
      <c r="D201" s="127" t="s">
        <v>126</v>
      </c>
      <c r="E201" s="51" t="s">
        <v>317</v>
      </c>
      <c r="F201" s="51" t="s">
        <v>359</v>
      </c>
      <c r="G201" s="130" t="str">
        <f t="shared" si="243"/>
        <v>[effect:force_change_block, new_block:damage, target:block_all, ignore01:crash, ignore02:crack_bomb, ignore03:color_break, count:6, val:0.06]</v>
      </c>
      <c r="H201" s="64">
        <f t="shared" si="270"/>
        <v>9</v>
      </c>
      <c r="I201" s="64">
        <f t="shared" si="244"/>
        <v>27</v>
      </c>
      <c r="J201" s="64">
        <f t="shared" si="245"/>
        <v>54</v>
      </c>
      <c r="K201" s="64">
        <f t="shared" si="246"/>
        <v>45</v>
      </c>
      <c r="L201" s="64" t="str">
        <f>IFERROR(VLOOKUP(MID(G201,J201,K201-J201),[5]skilldef!$C:$D,2,FALSE),"-") &amp; " / " &amp; IFERROR(VLOOKUP(MID(G201,H201,I201-H201),[5]skilldef!$A:$B,2,FALSE),"-")</f>
        <v>- / -</v>
      </c>
      <c r="M201" s="64" t="str">
        <f t="shared" si="247"/>
        <v>[effect:critical, val:1],[effect:fix_speed, target:myself, turn:2]</v>
      </c>
      <c r="N201" s="48" t="str">
        <f>IFERROR(LEFT(M201,FIND("],",M201)+#REF!),M201)</f>
        <v>[effect:critical, val:1],[effect:fix_speed, target:myself, turn:2]</v>
      </c>
      <c r="O201" s="64">
        <f t="shared" si="271"/>
        <v>9</v>
      </c>
      <c r="P201" s="64">
        <f t="shared" si="248"/>
        <v>17</v>
      </c>
      <c r="Q201" s="64">
        <f t="shared" si="249"/>
        <v>52</v>
      </c>
      <c r="R201" s="64">
        <f t="shared" si="250"/>
        <v>25</v>
      </c>
      <c r="S201" s="64" t="str">
        <f>IFERROR(VLOOKUP(MID(N201,Q201,R201-Q201),[5]skilldef!$C:$D,2,FALSE),"-") &amp; " / " &amp; IFERROR(VLOOKUP(MID(N201,O201,P201-O201),[5]skilldef!$A:$B,2,FALSE),"-")</f>
        <v>- / 大攻撃</v>
      </c>
      <c r="T201" s="48" t="str">
        <f t="shared" si="251"/>
        <v>[effect:fix_speed, target:myself, turn:2]</v>
      </c>
      <c r="U201" s="64">
        <f t="shared" si="272"/>
        <v>9</v>
      </c>
      <c r="V201" s="64">
        <f t="shared" si="252"/>
        <v>18</v>
      </c>
      <c r="W201" s="64">
        <f t="shared" si="253"/>
        <v>27</v>
      </c>
      <c r="X201" s="64">
        <f t="shared" si="254"/>
        <v>33</v>
      </c>
      <c r="Y201" s="64" t="str">
        <f>IFERROR(VLOOKUP(MID(T201,W201,X201-W201),[5]skilldef!$C:$D,2,FALSE),"-") &amp; " / " &amp; IFERROR(VLOOKUP(MID(T201,U201,V201-U201),[5]skilldef!$A:$B,2,FALSE),"-")</f>
        <v>自分自身に / 行動値設定</v>
      </c>
      <c r="Z201" s="50"/>
      <c r="AA201" s="52"/>
      <c r="AB201" s="50"/>
    </row>
    <row r="202" spans="1:28" ht="40" customHeight="1" x14ac:dyDescent="0.15">
      <c r="A202" s="121">
        <v>47003683</v>
      </c>
      <c r="B202" s="47" t="s">
        <v>279</v>
      </c>
      <c r="C202" s="127">
        <v>3</v>
      </c>
      <c r="D202" s="127" t="s">
        <v>126</v>
      </c>
      <c r="E202" s="51" t="s">
        <v>318</v>
      </c>
      <c r="F202" s="51" t="s">
        <v>387</v>
      </c>
      <c r="G202" s="130" t="str">
        <f t="shared" si="243"/>
        <v>[effect:rush, count:3, val:0.4]</v>
      </c>
      <c r="H202" s="64">
        <f t="shared" si="270"/>
        <v>9</v>
      </c>
      <c r="I202" s="64">
        <f t="shared" si="244"/>
        <v>13</v>
      </c>
      <c r="J202" s="64" t="e">
        <f t="shared" si="245"/>
        <v>#VALUE!</v>
      </c>
      <c r="K202" s="64">
        <f t="shared" si="246"/>
        <v>22</v>
      </c>
      <c r="L202" s="64" t="str">
        <f>IFERROR(VLOOKUP(MID(G202,J202,K202-J202),[5]skilldef!$C:$D,2,FALSE),"-") &amp; " / " &amp; IFERROR(VLOOKUP(MID(G202,H202,I202-H202),[5]skilldef!$A:$B,2,FALSE),"-")</f>
        <v>- / 連続攻撃</v>
      </c>
      <c r="M202" s="64" t="str">
        <f t="shared" si="247"/>
        <v>none</v>
      </c>
      <c r="N202" s="48" t="str">
        <f>IFERROR(LEFT(M202,FIND("],",M202)+#REF!),M202)</f>
        <v>none</v>
      </c>
      <c r="O202" s="64" t="e">
        <f t="shared" si="271"/>
        <v>#VALUE!</v>
      </c>
      <c r="P202" s="64">
        <f t="shared" si="248"/>
        <v>4</v>
      </c>
      <c r="Q202" s="64" t="e">
        <f t="shared" si="249"/>
        <v>#VALUE!</v>
      </c>
      <c r="R202" s="64" t="e">
        <f t="shared" si="250"/>
        <v>#VALUE!</v>
      </c>
      <c r="S202" s="64" t="str">
        <f>IFERROR(VLOOKUP(MID(N202,Q202,R202-Q202),[5]skilldef!$C:$D,2,FALSE),"-") &amp; " / " &amp; IFERROR(VLOOKUP(MID(N202,O202,P202-O202),[5]skilldef!$A:$B,2,FALSE),"-")</f>
        <v>- / -</v>
      </c>
      <c r="T202" s="48" t="str">
        <f t="shared" si="251"/>
        <v>none</v>
      </c>
      <c r="U202" s="64" t="e">
        <f t="shared" si="272"/>
        <v>#VALUE!</v>
      </c>
      <c r="V202" s="64">
        <f t="shared" si="252"/>
        <v>4</v>
      </c>
      <c r="W202" s="64" t="e">
        <f t="shared" si="253"/>
        <v>#VALUE!</v>
      </c>
      <c r="X202" s="64" t="e">
        <f t="shared" si="254"/>
        <v>#VALUE!</v>
      </c>
      <c r="Y202" s="64" t="str">
        <f>IFERROR(VLOOKUP(MID(T202,W202,X202-W202),[5]skilldef!$C:$D,2,FALSE),"-") &amp; " / " &amp; IFERROR(VLOOKUP(MID(T202,U202,V202-U202),[5]skilldef!$A:$B,2,FALSE),"-")</f>
        <v>- / -</v>
      </c>
      <c r="Z202" s="50"/>
      <c r="AA202" s="52"/>
      <c r="AB202" s="50"/>
    </row>
    <row r="203" spans="1:28" ht="40" customHeight="1" x14ac:dyDescent="0.15">
      <c r="A203" s="121">
        <v>47003684</v>
      </c>
      <c r="B203" s="47" t="s">
        <v>278</v>
      </c>
      <c r="C203" s="127">
        <v>3</v>
      </c>
      <c r="D203" s="127" t="s">
        <v>126</v>
      </c>
      <c r="E203" s="51" t="s">
        <v>319</v>
      </c>
      <c r="F203" s="51" t="s">
        <v>311</v>
      </c>
      <c r="G203" s="130" t="str">
        <f t="shared" ref="G203:G207" si="273">IFERROR(LEFT(B203,FIND("],",B203)),B203)</f>
        <v>[effect:critical, val:1.5, animation:enemy_critical]</v>
      </c>
      <c r="H203" s="64">
        <f t="shared" si="270"/>
        <v>9</v>
      </c>
      <c r="I203" s="64">
        <f t="shared" ref="I203:I207" si="274">IFERROR(FIND(",",G203),LEN(G203))</f>
        <v>17</v>
      </c>
      <c r="J203" s="64" t="e">
        <f t="shared" ref="J203:J207" si="275">FIND("target:",G203)+7</f>
        <v>#VALUE!</v>
      </c>
      <c r="K203" s="64">
        <f t="shared" ref="K203:K207" si="276">FIND(",",G203,I203+1)</f>
        <v>26</v>
      </c>
      <c r="L203" s="64" t="str">
        <f>IFERROR(VLOOKUP(MID(G203,J203,K203-J203),[5]skilldef!$C:$D,2,FALSE),"-") &amp; " / " &amp; IFERROR(VLOOKUP(MID(G203,H203,I203-H203),[5]skilldef!$A:$B,2,FALSE),"-")</f>
        <v>- / 大攻撃</v>
      </c>
      <c r="M203" s="64" t="str">
        <f t="shared" ref="M203:M207" si="277">IFERROR(RIGHT(B203,LEN(B203)-FIND("],",B203)-1),"none")</f>
        <v>none</v>
      </c>
      <c r="N203" s="48" t="str">
        <f>IFERROR(LEFT(M203,FIND("],",M203)+S228),M203)</f>
        <v>none</v>
      </c>
      <c r="O203" s="64" t="e">
        <f t="shared" si="271"/>
        <v>#VALUE!</v>
      </c>
      <c r="P203" s="64">
        <f t="shared" ref="P203:P207" si="278">IFERROR(FIND(",",N203),LEN(N203))</f>
        <v>4</v>
      </c>
      <c r="Q203" s="64" t="e">
        <f t="shared" ref="Q203:Q207" si="279">FIND("target:",N203)+7</f>
        <v>#VALUE!</v>
      </c>
      <c r="R203" s="64" t="e">
        <f t="shared" ref="R203:R207" si="280">FIND(",",N203,P203+1)</f>
        <v>#VALUE!</v>
      </c>
      <c r="S203" s="64" t="str">
        <f>IFERROR(VLOOKUP(MID(N203,Q203,R203-Q203),[5]skilldef!$C:$D,2,FALSE),"-") &amp; " / " &amp; IFERROR(VLOOKUP(MID(N203,O203,P203-O203),[5]skilldef!$A:$B,2,FALSE),"-")</f>
        <v>- / -</v>
      </c>
      <c r="T203" s="48" t="str">
        <f t="shared" ref="T203:T207" si="281">IFERROR(RIGHT(M203,LEN(M203)-FIND("],",M203)-1),"none")</f>
        <v>none</v>
      </c>
      <c r="U203" s="64" t="e">
        <f t="shared" si="272"/>
        <v>#VALUE!</v>
      </c>
      <c r="V203" s="64">
        <f t="shared" ref="V203:V207" si="282">IFERROR(FIND(",",T203),LEN(T203))</f>
        <v>4</v>
      </c>
      <c r="W203" s="64" t="e">
        <f t="shared" ref="W203:W207" si="283">FIND("target:",T203)+7</f>
        <v>#VALUE!</v>
      </c>
      <c r="X203" s="64" t="e">
        <f t="shared" ref="X203:X207" si="284">FIND(",",T203,V203+1)</f>
        <v>#VALUE!</v>
      </c>
      <c r="Y203" s="64" t="str">
        <f>IFERROR(VLOOKUP(MID(T203,W203,X203-W203),[5]skilldef!$C:$D,2,FALSE),"-") &amp; " / " &amp; IFERROR(VLOOKUP(MID(T203,U203,V203-U203),[5]skilldef!$A:$B,2,FALSE),"-")</f>
        <v>- / -</v>
      </c>
      <c r="Z203" s="50"/>
      <c r="AA203" s="52"/>
      <c r="AB203" s="50"/>
    </row>
    <row r="204" spans="1:28" ht="40" customHeight="1" x14ac:dyDescent="0.15">
      <c r="A204" s="121">
        <v>47003685</v>
      </c>
      <c r="B204" s="47" t="s">
        <v>482</v>
      </c>
      <c r="C204" s="127">
        <v>3</v>
      </c>
      <c r="D204" s="127" t="s">
        <v>126</v>
      </c>
      <c r="E204" s="51" t="s">
        <v>320</v>
      </c>
      <c r="F204" s="51" t="s">
        <v>303</v>
      </c>
      <c r="G204" s="130" t="str">
        <f t="shared" ref="G204:G206" si="285">IFERROR(LEFT(B204,FIND("],",B204)),B204)</f>
        <v>[effect:enemy_message, val1:2.0, val2:1.8]</v>
      </c>
      <c r="H204" s="64">
        <f t="shared" ref="H204:H206" si="286">FIND("effect:",G204)+7</f>
        <v>9</v>
      </c>
      <c r="I204" s="64">
        <f t="shared" ref="I204:I206" si="287">IFERROR(FIND(",",G204),LEN(G204))</f>
        <v>22</v>
      </c>
      <c r="J204" s="64" t="e">
        <f t="shared" ref="J204:J206" si="288">FIND("target:",G204)+7</f>
        <v>#VALUE!</v>
      </c>
      <c r="K204" s="64">
        <f t="shared" ref="K204:K206" si="289">FIND(",",G204,I204+1)</f>
        <v>32</v>
      </c>
      <c r="L204" s="64" t="str">
        <f>IFERROR(VLOOKUP(MID(G204,J204,K204-J204),[5]skilldef!$C:$D,2,FALSE),"-") &amp; " / " &amp; IFERROR(VLOOKUP(MID(G204,H204,I204-H204),[5]skilldef!$A:$B,2,FALSE),"-")</f>
        <v>- / -</v>
      </c>
      <c r="M204" s="64" t="str">
        <f t="shared" ref="M204:M206" si="290">IFERROR(RIGHT(B204,LEN(B204)-FIND("],",B204)-1),"none")</f>
        <v>[effect:change_panel_ratio, turn:-1, block_type:yellow, val:0.05, animation:block_incidence04],[effect:fix_speed, target:myself, turn:1]</v>
      </c>
      <c r="N204" s="48" t="str">
        <f>IFERROR(LEFT(M204,FIND("],",M204)+#REF!),M204)</f>
        <v>[effect:change_panel_ratio, turn:-1, block_type:yellow, val:0.05, animation:block_incidence04],[effect:fix_speed, target:myself, turn:1]</v>
      </c>
      <c r="O204" s="64">
        <f t="shared" ref="O204:O206" si="291">FIND("effect:",N204)+7</f>
        <v>9</v>
      </c>
      <c r="P204" s="64">
        <f t="shared" ref="P204:P206" si="292">IFERROR(FIND(",",N204),LEN(N204))</f>
        <v>27</v>
      </c>
      <c r="Q204" s="64">
        <f t="shared" ref="Q204:Q206" si="293">FIND("target:",N204)+7</f>
        <v>122</v>
      </c>
      <c r="R204" s="64">
        <f t="shared" ref="R204:R206" si="294">FIND(",",N204,P204+1)</f>
        <v>36</v>
      </c>
      <c r="S204" s="64" t="str">
        <f>IFERROR(VLOOKUP(MID(N204,Q204,R204-Q204),[5]skilldef!$C:$D,2,FALSE),"-") &amp; " / " &amp; IFERROR(VLOOKUP(MID(N204,O204,P204-O204),[5]skilldef!$A:$B,2,FALSE),"-")</f>
        <v>- / -</v>
      </c>
      <c r="T204" s="48" t="str">
        <f t="shared" ref="T204:T206" si="295">IFERROR(RIGHT(M204,LEN(M204)-FIND("],",M204)-1),"none")</f>
        <v>[effect:fix_speed, target:myself, turn:1]</v>
      </c>
      <c r="U204" s="64">
        <f t="shared" ref="U204:U206" si="296">FIND("effect:",T204)+7</f>
        <v>9</v>
      </c>
      <c r="V204" s="64">
        <f t="shared" ref="V204:V206" si="297">IFERROR(FIND(",",T204),LEN(T204))</f>
        <v>18</v>
      </c>
      <c r="W204" s="64">
        <f t="shared" ref="W204:W206" si="298">FIND("target:",T204)+7</f>
        <v>27</v>
      </c>
      <c r="X204" s="64">
        <f t="shared" ref="X204:X206" si="299">FIND(",",T204,V204+1)</f>
        <v>33</v>
      </c>
      <c r="Y204" s="64" t="str">
        <f>IFERROR(VLOOKUP(MID(T204,W204,X204-W204),[5]skilldef!$C:$D,2,FALSE),"-") &amp; " / " &amp; IFERROR(VLOOKUP(MID(T204,U204,V204-U204),[5]skilldef!$A:$B,2,FALSE),"-")</f>
        <v>自分自身に / 行動値設定</v>
      </c>
      <c r="Z204" s="50"/>
      <c r="AA204" s="52"/>
      <c r="AB204" s="50"/>
    </row>
    <row r="205" spans="1:28" ht="40" customHeight="1" x14ac:dyDescent="0.15">
      <c r="A205" s="121">
        <v>47003686</v>
      </c>
      <c r="B205" s="47" t="s">
        <v>483</v>
      </c>
      <c r="C205" s="127">
        <v>3</v>
      </c>
      <c r="D205" s="127" t="s">
        <v>126</v>
      </c>
      <c r="E205" s="51" t="s">
        <v>321</v>
      </c>
      <c r="F205" s="51" t="s">
        <v>303</v>
      </c>
      <c r="G205" s="130" t="str">
        <f t="shared" si="285"/>
        <v>[effect:enemy_message, val1:2.0, val2:1.8]</v>
      </c>
      <c r="H205" s="64">
        <f t="shared" si="286"/>
        <v>9</v>
      </c>
      <c r="I205" s="64">
        <f t="shared" si="287"/>
        <v>22</v>
      </c>
      <c r="J205" s="64" t="e">
        <f t="shared" si="288"/>
        <v>#VALUE!</v>
      </c>
      <c r="K205" s="64">
        <f t="shared" si="289"/>
        <v>32</v>
      </c>
      <c r="L205" s="64" t="str">
        <f>IFERROR(VLOOKUP(MID(G205,J205,K205-J205),[5]skilldef!$C:$D,2,FALSE),"-") &amp; " / " &amp; IFERROR(VLOOKUP(MID(G205,H205,I205-H205),[5]skilldef!$A:$B,2,FALSE),"-")</f>
        <v>- / -</v>
      </c>
      <c r="M205" s="64" t="str">
        <f t="shared" si="290"/>
        <v>[effect:change_panel_ratio, turn:-1, block_type:yellow, val:0.05, animation:block_incidence04],[effect:fix_speed, target:myself, turn:1]</v>
      </c>
      <c r="N205" s="48" t="str">
        <f>IFERROR(LEFT(M205,FIND("],",M205)+#REF!),M205)</f>
        <v>[effect:change_panel_ratio, turn:-1, block_type:yellow, val:0.05, animation:block_incidence04],[effect:fix_speed, target:myself, turn:1]</v>
      </c>
      <c r="O205" s="64">
        <f t="shared" si="291"/>
        <v>9</v>
      </c>
      <c r="P205" s="64">
        <f t="shared" si="292"/>
        <v>27</v>
      </c>
      <c r="Q205" s="64">
        <f t="shared" si="293"/>
        <v>122</v>
      </c>
      <c r="R205" s="64">
        <f t="shared" si="294"/>
        <v>36</v>
      </c>
      <c r="S205" s="64" t="str">
        <f>IFERROR(VLOOKUP(MID(N205,Q205,R205-Q205),[5]skilldef!$C:$D,2,FALSE),"-") &amp; " / " &amp; IFERROR(VLOOKUP(MID(N205,O205,P205-O205),[5]skilldef!$A:$B,2,FALSE),"-")</f>
        <v>- / -</v>
      </c>
      <c r="T205" s="48" t="str">
        <f t="shared" si="295"/>
        <v>[effect:fix_speed, target:myself, turn:1]</v>
      </c>
      <c r="U205" s="64">
        <f t="shared" si="296"/>
        <v>9</v>
      </c>
      <c r="V205" s="64">
        <f t="shared" si="297"/>
        <v>18</v>
      </c>
      <c r="W205" s="64">
        <f t="shared" si="298"/>
        <v>27</v>
      </c>
      <c r="X205" s="64">
        <f t="shared" si="299"/>
        <v>33</v>
      </c>
      <c r="Y205" s="64" t="str">
        <f>IFERROR(VLOOKUP(MID(T205,W205,X205-W205),[5]skilldef!$C:$D,2,FALSE),"-") &amp; " / " &amp; IFERROR(VLOOKUP(MID(T205,U205,V205-U205),[5]skilldef!$A:$B,2,FALSE),"-")</f>
        <v>自分自身に / 行動値設定</v>
      </c>
      <c r="Z205" s="50"/>
      <c r="AA205" s="52"/>
      <c r="AB205" s="50"/>
    </row>
    <row r="206" spans="1:28" ht="40" customHeight="1" x14ac:dyDescent="0.15">
      <c r="A206" s="121">
        <v>47003687</v>
      </c>
      <c r="B206" s="47" t="s">
        <v>484</v>
      </c>
      <c r="C206" s="127">
        <v>3</v>
      </c>
      <c r="D206" s="127" t="s">
        <v>126</v>
      </c>
      <c r="E206" s="51" t="s">
        <v>322</v>
      </c>
      <c r="F206" s="51" t="s">
        <v>303</v>
      </c>
      <c r="G206" s="130" t="str">
        <f t="shared" si="285"/>
        <v>[effect:enemy_message, val1:2.0, val2:1.8]</v>
      </c>
      <c r="H206" s="64">
        <f t="shared" si="286"/>
        <v>9</v>
      </c>
      <c r="I206" s="64">
        <f t="shared" si="287"/>
        <v>22</v>
      </c>
      <c r="J206" s="64" t="e">
        <f t="shared" si="288"/>
        <v>#VALUE!</v>
      </c>
      <c r="K206" s="64">
        <f t="shared" si="289"/>
        <v>32</v>
      </c>
      <c r="L206" s="64" t="str">
        <f>IFERROR(VLOOKUP(MID(G206,J206,K206-J206),[5]skilldef!$C:$D,2,FALSE),"-") &amp; " / " &amp; IFERROR(VLOOKUP(MID(G206,H206,I206-H206),[5]skilldef!$A:$B,2,FALSE),"-")</f>
        <v>- / -</v>
      </c>
      <c r="M206" s="64" t="str">
        <f t="shared" si="290"/>
        <v>[effect:change_panel_ratio, turn:-1, block_type:yellow, val:0.05, animation:block_incidence04],[effect:fix_speed, target:myself, turn:1]</v>
      </c>
      <c r="N206" s="48" t="str">
        <f>IFERROR(LEFT(M206,FIND("],",M206)+#REF!),M206)</f>
        <v>[effect:change_panel_ratio, turn:-1, block_type:yellow, val:0.05, animation:block_incidence04],[effect:fix_speed, target:myself, turn:1]</v>
      </c>
      <c r="O206" s="64">
        <f t="shared" si="291"/>
        <v>9</v>
      </c>
      <c r="P206" s="64">
        <f t="shared" si="292"/>
        <v>27</v>
      </c>
      <c r="Q206" s="64">
        <f t="shared" si="293"/>
        <v>122</v>
      </c>
      <c r="R206" s="64">
        <f t="shared" si="294"/>
        <v>36</v>
      </c>
      <c r="S206" s="64" t="str">
        <f>IFERROR(VLOOKUP(MID(N206,Q206,R206-Q206),[5]skilldef!$C:$D,2,FALSE),"-") &amp; " / " &amp; IFERROR(VLOOKUP(MID(N206,O206,P206-O206),[5]skilldef!$A:$B,2,FALSE),"-")</f>
        <v>- / -</v>
      </c>
      <c r="T206" s="48" t="str">
        <f t="shared" si="295"/>
        <v>[effect:fix_speed, target:myself, turn:1]</v>
      </c>
      <c r="U206" s="64">
        <f t="shared" si="296"/>
        <v>9</v>
      </c>
      <c r="V206" s="64">
        <f t="shared" si="297"/>
        <v>18</v>
      </c>
      <c r="W206" s="64">
        <f t="shared" si="298"/>
        <v>27</v>
      </c>
      <c r="X206" s="64">
        <f t="shared" si="299"/>
        <v>33</v>
      </c>
      <c r="Y206" s="64" t="str">
        <f>IFERROR(VLOOKUP(MID(T206,W206,X206-W206),[5]skilldef!$C:$D,2,FALSE),"-") &amp; " / " &amp; IFERROR(VLOOKUP(MID(T206,U206,V206-U206),[5]skilldef!$A:$B,2,FALSE),"-")</f>
        <v>自分自身に / 行動値設定</v>
      </c>
      <c r="Z206" s="50"/>
      <c r="AA206" s="52"/>
      <c r="AB206" s="50"/>
    </row>
    <row r="207" spans="1:28" ht="40" customHeight="1" x14ac:dyDescent="0.15">
      <c r="A207" s="134">
        <v>47003701</v>
      </c>
      <c r="B207" s="135" t="s">
        <v>540</v>
      </c>
      <c r="C207" s="132">
        <v>3</v>
      </c>
      <c r="D207" s="132" t="s">
        <v>126</v>
      </c>
      <c r="E207" s="138" t="s">
        <v>282</v>
      </c>
      <c r="F207" s="51" t="s">
        <v>323</v>
      </c>
      <c r="G207" s="130" t="str">
        <f t="shared" si="273"/>
        <v>[effect:enemy_message, val1:1.3, val2:1.8]</v>
      </c>
      <c r="H207" s="64">
        <f t="shared" ref="H207" si="300">FIND("effect:",G207)+7</f>
        <v>9</v>
      </c>
      <c r="I207" s="64">
        <f t="shared" si="274"/>
        <v>22</v>
      </c>
      <c r="J207" s="64" t="e">
        <f t="shared" si="275"/>
        <v>#VALUE!</v>
      </c>
      <c r="K207" s="64">
        <f t="shared" si="276"/>
        <v>32</v>
      </c>
      <c r="L207" s="64" t="str">
        <f>IFERROR(VLOOKUP(MID(G207,J207,K207-J207),[5]skilldef!$C:$D,2,FALSE),"-") &amp; " / " &amp; IFERROR(VLOOKUP(MID(G207,H207,I207-H207),[5]skilldef!$A:$B,2,FALSE),"-")</f>
        <v>- / -</v>
      </c>
      <c r="M207" s="64" t="str">
        <f t="shared" si="277"/>
        <v>[effect:fix_speed, target:myself, turn:1]</v>
      </c>
      <c r="N207" s="48" t="str">
        <f>IFERROR(LEFT(M207,FIND("],",M207)+S223),M207)</f>
        <v>[effect:fix_speed, target:myself, turn:1]</v>
      </c>
      <c r="O207" s="64">
        <f t="shared" ref="O207" si="301">FIND("effect:",N207)+7</f>
        <v>9</v>
      </c>
      <c r="P207" s="64">
        <f t="shared" si="278"/>
        <v>18</v>
      </c>
      <c r="Q207" s="64">
        <f t="shared" si="279"/>
        <v>27</v>
      </c>
      <c r="R207" s="64">
        <f t="shared" si="280"/>
        <v>33</v>
      </c>
      <c r="S207" s="64" t="str">
        <f>IFERROR(VLOOKUP(MID(N207,Q207,R207-Q207),[5]skilldef!$C:$D,2,FALSE),"-") &amp; " / " &amp; IFERROR(VLOOKUP(MID(N207,O207,P207-O207),[5]skilldef!$A:$B,2,FALSE),"-")</f>
        <v>自分自身に / 行動値設定</v>
      </c>
      <c r="T207" s="48" t="str">
        <f t="shared" si="281"/>
        <v>none</v>
      </c>
      <c r="U207" s="64" t="e">
        <f t="shared" ref="U207" si="302">FIND("effect:",T207)+7</f>
        <v>#VALUE!</v>
      </c>
      <c r="V207" s="64">
        <f t="shared" si="282"/>
        <v>4</v>
      </c>
      <c r="W207" s="64" t="e">
        <f t="shared" si="283"/>
        <v>#VALUE!</v>
      </c>
      <c r="X207" s="64" t="e">
        <f t="shared" si="284"/>
        <v>#VALUE!</v>
      </c>
      <c r="Y207" s="64" t="str">
        <f>IFERROR(VLOOKUP(MID(T207,W207,X207-W207),[5]skilldef!$C:$D,2,FALSE),"-") &amp; " / " &amp; IFERROR(VLOOKUP(MID(T207,U207,V207-U207),[5]skilldef!$A:$B,2,FALSE),"-")</f>
        <v>- / -</v>
      </c>
      <c r="Z207" s="50"/>
      <c r="AA207" s="52"/>
      <c r="AB207" s="50"/>
    </row>
    <row r="208" spans="1:28" ht="40" customHeight="1" x14ac:dyDescent="0.15">
      <c r="A208" s="134">
        <v>47003702</v>
      </c>
      <c r="B208" s="47" t="s">
        <v>583</v>
      </c>
      <c r="C208" s="50">
        <v>3</v>
      </c>
      <c r="D208" s="50" t="s">
        <v>126</v>
      </c>
      <c r="E208" s="51" t="s">
        <v>324</v>
      </c>
      <c r="F208" s="51" t="s">
        <v>609</v>
      </c>
      <c r="G208" s="130" t="str">
        <f t="shared" ref="G208:G211" si="303">IFERROR(LEFT(B208,FIND("],",B208)),B208)</f>
        <v>[effect:enemy_message, val1:1.0, val2:3.3]</v>
      </c>
      <c r="H208" s="64">
        <f t="shared" ref="H208:H211" si="304">FIND("effect:",G208)+7</f>
        <v>9</v>
      </c>
      <c r="I208" s="64">
        <f t="shared" ref="I208:I211" si="305">IFERROR(FIND(",",G208),LEN(G208))</f>
        <v>22</v>
      </c>
      <c r="J208" s="64" t="e">
        <f t="shared" ref="J208:J211" si="306">FIND("target:",G208)+7</f>
        <v>#VALUE!</v>
      </c>
      <c r="K208" s="64">
        <f t="shared" ref="K208:K211" si="307">FIND(",",G208,I208+1)</f>
        <v>32</v>
      </c>
      <c r="L208" s="64" t="str">
        <f>IFERROR(VLOOKUP(MID(G208,J208,K208-J208),[5]skilldef!$C:$D,2,FALSE),"-") &amp; " / " &amp; IFERROR(VLOOKUP(MID(G208,H208,I208-H208),[5]skilldef!$A:$B,2,FALSE),"-")</f>
        <v>- / -</v>
      </c>
      <c r="M208" s="64" t="str">
        <f t="shared" ref="M208:M211" si="308">IFERROR(RIGHT(B208,LEN(B208)-FIND("],",B208)-1),"none")</f>
        <v>[effect:damage_anti_tribe, target:unit_all, tribe:machine, val1:0.65, val2:0.35],[effect:hungup, target:unit_machine, turn:4, rate:1, animation:hungup02]</v>
      </c>
      <c r="N208" s="48" t="str">
        <f>IFERROR(LEFT(M208,FIND("],",M208)+S223),M208)</f>
        <v>[effect:damage_anti_tribe, target:unit_all, tribe:machine, val1:0.65, val2:0.35],[effect:hungup, target:unit_machine, turn:4, rate:1, animation:hungup02]</v>
      </c>
      <c r="O208" s="64">
        <f t="shared" ref="O208:O211" si="309">FIND("effect:",N208)+7</f>
        <v>9</v>
      </c>
      <c r="P208" s="64">
        <f t="shared" ref="P208:P211" si="310">IFERROR(FIND(",",N208),LEN(N208))</f>
        <v>26</v>
      </c>
      <c r="Q208" s="64">
        <f t="shared" ref="Q208:Q211" si="311">FIND("target:",N208)+7</f>
        <v>35</v>
      </c>
      <c r="R208" s="64">
        <f t="shared" ref="R208:R211" si="312">FIND(",",N208,P208+1)</f>
        <v>43</v>
      </c>
      <c r="S208" s="64" t="str">
        <f>IFERROR(VLOOKUP(MID(N208,Q208,R208-Q208),[5]skilldef!$C:$D,2,FALSE),"-") &amp; " / " &amp; IFERROR(VLOOKUP(MID(N208,O208,P208-O208),[5]skilldef!$A:$B,2,FALSE),"-")</f>
        <v>味方全体に / 種族キラー</v>
      </c>
      <c r="T208" s="48" t="str">
        <f t="shared" ref="T208:T211" si="313">IFERROR(RIGHT(M208,LEN(M208)-FIND("],",M208)-1),"none")</f>
        <v>[effect:hungup, target:unit_machine, turn:4, rate:1, animation:hungup02]</v>
      </c>
      <c r="U208" s="64">
        <f t="shared" ref="U208:U211" si="314">FIND("effect:",T208)+7</f>
        <v>9</v>
      </c>
      <c r="V208" s="64">
        <f t="shared" ref="V208:V211" si="315">IFERROR(FIND(",",T208),LEN(T208))</f>
        <v>15</v>
      </c>
      <c r="W208" s="64">
        <f t="shared" ref="W208:W211" si="316">FIND("target:",T208)+7</f>
        <v>24</v>
      </c>
      <c r="X208" s="64">
        <f t="shared" ref="X208:X211" si="317">FIND(",",T208,V208+1)</f>
        <v>36</v>
      </c>
      <c r="Y208" s="64" t="str">
        <f>IFERROR(VLOOKUP(MID(T208,W208,X208-W208),[5]skilldef!$C:$D,2,FALSE),"-") &amp; " / " &amp; IFERROR(VLOOKUP(MID(T208,U208,V208-U208),[5]skilldef!$A:$B,2,FALSE),"-")</f>
        <v>- / ハングアップ</v>
      </c>
      <c r="Z208" s="50"/>
      <c r="AA208" s="52"/>
      <c r="AB208" s="50"/>
    </row>
    <row r="209" spans="1:28" ht="40" customHeight="1" x14ac:dyDescent="0.15">
      <c r="A209" s="134">
        <v>47003703</v>
      </c>
      <c r="B209" s="47" t="s">
        <v>541</v>
      </c>
      <c r="C209" s="50">
        <v>3</v>
      </c>
      <c r="D209" s="50" t="s">
        <v>126</v>
      </c>
      <c r="E209" s="51" t="s">
        <v>325</v>
      </c>
      <c r="F209" s="51" t="s">
        <v>368</v>
      </c>
      <c r="G209" s="130" t="str">
        <f t="shared" si="303"/>
        <v>[effect:enemy_message, val1:1.0, val2:2.0]</v>
      </c>
      <c r="H209" s="64">
        <f t="shared" si="304"/>
        <v>9</v>
      </c>
      <c r="I209" s="64">
        <f t="shared" si="305"/>
        <v>22</v>
      </c>
      <c r="J209" s="64" t="e">
        <f t="shared" si="306"/>
        <v>#VALUE!</v>
      </c>
      <c r="K209" s="64">
        <f t="shared" si="307"/>
        <v>32</v>
      </c>
      <c r="L209" s="64" t="str">
        <f>IFERROR(VLOOKUP(MID(G209,J209,K209-J209),[5]skilldef!$C:$D,2,FALSE),"-") &amp; " / " &amp; IFERROR(VLOOKUP(MID(G209,H209,I209-H209),[5]skilldef!$A:$B,2,FALSE),"-")</f>
        <v>- / -</v>
      </c>
      <c r="M209" s="64" t="str">
        <f t="shared" si="308"/>
        <v>[effect:break_attack_fix, target:unit_one, val:700, lowest_val:1, count:-1, color:green, block_color:block_heart, block01:block_heart, block02:crack_bomb],[effect:fix_speed, target:myself, turn:2]</v>
      </c>
      <c r="N209" s="48" t="str">
        <f>IFERROR(LEFT(M209,FIND("],",M209)+S224),M209)</f>
        <v>[effect:break_attack_fix, target:unit_one, val:700, lowest_val:1, count:-1, color:green, block_color:block_heart, block01:block_heart, block02:crack_bomb],[effect:fix_speed, target:myself, turn:2]</v>
      </c>
      <c r="O209" s="64">
        <f t="shared" si="309"/>
        <v>9</v>
      </c>
      <c r="P209" s="64">
        <f t="shared" si="310"/>
        <v>25</v>
      </c>
      <c r="Q209" s="64">
        <f t="shared" si="311"/>
        <v>34</v>
      </c>
      <c r="R209" s="64">
        <f t="shared" si="312"/>
        <v>42</v>
      </c>
      <c r="S209" s="64" t="str">
        <f>IFERROR(VLOOKUP(MID(N209,Q209,R209-Q209),[5]skilldef!$C:$D,2,FALSE),"-") &amp; " / " &amp; IFERROR(VLOOKUP(MID(N209,O209,P209-O209),[5]skilldef!$A:$B,2,FALSE),"-")</f>
        <v>味方単体に / -</v>
      </c>
      <c r="T209" s="48" t="str">
        <f t="shared" si="313"/>
        <v>[effect:fix_speed, target:myself, turn:2]</v>
      </c>
      <c r="U209" s="64">
        <f t="shared" si="314"/>
        <v>9</v>
      </c>
      <c r="V209" s="64">
        <f t="shared" si="315"/>
        <v>18</v>
      </c>
      <c r="W209" s="64">
        <f t="shared" si="316"/>
        <v>27</v>
      </c>
      <c r="X209" s="64">
        <f t="shared" si="317"/>
        <v>33</v>
      </c>
      <c r="Y209" s="64" t="str">
        <f>IFERROR(VLOOKUP(MID(T209,W209,X209-W209),[5]skilldef!$C:$D,2,FALSE),"-") &amp; " / " &amp; IFERROR(VLOOKUP(MID(T209,U209,V209-U209),[5]skilldef!$A:$B,2,FALSE),"-")</f>
        <v>自分自身に / 行動値設定</v>
      </c>
      <c r="Z209" s="50"/>
      <c r="AA209" s="52"/>
      <c r="AB209" s="50"/>
    </row>
    <row r="210" spans="1:28" ht="40" customHeight="1" x14ac:dyDescent="0.15">
      <c r="A210" s="134">
        <v>47003704</v>
      </c>
      <c r="B210" s="47" t="s">
        <v>366</v>
      </c>
      <c r="C210" s="50">
        <v>3</v>
      </c>
      <c r="D210" s="50" t="s">
        <v>126</v>
      </c>
      <c r="E210" s="51" t="s">
        <v>326</v>
      </c>
      <c r="F210" s="51" t="s">
        <v>373</v>
      </c>
      <c r="G210" s="130" t="str">
        <f t="shared" ref="G210" si="318">IFERROR(LEFT(B210,FIND("],",B210)),B210)</f>
        <v>[effect:rush, count:2, val:0.5]</v>
      </c>
      <c r="H210" s="64">
        <f t="shared" ref="H210" si="319">FIND("effect:",G210)+7</f>
        <v>9</v>
      </c>
      <c r="I210" s="64">
        <f t="shared" ref="I210" si="320">IFERROR(FIND(",",G210),LEN(G210))</f>
        <v>13</v>
      </c>
      <c r="J210" s="64" t="e">
        <f t="shared" ref="J210" si="321">FIND("target:",G210)+7</f>
        <v>#VALUE!</v>
      </c>
      <c r="K210" s="64">
        <f t="shared" ref="K210" si="322">FIND(",",G210,I210+1)</f>
        <v>22</v>
      </c>
      <c r="L210" s="64" t="str">
        <f>IFERROR(VLOOKUP(MID(G210,J210,K210-J210),[5]skilldef!$C:$D,2,FALSE),"-") &amp; " / " &amp; IFERROR(VLOOKUP(MID(G210,H210,I210-H210),[5]skilldef!$A:$B,2,FALSE),"-")</f>
        <v>- / 連続攻撃</v>
      </c>
      <c r="M210" s="64" t="str">
        <f t="shared" ref="M210" si="323">IFERROR(RIGHT(B210,LEN(B210)-FIND("],",B210)-1),"none")</f>
        <v>none</v>
      </c>
      <c r="N210" s="48" t="str">
        <f>IFERROR(LEFT(M210,FIND("],",M210)+S225),M210)</f>
        <v>none</v>
      </c>
      <c r="O210" s="64" t="e">
        <f t="shared" ref="O210" si="324">FIND("effect:",N210)+7</f>
        <v>#VALUE!</v>
      </c>
      <c r="P210" s="64">
        <f t="shared" ref="P210" si="325">IFERROR(FIND(",",N210),LEN(N210))</f>
        <v>4</v>
      </c>
      <c r="Q210" s="64" t="e">
        <f t="shared" ref="Q210" si="326">FIND("target:",N210)+7</f>
        <v>#VALUE!</v>
      </c>
      <c r="R210" s="64" t="e">
        <f t="shared" ref="R210" si="327">FIND(",",N210,P210+1)</f>
        <v>#VALUE!</v>
      </c>
      <c r="S210" s="64" t="str">
        <f>IFERROR(VLOOKUP(MID(N210,Q210,R210-Q210),[5]skilldef!$C:$D,2,FALSE),"-") &amp; " / " &amp; IFERROR(VLOOKUP(MID(N210,O210,P210-O210),[5]skilldef!$A:$B,2,FALSE),"-")</f>
        <v>- / -</v>
      </c>
      <c r="T210" s="48" t="str">
        <f t="shared" ref="T210" si="328">IFERROR(RIGHT(M210,LEN(M210)-FIND("],",M210)-1),"none")</f>
        <v>none</v>
      </c>
      <c r="U210" s="64" t="e">
        <f t="shared" ref="U210" si="329">FIND("effect:",T210)+7</f>
        <v>#VALUE!</v>
      </c>
      <c r="V210" s="64">
        <f t="shared" ref="V210" si="330">IFERROR(FIND(",",T210),LEN(T210))</f>
        <v>4</v>
      </c>
      <c r="W210" s="64" t="e">
        <f t="shared" ref="W210" si="331">FIND("target:",T210)+7</f>
        <v>#VALUE!</v>
      </c>
      <c r="X210" s="64" t="e">
        <f t="shared" ref="X210" si="332">FIND(",",T210,V210+1)</f>
        <v>#VALUE!</v>
      </c>
      <c r="Y210" s="64" t="str">
        <f>IFERROR(VLOOKUP(MID(T210,W210,X210-W210),[5]skilldef!$C:$D,2,FALSE),"-") &amp; " / " &amp; IFERROR(VLOOKUP(MID(T210,U210,V210-U210),[5]skilldef!$A:$B,2,FALSE),"-")</f>
        <v>- / -</v>
      </c>
      <c r="Z210" s="50"/>
      <c r="AA210" s="52"/>
      <c r="AB210" s="50"/>
    </row>
    <row r="211" spans="1:28" ht="40" customHeight="1" x14ac:dyDescent="0.15">
      <c r="A211" s="134">
        <v>47003705</v>
      </c>
      <c r="B211" s="47" t="s">
        <v>542</v>
      </c>
      <c r="C211" s="50">
        <v>3</v>
      </c>
      <c r="D211" s="50" t="s">
        <v>126</v>
      </c>
      <c r="E211" s="51" t="s">
        <v>327</v>
      </c>
      <c r="F211" s="51" t="s">
        <v>328</v>
      </c>
      <c r="G211" s="130" t="str">
        <f t="shared" si="303"/>
        <v>[effect:enemy_message, val1:1.3, val2:2.0]</v>
      </c>
      <c r="H211" s="64">
        <f t="shared" si="304"/>
        <v>9</v>
      </c>
      <c r="I211" s="64">
        <f t="shared" si="305"/>
        <v>22</v>
      </c>
      <c r="J211" s="64" t="e">
        <f t="shared" si="306"/>
        <v>#VALUE!</v>
      </c>
      <c r="K211" s="64">
        <f t="shared" si="307"/>
        <v>32</v>
      </c>
      <c r="L211" s="64" t="str">
        <f>IFERROR(VLOOKUP(MID(G211,J211,K211-J211),[5]skilldef!$C:$D,2,FALSE),"-") &amp; " / " &amp; IFERROR(VLOOKUP(MID(G211,H211,I211-H211),[5]skilldef!$A:$B,2,FALSE),"-")</f>
        <v>- / -</v>
      </c>
      <c r="M211" s="64" t="str">
        <f t="shared" si="308"/>
        <v>[effect:suicide, target:myself, val:1, dead_type:escape]</v>
      </c>
      <c r="N211" s="48" t="str">
        <f>IFERROR(LEFT(M211,FIND("],",M211)+#REF!),M211)</f>
        <v>[effect:suicide, target:myself, val:1, dead_type:escape]</v>
      </c>
      <c r="O211" s="64">
        <f t="shared" si="309"/>
        <v>9</v>
      </c>
      <c r="P211" s="64">
        <f t="shared" si="310"/>
        <v>16</v>
      </c>
      <c r="Q211" s="64">
        <f t="shared" si="311"/>
        <v>25</v>
      </c>
      <c r="R211" s="64">
        <f t="shared" si="312"/>
        <v>31</v>
      </c>
      <c r="S211" s="64" t="str">
        <f>IFERROR(VLOOKUP(MID(N211,Q211,R211-Q211),[5]skilldef!$C:$D,2,FALSE),"-") &amp; " / " &amp; IFERROR(VLOOKUP(MID(N211,O211,P211-O211),[5]skilldef!$A:$B,2,FALSE),"-")</f>
        <v>自分自身に / -</v>
      </c>
      <c r="T211" s="48" t="str">
        <f t="shared" si="313"/>
        <v>none</v>
      </c>
      <c r="U211" s="64" t="e">
        <f t="shared" si="314"/>
        <v>#VALUE!</v>
      </c>
      <c r="V211" s="64">
        <f t="shared" si="315"/>
        <v>4</v>
      </c>
      <c r="W211" s="64" t="e">
        <f t="shared" si="316"/>
        <v>#VALUE!</v>
      </c>
      <c r="X211" s="64" t="e">
        <f t="shared" si="317"/>
        <v>#VALUE!</v>
      </c>
      <c r="Y211" s="64" t="str">
        <f>IFERROR(VLOOKUP(MID(T211,W211,X211-W211),[5]skilldef!$C:$D,2,FALSE),"-") &amp; " / " &amp; IFERROR(VLOOKUP(MID(T211,U211,V211-U211),[5]skilldef!$A:$B,2,FALSE),"-")</f>
        <v>- / -</v>
      </c>
      <c r="Z211" s="50"/>
      <c r="AA211" s="52"/>
      <c r="AB211" s="50"/>
    </row>
    <row r="212" spans="1:28" ht="40" customHeight="1" x14ac:dyDescent="0.15">
      <c r="A212" s="134">
        <v>47003706</v>
      </c>
      <c r="B212" s="47" t="s">
        <v>383</v>
      </c>
      <c r="C212" s="50">
        <v>3</v>
      </c>
      <c r="D212" s="50" t="s">
        <v>126</v>
      </c>
      <c r="E212" s="51" t="s">
        <v>283</v>
      </c>
      <c r="F212" s="51" t="s">
        <v>356</v>
      </c>
      <c r="G212" s="130" t="str">
        <f t="shared" ref="G212" si="333">IFERROR(LEFT(B212,FIND("],",B212)),B212)</f>
        <v>[effect:enemy_message, val1:2.0, val2:1.8]</v>
      </c>
      <c r="H212" s="64">
        <f t="shared" ref="H212" si="334">FIND("effect:",G212)+7</f>
        <v>9</v>
      </c>
      <c r="I212" s="64">
        <f t="shared" ref="I212" si="335">IFERROR(FIND(",",G212),LEN(G212))</f>
        <v>22</v>
      </c>
      <c r="J212" s="64" t="e">
        <f t="shared" ref="J212" si="336">FIND("target:",G212)+7</f>
        <v>#VALUE!</v>
      </c>
      <c r="K212" s="64">
        <f t="shared" ref="K212" si="337">FIND(",",G212,I212+1)</f>
        <v>32</v>
      </c>
      <c r="L212" s="64" t="str">
        <f>IFERROR(VLOOKUP(MID(G212,J212,K212-J212),[5]skilldef!$C:$D,2,FALSE),"-") &amp; " / " &amp; IFERROR(VLOOKUP(MID(G212,H212,I212-H212),[5]skilldef!$A:$B,2,FALSE),"-")</f>
        <v>- / -</v>
      </c>
      <c r="M212" s="64" t="str">
        <f t="shared" ref="M212" si="338">IFERROR(RIGHT(B212,LEN(B212)-FIND("],",B212)-1),"none")</f>
        <v>[effect:enhance_fever, val:1000, animation:fevergauge_up04],[effect:fix_speed, target:myself, turn:1]</v>
      </c>
      <c r="N212" s="48" t="str">
        <f>IFERROR(LEFT(M212,FIND("],",M212)+#REF!),M212)</f>
        <v>[effect:enhance_fever, val:1000, animation:fevergauge_up04],[effect:fix_speed, target:myself, turn:1]</v>
      </c>
      <c r="O212" s="64">
        <f t="shared" ref="O212" si="339">FIND("effect:",N212)+7</f>
        <v>9</v>
      </c>
      <c r="P212" s="64">
        <f t="shared" ref="P212" si="340">IFERROR(FIND(",",N212),LEN(N212))</f>
        <v>22</v>
      </c>
      <c r="Q212" s="64">
        <f t="shared" ref="Q212" si="341">FIND("target:",N212)+7</f>
        <v>87</v>
      </c>
      <c r="R212" s="64">
        <f t="shared" ref="R212" si="342">FIND(",",N212,P212+1)</f>
        <v>32</v>
      </c>
      <c r="S212" s="64" t="str">
        <f>IFERROR(VLOOKUP(MID(N212,Q212,R212-Q212),[5]skilldef!$C:$D,2,FALSE),"-") &amp; " / " &amp; IFERROR(VLOOKUP(MID(N212,O212,P212-O212),[5]skilldef!$A:$B,2,FALSE),"-")</f>
        <v>- / -</v>
      </c>
      <c r="T212" s="48" t="str">
        <f t="shared" ref="T212" si="343">IFERROR(RIGHT(M212,LEN(M212)-FIND("],",M212)-1),"none")</f>
        <v>[effect:fix_speed, target:myself, turn:1]</v>
      </c>
      <c r="U212" s="64">
        <f t="shared" ref="U212" si="344">FIND("effect:",T212)+7</f>
        <v>9</v>
      </c>
      <c r="V212" s="64">
        <f t="shared" ref="V212" si="345">IFERROR(FIND(",",T212),LEN(T212))</f>
        <v>18</v>
      </c>
      <c r="W212" s="64">
        <f t="shared" ref="W212" si="346">FIND("target:",T212)+7</f>
        <v>27</v>
      </c>
      <c r="X212" s="64">
        <f t="shared" ref="X212" si="347">FIND(",",T212,V212+1)</f>
        <v>33</v>
      </c>
      <c r="Y212" s="64" t="str">
        <f>IFERROR(VLOOKUP(MID(T212,W212,X212-W212),[5]skilldef!$C:$D,2,FALSE),"-") &amp; " / " &amp; IFERROR(VLOOKUP(MID(T212,U212,V212-U212),[5]skilldef!$A:$B,2,FALSE),"-")</f>
        <v>自分自身に / 行動値設定</v>
      </c>
      <c r="Z212" s="50"/>
      <c r="AA212" s="52"/>
      <c r="AB212" s="50"/>
    </row>
    <row r="213" spans="1:28" ht="40" customHeight="1" x14ac:dyDescent="0.15">
      <c r="A213" s="134">
        <v>47003707</v>
      </c>
      <c r="B213" s="47" t="s">
        <v>384</v>
      </c>
      <c r="C213" s="50">
        <v>3</v>
      </c>
      <c r="D213" s="50" t="s">
        <v>126</v>
      </c>
      <c r="E213" s="51" t="s">
        <v>329</v>
      </c>
      <c r="F213" s="51" t="s">
        <v>356</v>
      </c>
      <c r="G213" s="130" t="str">
        <f t="shared" ref="G213" si="348">IFERROR(LEFT(B213,FIND("],",B213)),B213)</f>
        <v>[effect:enemy_message, val1:2.0, val2:1.8]</v>
      </c>
      <c r="H213" s="64">
        <f t="shared" ref="H213" si="349">FIND("effect:",G213)+7</f>
        <v>9</v>
      </c>
      <c r="I213" s="64">
        <f t="shared" ref="I213" si="350">IFERROR(FIND(",",G213),LEN(G213))</f>
        <v>22</v>
      </c>
      <c r="J213" s="64" t="e">
        <f t="shared" ref="J213" si="351">FIND("target:",G213)+7</f>
        <v>#VALUE!</v>
      </c>
      <c r="K213" s="64">
        <f t="shared" ref="K213" si="352">FIND(",",G213,I213+1)</f>
        <v>32</v>
      </c>
      <c r="L213" s="64" t="str">
        <f>IFERROR(VLOOKUP(MID(G213,J213,K213-J213),[5]skilldef!$C:$D,2,FALSE),"-") &amp; " / " &amp; IFERROR(VLOOKUP(MID(G213,H213,I213-H213),[5]skilldef!$A:$B,2,FALSE),"-")</f>
        <v>- / -</v>
      </c>
      <c r="M213" s="64" t="str">
        <f t="shared" ref="M213" si="353">IFERROR(RIGHT(B213,LEN(B213)-FIND("],",B213)-1),"none")</f>
        <v>[effect:enhance_fever, val:1000, animation:fevergauge_up04],[effect:fix_speed, target:myself, turn:1]</v>
      </c>
      <c r="N213" s="48" t="str">
        <f>IFERROR(LEFT(M213,FIND("],",M213)+#REF!),M213)</f>
        <v>[effect:enhance_fever, val:1000, animation:fevergauge_up04],[effect:fix_speed, target:myself, turn:1]</v>
      </c>
      <c r="O213" s="64">
        <f t="shared" ref="O213" si="354">FIND("effect:",N213)+7</f>
        <v>9</v>
      </c>
      <c r="P213" s="64">
        <f t="shared" ref="P213" si="355">IFERROR(FIND(",",N213),LEN(N213))</f>
        <v>22</v>
      </c>
      <c r="Q213" s="64">
        <f t="shared" ref="Q213" si="356">FIND("target:",N213)+7</f>
        <v>87</v>
      </c>
      <c r="R213" s="64">
        <f t="shared" ref="R213" si="357">FIND(",",N213,P213+1)</f>
        <v>32</v>
      </c>
      <c r="S213" s="64" t="str">
        <f>IFERROR(VLOOKUP(MID(N213,Q213,R213-Q213),[5]skilldef!$C:$D,2,FALSE),"-") &amp; " / " &amp; IFERROR(VLOOKUP(MID(N213,O213,P213-O213),[5]skilldef!$A:$B,2,FALSE),"-")</f>
        <v>- / -</v>
      </c>
      <c r="T213" s="48" t="str">
        <f t="shared" ref="T213" si="358">IFERROR(RIGHT(M213,LEN(M213)-FIND("],",M213)-1),"none")</f>
        <v>[effect:fix_speed, target:myself, turn:1]</v>
      </c>
      <c r="U213" s="64">
        <f t="shared" ref="U213" si="359">FIND("effect:",T213)+7</f>
        <v>9</v>
      </c>
      <c r="V213" s="64">
        <f t="shared" ref="V213" si="360">IFERROR(FIND(",",T213),LEN(T213))</f>
        <v>18</v>
      </c>
      <c r="W213" s="64">
        <f t="shared" ref="W213" si="361">FIND("target:",T213)+7</f>
        <v>27</v>
      </c>
      <c r="X213" s="64">
        <f t="shared" ref="X213" si="362">FIND(",",T213,V213+1)</f>
        <v>33</v>
      </c>
      <c r="Y213" s="64" t="str">
        <f>IFERROR(VLOOKUP(MID(T213,W213,X213-W213),[5]skilldef!$C:$D,2,FALSE),"-") &amp; " / " &amp; IFERROR(VLOOKUP(MID(T213,U213,V213-U213),[5]skilldef!$A:$B,2,FALSE),"-")</f>
        <v>自分自身に / 行動値設定</v>
      </c>
      <c r="Z213" s="50"/>
      <c r="AA213" s="52"/>
      <c r="AB213" s="50"/>
    </row>
    <row r="214" spans="1:28" ht="40" customHeight="1" x14ac:dyDescent="0.15">
      <c r="A214" s="133">
        <v>47003721</v>
      </c>
      <c r="B214" s="135" t="s">
        <v>385</v>
      </c>
      <c r="C214" s="128">
        <v>3</v>
      </c>
      <c r="D214" s="128" t="s">
        <v>126</v>
      </c>
      <c r="E214" s="51" t="s">
        <v>367</v>
      </c>
      <c r="F214" s="51" t="s">
        <v>363</v>
      </c>
      <c r="G214" s="130" t="str">
        <f t="shared" ref="G214" si="363">IFERROR(LEFT(B214,FIND("],",B214)),B214)</f>
        <v>[effect:enemy_message, val1:2.0, val2:1.8]</v>
      </c>
      <c r="H214" s="64">
        <f t="shared" ref="H214" si="364">FIND("effect:",G214)+7</f>
        <v>9</v>
      </c>
      <c r="I214" s="64">
        <f t="shared" ref="I214" si="365">IFERROR(FIND(",",G214),LEN(G214))</f>
        <v>22</v>
      </c>
      <c r="J214" s="64" t="e">
        <f t="shared" ref="J214" si="366">FIND("target:",G214)+7</f>
        <v>#VALUE!</v>
      </c>
      <c r="K214" s="64">
        <f t="shared" ref="K214" si="367">FIND(",",G214,I214+1)</f>
        <v>32</v>
      </c>
      <c r="L214" s="64" t="str">
        <f>IFERROR(VLOOKUP(MID(G214,J214,K214-J214),[5]skilldef!$C:$D,2,FALSE),"-") &amp; " / " &amp; IFERROR(VLOOKUP(MID(G214,H214,I214-H214),[5]skilldef!$A:$B,2,FALSE),"-")</f>
        <v>- / -</v>
      </c>
      <c r="M214" s="64" t="str">
        <f t="shared" ref="M214" si="368">IFERROR(RIGHT(B214,LEN(B214)-FIND("],",B214)-1),"none")</f>
        <v>[effect:fix_speed, target:myself, turn:1]</v>
      </c>
      <c r="N214" s="48" t="str">
        <f>IFERROR(LEFT(M214,FIND("],",M214)+S231),M214)</f>
        <v>[effect:fix_speed, target:myself, turn:1]</v>
      </c>
      <c r="O214" s="64">
        <f t="shared" ref="O214" si="369">FIND("effect:",N214)+7</f>
        <v>9</v>
      </c>
      <c r="P214" s="64">
        <f t="shared" ref="P214" si="370">IFERROR(FIND(",",N214),LEN(N214))</f>
        <v>18</v>
      </c>
      <c r="Q214" s="64">
        <f t="shared" ref="Q214" si="371">FIND("target:",N214)+7</f>
        <v>27</v>
      </c>
      <c r="R214" s="64">
        <f t="shared" ref="R214" si="372">FIND(",",N214,P214+1)</f>
        <v>33</v>
      </c>
      <c r="S214" s="64" t="str">
        <f>IFERROR(VLOOKUP(MID(N214,Q214,R214-Q214),[5]skilldef!$C:$D,2,FALSE),"-") &amp; " / " &amp; IFERROR(VLOOKUP(MID(N214,O214,P214-O214),[5]skilldef!$A:$B,2,FALSE),"-")</f>
        <v>自分自身に / 行動値設定</v>
      </c>
      <c r="T214" s="48" t="str">
        <f t="shared" ref="T214" si="373">IFERROR(RIGHT(M214,LEN(M214)-FIND("],",M214)-1),"none")</f>
        <v>none</v>
      </c>
      <c r="U214" s="64" t="e">
        <f t="shared" ref="U214" si="374">FIND("effect:",T214)+7</f>
        <v>#VALUE!</v>
      </c>
      <c r="V214" s="64">
        <f t="shared" ref="V214" si="375">IFERROR(FIND(",",T214),LEN(T214))</f>
        <v>4</v>
      </c>
      <c r="W214" s="64" t="e">
        <f t="shared" ref="W214" si="376">FIND("target:",T214)+7</f>
        <v>#VALUE!</v>
      </c>
      <c r="X214" s="64" t="e">
        <f t="shared" ref="X214" si="377">FIND(",",T214,V214+1)</f>
        <v>#VALUE!</v>
      </c>
      <c r="Y214" s="64" t="str">
        <f>IFERROR(VLOOKUP(MID(T214,W214,X214-W214),[5]skilldef!$C:$D,2,FALSE),"-") &amp; " / " &amp; IFERROR(VLOOKUP(MID(T214,U214,V214-U214),[5]skilldef!$A:$B,2,FALSE),"-")</f>
        <v>- / -</v>
      </c>
      <c r="Z214" s="50"/>
      <c r="AA214" s="52"/>
      <c r="AB214" s="50"/>
    </row>
    <row r="215" spans="1:28" ht="40" customHeight="1" x14ac:dyDescent="0.15">
      <c r="A215" s="133">
        <v>47003722</v>
      </c>
      <c r="B215" s="47" t="s">
        <v>488</v>
      </c>
      <c r="C215" s="128">
        <v>3</v>
      </c>
      <c r="D215" s="128" t="s">
        <v>126</v>
      </c>
      <c r="E215" s="51" t="s">
        <v>364</v>
      </c>
      <c r="F215" s="51" t="s">
        <v>330</v>
      </c>
      <c r="G215" s="130" t="str">
        <f t="shared" ref="G215:G219" si="378">IFERROR(LEFT(B215,FIND("],",B215)),B215)</f>
        <v>[effect:enemy_message, val1:1.3, val2:1.8]</v>
      </c>
      <c r="H215" s="64">
        <f t="shared" ref="H215:H219" si="379">FIND("effect:",G215)+7</f>
        <v>9</v>
      </c>
      <c r="I215" s="64">
        <f t="shared" ref="I215:I219" si="380">IFERROR(FIND(",",G215),LEN(G215))</f>
        <v>22</v>
      </c>
      <c r="J215" s="64" t="e">
        <f t="shared" ref="J215:J219" si="381">FIND("target:",G215)+7</f>
        <v>#VALUE!</v>
      </c>
      <c r="K215" s="64">
        <f t="shared" ref="K215:K219" si="382">FIND(",",G215,I215+1)</f>
        <v>32</v>
      </c>
      <c r="L215" s="64" t="str">
        <f>IFERROR(VLOOKUP(MID(G215,J215,K215-J215),[5]skilldef!$C:$D,2,FALSE),"-") &amp; " / " &amp; IFERROR(VLOOKUP(MID(G215,H215,I215-H215),[5]skilldef!$A:$B,2,FALSE),"-")</f>
        <v>- / -</v>
      </c>
      <c r="M215" s="64" t="str">
        <f t="shared" ref="M215:M219" si="383">IFERROR(RIGHT(B215,LEN(B215)-FIND("],",B215)-1),"none")</f>
        <v>[effect:break_attack_fix, target:unit_one, val:600, lowest_val:1, count:-1, color:red, block_color:block_heart, block01:block_heart, block02:crack_bomb],[effect:fix_speed, target:myself, turn:2]</v>
      </c>
      <c r="N215" s="48" t="str">
        <f>IFERROR(LEFT(M215,FIND("],",M215)+S230),M215)</f>
        <v>[effect:break_attack_fix, target:unit_one, val:600, lowest_val:1, count:-1, color:red, block_color:block_heart, block01:block_heart, block02:crack_bomb],[effect:fix_speed, target:myself, turn:2]</v>
      </c>
      <c r="O215" s="64">
        <f t="shared" ref="O215:O219" si="384">FIND("effect:",N215)+7</f>
        <v>9</v>
      </c>
      <c r="P215" s="64">
        <f t="shared" ref="P215:P219" si="385">IFERROR(FIND(",",N215),LEN(N215))</f>
        <v>25</v>
      </c>
      <c r="Q215" s="64">
        <f t="shared" ref="Q215:Q219" si="386">FIND("target:",N215)+7</f>
        <v>34</v>
      </c>
      <c r="R215" s="64">
        <f t="shared" ref="R215:R219" si="387">FIND(",",N215,P215+1)</f>
        <v>42</v>
      </c>
      <c r="S215" s="64" t="str">
        <f>IFERROR(VLOOKUP(MID(N215,Q215,R215-Q215),[5]skilldef!$C:$D,2,FALSE),"-") &amp; " / " &amp; IFERROR(VLOOKUP(MID(N215,O215,P215-O215),[5]skilldef!$A:$B,2,FALSE),"-")</f>
        <v>味方単体に / -</v>
      </c>
      <c r="T215" s="48" t="str">
        <f t="shared" ref="T215:T219" si="388">IFERROR(RIGHT(M215,LEN(M215)-FIND("],",M215)-1),"none")</f>
        <v>[effect:fix_speed, target:myself, turn:2]</v>
      </c>
      <c r="U215" s="64">
        <f t="shared" ref="U215:U219" si="389">FIND("effect:",T215)+7</f>
        <v>9</v>
      </c>
      <c r="V215" s="64">
        <f t="shared" ref="V215:V219" si="390">IFERROR(FIND(",",T215),LEN(T215))</f>
        <v>18</v>
      </c>
      <c r="W215" s="64">
        <f t="shared" ref="W215:W219" si="391">FIND("target:",T215)+7</f>
        <v>27</v>
      </c>
      <c r="X215" s="64">
        <f t="shared" ref="X215:X219" si="392">FIND(",",T215,V215+1)</f>
        <v>33</v>
      </c>
      <c r="Y215" s="64" t="str">
        <f>IFERROR(VLOOKUP(MID(T215,W215,X215-W215),[5]skilldef!$C:$D,2,FALSE),"-") &amp; " / " &amp; IFERROR(VLOOKUP(MID(T215,U215,V215-U215),[5]skilldef!$A:$B,2,FALSE),"-")</f>
        <v>自分自身に / 行動値設定</v>
      </c>
      <c r="Z215" s="50"/>
      <c r="AA215" s="52"/>
      <c r="AB215" s="50"/>
    </row>
    <row r="216" spans="1:28" ht="40" customHeight="1" x14ac:dyDescent="0.15">
      <c r="A216" s="133">
        <v>47003723</v>
      </c>
      <c r="B216" s="47" t="s">
        <v>584</v>
      </c>
      <c r="C216" s="128">
        <v>3</v>
      </c>
      <c r="D216" s="128" t="s">
        <v>126</v>
      </c>
      <c r="E216" s="51" t="s">
        <v>331</v>
      </c>
      <c r="F216" s="51" t="s">
        <v>609</v>
      </c>
      <c r="G216" s="130" t="str">
        <f t="shared" si="378"/>
        <v>[effect:enemy_message, val1:1.0, val2:3.3]</v>
      </c>
      <c r="H216" s="64">
        <f t="shared" si="379"/>
        <v>9</v>
      </c>
      <c r="I216" s="64">
        <f t="shared" si="380"/>
        <v>22</v>
      </c>
      <c r="J216" s="64" t="e">
        <f t="shared" si="381"/>
        <v>#VALUE!</v>
      </c>
      <c r="K216" s="64">
        <f t="shared" si="382"/>
        <v>32</v>
      </c>
      <c r="L216" s="64" t="str">
        <f>IFERROR(VLOOKUP(MID(G216,J216,K216-J216),[5]skilldef!$C:$D,2,FALSE),"-") &amp; " / " &amp; IFERROR(VLOOKUP(MID(G216,H216,I216-H216),[5]skilldef!$A:$B,2,FALSE),"-")</f>
        <v>- / -</v>
      </c>
      <c r="M216" s="64" t="str">
        <f t="shared" si="383"/>
        <v>[effect:damage_anti_tribe, target:unit_all, tribe:machine, val1:0.65, val2:0.35],[effect:hungup, target:unit_machine, turn:4, rate:1, animation:hungup02]</v>
      </c>
      <c r="N216" s="48" t="str">
        <f>IFERROR(LEFT(M216,FIND("],",M216)+S231),M216)</f>
        <v>[effect:damage_anti_tribe, target:unit_all, tribe:machine, val1:0.65, val2:0.35],[effect:hungup, target:unit_machine, turn:4, rate:1, animation:hungup02]</v>
      </c>
      <c r="O216" s="64">
        <f t="shared" si="384"/>
        <v>9</v>
      </c>
      <c r="P216" s="64">
        <f t="shared" si="385"/>
        <v>26</v>
      </c>
      <c r="Q216" s="64">
        <f t="shared" si="386"/>
        <v>35</v>
      </c>
      <c r="R216" s="64">
        <f t="shared" si="387"/>
        <v>43</v>
      </c>
      <c r="S216" s="64" t="str">
        <f>IFERROR(VLOOKUP(MID(N216,Q216,R216-Q216),[5]skilldef!$C:$D,2,FALSE),"-") &amp; " / " &amp; IFERROR(VLOOKUP(MID(N216,O216,P216-O216),[5]skilldef!$A:$B,2,FALSE),"-")</f>
        <v>味方全体に / 種族キラー</v>
      </c>
      <c r="T216" s="48" t="str">
        <f t="shared" si="388"/>
        <v>[effect:hungup, target:unit_machine, turn:4, rate:1, animation:hungup02]</v>
      </c>
      <c r="U216" s="64">
        <f t="shared" si="389"/>
        <v>9</v>
      </c>
      <c r="V216" s="64">
        <f t="shared" si="390"/>
        <v>15</v>
      </c>
      <c r="W216" s="64">
        <f t="shared" si="391"/>
        <v>24</v>
      </c>
      <c r="X216" s="64">
        <f t="shared" si="392"/>
        <v>36</v>
      </c>
      <c r="Y216" s="64" t="str">
        <f>IFERROR(VLOOKUP(MID(T216,W216,X216-W216),[5]skilldef!$C:$D,2,FALSE),"-") &amp; " / " &amp; IFERROR(VLOOKUP(MID(T216,U216,V216-U216),[5]skilldef!$A:$B,2,FALSE),"-")</f>
        <v>- / ハングアップ</v>
      </c>
      <c r="Z216" s="50"/>
      <c r="AA216" s="52"/>
      <c r="AB216" s="50"/>
    </row>
    <row r="217" spans="1:28" ht="40" customHeight="1" x14ac:dyDescent="0.15">
      <c r="A217" s="133">
        <v>47003724</v>
      </c>
      <c r="B217" s="47" t="s">
        <v>394</v>
      </c>
      <c r="C217" s="128">
        <v>3</v>
      </c>
      <c r="D217" s="128" t="s">
        <v>126</v>
      </c>
      <c r="E217" s="51" t="s">
        <v>332</v>
      </c>
      <c r="F217" s="51" t="s">
        <v>365</v>
      </c>
      <c r="G217" s="130" t="str">
        <f t="shared" ref="G217" si="393">IFERROR(LEFT(B217,FIND("],",B217)),B217)</f>
        <v>[effect:rush, count:2, val:0.35]</v>
      </c>
      <c r="H217" s="64">
        <f t="shared" ref="H217" si="394">FIND("effect:",G217)+7</f>
        <v>9</v>
      </c>
      <c r="I217" s="64">
        <f t="shared" ref="I217" si="395">IFERROR(FIND(",",G217),LEN(G217))</f>
        <v>13</v>
      </c>
      <c r="J217" s="64" t="e">
        <f t="shared" ref="J217" si="396">FIND("target:",G217)+7</f>
        <v>#VALUE!</v>
      </c>
      <c r="K217" s="64">
        <f t="shared" ref="K217" si="397">FIND(",",G217,I217+1)</f>
        <v>22</v>
      </c>
      <c r="L217" s="64" t="str">
        <f>IFERROR(VLOOKUP(MID(G217,J217,K217-J217),[5]skilldef!$C:$D,2,FALSE),"-") &amp; " / " &amp; IFERROR(VLOOKUP(MID(G217,H217,I217-H217),[5]skilldef!$A:$B,2,FALSE),"-")</f>
        <v>- / 連続攻撃</v>
      </c>
      <c r="M217" s="64" t="str">
        <f t="shared" ref="M217" si="398">IFERROR(RIGHT(B217,LEN(B217)-FIND("],",B217)-1),"none")</f>
        <v>none</v>
      </c>
      <c r="N217" s="48" t="str">
        <f>IFERROR(LEFT(M217,FIND("],",M217)+S232),M217)</f>
        <v>none</v>
      </c>
      <c r="O217" s="64" t="e">
        <f t="shared" ref="O217" si="399">FIND("effect:",N217)+7</f>
        <v>#VALUE!</v>
      </c>
      <c r="P217" s="64">
        <f t="shared" ref="P217" si="400">IFERROR(FIND(",",N217),LEN(N217))</f>
        <v>4</v>
      </c>
      <c r="Q217" s="64" t="e">
        <f t="shared" ref="Q217" si="401">FIND("target:",N217)+7</f>
        <v>#VALUE!</v>
      </c>
      <c r="R217" s="64" t="e">
        <f t="shared" ref="R217" si="402">FIND(",",N217,P217+1)</f>
        <v>#VALUE!</v>
      </c>
      <c r="S217" s="64" t="str">
        <f>IFERROR(VLOOKUP(MID(N217,Q217,R217-Q217),[5]skilldef!$C:$D,2,FALSE),"-") &amp; " / " &amp; IFERROR(VLOOKUP(MID(N217,O217,P217-O217),[5]skilldef!$A:$B,2,FALSE),"-")</f>
        <v>- / -</v>
      </c>
      <c r="T217" s="48" t="str">
        <f t="shared" ref="T217" si="403">IFERROR(RIGHT(M217,LEN(M217)-FIND("],",M217)-1),"none")</f>
        <v>none</v>
      </c>
      <c r="U217" s="64" t="e">
        <f t="shared" ref="U217" si="404">FIND("effect:",T217)+7</f>
        <v>#VALUE!</v>
      </c>
      <c r="V217" s="64">
        <f t="shared" ref="V217" si="405">IFERROR(FIND(",",T217),LEN(T217))</f>
        <v>4</v>
      </c>
      <c r="W217" s="64" t="e">
        <f t="shared" ref="W217" si="406">FIND("target:",T217)+7</f>
        <v>#VALUE!</v>
      </c>
      <c r="X217" s="64" t="e">
        <f t="shared" ref="X217" si="407">FIND(",",T217,V217+1)</f>
        <v>#VALUE!</v>
      </c>
      <c r="Y217" s="64" t="str">
        <f>IFERROR(VLOOKUP(MID(T217,W217,X217-W217),[5]skilldef!$C:$D,2,FALSE),"-") &amp; " / " &amp; IFERROR(VLOOKUP(MID(T217,U217,V217-U217),[5]skilldef!$A:$B,2,FALSE),"-")</f>
        <v>- / -</v>
      </c>
      <c r="Z217" s="50"/>
      <c r="AA217" s="52"/>
      <c r="AB217" s="50"/>
    </row>
    <row r="218" spans="1:28" ht="40" customHeight="1" x14ac:dyDescent="0.15">
      <c r="A218" s="133">
        <v>47003725</v>
      </c>
      <c r="B218" s="47" t="s">
        <v>489</v>
      </c>
      <c r="C218" s="128">
        <v>3</v>
      </c>
      <c r="D218" s="128" t="s">
        <v>126</v>
      </c>
      <c r="E218" s="51" t="s">
        <v>333</v>
      </c>
      <c r="F218" s="51" t="s">
        <v>330</v>
      </c>
      <c r="G218" s="130" t="str">
        <f t="shared" ref="G218" si="408">IFERROR(LEFT(B218,FIND("],",B218)),B218)</f>
        <v>[effect:enemy_message, val1:1.5, val2:2.0]</v>
      </c>
      <c r="H218" s="64">
        <f t="shared" ref="H218" si="409">FIND("effect:",G218)+7</f>
        <v>9</v>
      </c>
      <c r="I218" s="64">
        <f t="shared" ref="I218" si="410">IFERROR(FIND(",",G218),LEN(G218))</f>
        <v>22</v>
      </c>
      <c r="J218" s="64" t="e">
        <f t="shared" ref="J218" si="411">FIND("target:",G218)+7</f>
        <v>#VALUE!</v>
      </c>
      <c r="K218" s="64">
        <f t="shared" ref="K218" si="412">FIND(",",G218,I218+1)</f>
        <v>32</v>
      </c>
      <c r="L218" s="64" t="str">
        <f>IFERROR(VLOOKUP(MID(G218,J218,K218-J218),[5]skilldef!$C:$D,2,FALSE),"-") &amp; " / " &amp; IFERROR(VLOOKUP(MID(G218,H218,I218-H218),[5]skilldef!$A:$B,2,FALSE),"-")</f>
        <v>- / -</v>
      </c>
      <c r="M218" s="64" t="str">
        <f t="shared" ref="M218" si="413">IFERROR(RIGHT(B218,LEN(B218)-FIND("],",B218)-1),"none")</f>
        <v>[effect:break_attack_fix, target:unit_one, val:800, lowest_val:1, count:-1, color:red, block_color:block_heart, block01:block_heart, block02:crack_bomb]</v>
      </c>
      <c r="N218" s="48" t="str">
        <f>IFERROR(LEFT(M218,FIND("],",M218)+S232),M218)</f>
        <v>[effect:break_attack_fix, target:unit_one, val:800, lowest_val:1, count:-1, color:red, block_color:block_heart, block01:block_heart, block02:crack_bomb]</v>
      </c>
      <c r="O218" s="64">
        <f t="shared" ref="O218" si="414">FIND("effect:",N218)+7</f>
        <v>9</v>
      </c>
      <c r="P218" s="64">
        <f t="shared" ref="P218" si="415">IFERROR(FIND(",",N218),LEN(N218))</f>
        <v>25</v>
      </c>
      <c r="Q218" s="64">
        <f t="shared" ref="Q218" si="416">FIND("target:",N218)+7</f>
        <v>34</v>
      </c>
      <c r="R218" s="64">
        <f t="shared" ref="R218" si="417">FIND(",",N218,P218+1)</f>
        <v>42</v>
      </c>
      <c r="S218" s="64" t="str">
        <f>IFERROR(VLOOKUP(MID(N218,Q218,R218-Q218),[5]skilldef!$C:$D,2,FALSE),"-") &amp; " / " &amp; IFERROR(VLOOKUP(MID(N218,O218,P218-O218),[5]skilldef!$A:$B,2,FALSE),"-")</f>
        <v>味方単体に / -</v>
      </c>
      <c r="T218" s="48" t="str">
        <f t="shared" ref="T218" si="418">IFERROR(RIGHT(M218,LEN(M218)-FIND("],",M218)-1),"none")</f>
        <v>none</v>
      </c>
      <c r="U218" s="64" t="e">
        <f t="shared" ref="U218" si="419">FIND("effect:",T218)+7</f>
        <v>#VALUE!</v>
      </c>
      <c r="V218" s="64">
        <f t="shared" ref="V218" si="420">IFERROR(FIND(",",T218),LEN(T218))</f>
        <v>4</v>
      </c>
      <c r="W218" s="64" t="e">
        <f t="shared" ref="W218" si="421">FIND("target:",T218)+7</f>
        <v>#VALUE!</v>
      </c>
      <c r="X218" s="64" t="e">
        <f t="shared" ref="X218" si="422">FIND(",",T218,V218+1)</f>
        <v>#VALUE!</v>
      </c>
      <c r="Y218" s="64" t="str">
        <f>IFERROR(VLOOKUP(MID(T218,W218,X218-W218),[5]skilldef!$C:$D,2,FALSE),"-") &amp; " / " &amp; IFERROR(VLOOKUP(MID(T218,U218,V218-U218),[5]skilldef!$A:$B,2,FALSE),"-")</f>
        <v>- / -</v>
      </c>
      <c r="Z218" s="50"/>
      <c r="AA218" s="52"/>
      <c r="AB218" s="50"/>
    </row>
    <row r="219" spans="1:28" ht="40" customHeight="1" x14ac:dyDescent="0.15">
      <c r="A219" s="133">
        <v>47003726</v>
      </c>
      <c r="B219" s="135" t="s">
        <v>490</v>
      </c>
      <c r="C219" s="136">
        <v>3</v>
      </c>
      <c r="D219" s="136" t="s">
        <v>126</v>
      </c>
      <c r="E219" s="139" t="s">
        <v>334</v>
      </c>
      <c r="F219" s="51" t="s">
        <v>356</v>
      </c>
      <c r="G219" s="130" t="str">
        <f t="shared" si="378"/>
        <v>[effect:enemy_message, val1:1.5, val2:1.8]</v>
      </c>
      <c r="H219" s="64">
        <f t="shared" si="379"/>
        <v>9</v>
      </c>
      <c r="I219" s="64">
        <f t="shared" si="380"/>
        <v>22</v>
      </c>
      <c r="J219" s="64" t="e">
        <f t="shared" si="381"/>
        <v>#VALUE!</v>
      </c>
      <c r="K219" s="64">
        <f t="shared" si="382"/>
        <v>32</v>
      </c>
      <c r="L219" s="64" t="str">
        <f>IFERROR(VLOOKUP(MID(G219,J219,K219-J219),[5]skilldef!$C:$D,2,FALSE),"-") &amp; " / " &amp; IFERROR(VLOOKUP(MID(G219,H219,I219-H219),[5]skilldef!$A:$B,2,FALSE),"-")</f>
        <v>- / -</v>
      </c>
      <c r="M219" s="64" t="str">
        <f t="shared" si="383"/>
        <v>[effect:enhance_fever, val:1000, animation:fevergauge_up04],[effect:fix_speed, target:myself, turn:1]</v>
      </c>
      <c r="N219" s="48" t="str">
        <f>IFERROR(LEFT(M219,FIND("],",M219)+S234),M219)</f>
        <v>[effect:enhance_fever, val:1000, animation:fevergauge_up04],[effect:fix_speed, target:myself, turn:1]</v>
      </c>
      <c r="O219" s="64">
        <f t="shared" si="384"/>
        <v>9</v>
      </c>
      <c r="P219" s="64">
        <f t="shared" si="385"/>
        <v>22</v>
      </c>
      <c r="Q219" s="64">
        <f t="shared" si="386"/>
        <v>87</v>
      </c>
      <c r="R219" s="64">
        <f t="shared" si="387"/>
        <v>32</v>
      </c>
      <c r="S219" s="64" t="str">
        <f>IFERROR(VLOOKUP(MID(N219,Q219,R219-Q219),[5]skilldef!$C:$D,2,FALSE),"-") &amp; " / " &amp; IFERROR(VLOOKUP(MID(N219,O219,P219-O219),[5]skilldef!$A:$B,2,FALSE),"-")</f>
        <v>- / -</v>
      </c>
      <c r="T219" s="48" t="str">
        <f t="shared" si="388"/>
        <v>[effect:fix_speed, target:myself, turn:1]</v>
      </c>
      <c r="U219" s="64">
        <f t="shared" si="389"/>
        <v>9</v>
      </c>
      <c r="V219" s="64">
        <f t="shared" si="390"/>
        <v>18</v>
      </c>
      <c r="W219" s="64">
        <f t="shared" si="391"/>
        <v>27</v>
      </c>
      <c r="X219" s="64">
        <f t="shared" si="392"/>
        <v>33</v>
      </c>
      <c r="Y219" s="64" t="str">
        <f>IFERROR(VLOOKUP(MID(T219,W219,X219-W219),[5]skilldef!$C:$D,2,FALSE),"-") &amp; " / " &amp; IFERROR(VLOOKUP(MID(T219,U219,V219-U219),[5]skilldef!$A:$B,2,FALSE),"-")</f>
        <v>自分自身に / 行動値設定</v>
      </c>
      <c r="Z219" s="50"/>
      <c r="AA219" s="52"/>
      <c r="AB219" s="50"/>
    </row>
    <row r="220" spans="1:28" ht="40" customHeight="1" x14ac:dyDescent="0.15">
      <c r="A220" s="133">
        <v>47003727</v>
      </c>
      <c r="B220" s="135" t="s">
        <v>491</v>
      </c>
      <c r="C220" s="136">
        <v>3</v>
      </c>
      <c r="D220" s="136" t="s">
        <v>126</v>
      </c>
      <c r="E220" s="139" t="s">
        <v>284</v>
      </c>
      <c r="F220" s="51" t="s">
        <v>370</v>
      </c>
      <c r="G220" s="130" t="str">
        <f t="shared" ref="G220" si="423">IFERROR(LEFT(B220,FIND("],",B220)),B220)</f>
        <v>[effect:enemy_message, val1:1.5, val2:1.8]</v>
      </c>
      <c r="H220" s="64">
        <f t="shared" ref="H220" si="424">FIND("effect:",G220)+7</f>
        <v>9</v>
      </c>
      <c r="I220" s="64">
        <f t="shared" ref="I220" si="425">IFERROR(FIND(",",G220),LEN(G220))</f>
        <v>22</v>
      </c>
      <c r="J220" s="64" t="e">
        <f t="shared" ref="J220" si="426">FIND("target:",G220)+7</f>
        <v>#VALUE!</v>
      </c>
      <c r="K220" s="64">
        <f t="shared" ref="K220" si="427">FIND(",",G220,I220+1)</f>
        <v>32</v>
      </c>
      <c r="L220" s="64" t="str">
        <f>IFERROR(VLOOKUP(MID(G220,J220,K220-J220),[5]skilldef!$C:$D,2,FALSE),"-") &amp; " / " &amp; IFERROR(VLOOKUP(MID(G220,H220,I220-H220),[5]skilldef!$A:$B,2,FALSE),"-")</f>
        <v>- / -</v>
      </c>
      <c r="M220" s="64" t="str">
        <f t="shared" ref="M220" si="428">IFERROR(RIGHT(B220,LEN(B220)-FIND("],",B220)-1),"none")</f>
        <v>[effect:enhance_fever, val:1000, animation:fevergauge_up04],[effect:fix_speed, target:myself, turn:1]</v>
      </c>
      <c r="N220" s="48" t="str">
        <f>IFERROR(LEFT(M220,FIND("],",M220)+S235),M220)</f>
        <v>[effect:enhance_fever, val:1000, animation:fevergauge_up04],[effect:fix_speed, target:myself, turn:1]</v>
      </c>
      <c r="O220" s="64">
        <f t="shared" ref="O220" si="429">FIND("effect:",N220)+7</f>
        <v>9</v>
      </c>
      <c r="P220" s="64">
        <f t="shared" ref="P220" si="430">IFERROR(FIND(",",N220),LEN(N220))</f>
        <v>22</v>
      </c>
      <c r="Q220" s="64">
        <f t="shared" ref="Q220" si="431">FIND("target:",N220)+7</f>
        <v>87</v>
      </c>
      <c r="R220" s="64">
        <f t="shared" ref="R220" si="432">FIND(",",N220,P220+1)</f>
        <v>32</v>
      </c>
      <c r="S220" s="64" t="str">
        <f>IFERROR(VLOOKUP(MID(N220,Q220,R220-Q220),[5]skilldef!$C:$D,2,FALSE),"-") &amp; " / " &amp; IFERROR(VLOOKUP(MID(N220,O220,P220-O220),[5]skilldef!$A:$B,2,FALSE),"-")</f>
        <v>- / -</v>
      </c>
      <c r="T220" s="48" t="str">
        <f t="shared" ref="T220" si="433">IFERROR(RIGHT(M220,LEN(M220)-FIND("],",M220)-1),"none")</f>
        <v>[effect:fix_speed, target:myself, turn:1]</v>
      </c>
      <c r="U220" s="64">
        <f t="shared" ref="U220" si="434">FIND("effect:",T220)+7</f>
        <v>9</v>
      </c>
      <c r="V220" s="64">
        <f t="shared" ref="V220" si="435">IFERROR(FIND(",",T220),LEN(T220))</f>
        <v>18</v>
      </c>
      <c r="W220" s="64">
        <f t="shared" ref="W220" si="436">FIND("target:",T220)+7</f>
        <v>27</v>
      </c>
      <c r="X220" s="64">
        <f t="shared" ref="X220" si="437">FIND(",",T220,V220+1)</f>
        <v>33</v>
      </c>
      <c r="Y220" s="64" t="str">
        <f>IFERROR(VLOOKUP(MID(T220,W220,X220-W220),[5]skilldef!$C:$D,2,FALSE),"-") &amp; " / " &amp; IFERROR(VLOOKUP(MID(T220,U220,V220-U220),[5]skilldef!$A:$B,2,FALSE),"-")</f>
        <v>自分自身に / 行動値設定</v>
      </c>
      <c r="Z220" s="50"/>
      <c r="AA220" s="52"/>
      <c r="AB220" s="50"/>
    </row>
    <row r="221" spans="1:28" ht="40" customHeight="1" x14ac:dyDescent="0.15">
      <c r="A221" s="47">
        <v>47003741</v>
      </c>
      <c r="B221" s="47" t="s">
        <v>543</v>
      </c>
      <c r="C221" s="50">
        <v>3</v>
      </c>
      <c r="D221" s="50" t="s">
        <v>126</v>
      </c>
      <c r="E221" s="51" t="s">
        <v>285</v>
      </c>
      <c r="F221" s="51" t="s">
        <v>567</v>
      </c>
      <c r="G221" s="130" t="str">
        <f t="shared" ref="G221:G230" si="438">IFERROR(LEFT(B221,FIND("],",B221)),B221)</f>
        <v>[effect:enemy_message, val1:1.3, val2:3.3]</v>
      </c>
      <c r="H221" s="64">
        <f t="shared" ref="H221:H223" si="439">FIND("effect:",G221)+7</f>
        <v>9</v>
      </c>
      <c r="I221" s="64">
        <f t="shared" ref="I221:I230" si="440">IFERROR(FIND(",",G221),LEN(G221))</f>
        <v>22</v>
      </c>
      <c r="J221" s="64" t="e">
        <f t="shared" ref="J221:J230" si="441">FIND("target:",G221)+7</f>
        <v>#VALUE!</v>
      </c>
      <c r="K221" s="64">
        <f t="shared" ref="K221:K230" si="442">FIND(",",G221,I221+1)</f>
        <v>32</v>
      </c>
      <c r="L221" s="64" t="str">
        <f>IFERROR(VLOOKUP(MID(G221,J221,K221-J221),[5]skilldef!$C:$D,2,FALSE),"-") &amp; " / " &amp; IFERROR(VLOOKUP(MID(G221,H221,I221-H221),[5]skilldef!$A:$B,2,FALSE),"-")</f>
        <v>- / -</v>
      </c>
      <c r="M221" s="64" t="str">
        <f t="shared" ref="M221:M230" si="443">IFERROR(RIGHT(B221,LEN(B221)-FIND("],",B221)-1),"none")</f>
        <v>[effect:dark, target:unit_demon/not, turn:5, animation:enemy_dark],[effect:force_change_block, new_block:damage, target:block_green, ignore01:crash, ignore02:crack_bomb, ignore03:color_break, count:-1, val:0.04],[effect:fix_speed, target:myself, turn:2]</v>
      </c>
      <c r="N221" s="48" t="str">
        <f>IFERROR(LEFT(M221,FIND("],",M221)+#REF!),M221)</f>
        <v>[effect:dark, target:unit_demon/not, turn:5, animation:enemy_dark],[effect:force_change_block, new_block:damage, target:block_green, ignore01:crash, ignore02:crack_bomb, ignore03:color_break, count:-1, val:0.04],[effect:fix_speed, target:myself, turn:2]</v>
      </c>
      <c r="O221" s="64">
        <f t="shared" ref="O221:O223" si="444">FIND("effect:",N221)+7</f>
        <v>9</v>
      </c>
      <c r="P221" s="64">
        <f t="shared" ref="P221:P230" si="445">IFERROR(FIND(",",N221),LEN(N221))</f>
        <v>13</v>
      </c>
      <c r="Q221" s="64">
        <f t="shared" ref="Q221:Q230" si="446">FIND("target:",N221)+7</f>
        <v>22</v>
      </c>
      <c r="R221" s="64">
        <f t="shared" ref="R221:R230" si="447">FIND(",",N221,P221+1)</f>
        <v>36</v>
      </c>
      <c r="S221" s="64" t="str">
        <f>IFERROR(VLOOKUP(MID(N221,Q221,R221-Q221),[5]skilldef!$C:$D,2,FALSE),"-") &amp; " / " &amp; IFERROR(VLOOKUP(MID(N221,O221,P221-O221),[5]skilldef!$A:$B,2,FALSE),"-")</f>
        <v>- / 暗黒</v>
      </c>
      <c r="T221" s="48" t="str">
        <f t="shared" ref="T221:T230" si="448">IFERROR(RIGHT(M221,LEN(M221)-FIND("],",M221)-1),"none")</f>
        <v>[effect:force_change_block, new_block:damage, target:block_green, ignore01:crash, ignore02:crack_bomb, ignore03:color_break, count:-1, val:0.04],[effect:fix_speed, target:myself, turn:2]</v>
      </c>
      <c r="U221" s="64">
        <f t="shared" ref="U221:U223" si="449">FIND("effect:",T221)+7</f>
        <v>9</v>
      </c>
      <c r="V221" s="64">
        <f t="shared" ref="V221:V230" si="450">IFERROR(FIND(",",T221),LEN(T221))</f>
        <v>27</v>
      </c>
      <c r="W221" s="64">
        <f t="shared" ref="W221:W230" si="451">FIND("target:",T221)+7</f>
        <v>54</v>
      </c>
      <c r="X221" s="64">
        <f t="shared" ref="X221:X230" si="452">FIND(",",T221,V221+1)</f>
        <v>45</v>
      </c>
      <c r="Y221" s="64" t="str">
        <f>IFERROR(VLOOKUP(MID(T221,W221,X221-W221),[5]skilldef!$C:$D,2,FALSE),"-") &amp; " / " &amp; IFERROR(VLOOKUP(MID(T221,U221,V221-U221),[5]skilldef!$A:$B,2,FALSE),"-")</f>
        <v>- / -</v>
      </c>
      <c r="Z221" s="50"/>
      <c r="AA221" s="52"/>
      <c r="AB221" s="50"/>
    </row>
    <row r="222" spans="1:28" ht="40" customHeight="1" x14ac:dyDescent="0.15">
      <c r="A222" s="47">
        <v>47003742</v>
      </c>
      <c r="B222" s="47" t="s">
        <v>354</v>
      </c>
      <c r="C222" s="50">
        <v>3</v>
      </c>
      <c r="D222" s="50" t="s">
        <v>126</v>
      </c>
      <c r="E222" s="51" t="s">
        <v>335</v>
      </c>
      <c r="F222" s="51" t="s">
        <v>336</v>
      </c>
      <c r="G222" s="130" t="str">
        <f t="shared" si="438"/>
        <v>[effect:damage_anti_abnormal, target:unit_all, target_effect01:dark, val1:0.9, val2:0.4]</v>
      </c>
      <c r="H222" s="64">
        <f t="shared" si="439"/>
        <v>9</v>
      </c>
      <c r="I222" s="64">
        <f t="shared" si="440"/>
        <v>29</v>
      </c>
      <c r="J222" s="64">
        <f t="shared" si="441"/>
        <v>38</v>
      </c>
      <c r="K222" s="64">
        <f t="shared" si="442"/>
        <v>46</v>
      </c>
      <c r="L222" s="64" t="str">
        <f>IFERROR(VLOOKUP(MID(G222,J222,K222-J222),[5]skilldef!$C:$D,2,FALSE),"-") &amp; " / " &amp; IFERROR(VLOOKUP(MID(G222,H222,I222-H222),[5]skilldef!$A:$B,2,FALSE),"-")</f>
        <v>味方全体に / -</v>
      </c>
      <c r="M222" s="64" t="str">
        <f t="shared" si="443"/>
        <v>none</v>
      </c>
      <c r="N222" s="48" t="str">
        <f>IFERROR(LEFT(M222,FIND("],",M222)+#REF!),M222)</f>
        <v>none</v>
      </c>
      <c r="O222" s="64" t="e">
        <f t="shared" si="444"/>
        <v>#VALUE!</v>
      </c>
      <c r="P222" s="64">
        <f t="shared" si="445"/>
        <v>4</v>
      </c>
      <c r="Q222" s="64" t="e">
        <f t="shared" si="446"/>
        <v>#VALUE!</v>
      </c>
      <c r="R222" s="64" t="e">
        <f t="shared" si="447"/>
        <v>#VALUE!</v>
      </c>
      <c r="S222" s="64" t="str">
        <f>IFERROR(VLOOKUP(MID(N222,Q222,R222-Q222),[5]skilldef!$C:$D,2,FALSE),"-") &amp; " / " &amp; IFERROR(VLOOKUP(MID(N222,O222,P222-O222),[5]skilldef!$A:$B,2,FALSE),"-")</f>
        <v>- / -</v>
      </c>
      <c r="T222" s="48" t="str">
        <f t="shared" si="448"/>
        <v>none</v>
      </c>
      <c r="U222" s="64" t="e">
        <f t="shared" si="449"/>
        <v>#VALUE!</v>
      </c>
      <c r="V222" s="64">
        <f t="shared" si="450"/>
        <v>4</v>
      </c>
      <c r="W222" s="64" t="e">
        <f t="shared" si="451"/>
        <v>#VALUE!</v>
      </c>
      <c r="X222" s="64" t="e">
        <f t="shared" si="452"/>
        <v>#VALUE!</v>
      </c>
      <c r="Y222" s="64" t="str">
        <f>IFERROR(VLOOKUP(MID(T222,W222,X222-W222),[5]skilldef!$C:$D,2,FALSE),"-") &amp; " / " &amp; IFERROR(VLOOKUP(MID(T222,U222,V222-U222),[5]skilldef!$A:$B,2,FALSE),"-")</f>
        <v>- / -</v>
      </c>
      <c r="Z222" s="50"/>
      <c r="AA222" s="52"/>
      <c r="AB222" s="50"/>
    </row>
    <row r="223" spans="1:28" ht="40" customHeight="1" x14ac:dyDescent="0.15">
      <c r="A223" s="47">
        <v>47003743</v>
      </c>
      <c r="B223" s="47" t="s">
        <v>389</v>
      </c>
      <c r="C223" s="50">
        <v>3</v>
      </c>
      <c r="D223" s="50" t="s">
        <v>126</v>
      </c>
      <c r="E223" s="51" t="s">
        <v>337</v>
      </c>
      <c r="F223" s="51" t="s">
        <v>390</v>
      </c>
      <c r="G223" s="130" t="str">
        <f t="shared" si="438"/>
        <v>[effect:force_change_block, new_block:damage, target:block_all, ignore01:crash, ignore02:crack_bomb, ignore03:color_break, count:12, val:0.04]</v>
      </c>
      <c r="H223" s="64">
        <f t="shared" si="439"/>
        <v>9</v>
      </c>
      <c r="I223" s="64">
        <f t="shared" si="440"/>
        <v>27</v>
      </c>
      <c r="J223" s="64">
        <f t="shared" si="441"/>
        <v>54</v>
      </c>
      <c r="K223" s="64">
        <f t="shared" si="442"/>
        <v>45</v>
      </c>
      <c r="L223" s="64" t="str">
        <f>IFERROR(VLOOKUP(MID(G223,J223,K223-J223),[5]skilldef!$C:$D,2,FALSE),"-") &amp; " / " &amp; IFERROR(VLOOKUP(MID(G223,H223,I223-H223),[5]skilldef!$A:$B,2,FALSE),"-")</f>
        <v>- / -</v>
      </c>
      <c r="M223" s="64" t="str">
        <f t="shared" si="443"/>
        <v>[effect:spread, val:0.25]</v>
      </c>
      <c r="N223" s="48" t="str">
        <f>IFERROR(LEFT(M223,FIND("],",M223)+#REF!),M223)</f>
        <v>[effect:spread, val:0.25]</v>
      </c>
      <c r="O223" s="64">
        <f t="shared" si="444"/>
        <v>9</v>
      </c>
      <c r="P223" s="64">
        <f t="shared" si="445"/>
        <v>15</v>
      </c>
      <c r="Q223" s="64" t="e">
        <f t="shared" si="446"/>
        <v>#VALUE!</v>
      </c>
      <c r="R223" s="64" t="e">
        <f t="shared" si="447"/>
        <v>#VALUE!</v>
      </c>
      <c r="S223" s="64" t="str">
        <f>IFERROR(VLOOKUP(MID(N223,Q223,R223-Q223),[5]skilldef!$C:$D,2,FALSE),"-") &amp; " / " &amp; IFERROR(VLOOKUP(MID(N223,O223,P223-O223),[5]skilldef!$A:$B,2,FALSE),"-")</f>
        <v>- / 全体攻撃</v>
      </c>
      <c r="T223" s="48" t="str">
        <f t="shared" si="448"/>
        <v>none</v>
      </c>
      <c r="U223" s="64" t="e">
        <f t="shared" si="449"/>
        <v>#VALUE!</v>
      </c>
      <c r="V223" s="64">
        <f t="shared" si="450"/>
        <v>4</v>
      </c>
      <c r="W223" s="64" t="e">
        <f t="shared" si="451"/>
        <v>#VALUE!</v>
      </c>
      <c r="X223" s="64" t="e">
        <f t="shared" si="452"/>
        <v>#VALUE!</v>
      </c>
      <c r="Y223" s="64" t="str">
        <f>IFERROR(VLOOKUP(MID(T223,W223,X223-W223),[5]skilldef!$C:$D,2,FALSE),"-") &amp; " / " &amp; IFERROR(VLOOKUP(MID(T223,U223,V223-U223),[5]skilldef!$A:$B,2,FALSE),"-")</f>
        <v>- / -</v>
      </c>
      <c r="Z223" s="50"/>
      <c r="AA223" s="52"/>
      <c r="AB223" s="50"/>
    </row>
    <row r="224" spans="1:28" ht="40" customHeight="1" x14ac:dyDescent="0.15">
      <c r="A224" s="47">
        <v>47003744</v>
      </c>
      <c r="B224" s="47" t="s">
        <v>395</v>
      </c>
      <c r="C224" s="50">
        <v>3</v>
      </c>
      <c r="D224" s="50" t="s">
        <v>126</v>
      </c>
      <c r="E224" s="51" t="s">
        <v>338</v>
      </c>
      <c r="F224" s="51" t="s">
        <v>339</v>
      </c>
      <c r="G224" s="130" t="str">
        <f t="shared" ref="G224" si="453">IFERROR(LEFT(B224,FIND("],",B224)),B224)</f>
        <v xml:space="preserve">[effect:break_attack_fix, target:unit_one, val:200, lowest_val:8000, count:-1, color:yellow, block01:block_yellow]    </v>
      </c>
      <c r="H224" s="64">
        <f t="shared" ref="H224" si="454">FIND("effect:",G224)+7</f>
        <v>9</v>
      </c>
      <c r="I224" s="64">
        <f t="shared" ref="I224" si="455">IFERROR(FIND(",",G224),LEN(G224))</f>
        <v>25</v>
      </c>
      <c r="J224" s="64">
        <f t="shared" ref="J224" si="456">FIND("target:",G224)+7</f>
        <v>34</v>
      </c>
      <c r="K224" s="64">
        <f t="shared" ref="K224" si="457">FIND(",",G224,I224+1)</f>
        <v>42</v>
      </c>
      <c r="L224" s="64" t="str">
        <f>IFERROR(VLOOKUP(MID(G224,J224,K224-J224),[5]skilldef!$C:$D,2,FALSE),"-") &amp; " / " &amp; IFERROR(VLOOKUP(MID(G224,H224,I224-H224),[5]skilldef!$A:$B,2,FALSE),"-")</f>
        <v>味方単体に / -</v>
      </c>
      <c r="M224" s="64" t="str">
        <f t="shared" ref="M224" si="458">IFERROR(RIGHT(B224,LEN(B224)-FIND("],",B224)-1),"none")</f>
        <v>none</v>
      </c>
      <c r="N224" s="48" t="str">
        <f>IFERROR(LEFT(M224,FIND("],",M224)+#REF!),M224)</f>
        <v>none</v>
      </c>
      <c r="O224" s="64" t="e">
        <f t="shared" ref="O224" si="459">FIND("effect:",N224)+7</f>
        <v>#VALUE!</v>
      </c>
      <c r="P224" s="64">
        <f t="shared" ref="P224" si="460">IFERROR(FIND(",",N224),LEN(N224))</f>
        <v>4</v>
      </c>
      <c r="Q224" s="64" t="e">
        <f t="shared" ref="Q224" si="461">FIND("target:",N224)+7</f>
        <v>#VALUE!</v>
      </c>
      <c r="R224" s="64" t="e">
        <f t="shared" ref="R224" si="462">FIND(",",N224,P224+1)</f>
        <v>#VALUE!</v>
      </c>
      <c r="S224" s="64" t="str">
        <f>IFERROR(VLOOKUP(MID(N224,Q224,R224-Q224),[5]skilldef!$C:$D,2,FALSE),"-") &amp; " / " &amp; IFERROR(VLOOKUP(MID(N224,O224,P224-O224),[5]skilldef!$A:$B,2,FALSE),"-")</f>
        <v>- / -</v>
      </c>
      <c r="T224" s="48" t="str">
        <f t="shared" ref="T224" si="463">IFERROR(RIGHT(M224,LEN(M224)-FIND("],",M224)-1),"none")</f>
        <v>none</v>
      </c>
      <c r="U224" s="64" t="e">
        <f t="shared" ref="U224" si="464">FIND("effect:",T224)+7</f>
        <v>#VALUE!</v>
      </c>
      <c r="V224" s="64">
        <f t="shared" ref="V224" si="465">IFERROR(FIND(",",T224),LEN(T224))</f>
        <v>4</v>
      </c>
      <c r="W224" s="64" t="e">
        <f t="shared" ref="W224" si="466">FIND("target:",T224)+7</f>
        <v>#VALUE!</v>
      </c>
      <c r="X224" s="64" t="e">
        <f t="shared" ref="X224" si="467">FIND(",",T224,V224+1)</f>
        <v>#VALUE!</v>
      </c>
      <c r="Y224" s="64" t="str">
        <f>IFERROR(VLOOKUP(MID(T224,W224,X224-W224),[5]skilldef!$C:$D,2,FALSE),"-") &amp; " / " &amp; IFERROR(VLOOKUP(MID(T224,U224,V224-U224),[5]skilldef!$A:$B,2,FALSE),"-")</f>
        <v>- / -</v>
      </c>
      <c r="Z224" s="50"/>
      <c r="AA224" s="52"/>
      <c r="AB224" s="50"/>
    </row>
    <row r="225" spans="1:28" ht="40" customHeight="1" x14ac:dyDescent="0.15">
      <c r="A225" s="47">
        <v>47003745</v>
      </c>
      <c r="B225" s="47" t="s">
        <v>604</v>
      </c>
      <c r="C225" s="50">
        <v>3</v>
      </c>
      <c r="D225" s="50" t="s">
        <v>126</v>
      </c>
      <c r="E225" s="51" t="s">
        <v>340</v>
      </c>
      <c r="F225" s="51" t="s">
        <v>568</v>
      </c>
      <c r="G225" s="130" t="str">
        <f t="shared" ref="G225:G227" si="468">IFERROR(LEFT(B225,FIND("],",B225)),B225)</f>
        <v>[effect:enemy_message, val1:2.2, val2:3.3]</v>
      </c>
      <c r="H225" s="64">
        <f t="shared" ref="H225:H227" si="469">FIND("effect:",G225)+7</f>
        <v>9</v>
      </c>
      <c r="I225" s="64">
        <f t="shared" ref="I225:I227" si="470">IFERROR(FIND(",",G225),LEN(G225))</f>
        <v>22</v>
      </c>
      <c r="J225" s="64" t="e">
        <f t="shared" ref="J225:J227" si="471">FIND("target:",G225)+7</f>
        <v>#VALUE!</v>
      </c>
      <c r="K225" s="64">
        <f t="shared" ref="K225:K227" si="472">FIND(",",G225,I225+1)</f>
        <v>32</v>
      </c>
      <c r="L225" s="64" t="str">
        <f>IFERROR(VLOOKUP(MID(G225,J225,K225-J225),[5]skilldef!$C:$D,2,FALSE),"-") &amp; " / " &amp; IFERROR(VLOOKUP(MID(G225,H225,I225-H225),[5]skilldef!$A:$B,2,FALSE),"-")</f>
        <v>- / -</v>
      </c>
      <c r="M225" s="64" t="str">
        <f t="shared" ref="M225:M227" si="473">IFERROR(RIGHT(B225,LEN(B225)-FIND("],",B225)-1),"none")</f>
        <v>[effect:dark, target:unit_demon/not, turn:5, animation:enemy_dark],[effect:force_change_block, new_block:damage, target:block_green, ignore01:crash, ignore02:crack_bomb, ignore03:color_break, count:-1, val:0.04],[effect:fix_speed, target:myself, turn:2]</v>
      </c>
      <c r="N225" s="48" t="str">
        <f>IFERROR(LEFT(M225,FIND("],",M225)+#REF!),M225)</f>
        <v>[effect:dark, target:unit_demon/not, turn:5, animation:enemy_dark],[effect:force_change_block, new_block:damage, target:block_green, ignore01:crash, ignore02:crack_bomb, ignore03:color_break, count:-1, val:0.04],[effect:fix_speed, target:myself, turn:2]</v>
      </c>
      <c r="O225" s="64">
        <f t="shared" ref="O225:O227" si="474">FIND("effect:",N225)+7</f>
        <v>9</v>
      </c>
      <c r="P225" s="64">
        <f t="shared" ref="P225:P227" si="475">IFERROR(FIND(",",N225),LEN(N225))</f>
        <v>13</v>
      </c>
      <c r="Q225" s="64">
        <f t="shared" ref="Q225:Q227" si="476">FIND("target:",N225)+7</f>
        <v>22</v>
      </c>
      <c r="R225" s="64">
        <f t="shared" ref="R225:R227" si="477">FIND(",",N225,P225+1)</f>
        <v>36</v>
      </c>
      <c r="S225" s="64" t="str">
        <f>IFERROR(VLOOKUP(MID(N225,Q225,R225-Q225),[5]skilldef!$C:$D,2,FALSE),"-") &amp; " / " &amp; IFERROR(VLOOKUP(MID(N225,O225,P225-O225),[5]skilldef!$A:$B,2,FALSE),"-")</f>
        <v>- / 暗黒</v>
      </c>
      <c r="T225" s="48" t="str">
        <f t="shared" ref="T225:T227" si="478">IFERROR(RIGHT(M225,LEN(M225)-FIND("],",M225)-1),"none")</f>
        <v>[effect:force_change_block, new_block:damage, target:block_green, ignore01:crash, ignore02:crack_bomb, ignore03:color_break, count:-1, val:0.04],[effect:fix_speed, target:myself, turn:2]</v>
      </c>
      <c r="U225" s="64">
        <f t="shared" ref="U225:U227" si="479">FIND("effect:",T225)+7</f>
        <v>9</v>
      </c>
      <c r="V225" s="64">
        <f t="shared" ref="V225:V227" si="480">IFERROR(FIND(",",T225),LEN(T225))</f>
        <v>27</v>
      </c>
      <c r="W225" s="64">
        <f t="shared" ref="W225:W227" si="481">FIND("target:",T225)+7</f>
        <v>54</v>
      </c>
      <c r="X225" s="64">
        <f t="shared" ref="X225:X227" si="482">FIND(",",T225,V225+1)</f>
        <v>45</v>
      </c>
      <c r="Y225" s="64" t="str">
        <f>IFERROR(VLOOKUP(MID(T225,W225,X225-W225),[5]skilldef!$C:$D,2,FALSE),"-") &amp; " / " &amp; IFERROR(VLOOKUP(MID(T225,U225,V225-U225),[5]skilldef!$A:$B,2,FALSE),"-")</f>
        <v>- / -</v>
      </c>
      <c r="Z225" s="50"/>
      <c r="AA225" s="52"/>
      <c r="AB225" s="50"/>
    </row>
    <row r="226" spans="1:28" ht="40" customHeight="1" x14ac:dyDescent="0.15">
      <c r="A226" s="47">
        <v>47003746</v>
      </c>
      <c r="B226" s="47" t="s">
        <v>605</v>
      </c>
      <c r="C226" s="50">
        <v>3</v>
      </c>
      <c r="D226" s="50" t="s">
        <v>126</v>
      </c>
      <c r="E226" s="51" t="s">
        <v>341</v>
      </c>
      <c r="F226" s="51" t="s">
        <v>569</v>
      </c>
      <c r="G226" s="130" t="str">
        <f t="shared" si="468"/>
        <v>[effect:enemy_message, val1:2.2, val2:3.3]</v>
      </c>
      <c r="H226" s="64">
        <f t="shared" si="469"/>
        <v>9</v>
      </c>
      <c r="I226" s="64">
        <f t="shared" si="470"/>
        <v>22</v>
      </c>
      <c r="J226" s="64" t="e">
        <f t="shared" si="471"/>
        <v>#VALUE!</v>
      </c>
      <c r="K226" s="64">
        <f t="shared" si="472"/>
        <v>32</v>
      </c>
      <c r="L226" s="64" t="str">
        <f>IFERROR(VLOOKUP(MID(G226,J226,K226-J226),[5]skilldef!$C:$D,2,FALSE),"-") &amp; " / " &amp; IFERROR(VLOOKUP(MID(G226,H226,I226-H226),[5]skilldef!$A:$B,2,FALSE),"-")</f>
        <v>- / -</v>
      </c>
      <c r="M226" s="64" t="str">
        <f t="shared" si="473"/>
        <v>[effect:dark, target:unit_demon/not, turn:5, animation:enemy_dark],[effect:force_change_block, new_block:damage, target:block_green, ignore01:crash, ignore02:crack_bomb, ignore03:color_break, count:-1, val:0.04],[effect:fix_speed, target:myself, turn:2]</v>
      </c>
      <c r="N226" s="48" t="str">
        <f>IFERROR(LEFT(M226,FIND("],",M226)+#REF!),M226)</f>
        <v>[effect:dark, target:unit_demon/not, turn:5, animation:enemy_dark],[effect:force_change_block, new_block:damage, target:block_green, ignore01:crash, ignore02:crack_bomb, ignore03:color_break, count:-1, val:0.04],[effect:fix_speed, target:myself, turn:2]</v>
      </c>
      <c r="O226" s="64">
        <f t="shared" si="474"/>
        <v>9</v>
      </c>
      <c r="P226" s="64">
        <f t="shared" si="475"/>
        <v>13</v>
      </c>
      <c r="Q226" s="64">
        <f t="shared" si="476"/>
        <v>22</v>
      </c>
      <c r="R226" s="64">
        <f t="shared" si="477"/>
        <v>36</v>
      </c>
      <c r="S226" s="64" t="str">
        <f>IFERROR(VLOOKUP(MID(N226,Q226,R226-Q226),[5]skilldef!$C:$D,2,FALSE),"-") &amp; " / " &amp; IFERROR(VLOOKUP(MID(N226,O226,P226-O226),[5]skilldef!$A:$B,2,FALSE),"-")</f>
        <v>- / 暗黒</v>
      </c>
      <c r="T226" s="48" t="str">
        <f t="shared" si="478"/>
        <v>[effect:force_change_block, new_block:damage, target:block_green, ignore01:crash, ignore02:crack_bomb, ignore03:color_break, count:-1, val:0.04],[effect:fix_speed, target:myself, turn:2]</v>
      </c>
      <c r="U226" s="64">
        <f t="shared" si="479"/>
        <v>9</v>
      </c>
      <c r="V226" s="64">
        <f t="shared" si="480"/>
        <v>27</v>
      </c>
      <c r="W226" s="64">
        <f t="shared" si="481"/>
        <v>54</v>
      </c>
      <c r="X226" s="64">
        <f t="shared" si="482"/>
        <v>45</v>
      </c>
      <c r="Y226" s="64" t="str">
        <f>IFERROR(VLOOKUP(MID(T226,W226,X226-W226),[5]skilldef!$C:$D,2,FALSE),"-") &amp; " / " &amp; IFERROR(VLOOKUP(MID(T226,U226,V226-U226),[5]skilldef!$A:$B,2,FALSE),"-")</f>
        <v>- / -</v>
      </c>
      <c r="Z226" s="50"/>
      <c r="AA226" s="52"/>
      <c r="AB226" s="50"/>
    </row>
    <row r="227" spans="1:28" ht="40" customHeight="1" x14ac:dyDescent="0.15">
      <c r="A227" s="47">
        <v>47003747</v>
      </c>
      <c r="B227" s="47" t="s">
        <v>606</v>
      </c>
      <c r="C227" s="50">
        <v>3</v>
      </c>
      <c r="D227" s="50" t="s">
        <v>126</v>
      </c>
      <c r="E227" s="51" t="s">
        <v>342</v>
      </c>
      <c r="F227" s="51" t="s">
        <v>570</v>
      </c>
      <c r="G227" s="130" t="str">
        <f t="shared" si="468"/>
        <v>[effect:enemy_message, val1:2.2, val2:3.3]</v>
      </c>
      <c r="H227" s="64">
        <f t="shared" si="469"/>
        <v>9</v>
      </c>
      <c r="I227" s="64">
        <f t="shared" si="470"/>
        <v>22</v>
      </c>
      <c r="J227" s="64" t="e">
        <f t="shared" si="471"/>
        <v>#VALUE!</v>
      </c>
      <c r="K227" s="64">
        <f t="shared" si="472"/>
        <v>32</v>
      </c>
      <c r="L227" s="64" t="str">
        <f>IFERROR(VLOOKUP(MID(G227,J227,K227-J227),[5]skilldef!$C:$D,2,FALSE),"-") &amp; " / " &amp; IFERROR(VLOOKUP(MID(G227,H227,I227-H227),[5]skilldef!$A:$B,2,FALSE),"-")</f>
        <v>- / -</v>
      </c>
      <c r="M227" s="64" t="str">
        <f t="shared" si="473"/>
        <v>[effect:dark, target:unit_demon/not, turn:5, animation:enemy_dark],[effect:force_change_block, new_block:damage, target:block_green, ignore01:crash, ignore02:crack_bomb, ignore03:color_break, count:-1, val:0.04],[effect:fix_speed, target:myself, turn:2]</v>
      </c>
      <c r="N227" s="48" t="str">
        <f>IFERROR(LEFT(M227,FIND("],",M227)+#REF!),M227)</f>
        <v>[effect:dark, target:unit_demon/not, turn:5, animation:enemy_dark],[effect:force_change_block, new_block:damage, target:block_green, ignore01:crash, ignore02:crack_bomb, ignore03:color_break, count:-1, val:0.04],[effect:fix_speed, target:myself, turn:2]</v>
      </c>
      <c r="O227" s="64">
        <f t="shared" si="474"/>
        <v>9</v>
      </c>
      <c r="P227" s="64">
        <f t="shared" si="475"/>
        <v>13</v>
      </c>
      <c r="Q227" s="64">
        <f t="shared" si="476"/>
        <v>22</v>
      </c>
      <c r="R227" s="64">
        <f t="shared" si="477"/>
        <v>36</v>
      </c>
      <c r="S227" s="64" t="str">
        <f>IFERROR(VLOOKUP(MID(N227,Q227,R227-Q227),[5]skilldef!$C:$D,2,FALSE),"-") &amp; " / " &amp; IFERROR(VLOOKUP(MID(N227,O227,P227-O227),[5]skilldef!$A:$B,2,FALSE),"-")</f>
        <v>- / 暗黒</v>
      </c>
      <c r="T227" s="48" t="str">
        <f t="shared" si="478"/>
        <v>[effect:force_change_block, new_block:damage, target:block_green, ignore01:crash, ignore02:crack_bomb, ignore03:color_break, count:-1, val:0.04],[effect:fix_speed, target:myself, turn:2]</v>
      </c>
      <c r="U227" s="64">
        <f t="shared" si="479"/>
        <v>9</v>
      </c>
      <c r="V227" s="64">
        <f t="shared" si="480"/>
        <v>27</v>
      </c>
      <c r="W227" s="64">
        <f t="shared" si="481"/>
        <v>54</v>
      </c>
      <c r="X227" s="64">
        <f t="shared" si="482"/>
        <v>45</v>
      </c>
      <c r="Y227" s="64" t="str">
        <f>IFERROR(VLOOKUP(MID(T227,W227,X227-W227),[5]skilldef!$C:$D,2,FALSE),"-") &amp; " / " &amp; IFERROR(VLOOKUP(MID(T227,U227,V227-U227),[5]skilldef!$A:$B,2,FALSE),"-")</f>
        <v>- / -</v>
      </c>
      <c r="Z227" s="50"/>
      <c r="AA227" s="52"/>
      <c r="AB227" s="50"/>
    </row>
    <row r="228" spans="1:28" ht="40" customHeight="1" x14ac:dyDescent="0.15">
      <c r="A228" s="119">
        <v>47003761</v>
      </c>
      <c r="B228" s="47" t="s">
        <v>544</v>
      </c>
      <c r="C228" s="126">
        <v>3</v>
      </c>
      <c r="D228" s="126" t="s">
        <v>126</v>
      </c>
      <c r="E228" s="51" t="s">
        <v>403</v>
      </c>
      <c r="F228" s="51" t="s">
        <v>571</v>
      </c>
      <c r="G228" s="130" t="str">
        <f t="shared" si="438"/>
        <v>[effect:enemy_message, val1:1.0, val2:3.3]</v>
      </c>
      <c r="H228" s="64">
        <f t="shared" ref="H228:H230" si="483">FIND("effect:",G228)+7</f>
        <v>9</v>
      </c>
      <c r="I228" s="64">
        <f t="shared" si="440"/>
        <v>22</v>
      </c>
      <c r="J228" s="64" t="e">
        <f t="shared" si="441"/>
        <v>#VALUE!</v>
      </c>
      <c r="K228" s="64">
        <f t="shared" si="442"/>
        <v>32</v>
      </c>
      <c r="L228" s="64" t="str">
        <f>IFERROR(VLOOKUP(MID(G228,J228,K228-J228),[5]skilldef!$C:$D,2,FALSE),"-") &amp; " / " &amp; IFERROR(VLOOKUP(MID(G228,H228,I228-H228),[5]skilldef!$A:$B,2,FALSE),"-")</f>
        <v>- / -</v>
      </c>
      <c r="M228" s="64" t="str">
        <f t="shared" si="443"/>
        <v>[effect:dark, target:unit_demon/not, turn:5, animation:enemy_dark],[effect:force_change_block, new_block:damage, target:block_green, ignore01:crash, ignore02:crack_bomb, ignore03:color_break, count:-1, val:0.05],[effect:fix_speed, target:myself, turn:2]</v>
      </c>
      <c r="N228" s="48" t="str">
        <f>IFERROR(LEFT(M228,FIND("],",M228)+#REF!),M228)</f>
        <v>[effect:dark, target:unit_demon/not, turn:5, animation:enemy_dark],[effect:force_change_block, new_block:damage, target:block_green, ignore01:crash, ignore02:crack_bomb, ignore03:color_break, count:-1, val:0.05],[effect:fix_speed, target:myself, turn:2]</v>
      </c>
      <c r="O228" s="64">
        <f t="shared" ref="O228:O230" si="484">FIND("effect:",N228)+7</f>
        <v>9</v>
      </c>
      <c r="P228" s="64">
        <f t="shared" si="445"/>
        <v>13</v>
      </c>
      <c r="Q228" s="64">
        <f t="shared" si="446"/>
        <v>22</v>
      </c>
      <c r="R228" s="64">
        <f t="shared" si="447"/>
        <v>36</v>
      </c>
      <c r="S228" s="64" t="str">
        <f>IFERROR(VLOOKUP(MID(N228,Q228,R228-Q228),[5]skilldef!$C:$D,2,FALSE),"-") &amp; " / " &amp; IFERROR(VLOOKUP(MID(N228,O228,P228-O228),[5]skilldef!$A:$B,2,FALSE),"-")</f>
        <v>- / 暗黒</v>
      </c>
      <c r="T228" s="48" t="str">
        <f t="shared" si="448"/>
        <v>[effect:force_change_block, new_block:damage, target:block_green, ignore01:crash, ignore02:crack_bomb, ignore03:color_break, count:-1, val:0.05],[effect:fix_speed, target:myself, turn:2]</v>
      </c>
      <c r="U228" s="64">
        <f t="shared" ref="U228:U230" si="485">FIND("effect:",T228)+7</f>
        <v>9</v>
      </c>
      <c r="V228" s="64">
        <f t="shared" si="450"/>
        <v>27</v>
      </c>
      <c r="W228" s="64">
        <f t="shared" si="451"/>
        <v>54</v>
      </c>
      <c r="X228" s="64">
        <f t="shared" si="452"/>
        <v>45</v>
      </c>
      <c r="Y228" s="64" t="str">
        <f>IFERROR(VLOOKUP(MID(T228,W228,X228-W228),[5]skilldef!$C:$D,2,FALSE),"-") &amp; " / " &amp; IFERROR(VLOOKUP(MID(T228,U228,V228-U228),[5]skilldef!$A:$B,2,FALSE),"-")</f>
        <v>- / -</v>
      </c>
      <c r="Z228" s="50"/>
      <c r="AA228" s="52"/>
      <c r="AB228" s="50"/>
    </row>
    <row r="229" spans="1:28" ht="40" customHeight="1" x14ac:dyDescent="0.15">
      <c r="A229" s="119">
        <v>47003762</v>
      </c>
      <c r="B229" s="47" t="s">
        <v>277</v>
      </c>
      <c r="C229" s="126">
        <v>3</v>
      </c>
      <c r="D229" s="126" t="s">
        <v>126</v>
      </c>
      <c r="E229" s="51" t="s">
        <v>343</v>
      </c>
      <c r="F229" s="51" t="s">
        <v>336</v>
      </c>
      <c r="G229" s="130" t="str">
        <f t="shared" si="438"/>
        <v>[effect:damage_anti_abnormal, target:unit_all, target_effect01:dark, val1:0.9, val2:0.4]</v>
      </c>
      <c r="H229" s="64">
        <f t="shared" si="483"/>
        <v>9</v>
      </c>
      <c r="I229" s="64">
        <f t="shared" si="440"/>
        <v>29</v>
      </c>
      <c r="J229" s="64">
        <f t="shared" si="441"/>
        <v>38</v>
      </c>
      <c r="K229" s="64">
        <f t="shared" si="442"/>
        <v>46</v>
      </c>
      <c r="L229" s="64" t="str">
        <f>IFERROR(VLOOKUP(MID(G229,J229,K229-J229),[5]skilldef!$C:$D,2,FALSE),"-") &amp; " / " &amp; IFERROR(VLOOKUP(MID(G229,H229,I229-H229),[5]skilldef!$A:$B,2,FALSE),"-")</f>
        <v>味方全体に / -</v>
      </c>
      <c r="M229" s="64" t="str">
        <f t="shared" si="443"/>
        <v>[effect:fix_speed, target:myself, turn:1]</v>
      </c>
      <c r="N229" s="48" t="str">
        <f>IFERROR(LEFT(M229,FIND("],",M229)+#REF!),M229)</f>
        <v>[effect:fix_speed, target:myself, turn:1]</v>
      </c>
      <c r="O229" s="64">
        <f t="shared" si="484"/>
        <v>9</v>
      </c>
      <c r="P229" s="64">
        <f t="shared" si="445"/>
        <v>18</v>
      </c>
      <c r="Q229" s="64">
        <f t="shared" si="446"/>
        <v>27</v>
      </c>
      <c r="R229" s="64">
        <f t="shared" si="447"/>
        <v>33</v>
      </c>
      <c r="S229" s="64" t="str">
        <f>IFERROR(VLOOKUP(MID(N229,Q229,R229-Q229),[5]skilldef!$C:$D,2,FALSE),"-") &amp; " / " &amp; IFERROR(VLOOKUP(MID(N229,O229,P229-O229),[5]skilldef!$A:$B,2,FALSE),"-")</f>
        <v>自分自身に / 行動値設定</v>
      </c>
      <c r="T229" s="48" t="str">
        <f t="shared" si="448"/>
        <v>none</v>
      </c>
      <c r="U229" s="64" t="e">
        <f t="shared" si="485"/>
        <v>#VALUE!</v>
      </c>
      <c r="V229" s="64">
        <f t="shared" si="450"/>
        <v>4</v>
      </c>
      <c r="W229" s="64" t="e">
        <f t="shared" si="451"/>
        <v>#VALUE!</v>
      </c>
      <c r="X229" s="64" t="e">
        <f t="shared" si="452"/>
        <v>#VALUE!</v>
      </c>
      <c r="Y229" s="64" t="str">
        <f>IFERROR(VLOOKUP(MID(T229,W229,X229-W229),[5]skilldef!$C:$D,2,FALSE),"-") &amp; " / " &amp; IFERROR(VLOOKUP(MID(T229,U229,V229-U229),[5]skilldef!$A:$B,2,FALSE),"-")</f>
        <v>- / -</v>
      </c>
      <c r="Z229" s="50"/>
      <c r="AA229" s="52"/>
      <c r="AB229" s="50"/>
    </row>
    <row r="230" spans="1:28" ht="40" customHeight="1" x14ac:dyDescent="0.15">
      <c r="A230" s="119">
        <v>47003763</v>
      </c>
      <c r="B230" s="47" t="s">
        <v>361</v>
      </c>
      <c r="C230" s="126">
        <v>3</v>
      </c>
      <c r="D230" s="126" t="s">
        <v>126</v>
      </c>
      <c r="E230" s="51" t="s">
        <v>344</v>
      </c>
      <c r="F230" s="51" t="s">
        <v>345</v>
      </c>
      <c r="G230" s="130" t="str">
        <f t="shared" si="438"/>
        <v>[effect:force_change_block, new_block:damage, target:block_all, ignore01:crash, ignore02:crack_bomb, ignore03:color_break, count:8, val:0.08]</v>
      </c>
      <c r="H230" s="64">
        <f t="shared" si="483"/>
        <v>9</v>
      </c>
      <c r="I230" s="64">
        <f t="shared" si="440"/>
        <v>27</v>
      </c>
      <c r="J230" s="64">
        <f t="shared" si="441"/>
        <v>54</v>
      </c>
      <c r="K230" s="64">
        <f t="shared" si="442"/>
        <v>45</v>
      </c>
      <c r="L230" s="64" t="str">
        <f>IFERROR(VLOOKUP(MID(G230,J230,K230-J230),[5]skilldef!$C:$D,2,FALSE),"-") &amp; " / " &amp; IFERROR(VLOOKUP(MID(G230,H230,I230-H230),[5]skilldef!$A:$B,2,FALSE),"-")</f>
        <v>- / -</v>
      </c>
      <c r="M230" s="64" t="str">
        <f t="shared" si="443"/>
        <v>[effect:critical, val:0.8]</v>
      </c>
      <c r="N230" s="48" t="str">
        <f>IFERROR(LEFT(M230,FIND("],",M230)+S233),M230)</f>
        <v>[effect:critical, val:0.8]</v>
      </c>
      <c r="O230" s="64">
        <f t="shared" si="484"/>
        <v>9</v>
      </c>
      <c r="P230" s="64">
        <f t="shared" si="445"/>
        <v>17</v>
      </c>
      <c r="Q230" s="64" t="e">
        <f t="shared" si="446"/>
        <v>#VALUE!</v>
      </c>
      <c r="R230" s="64" t="e">
        <f t="shared" si="447"/>
        <v>#VALUE!</v>
      </c>
      <c r="S230" s="64" t="str">
        <f>IFERROR(VLOOKUP(MID(N230,Q230,R230-Q230),[5]skilldef!$C:$D,2,FALSE),"-") &amp; " / " &amp; IFERROR(VLOOKUP(MID(N230,O230,P230-O230),[5]skilldef!$A:$B,2,FALSE),"-")</f>
        <v>- / 大攻撃</v>
      </c>
      <c r="T230" s="48" t="str">
        <f t="shared" si="448"/>
        <v>none</v>
      </c>
      <c r="U230" s="64" t="e">
        <f t="shared" si="485"/>
        <v>#VALUE!</v>
      </c>
      <c r="V230" s="64">
        <f t="shared" si="450"/>
        <v>4</v>
      </c>
      <c r="W230" s="64" t="e">
        <f t="shared" si="451"/>
        <v>#VALUE!</v>
      </c>
      <c r="X230" s="64" t="e">
        <f t="shared" si="452"/>
        <v>#VALUE!</v>
      </c>
      <c r="Y230" s="64" t="str">
        <f>IFERROR(VLOOKUP(MID(T230,W230,X230-W230),[5]skilldef!$C:$D,2,FALSE),"-") &amp; " / " &amp; IFERROR(VLOOKUP(MID(T230,U230,V230-U230),[5]skilldef!$A:$B,2,FALSE),"-")</f>
        <v>- / -</v>
      </c>
      <c r="Z230" s="50"/>
      <c r="AA230" s="52"/>
      <c r="AB230" s="50"/>
    </row>
    <row r="231" spans="1:28" ht="40" customHeight="1" x14ac:dyDescent="0.15">
      <c r="A231" s="119">
        <v>47003764</v>
      </c>
      <c r="B231" s="47" t="s">
        <v>545</v>
      </c>
      <c r="C231" s="126">
        <v>3</v>
      </c>
      <c r="D231" s="126" t="s">
        <v>126</v>
      </c>
      <c r="E231" s="51" t="s">
        <v>346</v>
      </c>
      <c r="F231" s="51" t="s">
        <v>550</v>
      </c>
      <c r="G231" s="130" t="str">
        <f t="shared" ref="G231" si="486">IFERROR(LEFT(B231,FIND("],",B231)),B231)</f>
        <v>[effect:enemy_message, val1:1.0, val2:2.0]</v>
      </c>
      <c r="H231" s="64">
        <f t="shared" ref="H231" si="487">FIND("effect:",G231)+7</f>
        <v>9</v>
      </c>
      <c r="I231" s="64">
        <f t="shared" ref="I231" si="488">IFERROR(FIND(",",G231),LEN(G231))</f>
        <v>22</v>
      </c>
      <c r="J231" s="64" t="e">
        <f t="shared" ref="J231" si="489">FIND("target:",G231)+7</f>
        <v>#VALUE!</v>
      </c>
      <c r="K231" s="64">
        <f t="shared" ref="K231" si="490">FIND(",",G231,I231+1)</f>
        <v>32</v>
      </c>
      <c r="L231" s="64" t="str">
        <f>IFERROR(VLOOKUP(MID(G231,J231,K231-J231),[5]skilldef!$C:$D,2,FALSE),"-") &amp; " / " &amp; IFERROR(VLOOKUP(MID(G231,H231,I231-H231),[5]skilldef!$A:$B,2,FALSE),"-")</f>
        <v>- / -</v>
      </c>
      <c r="M231" s="64" t="str">
        <f t="shared" ref="M231" si="491">IFERROR(RIGHT(B231,LEN(B231)-FIND("],",B231)-1),"none")</f>
        <v>[effect:hungup, target:unit_all, turn:2, rate:1, animation:hungup02],[effect:enhance_enemy, target:enemy_all, turn:-1, status:attack, val:0.2, calc:mul, animation:enemy_enhance_attack]</v>
      </c>
      <c r="N231" s="48" t="str">
        <f>IFERROR(LEFT(M231,FIND("],",M231)+S234),M231)</f>
        <v>[effect:hungup, target:unit_all, turn:2, rate:1, animation:hungup02],[effect:enhance_enemy, target:enemy_all, turn:-1, status:attack, val:0.2, calc:mul, animation:enemy_enhance_attack]</v>
      </c>
      <c r="O231" s="64">
        <f t="shared" ref="O231" si="492">FIND("effect:",N231)+7</f>
        <v>9</v>
      </c>
      <c r="P231" s="64">
        <f t="shared" ref="P231" si="493">IFERROR(FIND(",",N231),LEN(N231))</f>
        <v>15</v>
      </c>
      <c r="Q231" s="64">
        <f t="shared" ref="Q231" si="494">FIND("target:",N231)+7</f>
        <v>24</v>
      </c>
      <c r="R231" s="64">
        <f t="shared" ref="R231" si="495">FIND(",",N231,P231+1)</f>
        <v>32</v>
      </c>
      <c r="S231" s="64" t="str">
        <f>IFERROR(VLOOKUP(MID(N231,Q231,R231-Q231),[5]skilldef!$C:$D,2,FALSE),"-") &amp; " / " &amp; IFERROR(VLOOKUP(MID(N231,O231,P231-O231),[5]skilldef!$A:$B,2,FALSE),"-")</f>
        <v>味方全体に / ハングアップ</v>
      </c>
      <c r="T231" s="48" t="str">
        <f t="shared" ref="T231" si="496">IFERROR(RIGHT(M231,LEN(M231)-FIND("],",M231)-1),"none")</f>
        <v>[effect:enhance_enemy, target:enemy_all, turn:-1, status:attack, val:0.2, calc:mul, animation:enemy_enhance_attack]</v>
      </c>
      <c r="U231" s="64">
        <f t="shared" ref="U231" si="497">FIND("effect:",T231)+7</f>
        <v>9</v>
      </c>
      <c r="V231" s="64">
        <f t="shared" ref="V231" si="498">IFERROR(FIND(",",T231),LEN(T231))</f>
        <v>22</v>
      </c>
      <c r="W231" s="64">
        <f t="shared" ref="W231" si="499">FIND("target:",T231)+7</f>
        <v>31</v>
      </c>
      <c r="X231" s="64">
        <f t="shared" ref="X231" si="500">FIND(",",T231,V231+1)</f>
        <v>40</v>
      </c>
      <c r="Y231" s="64" t="str">
        <f>IFERROR(VLOOKUP(MID(T231,W231,X231-W231),[5]skilldef!$C:$D,2,FALSE),"-") &amp; " / " &amp; IFERROR(VLOOKUP(MID(T231,U231,V231-U231),[5]skilldef!$A:$B,2,FALSE),"-")</f>
        <v>敵全体に / ステータス強化</v>
      </c>
      <c r="Z231" s="50"/>
      <c r="AA231" s="52"/>
      <c r="AB231" s="50"/>
    </row>
    <row r="232" spans="1:28" ht="40" customHeight="1" x14ac:dyDescent="0.15">
      <c r="A232" s="119">
        <v>47003765</v>
      </c>
      <c r="B232" s="47" t="s">
        <v>546</v>
      </c>
      <c r="C232" s="126">
        <v>3</v>
      </c>
      <c r="D232" s="126" t="s">
        <v>126</v>
      </c>
      <c r="E232" s="51" t="s">
        <v>347</v>
      </c>
      <c r="F232" s="51" t="s">
        <v>330</v>
      </c>
      <c r="G232" s="130" t="str">
        <f t="shared" ref="G232" si="501">IFERROR(LEFT(B232,FIND("],",B232)),B232)</f>
        <v>[effect:enemy_message, val1:1.0, val2:2.0]</v>
      </c>
      <c r="H232" s="64">
        <f t="shared" ref="H232" si="502">FIND("effect:",G232)+7</f>
        <v>9</v>
      </c>
      <c r="I232" s="64">
        <f t="shared" ref="I232" si="503">IFERROR(FIND(",",G232),LEN(G232))</f>
        <v>22</v>
      </c>
      <c r="J232" s="64" t="e">
        <f t="shared" ref="J232" si="504">FIND("target:",G232)+7</f>
        <v>#VALUE!</v>
      </c>
      <c r="K232" s="64">
        <f t="shared" ref="K232" si="505">FIND(",",G232,I232+1)</f>
        <v>32</v>
      </c>
      <c r="L232" s="64" t="str">
        <f>IFERROR(VLOOKUP(MID(G232,J232,K232-J232),[5]skilldef!$C:$D,2,FALSE),"-") &amp; " / " &amp; IFERROR(VLOOKUP(MID(G232,H232,I232-H232),[5]skilldef!$A:$B,2,FALSE),"-")</f>
        <v>- / -</v>
      </c>
      <c r="M232" s="64" t="str">
        <f t="shared" ref="M232" si="506">IFERROR(RIGHT(B232,LEN(B232)-FIND("],",B232)-1),"none")</f>
        <v>[effect:break_attack_fix, target:unit_one, val:1150, lowest_val:1, count:-1, color:yellow, block_color:block_heart, block01:block_heart, block02:crack_bomb]</v>
      </c>
      <c r="N232" s="48" t="str">
        <f>IFERROR(LEFT(M232,FIND("],",M232)+S235),M232)</f>
        <v>[effect:break_attack_fix, target:unit_one, val:1150, lowest_val:1, count:-1, color:yellow, block_color:block_heart, block01:block_heart, block02:crack_bomb]</v>
      </c>
      <c r="O232" s="64">
        <f t="shared" ref="O232" si="507">FIND("effect:",N232)+7</f>
        <v>9</v>
      </c>
      <c r="P232" s="64">
        <f t="shared" ref="P232" si="508">IFERROR(FIND(",",N232),LEN(N232))</f>
        <v>25</v>
      </c>
      <c r="Q232" s="64">
        <f t="shared" ref="Q232" si="509">FIND("target:",N232)+7</f>
        <v>34</v>
      </c>
      <c r="R232" s="64">
        <f t="shared" ref="R232" si="510">FIND(",",N232,P232+1)</f>
        <v>42</v>
      </c>
      <c r="S232" s="64" t="str">
        <f>IFERROR(VLOOKUP(MID(N232,Q232,R232-Q232),[5]skilldef!$C:$D,2,FALSE),"-") &amp; " / " &amp; IFERROR(VLOOKUP(MID(N232,O232,P232-O232),[5]skilldef!$A:$B,2,FALSE),"-")</f>
        <v>味方単体に / -</v>
      </c>
      <c r="T232" s="48" t="str">
        <f t="shared" ref="T232" si="511">IFERROR(RIGHT(M232,LEN(M232)-FIND("],",M232)-1),"none")</f>
        <v>none</v>
      </c>
      <c r="U232" s="64" t="e">
        <f t="shared" ref="U232" si="512">FIND("effect:",T232)+7</f>
        <v>#VALUE!</v>
      </c>
      <c r="V232" s="64">
        <f t="shared" ref="V232" si="513">IFERROR(FIND(",",T232),LEN(T232))</f>
        <v>4</v>
      </c>
      <c r="W232" s="64" t="e">
        <f t="shared" ref="W232" si="514">FIND("target:",T232)+7</f>
        <v>#VALUE!</v>
      </c>
      <c r="X232" s="64" t="e">
        <f t="shared" ref="X232" si="515">FIND(",",T232,V232+1)</f>
        <v>#VALUE!</v>
      </c>
      <c r="Y232" s="64" t="str">
        <f>IFERROR(VLOOKUP(MID(T232,W232,X232-W232),[5]skilldef!$C:$D,2,FALSE),"-") &amp; " / " &amp; IFERROR(VLOOKUP(MID(T232,U232,V232-U232),[5]skilldef!$A:$B,2,FALSE),"-")</f>
        <v>- / -</v>
      </c>
      <c r="Z232" s="50"/>
      <c r="AA232" s="52"/>
      <c r="AB232" s="50"/>
    </row>
    <row r="233" spans="1:28" ht="40" customHeight="1" x14ac:dyDescent="0.15">
      <c r="A233" s="121">
        <v>47003781</v>
      </c>
      <c r="B233" s="47" t="s">
        <v>547</v>
      </c>
      <c r="C233" s="127">
        <v>3</v>
      </c>
      <c r="D233" s="127" t="s">
        <v>126</v>
      </c>
      <c r="E233" s="51" t="s">
        <v>348</v>
      </c>
      <c r="F233" s="51" t="s">
        <v>374</v>
      </c>
      <c r="G233" s="130" t="str">
        <f t="shared" ref="G233:G235" si="516">IFERROR(LEFT(B233,FIND("],",B233)),B233)</f>
        <v>[effect:enemy_message, val1:1.5, val2:3.3]</v>
      </c>
      <c r="H233" s="64">
        <f t="shared" ref="H233:H235" si="517">FIND("effect:",G233)+7</f>
        <v>9</v>
      </c>
      <c r="I233" s="64">
        <f t="shared" ref="I233:I235" si="518">IFERROR(FIND(",",G233),LEN(G233))</f>
        <v>22</v>
      </c>
      <c r="J233" s="64" t="e">
        <f t="shared" ref="J233:J235" si="519">FIND("target:",G233)+7</f>
        <v>#VALUE!</v>
      </c>
      <c r="K233" s="64">
        <f t="shared" ref="K233:K235" si="520">FIND(",",G233,I233+1)</f>
        <v>32</v>
      </c>
      <c r="L233" s="64" t="str">
        <f>IFERROR(VLOOKUP(MID(G233,J233,K233-J233),[5]skilldef!$C:$D,2,FALSE),"-") &amp; " / " &amp; IFERROR(VLOOKUP(MID(G233,H233,I233-H233),[5]skilldef!$A:$B,2,FALSE),"-")</f>
        <v>- / -</v>
      </c>
      <c r="M233" s="64" t="str">
        <f t="shared" ref="M233:M235" si="521">IFERROR(RIGHT(B233,LEN(B233)-FIND("],",B233)-1),"none")</f>
        <v>[effect:hungup, target:unit_demon/not, turn:2, rate:1, animation:hungup02],[effect:force_change_block, new_block:damage, target:block_all, ignore01:crash, ignore02:crack_bomb, ignore03:color_break, count:4, val:0.05],[effect:change_panel_ratio, turn:-1, block_type:yellow, val:0.4, animation:block_incidence04],[effect:fix_speed, target:myself, turn:1]</v>
      </c>
      <c r="N233" s="48" t="str">
        <f>IFERROR(LEFT(M233,FIND("],",M233)+#REF!),M233)</f>
        <v>[effect:hungup, target:unit_demon/not, turn:2, rate:1, animation:hungup02],[effect:force_change_block, new_block:damage, target:block_all, ignore01:crash, ignore02:crack_bomb, ignore03:color_break, count:4, val:0.05],[effect:change_panel_ratio, turn:-1, block_type:yellow, val:0.4, animation:block_incidence04],[effect:fix_speed, target:myself, turn:1]</v>
      </c>
      <c r="O233" s="64">
        <f t="shared" ref="O233:O235" si="522">FIND("effect:",N233)+7</f>
        <v>9</v>
      </c>
      <c r="P233" s="64">
        <f t="shared" ref="P233:P235" si="523">IFERROR(FIND(",",N233),LEN(N233))</f>
        <v>15</v>
      </c>
      <c r="Q233" s="64">
        <f t="shared" ref="Q233:Q235" si="524">FIND("target:",N233)+7</f>
        <v>24</v>
      </c>
      <c r="R233" s="64">
        <f t="shared" ref="R233:R235" si="525">FIND(",",N233,P233+1)</f>
        <v>38</v>
      </c>
      <c r="S233" s="64" t="str">
        <f>IFERROR(VLOOKUP(MID(N233,Q233,R233-Q233),[5]skilldef!$C:$D,2,FALSE),"-") &amp; " / " &amp; IFERROR(VLOOKUP(MID(N233,O233,P233-O233),[5]skilldef!$A:$B,2,FALSE),"-")</f>
        <v>- / ハングアップ</v>
      </c>
      <c r="T233" s="48" t="str">
        <f t="shared" ref="T233:T235" si="526">IFERROR(RIGHT(M233,LEN(M233)-FIND("],",M233)-1),"none")</f>
        <v>[effect:force_change_block, new_block:damage, target:block_all, ignore01:crash, ignore02:crack_bomb, ignore03:color_break, count:4, val:0.05],[effect:change_panel_ratio, turn:-1, block_type:yellow, val:0.4, animation:block_incidence04],[effect:fix_speed, target:myself, turn:1]</v>
      </c>
      <c r="U233" s="64">
        <f t="shared" ref="U233:U235" si="527">FIND("effect:",T233)+7</f>
        <v>9</v>
      </c>
      <c r="V233" s="64">
        <f t="shared" ref="V233:V235" si="528">IFERROR(FIND(",",T233),LEN(T233))</f>
        <v>27</v>
      </c>
      <c r="W233" s="64">
        <f t="shared" ref="W233:W235" si="529">FIND("target:",T233)+7</f>
        <v>54</v>
      </c>
      <c r="X233" s="64">
        <f t="shared" ref="X233:X235" si="530">FIND(",",T233,V233+1)</f>
        <v>45</v>
      </c>
      <c r="Y233" s="64" t="str">
        <f>IFERROR(VLOOKUP(MID(T233,W233,X233-W233),[5]skilldef!$C:$D,2,FALSE),"-") &amp; " / " &amp; IFERROR(VLOOKUP(MID(T233,U233,V233-U233),[5]skilldef!$A:$B,2,FALSE),"-")</f>
        <v>- / -</v>
      </c>
      <c r="Z233" s="50"/>
      <c r="AA233" s="52"/>
      <c r="AB233" s="50"/>
    </row>
    <row r="234" spans="1:28" ht="40" customHeight="1" x14ac:dyDescent="0.15">
      <c r="A234" s="121">
        <v>47003782</v>
      </c>
      <c r="B234" s="47" t="s">
        <v>355</v>
      </c>
      <c r="C234" s="127">
        <v>3</v>
      </c>
      <c r="D234" s="127" t="s">
        <v>126</v>
      </c>
      <c r="E234" s="51" t="s">
        <v>344</v>
      </c>
      <c r="F234" s="51" t="s">
        <v>362</v>
      </c>
      <c r="G234" s="130" t="str">
        <f t="shared" si="516"/>
        <v>[effect:force_change_block, new_block:damage, target:block_all, ignore01:crash, ignore02:crack_bomb, ignore03:color_break, count:8, val:0.05]</v>
      </c>
      <c r="H234" s="64">
        <f t="shared" si="517"/>
        <v>9</v>
      </c>
      <c r="I234" s="64">
        <f t="shared" si="518"/>
        <v>27</v>
      </c>
      <c r="J234" s="64">
        <f t="shared" si="519"/>
        <v>54</v>
      </c>
      <c r="K234" s="64">
        <f t="shared" si="520"/>
        <v>45</v>
      </c>
      <c r="L234" s="64" t="str">
        <f>IFERROR(VLOOKUP(MID(G234,J234,K234-J234),[5]skilldef!$C:$D,2,FALSE),"-") &amp; " / " &amp; IFERROR(VLOOKUP(MID(G234,H234,I234-H234),[5]skilldef!$A:$B,2,FALSE),"-")</f>
        <v>- / -</v>
      </c>
      <c r="M234" s="64" t="str">
        <f t="shared" si="521"/>
        <v>[effect:critical, val:1]</v>
      </c>
      <c r="N234" s="48" t="str">
        <f>IFERROR(LEFT(M234,FIND("],",M234)+#REF!),M234)</f>
        <v>[effect:critical, val:1]</v>
      </c>
      <c r="O234" s="64">
        <f t="shared" si="522"/>
        <v>9</v>
      </c>
      <c r="P234" s="64">
        <f t="shared" si="523"/>
        <v>17</v>
      </c>
      <c r="Q234" s="64" t="e">
        <f t="shared" si="524"/>
        <v>#VALUE!</v>
      </c>
      <c r="R234" s="64" t="e">
        <f t="shared" si="525"/>
        <v>#VALUE!</v>
      </c>
      <c r="S234" s="64" t="str">
        <f>IFERROR(VLOOKUP(MID(N234,Q234,R234-Q234),[5]skilldef!$C:$D,2,FALSE),"-") &amp; " / " &amp; IFERROR(VLOOKUP(MID(N234,O234,P234-O234),[5]skilldef!$A:$B,2,FALSE),"-")</f>
        <v>- / 大攻撃</v>
      </c>
      <c r="T234" s="48" t="str">
        <f t="shared" si="526"/>
        <v>none</v>
      </c>
      <c r="U234" s="64" t="e">
        <f t="shared" si="527"/>
        <v>#VALUE!</v>
      </c>
      <c r="V234" s="64">
        <f t="shared" si="528"/>
        <v>4</v>
      </c>
      <c r="W234" s="64" t="e">
        <f t="shared" si="529"/>
        <v>#VALUE!</v>
      </c>
      <c r="X234" s="64" t="e">
        <f t="shared" si="530"/>
        <v>#VALUE!</v>
      </c>
      <c r="Y234" s="64" t="str">
        <f>IFERROR(VLOOKUP(MID(T234,W234,X234-W234),[5]skilldef!$C:$D,2,FALSE),"-") &amp; " / " &amp; IFERROR(VLOOKUP(MID(T234,U234,V234-U234),[5]skilldef!$A:$B,2,FALSE),"-")</f>
        <v>- / -</v>
      </c>
      <c r="Z234" s="50"/>
      <c r="AA234" s="52"/>
      <c r="AB234" s="50"/>
    </row>
    <row r="235" spans="1:28" ht="40" customHeight="1" x14ac:dyDescent="0.15">
      <c r="A235" s="121">
        <v>47003783</v>
      </c>
      <c r="B235" s="47" t="s">
        <v>269</v>
      </c>
      <c r="C235" s="127">
        <v>3</v>
      </c>
      <c r="D235" s="127" t="s">
        <v>126</v>
      </c>
      <c r="E235" s="51" t="s">
        <v>349</v>
      </c>
      <c r="F235" s="51" t="s">
        <v>339</v>
      </c>
      <c r="G235" s="130" t="str">
        <f t="shared" si="516"/>
        <v xml:space="preserve">[effect:break_attack_fix, target:unit_one, val:200, lowest_val:10000, count:-1, color:yellow, block01:block_yellow]    </v>
      </c>
      <c r="H235" s="64">
        <f t="shared" si="517"/>
        <v>9</v>
      </c>
      <c r="I235" s="64">
        <f t="shared" si="518"/>
        <v>25</v>
      </c>
      <c r="J235" s="64">
        <f t="shared" si="519"/>
        <v>34</v>
      </c>
      <c r="K235" s="64">
        <f t="shared" si="520"/>
        <v>42</v>
      </c>
      <c r="L235" s="64" t="str">
        <f>IFERROR(VLOOKUP(MID(G235,J235,K235-J235),[5]skilldef!$C:$D,2,FALSE),"-") &amp; " / " &amp; IFERROR(VLOOKUP(MID(G235,H235,I235-H235),[5]skilldef!$A:$B,2,FALSE),"-")</f>
        <v>味方単体に / -</v>
      </c>
      <c r="M235" s="64" t="str">
        <f t="shared" si="521"/>
        <v>none</v>
      </c>
      <c r="N235" s="48" t="str">
        <f>IFERROR(LEFT(M235,FIND("],",M235)+S236),M235)</f>
        <v>none</v>
      </c>
      <c r="O235" s="64" t="e">
        <f t="shared" si="522"/>
        <v>#VALUE!</v>
      </c>
      <c r="P235" s="64">
        <f t="shared" si="523"/>
        <v>4</v>
      </c>
      <c r="Q235" s="64" t="e">
        <f t="shared" si="524"/>
        <v>#VALUE!</v>
      </c>
      <c r="R235" s="64" t="e">
        <f t="shared" si="525"/>
        <v>#VALUE!</v>
      </c>
      <c r="S235" s="64" t="str">
        <f>IFERROR(VLOOKUP(MID(N235,Q235,R235-Q235),[5]skilldef!$C:$D,2,FALSE),"-") &amp; " / " &amp; IFERROR(VLOOKUP(MID(N235,O235,P235-O235),[5]skilldef!$A:$B,2,FALSE),"-")</f>
        <v>- / -</v>
      </c>
      <c r="T235" s="48" t="str">
        <f t="shared" si="526"/>
        <v>none</v>
      </c>
      <c r="U235" s="64" t="e">
        <f t="shared" si="527"/>
        <v>#VALUE!</v>
      </c>
      <c r="V235" s="64">
        <f t="shared" si="528"/>
        <v>4</v>
      </c>
      <c r="W235" s="64" t="e">
        <f t="shared" si="529"/>
        <v>#VALUE!</v>
      </c>
      <c r="X235" s="64" t="e">
        <f t="shared" si="530"/>
        <v>#VALUE!</v>
      </c>
      <c r="Y235" s="64" t="str">
        <f>IFERROR(VLOOKUP(MID(T235,W235,X235-W235),[5]skilldef!$C:$D,2,FALSE),"-") &amp; " / " &amp; IFERROR(VLOOKUP(MID(T235,U235,V235-U235),[5]skilldef!$A:$B,2,FALSE),"-")</f>
        <v>- / -</v>
      </c>
      <c r="Z235" s="50"/>
      <c r="AA235" s="52"/>
      <c r="AB235" s="50"/>
    </row>
    <row r="236" spans="1:28" ht="40" customHeight="1" x14ac:dyDescent="0.15">
      <c r="A236" s="121">
        <v>47003784</v>
      </c>
      <c r="B236" s="47" t="s">
        <v>548</v>
      </c>
      <c r="C236" s="127">
        <v>3</v>
      </c>
      <c r="D236" s="127" t="s">
        <v>126</v>
      </c>
      <c r="E236" s="51" t="s">
        <v>350</v>
      </c>
      <c r="F236" s="51" t="s">
        <v>552</v>
      </c>
      <c r="G236" s="130" t="str">
        <f t="shared" ref="G236" si="531">IFERROR(LEFT(B236,FIND("],",B236)),B236)</f>
        <v>[effect:enemy_message, val1:1.0, val2:2.5]</v>
      </c>
      <c r="H236" s="64">
        <f t="shared" ref="H236" si="532">FIND("effect:",G236)+7</f>
        <v>9</v>
      </c>
      <c r="I236" s="64">
        <f t="shared" ref="I236" si="533">IFERROR(FIND(",",G236),LEN(G236))</f>
        <v>22</v>
      </c>
      <c r="J236" s="64" t="e">
        <f t="shared" ref="J236" si="534">FIND("target:",G236)+7</f>
        <v>#VALUE!</v>
      </c>
      <c r="K236" s="64">
        <f t="shared" ref="K236" si="535">FIND(",",G236,I236+1)</f>
        <v>32</v>
      </c>
      <c r="L236" s="64" t="str">
        <f>IFERROR(VLOOKUP(MID(G236,J236,K236-J236),[5]skilldef!$C:$D,2,FALSE),"-") &amp; " / " &amp; IFERROR(VLOOKUP(MID(G236,H236,I236-H236),[5]skilldef!$A:$B,2,FALSE),"-")</f>
        <v>- / -</v>
      </c>
      <c r="M236" s="64" t="str">
        <f t="shared" ref="M236" si="536">IFERROR(RIGHT(B236,LEN(B236)-FIND("],",B236)-1),"none")</f>
        <v xml:space="preserve">[effect:break_attack_fix, target:unit_one, val:1150, lowest_val:1, count:-1, color:yellow, block_color:block_heart, block01:block_heart, block02:crack_bomb],[effect:enhance_enemy, target:enemy_all, turn:-1, status:defense, val:5000, calc:add, animation:enemy_enhance_defense]    </v>
      </c>
      <c r="N236" s="48" t="str">
        <f>IFERROR(LEFT(M236,FIND("],",M236)+S237),M236)</f>
        <v xml:space="preserve">[effect:break_attack_fix, target:unit_one, val:1150, lowest_val:1, count:-1, color:yellow, block_color:block_heart, block01:block_heart, block02:crack_bomb],[effect:enhance_enemy, target:enemy_all, turn:-1, status:defense, val:5000, calc:add, animation:enemy_enhance_defense]    </v>
      </c>
      <c r="O236" s="64">
        <f t="shared" ref="O236" si="537">FIND("effect:",N236)+7</f>
        <v>9</v>
      </c>
      <c r="P236" s="64">
        <f t="shared" ref="P236" si="538">IFERROR(FIND(",",N236),LEN(N236))</f>
        <v>25</v>
      </c>
      <c r="Q236" s="64">
        <f t="shared" ref="Q236" si="539">FIND("target:",N236)+7</f>
        <v>34</v>
      </c>
      <c r="R236" s="64">
        <f t="shared" ref="R236" si="540">FIND(",",N236,P236+1)</f>
        <v>42</v>
      </c>
      <c r="S236" s="64" t="str">
        <f>IFERROR(VLOOKUP(MID(N236,Q236,R236-Q236),[5]skilldef!$C:$D,2,FALSE),"-") &amp; " / " &amp; IFERROR(VLOOKUP(MID(N236,O236,P236-O236),[5]skilldef!$A:$B,2,FALSE),"-")</f>
        <v>味方単体に / -</v>
      </c>
      <c r="T236" s="48" t="str">
        <f t="shared" ref="T236" si="541">IFERROR(RIGHT(M236,LEN(M236)-FIND("],",M236)-1),"none")</f>
        <v xml:space="preserve">[effect:enhance_enemy, target:enemy_all, turn:-1, status:defense, val:5000, calc:add, animation:enemy_enhance_defense]    </v>
      </c>
      <c r="U236" s="64">
        <f t="shared" ref="U236" si="542">FIND("effect:",T236)+7</f>
        <v>9</v>
      </c>
      <c r="V236" s="64">
        <f t="shared" ref="V236" si="543">IFERROR(FIND(",",T236),LEN(T236))</f>
        <v>22</v>
      </c>
      <c r="W236" s="64">
        <f t="shared" ref="W236" si="544">FIND("target:",T236)+7</f>
        <v>31</v>
      </c>
      <c r="X236" s="64">
        <f t="shared" ref="X236" si="545">FIND(",",T236,V236+1)</f>
        <v>40</v>
      </c>
      <c r="Y236" s="64" t="str">
        <f>IFERROR(VLOOKUP(MID(T236,W236,X236-W236),[5]skilldef!$C:$D,2,FALSE),"-") &amp; " / " &amp; IFERROR(VLOOKUP(MID(T236,U236,V236-U236),[5]skilldef!$A:$B,2,FALSE),"-")</f>
        <v>敵全体に / ステータス強化</v>
      </c>
      <c r="Z236" s="50"/>
      <c r="AA236" s="52"/>
      <c r="AB236" s="50"/>
    </row>
    <row r="237" spans="1:28" ht="40" customHeight="1" x14ac:dyDescent="0.15">
      <c r="A237" s="121">
        <v>47003785</v>
      </c>
      <c r="B237" s="47" t="s">
        <v>375</v>
      </c>
      <c r="C237" s="127">
        <v>3</v>
      </c>
      <c r="D237" s="127" t="s">
        <v>126</v>
      </c>
      <c r="E237" s="51" t="s">
        <v>351</v>
      </c>
      <c r="F237" s="51" t="s">
        <v>352</v>
      </c>
      <c r="G237" s="130" t="str">
        <f t="shared" ref="G237" si="546">IFERROR(LEFT(B237,FIND("],",B237)),B237)</f>
        <v>[effect:force_change_block, new_block:damage, target:block_all, ignore01:crash, ignore02:crack_bomb, ignore03:color_break, count:12, val:0.05]</v>
      </c>
      <c r="H237" s="64">
        <f t="shared" ref="H237" si="547">FIND("effect:",G237)+7</f>
        <v>9</v>
      </c>
      <c r="I237" s="64">
        <f t="shared" ref="I237" si="548">IFERROR(FIND(",",G237),LEN(G237))</f>
        <v>27</v>
      </c>
      <c r="J237" s="64">
        <f t="shared" ref="J237" si="549">FIND("target:",G237)+7</f>
        <v>54</v>
      </c>
      <c r="K237" s="64">
        <f t="shared" ref="K237" si="550">FIND(",",G237,I237+1)</f>
        <v>45</v>
      </c>
      <c r="L237" s="64" t="str">
        <f>IFERROR(VLOOKUP(MID(G237,J237,K237-J237),[5]skilldef!$C:$D,2,FALSE),"-") &amp; " / " &amp; IFERROR(VLOOKUP(MID(G237,H237,I237-H237),[5]skilldef!$A:$B,2,FALSE),"-")</f>
        <v>- / -</v>
      </c>
      <c r="M237" s="64" t="str">
        <f t="shared" ref="M237" si="551">IFERROR(RIGHT(B237,LEN(B237)-FIND("],",B237)-1),"none")</f>
        <v>none</v>
      </c>
      <c r="N237" s="48" t="str">
        <f>IFERROR(LEFT(M237,FIND("],",M237)+#REF!),M237)</f>
        <v>none</v>
      </c>
      <c r="O237" s="64" t="e">
        <f t="shared" ref="O237" si="552">FIND("effect:",N237)+7</f>
        <v>#VALUE!</v>
      </c>
      <c r="P237" s="64">
        <f t="shared" ref="P237" si="553">IFERROR(FIND(",",N237),LEN(N237))</f>
        <v>4</v>
      </c>
      <c r="Q237" s="64" t="e">
        <f t="shared" ref="Q237" si="554">FIND("target:",N237)+7</f>
        <v>#VALUE!</v>
      </c>
      <c r="R237" s="64" t="e">
        <f t="shared" ref="R237" si="555">FIND(",",N237,P237+1)</f>
        <v>#VALUE!</v>
      </c>
      <c r="S237" s="64" t="str">
        <f>IFERROR(VLOOKUP(MID(N237,Q237,R237-Q237),[5]skilldef!$C:$D,2,FALSE),"-") &amp; " / " &amp; IFERROR(VLOOKUP(MID(N237,O237,P237-O237),[5]skilldef!$A:$B,2,FALSE),"-")</f>
        <v>- / -</v>
      </c>
      <c r="T237" s="48" t="str">
        <f t="shared" ref="T237" si="556">IFERROR(RIGHT(M237,LEN(M237)-FIND("],",M237)-1),"none")</f>
        <v>none</v>
      </c>
      <c r="U237" s="64" t="e">
        <f t="shared" ref="U237" si="557">FIND("effect:",T237)+7</f>
        <v>#VALUE!</v>
      </c>
      <c r="V237" s="64">
        <f t="shared" ref="V237" si="558">IFERROR(FIND(",",T237),LEN(T237))</f>
        <v>4</v>
      </c>
      <c r="W237" s="64" t="e">
        <f t="shared" ref="W237" si="559">FIND("target:",T237)+7</f>
        <v>#VALUE!</v>
      </c>
      <c r="X237" s="64" t="e">
        <f t="shared" ref="X237" si="560">FIND(",",T237,V237+1)</f>
        <v>#VALUE!</v>
      </c>
      <c r="Y237" s="64" t="str">
        <f>IFERROR(VLOOKUP(MID(T237,W237,X237-W237),[5]skilldef!$C:$D,2,FALSE),"-") &amp; " / " &amp; IFERROR(VLOOKUP(MID(T237,U237,V237-U237),[5]skilldef!$A:$B,2,FALSE),"-")</f>
        <v>- / -</v>
      </c>
      <c r="Z237" s="50"/>
      <c r="AA237" s="52"/>
      <c r="AB237" s="50"/>
    </row>
    <row r="238" spans="1:28" ht="40" customHeight="1" x14ac:dyDescent="0.15">
      <c r="A238" s="121">
        <v>47003786</v>
      </c>
      <c r="B238" s="47" t="s">
        <v>461</v>
      </c>
      <c r="C238" s="127">
        <v>3</v>
      </c>
      <c r="D238" s="127" t="s">
        <v>126</v>
      </c>
      <c r="E238" s="51" t="s">
        <v>460</v>
      </c>
      <c r="F238" s="51" t="s">
        <v>369</v>
      </c>
      <c r="G238" s="130" t="str">
        <f t="shared" ref="G238" si="561">IFERROR(LEFT(B238,FIND("],",B238)),B238)</f>
        <v>[effect:enemy_message, val1:3.0, val2:3.0]</v>
      </c>
      <c r="H238" s="64">
        <f t="shared" ref="H238" si="562">FIND("effect:",G238)+7</f>
        <v>9</v>
      </c>
      <c r="I238" s="64">
        <f t="shared" ref="I238" si="563">IFERROR(FIND(",",G238),LEN(G238))</f>
        <v>22</v>
      </c>
      <c r="J238" s="64" t="e">
        <f t="shared" ref="J238" si="564">FIND("target:",G238)+7</f>
        <v>#VALUE!</v>
      </c>
      <c r="K238" s="64">
        <f t="shared" ref="K238" si="565">FIND(",",G238,I238+1)</f>
        <v>32</v>
      </c>
      <c r="L238" s="64" t="str">
        <f>IFERROR(VLOOKUP(MID(G238,J238,K238-J238),[5]skilldef!$C:$D,2,FALSE),"-") &amp; " / " &amp; IFERROR(VLOOKUP(MID(G238,H238,I238-H238),[5]skilldef!$A:$B,2,FALSE),"-")</f>
        <v>- / -</v>
      </c>
      <c r="M238" s="64" t="str">
        <f t="shared" ref="M238" si="566">IFERROR(RIGHT(B238,LEN(B238)-FIND("],",B238)-1),"none")</f>
        <v>none</v>
      </c>
      <c r="N238" s="48" t="str">
        <f t="shared" ref="N238" si="567">IFERROR(LEFT(M238,FIND("],",M238)+S239),M238)</f>
        <v>none</v>
      </c>
      <c r="O238" s="64" t="e">
        <f t="shared" ref="O238" si="568">FIND("effect:",N238)+7</f>
        <v>#VALUE!</v>
      </c>
      <c r="P238" s="64">
        <f t="shared" ref="P238" si="569">IFERROR(FIND(",",N238),LEN(N238))</f>
        <v>4</v>
      </c>
      <c r="Q238" s="64" t="e">
        <f t="shared" ref="Q238" si="570">FIND("target:",N238)+7</f>
        <v>#VALUE!</v>
      </c>
      <c r="R238" s="64" t="e">
        <f t="shared" ref="R238" si="571">FIND(",",N238,P238+1)</f>
        <v>#VALUE!</v>
      </c>
      <c r="S238" s="64" t="str">
        <f>IFERROR(VLOOKUP(MID(N238,Q238,R238-Q238),[5]skilldef!$C:$D,2,FALSE),"-") &amp; " / " &amp; IFERROR(VLOOKUP(MID(N238,O238,P238-O238),[5]skilldef!$A:$B,2,FALSE),"-")</f>
        <v>- / -</v>
      </c>
      <c r="T238" s="48" t="str">
        <f t="shared" ref="T238" si="572">IFERROR(RIGHT(M238,LEN(M238)-FIND("],",M238)-1),"none")</f>
        <v>none</v>
      </c>
      <c r="U238" s="64" t="e">
        <f t="shared" ref="U238" si="573">FIND("effect:",T238)+7</f>
        <v>#VALUE!</v>
      </c>
      <c r="V238" s="64">
        <f t="shared" ref="V238" si="574">IFERROR(FIND(",",T238),LEN(T238))</f>
        <v>4</v>
      </c>
      <c r="W238" s="64" t="e">
        <f t="shared" ref="W238" si="575">FIND("target:",T238)+7</f>
        <v>#VALUE!</v>
      </c>
      <c r="X238" s="64" t="e">
        <f t="shared" ref="X238" si="576">FIND(",",T238,V238+1)</f>
        <v>#VALUE!</v>
      </c>
      <c r="Y238" s="64" t="str">
        <f>IFERROR(VLOOKUP(MID(T238,W238,X238-W238),[5]skilldef!$C:$D,2,FALSE),"-") &amp; " / " &amp; IFERROR(VLOOKUP(MID(T238,U238,V238-U238),[5]skilldef!$A:$B,2,FALSE),"-")</f>
        <v>- / -</v>
      </c>
      <c r="Z238" s="50"/>
      <c r="AA238" s="52"/>
      <c r="AB238" s="50"/>
    </row>
    <row r="733" spans="2:2" ht="40" customHeight="1" x14ac:dyDescent="0.15">
      <c r="B733" s="49">
        <v>1</v>
      </c>
    </row>
  </sheetData>
  <autoFilter ref="A1:AB238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72"/>
  <sheetViews>
    <sheetView showGridLines="0" workbookViewId="0">
      <pane ySplit="1" topLeftCell="A261" activePane="bottomLeft" state="frozenSplit"/>
      <selection pane="bottomLeft" activeCell="C13" sqref="C1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f>A194-600</f>
        <v>47003001</v>
      </c>
      <c r="B2" s="47">
        <v>1</v>
      </c>
      <c r="C2" s="47">
        <v>105</v>
      </c>
      <c r="D2" s="47">
        <v>100</v>
      </c>
      <c r="E2" s="47" t="s">
        <v>88</v>
      </c>
      <c r="F2" s="47" t="s">
        <v>88</v>
      </c>
      <c r="G2" s="47">
        <v>1</v>
      </c>
      <c r="H2" s="47">
        <v>1</v>
      </c>
      <c r="I2" s="47" t="s">
        <v>88</v>
      </c>
      <c r="J2" s="48">
        <f t="shared" ref="J2:J53" si="0">D2</f>
        <v>100</v>
      </c>
    </row>
    <row r="3" spans="1:11" ht="21" customHeight="1" x14ac:dyDescent="0.15">
      <c r="A3" s="47">
        <f>A195-600</f>
        <v>47003002</v>
      </c>
      <c r="B3" s="47">
        <v>1</v>
      </c>
      <c r="C3" s="47">
        <v>111</v>
      </c>
      <c r="D3" s="47">
        <v>100</v>
      </c>
      <c r="E3" s="47" t="s">
        <v>88</v>
      </c>
      <c r="F3" s="47" t="s">
        <v>88</v>
      </c>
      <c r="G3" s="47">
        <v>1</v>
      </c>
      <c r="H3" s="47">
        <v>1</v>
      </c>
      <c r="I3" s="47">
        <v>1194</v>
      </c>
      <c r="J3" s="48">
        <f t="shared" si="0"/>
        <v>100</v>
      </c>
    </row>
    <row r="4" spans="1:11" ht="21" customHeight="1" x14ac:dyDescent="0.15">
      <c r="A4" s="47">
        <f>A196-600</f>
        <v>47003003</v>
      </c>
      <c r="B4" s="47">
        <v>1</v>
      </c>
      <c r="C4" s="47">
        <v>110</v>
      </c>
      <c r="D4" s="47">
        <v>100</v>
      </c>
      <c r="E4" s="47" t="s">
        <v>88</v>
      </c>
      <c r="F4" s="47" t="s">
        <v>88</v>
      </c>
      <c r="G4" s="47">
        <v>1</v>
      </c>
      <c r="H4" s="47">
        <v>1</v>
      </c>
      <c r="I4" s="47">
        <v>1195</v>
      </c>
      <c r="J4" s="48">
        <f t="shared" si="0"/>
        <v>100</v>
      </c>
    </row>
    <row r="5" spans="1:11" ht="21" customHeight="1" x14ac:dyDescent="0.15">
      <c r="A5" s="47">
        <f>A199-600</f>
        <v>47003011</v>
      </c>
      <c r="B5" s="47">
        <v>1</v>
      </c>
      <c r="C5" s="47">
        <v>105</v>
      </c>
      <c r="D5" s="47">
        <v>100</v>
      </c>
      <c r="E5" s="47" t="s">
        <v>88</v>
      </c>
      <c r="F5" s="47" t="s">
        <v>88</v>
      </c>
      <c r="G5" s="47">
        <v>1</v>
      </c>
      <c r="H5" s="47">
        <v>1</v>
      </c>
      <c r="I5" s="47" t="s">
        <v>88</v>
      </c>
      <c r="J5" s="48">
        <f t="shared" si="0"/>
        <v>100</v>
      </c>
    </row>
    <row r="6" spans="1:11" ht="21" customHeight="1" x14ac:dyDescent="0.15">
      <c r="A6" s="47">
        <f>A202-600</f>
        <v>47003014</v>
      </c>
      <c r="B6" s="47">
        <v>1</v>
      </c>
      <c r="C6" s="47">
        <v>111</v>
      </c>
      <c r="D6" s="47">
        <v>100</v>
      </c>
      <c r="E6" s="47" t="s">
        <v>88</v>
      </c>
      <c r="F6" s="47" t="s">
        <v>88</v>
      </c>
      <c r="G6" s="47">
        <v>1</v>
      </c>
      <c r="H6" s="47">
        <v>1</v>
      </c>
      <c r="I6" s="47">
        <v>1196</v>
      </c>
      <c r="J6" s="48">
        <f t="shared" si="0"/>
        <v>100</v>
      </c>
    </row>
    <row r="7" spans="1:11" ht="21" customHeight="1" x14ac:dyDescent="0.15">
      <c r="A7" s="47">
        <f>A203-600</f>
        <v>47003015</v>
      </c>
      <c r="B7" s="47">
        <v>1</v>
      </c>
      <c r="C7" s="47">
        <v>110</v>
      </c>
      <c r="D7" s="47">
        <v>100</v>
      </c>
      <c r="E7" s="47" t="s">
        <v>88</v>
      </c>
      <c r="F7" s="47" t="s">
        <v>88</v>
      </c>
      <c r="G7" s="47">
        <v>1</v>
      </c>
      <c r="H7" s="47">
        <v>1</v>
      </c>
      <c r="I7" s="47">
        <v>1193</v>
      </c>
      <c r="J7" s="48">
        <f t="shared" si="0"/>
        <v>100</v>
      </c>
    </row>
    <row r="8" spans="1:11" ht="21" customHeight="1" x14ac:dyDescent="0.15">
      <c r="A8" s="47">
        <f>A204-600</f>
        <v>47003021</v>
      </c>
      <c r="B8" s="47">
        <v>1</v>
      </c>
      <c r="C8" s="47">
        <v>105</v>
      </c>
      <c r="D8" s="47">
        <v>100</v>
      </c>
      <c r="E8" s="47" t="s">
        <v>88</v>
      </c>
      <c r="F8" s="47" t="s">
        <v>88</v>
      </c>
      <c r="G8" s="47">
        <v>1</v>
      </c>
      <c r="H8" s="47">
        <v>1</v>
      </c>
      <c r="I8" s="47" t="s">
        <v>88</v>
      </c>
      <c r="J8" s="48">
        <f t="shared" si="0"/>
        <v>100</v>
      </c>
    </row>
    <row r="9" spans="1:11" ht="21" customHeight="1" x14ac:dyDescent="0.15">
      <c r="A9" s="47">
        <f>A207-600</f>
        <v>47003024</v>
      </c>
      <c r="B9" s="47">
        <v>1</v>
      </c>
      <c r="C9" s="47">
        <v>111</v>
      </c>
      <c r="D9" s="47">
        <v>100</v>
      </c>
      <c r="E9" s="47" t="s">
        <v>88</v>
      </c>
      <c r="F9" s="47" t="s">
        <v>88</v>
      </c>
      <c r="G9" s="47">
        <v>1</v>
      </c>
      <c r="H9" s="47">
        <v>1</v>
      </c>
      <c r="I9" s="47">
        <v>1196</v>
      </c>
      <c r="J9" s="48">
        <f t="shared" si="0"/>
        <v>100</v>
      </c>
    </row>
    <row r="10" spans="1:11" ht="21" customHeight="1" x14ac:dyDescent="0.15">
      <c r="A10" s="47">
        <f>A208-600</f>
        <v>47003025</v>
      </c>
      <c r="B10" s="47">
        <v>1</v>
      </c>
      <c r="C10" s="47">
        <v>110</v>
      </c>
      <c r="D10" s="47">
        <v>100</v>
      </c>
      <c r="E10" s="47" t="s">
        <v>88</v>
      </c>
      <c r="F10" s="47" t="s">
        <v>88</v>
      </c>
      <c r="G10" s="47">
        <v>1</v>
      </c>
      <c r="H10" s="47">
        <v>1</v>
      </c>
      <c r="I10" s="47">
        <v>1193</v>
      </c>
      <c r="J10" s="48">
        <f t="shared" si="0"/>
        <v>100</v>
      </c>
    </row>
    <row r="11" spans="1:11" ht="21" customHeight="1" x14ac:dyDescent="0.15">
      <c r="A11" s="47">
        <f>A209-600</f>
        <v>47003031</v>
      </c>
      <c r="B11" s="47">
        <v>1</v>
      </c>
      <c r="C11" s="47">
        <v>105</v>
      </c>
      <c r="D11" s="47">
        <v>100</v>
      </c>
      <c r="E11" s="47" t="s">
        <v>88</v>
      </c>
      <c r="F11" s="47" t="s">
        <v>88</v>
      </c>
      <c r="G11" s="47">
        <v>1</v>
      </c>
      <c r="H11" s="47">
        <v>1</v>
      </c>
      <c r="I11" s="47" t="s">
        <v>88</v>
      </c>
      <c r="J11" s="48">
        <f t="shared" si="0"/>
        <v>100</v>
      </c>
    </row>
    <row r="12" spans="1:11" ht="21" customHeight="1" x14ac:dyDescent="0.15">
      <c r="A12" s="47">
        <f>A210-600</f>
        <v>47003032</v>
      </c>
      <c r="B12" s="47">
        <v>1</v>
      </c>
      <c r="C12" s="47">
        <v>111</v>
      </c>
      <c r="D12" s="47">
        <v>100</v>
      </c>
      <c r="E12" s="47" t="s">
        <v>88</v>
      </c>
      <c r="F12" s="47" t="s">
        <v>88</v>
      </c>
      <c r="G12" s="47">
        <v>1</v>
      </c>
      <c r="H12" s="47">
        <v>1</v>
      </c>
      <c r="I12" s="47">
        <v>1194</v>
      </c>
      <c r="J12" s="48">
        <f t="shared" si="0"/>
        <v>100</v>
      </c>
    </row>
    <row r="13" spans="1:11" ht="21" customHeight="1" x14ac:dyDescent="0.15">
      <c r="A13" s="47">
        <f>A211-600</f>
        <v>47003033</v>
      </c>
      <c r="B13" s="47">
        <v>1</v>
      </c>
      <c r="C13" s="47">
        <v>110</v>
      </c>
      <c r="D13" s="47">
        <v>100</v>
      </c>
      <c r="E13" s="47" t="s">
        <v>88</v>
      </c>
      <c r="F13" s="47" t="s">
        <v>88</v>
      </c>
      <c r="G13" s="47">
        <v>1</v>
      </c>
      <c r="H13" s="47">
        <v>1</v>
      </c>
      <c r="I13" s="47">
        <v>1195</v>
      </c>
      <c r="J13" s="48">
        <f t="shared" si="0"/>
        <v>100</v>
      </c>
    </row>
    <row r="14" spans="1:11" ht="21" customHeight="1" x14ac:dyDescent="0.15">
      <c r="A14" s="47">
        <f>A214-600</f>
        <v>47003051</v>
      </c>
      <c r="B14" s="47">
        <v>1</v>
      </c>
      <c r="C14" s="47">
        <v>100</v>
      </c>
      <c r="D14" s="47">
        <v>100</v>
      </c>
      <c r="E14" s="47" t="s">
        <v>88</v>
      </c>
      <c r="F14" s="47" t="s">
        <v>88</v>
      </c>
      <c r="G14" s="47">
        <v>1</v>
      </c>
      <c r="H14" s="47" t="s">
        <v>88</v>
      </c>
      <c r="I14" s="47" t="s">
        <v>88</v>
      </c>
      <c r="J14" s="48">
        <f t="shared" si="0"/>
        <v>100</v>
      </c>
    </row>
    <row r="15" spans="1:11" ht="21" customHeight="1" x14ac:dyDescent="0.15">
      <c r="A15" s="47">
        <f t="shared" ref="A15:A21" si="1">A216-600</f>
        <v>47003053</v>
      </c>
      <c r="B15" s="47">
        <v>0</v>
      </c>
      <c r="C15" s="47">
        <v>102</v>
      </c>
      <c r="D15" s="47">
        <v>100</v>
      </c>
      <c r="E15" s="47" t="s">
        <v>88</v>
      </c>
      <c r="F15" s="47" t="s">
        <v>88</v>
      </c>
      <c r="G15" s="47">
        <v>1</v>
      </c>
      <c r="H15" s="47">
        <v>2</v>
      </c>
      <c r="I15" s="47" t="s">
        <v>88</v>
      </c>
      <c r="J15" s="48">
        <f t="shared" si="0"/>
        <v>100</v>
      </c>
    </row>
    <row r="16" spans="1:11" ht="21" customHeight="1" x14ac:dyDescent="0.15">
      <c r="A16" s="47">
        <f t="shared" si="1"/>
        <v>47003054</v>
      </c>
      <c r="B16" s="47">
        <v>0</v>
      </c>
      <c r="C16" s="47">
        <v>103</v>
      </c>
      <c r="D16" s="47">
        <v>100</v>
      </c>
      <c r="E16" s="47" t="s">
        <v>88</v>
      </c>
      <c r="F16" s="47" t="s">
        <v>88</v>
      </c>
      <c r="G16" s="47">
        <v>1</v>
      </c>
      <c r="H16" s="47">
        <v>3</v>
      </c>
      <c r="I16" s="47" t="s">
        <v>88</v>
      </c>
      <c r="J16" s="48">
        <f t="shared" si="0"/>
        <v>100</v>
      </c>
    </row>
    <row r="17" spans="1:10" ht="21" customHeight="1" x14ac:dyDescent="0.15">
      <c r="A17" s="47">
        <f t="shared" si="1"/>
        <v>47003055</v>
      </c>
      <c r="B17" s="47">
        <v>1</v>
      </c>
      <c r="C17" s="47">
        <v>306</v>
      </c>
      <c r="D17" s="47">
        <v>100</v>
      </c>
      <c r="E17" s="47" t="s">
        <v>88</v>
      </c>
      <c r="F17" s="47" t="s">
        <v>88</v>
      </c>
      <c r="G17" s="47">
        <v>1</v>
      </c>
      <c r="H17" s="47" t="s">
        <v>88</v>
      </c>
      <c r="I17" s="47">
        <v>1194</v>
      </c>
      <c r="J17" s="48">
        <f t="shared" si="0"/>
        <v>100</v>
      </c>
    </row>
    <row r="18" spans="1:10" ht="21" customHeight="1" x14ac:dyDescent="0.15">
      <c r="A18" s="47">
        <f t="shared" si="1"/>
        <v>47003056</v>
      </c>
      <c r="B18" s="47">
        <v>1</v>
      </c>
      <c r="C18" s="47">
        <v>305</v>
      </c>
      <c r="D18" s="47">
        <v>100</v>
      </c>
      <c r="E18" s="47" t="s">
        <v>88</v>
      </c>
      <c r="F18" s="47" t="s">
        <v>88</v>
      </c>
      <c r="G18" s="47">
        <v>1</v>
      </c>
      <c r="H18" s="47" t="s">
        <v>88</v>
      </c>
      <c r="I18" s="47">
        <v>1195</v>
      </c>
      <c r="J18" s="48">
        <f t="shared" si="0"/>
        <v>100</v>
      </c>
    </row>
    <row r="19" spans="1:10" ht="21" customHeight="1" x14ac:dyDescent="0.15">
      <c r="A19" s="47">
        <f t="shared" si="1"/>
        <v>47003057</v>
      </c>
      <c r="B19" s="47">
        <v>1</v>
      </c>
      <c r="C19" s="47">
        <v>304</v>
      </c>
      <c r="D19" s="47">
        <v>100</v>
      </c>
      <c r="E19" s="47" t="s">
        <v>88</v>
      </c>
      <c r="F19" s="47" t="s">
        <v>88</v>
      </c>
      <c r="G19" s="47">
        <v>1</v>
      </c>
      <c r="H19" s="47" t="s">
        <v>88</v>
      </c>
      <c r="I19" s="47">
        <v>1196</v>
      </c>
      <c r="J19" s="48">
        <f t="shared" si="0"/>
        <v>100</v>
      </c>
    </row>
    <row r="20" spans="1:10" ht="21" customHeight="1" x14ac:dyDescent="0.15">
      <c r="A20" s="47">
        <f t="shared" si="1"/>
        <v>47003058</v>
      </c>
      <c r="B20" s="47">
        <v>1</v>
      </c>
      <c r="C20" s="47">
        <v>303</v>
      </c>
      <c r="D20" s="47">
        <v>100</v>
      </c>
      <c r="E20" s="47" t="s">
        <v>88</v>
      </c>
      <c r="F20" s="47" t="s">
        <v>88</v>
      </c>
      <c r="G20" s="47">
        <v>1</v>
      </c>
      <c r="H20" s="47" t="s">
        <v>88</v>
      </c>
      <c r="I20" s="47">
        <v>1193</v>
      </c>
      <c r="J20" s="48">
        <f t="shared" si="0"/>
        <v>100</v>
      </c>
    </row>
    <row r="21" spans="1:10" ht="21" customHeight="1" x14ac:dyDescent="0.15">
      <c r="A21" s="47">
        <f t="shared" si="1"/>
        <v>47003061</v>
      </c>
      <c r="B21" s="47">
        <v>1</v>
      </c>
      <c r="C21" s="47">
        <v>100</v>
      </c>
      <c r="D21" s="47">
        <v>100</v>
      </c>
      <c r="E21" s="47" t="s">
        <v>88</v>
      </c>
      <c r="F21" s="47" t="s">
        <v>88</v>
      </c>
      <c r="G21" s="47">
        <v>1</v>
      </c>
      <c r="H21" s="47" t="s">
        <v>88</v>
      </c>
      <c r="I21" s="47" t="s">
        <v>88</v>
      </c>
      <c r="J21" s="48">
        <f t="shared" si="0"/>
        <v>100</v>
      </c>
    </row>
    <row r="22" spans="1:10" ht="21" customHeight="1" x14ac:dyDescent="0.15">
      <c r="A22" s="47">
        <f t="shared" ref="A22:A28" si="2">A224-600</f>
        <v>47003063</v>
      </c>
      <c r="B22" s="47">
        <v>0</v>
      </c>
      <c r="C22" s="47">
        <v>102</v>
      </c>
      <c r="D22" s="47">
        <v>100</v>
      </c>
      <c r="E22" s="47" t="s">
        <v>88</v>
      </c>
      <c r="F22" s="47" t="s">
        <v>88</v>
      </c>
      <c r="G22" s="47" t="s">
        <v>88</v>
      </c>
      <c r="H22" s="47">
        <v>2</v>
      </c>
      <c r="I22" s="47" t="s">
        <v>88</v>
      </c>
      <c r="J22" s="48">
        <f t="shared" si="0"/>
        <v>100</v>
      </c>
    </row>
    <row r="23" spans="1:10" ht="21" customHeight="1" x14ac:dyDescent="0.15">
      <c r="A23" s="47">
        <f t="shared" si="2"/>
        <v>47003064</v>
      </c>
      <c r="B23" s="47">
        <v>0</v>
      </c>
      <c r="C23" s="47">
        <v>103</v>
      </c>
      <c r="D23" s="47">
        <v>100</v>
      </c>
      <c r="E23" s="47" t="s">
        <v>88</v>
      </c>
      <c r="F23" s="47" t="s">
        <v>88</v>
      </c>
      <c r="G23" s="47" t="s">
        <v>88</v>
      </c>
      <c r="H23" s="47">
        <v>3</v>
      </c>
      <c r="I23" s="47" t="s">
        <v>88</v>
      </c>
      <c r="J23" s="48">
        <f t="shared" si="0"/>
        <v>100</v>
      </c>
    </row>
    <row r="24" spans="1:10" ht="21" customHeight="1" x14ac:dyDescent="0.15">
      <c r="A24" s="47">
        <f t="shared" si="2"/>
        <v>47003065</v>
      </c>
      <c r="B24" s="47">
        <v>1</v>
      </c>
      <c r="C24" s="47">
        <v>306</v>
      </c>
      <c r="D24" s="47">
        <v>100</v>
      </c>
      <c r="E24" s="47" t="s">
        <v>88</v>
      </c>
      <c r="F24" s="47" t="s">
        <v>88</v>
      </c>
      <c r="G24" s="47">
        <v>1</v>
      </c>
      <c r="H24" s="47" t="s">
        <v>88</v>
      </c>
      <c r="I24" s="47">
        <v>1194</v>
      </c>
      <c r="J24" s="48">
        <f t="shared" si="0"/>
        <v>100</v>
      </c>
    </row>
    <row r="25" spans="1:10" ht="21" customHeight="1" x14ac:dyDescent="0.15">
      <c r="A25" s="47">
        <f t="shared" si="2"/>
        <v>47003066</v>
      </c>
      <c r="B25" s="47">
        <v>1</v>
      </c>
      <c r="C25" s="47">
        <v>305</v>
      </c>
      <c r="D25" s="47">
        <v>100</v>
      </c>
      <c r="E25" s="47" t="s">
        <v>88</v>
      </c>
      <c r="F25" s="47" t="s">
        <v>88</v>
      </c>
      <c r="G25" s="47">
        <v>1</v>
      </c>
      <c r="H25" s="47" t="s">
        <v>88</v>
      </c>
      <c r="I25" s="47">
        <v>1195</v>
      </c>
      <c r="J25" s="48">
        <f t="shared" si="0"/>
        <v>100</v>
      </c>
    </row>
    <row r="26" spans="1:10" ht="21" customHeight="1" x14ac:dyDescent="0.15">
      <c r="A26" s="47">
        <f t="shared" si="2"/>
        <v>47003067</v>
      </c>
      <c r="B26" s="47">
        <v>1</v>
      </c>
      <c r="C26" s="47">
        <v>304</v>
      </c>
      <c r="D26" s="47">
        <v>100</v>
      </c>
      <c r="E26" s="47" t="s">
        <v>88</v>
      </c>
      <c r="F26" s="47" t="s">
        <v>88</v>
      </c>
      <c r="G26" s="47">
        <v>1</v>
      </c>
      <c r="H26" s="47" t="s">
        <v>88</v>
      </c>
      <c r="I26" s="47">
        <v>1196</v>
      </c>
      <c r="J26" s="48">
        <f t="shared" si="0"/>
        <v>100</v>
      </c>
    </row>
    <row r="27" spans="1:10" ht="21" customHeight="1" x14ac:dyDescent="0.15">
      <c r="A27" s="47">
        <f t="shared" si="2"/>
        <v>47003068</v>
      </c>
      <c r="B27" s="47">
        <v>1</v>
      </c>
      <c r="C27" s="47">
        <v>303</v>
      </c>
      <c r="D27" s="47">
        <v>100</v>
      </c>
      <c r="E27" s="47" t="s">
        <v>88</v>
      </c>
      <c r="F27" s="47" t="s">
        <v>88</v>
      </c>
      <c r="G27" s="47">
        <v>1</v>
      </c>
      <c r="H27" s="47" t="s">
        <v>88</v>
      </c>
      <c r="I27" s="47">
        <v>1193</v>
      </c>
      <c r="J27" s="48">
        <f t="shared" si="0"/>
        <v>100</v>
      </c>
    </row>
    <row r="28" spans="1:10" ht="21" customHeight="1" x14ac:dyDescent="0.15">
      <c r="A28" s="47">
        <f t="shared" si="2"/>
        <v>47003081</v>
      </c>
      <c r="B28" s="47">
        <v>1</v>
      </c>
      <c r="C28" s="47">
        <v>100</v>
      </c>
      <c r="D28" s="47">
        <v>100</v>
      </c>
      <c r="E28" s="47" t="s">
        <v>88</v>
      </c>
      <c r="F28" s="47" t="s">
        <v>88</v>
      </c>
      <c r="G28" s="47">
        <v>1</v>
      </c>
      <c r="H28" s="47" t="s">
        <v>88</v>
      </c>
      <c r="I28" s="47" t="s">
        <v>88</v>
      </c>
      <c r="J28" s="48">
        <f t="shared" si="0"/>
        <v>100</v>
      </c>
    </row>
    <row r="29" spans="1:10" ht="21" customHeight="1" x14ac:dyDescent="0.15">
      <c r="A29" s="47">
        <f t="shared" ref="A29:A52" si="3">A232-600</f>
        <v>47003083</v>
      </c>
      <c r="B29" s="47">
        <v>0</v>
      </c>
      <c r="C29" s="47">
        <v>102</v>
      </c>
      <c r="D29" s="47">
        <v>100</v>
      </c>
      <c r="E29" s="47" t="s">
        <v>88</v>
      </c>
      <c r="F29" s="47" t="s">
        <v>88</v>
      </c>
      <c r="G29" s="47" t="s">
        <v>88</v>
      </c>
      <c r="H29" s="47">
        <v>2</v>
      </c>
      <c r="I29" s="47" t="s">
        <v>88</v>
      </c>
      <c r="J29" s="48">
        <f t="shared" si="0"/>
        <v>100</v>
      </c>
    </row>
    <row r="30" spans="1:10" ht="21" customHeight="1" x14ac:dyDescent="0.15">
      <c r="A30" s="47">
        <f t="shared" si="3"/>
        <v>47003084</v>
      </c>
      <c r="B30" s="47">
        <v>0</v>
      </c>
      <c r="C30" s="47">
        <v>103</v>
      </c>
      <c r="D30" s="47">
        <v>100</v>
      </c>
      <c r="E30" s="47" t="s">
        <v>88</v>
      </c>
      <c r="F30" s="47" t="s">
        <v>88</v>
      </c>
      <c r="G30" s="47" t="s">
        <v>88</v>
      </c>
      <c r="H30" s="47">
        <v>3</v>
      </c>
      <c r="I30" s="47" t="s">
        <v>88</v>
      </c>
      <c r="J30" s="48">
        <f t="shared" si="0"/>
        <v>100</v>
      </c>
    </row>
    <row r="31" spans="1:10" ht="21" customHeight="1" x14ac:dyDescent="0.15">
      <c r="A31" s="47">
        <f t="shared" si="3"/>
        <v>47003085</v>
      </c>
      <c r="B31" s="47">
        <v>1</v>
      </c>
      <c r="C31" s="47">
        <v>306</v>
      </c>
      <c r="D31" s="47">
        <v>100</v>
      </c>
      <c r="E31" s="47" t="s">
        <v>88</v>
      </c>
      <c r="F31" s="47" t="s">
        <v>88</v>
      </c>
      <c r="G31" s="47">
        <v>1</v>
      </c>
      <c r="H31" s="47" t="s">
        <v>88</v>
      </c>
      <c r="I31" s="47">
        <v>1194</v>
      </c>
      <c r="J31" s="48">
        <f t="shared" si="0"/>
        <v>100</v>
      </c>
    </row>
    <row r="32" spans="1:10" ht="21" customHeight="1" x14ac:dyDescent="0.15">
      <c r="A32" s="47">
        <f t="shared" si="3"/>
        <v>47003086</v>
      </c>
      <c r="B32" s="47">
        <v>1</v>
      </c>
      <c r="C32" s="47">
        <v>305</v>
      </c>
      <c r="D32" s="47">
        <v>100</v>
      </c>
      <c r="E32" s="47" t="s">
        <v>88</v>
      </c>
      <c r="F32" s="47" t="s">
        <v>88</v>
      </c>
      <c r="G32" s="47">
        <v>1</v>
      </c>
      <c r="H32" s="47" t="s">
        <v>88</v>
      </c>
      <c r="I32" s="47">
        <v>1195</v>
      </c>
      <c r="J32" s="48">
        <f t="shared" si="0"/>
        <v>100</v>
      </c>
    </row>
    <row r="33" spans="1:10" ht="21" customHeight="1" x14ac:dyDescent="0.15">
      <c r="A33" s="47">
        <f t="shared" si="3"/>
        <v>47003087</v>
      </c>
      <c r="B33" s="47">
        <v>1</v>
      </c>
      <c r="C33" s="47">
        <v>304</v>
      </c>
      <c r="D33" s="47">
        <v>100</v>
      </c>
      <c r="E33" s="47" t="s">
        <v>88</v>
      </c>
      <c r="F33" s="47" t="s">
        <v>88</v>
      </c>
      <c r="G33" s="47">
        <v>1</v>
      </c>
      <c r="H33" s="47" t="s">
        <v>88</v>
      </c>
      <c r="I33" s="47">
        <v>1196</v>
      </c>
      <c r="J33" s="48">
        <f t="shared" si="0"/>
        <v>100</v>
      </c>
    </row>
    <row r="34" spans="1:10" ht="21" customHeight="1" x14ac:dyDescent="0.15">
      <c r="A34" s="47">
        <f t="shared" si="3"/>
        <v>47003088</v>
      </c>
      <c r="B34" s="47">
        <v>1</v>
      </c>
      <c r="C34" s="47">
        <v>303</v>
      </c>
      <c r="D34" s="47">
        <v>100</v>
      </c>
      <c r="E34" s="47" t="s">
        <v>88</v>
      </c>
      <c r="F34" s="47" t="s">
        <v>88</v>
      </c>
      <c r="G34" s="47">
        <v>1</v>
      </c>
      <c r="H34" s="47" t="s">
        <v>88</v>
      </c>
      <c r="I34" s="47">
        <v>1193</v>
      </c>
      <c r="J34" s="48">
        <f t="shared" si="0"/>
        <v>100</v>
      </c>
    </row>
    <row r="35" spans="1:10" ht="21" customHeight="1" x14ac:dyDescent="0.15">
      <c r="A35" s="47">
        <f t="shared" si="3"/>
        <v>47003101</v>
      </c>
      <c r="B35" s="47">
        <v>1</v>
      </c>
      <c r="C35" s="47">
        <v>100</v>
      </c>
      <c r="D35" s="47">
        <v>100</v>
      </c>
      <c r="E35" s="47" t="s">
        <v>88</v>
      </c>
      <c r="F35" s="47" t="s">
        <v>88</v>
      </c>
      <c r="G35" s="47">
        <v>1</v>
      </c>
      <c r="H35" s="47" t="s">
        <v>88</v>
      </c>
      <c r="I35" s="47" t="s">
        <v>88</v>
      </c>
      <c r="J35" s="48">
        <f t="shared" si="0"/>
        <v>100</v>
      </c>
    </row>
    <row r="36" spans="1:10" ht="21" customHeight="1" x14ac:dyDescent="0.15">
      <c r="A36" s="47">
        <f t="shared" si="3"/>
        <v>47003102</v>
      </c>
      <c r="B36" s="47">
        <v>0</v>
      </c>
      <c r="C36" s="47">
        <v>101</v>
      </c>
      <c r="D36" s="47">
        <v>100</v>
      </c>
      <c r="E36" s="47" t="s">
        <v>88</v>
      </c>
      <c r="F36" s="47" t="s">
        <v>88</v>
      </c>
      <c r="G36" s="47" t="s">
        <v>88</v>
      </c>
      <c r="H36" s="47">
        <v>1</v>
      </c>
      <c r="I36" s="47" t="s">
        <v>88</v>
      </c>
      <c r="J36" s="48">
        <f t="shared" si="0"/>
        <v>100</v>
      </c>
    </row>
    <row r="37" spans="1:10" ht="21" customHeight="1" x14ac:dyDescent="0.15">
      <c r="A37" s="47">
        <f t="shared" si="3"/>
        <v>47003103</v>
      </c>
      <c r="B37" s="47">
        <v>0</v>
      </c>
      <c r="C37" s="47">
        <v>102</v>
      </c>
      <c r="D37" s="47">
        <v>100</v>
      </c>
      <c r="E37" s="47" t="s">
        <v>88</v>
      </c>
      <c r="F37" s="47" t="s">
        <v>88</v>
      </c>
      <c r="G37" s="47" t="s">
        <v>88</v>
      </c>
      <c r="H37" s="47">
        <v>2</v>
      </c>
      <c r="I37" s="47" t="s">
        <v>88</v>
      </c>
      <c r="J37" s="48">
        <f t="shared" si="0"/>
        <v>100</v>
      </c>
    </row>
    <row r="38" spans="1:10" ht="21" customHeight="1" x14ac:dyDescent="0.15">
      <c r="A38" s="47">
        <f t="shared" si="3"/>
        <v>47003104</v>
      </c>
      <c r="B38" s="47">
        <v>0</v>
      </c>
      <c r="C38" s="47">
        <v>103</v>
      </c>
      <c r="D38" s="47">
        <v>100</v>
      </c>
      <c r="E38" s="47" t="s">
        <v>88</v>
      </c>
      <c r="F38" s="47" t="s">
        <v>88</v>
      </c>
      <c r="G38" s="47" t="s">
        <v>88</v>
      </c>
      <c r="H38" s="47">
        <v>3</v>
      </c>
      <c r="I38" s="47" t="s">
        <v>88</v>
      </c>
      <c r="J38" s="48">
        <f t="shared" si="0"/>
        <v>100</v>
      </c>
    </row>
    <row r="39" spans="1:10" ht="21" customHeight="1" x14ac:dyDescent="0.15">
      <c r="A39" s="47">
        <f t="shared" si="3"/>
        <v>47003105</v>
      </c>
      <c r="B39" s="47">
        <v>0</v>
      </c>
      <c r="C39" s="47">
        <v>104</v>
      </c>
      <c r="D39" s="47">
        <v>100</v>
      </c>
      <c r="E39" s="47" t="s">
        <v>88</v>
      </c>
      <c r="F39" s="47" t="s">
        <v>88</v>
      </c>
      <c r="G39" s="47">
        <v>1</v>
      </c>
      <c r="H39" s="47">
        <v>5</v>
      </c>
      <c r="I39" s="47" t="s">
        <v>88</v>
      </c>
      <c r="J39" s="48">
        <f t="shared" si="0"/>
        <v>100</v>
      </c>
    </row>
    <row r="40" spans="1:10" ht="21" customHeight="1" x14ac:dyDescent="0.15">
      <c r="A40" s="47">
        <f t="shared" si="3"/>
        <v>47003106</v>
      </c>
      <c r="B40" s="47">
        <v>1</v>
      </c>
      <c r="C40" s="47">
        <v>306</v>
      </c>
      <c r="D40" s="47">
        <v>100</v>
      </c>
      <c r="E40" s="47" t="s">
        <v>88</v>
      </c>
      <c r="F40" s="47" t="s">
        <v>88</v>
      </c>
      <c r="G40" s="47">
        <v>1</v>
      </c>
      <c r="H40" s="47" t="s">
        <v>88</v>
      </c>
      <c r="I40" s="47">
        <v>1194</v>
      </c>
      <c r="J40" s="48">
        <f t="shared" si="0"/>
        <v>100</v>
      </c>
    </row>
    <row r="41" spans="1:10" ht="21" customHeight="1" x14ac:dyDescent="0.15">
      <c r="A41" s="47">
        <f t="shared" si="3"/>
        <v>47003107</v>
      </c>
      <c r="B41" s="47">
        <v>1</v>
      </c>
      <c r="C41" s="47">
        <v>305</v>
      </c>
      <c r="D41" s="47">
        <v>100</v>
      </c>
      <c r="E41" s="47" t="s">
        <v>88</v>
      </c>
      <c r="F41" s="47" t="s">
        <v>88</v>
      </c>
      <c r="G41" s="47">
        <v>1</v>
      </c>
      <c r="H41" s="47" t="s">
        <v>88</v>
      </c>
      <c r="I41" s="47">
        <v>1195</v>
      </c>
      <c r="J41" s="48">
        <f t="shared" si="0"/>
        <v>100</v>
      </c>
    </row>
    <row r="42" spans="1:10" ht="21" customHeight="1" x14ac:dyDescent="0.15">
      <c r="A42" s="47">
        <f t="shared" si="3"/>
        <v>47003108</v>
      </c>
      <c r="B42" s="47">
        <v>1</v>
      </c>
      <c r="C42" s="47">
        <v>303</v>
      </c>
      <c r="D42" s="47">
        <v>100</v>
      </c>
      <c r="E42" s="47" t="s">
        <v>88</v>
      </c>
      <c r="F42" s="47" t="s">
        <v>88</v>
      </c>
      <c r="G42" s="47">
        <v>1</v>
      </c>
      <c r="H42" s="47" t="s">
        <v>88</v>
      </c>
      <c r="I42" s="47">
        <v>1193</v>
      </c>
      <c r="J42" s="48">
        <f t="shared" si="0"/>
        <v>100</v>
      </c>
    </row>
    <row r="43" spans="1:10" ht="21" customHeight="1" x14ac:dyDescent="0.15">
      <c r="A43" s="47">
        <f t="shared" si="3"/>
        <v>47003121</v>
      </c>
      <c r="B43" s="47">
        <v>1</v>
      </c>
      <c r="C43" s="47">
        <v>100</v>
      </c>
      <c r="D43" s="47">
        <v>100</v>
      </c>
      <c r="E43" s="47" t="s">
        <v>88</v>
      </c>
      <c r="F43" s="47" t="s">
        <v>88</v>
      </c>
      <c r="G43" s="47" t="s">
        <v>88</v>
      </c>
      <c r="H43" s="47" t="s">
        <v>88</v>
      </c>
      <c r="I43" s="47" t="s">
        <v>88</v>
      </c>
      <c r="J43" s="48">
        <f t="shared" si="0"/>
        <v>100</v>
      </c>
    </row>
    <row r="44" spans="1:10" ht="21" customHeight="1" x14ac:dyDescent="0.15">
      <c r="A44" s="47">
        <f t="shared" si="3"/>
        <v>47003122</v>
      </c>
      <c r="B44" s="47">
        <v>0</v>
      </c>
      <c r="C44" s="47">
        <v>101</v>
      </c>
      <c r="D44" s="47">
        <v>100</v>
      </c>
      <c r="E44" s="47" t="s">
        <v>88</v>
      </c>
      <c r="F44" s="47" t="s">
        <v>88</v>
      </c>
      <c r="G44" s="47" t="s">
        <v>88</v>
      </c>
      <c r="H44" s="47">
        <v>1</v>
      </c>
      <c r="I44" s="47" t="s">
        <v>88</v>
      </c>
      <c r="J44" s="48">
        <f t="shared" si="0"/>
        <v>100</v>
      </c>
    </row>
    <row r="45" spans="1:10" ht="21" customHeight="1" x14ac:dyDescent="0.15">
      <c r="A45" s="47">
        <f t="shared" si="3"/>
        <v>47003123</v>
      </c>
      <c r="B45" s="47">
        <v>0</v>
      </c>
      <c r="C45" s="47">
        <v>102</v>
      </c>
      <c r="D45" s="47">
        <v>100</v>
      </c>
      <c r="E45" s="47" t="s">
        <v>88</v>
      </c>
      <c r="F45" s="47" t="s">
        <v>88</v>
      </c>
      <c r="G45" s="47" t="s">
        <v>88</v>
      </c>
      <c r="H45" s="47">
        <v>2</v>
      </c>
      <c r="I45" s="47" t="s">
        <v>88</v>
      </c>
      <c r="J45" s="48">
        <f t="shared" si="0"/>
        <v>100</v>
      </c>
    </row>
    <row r="46" spans="1:10" ht="21" customHeight="1" x14ac:dyDescent="0.15">
      <c r="A46" s="47">
        <f t="shared" si="3"/>
        <v>47003124</v>
      </c>
      <c r="B46" s="47">
        <v>0</v>
      </c>
      <c r="C46" s="47">
        <v>103</v>
      </c>
      <c r="D46" s="47">
        <v>100</v>
      </c>
      <c r="E46" s="47" t="s">
        <v>88</v>
      </c>
      <c r="F46" s="47" t="s">
        <v>88</v>
      </c>
      <c r="G46" s="47" t="s">
        <v>88</v>
      </c>
      <c r="H46" s="47">
        <v>3</v>
      </c>
      <c r="I46" s="47" t="s">
        <v>88</v>
      </c>
      <c r="J46" s="48">
        <f t="shared" si="0"/>
        <v>100</v>
      </c>
    </row>
    <row r="47" spans="1:10" ht="21" customHeight="1" x14ac:dyDescent="0.15">
      <c r="A47" s="47">
        <f t="shared" si="3"/>
        <v>47003125</v>
      </c>
      <c r="B47" s="47">
        <v>0</v>
      </c>
      <c r="C47" s="47">
        <v>104</v>
      </c>
      <c r="D47" s="47">
        <v>100</v>
      </c>
      <c r="E47" s="47">
        <v>50</v>
      </c>
      <c r="F47" s="47" t="s">
        <v>88</v>
      </c>
      <c r="G47" s="47">
        <v>1</v>
      </c>
      <c r="H47" s="47">
        <v>1</v>
      </c>
      <c r="I47" s="47" t="s">
        <v>88</v>
      </c>
      <c r="J47" s="48">
        <f t="shared" si="0"/>
        <v>100</v>
      </c>
    </row>
    <row r="48" spans="1:10" ht="21" customHeight="1" x14ac:dyDescent="0.15">
      <c r="A48" s="47">
        <f t="shared" si="3"/>
        <v>47003126</v>
      </c>
      <c r="B48" s="47">
        <v>1</v>
      </c>
      <c r="C48" s="47">
        <v>306</v>
      </c>
      <c r="D48" s="47">
        <v>100</v>
      </c>
      <c r="E48" s="47" t="s">
        <v>88</v>
      </c>
      <c r="F48" s="47" t="s">
        <v>88</v>
      </c>
      <c r="G48" s="47">
        <v>1</v>
      </c>
      <c r="H48" s="47" t="s">
        <v>88</v>
      </c>
      <c r="I48" s="47">
        <v>1194</v>
      </c>
      <c r="J48" s="48">
        <f t="shared" si="0"/>
        <v>100</v>
      </c>
    </row>
    <row r="49" spans="1:10" ht="21" customHeight="1" x14ac:dyDescent="0.15">
      <c r="A49" s="47">
        <f t="shared" si="3"/>
        <v>47003127</v>
      </c>
      <c r="B49" s="47">
        <v>1</v>
      </c>
      <c r="C49" s="47">
        <v>305</v>
      </c>
      <c r="D49" s="47">
        <v>100</v>
      </c>
      <c r="E49" s="47" t="s">
        <v>88</v>
      </c>
      <c r="F49" s="47" t="s">
        <v>88</v>
      </c>
      <c r="G49" s="47">
        <v>1</v>
      </c>
      <c r="H49" s="47" t="s">
        <v>88</v>
      </c>
      <c r="I49" s="47">
        <v>1195</v>
      </c>
      <c r="J49" s="48">
        <f t="shared" si="0"/>
        <v>100</v>
      </c>
    </row>
    <row r="50" spans="1:10" ht="21" customHeight="1" x14ac:dyDescent="0.15">
      <c r="A50" s="47">
        <f t="shared" si="3"/>
        <v>47003128</v>
      </c>
      <c r="B50" s="47">
        <v>1</v>
      </c>
      <c r="C50" s="47">
        <v>304</v>
      </c>
      <c r="D50" s="47">
        <v>100</v>
      </c>
      <c r="E50" s="47" t="s">
        <v>88</v>
      </c>
      <c r="F50" s="47" t="s">
        <v>88</v>
      </c>
      <c r="G50" s="47">
        <v>1</v>
      </c>
      <c r="H50" s="47" t="s">
        <v>88</v>
      </c>
      <c r="I50" s="47">
        <v>1196</v>
      </c>
      <c r="J50" s="48">
        <f t="shared" si="0"/>
        <v>100</v>
      </c>
    </row>
    <row r="51" spans="1:10" ht="21" customHeight="1" x14ac:dyDescent="0.15">
      <c r="A51" s="47">
        <f t="shared" si="3"/>
        <v>47003141</v>
      </c>
      <c r="B51" s="47">
        <v>1</v>
      </c>
      <c r="C51" s="47">
        <v>100</v>
      </c>
      <c r="D51" s="47">
        <v>100</v>
      </c>
      <c r="E51" s="47" t="s">
        <v>88</v>
      </c>
      <c r="F51" s="47" t="s">
        <v>88</v>
      </c>
      <c r="G51" s="47">
        <v>1</v>
      </c>
      <c r="H51" s="47" t="s">
        <v>88</v>
      </c>
      <c r="I51" s="47" t="s">
        <v>88</v>
      </c>
      <c r="J51" s="48">
        <f t="shared" si="0"/>
        <v>100</v>
      </c>
    </row>
    <row r="52" spans="1:10" ht="21" customHeight="1" x14ac:dyDescent="0.15">
      <c r="A52" s="47">
        <f t="shared" si="3"/>
        <v>47003142</v>
      </c>
      <c r="B52" s="47">
        <v>0</v>
      </c>
      <c r="C52" s="47">
        <v>200</v>
      </c>
      <c r="D52" s="47">
        <v>100</v>
      </c>
      <c r="E52" s="47" t="s">
        <v>88</v>
      </c>
      <c r="F52" s="47" t="s">
        <v>88</v>
      </c>
      <c r="G52" s="47">
        <v>1</v>
      </c>
      <c r="H52" s="47">
        <v>1</v>
      </c>
      <c r="I52" s="47" t="s">
        <v>88</v>
      </c>
      <c r="J52" s="48">
        <f t="shared" si="0"/>
        <v>100</v>
      </c>
    </row>
    <row r="53" spans="1:10" ht="21" customHeight="1" x14ac:dyDescent="0.15">
      <c r="A53" s="47">
        <f t="shared" ref="A53:A59" si="4">A257-600</f>
        <v>47003144</v>
      </c>
      <c r="B53" s="47">
        <v>0</v>
      </c>
      <c r="C53" s="47">
        <v>110</v>
      </c>
      <c r="D53" s="47">
        <v>100</v>
      </c>
      <c r="E53" s="47" t="s">
        <v>88</v>
      </c>
      <c r="F53" s="47" t="s">
        <v>88</v>
      </c>
      <c r="G53" s="47" t="s">
        <v>88</v>
      </c>
      <c r="H53" s="47">
        <v>2</v>
      </c>
      <c r="I53" s="47" t="s">
        <v>88</v>
      </c>
      <c r="J53" s="48">
        <f t="shared" si="0"/>
        <v>100</v>
      </c>
    </row>
    <row r="54" spans="1:10" ht="21" customHeight="1" x14ac:dyDescent="0.15">
      <c r="A54" s="47">
        <f t="shared" si="4"/>
        <v>47003145</v>
      </c>
      <c r="B54" s="47">
        <v>1</v>
      </c>
      <c r="C54" s="47">
        <v>306</v>
      </c>
      <c r="D54" s="47">
        <v>100</v>
      </c>
      <c r="E54" s="47" t="s">
        <v>88</v>
      </c>
      <c r="F54" s="47" t="s">
        <v>88</v>
      </c>
      <c r="G54" s="47">
        <v>1</v>
      </c>
      <c r="H54" s="47" t="s">
        <v>88</v>
      </c>
      <c r="I54" s="47">
        <v>1194</v>
      </c>
      <c r="J54" s="48">
        <f t="shared" ref="J54:J65" si="5">D54</f>
        <v>100</v>
      </c>
    </row>
    <row r="55" spans="1:10" ht="21" customHeight="1" x14ac:dyDescent="0.15">
      <c r="A55" s="47">
        <f t="shared" si="4"/>
        <v>47003146</v>
      </c>
      <c r="B55" s="47">
        <v>1</v>
      </c>
      <c r="C55" s="47">
        <v>305</v>
      </c>
      <c r="D55" s="47">
        <v>100</v>
      </c>
      <c r="E55" s="47" t="s">
        <v>88</v>
      </c>
      <c r="F55" s="47" t="s">
        <v>88</v>
      </c>
      <c r="G55" s="47">
        <v>1</v>
      </c>
      <c r="H55" s="47" t="s">
        <v>88</v>
      </c>
      <c r="I55" s="47">
        <v>1195</v>
      </c>
      <c r="J55" s="48">
        <f t="shared" si="5"/>
        <v>100</v>
      </c>
    </row>
    <row r="56" spans="1:10" ht="21" customHeight="1" x14ac:dyDescent="0.15">
      <c r="A56" s="47">
        <f t="shared" si="4"/>
        <v>47003147</v>
      </c>
      <c r="B56" s="47">
        <v>1</v>
      </c>
      <c r="C56" s="47">
        <v>304</v>
      </c>
      <c r="D56" s="47">
        <v>100</v>
      </c>
      <c r="E56" s="47" t="s">
        <v>88</v>
      </c>
      <c r="F56" s="47" t="s">
        <v>88</v>
      </c>
      <c r="G56" s="47">
        <v>1</v>
      </c>
      <c r="H56" s="47" t="s">
        <v>88</v>
      </c>
      <c r="I56" s="47">
        <v>1196</v>
      </c>
      <c r="J56" s="48">
        <f t="shared" si="5"/>
        <v>100</v>
      </c>
    </row>
    <row r="57" spans="1:10" ht="21" customHeight="1" x14ac:dyDescent="0.15">
      <c r="A57" s="47">
        <f t="shared" si="4"/>
        <v>47003148</v>
      </c>
      <c r="B57" s="47">
        <v>1</v>
      </c>
      <c r="C57" s="47">
        <v>303</v>
      </c>
      <c r="D57" s="47">
        <v>100</v>
      </c>
      <c r="E57" s="47" t="s">
        <v>88</v>
      </c>
      <c r="F57" s="47" t="s">
        <v>88</v>
      </c>
      <c r="G57" s="47">
        <v>1</v>
      </c>
      <c r="H57" s="47" t="s">
        <v>88</v>
      </c>
      <c r="I57" s="47">
        <v>1193</v>
      </c>
      <c r="J57" s="48">
        <f t="shared" si="5"/>
        <v>100</v>
      </c>
    </row>
    <row r="58" spans="1:10" ht="21" customHeight="1" x14ac:dyDescent="0.15">
      <c r="A58" s="47">
        <f t="shared" si="4"/>
        <v>47003161</v>
      </c>
      <c r="B58" s="47">
        <v>1</v>
      </c>
      <c r="C58" s="47">
        <v>100</v>
      </c>
      <c r="D58" s="47">
        <v>100</v>
      </c>
      <c r="E58" s="47" t="s">
        <v>88</v>
      </c>
      <c r="F58" s="47" t="s">
        <v>88</v>
      </c>
      <c r="G58" s="47">
        <v>1</v>
      </c>
      <c r="H58" s="47">
        <v>1</v>
      </c>
      <c r="I58" s="47" t="s">
        <v>88</v>
      </c>
      <c r="J58" s="48">
        <f t="shared" si="5"/>
        <v>100</v>
      </c>
    </row>
    <row r="59" spans="1:10" ht="21" customHeight="1" x14ac:dyDescent="0.15">
      <c r="A59" s="47">
        <f t="shared" si="4"/>
        <v>47003162</v>
      </c>
      <c r="B59" s="47">
        <v>0</v>
      </c>
      <c r="C59" s="47">
        <v>300</v>
      </c>
      <c r="D59" s="47">
        <v>100</v>
      </c>
      <c r="E59" s="47" t="s">
        <v>88</v>
      </c>
      <c r="F59" s="47" t="s">
        <v>88</v>
      </c>
      <c r="G59" s="47">
        <v>1</v>
      </c>
      <c r="H59" s="47">
        <v>1</v>
      </c>
      <c r="I59" s="47" t="s">
        <v>88</v>
      </c>
      <c r="J59" s="48">
        <f t="shared" si="5"/>
        <v>100</v>
      </c>
    </row>
    <row r="60" spans="1:10" ht="21" customHeight="1" x14ac:dyDescent="0.15">
      <c r="A60" s="47">
        <f>A265-600</f>
        <v>47003164</v>
      </c>
      <c r="B60" s="47">
        <v>0</v>
      </c>
      <c r="C60" s="47">
        <v>214</v>
      </c>
      <c r="D60" s="47">
        <v>100</v>
      </c>
      <c r="E60" s="47">
        <v>50</v>
      </c>
      <c r="F60" s="47" t="s">
        <v>88</v>
      </c>
      <c r="G60" s="47">
        <v>1</v>
      </c>
      <c r="H60" s="47">
        <v>2</v>
      </c>
      <c r="I60" s="47" t="s">
        <v>88</v>
      </c>
      <c r="J60" s="48">
        <f t="shared" si="5"/>
        <v>100</v>
      </c>
    </row>
    <row r="61" spans="1:10" ht="21" customHeight="1" x14ac:dyDescent="0.15">
      <c r="A61" s="47">
        <f>A266-600</f>
        <v>47003165</v>
      </c>
      <c r="B61" s="47">
        <v>0</v>
      </c>
      <c r="C61" s="47">
        <v>212</v>
      </c>
      <c r="D61" s="47">
        <v>100</v>
      </c>
      <c r="E61" s="47">
        <v>50</v>
      </c>
      <c r="F61" s="47" t="s">
        <v>88</v>
      </c>
      <c r="G61" s="47" t="s">
        <v>88</v>
      </c>
      <c r="H61" s="137">
        <v>2</v>
      </c>
      <c r="I61" s="47" t="s">
        <v>88</v>
      </c>
      <c r="J61" s="48">
        <f t="shared" si="5"/>
        <v>100</v>
      </c>
    </row>
    <row r="62" spans="1:10" ht="21" customHeight="1" x14ac:dyDescent="0.15">
      <c r="A62" s="47">
        <f>A267-600</f>
        <v>47003181</v>
      </c>
      <c r="B62" s="47">
        <v>1</v>
      </c>
      <c r="C62" s="47">
        <v>130</v>
      </c>
      <c r="D62" s="47">
        <v>100</v>
      </c>
      <c r="E62" s="47" t="s">
        <v>88</v>
      </c>
      <c r="F62" s="47" t="s">
        <v>88</v>
      </c>
      <c r="G62" s="47">
        <v>1</v>
      </c>
      <c r="H62" s="47">
        <v>1</v>
      </c>
      <c r="I62" s="47" t="s">
        <v>88</v>
      </c>
      <c r="J62" s="48">
        <f t="shared" si="5"/>
        <v>100</v>
      </c>
    </row>
    <row r="63" spans="1:10" ht="21" customHeight="1" x14ac:dyDescent="0.15">
      <c r="A63" s="47">
        <f>A269-600</f>
        <v>47003183</v>
      </c>
      <c r="B63" s="47">
        <v>0</v>
      </c>
      <c r="C63" s="47">
        <v>130</v>
      </c>
      <c r="D63" s="47">
        <v>100</v>
      </c>
      <c r="E63" s="47" t="s">
        <v>88</v>
      </c>
      <c r="F63" s="47" t="s">
        <v>88</v>
      </c>
      <c r="G63" s="47" t="s">
        <v>88</v>
      </c>
      <c r="H63" s="47">
        <v>3</v>
      </c>
      <c r="I63" s="47" t="s">
        <v>88</v>
      </c>
      <c r="J63" s="48">
        <f t="shared" si="5"/>
        <v>100</v>
      </c>
    </row>
    <row r="64" spans="1:10" ht="21" customHeight="1" x14ac:dyDescent="0.15">
      <c r="A64" s="47">
        <f>A270-600</f>
        <v>47003184</v>
      </c>
      <c r="B64" s="47">
        <v>0</v>
      </c>
      <c r="C64" s="47">
        <v>210</v>
      </c>
      <c r="D64" s="47">
        <v>100</v>
      </c>
      <c r="E64" s="47">
        <v>50</v>
      </c>
      <c r="F64" s="47" t="s">
        <v>88</v>
      </c>
      <c r="G64" s="137" t="s">
        <v>88</v>
      </c>
      <c r="H64" s="137">
        <v>2</v>
      </c>
      <c r="I64" s="47" t="s">
        <v>88</v>
      </c>
      <c r="J64" s="48">
        <f t="shared" si="5"/>
        <v>100</v>
      </c>
    </row>
    <row r="65" spans="1:10" ht="21" customHeight="1" x14ac:dyDescent="0.15">
      <c r="A65" s="47">
        <f>A272-600</f>
        <v>47003186</v>
      </c>
      <c r="B65" s="47">
        <v>0</v>
      </c>
      <c r="C65" s="47">
        <v>300</v>
      </c>
      <c r="D65" s="47">
        <v>100</v>
      </c>
      <c r="E65" s="47" t="s">
        <v>88</v>
      </c>
      <c r="F65" s="47" t="s">
        <v>88</v>
      </c>
      <c r="G65" s="47">
        <v>0</v>
      </c>
      <c r="H65" s="47">
        <v>1</v>
      </c>
      <c r="I65" s="47">
        <v>0</v>
      </c>
      <c r="J65" s="48">
        <f t="shared" si="5"/>
        <v>100</v>
      </c>
    </row>
    <row r="66" spans="1:10" ht="21" customHeight="1" x14ac:dyDescent="0.15">
      <c r="A66" s="140">
        <f>A194-400</f>
        <v>47003201</v>
      </c>
      <c r="B66" s="47">
        <v>1</v>
      </c>
      <c r="C66" s="47">
        <v>105</v>
      </c>
      <c r="D66" s="47">
        <v>100</v>
      </c>
      <c r="E66" s="47" t="s">
        <v>88</v>
      </c>
      <c r="F66" s="47" t="s">
        <v>88</v>
      </c>
      <c r="G66" s="47">
        <v>1</v>
      </c>
      <c r="H66" s="47">
        <v>1</v>
      </c>
      <c r="I66" s="47" t="s">
        <v>88</v>
      </c>
      <c r="J66" s="48">
        <f t="shared" ref="J66:J117" si="6">D66</f>
        <v>100</v>
      </c>
    </row>
    <row r="67" spans="1:10" ht="21" customHeight="1" x14ac:dyDescent="0.15">
      <c r="A67" s="140">
        <f>A195-400</f>
        <v>47003202</v>
      </c>
      <c r="B67" s="47">
        <v>1</v>
      </c>
      <c r="C67" s="47">
        <v>111</v>
      </c>
      <c r="D67" s="47">
        <v>100</v>
      </c>
      <c r="E67" s="47" t="s">
        <v>88</v>
      </c>
      <c r="F67" s="47" t="s">
        <v>88</v>
      </c>
      <c r="G67" s="47">
        <v>1</v>
      </c>
      <c r="H67" s="47">
        <v>1</v>
      </c>
      <c r="I67" s="47">
        <v>1194</v>
      </c>
      <c r="J67" s="48">
        <f t="shared" si="6"/>
        <v>100</v>
      </c>
    </row>
    <row r="68" spans="1:10" ht="21" customHeight="1" x14ac:dyDescent="0.15">
      <c r="A68" s="140">
        <f>A196-400</f>
        <v>47003203</v>
      </c>
      <c r="B68" s="47">
        <v>1</v>
      </c>
      <c r="C68" s="47">
        <v>110</v>
      </c>
      <c r="D68" s="47">
        <v>100</v>
      </c>
      <c r="E68" s="47" t="s">
        <v>88</v>
      </c>
      <c r="F68" s="47" t="s">
        <v>88</v>
      </c>
      <c r="G68" s="47">
        <v>1</v>
      </c>
      <c r="H68" s="47">
        <v>1</v>
      </c>
      <c r="I68" s="47">
        <v>1195</v>
      </c>
      <c r="J68" s="48">
        <f t="shared" si="6"/>
        <v>100</v>
      </c>
    </row>
    <row r="69" spans="1:10" ht="21" customHeight="1" x14ac:dyDescent="0.15">
      <c r="A69" s="140">
        <f>A199-400</f>
        <v>47003211</v>
      </c>
      <c r="B69" s="47">
        <v>1</v>
      </c>
      <c r="C69" s="47">
        <v>105</v>
      </c>
      <c r="D69" s="47">
        <v>100</v>
      </c>
      <c r="E69" s="47" t="s">
        <v>88</v>
      </c>
      <c r="F69" s="47" t="s">
        <v>88</v>
      </c>
      <c r="G69" s="47">
        <v>1</v>
      </c>
      <c r="H69" s="47">
        <v>1</v>
      </c>
      <c r="I69" s="47" t="s">
        <v>88</v>
      </c>
      <c r="J69" s="48">
        <f t="shared" si="6"/>
        <v>100</v>
      </c>
    </row>
    <row r="70" spans="1:10" ht="21" customHeight="1" x14ac:dyDescent="0.15">
      <c r="A70" s="140">
        <f>A202-400</f>
        <v>47003214</v>
      </c>
      <c r="B70" s="47">
        <v>1</v>
      </c>
      <c r="C70" s="47">
        <v>111</v>
      </c>
      <c r="D70" s="47">
        <v>100</v>
      </c>
      <c r="E70" s="47" t="s">
        <v>88</v>
      </c>
      <c r="F70" s="47" t="s">
        <v>88</v>
      </c>
      <c r="G70" s="47">
        <v>1</v>
      </c>
      <c r="H70" s="47">
        <v>1</v>
      </c>
      <c r="I70" s="47">
        <v>1196</v>
      </c>
      <c r="J70" s="48">
        <f t="shared" si="6"/>
        <v>100</v>
      </c>
    </row>
    <row r="71" spans="1:10" ht="21" customHeight="1" x14ac:dyDescent="0.15">
      <c r="A71" s="140">
        <f>A203-400</f>
        <v>47003215</v>
      </c>
      <c r="B71" s="47">
        <v>1</v>
      </c>
      <c r="C71" s="47">
        <v>110</v>
      </c>
      <c r="D71" s="47">
        <v>100</v>
      </c>
      <c r="E71" s="47" t="s">
        <v>88</v>
      </c>
      <c r="F71" s="47" t="s">
        <v>88</v>
      </c>
      <c r="G71" s="47">
        <v>1</v>
      </c>
      <c r="H71" s="47">
        <v>1</v>
      </c>
      <c r="I71" s="47">
        <v>1193</v>
      </c>
      <c r="J71" s="48">
        <f t="shared" si="6"/>
        <v>100</v>
      </c>
    </row>
    <row r="72" spans="1:10" ht="21" customHeight="1" x14ac:dyDescent="0.15">
      <c r="A72" s="140">
        <f>A204-400</f>
        <v>47003221</v>
      </c>
      <c r="B72" s="47">
        <v>1</v>
      </c>
      <c r="C72" s="47">
        <v>105</v>
      </c>
      <c r="D72" s="47">
        <v>100</v>
      </c>
      <c r="E72" s="47" t="s">
        <v>88</v>
      </c>
      <c r="F72" s="47" t="s">
        <v>88</v>
      </c>
      <c r="G72" s="47">
        <v>1</v>
      </c>
      <c r="H72" s="47">
        <v>1</v>
      </c>
      <c r="I72" s="47" t="s">
        <v>88</v>
      </c>
      <c r="J72" s="48">
        <f t="shared" si="6"/>
        <v>100</v>
      </c>
    </row>
    <row r="73" spans="1:10" ht="21" customHeight="1" x14ac:dyDescent="0.15">
      <c r="A73" s="140">
        <f>A207-400</f>
        <v>47003224</v>
      </c>
      <c r="B73" s="47">
        <v>1</v>
      </c>
      <c r="C73" s="47">
        <v>111</v>
      </c>
      <c r="D73" s="47">
        <v>100</v>
      </c>
      <c r="E73" s="47" t="s">
        <v>88</v>
      </c>
      <c r="F73" s="47" t="s">
        <v>88</v>
      </c>
      <c r="G73" s="47">
        <v>1</v>
      </c>
      <c r="H73" s="47">
        <v>1</v>
      </c>
      <c r="I73" s="47">
        <v>1196</v>
      </c>
      <c r="J73" s="48">
        <f t="shared" si="6"/>
        <v>100</v>
      </c>
    </row>
    <row r="74" spans="1:10" ht="21" customHeight="1" x14ac:dyDescent="0.15">
      <c r="A74" s="140">
        <f>A208-400</f>
        <v>47003225</v>
      </c>
      <c r="B74" s="47">
        <v>1</v>
      </c>
      <c r="C74" s="47">
        <v>110</v>
      </c>
      <c r="D74" s="47">
        <v>100</v>
      </c>
      <c r="E74" s="47" t="s">
        <v>88</v>
      </c>
      <c r="F74" s="47" t="s">
        <v>88</v>
      </c>
      <c r="G74" s="47">
        <v>1</v>
      </c>
      <c r="H74" s="47">
        <v>1</v>
      </c>
      <c r="I74" s="47">
        <v>1193</v>
      </c>
      <c r="J74" s="48">
        <f t="shared" si="6"/>
        <v>100</v>
      </c>
    </row>
    <row r="75" spans="1:10" ht="21" customHeight="1" x14ac:dyDescent="0.15">
      <c r="A75" s="140">
        <f>A209-400</f>
        <v>47003231</v>
      </c>
      <c r="B75" s="47">
        <v>1</v>
      </c>
      <c r="C75" s="47">
        <v>105</v>
      </c>
      <c r="D75" s="47">
        <v>100</v>
      </c>
      <c r="E75" s="47" t="s">
        <v>88</v>
      </c>
      <c r="F75" s="47" t="s">
        <v>88</v>
      </c>
      <c r="G75" s="47">
        <v>1</v>
      </c>
      <c r="H75" s="47">
        <v>1</v>
      </c>
      <c r="I75" s="47" t="s">
        <v>88</v>
      </c>
      <c r="J75" s="48">
        <f t="shared" si="6"/>
        <v>100</v>
      </c>
    </row>
    <row r="76" spans="1:10" ht="21" customHeight="1" x14ac:dyDescent="0.15">
      <c r="A76" s="140">
        <f>A210-400</f>
        <v>47003232</v>
      </c>
      <c r="B76" s="47">
        <v>1</v>
      </c>
      <c r="C76" s="47">
        <v>111</v>
      </c>
      <c r="D76" s="47">
        <v>100</v>
      </c>
      <c r="E76" s="47" t="s">
        <v>88</v>
      </c>
      <c r="F76" s="47" t="s">
        <v>88</v>
      </c>
      <c r="G76" s="47">
        <v>1</v>
      </c>
      <c r="H76" s="47">
        <v>1</v>
      </c>
      <c r="I76" s="47">
        <v>1194</v>
      </c>
      <c r="J76" s="48">
        <f t="shared" si="6"/>
        <v>100</v>
      </c>
    </row>
    <row r="77" spans="1:10" ht="21" customHeight="1" x14ac:dyDescent="0.15">
      <c r="A77" s="140">
        <f>A211-400</f>
        <v>47003233</v>
      </c>
      <c r="B77" s="47">
        <v>1</v>
      </c>
      <c r="C77" s="47">
        <v>110</v>
      </c>
      <c r="D77" s="47">
        <v>100</v>
      </c>
      <c r="E77" s="47" t="s">
        <v>88</v>
      </c>
      <c r="F77" s="47" t="s">
        <v>88</v>
      </c>
      <c r="G77" s="47">
        <v>1</v>
      </c>
      <c r="H77" s="47">
        <v>1</v>
      </c>
      <c r="I77" s="47">
        <v>1195</v>
      </c>
      <c r="J77" s="48">
        <f t="shared" si="6"/>
        <v>100</v>
      </c>
    </row>
    <row r="78" spans="1:10" ht="21" customHeight="1" x14ac:dyDescent="0.15">
      <c r="A78" s="140">
        <f>A214-400</f>
        <v>47003251</v>
      </c>
      <c r="B78" s="47">
        <v>1</v>
      </c>
      <c r="C78" s="47">
        <v>100</v>
      </c>
      <c r="D78" s="47">
        <v>100</v>
      </c>
      <c r="E78" s="47" t="s">
        <v>88</v>
      </c>
      <c r="F78" s="47" t="s">
        <v>88</v>
      </c>
      <c r="G78" s="47">
        <v>1</v>
      </c>
      <c r="H78" s="47" t="s">
        <v>88</v>
      </c>
      <c r="I78" s="47" t="s">
        <v>88</v>
      </c>
      <c r="J78" s="48">
        <f t="shared" si="6"/>
        <v>100</v>
      </c>
    </row>
    <row r="79" spans="1:10" ht="21" customHeight="1" x14ac:dyDescent="0.15">
      <c r="A79" s="140">
        <f t="shared" ref="A79:A85" si="7">A216-400</f>
        <v>47003253</v>
      </c>
      <c r="B79" s="47">
        <v>0</v>
      </c>
      <c r="C79" s="47">
        <v>102</v>
      </c>
      <c r="D79" s="47">
        <v>100</v>
      </c>
      <c r="E79" s="47" t="s">
        <v>88</v>
      </c>
      <c r="F79" s="47" t="s">
        <v>88</v>
      </c>
      <c r="G79" s="47">
        <v>1</v>
      </c>
      <c r="H79" s="47">
        <v>2</v>
      </c>
      <c r="I79" s="47" t="s">
        <v>88</v>
      </c>
      <c r="J79" s="48">
        <f t="shared" si="6"/>
        <v>100</v>
      </c>
    </row>
    <row r="80" spans="1:10" ht="21" customHeight="1" x14ac:dyDescent="0.15">
      <c r="A80" s="140">
        <f t="shared" si="7"/>
        <v>47003254</v>
      </c>
      <c r="B80" s="47">
        <v>0</v>
      </c>
      <c r="C80" s="47">
        <v>103</v>
      </c>
      <c r="D80" s="47">
        <v>100</v>
      </c>
      <c r="E80" s="47" t="s">
        <v>88</v>
      </c>
      <c r="F80" s="47" t="s">
        <v>88</v>
      </c>
      <c r="G80" s="47">
        <v>1</v>
      </c>
      <c r="H80" s="47">
        <v>3</v>
      </c>
      <c r="I80" s="47" t="s">
        <v>88</v>
      </c>
      <c r="J80" s="48">
        <f t="shared" si="6"/>
        <v>100</v>
      </c>
    </row>
    <row r="81" spans="1:10" ht="21" customHeight="1" x14ac:dyDescent="0.15">
      <c r="A81" s="140">
        <f t="shared" si="7"/>
        <v>47003255</v>
      </c>
      <c r="B81" s="47">
        <v>1</v>
      </c>
      <c r="C81" s="47">
        <v>306</v>
      </c>
      <c r="D81" s="47">
        <v>100</v>
      </c>
      <c r="E81" s="47" t="s">
        <v>88</v>
      </c>
      <c r="F81" s="47" t="s">
        <v>88</v>
      </c>
      <c r="G81" s="47">
        <v>1</v>
      </c>
      <c r="H81" s="47" t="s">
        <v>88</v>
      </c>
      <c r="I81" s="47">
        <v>1194</v>
      </c>
      <c r="J81" s="48">
        <f t="shared" si="6"/>
        <v>100</v>
      </c>
    </row>
    <row r="82" spans="1:10" ht="21" customHeight="1" x14ac:dyDescent="0.15">
      <c r="A82" s="140">
        <f t="shared" si="7"/>
        <v>47003256</v>
      </c>
      <c r="B82" s="47">
        <v>1</v>
      </c>
      <c r="C82" s="47">
        <v>305</v>
      </c>
      <c r="D82" s="47">
        <v>100</v>
      </c>
      <c r="E82" s="47" t="s">
        <v>88</v>
      </c>
      <c r="F82" s="47" t="s">
        <v>88</v>
      </c>
      <c r="G82" s="47">
        <v>1</v>
      </c>
      <c r="H82" s="47" t="s">
        <v>88</v>
      </c>
      <c r="I82" s="47">
        <v>1195</v>
      </c>
      <c r="J82" s="48">
        <f t="shared" si="6"/>
        <v>100</v>
      </c>
    </row>
    <row r="83" spans="1:10" ht="21" customHeight="1" x14ac:dyDescent="0.15">
      <c r="A83" s="140">
        <f t="shared" si="7"/>
        <v>47003257</v>
      </c>
      <c r="B83" s="47">
        <v>1</v>
      </c>
      <c r="C83" s="47">
        <v>304</v>
      </c>
      <c r="D83" s="47">
        <v>100</v>
      </c>
      <c r="E83" s="47" t="s">
        <v>88</v>
      </c>
      <c r="F83" s="47" t="s">
        <v>88</v>
      </c>
      <c r="G83" s="47">
        <v>1</v>
      </c>
      <c r="H83" s="47" t="s">
        <v>88</v>
      </c>
      <c r="I83" s="47">
        <v>1196</v>
      </c>
      <c r="J83" s="48">
        <f t="shared" si="6"/>
        <v>100</v>
      </c>
    </row>
    <row r="84" spans="1:10" ht="21" customHeight="1" x14ac:dyDescent="0.15">
      <c r="A84" s="140">
        <f t="shared" si="7"/>
        <v>47003258</v>
      </c>
      <c r="B84" s="47">
        <v>1</v>
      </c>
      <c r="C84" s="47">
        <v>303</v>
      </c>
      <c r="D84" s="47">
        <v>100</v>
      </c>
      <c r="E84" s="47" t="s">
        <v>88</v>
      </c>
      <c r="F84" s="47" t="s">
        <v>88</v>
      </c>
      <c r="G84" s="47">
        <v>1</v>
      </c>
      <c r="H84" s="47" t="s">
        <v>88</v>
      </c>
      <c r="I84" s="47">
        <v>1193</v>
      </c>
      <c r="J84" s="48">
        <f t="shared" si="6"/>
        <v>100</v>
      </c>
    </row>
    <row r="85" spans="1:10" ht="21" customHeight="1" x14ac:dyDescent="0.15">
      <c r="A85" s="140">
        <f t="shared" si="7"/>
        <v>47003261</v>
      </c>
      <c r="B85" s="47">
        <v>1</v>
      </c>
      <c r="C85" s="47">
        <v>100</v>
      </c>
      <c r="D85" s="47">
        <v>100</v>
      </c>
      <c r="E85" s="47" t="s">
        <v>88</v>
      </c>
      <c r="F85" s="47" t="s">
        <v>88</v>
      </c>
      <c r="G85" s="47">
        <v>1</v>
      </c>
      <c r="H85" s="47" t="s">
        <v>88</v>
      </c>
      <c r="I85" s="47" t="s">
        <v>88</v>
      </c>
      <c r="J85" s="48">
        <f t="shared" si="6"/>
        <v>100</v>
      </c>
    </row>
    <row r="86" spans="1:10" ht="21" customHeight="1" x14ac:dyDescent="0.15">
      <c r="A86" s="140">
        <f t="shared" ref="A86:A92" si="8">A224-400</f>
        <v>47003263</v>
      </c>
      <c r="B86" s="47">
        <v>0</v>
      </c>
      <c r="C86" s="47">
        <v>102</v>
      </c>
      <c r="D86" s="47">
        <v>100</v>
      </c>
      <c r="E86" s="47" t="s">
        <v>88</v>
      </c>
      <c r="F86" s="47" t="s">
        <v>88</v>
      </c>
      <c r="G86" s="47" t="s">
        <v>88</v>
      </c>
      <c r="H86" s="47">
        <v>2</v>
      </c>
      <c r="I86" s="47" t="s">
        <v>88</v>
      </c>
      <c r="J86" s="48">
        <f t="shared" si="6"/>
        <v>100</v>
      </c>
    </row>
    <row r="87" spans="1:10" ht="21" customHeight="1" x14ac:dyDescent="0.15">
      <c r="A87" s="140">
        <f t="shared" si="8"/>
        <v>47003264</v>
      </c>
      <c r="B87" s="47">
        <v>0</v>
      </c>
      <c r="C87" s="47">
        <v>103</v>
      </c>
      <c r="D87" s="47">
        <v>100</v>
      </c>
      <c r="E87" s="47" t="s">
        <v>88</v>
      </c>
      <c r="F87" s="47" t="s">
        <v>88</v>
      </c>
      <c r="G87" s="47" t="s">
        <v>88</v>
      </c>
      <c r="H87" s="47">
        <v>3</v>
      </c>
      <c r="I87" s="47" t="s">
        <v>88</v>
      </c>
      <c r="J87" s="48">
        <f t="shared" si="6"/>
        <v>100</v>
      </c>
    </row>
    <row r="88" spans="1:10" ht="21" customHeight="1" x14ac:dyDescent="0.15">
      <c r="A88" s="140">
        <f t="shared" si="8"/>
        <v>47003265</v>
      </c>
      <c r="B88" s="47">
        <v>1</v>
      </c>
      <c r="C88" s="47">
        <v>306</v>
      </c>
      <c r="D88" s="47">
        <v>100</v>
      </c>
      <c r="E88" s="47" t="s">
        <v>88</v>
      </c>
      <c r="F88" s="47" t="s">
        <v>88</v>
      </c>
      <c r="G88" s="47">
        <v>1</v>
      </c>
      <c r="H88" s="47" t="s">
        <v>88</v>
      </c>
      <c r="I88" s="47">
        <v>1194</v>
      </c>
      <c r="J88" s="48">
        <f t="shared" si="6"/>
        <v>100</v>
      </c>
    </row>
    <row r="89" spans="1:10" ht="21" customHeight="1" x14ac:dyDescent="0.15">
      <c r="A89" s="140">
        <f t="shared" si="8"/>
        <v>47003266</v>
      </c>
      <c r="B89" s="47">
        <v>1</v>
      </c>
      <c r="C89" s="47">
        <v>305</v>
      </c>
      <c r="D89" s="47">
        <v>100</v>
      </c>
      <c r="E89" s="47" t="s">
        <v>88</v>
      </c>
      <c r="F89" s="47" t="s">
        <v>88</v>
      </c>
      <c r="G89" s="47">
        <v>1</v>
      </c>
      <c r="H89" s="47" t="s">
        <v>88</v>
      </c>
      <c r="I89" s="47">
        <v>1195</v>
      </c>
      <c r="J89" s="48">
        <f t="shared" si="6"/>
        <v>100</v>
      </c>
    </row>
    <row r="90" spans="1:10" ht="21" customHeight="1" x14ac:dyDescent="0.15">
      <c r="A90" s="140">
        <f t="shared" si="8"/>
        <v>47003267</v>
      </c>
      <c r="B90" s="47">
        <v>1</v>
      </c>
      <c r="C90" s="47">
        <v>304</v>
      </c>
      <c r="D90" s="47">
        <v>100</v>
      </c>
      <c r="E90" s="47" t="s">
        <v>88</v>
      </c>
      <c r="F90" s="47" t="s">
        <v>88</v>
      </c>
      <c r="G90" s="47">
        <v>1</v>
      </c>
      <c r="H90" s="47" t="s">
        <v>88</v>
      </c>
      <c r="I90" s="47">
        <v>1196</v>
      </c>
      <c r="J90" s="48">
        <f t="shared" si="6"/>
        <v>100</v>
      </c>
    </row>
    <row r="91" spans="1:10" ht="21" customHeight="1" x14ac:dyDescent="0.15">
      <c r="A91" s="140">
        <f t="shared" si="8"/>
        <v>47003268</v>
      </c>
      <c r="B91" s="47">
        <v>1</v>
      </c>
      <c r="C91" s="47">
        <v>303</v>
      </c>
      <c r="D91" s="47">
        <v>100</v>
      </c>
      <c r="E91" s="47" t="s">
        <v>88</v>
      </c>
      <c r="F91" s="47" t="s">
        <v>88</v>
      </c>
      <c r="G91" s="47">
        <v>1</v>
      </c>
      <c r="H91" s="47" t="s">
        <v>88</v>
      </c>
      <c r="I91" s="47">
        <v>1193</v>
      </c>
      <c r="J91" s="48">
        <f t="shared" si="6"/>
        <v>100</v>
      </c>
    </row>
    <row r="92" spans="1:10" ht="21" customHeight="1" x14ac:dyDescent="0.15">
      <c r="A92" s="140">
        <f t="shared" si="8"/>
        <v>47003281</v>
      </c>
      <c r="B92" s="47">
        <v>1</v>
      </c>
      <c r="C92" s="47">
        <v>100</v>
      </c>
      <c r="D92" s="47">
        <v>100</v>
      </c>
      <c r="E92" s="47" t="s">
        <v>88</v>
      </c>
      <c r="F92" s="47" t="s">
        <v>88</v>
      </c>
      <c r="G92" s="47">
        <v>1</v>
      </c>
      <c r="H92" s="47" t="s">
        <v>88</v>
      </c>
      <c r="I92" s="47" t="s">
        <v>88</v>
      </c>
      <c r="J92" s="48">
        <f t="shared" si="6"/>
        <v>100</v>
      </c>
    </row>
    <row r="93" spans="1:10" ht="21" customHeight="1" x14ac:dyDescent="0.15">
      <c r="A93" s="140">
        <f t="shared" ref="A93:A116" si="9">A232-400</f>
        <v>47003283</v>
      </c>
      <c r="B93" s="47">
        <v>0</v>
      </c>
      <c r="C93" s="47">
        <v>102</v>
      </c>
      <c r="D93" s="47">
        <v>100</v>
      </c>
      <c r="E93" s="47" t="s">
        <v>88</v>
      </c>
      <c r="F93" s="47" t="s">
        <v>88</v>
      </c>
      <c r="G93" s="47" t="s">
        <v>88</v>
      </c>
      <c r="H93" s="47">
        <v>2</v>
      </c>
      <c r="I93" s="47" t="s">
        <v>88</v>
      </c>
      <c r="J93" s="48">
        <f t="shared" si="6"/>
        <v>100</v>
      </c>
    </row>
    <row r="94" spans="1:10" ht="21" customHeight="1" x14ac:dyDescent="0.15">
      <c r="A94" s="140">
        <f t="shared" si="9"/>
        <v>47003284</v>
      </c>
      <c r="B94" s="47">
        <v>0</v>
      </c>
      <c r="C94" s="47">
        <v>103</v>
      </c>
      <c r="D94" s="47">
        <v>100</v>
      </c>
      <c r="E94" s="47" t="s">
        <v>88</v>
      </c>
      <c r="F94" s="47" t="s">
        <v>88</v>
      </c>
      <c r="G94" s="47" t="s">
        <v>88</v>
      </c>
      <c r="H94" s="47">
        <v>3</v>
      </c>
      <c r="I94" s="47" t="s">
        <v>88</v>
      </c>
      <c r="J94" s="48">
        <f t="shared" si="6"/>
        <v>100</v>
      </c>
    </row>
    <row r="95" spans="1:10" ht="21" customHeight="1" x14ac:dyDescent="0.15">
      <c r="A95" s="140">
        <f t="shared" si="9"/>
        <v>47003285</v>
      </c>
      <c r="B95" s="47">
        <v>1</v>
      </c>
      <c r="C95" s="47">
        <v>306</v>
      </c>
      <c r="D95" s="47">
        <v>100</v>
      </c>
      <c r="E95" s="47" t="s">
        <v>88</v>
      </c>
      <c r="F95" s="47" t="s">
        <v>88</v>
      </c>
      <c r="G95" s="47">
        <v>1</v>
      </c>
      <c r="H95" s="47" t="s">
        <v>88</v>
      </c>
      <c r="I95" s="47">
        <v>1194</v>
      </c>
      <c r="J95" s="48">
        <f t="shared" si="6"/>
        <v>100</v>
      </c>
    </row>
    <row r="96" spans="1:10" ht="21" customHeight="1" x14ac:dyDescent="0.15">
      <c r="A96" s="140">
        <f t="shared" si="9"/>
        <v>47003286</v>
      </c>
      <c r="B96" s="47">
        <v>1</v>
      </c>
      <c r="C96" s="47">
        <v>305</v>
      </c>
      <c r="D96" s="47">
        <v>100</v>
      </c>
      <c r="E96" s="47" t="s">
        <v>88</v>
      </c>
      <c r="F96" s="47" t="s">
        <v>88</v>
      </c>
      <c r="G96" s="47">
        <v>1</v>
      </c>
      <c r="H96" s="47" t="s">
        <v>88</v>
      </c>
      <c r="I96" s="47">
        <v>1195</v>
      </c>
      <c r="J96" s="48">
        <f t="shared" si="6"/>
        <v>100</v>
      </c>
    </row>
    <row r="97" spans="1:10" ht="21" customHeight="1" x14ac:dyDescent="0.15">
      <c r="A97" s="140">
        <f t="shared" si="9"/>
        <v>47003287</v>
      </c>
      <c r="B97" s="47">
        <v>1</v>
      </c>
      <c r="C97" s="47">
        <v>304</v>
      </c>
      <c r="D97" s="47">
        <v>100</v>
      </c>
      <c r="E97" s="47" t="s">
        <v>88</v>
      </c>
      <c r="F97" s="47" t="s">
        <v>88</v>
      </c>
      <c r="G97" s="47">
        <v>1</v>
      </c>
      <c r="H97" s="47" t="s">
        <v>88</v>
      </c>
      <c r="I97" s="47">
        <v>1196</v>
      </c>
      <c r="J97" s="48">
        <f t="shared" si="6"/>
        <v>100</v>
      </c>
    </row>
    <row r="98" spans="1:10" ht="21" customHeight="1" x14ac:dyDescent="0.15">
      <c r="A98" s="140">
        <f t="shared" si="9"/>
        <v>47003288</v>
      </c>
      <c r="B98" s="47">
        <v>1</v>
      </c>
      <c r="C98" s="47">
        <v>303</v>
      </c>
      <c r="D98" s="47">
        <v>100</v>
      </c>
      <c r="E98" s="47" t="s">
        <v>88</v>
      </c>
      <c r="F98" s="47" t="s">
        <v>88</v>
      </c>
      <c r="G98" s="47">
        <v>1</v>
      </c>
      <c r="H98" s="47" t="s">
        <v>88</v>
      </c>
      <c r="I98" s="47">
        <v>1193</v>
      </c>
      <c r="J98" s="48">
        <f t="shared" si="6"/>
        <v>100</v>
      </c>
    </row>
    <row r="99" spans="1:10" ht="21" customHeight="1" x14ac:dyDescent="0.15">
      <c r="A99" s="140">
        <f t="shared" si="9"/>
        <v>47003301</v>
      </c>
      <c r="B99" s="47">
        <v>1</v>
      </c>
      <c r="C99" s="47">
        <v>100</v>
      </c>
      <c r="D99" s="47">
        <v>100</v>
      </c>
      <c r="E99" s="47" t="s">
        <v>88</v>
      </c>
      <c r="F99" s="47" t="s">
        <v>88</v>
      </c>
      <c r="G99" s="47">
        <v>1</v>
      </c>
      <c r="H99" s="47" t="s">
        <v>88</v>
      </c>
      <c r="I99" s="47" t="s">
        <v>88</v>
      </c>
      <c r="J99" s="48">
        <f t="shared" si="6"/>
        <v>100</v>
      </c>
    </row>
    <row r="100" spans="1:10" ht="21" customHeight="1" x14ac:dyDescent="0.15">
      <c r="A100" s="140">
        <f t="shared" si="9"/>
        <v>47003302</v>
      </c>
      <c r="B100" s="47">
        <v>0</v>
      </c>
      <c r="C100" s="47">
        <v>101</v>
      </c>
      <c r="D100" s="47">
        <v>100</v>
      </c>
      <c r="E100" s="47" t="s">
        <v>88</v>
      </c>
      <c r="F100" s="47" t="s">
        <v>88</v>
      </c>
      <c r="G100" s="47" t="s">
        <v>88</v>
      </c>
      <c r="H100" s="47">
        <v>1</v>
      </c>
      <c r="I100" s="47" t="s">
        <v>88</v>
      </c>
      <c r="J100" s="48">
        <f t="shared" si="6"/>
        <v>100</v>
      </c>
    </row>
    <row r="101" spans="1:10" ht="21" customHeight="1" x14ac:dyDescent="0.15">
      <c r="A101" s="140">
        <f t="shared" si="9"/>
        <v>47003303</v>
      </c>
      <c r="B101" s="47">
        <v>0</v>
      </c>
      <c r="C101" s="47">
        <v>102</v>
      </c>
      <c r="D101" s="47">
        <v>100</v>
      </c>
      <c r="E101" s="47" t="s">
        <v>88</v>
      </c>
      <c r="F101" s="47" t="s">
        <v>88</v>
      </c>
      <c r="G101" s="47" t="s">
        <v>88</v>
      </c>
      <c r="H101" s="47">
        <v>2</v>
      </c>
      <c r="I101" s="47" t="s">
        <v>88</v>
      </c>
      <c r="J101" s="48">
        <f t="shared" si="6"/>
        <v>100</v>
      </c>
    </row>
    <row r="102" spans="1:10" ht="21" customHeight="1" x14ac:dyDescent="0.15">
      <c r="A102" s="140">
        <f t="shared" si="9"/>
        <v>47003304</v>
      </c>
      <c r="B102" s="47">
        <v>0</v>
      </c>
      <c r="C102" s="47">
        <v>103</v>
      </c>
      <c r="D102" s="47">
        <v>100</v>
      </c>
      <c r="E102" s="47" t="s">
        <v>88</v>
      </c>
      <c r="F102" s="47" t="s">
        <v>88</v>
      </c>
      <c r="G102" s="47" t="s">
        <v>88</v>
      </c>
      <c r="H102" s="47">
        <v>3</v>
      </c>
      <c r="I102" s="47" t="s">
        <v>88</v>
      </c>
      <c r="J102" s="48">
        <f t="shared" si="6"/>
        <v>100</v>
      </c>
    </row>
    <row r="103" spans="1:10" ht="21" customHeight="1" x14ac:dyDescent="0.15">
      <c r="A103" s="140">
        <f t="shared" si="9"/>
        <v>47003305</v>
      </c>
      <c r="B103" s="47">
        <v>0</v>
      </c>
      <c r="C103" s="47">
        <v>104</v>
      </c>
      <c r="D103" s="47">
        <v>100</v>
      </c>
      <c r="E103" s="47" t="s">
        <v>88</v>
      </c>
      <c r="F103" s="47" t="s">
        <v>88</v>
      </c>
      <c r="G103" s="47">
        <v>1</v>
      </c>
      <c r="H103" s="47">
        <v>5</v>
      </c>
      <c r="I103" s="47" t="s">
        <v>88</v>
      </c>
      <c r="J103" s="48">
        <f t="shared" si="6"/>
        <v>100</v>
      </c>
    </row>
    <row r="104" spans="1:10" ht="21" customHeight="1" x14ac:dyDescent="0.15">
      <c r="A104" s="140">
        <f t="shared" si="9"/>
        <v>47003306</v>
      </c>
      <c r="B104" s="47">
        <v>1</v>
      </c>
      <c r="C104" s="47">
        <v>306</v>
      </c>
      <c r="D104" s="47">
        <v>100</v>
      </c>
      <c r="E104" s="47" t="s">
        <v>88</v>
      </c>
      <c r="F104" s="47" t="s">
        <v>88</v>
      </c>
      <c r="G104" s="47">
        <v>1</v>
      </c>
      <c r="H104" s="47" t="s">
        <v>88</v>
      </c>
      <c r="I104" s="47">
        <v>1194</v>
      </c>
      <c r="J104" s="48">
        <f t="shared" si="6"/>
        <v>100</v>
      </c>
    </row>
    <row r="105" spans="1:10" ht="21" customHeight="1" x14ac:dyDescent="0.15">
      <c r="A105" s="140">
        <f t="shared" si="9"/>
        <v>47003307</v>
      </c>
      <c r="B105" s="47">
        <v>1</v>
      </c>
      <c r="C105" s="47">
        <v>305</v>
      </c>
      <c r="D105" s="47">
        <v>100</v>
      </c>
      <c r="E105" s="47" t="s">
        <v>88</v>
      </c>
      <c r="F105" s="47" t="s">
        <v>88</v>
      </c>
      <c r="G105" s="47">
        <v>1</v>
      </c>
      <c r="H105" s="47" t="s">
        <v>88</v>
      </c>
      <c r="I105" s="47">
        <v>1195</v>
      </c>
      <c r="J105" s="48">
        <f t="shared" si="6"/>
        <v>100</v>
      </c>
    </row>
    <row r="106" spans="1:10" ht="21" customHeight="1" x14ac:dyDescent="0.15">
      <c r="A106" s="140">
        <f t="shared" si="9"/>
        <v>47003308</v>
      </c>
      <c r="B106" s="47">
        <v>1</v>
      </c>
      <c r="C106" s="47">
        <v>303</v>
      </c>
      <c r="D106" s="47">
        <v>100</v>
      </c>
      <c r="E106" s="47" t="s">
        <v>88</v>
      </c>
      <c r="F106" s="47" t="s">
        <v>88</v>
      </c>
      <c r="G106" s="47">
        <v>1</v>
      </c>
      <c r="H106" s="47" t="s">
        <v>88</v>
      </c>
      <c r="I106" s="47">
        <v>1193</v>
      </c>
      <c r="J106" s="48">
        <f t="shared" si="6"/>
        <v>100</v>
      </c>
    </row>
    <row r="107" spans="1:10" ht="21" customHeight="1" x14ac:dyDescent="0.15">
      <c r="A107" s="140">
        <f t="shared" si="9"/>
        <v>47003321</v>
      </c>
      <c r="B107" s="47">
        <v>1</v>
      </c>
      <c r="C107" s="47">
        <v>100</v>
      </c>
      <c r="D107" s="47">
        <v>100</v>
      </c>
      <c r="E107" s="47" t="s">
        <v>88</v>
      </c>
      <c r="F107" s="47" t="s">
        <v>88</v>
      </c>
      <c r="G107" s="47" t="s">
        <v>88</v>
      </c>
      <c r="H107" s="47" t="s">
        <v>88</v>
      </c>
      <c r="I107" s="47" t="s">
        <v>88</v>
      </c>
      <c r="J107" s="48">
        <f t="shared" si="6"/>
        <v>100</v>
      </c>
    </row>
    <row r="108" spans="1:10" ht="21" customHeight="1" x14ac:dyDescent="0.15">
      <c r="A108" s="140">
        <f t="shared" si="9"/>
        <v>47003322</v>
      </c>
      <c r="B108" s="47">
        <v>0</v>
      </c>
      <c r="C108" s="47">
        <v>101</v>
      </c>
      <c r="D108" s="47">
        <v>100</v>
      </c>
      <c r="E108" s="47" t="s">
        <v>88</v>
      </c>
      <c r="F108" s="47" t="s">
        <v>88</v>
      </c>
      <c r="G108" s="47" t="s">
        <v>88</v>
      </c>
      <c r="H108" s="47">
        <v>1</v>
      </c>
      <c r="I108" s="47" t="s">
        <v>88</v>
      </c>
      <c r="J108" s="48">
        <f t="shared" si="6"/>
        <v>100</v>
      </c>
    </row>
    <row r="109" spans="1:10" ht="21" customHeight="1" x14ac:dyDescent="0.15">
      <c r="A109" s="140">
        <f t="shared" si="9"/>
        <v>47003323</v>
      </c>
      <c r="B109" s="47">
        <v>0</v>
      </c>
      <c r="C109" s="47">
        <v>102</v>
      </c>
      <c r="D109" s="47">
        <v>100</v>
      </c>
      <c r="E109" s="47" t="s">
        <v>88</v>
      </c>
      <c r="F109" s="47" t="s">
        <v>88</v>
      </c>
      <c r="G109" s="47" t="s">
        <v>88</v>
      </c>
      <c r="H109" s="47">
        <v>2</v>
      </c>
      <c r="I109" s="47" t="s">
        <v>88</v>
      </c>
      <c r="J109" s="48">
        <f t="shared" si="6"/>
        <v>100</v>
      </c>
    </row>
    <row r="110" spans="1:10" ht="21" customHeight="1" x14ac:dyDescent="0.15">
      <c r="A110" s="140">
        <f t="shared" si="9"/>
        <v>47003324</v>
      </c>
      <c r="B110" s="47">
        <v>0</v>
      </c>
      <c r="C110" s="47">
        <v>103</v>
      </c>
      <c r="D110" s="47">
        <v>100</v>
      </c>
      <c r="E110" s="47" t="s">
        <v>88</v>
      </c>
      <c r="F110" s="47" t="s">
        <v>88</v>
      </c>
      <c r="G110" s="47" t="s">
        <v>88</v>
      </c>
      <c r="H110" s="47">
        <v>3</v>
      </c>
      <c r="I110" s="47" t="s">
        <v>88</v>
      </c>
      <c r="J110" s="48">
        <f t="shared" si="6"/>
        <v>100</v>
      </c>
    </row>
    <row r="111" spans="1:10" ht="21" customHeight="1" x14ac:dyDescent="0.15">
      <c r="A111" s="140">
        <f t="shared" si="9"/>
        <v>47003325</v>
      </c>
      <c r="B111" s="47">
        <v>0</v>
      </c>
      <c r="C111" s="47">
        <v>104</v>
      </c>
      <c r="D111" s="47">
        <v>100</v>
      </c>
      <c r="E111" s="47">
        <v>50</v>
      </c>
      <c r="F111" s="47" t="s">
        <v>88</v>
      </c>
      <c r="G111" s="47">
        <v>1</v>
      </c>
      <c r="H111" s="47">
        <v>1</v>
      </c>
      <c r="I111" s="47" t="s">
        <v>88</v>
      </c>
      <c r="J111" s="48">
        <f t="shared" si="6"/>
        <v>100</v>
      </c>
    </row>
    <row r="112" spans="1:10" ht="21" customHeight="1" x14ac:dyDescent="0.15">
      <c r="A112" s="140">
        <f t="shared" si="9"/>
        <v>47003326</v>
      </c>
      <c r="B112" s="47">
        <v>1</v>
      </c>
      <c r="C112" s="47">
        <v>306</v>
      </c>
      <c r="D112" s="47">
        <v>100</v>
      </c>
      <c r="E112" s="47" t="s">
        <v>88</v>
      </c>
      <c r="F112" s="47" t="s">
        <v>88</v>
      </c>
      <c r="G112" s="47">
        <v>1</v>
      </c>
      <c r="H112" s="47" t="s">
        <v>88</v>
      </c>
      <c r="I112" s="47">
        <v>1194</v>
      </c>
      <c r="J112" s="48">
        <f t="shared" si="6"/>
        <v>100</v>
      </c>
    </row>
    <row r="113" spans="1:10" ht="21" customHeight="1" x14ac:dyDescent="0.15">
      <c r="A113" s="140">
        <f t="shared" si="9"/>
        <v>47003327</v>
      </c>
      <c r="B113" s="47">
        <v>1</v>
      </c>
      <c r="C113" s="47">
        <v>305</v>
      </c>
      <c r="D113" s="47">
        <v>100</v>
      </c>
      <c r="E113" s="47" t="s">
        <v>88</v>
      </c>
      <c r="F113" s="47" t="s">
        <v>88</v>
      </c>
      <c r="G113" s="47">
        <v>1</v>
      </c>
      <c r="H113" s="47" t="s">
        <v>88</v>
      </c>
      <c r="I113" s="47">
        <v>1195</v>
      </c>
      <c r="J113" s="48">
        <f t="shared" si="6"/>
        <v>100</v>
      </c>
    </row>
    <row r="114" spans="1:10" ht="21" customHeight="1" x14ac:dyDescent="0.15">
      <c r="A114" s="140">
        <f t="shared" si="9"/>
        <v>47003328</v>
      </c>
      <c r="B114" s="47">
        <v>1</v>
      </c>
      <c r="C114" s="47">
        <v>304</v>
      </c>
      <c r="D114" s="47">
        <v>100</v>
      </c>
      <c r="E114" s="47" t="s">
        <v>88</v>
      </c>
      <c r="F114" s="47" t="s">
        <v>88</v>
      </c>
      <c r="G114" s="47">
        <v>1</v>
      </c>
      <c r="H114" s="47" t="s">
        <v>88</v>
      </c>
      <c r="I114" s="47">
        <v>1196</v>
      </c>
      <c r="J114" s="48">
        <f t="shared" si="6"/>
        <v>100</v>
      </c>
    </row>
    <row r="115" spans="1:10" ht="21" customHeight="1" x14ac:dyDescent="0.15">
      <c r="A115" s="140">
        <f t="shared" si="9"/>
        <v>47003341</v>
      </c>
      <c r="B115" s="47">
        <v>1</v>
      </c>
      <c r="C115" s="47">
        <v>100</v>
      </c>
      <c r="D115" s="47">
        <v>100</v>
      </c>
      <c r="E115" s="47" t="s">
        <v>88</v>
      </c>
      <c r="F115" s="47" t="s">
        <v>88</v>
      </c>
      <c r="G115" s="47">
        <v>1</v>
      </c>
      <c r="H115" s="47" t="s">
        <v>88</v>
      </c>
      <c r="I115" s="47" t="s">
        <v>88</v>
      </c>
      <c r="J115" s="48">
        <f t="shared" si="6"/>
        <v>100</v>
      </c>
    </row>
    <row r="116" spans="1:10" ht="21" customHeight="1" x14ac:dyDescent="0.15">
      <c r="A116" s="140">
        <f t="shared" si="9"/>
        <v>47003342</v>
      </c>
      <c r="B116" s="47">
        <v>0</v>
      </c>
      <c r="C116" s="47">
        <v>200</v>
      </c>
      <c r="D116" s="47">
        <v>100</v>
      </c>
      <c r="E116" s="47" t="s">
        <v>88</v>
      </c>
      <c r="F116" s="47" t="s">
        <v>88</v>
      </c>
      <c r="G116" s="47">
        <v>1</v>
      </c>
      <c r="H116" s="47">
        <v>1</v>
      </c>
      <c r="I116" s="47" t="s">
        <v>88</v>
      </c>
      <c r="J116" s="48">
        <f t="shared" si="6"/>
        <v>100</v>
      </c>
    </row>
    <row r="117" spans="1:10" ht="21" customHeight="1" x14ac:dyDescent="0.15">
      <c r="A117" s="140">
        <f t="shared" ref="A117:A123" si="10">A257-400</f>
        <v>47003344</v>
      </c>
      <c r="B117" s="47">
        <v>0</v>
      </c>
      <c r="C117" s="47">
        <v>110</v>
      </c>
      <c r="D117" s="47">
        <v>100</v>
      </c>
      <c r="E117" s="47" t="s">
        <v>88</v>
      </c>
      <c r="F117" s="47" t="s">
        <v>88</v>
      </c>
      <c r="G117" s="47" t="s">
        <v>88</v>
      </c>
      <c r="H117" s="47">
        <v>2</v>
      </c>
      <c r="I117" s="47" t="s">
        <v>88</v>
      </c>
      <c r="J117" s="48">
        <f t="shared" si="6"/>
        <v>100</v>
      </c>
    </row>
    <row r="118" spans="1:10" ht="21" customHeight="1" x14ac:dyDescent="0.15">
      <c r="A118" s="140">
        <f t="shared" si="10"/>
        <v>47003345</v>
      </c>
      <c r="B118" s="47">
        <v>1</v>
      </c>
      <c r="C118" s="47">
        <v>306</v>
      </c>
      <c r="D118" s="47">
        <v>100</v>
      </c>
      <c r="E118" s="47" t="s">
        <v>88</v>
      </c>
      <c r="F118" s="47" t="s">
        <v>88</v>
      </c>
      <c r="G118" s="47">
        <v>1</v>
      </c>
      <c r="H118" s="47" t="s">
        <v>88</v>
      </c>
      <c r="I118" s="47">
        <v>1194</v>
      </c>
      <c r="J118" s="48">
        <f t="shared" ref="J118:J129" si="11">D118</f>
        <v>100</v>
      </c>
    </row>
    <row r="119" spans="1:10" ht="21" customHeight="1" x14ac:dyDescent="0.15">
      <c r="A119" s="140">
        <f t="shared" si="10"/>
        <v>47003346</v>
      </c>
      <c r="B119" s="47">
        <v>1</v>
      </c>
      <c r="C119" s="47">
        <v>305</v>
      </c>
      <c r="D119" s="47">
        <v>100</v>
      </c>
      <c r="E119" s="47" t="s">
        <v>88</v>
      </c>
      <c r="F119" s="47" t="s">
        <v>88</v>
      </c>
      <c r="G119" s="47">
        <v>1</v>
      </c>
      <c r="H119" s="47" t="s">
        <v>88</v>
      </c>
      <c r="I119" s="47">
        <v>1195</v>
      </c>
      <c r="J119" s="48">
        <f t="shared" si="11"/>
        <v>100</v>
      </c>
    </row>
    <row r="120" spans="1:10" ht="21" customHeight="1" x14ac:dyDescent="0.15">
      <c r="A120" s="140">
        <f t="shared" si="10"/>
        <v>47003347</v>
      </c>
      <c r="B120" s="47">
        <v>1</v>
      </c>
      <c r="C120" s="47">
        <v>304</v>
      </c>
      <c r="D120" s="47">
        <v>100</v>
      </c>
      <c r="E120" s="47" t="s">
        <v>88</v>
      </c>
      <c r="F120" s="47" t="s">
        <v>88</v>
      </c>
      <c r="G120" s="47">
        <v>1</v>
      </c>
      <c r="H120" s="47" t="s">
        <v>88</v>
      </c>
      <c r="I120" s="47">
        <v>1196</v>
      </c>
      <c r="J120" s="48">
        <f t="shared" si="11"/>
        <v>100</v>
      </c>
    </row>
    <row r="121" spans="1:10" ht="21" customHeight="1" x14ac:dyDescent="0.15">
      <c r="A121" s="140">
        <f t="shared" si="10"/>
        <v>47003348</v>
      </c>
      <c r="B121" s="47">
        <v>1</v>
      </c>
      <c r="C121" s="47">
        <v>303</v>
      </c>
      <c r="D121" s="47">
        <v>100</v>
      </c>
      <c r="E121" s="47" t="s">
        <v>88</v>
      </c>
      <c r="F121" s="47" t="s">
        <v>88</v>
      </c>
      <c r="G121" s="47">
        <v>1</v>
      </c>
      <c r="H121" s="47" t="s">
        <v>88</v>
      </c>
      <c r="I121" s="47">
        <v>1193</v>
      </c>
      <c r="J121" s="48">
        <f t="shared" si="11"/>
        <v>100</v>
      </c>
    </row>
    <row r="122" spans="1:10" ht="21" customHeight="1" x14ac:dyDescent="0.15">
      <c r="A122" s="140">
        <f t="shared" si="10"/>
        <v>47003361</v>
      </c>
      <c r="B122" s="47">
        <v>1</v>
      </c>
      <c r="C122" s="47">
        <v>100</v>
      </c>
      <c r="D122" s="47">
        <v>100</v>
      </c>
      <c r="E122" s="47" t="s">
        <v>88</v>
      </c>
      <c r="F122" s="47" t="s">
        <v>88</v>
      </c>
      <c r="G122" s="47">
        <v>1</v>
      </c>
      <c r="H122" s="47">
        <v>1</v>
      </c>
      <c r="I122" s="47" t="s">
        <v>88</v>
      </c>
      <c r="J122" s="48">
        <f t="shared" si="11"/>
        <v>100</v>
      </c>
    </row>
    <row r="123" spans="1:10" ht="21" customHeight="1" x14ac:dyDescent="0.15">
      <c r="A123" s="140">
        <f t="shared" si="10"/>
        <v>47003362</v>
      </c>
      <c r="B123" s="47">
        <v>0</v>
      </c>
      <c r="C123" s="47">
        <v>300</v>
      </c>
      <c r="D123" s="47">
        <v>100</v>
      </c>
      <c r="E123" s="47" t="s">
        <v>88</v>
      </c>
      <c r="F123" s="47" t="s">
        <v>88</v>
      </c>
      <c r="G123" s="47">
        <v>1</v>
      </c>
      <c r="H123" s="47">
        <v>1</v>
      </c>
      <c r="I123" s="47" t="s">
        <v>88</v>
      </c>
      <c r="J123" s="48">
        <f t="shared" si="11"/>
        <v>100</v>
      </c>
    </row>
    <row r="124" spans="1:10" ht="21" customHeight="1" x14ac:dyDescent="0.15">
      <c r="A124" s="140">
        <f>A265-400</f>
        <v>47003364</v>
      </c>
      <c r="B124" s="47">
        <v>0</v>
      </c>
      <c r="C124" s="47">
        <v>214</v>
      </c>
      <c r="D124" s="47">
        <v>100</v>
      </c>
      <c r="E124" s="47">
        <v>50</v>
      </c>
      <c r="F124" s="47" t="s">
        <v>88</v>
      </c>
      <c r="G124" s="47">
        <v>1</v>
      </c>
      <c r="H124" s="47">
        <v>2</v>
      </c>
      <c r="I124" s="47" t="s">
        <v>88</v>
      </c>
      <c r="J124" s="48">
        <f t="shared" si="11"/>
        <v>100</v>
      </c>
    </row>
    <row r="125" spans="1:10" ht="21" customHeight="1" x14ac:dyDescent="0.15">
      <c r="A125" s="140">
        <f>A266-400</f>
        <v>47003365</v>
      </c>
      <c r="B125" s="47">
        <v>0</v>
      </c>
      <c r="C125" s="47">
        <v>212</v>
      </c>
      <c r="D125" s="47">
        <v>100</v>
      </c>
      <c r="E125" s="47">
        <v>50</v>
      </c>
      <c r="F125" s="47" t="s">
        <v>88</v>
      </c>
      <c r="G125" s="47" t="s">
        <v>88</v>
      </c>
      <c r="H125" s="137">
        <v>2</v>
      </c>
      <c r="I125" s="47" t="s">
        <v>88</v>
      </c>
      <c r="J125" s="48">
        <f t="shared" si="11"/>
        <v>100</v>
      </c>
    </row>
    <row r="126" spans="1:10" ht="21" customHeight="1" x14ac:dyDescent="0.15">
      <c r="A126" s="140">
        <f>A267-400</f>
        <v>47003381</v>
      </c>
      <c r="B126" s="47">
        <v>1</v>
      </c>
      <c r="C126" s="47">
        <v>130</v>
      </c>
      <c r="D126" s="47">
        <v>100</v>
      </c>
      <c r="E126" s="47" t="s">
        <v>88</v>
      </c>
      <c r="F126" s="47" t="s">
        <v>88</v>
      </c>
      <c r="G126" s="47">
        <v>1</v>
      </c>
      <c r="H126" s="47">
        <v>1</v>
      </c>
      <c r="I126" s="47" t="s">
        <v>88</v>
      </c>
      <c r="J126" s="48">
        <f t="shared" si="11"/>
        <v>100</v>
      </c>
    </row>
    <row r="127" spans="1:10" ht="21" customHeight="1" x14ac:dyDescent="0.15">
      <c r="A127" s="140">
        <f>A269-400</f>
        <v>47003383</v>
      </c>
      <c r="B127" s="47">
        <v>0</v>
      </c>
      <c r="C127" s="47">
        <v>130</v>
      </c>
      <c r="D127" s="47">
        <v>100</v>
      </c>
      <c r="E127" s="47" t="s">
        <v>88</v>
      </c>
      <c r="F127" s="47" t="s">
        <v>88</v>
      </c>
      <c r="G127" s="47" t="s">
        <v>88</v>
      </c>
      <c r="H127" s="47">
        <v>3</v>
      </c>
      <c r="I127" s="47" t="s">
        <v>88</v>
      </c>
      <c r="J127" s="48">
        <f t="shared" si="11"/>
        <v>100</v>
      </c>
    </row>
    <row r="128" spans="1:10" ht="21" customHeight="1" x14ac:dyDescent="0.15">
      <c r="A128" s="140">
        <f>A270-400</f>
        <v>47003384</v>
      </c>
      <c r="B128" s="47">
        <v>0</v>
      </c>
      <c r="C128" s="47">
        <v>210</v>
      </c>
      <c r="D128" s="47">
        <v>100</v>
      </c>
      <c r="E128" s="47">
        <v>50</v>
      </c>
      <c r="F128" s="47" t="s">
        <v>88</v>
      </c>
      <c r="G128" s="137" t="s">
        <v>88</v>
      </c>
      <c r="H128" s="137">
        <v>2</v>
      </c>
      <c r="I128" s="47" t="s">
        <v>88</v>
      </c>
      <c r="J128" s="48">
        <f t="shared" si="11"/>
        <v>100</v>
      </c>
    </row>
    <row r="129" spans="1:10" ht="21" customHeight="1" x14ac:dyDescent="0.15">
      <c r="A129" s="140">
        <f>A272-400</f>
        <v>47003386</v>
      </c>
      <c r="B129" s="47">
        <v>0</v>
      </c>
      <c r="C129" s="47">
        <v>300</v>
      </c>
      <c r="D129" s="47">
        <v>100</v>
      </c>
      <c r="E129" s="47" t="s">
        <v>88</v>
      </c>
      <c r="F129" s="47" t="s">
        <v>88</v>
      </c>
      <c r="G129" s="47">
        <v>0</v>
      </c>
      <c r="H129" s="47">
        <v>1</v>
      </c>
      <c r="I129" s="47">
        <v>0</v>
      </c>
      <c r="J129" s="48">
        <f t="shared" si="11"/>
        <v>100</v>
      </c>
    </row>
    <row r="130" spans="1:10" ht="21" customHeight="1" x14ac:dyDescent="0.15">
      <c r="A130" s="141">
        <f>A194-200</f>
        <v>47003401</v>
      </c>
      <c r="B130" s="47">
        <v>1</v>
      </c>
      <c r="C130" s="47">
        <v>105</v>
      </c>
      <c r="D130" s="47">
        <v>100</v>
      </c>
      <c r="E130" s="47" t="s">
        <v>88</v>
      </c>
      <c r="F130" s="47" t="s">
        <v>88</v>
      </c>
      <c r="G130" s="47">
        <v>1</v>
      </c>
      <c r="H130" s="47">
        <v>1</v>
      </c>
      <c r="I130" s="47" t="s">
        <v>88</v>
      </c>
      <c r="J130" s="48">
        <f t="shared" ref="J130:J181" si="12">D130</f>
        <v>100</v>
      </c>
    </row>
    <row r="131" spans="1:10" ht="21" customHeight="1" x14ac:dyDescent="0.15">
      <c r="A131" s="141">
        <f>A195-200</f>
        <v>47003402</v>
      </c>
      <c r="B131" s="47">
        <v>1</v>
      </c>
      <c r="C131" s="47">
        <v>111</v>
      </c>
      <c r="D131" s="47">
        <v>100</v>
      </c>
      <c r="E131" s="47" t="s">
        <v>88</v>
      </c>
      <c r="F131" s="47" t="s">
        <v>88</v>
      </c>
      <c r="G131" s="47">
        <v>1</v>
      </c>
      <c r="H131" s="47">
        <v>1</v>
      </c>
      <c r="I131" s="47">
        <v>1194</v>
      </c>
      <c r="J131" s="48">
        <f t="shared" si="12"/>
        <v>100</v>
      </c>
    </row>
    <row r="132" spans="1:10" ht="21" customHeight="1" x14ac:dyDescent="0.15">
      <c r="A132" s="141">
        <f>A196-200</f>
        <v>47003403</v>
      </c>
      <c r="B132" s="47">
        <v>1</v>
      </c>
      <c r="C132" s="47">
        <v>110</v>
      </c>
      <c r="D132" s="47">
        <v>100</v>
      </c>
      <c r="E132" s="47" t="s">
        <v>88</v>
      </c>
      <c r="F132" s="47" t="s">
        <v>88</v>
      </c>
      <c r="G132" s="47">
        <v>1</v>
      </c>
      <c r="H132" s="47">
        <v>1</v>
      </c>
      <c r="I132" s="47">
        <v>1195</v>
      </c>
      <c r="J132" s="48">
        <f t="shared" si="12"/>
        <v>100</v>
      </c>
    </row>
    <row r="133" spans="1:10" ht="21" customHeight="1" x14ac:dyDescent="0.15">
      <c r="A133" s="141">
        <f>A199-200</f>
        <v>47003411</v>
      </c>
      <c r="B133" s="47">
        <v>1</v>
      </c>
      <c r="C133" s="47">
        <v>105</v>
      </c>
      <c r="D133" s="47">
        <v>100</v>
      </c>
      <c r="E133" s="47" t="s">
        <v>88</v>
      </c>
      <c r="F133" s="47" t="s">
        <v>88</v>
      </c>
      <c r="G133" s="47">
        <v>1</v>
      </c>
      <c r="H133" s="47">
        <v>1</v>
      </c>
      <c r="I133" s="47" t="s">
        <v>88</v>
      </c>
      <c r="J133" s="48">
        <f t="shared" si="12"/>
        <v>100</v>
      </c>
    </row>
    <row r="134" spans="1:10" ht="21" customHeight="1" x14ac:dyDescent="0.15">
      <c r="A134" s="141">
        <f>A202-200</f>
        <v>47003414</v>
      </c>
      <c r="B134" s="47">
        <v>1</v>
      </c>
      <c r="C134" s="47">
        <v>111</v>
      </c>
      <c r="D134" s="47">
        <v>100</v>
      </c>
      <c r="E134" s="47" t="s">
        <v>88</v>
      </c>
      <c r="F134" s="47" t="s">
        <v>88</v>
      </c>
      <c r="G134" s="47">
        <v>1</v>
      </c>
      <c r="H134" s="47">
        <v>1</v>
      </c>
      <c r="I134" s="47">
        <v>1196</v>
      </c>
      <c r="J134" s="48">
        <f t="shared" si="12"/>
        <v>100</v>
      </c>
    </row>
    <row r="135" spans="1:10" ht="21" customHeight="1" x14ac:dyDescent="0.15">
      <c r="A135" s="141">
        <f>A203-200</f>
        <v>47003415</v>
      </c>
      <c r="B135" s="47">
        <v>1</v>
      </c>
      <c r="C135" s="47">
        <v>110</v>
      </c>
      <c r="D135" s="47">
        <v>100</v>
      </c>
      <c r="E135" s="47" t="s">
        <v>88</v>
      </c>
      <c r="F135" s="47" t="s">
        <v>88</v>
      </c>
      <c r="G135" s="47">
        <v>1</v>
      </c>
      <c r="H135" s="47">
        <v>1</v>
      </c>
      <c r="I135" s="47">
        <v>1193</v>
      </c>
      <c r="J135" s="48">
        <f t="shared" si="12"/>
        <v>100</v>
      </c>
    </row>
    <row r="136" spans="1:10" ht="21" customHeight="1" x14ac:dyDescent="0.15">
      <c r="A136" s="141">
        <f>A204-200</f>
        <v>47003421</v>
      </c>
      <c r="B136" s="47">
        <v>1</v>
      </c>
      <c r="C136" s="47">
        <v>105</v>
      </c>
      <c r="D136" s="47">
        <v>100</v>
      </c>
      <c r="E136" s="47" t="s">
        <v>88</v>
      </c>
      <c r="F136" s="47" t="s">
        <v>88</v>
      </c>
      <c r="G136" s="47">
        <v>1</v>
      </c>
      <c r="H136" s="47">
        <v>1</v>
      </c>
      <c r="I136" s="47" t="s">
        <v>276</v>
      </c>
      <c r="J136" s="48">
        <f t="shared" si="12"/>
        <v>100</v>
      </c>
    </row>
    <row r="137" spans="1:10" ht="21" customHeight="1" x14ac:dyDescent="0.15">
      <c r="A137" s="141">
        <f>A207-200</f>
        <v>47003424</v>
      </c>
      <c r="B137" s="47">
        <v>1</v>
      </c>
      <c r="C137" s="47">
        <v>111</v>
      </c>
      <c r="D137" s="47">
        <v>100</v>
      </c>
      <c r="E137" s="47" t="s">
        <v>88</v>
      </c>
      <c r="F137" s="47" t="s">
        <v>88</v>
      </c>
      <c r="G137" s="47">
        <v>1</v>
      </c>
      <c r="H137" s="47">
        <v>1</v>
      </c>
      <c r="I137" s="47">
        <v>1196</v>
      </c>
      <c r="J137" s="48">
        <f t="shared" si="12"/>
        <v>100</v>
      </c>
    </row>
    <row r="138" spans="1:10" ht="21" customHeight="1" x14ac:dyDescent="0.15">
      <c r="A138" s="141">
        <f>A208-200</f>
        <v>47003425</v>
      </c>
      <c r="B138" s="47">
        <v>1</v>
      </c>
      <c r="C138" s="47">
        <v>110</v>
      </c>
      <c r="D138" s="47">
        <v>100</v>
      </c>
      <c r="E138" s="47" t="s">
        <v>88</v>
      </c>
      <c r="F138" s="47" t="s">
        <v>88</v>
      </c>
      <c r="G138" s="47">
        <v>1</v>
      </c>
      <c r="H138" s="47">
        <v>1</v>
      </c>
      <c r="I138" s="47">
        <v>1193</v>
      </c>
      <c r="J138" s="48">
        <f t="shared" si="12"/>
        <v>100</v>
      </c>
    </row>
    <row r="139" spans="1:10" ht="21" customHeight="1" x14ac:dyDescent="0.15">
      <c r="A139" s="141">
        <f>A209-200</f>
        <v>47003431</v>
      </c>
      <c r="B139" s="47">
        <v>1</v>
      </c>
      <c r="C139" s="47">
        <v>105</v>
      </c>
      <c r="D139" s="47">
        <v>100</v>
      </c>
      <c r="E139" s="47" t="s">
        <v>88</v>
      </c>
      <c r="F139" s="47" t="s">
        <v>88</v>
      </c>
      <c r="G139" s="47">
        <v>1</v>
      </c>
      <c r="H139" s="47">
        <v>1</v>
      </c>
      <c r="I139" s="47" t="s">
        <v>88</v>
      </c>
      <c r="J139" s="48">
        <f t="shared" si="12"/>
        <v>100</v>
      </c>
    </row>
    <row r="140" spans="1:10" ht="21" customHeight="1" x14ac:dyDescent="0.15">
      <c r="A140" s="141">
        <f>A210-200</f>
        <v>47003432</v>
      </c>
      <c r="B140" s="47">
        <v>1</v>
      </c>
      <c r="C140" s="47">
        <v>111</v>
      </c>
      <c r="D140" s="47">
        <v>100</v>
      </c>
      <c r="E140" s="47" t="s">
        <v>88</v>
      </c>
      <c r="F140" s="47" t="s">
        <v>88</v>
      </c>
      <c r="G140" s="47">
        <v>1</v>
      </c>
      <c r="H140" s="47">
        <v>1</v>
      </c>
      <c r="I140" s="47">
        <v>1194</v>
      </c>
      <c r="J140" s="48">
        <f t="shared" si="12"/>
        <v>100</v>
      </c>
    </row>
    <row r="141" spans="1:10" ht="21" customHeight="1" x14ac:dyDescent="0.15">
      <c r="A141" s="141">
        <f>A211-200</f>
        <v>47003433</v>
      </c>
      <c r="B141" s="47">
        <v>1</v>
      </c>
      <c r="C141" s="47">
        <v>110</v>
      </c>
      <c r="D141" s="47">
        <v>100</v>
      </c>
      <c r="E141" s="47" t="s">
        <v>88</v>
      </c>
      <c r="F141" s="47" t="s">
        <v>88</v>
      </c>
      <c r="G141" s="47">
        <v>1</v>
      </c>
      <c r="H141" s="47">
        <v>1</v>
      </c>
      <c r="I141" s="47">
        <v>1195</v>
      </c>
      <c r="J141" s="48">
        <f t="shared" si="12"/>
        <v>100</v>
      </c>
    </row>
    <row r="142" spans="1:10" ht="21" customHeight="1" x14ac:dyDescent="0.15">
      <c r="A142" s="141">
        <f>A214-200</f>
        <v>47003451</v>
      </c>
      <c r="B142" s="47">
        <v>1</v>
      </c>
      <c r="C142" s="47">
        <v>100</v>
      </c>
      <c r="D142" s="47">
        <v>100</v>
      </c>
      <c r="E142" s="47" t="s">
        <v>88</v>
      </c>
      <c r="F142" s="47" t="s">
        <v>88</v>
      </c>
      <c r="G142" s="47">
        <v>1</v>
      </c>
      <c r="H142" s="47" t="s">
        <v>88</v>
      </c>
      <c r="I142" s="47" t="s">
        <v>88</v>
      </c>
      <c r="J142" s="48">
        <f t="shared" si="12"/>
        <v>100</v>
      </c>
    </row>
    <row r="143" spans="1:10" ht="21" customHeight="1" x14ac:dyDescent="0.15">
      <c r="A143" s="141">
        <f t="shared" ref="A143:A149" si="13">A216-200</f>
        <v>47003453</v>
      </c>
      <c r="B143" s="47">
        <v>0</v>
      </c>
      <c r="C143" s="47">
        <v>102</v>
      </c>
      <c r="D143" s="47">
        <v>100</v>
      </c>
      <c r="E143" s="47" t="s">
        <v>88</v>
      </c>
      <c r="F143" s="47" t="s">
        <v>88</v>
      </c>
      <c r="G143" s="47">
        <v>1</v>
      </c>
      <c r="H143" s="47">
        <v>2</v>
      </c>
      <c r="I143" s="47" t="s">
        <v>88</v>
      </c>
      <c r="J143" s="48">
        <f t="shared" si="12"/>
        <v>100</v>
      </c>
    </row>
    <row r="144" spans="1:10" ht="21" customHeight="1" x14ac:dyDescent="0.15">
      <c r="A144" s="141">
        <f t="shared" si="13"/>
        <v>47003454</v>
      </c>
      <c r="B144" s="47">
        <v>0</v>
      </c>
      <c r="C144" s="47">
        <v>103</v>
      </c>
      <c r="D144" s="47">
        <v>100</v>
      </c>
      <c r="E144" s="47" t="s">
        <v>88</v>
      </c>
      <c r="F144" s="47" t="s">
        <v>88</v>
      </c>
      <c r="G144" s="47">
        <v>1</v>
      </c>
      <c r="H144" s="47">
        <v>3</v>
      </c>
      <c r="I144" s="47" t="s">
        <v>88</v>
      </c>
      <c r="J144" s="48">
        <f t="shared" si="12"/>
        <v>100</v>
      </c>
    </row>
    <row r="145" spans="1:10" ht="21" customHeight="1" x14ac:dyDescent="0.15">
      <c r="A145" s="141">
        <f t="shared" si="13"/>
        <v>47003455</v>
      </c>
      <c r="B145" s="47">
        <v>1</v>
      </c>
      <c r="C145" s="47">
        <v>306</v>
      </c>
      <c r="D145" s="47">
        <v>100</v>
      </c>
      <c r="E145" s="47" t="s">
        <v>88</v>
      </c>
      <c r="F145" s="47" t="s">
        <v>88</v>
      </c>
      <c r="G145" s="47">
        <v>1</v>
      </c>
      <c r="H145" s="47" t="s">
        <v>88</v>
      </c>
      <c r="I145" s="47">
        <v>1194</v>
      </c>
      <c r="J145" s="48">
        <f t="shared" si="12"/>
        <v>100</v>
      </c>
    </row>
    <row r="146" spans="1:10" ht="21" customHeight="1" x14ac:dyDescent="0.15">
      <c r="A146" s="141">
        <f t="shared" si="13"/>
        <v>47003456</v>
      </c>
      <c r="B146" s="47">
        <v>1</v>
      </c>
      <c r="C146" s="47">
        <v>305</v>
      </c>
      <c r="D146" s="47">
        <v>100</v>
      </c>
      <c r="E146" s="47" t="s">
        <v>88</v>
      </c>
      <c r="F146" s="47" t="s">
        <v>88</v>
      </c>
      <c r="G146" s="47">
        <v>1</v>
      </c>
      <c r="H146" s="47" t="s">
        <v>88</v>
      </c>
      <c r="I146" s="47">
        <v>1195</v>
      </c>
      <c r="J146" s="48">
        <f t="shared" si="12"/>
        <v>100</v>
      </c>
    </row>
    <row r="147" spans="1:10" ht="21" customHeight="1" x14ac:dyDescent="0.15">
      <c r="A147" s="141">
        <f t="shared" si="13"/>
        <v>47003457</v>
      </c>
      <c r="B147" s="47">
        <v>1</v>
      </c>
      <c r="C147" s="47">
        <v>304</v>
      </c>
      <c r="D147" s="47">
        <v>100</v>
      </c>
      <c r="E147" s="47" t="s">
        <v>88</v>
      </c>
      <c r="F147" s="47" t="s">
        <v>88</v>
      </c>
      <c r="G147" s="47">
        <v>1</v>
      </c>
      <c r="H147" s="47" t="s">
        <v>88</v>
      </c>
      <c r="I147" s="47">
        <v>1196</v>
      </c>
      <c r="J147" s="48">
        <f t="shared" si="12"/>
        <v>100</v>
      </c>
    </row>
    <row r="148" spans="1:10" ht="21" customHeight="1" x14ac:dyDescent="0.15">
      <c r="A148" s="141">
        <f t="shared" si="13"/>
        <v>47003458</v>
      </c>
      <c r="B148" s="47">
        <v>1</v>
      </c>
      <c r="C148" s="47">
        <v>303</v>
      </c>
      <c r="D148" s="47">
        <v>100</v>
      </c>
      <c r="E148" s="47" t="s">
        <v>88</v>
      </c>
      <c r="F148" s="47" t="s">
        <v>88</v>
      </c>
      <c r="G148" s="47">
        <v>1</v>
      </c>
      <c r="H148" s="47" t="s">
        <v>88</v>
      </c>
      <c r="I148" s="47">
        <v>1193</v>
      </c>
      <c r="J148" s="48">
        <f t="shared" si="12"/>
        <v>100</v>
      </c>
    </row>
    <row r="149" spans="1:10" ht="21" customHeight="1" x14ac:dyDescent="0.15">
      <c r="A149" s="141">
        <f t="shared" si="13"/>
        <v>47003461</v>
      </c>
      <c r="B149" s="47">
        <v>1</v>
      </c>
      <c r="C149" s="47">
        <v>100</v>
      </c>
      <c r="D149" s="47">
        <v>100</v>
      </c>
      <c r="E149" s="47" t="s">
        <v>88</v>
      </c>
      <c r="F149" s="47" t="s">
        <v>88</v>
      </c>
      <c r="G149" s="47">
        <v>1</v>
      </c>
      <c r="H149" s="47" t="s">
        <v>88</v>
      </c>
      <c r="I149" s="47" t="s">
        <v>88</v>
      </c>
      <c r="J149" s="48">
        <f t="shared" si="12"/>
        <v>100</v>
      </c>
    </row>
    <row r="150" spans="1:10" ht="21" customHeight="1" x14ac:dyDescent="0.15">
      <c r="A150" s="141">
        <f t="shared" ref="A150:A156" si="14">A224-200</f>
        <v>47003463</v>
      </c>
      <c r="B150" s="47">
        <v>0</v>
      </c>
      <c r="C150" s="47">
        <v>102</v>
      </c>
      <c r="D150" s="47">
        <v>100</v>
      </c>
      <c r="E150" s="47" t="s">
        <v>88</v>
      </c>
      <c r="F150" s="47" t="s">
        <v>88</v>
      </c>
      <c r="G150" s="47" t="s">
        <v>88</v>
      </c>
      <c r="H150" s="47">
        <v>2</v>
      </c>
      <c r="I150" s="47" t="s">
        <v>88</v>
      </c>
      <c r="J150" s="48">
        <f t="shared" si="12"/>
        <v>100</v>
      </c>
    </row>
    <row r="151" spans="1:10" ht="21" customHeight="1" x14ac:dyDescent="0.15">
      <c r="A151" s="141">
        <f t="shared" si="14"/>
        <v>47003464</v>
      </c>
      <c r="B151" s="47">
        <v>0</v>
      </c>
      <c r="C151" s="47">
        <v>103</v>
      </c>
      <c r="D151" s="47">
        <v>100</v>
      </c>
      <c r="E151" s="47" t="s">
        <v>88</v>
      </c>
      <c r="F151" s="47" t="s">
        <v>88</v>
      </c>
      <c r="G151" s="47" t="s">
        <v>88</v>
      </c>
      <c r="H151" s="47">
        <v>3</v>
      </c>
      <c r="I151" s="47" t="s">
        <v>88</v>
      </c>
      <c r="J151" s="48">
        <f t="shared" si="12"/>
        <v>100</v>
      </c>
    </row>
    <row r="152" spans="1:10" ht="21" customHeight="1" x14ac:dyDescent="0.15">
      <c r="A152" s="141">
        <f t="shared" si="14"/>
        <v>47003465</v>
      </c>
      <c r="B152" s="47">
        <v>1</v>
      </c>
      <c r="C152" s="47">
        <v>306</v>
      </c>
      <c r="D152" s="47">
        <v>100</v>
      </c>
      <c r="E152" s="47" t="s">
        <v>88</v>
      </c>
      <c r="F152" s="47" t="s">
        <v>88</v>
      </c>
      <c r="G152" s="47">
        <v>1</v>
      </c>
      <c r="H152" s="47" t="s">
        <v>88</v>
      </c>
      <c r="I152" s="47">
        <v>1194</v>
      </c>
      <c r="J152" s="48">
        <f t="shared" si="12"/>
        <v>100</v>
      </c>
    </row>
    <row r="153" spans="1:10" ht="21" customHeight="1" x14ac:dyDescent="0.15">
      <c r="A153" s="141">
        <f t="shared" si="14"/>
        <v>47003466</v>
      </c>
      <c r="B153" s="47">
        <v>1</v>
      </c>
      <c r="C153" s="47">
        <v>305</v>
      </c>
      <c r="D153" s="47">
        <v>100</v>
      </c>
      <c r="E153" s="47" t="s">
        <v>88</v>
      </c>
      <c r="F153" s="47" t="s">
        <v>88</v>
      </c>
      <c r="G153" s="47">
        <v>1</v>
      </c>
      <c r="H153" s="47" t="s">
        <v>88</v>
      </c>
      <c r="I153" s="47">
        <v>1195</v>
      </c>
      <c r="J153" s="48">
        <f t="shared" si="12"/>
        <v>100</v>
      </c>
    </row>
    <row r="154" spans="1:10" ht="21" customHeight="1" x14ac:dyDescent="0.15">
      <c r="A154" s="141">
        <f t="shared" si="14"/>
        <v>47003467</v>
      </c>
      <c r="B154" s="47">
        <v>1</v>
      </c>
      <c r="C154" s="47">
        <v>304</v>
      </c>
      <c r="D154" s="47">
        <v>100</v>
      </c>
      <c r="E154" s="47" t="s">
        <v>88</v>
      </c>
      <c r="F154" s="47" t="s">
        <v>88</v>
      </c>
      <c r="G154" s="47">
        <v>1</v>
      </c>
      <c r="H154" s="47" t="s">
        <v>88</v>
      </c>
      <c r="I154" s="47">
        <v>1196</v>
      </c>
      <c r="J154" s="48">
        <f t="shared" si="12"/>
        <v>100</v>
      </c>
    </row>
    <row r="155" spans="1:10" ht="21" customHeight="1" x14ac:dyDescent="0.15">
      <c r="A155" s="141">
        <f t="shared" si="14"/>
        <v>47003468</v>
      </c>
      <c r="B155" s="47">
        <v>1</v>
      </c>
      <c r="C155" s="47">
        <v>303</v>
      </c>
      <c r="D155" s="47">
        <v>100</v>
      </c>
      <c r="E155" s="47" t="s">
        <v>88</v>
      </c>
      <c r="F155" s="47" t="s">
        <v>88</v>
      </c>
      <c r="G155" s="47">
        <v>1</v>
      </c>
      <c r="H155" s="47" t="s">
        <v>88</v>
      </c>
      <c r="I155" s="47">
        <v>1193</v>
      </c>
      <c r="J155" s="48">
        <f t="shared" si="12"/>
        <v>100</v>
      </c>
    </row>
    <row r="156" spans="1:10" ht="21" customHeight="1" x14ac:dyDescent="0.15">
      <c r="A156" s="141">
        <f t="shared" si="14"/>
        <v>47003481</v>
      </c>
      <c r="B156" s="47">
        <v>1</v>
      </c>
      <c r="C156" s="47">
        <v>100</v>
      </c>
      <c r="D156" s="47">
        <v>100</v>
      </c>
      <c r="E156" s="47" t="s">
        <v>88</v>
      </c>
      <c r="F156" s="47" t="s">
        <v>88</v>
      </c>
      <c r="G156" s="47">
        <v>1</v>
      </c>
      <c r="H156" s="47" t="s">
        <v>88</v>
      </c>
      <c r="I156" s="47" t="s">
        <v>88</v>
      </c>
      <c r="J156" s="48">
        <f t="shared" si="12"/>
        <v>100</v>
      </c>
    </row>
    <row r="157" spans="1:10" ht="21" customHeight="1" x14ac:dyDescent="0.15">
      <c r="A157" s="141">
        <f t="shared" ref="A157:A180" si="15">A232-200</f>
        <v>47003483</v>
      </c>
      <c r="B157" s="47">
        <v>0</v>
      </c>
      <c r="C157" s="47">
        <v>102</v>
      </c>
      <c r="D157" s="47">
        <v>100</v>
      </c>
      <c r="E157" s="47" t="s">
        <v>88</v>
      </c>
      <c r="F157" s="47" t="s">
        <v>88</v>
      </c>
      <c r="G157" s="47" t="s">
        <v>88</v>
      </c>
      <c r="H157" s="47">
        <v>2</v>
      </c>
      <c r="I157" s="47" t="s">
        <v>88</v>
      </c>
      <c r="J157" s="48">
        <f t="shared" si="12"/>
        <v>100</v>
      </c>
    </row>
    <row r="158" spans="1:10" ht="21" customHeight="1" x14ac:dyDescent="0.15">
      <c r="A158" s="141">
        <f t="shared" si="15"/>
        <v>47003484</v>
      </c>
      <c r="B158" s="47">
        <v>0</v>
      </c>
      <c r="C158" s="47">
        <v>103</v>
      </c>
      <c r="D158" s="47">
        <v>100</v>
      </c>
      <c r="E158" s="47" t="s">
        <v>88</v>
      </c>
      <c r="F158" s="47" t="s">
        <v>88</v>
      </c>
      <c r="G158" s="47" t="s">
        <v>88</v>
      </c>
      <c r="H158" s="47">
        <v>3</v>
      </c>
      <c r="I158" s="47" t="s">
        <v>88</v>
      </c>
      <c r="J158" s="48">
        <f t="shared" si="12"/>
        <v>100</v>
      </c>
    </row>
    <row r="159" spans="1:10" ht="21" customHeight="1" x14ac:dyDescent="0.15">
      <c r="A159" s="141">
        <f t="shared" si="15"/>
        <v>47003485</v>
      </c>
      <c r="B159" s="47">
        <v>1</v>
      </c>
      <c r="C159" s="47">
        <v>306</v>
      </c>
      <c r="D159" s="47">
        <v>100</v>
      </c>
      <c r="E159" s="47" t="s">
        <v>88</v>
      </c>
      <c r="F159" s="47" t="s">
        <v>88</v>
      </c>
      <c r="G159" s="47">
        <v>1</v>
      </c>
      <c r="H159" s="47" t="s">
        <v>88</v>
      </c>
      <c r="I159" s="47">
        <v>1194</v>
      </c>
      <c r="J159" s="48">
        <f t="shared" si="12"/>
        <v>100</v>
      </c>
    </row>
    <row r="160" spans="1:10" ht="21" customHeight="1" x14ac:dyDescent="0.15">
      <c r="A160" s="141">
        <f t="shared" si="15"/>
        <v>47003486</v>
      </c>
      <c r="B160" s="47">
        <v>1</v>
      </c>
      <c r="C160" s="47">
        <v>305</v>
      </c>
      <c r="D160" s="47">
        <v>100</v>
      </c>
      <c r="E160" s="47" t="s">
        <v>88</v>
      </c>
      <c r="F160" s="47" t="s">
        <v>88</v>
      </c>
      <c r="G160" s="47">
        <v>1</v>
      </c>
      <c r="H160" s="47" t="s">
        <v>88</v>
      </c>
      <c r="I160" s="47">
        <v>1195</v>
      </c>
      <c r="J160" s="48">
        <f t="shared" si="12"/>
        <v>100</v>
      </c>
    </row>
    <row r="161" spans="1:10" ht="21" customHeight="1" x14ac:dyDescent="0.15">
      <c r="A161" s="141">
        <f t="shared" si="15"/>
        <v>47003487</v>
      </c>
      <c r="B161" s="47">
        <v>1</v>
      </c>
      <c r="C161" s="47">
        <v>304</v>
      </c>
      <c r="D161" s="47">
        <v>100</v>
      </c>
      <c r="E161" s="47" t="s">
        <v>88</v>
      </c>
      <c r="F161" s="47" t="s">
        <v>88</v>
      </c>
      <c r="G161" s="47">
        <v>1</v>
      </c>
      <c r="H161" s="47" t="s">
        <v>88</v>
      </c>
      <c r="I161" s="47">
        <v>1196</v>
      </c>
      <c r="J161" s="48">
        <f t="shared" si="12"/>
        <v>100</v>
      </c>
    </row>
    <row r="162" spans="1:10" ht="21" customHeight="1" x14ac:dyDescent="0.15">
      <c r="A162" s="141">
        <f t="shared" si="15"/>
        <v>47003488</v>
      </c>
      <c r="B162" s="47">
        <v>1</v>
      </c>
      <c r="C162" s="47">
        <v>303</v>
      </c>
      <c r="D162" s="47">
        <v>100</v>
      </c>
      <c r="E162" s="47" t="s">
        <v>88</v>
      </c>
      <c r="F162" s="47" t="s">
        <v>88</v>
      </c>
      <c r="G162" s="47">
        <v>1</v>
      </c>
      <c r="H162" s="47" t="s">
        <v>88</v>
      </c>
      <c r="I162" s="47">
        <v>1193</v>
      </c>
      <c r="J162" s="48">
        <f t="shared" si="12"/>
        <v>100</v>
      </c>
    </row>
    <row r="163" spans="1:10" ht="21" customHeight="1" x14ac:dyDescent="0.15">
      <c r="A163" s="141">
        <f t="shared" si="15"/>
        <v>47003501</v>
      </c>
      <c r="B163" s="47">
        <v>1</v>
      </c>
      <c r="C163" s="47">
        <v>100</v>
      </c>
      <c r="D163" s="47">
        <v>100</v>
      </c>
      <c r="E163" s="47" t="s">
        <v>88</v>
      </c>
      <c r="F163" s="47" t="s">
        <v>88</v>
      </c>
      <c r="G163" s="47">
        <v>1</v>
      </c>
      <c r="H163" s="47" t="s">
        <v>88</v>
      </c>
      <c r="I163" s="47" t="s">
        <v>88</v>
      </c>
      <c r="J163" s="48">
        <f t="shared" si="12"/>
        <v>100</v>
      </c>
    </row>
    <row r="164" spans="1:10" ht="21" customHeight="1" x14ac:dyDescent="0.15">
      <c r="A164" s="141">
        <f t="shared" si="15"/>
        <v>47003502</v>
      </c>
      <c r="B164" s="47">
        <v>0</v>
      </c>
      <c r="C164" s="47">
        <v>101</v>
      </c>
      <c r="D164" s="47">
        <v>100</v>
      </c>
      <c r="E164" s="47" t="s">
        <v>88</v>
      </c>
      <c r="F164" s="47" t="s">
        <v>88</v>
      </c>
      <c r="G164" s="47" t="s">
        <v>88</v>
      </c>
      <c r="H164" s="47">
        <v>1</v>
      </c>
      <c r="I164" s="47" t="s">
        <v>88</v>
      </c>
      <c r="J164" s="48">
        <f t="shared" si="12"/>
        <v>100</v>
      </c>
    </row>
    <row r="165" spans="1:10" ht="21" customHeight="1" x14ac:dyDescent="0.15">
      <c r="A165" s="141">
        <f t="shared" si="15"/>
        <v>47003503</v>
      </c>
      <c r="B165" s="47">
        <v>0</v>
      </c>
      <c r="C165" s="47">
        <v>102</v>
      </c>
      <c r="D165" s="47">
        <v>100</v>
      </c>
      <c r="E165" s="47" t="s">
        <v>88</v>
      </c>
      <c r="F165" s="47" t="s">
        <v>88</v>
      </c>
      <c r="G165" s="47" t="s">
        <v>88</v>
      </c>
      <c r="H165" s="47">
        <v>2</v>
      </c>
      <c r="I165" s="47" t="s">
        <v>88</v>
      </c>
      <c r="J165" s="48">
        <f t="shared" si="12"/>
        <v>100</v>
      </c>
    </row>
    <row r="166" spans="1:10" ht="21" customHeight="1" x14ac:dyDescent="0.15">
      <c r="A166" s="141">
        <f t="shared" si="15"/>
        <v>47003504</v>
      </c>
      <c r="B166" s="47">
        <v>0</v>
      </c>
      <c r="C166" s="47">
        <v>103</v>
      </c>
      <c r="D166" s="47">
        <v>100</v>
      </c>
      <c r="E166" s="47" t="s">
        <v>88</v>
      </c>
      <c r="F166" s="47" t="s">
        <v>88</v>
      </c>
      <c r="G166" s="47" t="s">
        <v>88</v>
      </c>
      <c r="H166" s="47">
        <v>3</v>
      </c>
      <c r="I166" s="47" t="s">
        <v>88</v>
      </c>
      <c r="J166" s="48">
        <f t="shared" si="12"/>
        <v>100</v>
      </c>
    </row>
    <row r="167" spans="1:10" ht="21" customHeight="1" x14ac:dyDescent="0.15">
      <c r="A167" s="141">
        <f t="shared" si="15"/>
        <v>47003505</v>
      </c>
      <c r="B167" s="47">
        <v>0</v>
      </c>
      <c r="C167" s="47">
        <v>104</v>
      </c>
      <c r="D167" s="47">
        <v>100</v>
      </c>
      <c r="E167" s="47" t="s">
        <v>88</v>
      </c>
      <c r="F167" s="47" t="s">
        <v>88</v>
      </c>
      <c r="G167" s="47">
        <v>1</v>
      </c>
      <c r="H167" s="47">
        <v>5</v>
      </c>
      <c r="I167" s="47" t="s">
        <v>88</v>
      </c>
      <c r="J167" s="48">
        <f t="shared" si="12"/>
        <v>100</v>
      </c>
    </row>
    <row r="168" spans="1:10" ht="21" customHeight="1" x14ac:dyDescent="0.15">
      <c r="A168" s="141">
        <f t="shared" si="15"/>
        <v>47003506</v>
      </c>
      <c r="B168" s="47">
        <v>1</v>
      </c>
      <c r="C168" s="47">
        <v>306</v>
      </c>
      <c r="D168" s="47">
        <v>100</v>
      </c>
      <c r="E168" s="47" t="s">
        <v>88</v>
      </c>
      <c r="F168" s="47" t="s">
        <v>88</v>
      </c>
      <c r="G168" s="47">
        <v>1</v>
      </c>
      <c r="H168" s="47" t="s">
        <v>88</v>
      </c>
      <c r="I168" s="47">
        <v>1194</v>
      </c>
      <c r="J168" s="48">
        <f t="shared" si="12"/>
        <v>100</v>
      </c>
    </row>
    <row r="169" spans="1:10" ht="21" customHeight="1" x14ac:dyDescent="0.15">
      <c r="A169" s="141">
        <f t="shared" si="15"/>
        <v>47003507</v>
      </c>
      <c r="B169" s="47">
        <v>1</v>
      </c>
      <c r="C169" s="47">
        <v>305</v>
      </c>
      <c r="D169" s="47">
        <v>100</v>
      </c>
      <c r="E169" s="47" t="s">
        <v>88</v>
      </c>
      <c r="F169" s="47" t="s">
        <v>88</v>
      </c>
      <c r="G169" s="47">
        <v>1</v>
      </c>
      <c r="H169" s="47" t="s">
        <v>88</v>
      </c>
      <c r="I169" s="47">
        <v>1195</v>
      </c>
      <c r="J169" s="48">
        <f t="shared" si="12"/>
        <v>100</v>
      </c>
    </row>
    <row r="170" spans="1:10" ht="21" customHeight="1" x14ac:dyDescent="0.15">
      <c r="A170" s="141">
        <f t="shared" si="15"/>
        <v>47003508</v>
      </c>
      <c r="B170" s="47">
        <v>1</v>
      </c>
      <c r="C170" s="47">
        <v>303</v>
      </c>
      <c r="D170" s="47">
        <v>100</v>
      </c>
      <c r="E170" s="47" t="s">
        <v>88</v>
      </c>
      <c r="F170" s="47" t="s">
        <v>88</v>
      </c>
      <c r="G170" s="47">
        <v>1</v>
      </c>
      <c r="H170" s="47" t="s">
        <v>88</v>
      </c>
      <c r="I170" s="47">
        <v>1193</v>
      </c>
      <c r="J170" s="48">
        <f t="shared" si="12"/>
        <v>100</v>
      </c>
    </row>
    <row r="171" spans="1:10" ht="21" customHeight="1" x14ac:dyDescent="0.15">
      <c r="A171" s="141">
        <f t="shared" si="15"/>
        <v>47003521</v>
      </c>
      <c r="B171" s="47">
        <v>1</v>
      </c>
      <c r="C171" s="47">
        <v>100</v>
      </c>
      <c r="D171" s="47">
        <v>100</v>
      </c>
      <c r="E171" s="47" t="s">
        <v>88</v>
      </c>
      <c r="F171" s="47" t="s">
        <v>88</v>
      </c>
      <c r="G171" s="47" t="s">
        <v>88</v>
      </c>
      <c r="H171" s="47" t="s">
        <v>88</v>
      </c>
      <c r="I171" s="47" t="s">
        <v>88</v>
      </c>
      <c r="J171" s="48">
        <f t="shared" si="12"/>
        <v>100</v>
      </c>
    </row>
    <row r="172" spans="1:10" ht="21" customHeight="1" x14ac:dyDescent="0.15">
      <c r="A172" s="141">
        <f t="shared" si="15"/>
        <v>47003522</v>
      </c>
      <c r="B172" s="47">
        <v>0</v>
      </c>
      <c r="C172" s="47">
        <v>101</v>
      </c>
      <c r="D172" s="47">
        <v>100</v>
      </c>
      <c r="E172" s="47" t="s">
        <v>88</v>
      </c>
      <c r="F172" s="47" t="s">
        <v>88</v>
      </c>
      <c r="G172" s="47" t="s">
        <v>88</v>
      </c>
      <c r="H172" s="47">
        <v>1</v>
      </c>
      <c r="I172" s="47" t="s">
        <v>88</v>
      </c>
      <c r="J172" s="48">
        <f t="shared" si="12"/>
        <v>100</v>
      </c>
    </row>
    <row r="173" spans="1:10" ht="21" customHeight="1" x14ac:dyDescent="0.15">
      <c r="A173" s="141">
        <f t="shared" si="15"/>
        <v>47003523</v>
      </c>
      <c r="B173" s="47">
        <v>0</v>
      </c>
      <c r="C173" s="47">
        <v>102</v>
      </c>
      <c r="D173" s="47">
        <v>100</v>
      </c>
      <c r="E173" s="47" t="s">
        <v>88</v>
      </c>
      <c r="F173" s="47" t="s">
        <v>88</v>
      </c>
      <c r="G173" s="47" t="s">
        <v>88</v>
      </c>
      <c r="H173" s="47">
        <v>2</v>
      </c>
      <c r="I173" s="47" t="s">
        <v>88</v>
      </c>
      <c r="J173" s="48">
        <f t="shared" si="12"/>
        <v>100</v>
      </c>
    </row>
    <row r="174" spans="1:10" ht="21" customHeight="1" x14ac:dyDescent="0.15">
      <c r="A174" s="141">
        <f t="shared" si="15"/>
        <v>47003524</v>
      </c>
      <c r="B174" s="47">
        <v>0</v>
      </c>
      <c r="C174" s="47">
        <v>103</v>
      </c>
      <c r="D174" s="47">
        <v>100</v>
      </c>
      <c r="E174" s="47" t="s">
        <v>88</v>
      </c>
      <c r="F174" s="47" t="s">
        <v>88</v>
      </c>
      <c r="G174" s="47" t="s">
        <v>88</v>
      </c>
      <c r="H174" s="47">
        <v>3</v>
      </c>
      <c r="I174" s="47" t="s">
        <v>88</v>
      </c>
      <c r="J174" s="48">
        <f t="shared" si="12"/>
        <v>100</v>
      </c>
    </row>
    <row r="175" spans="1:10" ht="21" customHeight="1" x14ac:dyDescent="0.15">
      <c r="A175" s="141">
        <f t="shared" si="15"/>
        <v>47003525</v>
      </c>
      <c r="B175" s="47">
        <v>0</v>
      </c>
      <c r="C175" s="47">
        <v>104</v>
      </c>
      <c r="D175" s="47">
        <v>100</v>
      </c>
      <c r="E175" s="47">
        <v>50</v>
      </c>
      <c r="F175" s="47" t="s">
        <v>88</v>
      </c>
      <c r="G175" s="47">
        <v>1</v>
      </c>
      <c r="H175" s="47">
        <v>1</v>
      </c>
      <c r="I175" s="47" t="s">
        <v>88</v>
      </c>
      <c r="J175" s="48">
        <f t="shared" si="12"/>
        <v>100</v>
      </c>
    </row>
    <row r="176" spans="1:10" ht="21" customHeight="1" x14ac:dyDescent="0.15">
      <c r="A176" s="141">
        <f t="shared" si="15"/>
        <v>47003526</v>
      </c>
      <c r="B176" s="47">
        <v>1</v>
      </c>
      <c r="C176" s="47">
        <v>306</v>
      </c>
      <c r="D176" s="47">
        <v>100</v>
      </c>
      <c r="E176" s="47" t="s">
        <v>88</v>
      </c>
      <c r="F176" s="47" t="s">
        <v>88</v>
      </c>
      <c r="G176" s="47">
        <v>1</v>
      </c>
      <c r="H176" s="47" t="s">
        <v>88</v>
      </c>
      <c r="I176" s="47">
        <v>1194</v>
      </c>
      <c r="J176" s="48">
        <f t="shared" si="12"/>
        <v>100</v>
      </c>
    </row>
    <row r="177" spans="1:10" ht="21" customHeight="1" x14ac:dyDescent="0.15">
      <c r="A177" s="141">
        <f t="shared" si="15"/>
        <v>47003527</v>
      </c>
      <c r="B177" s="47">
        <v>1</v>
      </c>
      <c r="C177" s="47">
        <v>305</v>
      </c>
      <c r="D177" s="47">
        <v>100</v>
      </c>
      <c r="E177" s="47" t="s">
        <v>88</v>
      </c>
      <c r="F177" s="47" t="s">
        <v>88</v>
      </c>
      <c r="G177" s="47">
        <v>1</v>
      </c>
      <c r="H177" s="47" t="s">
        <v>88</v>
      </c>
      <c r="I177" s="47">
        <v>1195</v>
      </c>
      <c r="J177" s="48">
        <f t="shared" si="12"/>
        <v>100</v>
      </c>
    </row>
    <row r="178" spans="1:10" ht="21" customHeight="1" x14ac:dyDescent="0.15">
      <c r="A178" s="141">
        <f t="shared" si="15"/>
        <v>47003528</v>
      </c>
      <c r="B178" s="47">
        <v>1</v>
      </c>
      <c r="C178" s="47">
        <v>304</v>
      </c>
      <c r="D178" s="47">
        <v>100</v>
      </c>
      <c r="E178" s="47" t="s">
        <v>88</v>
      </c>
      <c r="F178" s="47" t="s">
        <v>88</v>
      </c>
      <c r="G178" s="47">
        <v>1</v>
      </c>
      <c r="H178" s="47" t="s">
        <v>88</v>
      </c>
      <c r="I178" s="47">
        <v>1196</v>
      </c>
      <c r="J178" s="48">
        <f t="shared" si="12"/>
        <v>100</v>
      </c>
    </row>
    <row r="179" spans="1:10" ht="21" customHeight="1" x14ac:dyDescent="0.15">
      <c r="A179" s="141">
        <f t="shared" si="15"/>
        <v>47003541</v>
      </c>
      <c r="B179" s="47">
        <v>1</v>
      </c>
      <c r="C179" s="47">
        <v>100</v>
      </c>
      <c r="D179" s="47">
        <v>100</v>
      </c>
      <c r="E179" s="47" t="s">
        <v>88</v>
      </c>
      <c r="F179" s="47" t="s">
        <v>88</v>
      </c>
      <c r="G179" s="47">
        <v>1</v>
      </c>
      <c r="H179" s="47" t="s">
        <v>88</v>
      </c>
      <c r="I179" s="47" t="s">
        <v>88</v>
      </c>
      <c r="J179" s="48">
        <f t="shared" si="12"/>
        <v>100</v>
      </c>
    </row>
    <row r="180" spans="1:10" ht="21" customHeight="1" x14ac:dyDescent="0.15">
      <c r="A180" s="141">
        <f t="shared" si="15"/>
        <v>47003542</v>
      </c>
      <c r="B180" s="47">
        <v>0</v>
      </c>
      <c r="C180" s="47">
        <v>200</v>
      </c>
      <c r="D180" s="47">
        <v>100</v>
      </c>
      <c r="E180" s="47" t="s">
        <v>88</v>
      </c>
      <c r="F180" s="47" t="s">
        <v>88</v>
      </c>
      <c r="G180" s="47">
        <v>1</v>
      </c>
      <c r="H180" s="47">
        <v>1</v>
      </c>
      <c r="I180" s="47" t="s">
        <v>88</v>
      </c>
      <c r="J180" s="48">
        <f t="shared" si="12"/>
        <v>100</v>
      </c>
    </row>
    <row r="181" spans="1:10" ht="21" customHeight="1" x14ac:dyDescent="0.15">
      <c r="A181" s="141">
        <f t="shared" ref="A181:A182" si="16">A257-200</f>
        <v>47003544</v>
      </c>
      <c r="B181" s="47">
        <v>0</v>
      </c>
      <c r="C181" s="47">
        <v>110</v>
      </c>
      <c r="D181" s="47">
        <v>100</v>
      </c>
      <c r="E181" s="47" t="s">
        <v>88</v>
      </c>
      <c r="F181" s="47" t="s">
        <v>88</v>
      </c>
      <c r="G181" s="47" t="s">
        <v>88</v>
      </c>
      <c r="H181" s="47">
        <v>2</v>
      </c>
      <c r="I181" s="47" t="s">
        <v>88</v>
      </c>
      <c r="J181" s="48">
        <f t="shared" si="12"/>
        <v>100</v>
      </c>
    </row>
    <row r="182" spans="1:10" ht="21" customHeight="1" x14ac:dyDescent="0.15">
      <c r="A182" s="141">
        <f t="shared" si="16"/>
        <v>47003545</v>
      </c>
      <c r="B182" s="47">
        <v>1</v>
      </c>
      <c r="C182" s="47">
        <v>306</v>
      </c>
      <c r="D182" s="47">
        <v>100</v>
      </c>
      <c r="E182" s="47" t="s">
        <v>88</v>
      </c>
      <c r="F182" s="47" t="s">
        <v>88</v>
      </c>
      <c r="G182" s="47">
        <v>1</v>
      </c>
      <c r="H182" s="47" t="s">
        <v>88</v>
      </c>
      <c r="I182" s="47">
        <v>1194</v>
      </c>
      <c r="J182" s="48">
        <f t="shared" ref="J182:J193" si="17">D182</f>
        <v>100</v>
      </c>
    </row>
    <row r="183" spans="1:10" ht="21" customHeight="1" x14ac:dyDescent="0.15">
      <c r="A183" s="141">
        <f>A259-200</f>
        <v>47003546</v>
      </c>
      <c r="B183" s="47">
        <v>1</v>
      </c>
      <c r="C183" s="47">
        <v>305</v>
      </c>
      <c r="D183" s="47">
        <v>100</v>
      </c>
      <c r="E183" s="47" t="s">
        <v>88</v>
      </c>
      <c r="F183" s="47" t="s">
        <v>88</v>
      </c>
      <c r="G183" s="47">
        <v>1</v>
      </c>
      <c r="H183" s="47" t="s">
        <v>88</v>
      </c>
      <c r="I183" s="47">
        <v>1195</v>
      </c>
      <c r="J183" s="48">
        <f t="shared" si="17"/>
        <v>100</v>
      </c>
    </row>
    <row r="184" spans="1:10" ht="21" customHeight="1" x14ac:dyDescent="0.15">
      <c r="A184" s="141">
        <f>A260-200</f>
        <v>47003547</v>
      </c>
      <c r="B184" s="47">
        <v>1</v>
      </c>
      <c r="C184" s="47">
        <v>304</v>
      </c>
      <c r="D184" s="47">
        <v>100</v>
      </c>
      <c r="E184" s="47" t="s">
        <v>88</v>
      </c>
      <c r="F184" s="47" t="s">
        <v>88</v>
      </c>
      <c r="G184" s="47">
        <v>1</v>
      </c>
      <c r="H184" s="47" t="s">
        <v>88</v>
      </c>
      <c r="I184" s="47">
        <v>1196</v>
      </c>
      <c r="J184" s="48">
        <f t="shared" si="17"/>
        <v>100</v>
      </c>
    </row>
    <row r="185" spans="1:10" ht="21" customHeight="1" x14ac:dyDescent="0.15">
      <c r="A185" s="141">
        <f>A261-200</f>
        <v>47003548</v>
      </c>
      <c r="B185" s="47">
        <v>1</v>
      </c>
      <c r="C185" s="47">
        <v>303</v>
      </c>
      <c r="D185" s="47">
        <v>100</v>
      </c>
      <c r="E185" s="47" t="s">
        <v>88</v>
      </c>
      <c r="F185" s="47" t="s">
        <v>88</v>
      </c>
      <c r="G185" s="47">
        <v>1</v>
      </c>
      <c r="H185" s="47" t="s">
        <v>88</v>
      </c>
      <c r="I185" s="47">
        <v>1193</v>
      </c>
      <c r="J185" s="48">
        <f t="shared" si="17"/>
        <v>100</v>
      </c>
    </row>
    <row r="186" spans="1:10" ht="21" customHeight="1" x14ac:dyDescent="0.15">
      <c r="A186" s="141">
        <f>A262-200</f>
        <v>47003561</v>
      </c>
      <c r="B186" s="47">
        <v>1</v>
      </c>
      <c r="C186" s="47">
        <v>100</v>
      </c>
      <c r="D186" s="47">
        <v>100</v>
      </c>
      <c r="E186" s="47" t="s">
        <v>88</v>
      </c>
      <c r="F186" s="47" t="s">
        <v>88</v>
      </c>
      <c r="G186" s="47">
        <v>1</v>
      </c>
      <c r="H186" s="47">
        <v>1</v>
      </c>
      <c r="I186" s="47" t="s">
        <v>88</v>
      </c>
      <c r="J186" s="48">
        <f t="shared" si="17"/>
        <v>100</v>
      </c>
    </row>
    <row r="187" spans="1:10" ht="21" customHeight="1" x14ac:dyDescent="0.15">
      <c r="A187" s="141">
        <f>A263-200</f>
        <v>47003562</v>
      </c>
      <c r="B187" s="47">
        <v>0</v>
      </c>
      <c r="C187" s="47">
        <v>300</v>
      </c>
      <c r="D187" s="47">
        <v>100</v>
      </c>
      <c r="E187" s="47" t="s">
        <v>88</v>
      </c>
      <c r="F187" s="47" t="s">
        <v>88</v>
      </c>
      <c r="G187" s="47">
        <v>1</v>
      </c>
      <c r="H187" s="47">
        <v>1</v>
      </c>
      <c r="I187" s="47" t="s">
        <v>88</v>
      </c>
      <c r="J187" s="48">
        <f t="shared" si="17"/>
        <v>100</v>
      </c>
    </row>
    <row r="188" spans="1:10" ht="21" customHeight="1" x14ac:dyDescent="0.15">
      <c r="A188" s="141">
        <f>A265-200</f>
        <v>47003564</v>
      </c>
      <c r="B188" s="47">
        <v>0</v>
      </c>
      <c r="C188" s="47">
        <v>214</v>
      </c>
      <c r="D188" s="47">
        <v>100</v>
      </c>
      <c r="E188" s="47">
        <v>50</v>
      </c>
      <c r="F188" s="47" t="s">
        <v>88</v>
      </c>
      <c r="G188" s="47">
        <v>1</v>
      </c>
      <c r="H188" s="47">
        <v>2</v>
      </c>
      <c r="I188" s="47" t="s">
        <v>88</v>
      </c>
      <c r="J188" s="48">
        <f t="shared" si="17"/>
        <v>100</v>
      </c>
    </row>
    <row r="189" spans="1:10" ht="21" customHeight="1" x14ac:dyDescent="0.15">
      <c r="A189" s="141">
        <f>A266-200</f>
        <v>47003565</v>
      </c>
      <c r="B189" s="47">
        <v>0</v>
      </c>
      <c r="C189" s="47">
        <v>212</v>
      </c>
      <c r="D189" s="47">
        <v>100</v>
      </c>
      <c r="E189" s="47">
        <v>50</v>
      </c>
      <c r="F189" s="47" t="s">
        <v>88</v>
      </c>
      <c r="G189" s="47" t="s">
        <v>393</v>
      </c>
      <c r="H189" s="137">
        <v>2</v>
      </c>
      <c r="I189" s="47" t="s">
        <v>88</v>
      </c>
      <c r="J189" s="48">
        <f t="shared" si="17"/>
        <v>100</v>
      </c>
    </row>
    <row r="190" spans="1:10" ht="21" customHeight="1" x14ac:dyDescent="0.15">
      <c r="A190" s="141">
        <f>A267-200</f>
        <v>47003581</v>
      </c>
      <c r="B190" s="47">
        <v>1</v>
      </c>
      <c r="C190" s="47">
        <v>130</v>
      </c>
      <c r="D190" s="47">
        <v>100</v>
      </c>
      <c r="E190" s="47" t="s">
        <v>88</v>
      </c>
      <c r="F190" s="47" t="s">
        <v>88</v>
      </c>
      <c r="G190" s="47">
        <v>1</v>
      </c>
      <c r="H190" s="47">
        <v>1</v>
      </c>
      <c r="I190" s="47" t="s">
        <v>88</v>
      </c>
      <c r="J190" s="48">
        <f t="shared" si="17"/>
        <v>100</v>
      </c>
    </row>
    <row r="191" spans="1:10" ht="21" customHeight="1" x14ac:dyDescent="0.15">
      <c r="A191" s="141">
        <f>A269-200</f>
        <v>47003583</v>
      </c>
      <c r="B191" s="47">
        <v>0</v>
      </c>
      <c r="C191" s="47">
        <v>130</v>
      </c>
      <c r="D191" s="47">
        <v>100</v>
      </c>
      <c r="E191" s="47" t="s">
        <v>88</v>
      </c>
      <c r="F191" s="47" t="s">
        <v>88</v>
      </c>
      <c r="G191" s="47" t="s">
        <v>392</v>
      </c>
      <c r="H191" s="47">
        <v>3</v>
      </c>
      <c r="I191" s="47" t="s">
        <v>88</v>
      </c>
      <c r="J191" s="48">
        <f t="shared" si="17"/>
        <v>100</v>
      </c>
    </row>
    <row r="192" spans="1:10" ht="21" customHeight="1" x14ac:dyDescent="0.15">
      <c r="A192" s="141">
        <f>A270-200</f>
        <v>47003584</v>
      </c>
      <c r="B192" s="47">
        <v>0</v>
      </c>
      <c r="C192" s="47">
        <v>210</v>
      </c>
      <c r="D192" s="47">
        <v>100</v>
      </c>
      <c r="E192" s="137">
        <v>50</v>
      </c>
      <c r="F192" s="47" t="s">
        <v>88</v>
      </c>
      <c r="G192" s="137" t="s">
        <v>88</v>
      </c>
      <c r="H192" s="137">
        <v>2</v>
      </c>
      <c r="I192" s="47" t="s">
        <v>88</v>
      </c>
      <c r="J192" s="48">
        <f t="shared" si="17"/>
        <v>100</v>
      </c>
    </row>
    <row r="193" spans="1:10" ht="21" customHeight="1" x14ac:dyDescent="0.15">
      <c r="A193" s="141">
        <f t="shared" ref="A193" si="18">A272-200</f>
        <v>47003586</v>
      </c>
      <c r="B193" s="47">
        <v>0</v>
      </c>
      <c r="C193" s="47">
        <v>300</v>
      </c>
      <c r="D193" s="47">
        <v>100</v>
      </c>
      <c r="E193" s="47" t="s">
        <v>88</v>
      </c>
      <c r="F193" s="47" t="s">
        <v>88</v>
      </c>
      <c r="G193" s="47">
        <v>0</v>
      </c>
      <c r="H193" s="47">
        <v>1</v>
      </c>
      <c r="I193" s="47">
        <v>0</v>
      </c>
      <c r="J193" s="48">
        <f t="shared" si="17"/>
        <v>100</v>
      </c>
    </row>
    <row r="194" spans="1:10" ht="21" customHeight="1" x14ac:dyDescent="0.15">
      <c r="A194" s="47">
        <v>47003601</v>
      </c>
      <c r="B194" s="47">
        <v>1</v>
      </c>
      <c r="C194" s="47">
        <v>99</v>
      </c>
      <c r="D194" s="47">
        <v>100</v>
      </c>
      <c r="E194" s="47" t="s">
        <v>88</v>
      </c>
      <c r="F194" s="47" t="s">
        <v>88</v>
      </c>
      <c r="G194" s="47">
        <v>1</v>
      </c>
      <c r="H194" s="47">
        <v>1</v>
      </c>
      <c r="I194" s="47" t="s">
        <v>274</v>
      </c>
      <c r="J194" s="48">
        <f t="shared" ref="J194" si="19">D194</f>
        <v>100</v>
      </c>
    </row>
    <row r="195" spans="1:10" ht="21" customHeight="1" x14ac:dyDescent="0.15">
      <c r="A195" s="47">
        <v>47003602</v>
      </c>
      <c r="B195" s="47">
        <v>1</v>
      </c>
      <c r="C195" s="47">
        <v>105</v>
      </c>
      <c r="D195" s="47">
        <v>100</v>
      </c>
      <c r="E195" s="47" t="s">
        <v>88</v>
      </c>
      <c r="F195" s="47" t="s">
        <v>88</v>
      </c>
      <c r="G195" s="47">
        <v>1</v>
      </c>
      <c r="H195" s="47">
        <v>1</v>
      </c>
      <c r="I195" s="47">
        <v>1194</v>
      </c>
      <c r="J195" s="48">
        <f t="shared" ref="J195:J196" si="20">D195</f>
        <v>100</v>
      </c>
    </row>
    <row r="196" spans="1:10" ht="21" customHeight="1" x14ac:dyDescent="0.15">
      <c r="A196" s="47">
        <v>47003603</v>
      </c>
      <c r="B196" s="47">
        <v>1</v>
      </c>
      <c r="C196" s="47">
        <v>104</v>
      </c>
      <c r="D196" s="47">
        <v>100</v>
      </c>
      <c r="E196" s="47" t="s">
        <v>88</v>
      </c>
      <c r="F196" s="47" t="s">
        <v>88</v>
      </c>
      <c r="G196" s="47">
        <v>1</v>
      </c>
      <c r="H196" s="47">
        <v>1</v>
      </c>
      <c r="I196" s="47">
        <v>1195</v>
      </c>
      <c r="J196" s="48">
        <f t="shared" si="20"/>
        <v>100</v>
      </c>
    </row>
    <row r="197" spans="1:10" ht="21" customHeight="1" x14ac:dyDescent="0.15">
      <c r="A197" s="47">
        <v>47003604</v>
      </c>
      <c r="B197" s="47">
        <v>1</v>
      </c>
      <c r="C197" s="47">
        <v>101</v>
      </c>
      <c r="D197" s="47">
        <v>100</v>
      </c>
      <c r="E197" s="47" t="s">
        <v>88</v>
      </c>
      <c r="F197" s="47" t="s">
        <v>88</v>
      </c>
      <c r="G197" s="47">
        <v>1</v>
      </c>
      <c r="H197" s="47">
        <v>1</v>
      </c>
      <c r="I197" s="47">
        <v>1196</v>
      </c>
      <c r="J197" s="48">
        <f t="shared" ref="J197:J199" si="21">D197</f>
        <v>100</v>
      </c>
    </row>
    <row r="198" spans="1:10" ht="21" customHeight="1" x14ac:dyDescent="0.15">
      <c r="A198" s="47">
        <v>47003605</v>
      </c>
      <c r="B198" s="47">
        <v>1</v>
      </c>
      <c r="C198" s="47">
        <v>100</v>
      </c>
      <c r="D198" s="47">
        <v>100</v>
      </c>
      <c r="E198" s="47" t="s">
        <v>88</v>
      </c>
      <c r="F198" s="47" t="s">
        <v>88</v>
      </c>
      <c r="G198" s="47">
        <v>1</v>
      </c>
      <c r="H198" s="47">
        <v>1</v>
      </c>
      <c r="I198" s="47">
        <v>1193</v>
      </c>
      <c r="J198" s="48">
        <f t="shared" si="21"/>
        <v>100</v>
      </c>
    </row>
    <row r="199" spans="1:10" ht="21" customHeight="1" x14ac:dyDescent="0.15">
      <c r="A199" s="120">
        <v>47003611</v>
      </c>
      <c r="B199" s="47">
        <v>1</v>
      </c>
      <c r="C199" s="47">
        <v>99</v>
      </c>
      <c r="D199" s="47">
        <v>100</v>
      </c>
      <c r="E199" s="47" t="s">
        <v>88</v>
      </c>
      <c r="F199" s="47" t="s">
        <v>88</v>
      </c>
      <c r="G199" s="47">
        <v>1</v>
      </c>
      <c r="H199" s="47">
        <v>1</v>
      </c>
      <c r="I199" s="47" t="s">
        <v>275</v>
      </c>
      <c r="J199" s="48">
        <f t="shared" si="21"/>
        <v>100</v>
      </c>
    </row>
    <row r="200" spans="1:10" ht="21" customHeight="1" x14ac:dyDescent="0.15">
      <c r="A200" s="120">
        <v>47003612</v>
      </c>
      <c r="B200" s="47">
        <v>1</v>
      </c>
      <c r="C200" s="47">
        <v>103</v>
      </c>
      <c r="D200" s="47">
        <v>100</v>
      </c>
      <c r="E200" s="47" t="s">
        <v>88</v>
      </c>
      <c r="F200" s="47" t="s">
        <v>88</v>
      </c>
      <c r="G200" s="47">
        <v>1</v>
      </c>
      <c r="H200" s="47">
        <v>1</v>
      </c>
      <c r="I200" s="47">
        <v>1194</v>
      </c>
      <c r="J200" s="48">
        <f t="shared" ref="J200:J201" si="22">D200</f>
        <v>100</v>
      </c>
    </row>
    <row r="201" spans="1:10" ht="21" customHeight="1" x14ac:dyDescent="0.15">
      <c r="A201" s="120">
        <v>47003613</v>
      </c>
      <c r="B201" s="47">
        <v>1</v>
      </c>
      <c r="C201" s="47">
        <v>102</v>
      </c>
      <c r="D201" s="47">
        <v>100</v>
      </c>
      <c r="E201" s="47" t="s">
        <v>88</v>
      </c>
      <c r="F201" s="47" t="s">
        <v>88</v>
      </c>
      <c r="G201" s="47">
        <v>1</v>
      </c>
      <c r="H201" s="47">
        <v>1</v>
      </c>
      <c r="I201" s="47">
        <v>1195</v>
      </c>
      <c r="J201" s="48">
        <f t="shared" si="22"/>
        <v>100</v>
      </c>
    </row>
    <row r="202" spans="1:10" ht="21" customHeight="1" x14ac:dyDescent="0.15">
      <c r="A202" s="120">
        <v>47003614</v>
      </c>
      <c r="B202" s="47">
        <v>1</v>
      </c>
      <c r="C202" s="47">
        <v>106</v>
      </c>
      <c r="D202" s="47">
        <v>100</v>
      </c>
      <c r="E202" s="47" t="s">
        <v>88</v>
      </c>
      <c r="F202" s="47" t="s">
        <v>88</v>
      </c>
      <c r="G202" s="47">
        <v>1</v>
      </c>
      <c r="H202" s="47">
        <v>1</v>
      </c>
      <c r="I202" s="47">
        <v>1196</v>
      </c>
      <c r="J202" s="48">
        <f t="shared" ref="J202:J203" si="23">D202</f>
        <v>100</v>
      </c>
    </row>
    <row r="203" spans="1:10" ht="21" customHeight="1" x14ac:dyDescent="0.15">
      <c r="A203" s="120">
        <v>47003615</v>
      </c>
      <c r="B203" s="47">
        <v>1</v>
      </c>
      <c r="C203" s="47">
        <v>105</v>
      </c>
      <c r="D203" s="47">
        <v>100</v>
      </c>
      <c r="E203" s="47" t="s">
        <v>88</v>
      </c>
      <c r="F203" s="47" t="s">
        <v>88</v>
      </c>
      <c r="G203" s="47">
        <v>1</v>
      </c>
      <c r="H203" s="47">
        <v>1</v>
      </c>
      <c r="I203" s="47">
        <v>1193</v>
      </c>
      <c r="J203" s="48">
        <f t="shared" si="23"/>
        <v>100</v>
      </c>
    </row>
    <row r="204" spans="1:10" ht="21" customHeight="1" x14ac:dyDescent="0.15">
      <c r="A204" s="48">
        <v>47003621</v>
      </c>
      <c r="B204" s="47">
        <v>1</v>
      </c>
      <c r="C204" s="47">
        <v>104</v>
      </c>
      <c r="D204" s="47">
        <v>100</v>
      </c>
      <c r="E204" s="47" t="s">
        <v>88</v>
      </c>
      <c r="F204" s="47" t="s">
        <v>88</v>
      </c>
      <c r="G204" s="47">
        <v>1</v>
      </c>
      <c r="H204" s="47">
        <v>1</v>
      </c>
      <c r="I204" s="47" t="s">
        <v>276</v>
      </c>
      <c r="J204" s="48">
        <f t="shared" ref="J204:J271" si="24">D204</f>
        <v>100</v>
      </c>
    </row>
    <row r="205" spans="1:10" ht="21" customHeight="1" x14ac:dyDescent="0.15">
      <c r="A205" s="48">
        <v>47003622</v>
      </c>
      <c r="B205" s="47">
        <v>1</v>
      </c>
      <c r="C205" s="47">
        <v>103</v>
      </c>
      <c r="D205" s="47">
        <v>100</v>
      </c>
      <c r="E205" s="47" t="s">
        <v>88</v>
      </c>
      <c r="F205" s="47" t="s">
        <v>88</v>
      </c>
      <c r="G205" s="47">
        <v>1</v>
      </c>
      <c r="H205" s="47">
        <v>1</v>
      </c>
      <c r="I205" s="47">
        <v>1194</v>
      </c>
      <c r="J205" s="48">
        <f t="shared" ref="J205:J206" si="25">D205</f>
        <v>100</v>
      </c>
    </row>
    <row r="206" spans="1:10" ht="21" customHeight="1" x14ac:dyDescent="0.15">
      <c r="A206" s="48">
        <v>47003623</v>
      </c>
      <c r="B206" s="47">
        <v>1</v>
      </c>
      <c r="C206" s="47">
        <v>102</v>
      </c>
      <c r="D206" s="47">
        <v>100</v>
      </c>
      <c r="E206" s="47" t="s">
        <v>88</v>
      </c>
      <c r="F206" s="47" t="s">
        <v>88</v>
      </c>
      <c r="G206" s="47">
        <v>1</v>
      </c>
      <c r="H206" s="47">
        <v>1</v>
      </c>
      <c r="I206" s="47">
        <v>1195</v>
      </c>
      <c r="J206" s="48">
        <f t="shared" si="25"/>
        <v>100</v>
      </c>
    </row>
    <row r="207" spans="1:10" ht="21" customHeight="1" x14ac:dyDescent="0.15">
      <c r="A207" s="48">
        <v>47003624</v>
      </c>
      <c r="B207" s="47">
        <v>1</v>
      </c>
      <c r="C207" s="47">
        <v>106</v>
      </c>
      <c r="D207" s="47">
        <v>100</v>
      </c>
      <c r="E207" s="47" t="s">
        <v>88</v>
      </c>
      <c r="F207" s="47" t="s">
        <v>88</v>
      </c>
      <c r="G207" s="47">
        <v>1</v>
      </c>
      <c r="H207" s="47">
        <v>1</v>
      </c>
      <c r="I207" s="47">
        <v>1196</v>
      </c>
      <c r="J207" s="48">
        <f t="shared" ref="J207:J208" si="26">D207</f>
        <v>100</v>
      </c>
    </row>
    <row r="208" spans="1:10" ht="21" customHeight="1" x14ac:dyDescent="0.15">
      <c r="A208" s="48">
        <v>47003625</v>
      </c>
      <c r="B208" s="47">
        <v>1</v>
      </c>
      <c r="C208" s="47">
        <v>105</v>
      </c>
      <c r="D208" s="47">
        <v>100</v>
      </c>
      <c r="E208" s="47" t="s">
        <v>88</v>
      </c>
      <c r="F208" s="47" t="s">
        <v>88</v>
      </c>
      <c r="G208" s="47">
        <v>1</v>
      </c>
      <c r="H208" s="47">
        <v>1</v>
      </c>
      <c r="I208" s="47">
        <v>1193</v>
      </c>
      <c r="J208" s="48">
        <f t="shared" si="26"/>
        <v>100</v>
      </c>
    </row>
    <row r="209" spans="1:10" ht="21" customHeight="1" x14ac:dyDescent="0.15">
      <c r="A209" s="123">
        <v>47003631</v>
      </c>
      <c r="B209" s="47">
        <v>1</v>
      </c>
      <c r="C209" s="47">
        <v>99</v>
      </c>
      <c r="D209" s="47">
        <v>100</v>
      </c>
      <c r="E209" s="47" t="s">
        <v>88</v>
      </c>
      <c r="F209" s="47" t="s">
        <v>88</v>
      </c>
      <c r="G209" s="47">
        <v>1</v>
      </c>
      <c r="H209" s="47">
        <v>1</v>
      </c>
      <c r="I209" s="47" t="s">
        <v>268</v>
      </c>
      <c r="J209" s="48">
        <f t="shared" si="24"/>
        <v>100</v>
      </c>
    </row>
    <row r="210" spans="1:10" ht="21" customHeight="1" x14ac:dyDescent="0.15">
      <c r="A210" s="123">
        <v>47003632</v>
      </c>
      <c r="B210" s="47">
        <v>1</v>
      </c>
      <c r="C210" s="47">
        <v>106</v>
      </c>
      <c r="D210" s="47">
        <v>100</v>
      </c>
      <c r="E210" s="47" t="s">
        <v>88</v>
      </c>
      <c r="F210" s="47" t="s">
        <v>88</v>
      </c>
      <c r="G210" s="47">
        <v>1</v>
      </c>
      <c r="H210" s="47">
        <v>1</v>
      </c>
      <c r="I210" s="47">
        <v>1194</v>
      </c>
      <c r="J210" s="48">
        <f t="shared" ref="J210:J211" si="27">D210</f>
        <v>100</v>
      </c>
    </row>
    <row r="211" spans="1:10" ht="21" customHeight="1" x14ac:dyDescent="0.15">
      <c r="A211" s="123">
        <v>47003633</v>
      </c>
      <c r="B211" s="47">
        <v>1</v>
      </c>
      <c r="C211" s="47">
        <v>105</v>
      </c>
      <c r="D211" s="47">
        <v>100</v>
      </c>
      <c r="E211" s="47" t="s">
        <v>88</v>
      </c>
      <c r="F211" s="47" t="s">
        <v>88</v>
      </c>
      <c r="G211" s="47">
        <v>1</v>
      </c>
      <c r="H211" s="47">
        <v>1</v>
      </c>
      <c r="I211" s="47">
        <v>1195</v>
      </c>
      <c r="J211" s="48">
        <f t="shared" si="27"/>
        <v>100</v>
      </c>
    </row>
    <row r="212" spans="1:10" ht="21" customHeight="1" x14ac:dyDescent="0.15">
      <c r="A212" s="123">
        <v>47003634</v>
      </c>
      <c r="B212" s="47">
        <v>1</v>
      </c>
      <c r="C212" s="47">
        <v>103</v>
      </c>
      <c r="D212" s="47">
        <v>100</v>
      </c>
      <c r="E212" s="47" t="s">
        <v>88</v>
      </c>
      <c r="F212" s="47" t="s">
        <v>88</v>
      </c>
      <c r="G212" s="47">
        <v>1</v>
      </c>
      <c r="H212" s="47">
        <v>1</v>
      </c>
      <c r="I212" s="47">
        <v>1196</v>
      </c>
      <c r="J212" s="48">
        <f t="shared" ref="J212:J213" si="28">D212</f>
        <v>100</v>
      </c>
    </row>
    <row r="213" spans="1:10" ht="21" customHeight="1" x14ac:dyDescent="0.15">
      <c r="A213" s="123">
        <v>47003635</v>
      </c>
      <c r="B213" s="47">
        <v>1</v>
      </c>
      <c r="C213" s="47">
        <v>102</v>
      </c>
      <c r="D213" s="47">
        <v>100</v>
      </c>
      <c r="E213" s="47" t="s">
        <v>88</v>
      </c>
      <c r="F213" s="47" t="s">
        <v>88</v>
      </c>
      <c r="G213" s="47">
        <v>1</v>
      </c>
      <c r="H213" s="47">
        <v>1</v>
      </c>
      <c r="I213" s="47">
        <v>1193</v>
      </c>
      <c r="J213" s="48">
        <f t="shared" si="28"/>
        <v>100</v>
      </c>
    </row>
    <row r="214" spans="1:10" ht="21" customHeight="1" x14ac:dyDescent="0.15">
      <c r="A214" s="47">
        <v>47003651</v>
      </c>
      <c r="B214" s="47">
        <v>1</v>
      </c>
      <c r="C214" s="47">
        <v>100</v>
      </c>
      <c r="D214" s="47">
        <v>100</v>
      </c>
      <c r="E214" s="47" t="s">
        <v>88</v>
      </c>
      <c r="F214" s="47" t="s">
        <v>88</v>
      </c>
      <c r="G214" s="47">
        <v>1</v>
      </c>
      <c r="H214" s="47" t="s">
        <v>88</v>
      </c>
      <c r="I214" s="47" t="s">
        <v>88</v>
      </c>
      <c r="J214" s="48">
        <f t="shared" si="24"/>
        <v>100</v>
      </c>
    </row>
    <row r="215" spans="1:10" ht="21" customHeight="1" x14ac:dyDescent="0.15">
      <c r="A215" s="47">
        <v>47003652</v>
      </c>
      <c r="B215" s="47">
        <v>0</v>
      </c>
      <c r="C215" s="47">
        <v>101</v>
      </c>
      <c r="D215" s="47">
        <v>100</v>
      </c>
      <c r="E215" s="47" t="s">
        <v>88</v>
      </c>
      <c r="F215" s="47" t="s">
        <v>88</v>
      </c>
      <c r="G215" s="47">
        <v>1</v>
      </c>
      <c r="H215" s="47">
        <v>1</v>
      </c>
      <c r="I215" s="47" t="s">
        <v>88</v>
      </c>
      <c r="J215" s="48">
        <f t="shared" si="24"/>
        <v>100</v>
      </c>
    </row>
    <row r="216" spans="1:10" ht="21" customHeight="1" x14ac:dyDescent="0.15">
      <c r="A216" s="47">
        <v>47003653</v>
      </c>
      <c r="B216" s="47">
        <v>0</v>
      </c>
      <c r="C216" s="47">
        <v>102</v>
      </c>
      <c r="D216" s="47">
        <v>100</v>
      </c>
      <c r="E216" s="47" t="s">
        <v>88</v>
      </c>
      <c r="F216" s="47" t="s">
        <v>88</v>
      </c>
      <c r="G216" s="47">
        <v>1</v>
      </c>
      <c r="H216" s="47">
        <v>2</v>
      </c>
      <c r="I216" s="47" t="s">
        <v>88</v>
      </c>
      <c r="J216" s="48">
        <f t="shared" ref="J216" si="29">D216</f>
        <v>100</v>
      </c>
    </row>
    <row r="217" spans="1:10" ht="21" customHeight="1" x14ac:dyDescent="0.15">
      <c r="A217" s="47">
        <v>47003654</v>
      </c>
      <c r="B217" s="47">
        <v>0</v>
      </c>
      <c r="C217" s="47">
        <v>103</v>
      </c>
      <c r="D217" s="47">
        <v>100</v>
      </c>
      <c r="E217" s="47" t="s">
        <v>88</v>
      </c>
      <c r="F217" s="47" t="s">
        <v>88</v>
      </c>
      <c r="G217" s="47">
        <v>1</v>
      </c>
      <c r="H217" s="47">
        <v>3</v>
      </c>
      <c r="I217" s="47" t="s">
        <v>88</v>
      </c>
      <c r="J217" s="48">
        <f t="shared" si="24"/>
        <v>100</v>
      </c>
    </row>
    <row r="218" spans="1:10" ht="21" customHeight="1" x14ac:dyDescent="0.15">
      <c r="A218" s="47">
        <v>47003655</v>
      </c>
      <c r="B218" s="47">
        <v>1</v>
      </c>
      <c r="C218" s="47">
        <v>306</v>
      </c>
      <c r="D218" s="47">
        <v>100</v>
      </c>
      <c r="E218" s="47" t="s">
        <v>88</v>
      </c>
      <c r="F218" s="47" t="s">
        <v>88</v>
      </c>
      <c r="G218" s="47">
        <v>1</v>
      </c>
      <c r="H218" s="47" t="s">
        <v>88</v>
      </c>
      <c r="I218" s="47">
        <v>1194</v>
      </c>
      <c r="J218" s="48">
        <f t="shared" ref="J218:J221" si="30">D218</f>
        <v>100</v>
      </c>
    </row>
    <row r="219" spans="1:10" ht="21" customHeight="1" x14ac:dyDescent="0.15">
      <c r="A219" s="47">
        <v>47003656</v>
      </c>
      <c r="B219" s="47">
        <v>1</v>
      </c>
      <c r="C219" s="47">
        <v>305</v>
      </c>
      <c r="D219" s="47">
        <v>100</v>
      </c>
      <c r="E219" s="47" t="s">
        <v>88</v>
      </c>
      <c r="F219" s="47" t="s">
        <v>88</v>
      </c>
      <c r="G219" s="47">
        <v>1</v>
      </c>
      <c r="H219" s="47" t="s">
        <v>88</v>
      </c>
      <c r="I219" s="47">
        <v>1195</v>
      </c>
      <c r="J219" s="48">
        <f t="shared" si="30"/>
        <v>100</v>
      </c>
    </row>
    <row r="220" spans="1:10" ht="21" customHeight="1" x14ac:dyDescent="0.15">
      <c r="A220" s="47">
        <v>47003657</v>
      </c>
      <c r="B220" s="47">
        <v>1</v>
      </c>
      <c r="C220" s="47">
        <v>304</v>
      </c>
      <c r="D220" s="47">
        <v>100</v>
      </c>
      <c r="E220" s="47" t="s">
        <v>88</v>
      </c>
      <c r="F220" s="47" t="s">
        <v>88</v>
      </c>
      <c r="G220" s="47">
        <v>1</v>
      </c>
      <c r="H220" s="47" t="s">
        <v>88</v>
      </c>
      <c r="I220" s="47">
        <v>1196</v>
      </c>
      <c r="J220" s="48">
        <f t="shared" si="30"/>
        <v>100</v>
      </c>
    </row>
    <row r="221" spans="1:10" ht="21" customHeight="1" x14ac:dyDescent="0.15">
      <c r="A221" s="47">
        <v>47003658</v>
      </c>
      <c r="B221" s="47">
        <v>1</v>
      </c>
      <c r="C221" s="47">
        <v>303</v>
      </c>
      <c r="D221" s="47">
        <v>100</v>
      </c>
      <c r="E221" s="47" t="s">
        <v>88</v>
      </c>
      <c r="F221" s="47" t="s">
        <v>88</v>
      </c>
      <c r="G221" s="47">
        <v>1</v>
      </c>
      <c r="H221" s="47" t="s">
        <v>88</v>
      </c>
      <c r="I221" s="47">
        <v>1193</v>
      </c>
      <c r="J221" s="48">
        <f t="shared" si="30"/>
        <v>100</v>
      </c>
    </row>
    <row r="222" spans="1:10" ht="21" customHeight="1" x14ac:dyDescent="0.15">
      <c r="A222" s="119">
        <v>47003661</v>
      </c>
      <c r="B222" s="47">
        <v>1</v>
      </c>
      <c r="C222" s="47">
        <v>100</v>
      </c>
      <c r="D222" s="47">
        <v>100</v>
      </c>
      <c r="E222" s="47" t="s">
        <v>88</v>
      </c>
      <c r="F222" s="47" t="s">
        <v>88</v>
      </c>
      <c r="G222" s="47">
        <v>1</v>
      </c>
      <c r="H222" s="47" t="s">
        <v>88</v>
      </c>
      <c r="I222" s="47" t="s">
        <v>88</v>
      </c>
      <c r="J222" s="48">
        <f t="shared" si="24"/>
        <v>100</v>
      </c>
    </row>
    <row r="223" spans="1:10" ht="21" customHeight="1" x14ac:dyDescent="0.15">
      <c r="A223" s="119">
        <v>47003662</v>
      </c>
      <c r="B223" s="47">
        <v>0</v>
      </c>
      <c r="C223" s="47">
        <v>101</v>
      </c>
      <c r="D223" s="47">
        <v>100</v>
      </c>
      <c r="E223" s="47" t="s">
        <v>88</v>
      </c>
      <c r="F223" s="47" t="s">
        <v>88</v>
      </c>
      <c r="G223" s="47" t="s">
        <v>88</v>
      </c>
      <c r="H223" s="47">
        <v>1</v>
      </c>
      <c r="I223" s="47" t="s">
        <v>88</v>
      </c>
      <c r="J223" s="48">
        <f t="shared" si="24"/>
        <v>100</v>
      </c>
    </row>
    <row r="224" spans="1:10" ht="21" customHeight="1" x14ac:dyDescent="0.15">
      <c r="A224" s="119">
        <v>47003663</v>
      </c>
      <c r="B224" s="47">
        <v>0</v>
      </c>
      <c r="C224" s="47">
        <v>102</v>
      </c>
      <c r="D224" s="47">
        <v>100</v>
      </c>
      <c r="E224" s="47" t="s">
        <v>88</v>
      </c>
      <c r="F224" s="47" t="s">
        <v>88</v>
      </c>
      <c r="G224" s="47" t="s">
        <v>88</v>
      </c>
      <c r="H224" s="47">
        <v>2</v>
      </c>
      <c r="I224" s="47" t="s">
        <v>88</v>
      </c>
      <c r="J224" s="48">
        <f t="shared" ref="J224" si="31">D224</f>
        <v>100</v>
      </c>
    </row>
    <row r="225" spans="1:10" ht="21" customHeight="1" x14ac:dyDescent="0.15">
      <c r="A225" s="119">
        <v>47003664</v>
      </c>
      <c r="B225" s="47">
        <v>0</v>
      </c>
      <c r="C225" s="47">
        <v>103</v>
      </c>
      <c r="D225" s="47">
        <v>100</v>
      </c>
      <c r="E225" s="47" t="s">
        <v>88</v>
      </c>
      <c r="F225" s="47" t="s">
        <v>88</v>
      </c>
      <c r="G225" s="47" t="s">
        <v>88</v>
      </c>
      <c r="H225" s="47">
        <v>3</v>
      </c>
      <c r="I225" s="47" t="s">
        <v>88</v>
      </c>
      <c r="J225" s="48">
        <f t="shared" si="24"/>
        <v>100</v>
      </c>
    </row>
    <row r="226" spans="1:10" ht="21" customHeight="1" x14ac:dyDescent="0.15">
      <c r="A226" s="119">
        <v>47003665</v>
      </c>
      <c r="B226" s="47">
        <v>1</v>
      </c>
      <c r="C226" s="47">
        <v>306</v>
      </c>
      <c r="D226" s="47">
        <v>100</v>
      </c>
      <c r="E226" s="47" t="s">
        <v>88</v>
      </c>
      <c r="F226" s="47" t="s">
        <v>88</v>
      </c>
      <c r="G226" s="47">
        <v>1</v>
      </c>
      <c r="H226" s="47" t="s">
        <v>88</v>
      </c>
      <c r="I226" s="47">
        <v>1194</v>
      </c>
      <c r="J226" s="48">
        <f t="shared" ref="J226:J229" si="32">D226</f>
        <v>100</v>
      </c>
    </row>
    <row r="227" spans="1:10" ht="21" customHeight="1" x14ac:dyDescent="0.15">
      <c r="A227" s="119">
        <v>47003666</v>
      </c>
      <c r="B227" s="47">
        <v>1</v>
      </c>
      <c r="C227" s="47">
        <v>305</v>
      </c>
      <c r="D227" s="47">
        <v>100</v>
      </c>
      <c r="E227" s="47" t="s">
        <v>88</v>
      </c>
      <c r="F227" s="47" t="s">
        <v>88</v>
      </c>
      <c r="G227" s="47">
        <v>1</v>
      </c>
      <c r="H227" s="47" t="s">
        <v>88</v>
      </c>
      <c r="I227" s="47">
        <v>1195</v>
      </c>
      <c r="J227" s="48">
        <f t="shared" si="32"/>
        <v>100</v>
      </c>
    </row>
    <row r="228" spans="1:10" ht="21" customHeight="1" x14ac:dyDescent="0.15">
      <c r="A228" s="119">
        <v>47003667</v>
      </c>
      <c r="B228" s="47">
        <v>1</v>
      </c>
      <c r="C228" s="47">
        <v>304</v>
      </c>
      <c r="D228" s="47">
        <v>100</v>
      </c>
      <c r="E228" s="47" t="s">
        <v>88</v>
      </c>
      <c r="F228" s="47" t="s">
        <v>88</v>
      </c>
      <c r="G228" s="47">
        <v>1</v>
      </c>
      <c r="H228" s="47" t="s">
        <v>88</v>
      </c>
      <c r="I228" s="47">
        <v>1196</v>
      </c>
      <c r="J228" s="48">
        <f t="shared" si="32"/>
        <v>100</v>
      </c>
    </row>
    <row r="229" spans="1:10" ht="21" customHeight="1" x14ac:dyDescent="0.15">
      <c r="A229" s="119">
        <v>47003668</v>
      </c>
      <c r="B229" s="47">
        <v>1</v>
      </c>
      <c r="C229" s="47">
        <v>303</v>
      </c>
      <c r="D229" s="47">
        <v>100</v>
      </c>
      <c r="E229" s="47" t="s">
        <v>88</v>
      </c>
      <c r="F229" s="47" t="s">
        <v>88</v>
      </c>
      <c r="G229" s="47">
        <v>1</v>
      </c>
      <c r="H229" s="47" t="s">
        <v>88</v>
      </c>
      <c r="I229" s="47">
        <v>1193</v>
      </c>
      <c r="J229" s="48">
        <f t="shared" si="32"/>
        <v>100</v>
      </c>
    </row>
    <row r="230" spans="1:10" ht="21" customHeight="1" x14ac:dyDescent="0.15">
      <c r="A230" s="121">
        <v>47003681</v>
      </c>
      <c r="B230" s="47">
        <v>1</v>
      </c>
      <c r="C230" s="47">
        <v>100</v>
      </c>
      <c r="D230" s="47">
        <v>100</v>
      </c>
      <c r="E230" s="47" t="s">
        <v>88</v>
      </c>
      <c r="F230" s="47" t="s">
        <v>88</v>
      </c>
      <c r="G230" s="47">
        <v>1</v>
      </c>
      <c r="H230" s="47" t="s">
        <v>88</v>
      </c>
      <c r="I230" s="47" t="s">
        <v>88</v>
      </c>
      <c r="J230" s="48">
        <f t="shared" ref="J230:J233" si="33">D230</f>
        <v>100</v>
      </c>
    </row>
    <row r="231" spans="1:10" ht="21" customHeight="1" x14ac:dyDescent="0.15">
      <c r="A231" s="121">
        <v>47003682</v>
      </c>
      <c r="B231" s="47">
        <v>0</v>
      </c>
      <c r="C231" s="47">
        <v>101</v>
      </c>
      <c r="D231" s="47">
        <v>100</v>
      </c>
      <c r="E231" s="47" t="s">
        <v>88</v>
      </c>
      <c r="F231" s="47" t="s">
        <v>88</v>
      </c>
      <c r="G231" s="47" t="s">
        <v>88</v>
      </c>
      <c r="H231" s="47">
        <v>1</v>
      </c>
      <c r="I231" s="47" t="s">
        <v>88</v>
      </c>
      <c r="J231" s="48">
        <f t="shared" si="33"/>
        <v>100</v>
      </c>
    </row>
    <row r="232" spans="1:10" ht="21" customHeight="1" x14ac:dyDescent="0.15">
      <c r="A232" s="121">
        <v>47003683</v>
      </c>
      <c r="B232" s="47">
        <v>0</v>
      </c>
      <c r="C232" s="47">
        <v>102</v>
      </c>
      <c r="D232" s="47">
        <v>100</v>
      </c>
      <c r="E232" s="47" t="s">
        <v>88</v>
      </c>
      <c r="F232" s="47" t="s">
        <v>88</v>
      </c>
      <c r="G232" s="47" t="s">
        <v>88</v>
      </c>
      <c r="H232" s="47">
        <v>2</v>
      </c>
      <c r="I232" s="47" t="s">
        <v>88</v>
      </c>
      <c r="J232" s="48">
        <f t="shared" ref="J232" si="34">D232</f>
        <v>100</v>
      </c>
    </row>
    <row r="233" spans="1:10" ht="21" customHeight="1" x14ac:dyDescent="0.15">
      <c r="A233" s="121">
        <v>47003684</v>
      </c>
      <c r="B233" s="47">
        <v>0</v>
      </c>
      <c r="C233" s="47">
        <v>103</v>
      </c>
      <c r="D233" s="47">
        <v>100</v>
      </c>
      <c r="E233" s="47" t="s">
        <v>88</v>
      </c>
      <c r="F233" s="47" t="s">
        <v>88</v>
      </c>
      <c r="G233" s="47" t="s">
        <v>88</v>
      </c>
      <c r="H233" s="47">
        <v>3</v>
      </c>
      <c r="I233" s="47" t="s">
        <v>88</v>
      </c>
      <c r="J233" s="48">
        <f t="shared" si="33"/>
        <v>100</v>
      </c>
    </row>
    <row r="234" spans="1:10" ht="21" customHeight="1" x14ac:dyDescent="0.15">
      <c r="A234" s="121">
        <v>47003685</v>
      </c>
      <c r="B234" s="47">
        <v>1</v>
      </c>
      <c r="C234" s="47">
        <v>306</v>
      </c>
      <c r="D234" s="47">
        <v>100</v>
      </c>
      <c r="E234" s="47" t="s">
        <v>88</v>
      </c>
      <c r="F234" s="47" t="s">
        <v>88</v>
      </c>
      <c r="G234" s="47">
        <v>1</v>
      </c>
      <c r="H234" s="47" t="s">
        <v>88</v>
      </c>
      <c r="I234" s="47">
        <v>1194</v>
      </c>
      <c r="J234" s="48">
        <f t="shared" ref="J234:J237" si="35">D234</f>
        <v>100</v>
      </c>
    </row>
    <row r="235" spans="1:10" ht="21" customHeight="1" x14ac:dyDescent="0.15">
      <c r="A235" s="121">
        <v>47003686</v>
      </c>
      <c r="B235" s="47">
        <v>1</v>
      </c>
      <c r="C235" s="47">
        <v>305</v>
      </c>
      <c r="D235" s="47">
        <v>100</v>
      </c>
      <c r="E235" s="47" t="s">
        <v>88</v>
      </c>
      <c r="F235" s="47" t="s">
        <v>88</v>
      </c>
      <c r="G235" s="47">
        <v>1</v>
      </c>
      <c r="H235" s="47" t="s">
        <v>88</v>
      </c>
      <c r="I235" s="47">
        <v>1195</v>
      </c>
      <c r="J235" s="48">
        <f t="shared" si="35"/>
        <v>100</v>
      </c>
    </row>
    <row r="236" spans="1:10" ht="21" customHeight="1" x14ac:dyDescent="0.15">
      <c r="A236" s="121">
        <v>47003687</v>
      </c>
      <c r="B236" s="47">
        <v>1</v>
      </c>
      <c r="C236" s="47">
        <v>304</v>
      </c>
      <c r="D236" s="47">
        <v>100</v>
      </c>
      <c r="E236" s="47" t="s">
        <v>88</v>
      </c>
      <c r="F236" s="47" t="s">
        <v>88</v>
      </c>
      <c r="G236" s="47">
        <v>1</v>
      </c>
      <c r="H236" s="47" t="s">
        <v>88</v>
      </c>
      <c r="I236" s="47">
        <v>1196</v>
      </c>
      <c r="J236" s="48">
        <f t="shared" si="35"/>
        <v>100</v>
      </c>
    </row>
    <row r="237" spans="1:10" ht="21" customHeight="1" x14ac:dyDescent="0.15">
      <c r="A237" s="121">
        <v>47003688</v>
      </c>
      <c r="B237" s="47">
        <v>1</v>
      </c>
      <c r="C237" s="47">
        <v>303</v>
      </c>
      <c r="D237" s="47">
        <v>100</v>
      </c>
      <c r="E237" s="47" t="s">
        <v>88</v>
      </c>
      <c r="F237" s="47" t="s">
        <v>88</v>
      </c>
      <c r="G237" s="47">
        <v>1</v>
      </c>
      <c r="H237" s="47" t="s">
        <v>88</v>
      </c>
      <c r="I237" s="47">
        <v>1193</v>
      </c>
      <c r="J237" s="48">
        <f t="shared" si="35"/>
        <v>100</v>
      </c>
    </row>
    <row r="238" spans="1:10" ht="21" customHeight="1" x14ac:dyDescent="0.15">
      <c r="A238" s="122">
        <v>47003701</v>
      </c>
      <c r="B238" s="47">
        <v>1</v>
      </c>
      <c r="C238" s="47">
        <v>100</v>
      </c>
      <c r="D238" s="47">
        <v>100</v>
      </c>
      <c r="E238" s="47" t="s">
        <v>88</v>
      </c>
      <c r="F238" s="47" t="s">
        <v>88</v>
      </c>
      <c r="G238" s="47">
        <v>1</v>
      </c>
      <c r="H238" s="47" t="s">
        <v>88</v>
      </c>
      <c r="I238" s="47" t="s">
        <v>88</v>
      </c>
      <c r="J238" s="48">
        <f t="shared" si="24"/>
        <v>100</v>
      </c>
    </row>
    <row r="239" spans="1:10" ht="21" customHeight="1" x14ac:dyDescent="0.15">
      <c r="A239" s="122">
        <v>47003702</v>
      </c>
      <c r="B239" s="47">
        <v>0</v>
      </c>
      <c r="C239" s="47">
        <v>101</v>
      </c>
      <c r="D239" s="47">
        <v>100</v>
      </c>
      <c r="E239" s="47" t="s">
        <v>88</v>
      </c>
      <c r="F239" s="47" t="s">
        <v>88</v>
      </c>
      <c r="G239" s="47" t="s">
        <v>88</v>
      </c>
      <c r="H239" s="47">
        <v>1</v>
      </c>
      <c r="I239" s="47" t="s">
        <v>88</v>
      </c>
      <c r="J239" s="48">
        <f t="shared" si="24"/>
        <v>100</v>
      </c>
    </row>
    <row r="240" spans="1:10" ht="21" customHeight="1" x14ac:dyDescent="0.15">
      <c r="A240" s="122">
        <v>47003703</v>
      </c>
      <c r="B240" s="47">
        <v>0</v>
      </c>
      <c r="C240" s="47">
        <v>102</v>
      </c>
      <c r="D240" s="47">
        <v>100</v>
      </c>
      <c r="E240" s="47" t="s">
        <v>88</v>
      </c>
      <c r="F240" s="47" t="s">
        <v>88</v>
      </c>
      <c r="G240" s="47" t="s">
        <v>88</v>
      </c>
      <c r="H240" s="47">
        <v>2</v>
      </c>
      <c r="I240" s="47" t="s">
        <v>88</v>
      </c>
      <c r="J240" s="48">
        <f t="shared" si="24"/>
        <v>100</v>
      </c>
    </row>
    <row r="241" spans="1:10" ht="21" customHeight="1" x14ac:dyDescent="0.15">
      <c r="A241" s="122">
        <v>47003704</v>
      </c>
      <c r="B241" s="47">
        <v>0</v>
      </c>
      <c r="C241" s="47">
        <v>103</v>
      </c>
      <c r="D241" s="47">
        <v>100</v>
      </c>
      <c r="E241" s="47" t="s">
        <v>88</v>
      </c>
      <c r="F241" s="47" t="s">
        <v>88</v>
      </c>
      <c r="G241" s="47" t="s">
        <v>88</v>
      </c>
      <c r="H241" s="47">
        <v>3</v>
      </c>
      <c r="I241" s="47" t="s">
        <v>88</v>
      </c>
      <c r="J241" s="48">
        <f t="shared" ref="J241" si="36">D241</f>
        <v>100</v>
      </c>
    </row>
    <row r="242" spans="1:10" ht="21" customHeight="1" x14ac:dyDescent="0.15">
      <c r="A242" s="122">
        <v>47003705</v>
      </c>
      <c r="B242" s="47">
        <v>0</v>
      </c>
      <c r="C242" s="47">
        <v>104</v>
      </c>
      <c r="D242" s="47">
        <v>100</v>
      </c>
      <c r="E242" s="47" t="s">
        <v>88</v>
      </c>
      <c r="F242" s="47" t="s">
        <v>88</v>
      </c>
      <c r="G242" s="47">
        <v>1</v>
      </c>
      <c r="H242" s="47">
        <v>5</v>
      </c>
      <c r="I242" s="47" t="s">
        <v>88</v>
      </c>
      <c r="J242" s="48">
        <f t="shared" ref="J242" si="37">D242</f>
        <v>100</v>
      </c>
    </row>
    <row r="243" spans="1:10" ht="21" customHeight="1" x14ac:dyDescent="0.15">
      <c r="A243" s="122">
        <v>47003706</v>
      </c>
      <c r="B243" s="47">
        <v>1</v>
      </c>
      <c r="C243" s="47">
        <v>306</v>
      </c>
      <c r="D243" s="47">
        <v>100</v>
      </c>
      <c r="E243" s="47" t="s">
        <v>88</v>
      </c>
      <c r="F243" s="47" t="s">
        <v>88</v>
      </c>
      <c r="G243" s="47">
        <v>1</v>
      </c>
      <c r="H243" s="47" t="s">
        <v>88</v>
      </c>
      <c r="I243" s="47">
        <v>1194</v>
      </c>
      <c r="J243" s="48">
        <f t="shared" ref="J243" si="38">D243</f>
        <v>100</v>
      </c>
    </row>
    <row r="244" spans="1:10" ht="21" customHeight="1" x14ac:dyDescent="0.15">
      <c r="A244" s="122">
        <v>47003707</v>
      </c>
      <c r="B244" s="47">
        <v>1</v>
      </c>
      <c r="C244" s="47">
        <v>305</v>
      </c>
      <c r="D244" s="47">
        <v>100</v>
      </c>
      <c r="E244" s="47" t="s">
        <v>88</v>
      </c>
      <c r="F244" s="47" t="s">
        <v>88</v>
      </c>
      <c r="G244" s="47">
        <v>1</v>
      </c>
      <c r="H244" s="47" t="s">
        <v>88</v>
      </c>
      <c r="I244" s="47">
        <v>1195</v>
      </c>
      <c r="J244" s="48">
        <f t="shared" ref="J244:J245" si="39">D244</f>
        <v>100</v>
      </c>
    </row>
    <row r="245" spans="1:10" ht="21" customHeight="1" x14ac:dyDescent="0.15">
      <c r="A245" s="122">
        <v>47003708</v>
      </c>
      <c r="B245" s="47">
        <v>1</v>
      </c>
      <c r="C245" s="47">
        <v>303</v>
      </c>
      <c r="D245" s="47">
        <v>100</v>
      </c>
      <c r="E245" s="47" t="s">
        <v>88</v>
      </c>
      <c r="F245" s="47" t="s">
        <v>88</v>
      </c>
      <c r="G245" s="47">
        <v>1</v>
      </c>
      <c r="H245" s="47" t="s">
        <v>88</v>
      </c>
      <c r="I245" s="47">
        <v>1193</v>
      </c>
      <c r="J245" s="48">
        <f t="shared" si="39"/>
        <v>100</v>
      </c>
    </row>
    <row r="246" spans="1:10" ht="21" customHeight="1" x14ac:dyDescent="0.15">
      <c r="A246" s="120">
        <v>47003721</v>
      </c>
      <c r="B246" s="47">
        <v>1</v>
      </c>
      <c r="C246" s="47">
        <v>100</v>
      </c>
      <c r="D246" s="47">
        <v>100</v>
      </c>
      <c r="E246" s="47" t="s">
        <v>88</v>
      </c>
      <c r="F246" s="47" t="s">
        <v>88</v>
      </c>
      <c r="G246" s="47" t="s">
        <v>88</v>
      </c>
      <c r="H246" s="47" t="s">
        <v>88</v>
      </c>
      <c r="I246" s="47" t="s">
        <v>88</v>
      </c>
      <c r="J246" s="48">
        <f t="shared" si="24"/>
        <v>100</v>
      </c>
    </row>
    <row r="247" spans="1:10" ht="21" customHeight="1" x14ac:dyDescent="0.15">
      <c r="A247" s="120">
        <v>47003722</v>
      </c>
      <c r="B247" s="47">
        <v>0</v>
      </c>
      <c r="C247" s="47">
        <v>101</v>
      </c>
      <c r="D247" s="47">
        <v>100</v>
      </c>
      <c r="E247" s="47" t="s">
        <v>88</v>
      </c>
      <c r="F247" s="47" t="s">
        <v>88</v>
      </c>
      <c r="G247" s="47" t="s">
        <v>88</v>
      </c>
      <c r="H247" s="47">
        <v>1</v>
      </c>
      <c r="I247" s="47" t="s">
        <v>88</v>
      </c>
      <c r="J247" s="48">
        <f t="shared" si="24"/>
        <v>100</v>
      </c>
    </row>
    <row r="248" spans="1:10" ht="21" customHeight="1" x14ac:dyDescent="0.15">
      <c r="A248" s="120">
        <v>47003723</v>
      </c>
      <c r="B248" s="47">
        <v>0</v>
      </c>
      <c r="C248" s="47">
        <v>102</v>
      </c>
      <c r="D248" s="47">
        <v>100</v>
      </c>
      <c r="E248" s="47" t="s">
        <v>88</v>
      </c>
      <c r="F248" s="47" t="s">
        <v>88</v>
      </c>
      <c r="G248" s="47" t="s">
        <v>88</v>
      </c>
      <c r="H248" s="47">
        <v>2</v>
      </c>
      <c r="I248" s="47" t="s">
        <v>88</v>
      </c>
      <c r="J248" s="48">
        <f t="shared" si="24"/>
        <v>100</v>
      </c>
    </row>
    <row r="249" spans="1:10" ht="21" customHeight="1" x14ac:dyDescent="0.15">
      <c r="A249" s="120">
        <v>47003724</v>
      </c>
      <c r="B249" s="47">
        <v>0</v>
      </c>
      <c r="C249" s="47">
        <v>103</v>
      </c>
      <c r="D249" s="47">
        <v>100</v>
      </c>
      <c r="E249" s="47" t="s">
        <v>88</v>
      </c>
      <c r="F249" s="47" t="s">
        <v>88</v>
      </c>
      <c r="G249" s="47" t="s">
        <v>88</v>
      </c>
      <c r="H249" s="47">
        <v>3</v>
      </c>
      <c r="I249" s="47" t="s">
        <v>88</v>
      </c>
      <c r="J249" s="48">
        <f t="shared" ref="J249" si="40">D249</f>
        <v>100</v>
      </c>
    </row>
    <row r="250" spans="1:10" ht="21" customHeight="1" x14ac:dyDescent="0.15">
      <c r="A250" s="120">
        <v>47003725</v>
      </c>
      <c r="B250" s="47">
        <v>0</v>
      </c>
      <c r="C250" s="47">
        <v>104</v>
      </c>
      <c r="D250" s="47">
        <v>100</v>
      </c>
      <c r="E250" s="47">
        <v>50</v>
      </c>
      <c r="F250" s="47" t="s">
        <v>88</v>
      </c>
      <c r="G250" s="47">
        <v>1</v>
      </c>
      <c r="H250" s="47">
        <v>1</v>
      </c>
      <c r="I250" s="47" t="s">
        <v>88</v>
      </c>
      <c r="J250" s="48">
        <f t="shared" ref="J250" si="41">D250</f>
        <v>100</v>
      </c>
    </row>
    <row r="251" spans="1:10" ht="21" customHeight="1" x14ac:dyDescent="0.15">
      <c r="A251" s="120">
        <v>47003726</v>
      </c>
      <c r="B251" s="47">
        <v>1</v>
      </c>
      <c r="C251" s="47">
        <v>306</v>
      </c>
      <c r="D251" s="47">
        <v>100</v>
      </c>
      <c r="E251" s="47" t="s">
        <v>88</v>
      </c>
      <c r="F251" s="47" t="s">
        <v>88</v>
      </c>
      <c r="G251" s="47">
        <v>1</v>
      </c>
      <c r="H251" s="47" t="s">
        <v>88</v>
      </c>
      <c r="I251" s="47">
        <v>1194</v>
      </c>
      <c r="J251" s="48">
        <f t="shared" ref="J251" si="42">D251</f>
        <v>100</v>
      </c>
    </row>
    <row r="252" spans="1:10" ht="21" customHeight="1" x14ac:dyDescent="0.15">
      <c r="A252" s="120">
        <v>47003727</v>
      </c>
      <c r="B252" s="47">
        <v>1</v>
      </c>
      <c r="C252" s="47">
        <v>305</v>
      </c>
      <c r="D252" s="47">
        <v>100</v>
      </c>
      <c r="E252" s="47" t="s">
        <v>88</v>
      </c>
      <c r="F252" s="47" t="s">
        <v>88</v>
      </c>
      <c r="G252" s="47">
        <v>1</v>
      </c>
      <c r="H252" s="47" t="s">
        <v>88</v>
      </c>
      <c r="I252" s="47">
        <v>1195</v>
      </c>
      <c r="J252" s="48">
        <f t="shared" ref="J252:J253" si="43">D252</f>
        <v>100</v>
      </c>
    </row>
    <row r="253" spans="1:10" ht="21" customHeight="1" x14ac:dyDescent="0.15">
      <c r="A253" s="120">
        <v>47003728</v>
      </c>
      <c r="B253" s="47">
        <v>1</v>
      </c>
      <c r="C253" s="47">
        <v>304</v>
      </c>
      <c r="D253" s="47">
        <v>100</v>
      </c>
      <c r="E253" s="47" t="s">
        <v>88</v>
      </c>
      <c r="F253" s="47" t="s">
        <v>88</v>
      </c>
      <c r="G253" s="47">
        <v>1</v>
      </c>
      <c r="H253" s="47" t="s">
        <v>88</v>
      </c>
      <c r="I253" s="47">
        <v>1196</v>
      </c>
      <c r="J253" s="48">
        <f t="shared" si="43"/>
        <v>100</v>
      </c>
    </row>
    <row r="254" spans="1:10" ht="21" customHeight="1" x14ac:dyDescent="0.15">
      <c r="A254" s="47">
        <v>47003741</v>
      </c>
      <c r="B254" s="47">
        <v>1</v>
      </c>
      <c r="C254" s="47">
        <v>100</v>
      </c>
      <c r="D254" s="47">
        <v>100</v>
      </c>
      <c r="E254" s="47" t="s">
        <v>88</v>
      </c>
      <c r="F254" s="47" t="s">
        <v>88</v>
      </c>
      <c r="G254" s="47">
        <v>1</v>
      </c>
      <c r="H254" s="47" t="s">
        <v>88</v>
      </c>
      <c r="I254" s="47" t="s">
        <v>88</v>
      </c>
      <c r="J254" s="48">
        <f t="shared" si="24"/>
        <v>100</v>
      </c>
    </row>
    <row r="255" spans="1:10" ht="21" customHeight="1" x14ac:dyDescent="0.15">
      <c r="A255" s="47">
        <v>47003742</v>
      </c>
      <c r="B255" s="47">
        <v>0</v>
      </c>
      <c r="C255" s="47">
        <v>200</v>
      </c>
      <c r="D255" s="47">
        <v>100</v>
      </c>
      <c r="E255" s="47" t="s">
        <v>88</v>
      </c>
      <c r="F255" s="47" t="s">
        <v>88</v>
      </c>
      <c r="G255" s="47">
        <v>1</v>
      </c>
      <c r="H255" s="47">
        <v>1</v>
      </c>
      <c r="I255" s="47" t="s">
        <v>88</v>
      </c>
      <c r="J255" s="48">
        <f t="shared" si="24"/>
        <v>100</v>
      </c>
    </row>
    <row r="256" spans="1:10" ht="21" customHeight="1" x14ac:dyDescent="0.15">
      <c r="A256" s="47">
        <v>47003743</v>
      </c>
      <c r="B256" s="47">
        <v>0</v>
      </c>
      <c r="C256" s="47">
        <v>120</v>
      </c>
      <c r="D256" s="47">
        <v>100</v>
      </c>
      <c r="E256" s="47" t="s">
        <v>88</v>
      </c>
      <c r="F256" s="47" t="s">
        <v>88</v>
      </c>
      <c r="G256" s="47" t="s">
        <v>88</v>
      </c>
      <c r="H256" s="47">
        <v>1</v>
      </c>
      <c r="I256" s="47" t="s">
        <v>88</v>
      </c>
      <c r="J256" s="48">
        <f t="shared" si="24"/>
        <v>100</v>
      </c>
    </row>
    <row r="257" spans="1:10" ht="21" customHeight="1" x14ac:dyDescent="0.15">
      <c r="A257" s="47">
        <v>47003744</v>
      </c>
      <c r="B257" s="47">
        <v>0</v>
      </c>
      <c r="C257" s="47">
        <v>110</v>
      </c>
      <c r="D257" s="47">
        <v>100</v>
      </c>
      <c r="E257" s="47" t="s">
        <v>88</v>
      </c>
      <c r="F257" s="47" t="s">
        <v>88</v>
      </c>
      <c r="G257" s="47" t="s">
        <v>88</v>
      </c>
      <c r="H257" s="47">
        <v>2</v>
      </c>
      <c r="I257" s="47" t="s">
        <v>88</v>
      </c>
      <c r="J257" s="48">
        <f t="shared" si="24"/>
        <v>100</v>
      </c>
    </row>
    <row r="258" spans="1:10" ht="21" customHeight="1" x14ac:dyDescent="0.15">
      <c r="A258" s="47">
        <v>47003745</v>
      </c>
      <c r="B258" s="47">
        <v>1</v>
      </c>
      <c r="C258" s="47">
        <v>306</v>
      </c>
      <c r="D258" s="47">
        <v>100</v>
      </c>
      <c r="E258" s="47" t="s">
        <v>88</v>
      </c>
      <c r="F258" s="47" t="s">
        <v>88</v>
      </c>
      <c r="G258" s="47">
        <v>1</v>
      </c>
      <c r="H258" s="47" t="s">
        <v>88</v>
      </c>
      <c r="I258" s="47">
        <v>1194</v>
      </c>
      <c r="J258" s="48">
        <f t="shared" ref="J258:J261" si="44">D258</f>
        <v>100</v>
      </c>
    </row>
    <row r="259" spans="1:10" ht="21" customHeight="1" x14ac:dyDescent="0.15">
      <c r="A259" s="47">
        <v>47003746</v>
      </c>
      <c r="B259" s="47">
        <v>1</v>
      </c>
      <c r="C259" s="47">
        <v>305</v>
      </c>
      <c r="D259" s="47">
        <v>100</v>
      </c>
      <c r="E259" s="47" t="s">
        <v>88</v>
      </c>
      <c r="F259" s="47" t="s">
        <v>88</v>
      </c>
      <c r="G259" s="47">
        <v>1</v>
      </c>
      <c r="H259" s="47" t="s">
        <v>88</v>
      </c>
      <c r="I259" s="47">
        <v>1195</v>
      </c>
      <c r="J259" s="48">
        <f t="shared" si="44"/>
        <v>100</v>
      </c>
    </row>
    <row r="260" spans="1:10" ht="21" customHeight="1" x14ac:dyDescent="0.15">
      <c r="A260" s="47">
        <v>47003747</v>
      </c>
      <c r="B260" s="47">
        <v>1</v>
      </c>
      <c r="C260" s="47">
        <v>304</v>
      </c>
      <c r="D260" s="47">
        <v>100</v>
      </c>
      <c r="E260" s="47" t="s">
        <v>88</v>
      </c>
      <c r="F260" s="47" t="s">
        <v>88</v>
      </c>
      <c r="G260" s="47">
        <v>1</v>
      </c>
      <c r="H260" s="47" t="s">
        <v>88</v>
      </c>
      <c r="I260" s="47">
        <v>1196</v>
      </c>
      <c r="J260" s="48">
        <f t="shared" si="44"/>
        <v>100</v>
      </c>
    </row>
    <row r="261" spans="1:10" ht="21" customHeight="1" x14ac:dyDescent="0.15">
      <c r="A261" s="47">
        <v>47003748</v>
      </c>
      <c r="B261" s="47">
        <v>1</v>
      </c>
      <c r="C261" s="47">
        <v>303</v>
      </c>
      <c r="D261" s="47">
        <v>100</v>
      </c>
      <c r="E261" s="47" t="s">
        <v>88</v>
      </c>
      <c r="F261" s="47" t="s">
        <v>88</v>
      </c>
      <c r="G261" s="47">
        <v>1</v>
      </c>
      <c r="H261" s="47" t="s">
        <v>88</v>
      </c>
      <c r="I261" s="47">
        <v>1193</v>
      </c>
      <c r="J261" s="48">
        <f t="shared" si="44"/>
        <v>100</v>
      </c>
    </row>
    <row r="262" spans="1:10" ht="21" customHeight="1" x14ac:dyDescent="0.15">
      <c r="A262" s="119">
        <v>47003761</v>
      </c>
      <c r="B262" s="47">
        <v>1</v>
      </c>
      <c r="C262" s="47">
        <v>100</v>
      </c>
      <c r="D262" s="47">
        <v>100</v>
      </c>
      <c r="E262" s="47" t="s">
        <v>88</v>
      </c>
      <c r="F262" s="47" t="s">
        <v>88</v>
      </c>
      <c r="G262" s="47">
        <v>1</v>
      </c>
      <c r="H262" s="47">
        <v>1</v>
      </c>
      <c r="I262" s="47" t="s">
        <v>88</v>
      </c>
      <c r="J262" s="48">
        <f t="shared" si="24"/>
        <v>100</v>
      </c>
    </row>
    <row r="263" spans="1:10" ht="21" customHeight="1" x14ac:dyDescent="0.15">
      <c r="A263" s="119">
        <v>47003762</v>
      </c>
      <c r="B263" s="47">
        <v>0</v>
      </c>
      <c r="C263" s="47">
        <v>300</v>
      </c>
      <c r="D263" s="47">
        <v>100</v>
      </c>
      <c r="E263" s="47" t="s">
        <v>88</v>
      </c>
      <c r="F263" s="47" t="s">
        <v>88</v>
      </c>
      <c r="G263" s="47">
        <v>1</v>
      </c>
      <c r="H263" s="47">
        <v>1</v>
      </c>
      <c r="I263" s="47" t="s">
        <v>88</v>
      </c>
      <c r="J263" s="48">
        <f t="shared" si="24"/>
        <v>100</v>
      </c>
    </row>
    <row r="264" spans="1:10" ht="21" customHeight="1" x14ac:dyDescent="0.15">
      <c r="A264" s="119">
        <v>47003763</v>
      </c>
      <c r="B264" s="47">
        <v>0</v>
      </c>
      <c r="C264" s="47">
        <v>213</v>
      </c>
      <c r="D264" s="47">
        <v>100</v>
      </c>
      <c r="E264" s="47" t="s">
        <v>88</v>
      </c>
      <c r="F264" s="47" t="s">
        <v>88</v>
      </c>
      <c r="G264" s="47" t="s">
        <v>88</v>
      </c>
      <c r="H264" s="47">
        <v>2</v>
      </c>
      <c r="I264" s="47" t="s">
        <v>88</v>
      </c>
      <c r="J264" s="48">
        <f t="shared" si="24"/>
        <v>100</v>
      </c>
    </row>
    <row r="265" spans="1:10" ht="21" customHeight="1" x14ac:dyDescent="0.15">
      <c r="A265" s="119">
        <v>47003764</v>
      </c>
      <c r="B265" s="47">
        <v>0</v>
      </c>
      <c r="C265" s="47">
        <v>214</v>
      </c>
      <c r="D265" s="47">
        <v>100</v>
      </c>
      <c r="E265" s="47">
        <v>50</v>
      </c>
      <c r="F265" s="47" t="s">
        <v>88</v>
      </c>
      <c r="G265" s="47">
        <v>1</v>
      </c>
      <c r="H265" s="47">
        <v>2</v>
      </c>
      <c r="I265" s="47" t="s">
        <v>88</v>
      </c>
      <c r="J265" s="48">
        <f t="shared" si="24"/>
        <v>100</v>
      </c>
    </row>
    <row r="266" spans="1:10" ht="21" customHeight="1" x14ac:dyDescent="0.15">
      <c r="A266" s="119">
        <v>47003765</v>
      </c>
      <c r="B266" s="47">
        <v>0</v>
      </c>
      <c r="C266" s="47">
        <v>212</v>
      </c>
      <c r="D266" s="47">
        <v>100</v>
      </c>
      <c r="E266" s="47">
        <v>50</v>
      </c>
      <c r="F266" s="47" t="s">
        <v>88</v>
      </c>
      <c r="G266" s="47" t="s">
        <v>393</v>
      </c>
      <c r="H266" s="47">
        <v>1</v>
      </c>
      <c r="I266" s="47" t="s">
        <v>88</v>
      </c>
      <c r="J266" s="48">
        <f t="shared" ref="J266" si="45">D266</f>
        <v>100</v>
      </c>
    </row>
    <row r="267" spans="1:10" ht="21" customHeight="1" x14ac:dyDescent="0.15">
      <c r="A267" s="121">
        <v>47003781</v>
      </c>
      <c r="B267" s="47">
        <v>1</v>
      </c>
      <c r="C267" s="47">
        <v>130</v>
      </c>
      <c r="D267" s="47">
        <v>100</v>
      </c>
      <c r="E267" s="47" t="s">
        <v>88</v>
      </c>
      <c r="F267" s="47" t="s">
        <v>88</v>
      </c>
      <c r="G267" s="47">
        <v>1</v>
      </c>
      <c r="H267" s="47">
        <v>1</v>
      </c>
      <c r="I267" s="47" t="s">
        <v>88</v>
      </c>
      <c r="J267" s="48">
        <f t="shared" si="24"/>
        <v>100</v>
      </c>
    </row>
    <row r="268" spans="1:10" ht="21" customHeight="1" x14ac:dyDescent="0.15">
      <c r="A268" s="121">
        <v>47003782</v>
      </c>
      <c r="B268" s="47">
        <v>0</v>
      </c>
      <c r="C268" s="47">
        <v>120</v>
      </c>
      <c r="D268" s="47">
        <v>100</v>
      </c>
      <c r="E268" s="47" t="s">
        <v>88</v>
      </c>
      <c r="F268" s="47" t="s">
        <v>88</v>
      </c>
      <c r="G268" s="47" t="s">
        <v>391</v>
      </c>
      <c r="H268" s="47">
        <v>2</v>
      </c>
      <c r="I268" s="47" t="s">
        <v>88</v>
      </c>
      <c r="J268" s="48">
        <f t="shared" si="24"/>
        <v>100</v>
      </c>
    </row>
    <row r="269" spans="1:10" ht="21" customHeight="1" x14ac:dyDescent="0.15">
      <c r="A269" s="121">
        <v>47003783</v>
      </c>
      <c r="B269" s="47">
        <v>0</v>
      </c>
      <c r="C269" s="47">
        <v>130</v>
      </c>
      <c r="D269" s="47">
        <v>100</v>
      </c>
      <c r="E269" s="47" t="s">
        <v>88</v>
      </c>
      <c r="F269" s="47" t="s">
        <v>88</v>
      </c>
      <c r="G269" s="47" t="s">
        <v>392</v>
      </c>
      <c r="H269" s="47">
        <v>3</v>
      </c>
      <c r="I269" s="47" t="s">
        <v>88</v>
      </c>
      <c r="J269" s="48">
        <f t="shared" si="24"/>
        <v>100</v>
      </c>
    </row>
    <row r="270" spans="1:10" ht="21" customHeight="1" x14ac:dyDescent="0.15">
      <c r="A270" s="121">
        <v>47003784</v>
      </c>
      <c r="B270" s="47">
        <v>0</v>
      </c>
      <c r="C270" s="47">
        <v>210</v>
      </c>
      <c r="D270" s="47">
        <v>100</v>
      </c>
      <c r="E270" s="47">
        <v>60</v>
      </c>
      <c r="F270" s="47" t="s">
        <v>88</v>
      </c>
      <c r="G270" s="47">
        <v>1</v>
      </c>
      <c r="H270" s="47">
        <v>3</v>
      </c>
      <c r="I270" s="47" t="s">
        <v>88</v>
      </c>
      <c r="J270" s="48">
        <f t="shared" si="24"/>
        <v>100</v>
      </c>
    </row>
    <row r="271" spans="1:10" ht="21" customHeight="1" x14ac:dyDescent="0.15">
      <c r="A271" s="121">
        <v>47003785</v>
      </c>
      <c r="B271" s="47">
        <v>0</v>
      </c>
      <c r="C271" s="47">
        <v>200</v>
      </c>
      <c r="D271" s="47">
        <v>100</v>
      </c>
      <c r="E271" s="47">
        <v>30</v>
      </c>
      <c r="F271" s="47" t="s">
        <v>88</v>
      </c>
      <c r="G271" s="47">
        <v>1</v>
      </c>
      <c r="H271" s="47">
        <v>1</v>
      </c>
      <c r="I271" s="47" t="s">
        <v>88</v>
      </c>
      <c r="J271" s="48">
        <f t="shared" si="24"/>
        <v>100</v>
      </c>
    </row>
    <row r="272" spans="1:10" ht="21" customHeight="1" x14ac:dyDescent="0.15">
      <c r="A272" s="121">
        <v>47003786</v>
      </c>
      <c r="B272" s="47">
        <v>0</v>
      </c>
      <c r="C272" s="47">
        <v>300</v>
      </c>
      <c r="D272" s="47">
        <v>100</v>
      </c>
      <c r="E272" s="47" t="s">
        <v>88</v>
      </c>
      <c r="F272" s="47" t="s">
        <v>88</v>
      </c>
      <c r="G272" s="47">
        <v>0</v>
      </c>
      <c r="H272" s="47">
        <v>1</v>
      </c>
      <c r="I272" s="47">
        <v>0</v>
      </c>
      <c r="J272" s="48">
        <f t="shared" ref="J272" si="46">D272</f>
        <v>100</v>
      </c>
    </row>
  </sheetData>
  <autoFilter ref="A1:G1"/>
  <phoneticPr fontId="5"/>
  <conditionalFormatting sqref="K273:K1048576 K1">
    <cfRule type="duplicateValues" dxfId="104" priority="127"/>
  </conditionalFormatting>
  <conditionalFormatting sqref="K267:K271 K238:K240 K222:K223 K246:K248 K254:K257 K204 K209 K214:K215 K262:K265 K217 K225">
    <cfRule type="duplicateValues" dxfId="103" priority="126"/>
  </conditionalFormatting>
  <conditionalFormatting sqref="K230:K231 K233">
    <cfRule type="duplicateValues" dxfId="102" priority="123"/>
  </conditionalFormatting>
  <conditionalFormatting sqref="K242">
    <cfRule type="duplicateValues" dxfId="101" priority="121"/>
  </conditionalFormatting>
  <conditionalFormatting sqref="K266">
    <cfRule type="duplicateValues" dxfId="100" priority="120"/>
  </conditionalFormatting>
  <conditionalFormatting sqref="K243">
    <cfRule type="duplicateValues" dxfId="99" priority="119"/>
  </conditionalFormatting>
  <conditionalFormatting sqref="K251">
    <cfRule type="duplicateValues" dxfId="98" priority="118"/>
  </conditionalFormatting>
  <conditionalFormatting sqref="K250">
    <cfRule type="duplicateValues" dxfId="97" priority="117"/>
  </conditionalFormatting>
  <conditionalFormatting sqref="K195:K196">
    <cfRule type="duplicateValues" dxfId="96" priority="115"/>
  </conditionalFormatting>
  <conditionalFormatting sqref="K200:K201">
    <cfRule type="duplicateValues" dxfId="95" priority="114"/>
  </conditionalFormatting>
  <conditionalFormatting sqref="K205:K206">
    <cfRule type="duplicateValues" dxfId="94" priority="113"/>
  </conditionalFormatting>
  <conditionalFormatting sqref="K210:K211">
    <cfRule type="duplicateValues" dxfId="93" priority="112"/>
  </conditionalFormatting>
  <conditionalFormatting sqref="K207:K208">
    <cfRule type="duplicateValues" dxfId="92" priority="109"/>
  </conditionalFormatting>
  <conditionalFormatting sqref="K212:K213">
    <cfRule type="duplicateValues" dxfId="91" priority="107"/>
  </conditionalFormatting>
  <conditionalFormatting sqref="K272">
    <cfRule type="duplicateValues" dxfId="90" priority="96"/>
  </conditionalFormatting>
  <conditionalFormatting sqref="K194">
    <cfRule type="duplicateValues" dxfId="89" priority="95"/>
  </conditionalFormatting>
  <conditionalFormatting sqref="K199">
    <cfRule type="duplicateValues" dxfId="88" priority="94"/>
  </conditionalFormatting>
  <conditionalFormatting sqref="K216">
    <cfRule type="duplicateValues" dxfId="87" priority="93"/>
  </conditionalFormatting>
  <conditionalFormatting sqref="K224">
    <cfRule type="duplicateValues" dxfId="86" priority="92"/>
  </conditionalFormatting>
  <conditionalFormatting sqref="K232">
    <cfRule type="duplicateValues" dxfId="85" priority="91"/>
  </conditionalFormatting>
  <conditionalFormatting sqref="K241">
    <cfRule type="duplicateValues" dxfId="84" priority="90"/>
  </conditionalFormatting>
  <conditionalFormatting sqref="K249">
    <cfRule type="duplicateValues" dxfId="83" priority="89"/>
  </conditionalFormatting>
  <conditionalFormatting sqref="K218:K221">
    <cfRule type="duplicateValues" dxfId="82" priority="140"/>
  </conditionalFormatting>
  <conditionalFormatting sqref="K197:K198">
    <cfRule type="duplicateValues" dxfId="81" priority="153"/>
  </conditionalFormatting>
  <conditionalFormatting sqref="K202:K203">
    <cfRule type="duplicateValues" dxfId="80" priority="166"/>
  </conditionalFormatting>
  <conditionalFormatting sqref="K226:K229">
    <cfRule type="duplicateValues" dxfId="79" priority="179"/>
  </conditionalFormatting>
  <conditionalFormatting sqref="K234:K237">
    <cfRule type="duplicateValues" dxfId="78" priority="191"/>
  </conditionalFormatting>
  <conditionalFormatting sqref="K244:K245">
    <cfRule type="duplicateValues" dxfId="77" priority="215"/>
  </conditionalFormatting>
  <conditionalFormatting sqref="K252:K253">
    <cfRule type="duplicateValues" dxfId="76" priority="227"/>
  </conditionalFormatting>
  <conditionalFormatting sqref="K258:K261">
    <cfRule type="duplicateValues" dxfId="75" priority="239"/>
  </conditionalFormatting>
  <conditionalFormatting sqref="K158 K156">
    <cfRule type="duplicateValues" dxfId="74" priority="78"/>
  </conditionalFormatting>
  <conditionalFormatting sqref="K167">
    <cfRule type="duplicateValues" dxfId="73" priority="77"/>
  </conditionalFormatting>
  <conditionalFormatting sqref="K189">
    <cfRule type="duplicateValues" dxfId="72" priority="76"/>
  </conditionalFormatting>
  <conditionalFormatting sqref="K168">
    <cfRule type="duplicateValues" dxfId="71" priority="75"/>
  </conditionalFormatting>
  <conditionalFormatting sqref="K176">
    <cfRule type="duplicateValues" dxfId="70" priority="74"/>
  </conditionalFormatting>
  <conditionalFormatting sqref="K175">
    <cfRule type="duplicateValues" dxfId="69" priority="73"/>
  </conditionalFormatting>
  <conditionalFormatting sqref="K131:K132">
    <cfRule type="duplicateValues" dxfId="68" priority="72"/>
  </conditionalFormatting>
  <conditionalFormatting sqref="K140:K141">
    <cfRule type="duplicateValues" dxfId="67" priority="69"/>
  </conditionalFormatting>
  <conditionalFormatting sqref="K137:K138">
    <cfRule type="duplicateValues" dxfId="66" priority="68"/>
  </conditionalFormatting>
  <conditionalFormatting sqref="K193">
    <cfRule type="duplicateValues" dxfId="65" priority="66"/>
  </conditionalFormatting>
  <conditionalFormatting sqref="K130">
    <cfRule type="duplicateValues" dxfId="64" priority="65"/>
  </conditionalFormatting>
  <conditionalFormatting sqref="K133">
    <cfRule type="duplicateValues" dxfId="63" priority="64"/>
  </conditionalFormatting>
  <conditionalFormatting sqref="K143">
    <cfRule type="duplicateValues" dxfId="62" priority="63"/>
  </conditionalFormatting>
  <conditionalFormatting sqref="K150">
    <cfRule type="duplicateValues" dxfId="61" priority="62"/>
  </conditionalFormatting>
  <conditionalFormatting sqref="K157">
    <cfRule type="duplicateValues" dxfId="60" priority="61"/>
  </conditionalFormatting>
  <conditionalFormatting sqref="K166">
    <cfRule type="duplicateValues" dxfId="59" priority="60"/>
  </conditionalFormatting>
  <conditionalFormatting sqref="K174">
    <cfRule type="duplicateValues" dxfId="58" priority="59"/>
  </conditionalFormatting>
  <conditionalFormatting sqref="K145:K148">
    <cfRule type="duplicateValues" dxfId="57" priority="80"/>
  </conditionalFormatting>
  <conditionalFormatting sqref="K134:K135">
    <cfRule type="duplicateValues" dxfId="56" priority="82"/>
  </conditionalFormatting>
  <conditionalFormatting sqref="K152:K155">
    <cfRule type="duplicateValues" dxfId="55" priority="83"/>
  </conditionalFormatting>
  <conditionalFormatting sqref="K159:K162">
    <cfRule type="duplicateValues" dxfId="54" priority="84"/>
  </conditionalFormatting>
  <conditionalFormatting sqref="K169:K170">
    <cfRule type="duplicateValues" dxfId="53" priority="85"/>
  </conditionalFormatting>
  <conditionalFormatting sqref="K177:K178">
    <cfRule type="duplicateValues" dxfId="52" priority="86"/>
  </conditionalFormatting>
  <conditionalFormatting sqref="K182:K185">
    <cfRule type="duplicateValues" dxfId="51" priority="87"/>
  </conditionalFormatting>
  <conditionalFormatting sqref="K94 K92">
    <cfRule type="duplicateValues" dxfId="50" priority="49"/>
  </conditionalFormatting>
  <conditionalFormatting sqref="K103">
    <cfRule type="duplicateValues" dxfId="49" priority="48"/>
  </conditionalFormatting>
  <conditionalFormatting sqref="K125">
    <cfRule type="duplicateValues" dxfId="48" priority="47"/>
  </conditionalFormatting>
  <conditionalFormatting sqref="K104">
    <cfRule type="duplicateValues" dxfId="47" priority="46"/>
  </conditionalFormatting>
  <conditionalFormatting sqref="K112">
    <cfRule type="duplicateValues" dxfId="46" priority="45"/>
  </conditionalFormatting>
  <conditionalFormatting sqref="K111">
    <cfRule type="duplicateValues" dxfId="45" priority="44"/>
  </conditionalFormatting>
  <conditionalFormatting sqref="K67:K68">
    <cfRule type="duplicateValues" dxfId="44" priority="43"/>
  </conditionalFormatting>
  <conditionalFormatting sqref="K76:K77">
    <cfRule type="duplicateValues" dxfId="43" priority="40"/>
  </conditionalFormatting>
  <conditionalFormatting sqref="K73:K74">
    <cfRule type="duplicateValues" dxfId="42" priority="39"/>
  </conditionalFormatting>
  <conditionalFormatting sqref="K129">
    <cfRule type="duplicateValues" dxfId="41" priority="37"/>
  </conditionalFormatting>
  <conditionalFormatting sqref="K66">
    <cfRule type="duplicateValues" dxfId="40" priority="36"/>
  </conditionalFormatting>
  <conditionalFormatting sqref="K69">
    <cfRule type="duplicateValues" dxfId="39" priority="35"/>
  </conditionalFormatting>
  <conditionalFormatting sqref="K79">
    <cfRule type="duplicateValues" dxfId="38" priority="34"/>
  </conditionalFormatting>
  <conditionalFormatting sqref="K86">
    <cfRule type="duplicateValues" dxfId="37" priority="33"/>
  </conditionalFormatting>
  <conditionalFormatting sqref="K93">
    <cfRule type="duplicateValues" dxfId="36" priority="32"/>
  </conditionalFormatting>
  <conditionalFormatting sqref="K102">
    <cfRule type="duplicateValues" dxfId="35" priority="31"/>
  </conditionalFormatting>
  <conditionalFormatting sqref="K110">
    <cfRule type="duplicateValues" dxfId="34" priority="30"/>
  </conditionalFormatting>
  <conditionalFormatting sqref="K81:K84">
    <cfRule type="duplicateValues" dxfId="33" priority="51"/>
  </conditionalFormatting>
  <conditionalFormatting sqref="K70:K71">
    <cfRule type="duplicateValues" dxfId="32" priority="53"/>
  </conditionalFormatting>
  <conditionalFormatting sqref="K88:K91">
    <cfRule type="duplicateValues" dxfId="31" priority="54"/>
  </conditionalFormatting>
  <conditionalFormatting sqref="K95:K98">
    <cfRule type="duplicateValues" dxfId="30" priority="55"/>
  </conditionalFormatting>
  <conditionalFormatting sqref="K105:K106">
    <cfRule type="duplicateValues" dxfId="29" priority="56"/>
  </conditionalFormatting>
  <conditionalFormatting sqref="K113:K114">
    <cfRule type="duplicateValues" dxfId="28" priority="57"/>
  </conditionalFormatting>
  <conditionalFormatting sqref="K118:K121">
    <cfRule type="duplicateValues" dxfId="27" priority="58"/>
  </conditionalFormatting>
  <conditionalFormatting sqref="K30 K28">
    <cfRule type="duplicateValues" dxfId="26" priority="20"/>
  </conditionalFormatting>
  <conditionalFormatting sqref="K39">
    <cfRule type="duplicateValues" dxfId="25" priority="19"/>
  </conditionalFormatting>
  <conditionalFormatting sqref="K61">
    <cfRule type="duplicateValues" dxfId="24" priority="18"/>
  </conditionalFormatting>
  <conditionalFormatting sqref="K40">
    <cfRule type="duplicateValues" dxfId="23" priority="17"/>
  </conditionalFormatting>
  <conditionalFormatting sqref="K48">
    <cfRule type="duplicateValues" dxfId="22" priority="16"/>
  </conditionalFormatting>
  <conditionalFormatting sqref="K47">
    <cfRule type="duplicateValues" dxfId="21" priority="15"/>
  </conditionalFormatting>
  <conditionalFormatting sqref="K3:K4">
    <cfRule type="duplicateValues" dxfId="20" priority="14"/>
  </conditionalFormatting>
  <conditionalFormatting sqref="K12:K13">
    <cfRule type="duplicateValues" dxfId="19" priority="11"/>
  </conditionalFormatting>
  <conditionalFormatting sqref="K9:K10">
    <cfRule type="duplicateValues" dxfId="18" priority="10"/>
  </conditionalFormatting>
  <conditionalFormatting sqref="K65">
    <cfRule type="duplicateValues" dxfId="17" priority="8"/>
  </conditionalFormatting>
  <conditionalFormatting sqref="K2">
    <cfRule type="duplicateValues" dxfId="16" priority="7"/>
  </conditionalFormatting>
  <conditionalFormatting sqref="K5">
    <cfRule type="duplicateValues" dxfId="15" priority="6"/>
  </conditionalFormatting>
  <conditionalFormatting sqref="K15">
    <cfRule type="duplicateValues" dxfId="14" priority="5"/>
  </conditionalFormatting>
  <conditionalFormatting sqref="K22">
    <cfRule type="duplicateValues" dxfId="13" priority="4"/>
  </conditionalFormatting>
  <conditionalFormatting sqref="K29">
    <cfRule type="duplicateValues" dxfId="12" priority="3"/>
  </conditionalFormatting>
  <conditionalFormatting sqref="K38">
    <cfRule type="duplicateValues" dxfId="11" priority="2"/>
  </conditionalFormatting>
  <conditionalFormatting sqref="K46">
    <cfRule type="duplicateValues" dxfId="10" priority="1"/>
  </conditionalFormatting>
  <conditionalFormatting sqref="K17:K20">
    <cfRule type="duplicateValues" dxfId="9" priority="22"/>
  </conditionalFormatting>
  <conditionalFormatting sqref="K6:K7">
    <cfRule type="duplicateValues" dxfId="8" priority="24"/>
  </conditionalFormatting>
  <conditionalFormatting sqref="K24:K27">
    <cfRule type="duplicateValues" dxfId="7" priority="25"/>
  </conditionalFormatting>
  <conditionalFormatting sqref="K31:K34">
    <cfRule type="duplicateValues" dxfId="6" priority="26"/>
  </conditionalFormatting>
  <conditionalFormatting sqref="K41:K42">
    <cfRule type="duplicateValues" dxfId="5" priority="27"/>
  </conditionalFormatting>
  <conditionalFormatting sqref="K49:K50">
    <cfRule type="duplicateValues" dxfId="4" priority="28"/>
  </conditionalFormatting>
  <conditionalFormatting sqref="K54:K57">
    <cfRule type="duplicateValues" dxfId="3" priority="29"/>
  </conditionalFormatting>
  <conditionalFormatting sqref="K62:K64 K35:K37 K21 K43:K45 K51:K53 K8 K11 K14 K58:K60 K16 K23">
    <cfRule type="duplicateValues" dxfId="2" priority="309"/>
  </conditionalFormatting>
  <conditionalFormatting sqref="K126:K128 K99:K101 K85 K107:K109 K115:K117 K72 K75 K78 K122:K124 K80 K87">
    <cfRule type="duplicateValues" dxfId="1" priority="357"/>
  </conditionalFormatting>
  <conditionalFormatting sqref="K190:K192 K163:K165 K149 K171:K173 K179:K181 K136 K139 K142 K186:K188 K144 K151">
    <cfRule type="duplicateValues" dxfId="0" priority="38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0"/>
  <sheetViews>
    <sheetView workbookViewId="0">
      <selection activeCell="G23" sqref="G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149</v>
      </c>
      <c r="B1" s="65" t="s">
        <v>150</v>
      </c>
      <c r="C1" s="66" t="s">
        <v>151</v>
      </c>
      <c r="D1" s="73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157</v>
      </c>
      <c r="J1" s="65" t="s">
        <v>158</v>
      </c>
      <c r="K1" s="65" t="s">
        <v>159</v>
      </c>
      <c r="L1" s="65" t="s">
        <v>160</v>
      </c>
      <c r="M1" s="65" t="s">
        <v>161</v>
      </c>
      <c r="N1" s="65" t="s">
        <v>162</v>
      </c>
      <c r="O1" s="65" t="s">
        <v>163</v>
      </c>
      <c r="P1" s="65" t="s">
        <v>164</v>
      </c>
      <c r="Q1" s="65" t="s">
        <v>165</v>
      </c>
      <c r="R1" s="65" t="s">
        <v>166</v>
      </c>
    </row>
    <row r="2" spans="1:18" x14ac:dyDescent="0.15">
      <c r="A2" s="57">
        <v>47003</v>
      </c>
      <c r="B2" s="57">
        <v>1</v>
      </c>
      <c r="C2" s="72" t="str">
        <f>A2&amp; "_"&amp;B2</f>
        <v>47003_1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48">
        <v>1</v>
      </c>
      <c r="F2" s="85" t="s">
        <v>465</v>
      </c>
      <c r="G2" s="85">
        <v>701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300</v>
      </c>
      <c r="Q2" s="57" t="s">
        <v>168</v>
      </c>
      <c r="R2" s="57" t="s">
        <v>169</v>
      </c>
    </row>
    <row r="3" spans="1:18" x14ac:dyDescent="0.15">
      <c r="A3" s="57">
        <v>47003</v>
      </c>
      <c r="B3" s="57">
        <v>1</v>
      </c>
      <c r="C3" s="72" t="str">
        <f t="shared" ref="C3:C12" si="0">A3&amp; "_"&amp;B3</f>
        <v>47003_1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148">
        <v>2</v>
      </c>
      <c r="F3" s="85" t="s">
        <v>465</v>
      </c>
      <c r="G3" s="85">
        <v>701</v>
      </c>
      <c r="H3" s="57">
        <v>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100</v>
      </c>
      <c r="Q3" s="57" t="s">
        <v>168</v>
      </c>
      <c r="R3" s="57" t="s">
        <v>169</v>
      </c>
    </row>
    <row r="4" spans="1:18" x14ac:dyDescent="0.15">
      <c r="A4" s="57">
        <v>47003</v>
      </c>
      <c r="B4" s="57">
        <v>1</v>
      </c>
      <c r="C4" s="72" t="str">
        <f t="shared" si="0"/>
        <v>47003_1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148">
        <v>3</v>
      </c>
      <c r="F4" s="85" t="s">
        <v>473</v>
      </c>
      <c r="G4" s="85">
        <v>121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60</v>
      </c>
      <c r="Q4" s="57" t="s">
        <v>168</v>
      </c>
      <c r="R4" s="57" t="s">
        <v>169</v>
      </c>
    </row>
    <row r="5" spans="1:18" x14ac:dyDescent="0.15">
      <c r="A5" s="57">
        <v>47003</v>
      </c>
      <c r="B5" s="57">
        <v>1</v>
      </c>
      <c r="C5" s="72" t="str">
        <f t="shared" si="0"/>
        <v>47003_1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48">
        <v>4</v>
      </c>
      <c r="F5" s="85" t="s">
        <v>473</v>
      </c>
      <c r="G5" s="85">
        <v>122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60</v>
      </c>
      <c r="Q5" s="57" t="s">
        <v>168</v>
      </c>
      <c r="R5" s="57" t="s">
        <v>169</v>
      </c>
    </row>
    <row r="6" spans="1:18" x14ac:dyDescent="0.15">
      <c r="A6" s="57">
        <v>47003</v>
      </c>
      <c r="B6" s="57">
        <v>1</v>
      </c>
      <c r="C6" s="72" t="str">
        <f t="shared" si="0"/>
        <v>47003_1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148">
        <v>5</v>
      </c>
      <c r="F6" s="85" t="s">
        <v>473</v>
      </c>
      <c r="G6" s="85">
        <v>123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60</v>
      </c>
      <c r="Q6" s="57" t="s">
        <v>168</v>
      </c>
      <c r="R6" s="57" t="s">
        <v>169</v>
      </c>
    </row>
    <row r="7" spans="1:18" x14ac:dyDescent="0.15">
      <c r="A7" s="57">
        <v>47003</v>
      </c>
      <c r="B7" s="57">
        <v>1</v>
      </c>
      <c r="C7" s="72" t="str">
        <f t="shared" si="0"/>
        <v>47003_1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48">
        <v>6</v>
      </c>
      <c r="F7" s="85" t="s">
        <v>473</v>
      </c>
      <c r="G7" s="85">
        <v>333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30</v>
      </c>
      <c r="Q7" s="57" t="s">
        <v>168</v>
      </c>
      <c r="R7" s="57" t="s">
        <v>169</v>
      </c>
    </row>
    <row r="8" spans="1:18" x14ac:dyDescent="0.15">
      <c r="A8" s="57">
        <v>47003</v>
      </c>
      <c r="B8" s="57">
        <v>1</v>
      </c>
      <c r="C8" s="72" t="str">
        <f t="shared" si="0"/>
        <v>47003_1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48">
        <v>7</v>
      </c>
      <c r="F8" s="85" t="s">
        <v>473</v>
      </c>
      <c r="G8" s="85">
        <v>337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30</v>
      </c>
      <c r="Q8" s="57" t="s">
        <v>168</v>
      </c>
      <c r="R8" s="57" t="s">
        <v>169</v>
      </c>
    </row>
    <row r="9" spans="1:18" x14ac:dyDescent="0.15">
      <c r="A9" s="57">
        <v>47003</v>
      </c>
      <c r="B9" s="57">
        <v>1</v>
      </c>
      <c r="C9" s="72" t="str">
        <f t="shared" si="0"/>
        <v>47003_1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48">
        <v>8</v>
      </c>
      <c r="F9" s="85" t="s">
        <v>473</v>
      </c>
      <c r="G9" s="85">
        <v>341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30</v>
      </c>
      <c r="Q9" s="57" t="s">
        <v>168</v>
      </c>
      <c r="R9" s="57" t="s">
        <v>169</v>
      </c>
    </row>
    <row r="10" spans="1:18" x14ac:dyDescent="0.15">
      <c r="A10" s="57">
        <v>47003</v>
      </c>
      <c r="B10" s="57">
        <v>1</v>
      </c>
      <c r="C10" s="72" t="str">
        <f t="shared" si="0"/>
        <v>47003_1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48">
        <v>9</v>
      </c>
      <c r="F10" s="85" t="s">
        <v>473</v>
      </c>
      <c r="G10" s="85">
        <v>345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30</v>
      </c>
      <c r="Q10" s="57" t="s">
        <v>168</v>
      </c>
      <c r="R10" s="57" t="s">
        <v>169</v>
      </c>
    </row>
    <row r="11" spans="1:18" x14ac:dyDescent="0.15">
      <c r="A11" s="57">
        <v>47003</v>
      </c>
      <c r="B11" s="57">
        <v>1</v>
      </c>
      <c r="C11" s="72" t="str">
        <f t="shared" si="0"/>
        <v>47003_1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48">
        <v>10</v>
      </c>
      <c r="F11" s="85" t="s">
        <v>467</v>
      </c>
      <c r="G11" s="85">
        <v>5000</v>
      </c>
      <c r="H11" s="57" t="s">
        <v>167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150</v>
      </c>
      <c r="Q11" s="57" t="s">
        <v>168</v>
      </c>
      <c r="R11" s="57" t="s">
        <v>169</v>
      </c>
    </row>
    <row r="12" spans="1:18" x14ac:dyDescent="0.15">
      <c r="A12" s="57">
        <v>47003</v>
      </c>
      <c r="B12" s="57">
        <v>1</v>
      </c>
      <c r="C12" s="72" t="str">
        <f t="shared" si="0"/>
        <v>47003_1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48">
        <v>11</v>
      </c>
      <c r="F12" s="85" t="s">
        <v>468</v>
      </c>
      <c r="G12" s="85">
        <v>25</v>
      </c>
      <c r="H12" s="57" t="s">
        <v>167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150</v>
      </c>
      <c r="Q12" s="57" t="s">
        <v>168</v>
      </c>
      <c r="R12" s="57" t="s">
        <v>169</v>
      </c>
    </row>
    <row r="13" spans="1:18" x14ac:dyDescent="0.15">
      <c r="A13" s="57">
        <v>47003</v>
      </c>
      <c r="B13" s="57">
        <v>2</v>
      </c>
      <c r="C13" s="72" t="str">
        <f>A13&amp; "_"&amp;B13</f>
        <v>47003_2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48">
        <v>12</v>
      </c>
      <c r="F13" s="85" t="s">
        <v>465</v>
      </c>
      <c r="G13" s="85">
        <v>701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100</v>
      </c>
      <c r="Q13" s="57" t="s">
        <v>168</v>
      </c>
      <c r="R13" s="57" t="s">
        <v>169</v>
      </c>
    </row>
    <row r="14" spans="1:18" x14ac:dyDescent="0.15">
      <c r="A14" s="57">
        <v>47003</v>
      </c>
      <c r="B14" s="57">
        <v>2</v>
      </c>
      <c r="C14" s="72" t="str">
        <f t="shared" ref="C14:C23" si="1">A14&amp; "_"&amp;B14</f>
        <v>47003_2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48">
        <v>13</v>
      </c>
      <c r="F14" s="85" t="s">
        <v>465</v>
      </c>
      <c r="G14" s="85">
        <v>701</v>
      </c>
      <c r="H14" s="57">
        <v>3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300</v>
      </c>
      <c r="Q14" s="57" t="s">
        <v>168</v>
      </c>
      <c r="R14" s="57" t="s">
        <v>169</v>
      </c>
    </row>
    <row r="15" spans="1:18" x14ac:dyDescent="0.15">
      <c r="A15" s="57">
        <v>47003</v>
      </c>
      <c r="B15" s="57">
        <v>2</v>
      </c>
      <c r="C15" s="72" t="str">
        <f t="shared" si="1"/>
        <v>47003_2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48">
        <v>14</v>
      </c>
      <c r="F15" s="85" t="s">
        <v>473</v>
      </c>
      <c r="G15" s="85">
        <v>121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60</v>
      </c>
      <c r="Q15" s="57" t="s">
        <v>168</v>
      </c>
      <c r="R15" s="57" t="s">
        <v>169</v>
      </c>
    </row>
    <row r="16" spans="1:18" x14ac:dyDescent="0.15">
      <c r="A16" s="57">
        <v>47003</v>
      </c>
      <c r="B16" s="57">
        <v>2</v>
      </c>
      <c r="C16" s="72" t="str">
        <f t="shared" si="1"/>
        <v>47003_2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48">
        <v>15</v>
      </c>
      <c r="F16" s="85" t="s">
        <v>473</v>
      </c>
      <c r="G16" s="85">
        <v>122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60</v>
      </c>
      <c r="Q16" s="57" t="s">
        <v>168</v>
      </c>
      <c r="R16" s="57" t="s">
        <v>169</v>
      </c>
    </row>
    <row r="17" spans="1:18" x14ac:dyDescent="0.15">
      <c r="A17" s="57">
        <v>47003</v>
      </c>
      <c r="B17" s="57">
        <v>2</v>
      </c>
      <c r="C17" s="72" t="str">
        <f t="shared" si="1"/>
        <v>47003_2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48">
        <v>16</v>
      </c>
      <c r="F17" s="85" t="s">
        <v>473</v>
      </c>
      <c r="G17" s="85">
        <v>123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60</v>
      </c>
      <c r="Q17" s="57" t="s">
        <v>168</v>
      </c>
      <c r="R17" s="57" t="s">
        <v>169</v>
      </c>
    </row>
    <row r="18" spans="1:18" x14ac:dyDescent="0.15">
      <c r="A18" s="57">
        <v>47003</v>
      </c>
      <c r="B18" s="57">
        <v>2</v>
      </c>
      <c r="C18" s="72" t="str">
        <f t="shared" si="1"/>
        <v>47003_2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48">
        <v>17</v>
      </c>
      <c r="F18" s="85" t="s">
        <v>473</v>
      </c>
      <c r="G18" s="85">
        <v>334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30</v>
      </c>
      <c r="Q18" s="57" t="s">
        <v>168</v>
      </c>
      <c r="R18" s="57" t="s">
        <v>169</v>
      </c>
    </row>
    <row r="19" spans="1:18" x14ac:dyDescent="0.15">
      <c r="A19" s="57">
        <v>47003</v>
      </c>
      <c r="B19" s="57">
        <v>2</v>
      </c>
      <c r="C19" s="72" t="str">
        <f t="shared" si="1"/>
        <v>47003_2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48">
        <v>18</v>
      </c>
      <c r="F19" s="85" t="s">
        <v>473</v>
      </c>
      <c r="G19" s="85">
        <v>338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30</v>
      </c>
      <c r="Q19" s="57" t="s">
        <v>168</v>
      </c>
      <c r="R19" s="57" t="s">
        <v>169</v>
      </c>
    </row>
    <row r="20" spans="1:18" x14ac:dyDescent="0.15">
      <c r="A20" s="57">
        <v>47003</v>
      </c>
      <c r="B20" s="57">
        <v>2</v>
      </c>
      <c r="C20" s="72" t="str">
        <f t="shared" si="1"/>
        <v>47003_2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148">
        <v>19</v>
      </c>
      <c r="F20" s="85" t="s">
        <v>473</v>
      </c>
      <c r="G20" s="85">
        <v>342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30</v>
      </c>
      <c r="Q20" s="57" t="s">
        <v>168</v>
      </c>
      <c r="R20" s="57" t="s">
        <v>169</v>
      </c>
    </row>
    <row r="21" spans="1:18" x14ac:dyDescent="0.15">
      <c r="A21" s="57">
        <v>47003</v>
      </c>
      <c r="B21" s="57">
        <v>2</v>
      </c>
      <c r="C21" s="72" t="str">
        <f t="shared" si="1"/>
        <v>47003_2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48">
        <v>20</v>
      </c>
      <c r="F21" s="85" t="s">
        <v>473</v>
      </c>
      <c r="G21" s="85">
        <v>346</v>
      </c>
      <c r="H21" s="57">
        <v>1</v>
      </c>
      <c r="I21" s="57">
        <v>1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57">
        <v>30</v>
      </c>
      <c r="Q21" s="57" t="s">
        <v>168</v>
      </c>
      <c r="R21" s="57" t="s">
        <v>169</v>
      </c>
    </row>
    <row r="22" spans="1:18" x14ac:dyDescent="0.15">
      <c r="A22" s="57">
        <v>47003</v>
      </c>
      <c r="B22" s="57">
        <v>2</v>
      </c>
      <c r="C22" s="72" t="str">
        <f t="shared" si="1"/>
        <v>47003_2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48">
        <v>21</v>
      </c>
      <c r="F22" s="85" t="s">
        <v>467</v>
      </c>
      <c r="G22" s="85">
        <v>6500</v>
      </c>
      <c r="H22" s="57" t="s">
        <v>167</v>
      </c>
      <c r="I22" s="57">
        <v>1</v>
      </c>
      <c r="J22" s="57">
        <v>1</v>
      </c>
      <c r="K22" s="57">
        <v>0</v>
      </c>
      <c r="L22" s="57">
        <v>0</v>
      </c>
      <c r="M22" s="57">
        <v>0</v>
      </c>
      <c r="N22" s="57">
        <v>0</v>
      </c>
      <c r="O22" s="57">
        <v>1</v>
      </c>
      <c r="P22" s="57">
        <v>150</v>
      </c>
      <c r="Q22" s="57" t="s">
        <v>168</v>
      </c>
      <c r="R22" s="57" t="s">
        <v>169</v>
      </c>
    </row>
    <row r="23" spans="1:18" x14ac:dyDescent="0.15">
      <c r="A23" s="57">
        <v>47003</v>
      </c>
      <c r="B23" s="57">
        <v>2</v>
      </c>
      <c r="C23" s="72" t="str">
        <f t="shared" si="1"/>
        <v>47003_2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48">
        <v>22</v>
      </c>
      <c r="F23" s="85" t="s">
        <v>468</v>
      </c>
      <c r="G23" s="85">
        <v>25</v>
      </c>
      <c r="H23" s="57" t="s">
        <v>167</v>
      </c>
      <c r="I23" s="57">
        <v>1</v>
      </c>
      <c r="J23" s="57">
        <v>1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57">
        <v>150</v>
      </c>
      <c r="Q23" s="57" t="s">
        <v>168</v>
      </c>
      <c r="R23" s="57" t="s">
        <v>169</v>
      </c>
    </row>
    <row r="24" spans="1:18" x14ac:dyDescent="0.15">
      <c r="A24" s="57">
        <v>47003</v>
      </c>
      <c r="B24" s="57">
        <v>3</v>
      </c>
      <c r="C24" s="72" t="str">
        <f>A24&amp; "_"&amp;B24</f>
        <v>47003_3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148">
        <v>23</v>
      </c>
      <c r="F24" s="85" t="s">
        <v>466</v>
      </c>
      <c r="G24" s="85">
        <v>701</v>
      </c>
      <c r="H24" s="57">
        <v>3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510</v>
      </c>
      <c r="Q24" s="57" t="s">
        <v>168</v>
      </c>
      <c r="R24" s="57" t="s">
        <v>169</v>
      </c>
    </row>
    <row r="25" spans="1:18" x14ac:dyDescent="0.15">
      <c r="A25" s="57">
        <v>47003</v>
      </c>
      <c r="B25" s="57">
        <v>3</v>
      </c>
      <c r="C25" s="72" t="str">
        <f t="shared" ref="C25:C33" si="2">A25&amp; "_"&amp;B25</f>
        <v>47003_3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148">
        <v>24</v>
      </c>
      <c r="F25" s="85" t="s">
        <v>466</v>
      </c>
      <c r="G25" s="85">
        <v>701</v>
      </c>
      <c r="H25" s="57">
        <v>5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50</v>
      </c>
      <c r="Q25" s="57" t="s">
        <v>168</v>
      </c>
      <c r="R25" s="57" t="s">
        <v>169</v>
      </c>
    </row>
    <row r="26" spans="1:18" x14ac:dyDescent="0.15">
      <c r="A26" s="57">
        <v>47003</v>
      </c>
      <c r="B26" s="57">
        <v>3</v>
      </c>
      <c r="C26" s="72" t="str">
        <f t="shared" si="2"/>
        <v>47003_3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48">
        <v>25</v>
      </c>
      <c r="F26" s="85" t="s">
        <v>472</v>
      </c>
      <c r="G26" s="85">
        <v>1191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50</v>
      </c>
      <c r="Q26" s="57" t="s">
        <v>168</v>
      </c>
      <c r="R26" s="57" t="s">
        <v>169</v>
      </c>
    </row>
    <row r="27" spans="1:18" x14ac:dyDescent="0.15">
      <c r="A27" s="57">
        <v>47003</v>
      </c>
      <c r="B27" s="57">
        <v>3</v>
      </c>
      <c r="C27" s="72" t="str">
        <f t="shared" si="2"/>
        <v>47003_3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148">
        <v>26</v>
      </c>
      <c r="F27" s="85" t="s">
        <v>472</v>
      </c>
      <c r="G27" s="85">
        <v>121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70</v>
      </c>
      <c r="Q27" s="57" t="s">
        <v>168</v>
      </c>
      <c r="R27" s="57" t="s">
        <v>169</v>
      </c>
    </row>
    <row r="28" spans="1:18" x14ac:dyDescent="0.15">
      <c r="A28" s="57">
        <v>47003</v>
      </c>
      <c r="B28" s="57">
        <v>3</v>
      </c>
      <c r="C28" s="72" t="str">
        <f t="shared" si="2"/>
        <v>47003_3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148">
        <v>27</v>
      </c>
      <c r="F28" s="85" t="s">
        <v>472</v>
      </c>
      <c r="G28" s="85">
        <v>122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70</v>
      </c>
      <c r="Q28" s="57" t="s">
        <v>168</v>
      </c>
      <c r="R28" s="57" t="s">
        <v>169</v>
      </c>
    </row>
    <row r="29" spans="1:18" x14ac:dyDescent="0.15">
      <c r="A29" s="57">
        <v>47003</v>
      </c>
      <c r="B29" s="57">
        <v>3</v>
      </c>
      <c r="C29" s="72" t="str">
        <f t="shared" si="2"/>
        <v>47003_3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148">
        <v>28</v>
      </c>
      <c r="F29" s="85" t="s">
        <v>472</v>
      </c>
      <c r="G29" s="85">
        <v>123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50</v>
      </c>
      <c r="Q29" s="57" t="s">
        <v>168</v>
      </c>
      <c r="R29" s="57" t="s">
        <v>169</v>
      </c>
    </row>
    <row r="30" spans="1:18" x14ac:dyDescent="0.15">
      <c r="A30" s="57">
        <v>47003</v>
      </c>
      <c r="B30" s="57">
        <v>3</v>
      </c>
      <c r="C30" s="72" t="str">
        <f t="shared" si="2"/>
        <v>47003_3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148">
        <v>29</v>
      </c>
      <c r="F30" s="85" t="s">
        <v>472</v>
      </c>
      <c r="G30" s="85">
        <v>334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50</v>
      </c>
      <c r="Q30" s="57" t="s">
        <v>168</v>
      </c>
      <c r="R30" s="57" t="s">
        <v>169</v>
      </c>
    </row>
    <row r="31" spans="1:18" x14ac:dyDescent="0.15">
      <c r="A31" s="57">
        <v>47003</v>
      </c>
      <c r="B31" s="57">
        <v>3</v>
      </c>
      <c r="C31" s="72" t="str">
        <f t="shared" si="2"/>
        <v>47003_3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148">
        <v>30</v>
      </c>
      <c r="F31" s="85" t="s">
        <v>472</v>
      </c>
      <c r="G31" s="85">
        <v>338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50</v>
      </c>
      <c r="Q31" s="57" t="s">
        <v>168</v>
      </c>
      <c r="R31" s="57" t="s">
        <v>169</v>
      </c>
    </row>
    <row r="32" spans="1:18" x14ac:dyDescent="0.15">
      <c r="A32" s="57">
        <v>47003</v>
      </c>
      <c r="B32" s="57">
        <v>3</v>
      </c>
      <c r="C32" s="72" t="str">
        <f t="shared" si="2"/>
        <v>47003_3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48">
        <v>31</v>
      </c>
      <c r="F32" s="85" t="s">
        <v>472</v>
      </c>
      <c r="G32" s="85">
        <v>342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57">
        <v>50</v>
      </c>
      <c r="Q32" s="57" t="s">
        <v>168</v>
      </c>
      <c r="R32" s="57" t="s">
        <v>169</v>
      </c>
    </row>
    <row r="33" spans="1:18" x14ac:dyDescent="0.15">
      <c r="A33" s="57">
        <v>47003</v>
      </c>
      <c r="B33" s="57">
        <v>3</v>
      </c>
      <c r="C33" s="72" t="str">
        <f t="shared" si="2"/>
        <v>47003_3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148">
        <v>32</v>
      </c>
      <c r="F33" s="85" t="s">
        <v>472</v>
      </c>
      <c r="G33" s="85">
        <v>346</v>
      </c>
      <c r="H33" s="57">
        <v>1</v>
      </c>
      <c r="I33" s="57">
        <v>1</v>
      </c>
      <c r="J33" s="57">
        <v>1</v>
      </c>
      <c r="K33" s="57">
        <v>0</v>
      </c>
      <c r="L33" s="57">
        <v>0</v>
      </c>
      <c r="M33" s="57">
        <v>0</v>
      </c>
      <c r="N33" s="57">
        <v>0</v>
      </c>
      <c r="O33" s="57">
        <v>1</v>
      </c>
      <c r="P33" s="57">
        <v>50</v>
      </c>
      <c r="Q33" s="57" t="s">
        <v>168</v>
      </c>
      <c r="R33" s="57" t="s">
        <v>169</v>
      </c>
    </row>
    <row r="34" spans="1:18" x14ac:dyDescent="0.15">
      <c r="A34" s="57">
        <v>47003</v>
      </c>
      <c r="B34" s="57">
        <v>4</v>
      </c>
      <c r="C34" s="72" t="str">
        <f>A34&amp; "_"&amp;B34</f>
        <v>47003_4</v>
      </c>
      <c r="D34" s="11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148">
        <v>33</v>
      </c>
      <c r="F34" s="85" t="s">
        <v>465</v>
      </c>
      <c r="G34" s="85">
        <v>701</v>
      </c>
      <c r="H34" s="57">
        <v>3</v>
      </c>
      <c r="I34" s="57">
        <v>1</v>
      </c>
      <c r="J34" s="57">
        <v>1</v>
      </c>
      <c r="K34" s="57">
        <v>0</v>
      </c>
      <c r="L34" s="57">
        <v>0</v>
      </c>
      <c r="M34" s="57">
        <v>0</v>
      </c>
      <c r="N34" s="57">
        <v>0</v>
      </c>
      <c r="O34" s="57">
        <v>1</v>
      </c>
      <c r="P34" s="57">
        <v>420</v>
      </c>
      <c r="Q34" s="57" t="s">
        <v>168</v>
      </c>
      <c r="R34" s="57" t="s">
        <v>169</v>
      </c>
    </row>
    <row r="35" spans="1:18" x14ac:dyDescent="0.15">
      <c r="A35" s="57">
        <v>47003</v>
      </c>
      <c r="B35" s="57">
        <v>4</v>
      </c>
      <c r="C35" s="72" t="str">
        <f t="shared" ref="C35:C36" si="3">A35&amp; "_"&amp;B35</f>
        <v>47003_4</v>
      </c>
      <c r="D35" s="11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148">
        <v>34</v>
      </c>
      <c r="F35" s="85" t="s">
        <v>465</v>
      </c>
      <c r="G35" s="85">
        <v>701</v>
      </c>
      <c r="H35" s="57">
        <v>5</v>
      </c>
      <c r="I35" s="57">
        <v>1</v>
      </c>
      <c r="J35" s="57">
        <v>1</v>
      </c>
      <c r="K35" s="57">
        <v>0</v>
      </c>
      <c r="L35" s="57">
        <v>0</v>
      </c>
      <c r="M35" s="57">
        <v>0</v>
      </c>
      <c r="N35" s="57">
        <v>0</v>
      </c>
      <c r="O35" s="57">
        <v>1</v>
      </c>
      <c r="P35" s="57">
        <v>100</v>
      </c>
      <c r="Q35" s="57" t="s">
        <v>168</v>
      </c>
      <c r="R35" s="57" t="s">
        <v>169</v>
      </c>
    </row>
    <row r="36" spans="1:18" x14ac:dyDescent="0.15">
      <c r="A36" s="57">
        <v>47003</v>
      </c>
      <c r="B36" s="57">
        <v>4</v>
      </c>
      <c r="C36" s="72" t="str">
        <f t="shared" si="3"/>
        <v>47003_4</v>
      </c>
      <c r="D36" s="11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148">
        <v>35</v>
      </c>
      <c r="F36" s="85" t="s">
        <v>472</v>
      </c>
      <c r="G36" s="85">
        <v>1191</v>
      </c>
      <c r="H36" s="57">
        <v>1</v>
      </c>
      <c r="I36" s="57">
        <v>1</v>
      </c>
      <c r="J36" s="57">
        <v>1</v>
      </c>
      <c r="K36" s="57">
        <v>0</v>
      </c>
      <c r="L36" s="57">
        <v>0</v>
      </c>
      <c r="M36" s="57">
        <v>0</v>
      </c>
      <c r="N36" s="57">
        <v>0</v>
      </c>
      <c r="O36" s="57">
        <v>1</v>
      </c>
      <c r="P36" s="57">
        <v>50</v>
      </c>
      <c r="Q36" s="57" t="s">
        <v>168</v>
      </c>
      <c r="R36" s="57" t="s">
        <v>169</v>
      </c>
    </row>
    <row r="37" spans="1:18" x14ac:dyDescent="0.15">
      <c r="A37" s="57">
        <v>47003</v>
      </c>
      <c r="B37" s="57">
        <v>4</v>
      </c>
      <c r="C37" s="72" t="str">
        <f t="shared" ref="C37:C40" si="4">A37&amp; "_"&amp;B37</f>
        <v>47003_4</v>
      </c>
      <c r="D37" s="11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148">
        <v>36</v>
      </c>
      <c r="F37" s="85" t="s">
        <v>472</v>
      </c>
      <c r="G37" s="85">
        <v>607</v>
      </c>
      <c r="H37" s="57">
        <v>1</v>
      </c>
      <c r="I37" s="57">
        <v>1</v>
      </c>
      <c r="J37" s="57">
        <v>1</v>
      </c>
      <c r="K37" s="57">
        <v>0</v>
      </c>
      <c r="L37" s="57">
        <v>0</v>
      </c>
      <c r="M37" s="57">
        <v>0</v>
      </c>
      <c r="N37" s="57">
        <v>0</v>
      </c>
      <c r="O37" s="57">
        <v>1</v>
      </c>
      <c r="P37" s="57">
        <v>130</v>
      </c>
      <c r="Q37" s="57" t="s">
        <v>168</v>
      </c>
      <c r="R37" s="57" t="s">
        <v>169</v>
      </c>
    </row>
    <row r="38" spans="1:18" x14ac:dyDescent="0.15">
      <c r="A38" s="57">
        <v>47003</v>
      </c>
      <c r="B38" s="57">
        <v>4</v>
      </c>
      <c r="C38" s="72" t="str">
        <f t="shared" si="4"/>
        <v>47003_4</v>
      </c>
      <c r="D38" s="11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148">
        <v>37</v>
      </c>
      <c r="F38" s="85" t="s">
        <v>472</v>
      </c>
      <c r="G38" s="85">
        <v>608</v>
      </c>
      <c r="H38" s="57">
        <v>1</v>
      </c>
      <c r="I38" s="57">
        <v>1</v>
      </c>
      <c r="J38" s="57">
        <v>1</v>
      </c>
      <c r="K38" s="57">
        <v>0</v>
      </c>
      <c r="L38" s="57">
        <v>0</v>
      </c>
      <c r="M38" s="57">
        <v>0</v>
      </c>
      <c r="N38" s="57">
        <v>0</v>
      </c>
      <c r="O38" s="57">
        <v>1</v>
      </c>
      <c r="P38" s="57">
        <v>130</v>
      </c>
      <c r="Q38" s="57" t="s">
        <v>168</v>
      </c>
      <c r="R38" s="57" t="s">
        <v>169</v>
      </c>
    </row>
    <row r="39" spans="1:18" x14ac:dyDescent="0.15">
      <c r="A39" s="57">
        <v>47003</v>
      </c>
      <c r="B39" s="57">
        <v>4</v>
      </c>
      <c r="C39" s="72" t="str">
        <f t="shared" si="4"/>
        <v>47003_4</v>
      </c>
      <c r="D39" s="11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148">
        <v>38</v>
      </c>
      <c r="F39" s="85" t="s">
        <v>472</v>
      </c>
      <c r="G39" s="85">
        <v>609</v>
      </c>
      <c r="H39" s="57">
        <v>1</v>
      </c>
      <c r="I39" s="57">
        <v>1</v>
      </c>
      <c r="J39" s="57">
        <v>1</v>
      </c>
      <c r="K39" s="57">
        <v>0</v>
      </c>
      <c r="L39" s="57">
        <v>0</v>
      </c>
      <c r="M39" s="57">
        <v>0</v>
      </c>
      <c r="N39" s="57">
        <v>0</v>
      </c>
      <c r="O39" s="57">
        <v>1</v>
      </c>
      <c r="P39" s="57">
        <v>130</v>
      </c>
      <c r="Q39" s="57" t="s">
        <v>168</v>
      </c>
      <c r="R39" s="57" t="s">
        <v>169</v>
      </c>
    </row>
    <row r="40" spans="1:18" x14ac:dyDescent="0.15">
      <c r="A40" s="57">
        <v>47003</v>
      </c>
      <c r="B40" s="57">
        <v>4</v>
      </c>
      <c r="C40" s="72" t="str">
        <f t="shared" si="4"/>
        <v>47003_4</v>
      </c>
      <c r="D40" s="11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148">
        <v>39</v>
      </c>
      <c r="F40" s="85" t="s">
        <v>472</v>
      </c>
      <c r="G40" s="85">
        <v>125</v>
      </c>
      <c r="H40" s="57">
        <v>1</v>
      </c>
      <c r="I40" s="57">
        <v>1</v>
      </c>
      <c r="J40" s="57">
        <v>1</v>
      </c>
      <c r="K40" s="57">
        <v>0</v>
      </c>
      <c r="L40" s="57">
        <v>0</v>
      </c>
      <c r="M40" s="57">
        <v>0</v>
      </c>
      <c r="N40" s="57">
        <v>0</v>
      </c>
      <c r="O40" s="57">
        <v>1</v>
      </c>
      <c r="P40" s="57">
        <v>40</v>
      </c>
      <c r="Q40" s="57" t="s">
        <v>168</v>
      </c>
      <c r="R40" s="57" t="s">
        <v>169</v>
      </c>
    </row>
  </sheetData>
  <phoneticPr fontId="5"/>
  <dataValidations count="1">
    <dataValidation type="list" allowBlank="1" showInputMessage="1" showErrorMessage="1" sqref="F2:F4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B4" sqref="B4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187</v>
      </c>
      <c r="B1" s="74" t="s">
        <v>188</v>
      </c>
      <c r="C1" s="78" t="s">
        <v>189</v>
      </c>
      <c r="D1" s="78" t="s">
        <v>33</v>
      </c>
      <c r="E1" s="74" t="s">
        <v>190</v>
      </c>
      <c r="F1" s="78" t="s">
        <v>191</v>
      </c>
      <c r="G1" s="78" t="s">
        <v>33</v>
      </c>
      <c r="H1" s="74" t="s">
        <v>192</v>
      </c>
      <c r="I1" s="92" t="s">
        <v>194</v>
      </c>
      <c r="J1" s="80" t="s">
        <v>125</v>
      </c>
      <c r="K1" s="79" t="s">
        <v>185</v>
      </c>
      <c r="L1" s="93" t="s">
        <v>184</v>
      </c>
      <c r="M1" s="81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54"/>
  <sheetViews>
    <sheetView showGridLines="0" tabSelected="1" topLeftCell="E1" zoomScale="120" zoomScaleNormal="120" zoomScalePageLayoutView="120" workbookViewId="0">
      <pane ySplit="1" topLeftCell="A45" activePane="bottomLeft" state="frozen"/>
      <selection pane="bottomLeft" activeCell="M54" sqref="M54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22.5" customWidth="1"/>
    <col min="13" max="13" width="42.6640625" customWidth="1"/>
  </cols>
  <sheetData>
    <row r="1" spans="1:14" x14ac:dyDescent="0.15">
      <c r="A1" s="77" t="s">
        <v>187</v>
      </c>
      <c r="B1" s="74" t="s">
        <v>149</v>
      </c>
      <c r="C1" s="78" t="s">
        <v>189</v>
      </c>
      <c r="D1" s="78" t="s">
        <v>33</v>
      </c>
      <c r="E1" s="74" t="s">
        <v>190</v>
      </c>
      <c r="F1" s="78" t="s">
        <v>18</v>
      </c>
      <c r="G1" s="78" t="s">
        <v>33</v>
      </c>
      <c r="H1" s="74" t="s">
        <v>192</v>
      </c>
      <c r="I1" s="90" t="s">
        <v>193</v>
      </c>
      <c r="J1" s="92" t="s">
        <v>194</v>
      </c>
      <c r="K1" s="80" t="s">
        <v>125</v>
      </c>
      <c r="L1" s="79" t="s">
        <v>185</v>
      </c>
      <c r="M1" s="93" t="s">
        <v>184</v>
      </c>
      <c r="N1" s="81" t="s">
        <v>195</v>
      </c>
    </row>
    <row r="2" spans="1:14" ht="56" x14ac:dyDescent="0.15">
      <c r="A2" s="82" t="s">
        <v>196</v>
      </c>
      <c r="B2" s="83">
        <f>floors!$C$2</f>
        <v>47003</v>
      </c>
      <c r="C2" s="84" t="str">
        <f ca="1">VLOOKUP($B2,OFFSET([2]quests!$A$1,0,0,COUNTA([2]quests!$A:$A),MATCH(C$1,[2]quests!$1:$1,0)-MATCH($B$1,[2]quests!$1:$1,0)+1),MATCH(C$1,[2]quests!$1:$1,0)-MATCH($B$1,[2]quests!$1:$1,0)+1,FALSE)</f>
        <v>ハロウィンナイトパニック！</v>
      </c>
      <c r="D2" s="84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6">
        <v>1</v>
      </c>
      <c r="I2" s="91">
        <f>ROW()-1</f>
        <v>1</v>
      </c>
      <c r="J2" s="87" t="str">
        <f>B2&amp;TEXT(I2,"00")</f>
        <v>4700301</v>
      </c>
      <c r="K2" s="85" t="s">
        <v>197</v>
      </c>
      <c r="L2" s="88" t="s">
        <v>198</v>
      </c>
      <c r="M2" s="144" t="s">
        <v>439</v>
      </c>
      <c r="N2" s="57" t="s">
        <v>199</v>
      </c>
    </row>
    <row r="3" spans="1:14" ht="56" x14ac:dyDescent="0.15">
      <c r="A3" s="82" t="s">
        <v>196</v>
      </c>
      <c r="B3" s="83">
        <f>floors!$C$2</f>
        <v>47003</v>
      </c>
      <c r="C3" s="84" t="str">
        <f ca="1">VLOOKUP($B3,OFFSET([2]quests!$A$1,0,0,COUNTA([2]quests!$A:$A),MATCH(C$1,[2]quests!$1:$1,0)-MATCH($B$1,[2]quests!$1:$1,0)+1),MATCH(C$1,[2]quests!$1:$1,0)-MATCH($B$1,[2]quests!$1:$1,0)+1,FALSE)</f>
        <v>ハロウィンナイトパニック！</v>
      </c>
      <c r="D3" s="84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6">
        <v>2</v>
      </c>
      <c r="I3" s="91">
        <f t="shared" ref="I3:I54" si="0">ROW()-1</f>
        <v>2</v>
      </c>
      <c r="J3" s="87" t="str">
        <f t="shared" ref="J3:J33" si="1">B3&amp;TEXT(I3,"00")</f>
        <v>4700302</v>
      </c>
      <c r="K3" s="85" t="s">
        <v>197</v>
      </c>
      <c r="L3" s="88" t="s">
        <v>198</v>
      </c>
      <c r="M3" s="144" t="s">
        <v>440</v>
      </c>
      <c r="N3" s="57" t="s">
        <v>199</v>
      </c>
    </row>
    <row r="4" spans="1:14" ht="42" x14ac:dyDescent="0.15">
      <c r="A4" s="82" t="s">
        <v>196</v>
      </c>
      <c r="B4" s="83">
        <f>floors!$C$2</f>
        <v>47003</v>
      </c>
      <c r="C4" s="84" t="str">
        <f ca="1">VLOOKUP($B4,OFFSET([2]quests!$A$1,0,0,COUNTA([2]quests!$A:$A),MATCH(C$1,[2]quests!$1:$1,0)-MATCH($B$1,[2]quests!$1:$1,0)+1),MATCH(C$1,[2]quests!$1:$1,0)-MATCH($B$1,[2]quests!$1:$1,0)+1,FALSE)</f>
        <v>ハロウィンナイトパニック！</v>
      </c>
      <c r="D4" s="84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6">
        <v>3</v>
      </c>
      <c r="I4" s="91">
        <f t="shared" si="0"/>
        <v>3</v>
      </c>
      <c r="J4" s="87" t="str">
        <f t="shared" si="1"/>
        <v>4700303</v>
      </c>
      <c r="K4" s="85" t="s">
        <v>197</v>
      </c>
      <c r="L4" s="88" t="s">
        <v>198</v>
      </c>
      <c r="M4" s="144" t="s">
        <v>434</v>
      </c>
      <c r="N4" s="57" t="s">
        <v>199</v>
      </c>
    </row>
    <row r="5" spans="1:14" ht="42" x14ac:dyDescent="0.15">
      <c r="A5" s="82" t="s">
        <v>196</v>
      </c>
      <c r="B5" s="83">
        <f>floors!$C$2</f>
        <v>47003</v>
      </c>
      <c r="C5" s="84" t="str">
        <f ca="1">VLOOKUP($B5,OFFSET([2]quests!$A$1,0,0,COUNTA([2]quests!$A:$A),MATCH(C$1,[2]quests!$1:$1,0)-MATCH($B$1,[2]quests!$1:$1,0)+1),MATCH(C$1,[2]quests!$1:$1,0)-MATCH($B$1,[2]quests!$1:$1,0)+1,FALSE)</f>
        <v>ハロウィンナイトパニック！</v>
      </c>
      <c r="D5" s="84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6">
        <v>3</v>
      </c>
      <c r="I5" s="91">
        <f t="shared" si="0"/>
        <v>4</v>
      </c>
      <c r="J5" s="87" t="str">
        <f t="shared" si="1"/>
        <v>4700304</v>
      </c>
      <c r="K5" s="85" t="s">
        <v>197</v>
      </c>
      <c r="L5" s="88" t="s">
        <v>198</v>
      </c>
      <c r="M5" s="144" t="s">
        <v>435</v>
      </c>
      <c r="N5" s="57" t="s">
        <v>199</v>
      </c>
    </row>
    <row r="6" spans="1:14" ht="42" x14ac:dyDescent="0.15">
      <c r="A6" s="82" t="s">
        <v>196</v>
      </c>
      <c r="B6" s="83">
        <f>floors!$C$2</f>
        <v>47003</v>
      </c>
      <c r="C6" s="84" t="str">
        <f ca="1">VLOOKUP($B6,OFFSET([2]quests!$A$1,0,0,COUNTA([2]quests!$A:$A),MATCH(C$1,[2]quests!$1:$1,0)-MATCH($B$1,[2]quests!$1:$1,0)+1),MATCH(C$1,[2]quests!$1:$1,0)-MATCH($B$1,[2]quests!$1:$1,0)+1,FALSE)</f>
        <v>ハロウィンナイトパニック！</v>
      </c>
      <c r="D6" s="84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6">
        <v>4</v>
      </c>
      <c r="I6" s="91">
        <f t="shared" si="0"/>
        <v>5</v>
      </c>
      <c r="J6" s="87" t="str">
        <f t="shared" si="1"/>
        <v>4700305</v>
      </c>
      <c r="K6" s="85" t="s">
        <v>197</v>
      </c>
      <c r="L6" s="88" t="s">
        <v>198</v>
      </c>
      <c r="M6" s="144" t="s">
        <v>441</v>
      </c>
      <c r="N6" s="57" t="s">
        <v>199</v>
      </c>
    </row>
    <row r="7" spans="1:14" ht="42" x14ac:dyDescent="0.15">
      <c r="A7" s="82" t="s">
        <v>196</v>
      </c>
      <c r="B7" s="83">
        <f>floors!$C$2</f>
        <v>47003</v>
      </c>
      <c r="C7" s="84" t="str">
        <f ca="1">VLOOKUP($B7,OFFSET([2]quests!$A$1,0,0,COUNTA([2]quests!$A:$A),MATCH(C$1,[2]quests!$1:$1,0)-MATCH($B$1,[2]quests!$1:$1,0)+1),MATCH(C$1,[2]quests!$1:$1,0)-MATCH($B$1,[2]quests!$1:$1,0)+1,FALSE)</f>
        <v>ハロウィンナイトパニック！</v>
      </c>
      <c r="D7" s="84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6">
        <v>4</v>
      </c>
      <c r="I7" s="91">
        <f t="shared" si="0"/>
        <v>6</v>
      </c>
      <c r="J7" s="87" t="str">
        <f t="shared" si="1"/>
        <v>4700306</v>
      </c>
      <c r="K7" s="85" t="s">
        <v>197</v>
      </c>
      <c r="L7" s="88" t="s">
        <v>198</v>
      </c>
      <c r="M7" s="144" t="s">
        <v>442</v>
      </c>
      <c r="N7" s="57" t="s">
        <v>199</v>
      </c>
    </row>
    <row r="8" spans="1:14" ht="56" x14ac:dyDescent="0.15">
      <c r="A8" s="82" t="s">
        <v>196</v>
      </c>
      <c r="B8" s="83">
        <f>floors!$C$2</f>
        <v>47003</v>
      </c>
      <c r="C8" s="84" t="str">
        <f ca="1">VLOOKUP($B8,OFFSET([2]quests!$A$1,0,0,COUNTA([2]quests!$A:$A),MATCH(C$1,[2]quests!$1:$1,0)-MATCH($B$1,[2]quests!$1:$1,0)+1),MATCH(C$1,[2]quests!$1:$1,0)-MATCH($B$1,[2]quests!$1:$1,0)+1,FALSE)</f>
        <v>ハロウィンナイトパニック！</v>
      </c>
      <c r="D8" s="84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5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6">
        <v>4</v>
      </c>
      <c r="I8" s="91">
        <f t="shared" si="0"/>
        <v>7</v>
      </c>
      <c r="J8" s="87" t="str">
        <f t="shared" ref="J8" si="2">B8&amp;TEXT(I8,"00")</f>
        <v>4700307</v>
      </c>
      <c r="K8" s="85" t="s">
        <v>197</v>
      </c>
      <c r="L8" s="88" t="s">
        <v>198</v>
      </c>
      <c r="M8" s="144" t="s">
        <v>446</v>
      </c>
      <c r="N8" s="57" t="s">
        <v>199</v>
      </c>
    </row>
    <row r="9" spans="1:14" ht="56" x14ac:dyDescent="0.15">
      <c r="A9" s="82" t="s">
        <v>196</v>
      </c>
      <c r="B9" s="83">
        <f>floors!$C$2</f>
        <v>47003</v>
      </c>
      <c r="C9" s="84" t="str">
        <f ca="1">VLOOKUP($B9,OFFSET([2]quests!$A$1,0,0,COUNTA([2]quests!$A:$A),MATCH(C$1,[2]quests!$1:$1,0)-MATCH($B$1,[2]quests!$1:$1,0)+1),MATCH(C$1,[2]quests!$1:$1,0)-MATCH($B$1,[2]quests!$1:$1,0)+1,FALSE)</f>
        <v>ハロウィンナイトパニック！</v>
      </c>
      <c r="D9" s="84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6">
        <v>1</v>
      </c>
      <c r="I9" s="91">
        <f>ROW()-1</f>
        <v>8</v>
      </c>
      <c r="J9" s="87" t="str">
        <f>B9&amp;TEXT(I9,"00")</f>
        <v>4700308</v>
      </c>
      <c r="K9" s="85" t="s">
        <v>197</v>
      </c>
      <c r="L9" s="88" t="s">
        <v>198</v>
      </c>
      <c r="M9" s="144" t="s">
        <v>439</v>
      </c>
      <c r="N9" s="57" t="s">
        <v>199</v>
      </c>
    </row>
    <row r="10" spans="1:14" ht="56" x14ac:dyDescent="0.15">
      <c r="A10" s="82" t="s">
        <v>196</v>
      </c>
      <c r="B10" s="83">
        <f>floors!$C$2</f>
        <v>47003</v>
      </c>
      <c r="C10" s="84" t="str">
        <f ca="1">VLOOKUP($B10,OFFSET([2]quests!$A$1,0,0,COUNTA([2]quests!$A:$A),MATCH(C$1,[2]quests!$1:$1,0)-MATCH($B$1,[2]quests!$1:$1,0)+1),MATCH(C$1,[2]quests!$1:$1,0)-MATCH($B$1,[2]quests!$1:$1,0)+1,FALSE)</f>
        <v>ハロウィンナイトパニック！</v>
      </c>
      <c r="D10" s="84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5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86">
        <v>2</v>
      </c>
      <c r="I10" s="91">
        <f t="shared" si="0"/>
        <v>9</v>
      </c>
      <c r="J10" s="87" t="str">
        <f t="shared" ref="J10:J15" si="3">B10&amp;TEXT(I10,"00")</f>
        <v>4700309</v>
      </c>
      <c r="K10" s="85" t="s">
        <v>197</v>
      </c>
      <c r="L10" s="88" t="s">
        <v>198</v>
      </c>
      <c r="M10" s="144" t="s">
        <v>440</v>
      </c>
      <c r="N10" s="57" t="s">
        <v>199</v>
      </c>
    </row>
    <row r="11" spans="1:14" ht="42" x14ac:dyDescent="0.15">
      <c r="A11" s="82" t="s">
        <v>196</v>
      </c>
      <c r="B11" s="83">
        <f>floors!$C$2</f>
        <v>47003</v>
      </c>
      <c r="C11" s="84" t="str">
        <f ca="1">VLOOKUP($B11,OFFSET([2]quests!$A$1,0,0,COUNTA([2]quests!$A:$A),MATCH(C$1,[2]quests!$1:$1,0)-MATCH($B$1,[2]quests!$1:$1,0)+1),MATCH(C$1,[2]quests!$1:$1,0)-MATCH($B$1,[2]quests!$1:$1,0)+1,FALSE)</f>
        <v>ハロウィンナイトパニック！</v>
      </c>
      <c r="D11" s="84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85">
        <v>2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86">
        <v>3</v>
      </c>
      <c r="I11" s="91">
        <f t="shared" si="0"/>
        <v>10</v>
      </c>
      <c r="J11" s="87" t="str">
        <f t="shared" si="3"/>
        <v>4700310</v>
      </c>
      <c r="K11" s="85" t="s">
        <v>197</v>
      </c>
      <c r="L11" s="88" t="s">
        <v>198</v>
      </c>
      <c r="M11" s="144" t="s">
        <v>434</v>
      </c>
      <c r="N11" s="57" t="s">
        <v>199</v>
      </c>
    </row>
    <row r="12" spans="1:14" ht="42" x14ac:dyDescent="0.15">
      <c r="A12" s="82" t="s">
        <v>196</v>
      </c>
      <c r="B12" s="83">
        <f>floors!$C$2</f>
        <v>47003</v>
      </c>
      <c r="C12" s="84" t="str">
        <f ca="1">VLOOKUP($B12,OFFSET([2]quests!$A$1,0,0,COUNTA([2]quests!$A:$A),MATCH(C$1,[2]quests!$1:$1,0)-MATCH($B$1,[2]quests!$1:$1,0)+1),MATCH(C$1,[2]quests!$1:$1,0)-MATCH($B$1,[2]quests!$1:$1,0)+1,FALSE)</f>
        <v>ハロウィンナイトパニック！</v>
      </c>
      <c r="D12" s="84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85">
        <v>2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86">
        <v>3</v>
      </c>
      <c r="I12" s="91">
        <f t="shared" si="0"/>
        <v>11</v>
      </c>
      <c r="J12" s="87" t="str">
        <f t="shared" si="3"/>
        <v>4700311</v>
      </c>
      <c r="K12" s="85" t="s">
        <v>197</v>
      </c>
      <c r="L12" s="88" t="s">
        <v>198</v>
      </c>
      <c r="M12" s="144" t="s">
        <v>435</v>
      </c>
      <c r="N12" s="57" t="s">
        <v>199</v>
      </c>
    </row>
    <row r="13" spans="1:14" ht="42" x14ac:dyDescent="0.15">
      <c r="A13" s="82" t="s">
        <v>196</v>
      </c>
      <c r="B13" s="83">
        <f>floors!$C$2</f>
        <v>47003</v>
      </c>
      <c r="C13" s="84" t="str">
        <f ca="1">VLOOKUP($B13,OFFSET([2]quests!$A$1,0,0,COUNTA([2]quests!$A:$A),MATCH(C$1,[2]quests!$1:$1,0)-MATCH($B$1,[2]quests!$1:$1,0)+1),MATCH(C$1,[2]quests!$1:$1,0)-MATCH($B$1,[2]quests!$1:$1,0)+1,FALSE)</f>
        <v>ハロウィンナイトパニック！</v>
      </c>
      <c r="D13" s="84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85">
        <v>2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86">
        <v>4</v>
      </c>
      <c r="I13" s="91">
        <f t="shared" si="0"/>
        <v>12</v>
      </c>
      <c r="J13" s="87" t="str">
        <f t="shared" si="3"/>
        <v>4700312</v>
      </c>
      <c r="K13" s="85" t="s">
        <v>197</v>
      </c>
      <c r="L13" s="88" t="s">
        <v>198</v>
      </c>
      <c r="M13" s="144" t="s">
        <v>441</v>
      </c>
      <c r="N13" s="57" t="s">
        <v>199</v>
      </c>
    </row>
    <row r="14" spans="1:14" ht="42" x14ac:dyDescent="0.15">
      <c r="A14" s="82" t="s">
        <v>196</v>
      </c>
      <c r="B14" s="83">
        <f>floors!$C$2</f>
        <v>47003</v>
      </c>
      <c r="C14" s="84" t="str">
        <f ca="1">VLOOKUP($B14,OFFSET([2]quests!$A$1,0,0,COUNTA([2]quests!$A:$A),MATCH(C$1,[2]quests!$1:$1,0)-MATCH($B$1,[2]quests!$1:$1,0)+1),MATCH(C$1,[2]quests!$1:$1,0)-MATCH($B$1,[2]quests!$1:$1,0)+1,FALSE)</f>
        <v>ハロウィンナイトパニック！</v>
      </c>
      <c r="D14" s="84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5">
        <v>2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86">
        <v>4</v>
      </c>
      <c r="I14" s="91">
        <f t="shared" si="0"/>
        <v>13</v>
      </c>
      <c r="J14" s="87" t="str">
        <f t="shared" si="3"/>
        <v>4700313</v>
      </c>
      <c r="K14" s="85" t="s">
        <v>197</v>
      </c>
      <c r="L14" s="88" t="s">
        <v>198</v>
      </c>
      <c r="M14" s="144" t="s">
        <v>442</v>
      </c>
      <c r="N14" s="57" t="s">
        <v>199</v>
      </c>
    </row>
    <row r="15" spans="1:14" ht="56" x14ac:dyDescent="0.15">
      <c r="A15" s="82" t="s">
        <v>196</v>
      </c>
      <c r="B15" s="83">
        <f>floors!$C$2</f>
        <v>47003</v>
      </c>
      <c r="C15" s="84" t="str">
        <f ca="1">VLOOKUP($B15,OFFSET([2]quests!$A$1,0,0,COUNTA([2]quests!$A:$A),MATCH(C$1,[2]quests!$1:$1,0)-MATCH($B$1,[2]quests!$1:$1,0)+1),MATCH(C$1,[2]quests!$1:$1,0)-MATCH($B$1,[2]quests!$1:$1,0)+1,FALSE)</f>
        <v>ハロウィンナイトパニック！</v>
      </c>
      <c r="D15" s="84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5">
        <v>2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86">
        <v>4</v>
      </c>
      <c r="I15" s="91">
        <f t="shared" si="0"/>
        <v>14</v>
      </c>
      <c r="J15" s="87" t="str">
        <f t="shared" si="3"/>
        <v>4700314</v>
      </c>
      <c r="K15" s="85" t="s">
        <v>197</v>
      </c>
      <c r="L15" s="88" t="s">
        <v>198</v>
      </c>
      <c r="M15" s="144" t="s">
        <v>446</v>
      </c>
      <c r="N15" s="57" t="s">
        <v>199</v>
      </c>
    </row>
    <row r="16" spans="1:14" ht="56" x14ac:dyDescent="0.15">
      <c r="A16" s="82" t="s">
        <v>196</v>
      </c>
      <c r="B16" s="83">
        <f>floors!$C$2</f>
        <v>47003</v>
      </c>
      <c r="C16" s="84" t="str">
        <f ca="1">VLOOKUP($B16,OFFSET([2]quests!$A$1,0,0,COUNTA([2]quests!$A:$A),MATCH(C$1,[2]quests!$1:$1,0)-MATCH($B$1,[2]quests!$1:$1,0)+1),MATCH(C$1,[2]quests!$1:$1,0)-MATCH($B$1,[2]quests!$1:$1,0)+1,FALSE)</f>
        <v>ハロウィンナイトパニック！</v>
      </c>
      <c r="D16" s="84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5">
        <v>3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86">
        <v>1</v>
      </c>
      <c r="I16" s="91">
        <f>ROW()-1</f>
        <v>15</v>
      </c>
      <c r="J16" s="87" t="str">
        <f>B16&amp;TEXT(I16,"00")</f>
        <v>4700315</v>
      </c>
      <c r="K16" s="85" t="s">
        <v>197</v>
      </c>
      <c r="L16" s="88" t="s">
        <v>198</v>
      </c>
      <c r="M16" s="144" t="s">
        <v>439</v>
      </c>
      <c r="N16" s="57" t="s">
        <v>199</v>
      </c>
    </row>
    <row r="17" spans="1:14" ht="56" x14ac:dyDescent="0.15">
      <c r="A17" s="82" t="s">
        <v>196</v>
      </c>
      <c r="B17" s="83">
        <f>floors!$C$2</f>
        <v>47003</v>
      </c>
      <c r="C17" s="84" t="str">
        <f ca="1">VLOOKUP($B17,OFFSET([2]quests!$A$1,0,0,COUNTA([2]quests!$A:$A),MATCH(C$1,[2]quests!$1:$1,0)-MATCH($B$1,[2]quests!$1:$1,0)+1),MATCH(C$1,[2]quests!$1:$1,0)-MATCH($B$1,[2]quests!$1:$1,0)+1,FALSE)</f>
        <v>ハロウィンナイトパニック！</v>
      </c>
      <c r="D17" s="84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5">
        <v>3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86">
        <v>2</v>
      </c>
      <c r="I17" s="91">
        <f t="shared" si="0"/>
        <v>16</v>
      </c>
      <c r="J17" s="87" t="str">
        <f t="shared" ref="J17:J22" si="4">B17&amp;TEXT(I17,"00")</f>
        <v>4700316</v>
      </c>
      <c r="K17" s="85" t="s">
        <v>197</v>
      </c>
      <c r="L17" s="88" t="s">
        <v>198</v>
      </c>
      <c r="M17" s="144" t="s">
        <v>440</v>
      </c>
      <c r="N17" s="57" t="s">
        <v>199</v>
      </c>
    </row>
    <row r="18" spans="1:14" ht="42" x14ac:dyDescent="0.15">
      <c r="A18" s="82" t="s">
        <v>196</v>
      </c>
      <c r="B18" s="83">
        <f>floors!$C$2</f>
        <v>47003</v>
      </c>
      <c r="C18" s="84" t="str">
        <f ca="1">VLOOKUP($B18,OFFSET([2]quests!$A$1,0,0,COUNTA([2]quests!$A:$A),MATCH(C$1,[2]quests!$1:$1,0)-MATCH($B$1,[2]quests!$1:$1,0)+1),MATCH(C$1,[2]quests!$1:$1,0)-MATCH($B$1,[2]quests!$1:$1,0)+1,FALSE)</f>
        <v>ハロウィンナイトパニック！</v>
      </c>
      <c r="D18" s="84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85">
        <v>3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季節イベント</v>
      </c>
      <c r="H18" s="86">
        <v>3</v>
      </c>
      <c r="I18" s="91">
        <f t="shared" si="0"/>
        <v>17</v>
      </c>
      <c r="J18" s="87" t="str">
        <f t="shared" si="4"/>
        <v>4700317</v>
      </c>
      <c r="K18" s="85" t="s">
        <v>197</v>
      </c>
      <c r="L18" s="88" t="s">
        <v>198</v>
      </c>
      <c r="M18" s="144" t="s">
        <v>434</v>
      </c>
      <c r="N18" s="57" t="s">
        <v>199</v>
      </c>
    </row>
    <row r="19" spans="1:14" ht="42" x14ac:dyDescent="0.15">
      <c r="A19" s="82" t="s">
        <v>196</v>
      </c>
      <c r="B19" s="83">
        <f>floors!$C$2</f>
        <v>47003</v>
      </c>
      <c r="C19" s="84" t="str">
        <f ca="1">VLOOKUP($B19,OFFSET([2]quests!$A$1,0,0,COUNTA([2]quests!$A:$A),MATCH(C$1,[2]quests!$1:$1,0)-MATCH($B$1,[2]quests!$1:$1,0)+1),MATCH(C$1,[2]quests!$1:$1,0)-MATCH($B$1,[2]quests!$1:$1,0)+1,FALSE)</f>
        <v>ハロウィンナイトパニック！</v>
      </c>
      <c r="D19" s="84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85">
        <v>3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季節イベント</v>
      </c>
      <c r="H19" s="86">
        <v>3</v>
      </c>
      <c r="I19" s="91">
        <f t="shared" si="0"/>
        <v>18</v>
      </c>
      <c r="J19" s="87" t="str">
        <f t="shared" si="4"/>
        <v>4700318</v>
      </c>
      <c r="K19" s="85" t="s">
        <v>197</v>
      </c>
      <c r="L19" s="88" t="s">
        <v>198</v>
      </c>
      <c r="M19" s="144" t="s">
        <v>435</v>
      </c>
      <c r="N19" s="57" t="s">
        <v>199</v>
      </c>
    </row>
    <row r="20" spans="1:14" ht="42" x14ac:dyDescent="0.15">
      <c r="A20" s="82" t="s">
        <v>196</v>
      </c>
      <c r="B20" s="83">
        <f>floors!$C$2</f>
        <v>47003</v>
      </c>
      <c r="C20" s="84" t="str">
        <f ca="1">VLOOKUP($B20,OFFSET([2]quests!$A$1,0,0,COUNTA([2]quests!$A:$A),MATCH(C$1,[2]quests!$1:$1,0)-MATCH($B$1,[2]quests!$1:$1,0)+1),MATCH(C$1,[2]quests!$1:$1,0)-MATCH($B$1,[2]quests!$1:$1,0)+1,FALSE)</f>
        <v>ハロウィンナイトパニック！</v>
      </c>
      <c r="D20" s="84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85">
        <v>3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季節イベント</v>
      </c>
      <c r="H20" s="86">
        <v>4</v>
      </c>
      <c r="I20" s="91">
        <f t="shared" si="0"/>
        <v>19</v>
      </c>
      <c r="J20" s="87" t="str">
        <f t="shared" si="4"/>
        <v>4700319</v>
      </c>
      <c r="K20" s="85" t="s">
        <v>197</v>
      </c>
      <c r="L20" s="88" t="s">
        <v>198</v>
      </c>
      <c r="M20" s="144" t="s">
        <v>441</v>
      </c>
      <c r="N20" s="57" t="s">
        <v>199</v>
      </c>
    </row>
    <row r="21" spans="1:14" ht="42" x14ac:dyDescent="0.15">
      <c r="A21" s="82" t="s">
        <v>196</v>
      </c>
      <c r="B21" s="83">
        <f>floors!$C$2</f>
        <v>47003</v>
      </c>
      <c r="C21" s="84" t="str">
        <f ca="1">VLOOKUP($B21,OFFSET([2]quests!$A$1,0,0,COUNTA([2]quests!$A:$A),MATCH(C$1,[2]quests!$1:$1,0)-MATCH($B$1,[2]quests!$1:$1,0)+1),MATCH(C$1,[2]quests!$1:$1,0)-MATCH($B$1,[2]quests!$1:$1,0)+1,FALSE)</f>
        <v>ハロウィンナイトパニック！</v>
      </c>
      <c r="D21" s="84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85">
        <v>3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季節イベント</v>
      </c>
      <c r="H21" s="86">
        <v>4</v>
      </c>
      <c r="I21" s="91">
        <f t="shared" si="0"/>
        <v>20</v>
      </c>
      <c r="J21" s="87" t="str">
        <f t="shared" si="4"/>
        <v>4700320</v>
      </c>
      <c r="K21" s="85" t="s">
        <v>197</v>
      </c>
      <c r="L21" s="88" t="s">
        <v>198</v>
      </c>
      <c r="M21" s="144" t="s">
        <v>442</v>
      </c>
      <c r="N21" s="57" t="s">
        <v>199</v>
      </c>
    </row>
    <row r="22" spans="1:14" ht="56" x14ac:dyDescent="0.15">
      <c r="A22" s="82" t="s">
        <v>196</v>
      </c>
      <c r="B22" s="83">
        <f>floors!$C$2</f>
        <v>47003</v>
      </c>
      <c r="C22" s="84" t="str">
        <f ca="1">VLOOKUP($B22,OFFSET([2]quests!$A$1,0,0,COUNTA([2]quests!$A:$A),MATCH(C$1,[2]quests!$1:$1,0)-MATCH($B$1,[2]quests!$1:$1,0)+1),MATCH(C$1,[2]quests!$1:$1,0)-MATCH($B$1,[2]quests!$1:$1,0)+1,FALSE)</f>
        <v>ハロウィンナイトパニック！</v>
      </c>
      <c r="D22" s="84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85">
        <v>3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季節イベント</v>
      </c>
      <c r="H22" s="86">
        <v>4</v>
      </c>
      <c r="I22" s="91">
        <f t="shared" si="0"/>
        <v>21</v>
      </c>
      <c r="J22" s="87" t="str">
        <f t="shared" si="4"/>
        <v>4700321</v>
      </c>
      <c r="K22" s="85" t="s">
        <v>197</v>
      </c>
      <c r="L22" s="88" t="s">
        <v>198</v>
      </c>
      <c r="M22" s="144" t="s">
        <v>446</v>
      </c>
      <c r="N22" s="57" t="s">
        <v>199</v>
      </c>
    </row>
    <row r="23" spans="1:14" ht="56" x14ac:dyDescent="0.15">
      <c r="A23" s="82" t="s">
        <v>196</v>
      </c>
      <c r="B23" s="83">
        <f>floors!$C$2</f>
        <v>47003</v>
      </c>
      <c r="C23" s="84" t="str">
        <f ca="1">VLOOKUP($B23,OFFSET([2]quests!$A$1,0,0,COUNTA([2]quests!$A:$A),MATCH(C$1,[2]quests!$1:$1,0)-MATCH($B$1,[2]quests!$1:$1,0)+1),MATCH(C$1,[2]quests!$1:$1,0)-MATCH($B$1,[2]quests!$1:$1,0)+1,FALSE)</f>
        <v>ハロウィンナイトパニック！</v>
      </c>
      <c r="D23" s="84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85">
        <v>4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季節イベント</v>
      </c>
      <c r="H23" s="86">
        <v>1</v>
      </c>
      <c r="I23" s="91">
        <f>ROW()-1</f>
        <v>22</v>
      </c>
      <c r="J23" s="87" t="str">
        <f>B23&amp;TEXT(I23,"00")</f>
        <v>4700322</v>
      </c>
      <c r="K23" s="85" t="s">
        <v>197</v>
      </c>
      <c r="L23" s="88" t="s">
        <v>198</v>
      </c>
      <c r="M23" s="144" t="s">
        <v>439</v>
      </c>
      <c r="N23" s="57" t="s">
        <v>199</v>
      </c>
    </row>
    <row r="24" spans="1:14" ht="56" x14ac:dyDescent="0.15">
      <c r="A24" s="82" t="s">
        <v>196</v>
      </c>
      <c r="B24" s="83">
        <f>floors!$C$2</f>
        <v>47003</v>
      </c>
      <c r="C24" s="84" t="str">
        <f ca="1">VLOOKUP($B24,OFFSET([2]quests!$A$1,0,0,COUNTA([2]quests!$A:$A),MATCH(C$1,[2]quests!$1:$1,0)-MATCH($B$1,[2]quests!$1:$1,0)+1),MATCH(C$1,[2]quests!$1:$1,0)-MATCH($B$1,[2]quests!$1:$1,0)+1,FALSE)</f>
        <v>ハロウィンナイトパニック！</v>
      </c>
      <c r="D24" s="84" t="str">
        <f ca="1">VLOOKUP($B24,OFFSET([2]quests!$A$1,0,0,COUNTA([2]quests!$A:$A),MATCH(D$1,[2]quests!$1:$1,0)-MATCH($B$1,[2]quests!$1:$1,0)+1),MATCH(D$1,[2]quests!$1:$1,0)-MATCH($B$1,[2]quests!$1:$1,0)+1,FALSE)</f>
        <v>季節イベント</v>
      </c>
      <c r="E24" s="85">
        <v>4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季節イベント</v>
      </c>
      <c r="H24" s="86">
        <v>2</v>
      </c>
      <c r="I24" s="91">
        <f t="shared" si="0"/>
        <v>23</v>
      </c>
      <c r="J24" s="87" t="str">
        <f t="shared" ref="J24:J29" si="5">B24&amp;TEXT(I24,"00")</f>
        <v>4700323</v>
      </c>
      <c r="K24" s="85" t="s">
        <v>197</v>
      </c>
      <c r="L24" s="88" t="s">
        <v>198</v>
      </c>
      <c r="M24" s="144" t="s">
        <v>440</v>
      </c>
      <c r="N24" s="57" t="s">
        <v>199</v>
      </c>
    </row>
    <row r="25" spans="1:14" ht="42" x14ac:dyDescent="0.15">
      <c r="A25" s="82" t="s">
        <v>196</v>
      </c>
      <c r="B25" s="83">
        <f>floors!$C$2</f>
        <v>47003</v>
      </c>
      <c r="C25" s="84" t="str">
        <f ca="1">VLOOKUP($B25,OFFSET([2]quests!$A$1,0,0,COUNTA([2]quests!$A:$A),MATCH(C$1,[2]quests!$1:$1,0)-MATCH($B$1,[2]quests!$1:$1,0)+1),MATCH(C$1,[2]quests!$1:$1,0)-MATCH($B$1,[2]quests!$1:$1,0)+1,FALSE)</f>
        <v>ハロウィンナイトパニック！</v>
      </c>
      <c r="D25" s="84" t="str">
        <f ca="1">VLOOKUP($B25,OFFSET([2]quests!$A$1,0,0,COUNTA([2]quests!$A:$A),MATCH(D$1,[2]quests!$1:$1,0)-MATCH($B$1,[2]quests!$1:$1,0)+1),MATCH(D$1,[2]quests!$1:$1,0)-MATCH($B$1,[2]quests!$1:$1,0)+1,FALSE)</f>
        <v>季節イベント</v>
      </c>
      <c r="E25" s="85">
        <v>4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季節イベント</v>
      </c>
      <c r="H25" s="86">
        <v>3</v>
      </c>
      <c r="I25" s="91">
        <f t="shared" si="0"/>
        <v>24</v>
      </c>
      <c r="J25" s="87" t="str">
        <f t="shared" si="5"/>
        <v>4700324</v>
      </c>
      <c r="K25" s="85" t="s">
        <v>197</v>
      </c>
      <c r="L25" s="88" t="s">
        <v>198</v>
      </c>
      <c r="M25" s="144" t="s">
        <v>434</v>
      </c>
      <c r="N25" s="57" t="s">
        <v>199</v>
      </c>
    </row>
    <row r="26" spans="1:14" ht="42" x14ac:dyDescent="0.15">
      <c r="A26" s="82" t="s">
        <v>196</v>
      </c>
      <c r="B26" s="83">
        <f>floors!$C$2</f>
        <v>47003</v>
      </c>
      <c r="C26" s="84" t="str">
        <f ca="1">VLOOKUP($B26,OFFSET([2]quests!$A$1,0,0,COUNTA([2]quests!$A:$A),MATCH(C$1,[2]quests!$1:$1,0)-MATCH($B$1,[2]quests!$1:$1,0)+1),MATCH(C$1,[2]quests!$1:$1,0)-MATCH($B$1,[2]quests!$1:$1,0)+1,FALSE)</f>
        <v>ハロウィンナイトパニック！</v>
      </c>
      <c r="D26" s="84" t="str">
        <f ca="1">VLOOKUP($B26,OFFSET([2]quests!$A$1,0,0,COUNTA([2]quests!$A:$A),MATCH(D$1,[2]quests!$1:$1,0)-MATCH($B$1,[2]quests!$1:$1,0)+1),MATCH(D$1,[2]quests!$1:$1,0)-MATCH($B$1,[2]quests!$1:$1,0)+1,FALSE)</f>
        <v>季節イベント</v>
      </c>
      <c r="E26" s="85">
        <v>4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季節イベント</v>
      </c>
      <c r="H26" s="86">
        <v>3</v>
      </c>
      <c r="I26" s="91">
        <f t="shared" si="0"/>
        <v>25</v>
      </c>
      <c r="J26" s="87" t="str">
        <f t="shared" si="5"/>
        <v>4700325</v>
      </c>
      <c r="K26" s="85" t="s">
        <v>197</v>
      </c>
      <c r="L26" s="88" t="s">
        <v>198</v>
      </c>
      <c r="M26" s="144" t="s">
        <v>435</v>
      </c>
      <c r="N26" s="57" t="s">
        <v>199</v>
      </c>
    </row>
    <row r="27" spans="1:14" ht="42" x14ac:dyDescent="0.15">
      <c r="A27" s="82" t="s">
        <v>196</v>
      </c>
      <c r="B27" s="83">
        <f>floors!$C$2</f>
        <v>47003</v>
      </c>
      <c r="C27" s="84" t="str">
        <f ca="1">VLOOKUP($B27,OFFSET([2]quests!$A$1,0,0,COUNTA([2]quests!$A:$A),MATCH(C$1,[2]quests!$1:$1,0)-MATCH($B$1,[2]quests!$1:$1,0)+1),MATCH(C$1,[2]quests!$1:$1,0)-MATCH($B$1,[2]quests!$1:$1,0)+1,FALSE)</f>
        <v>ハロウィンナイトパニック！</v>
      </c>
      <c r="D27" s="84" t="str">
        <f ca="1">VLOOKUP($B27,OFFSET([2]quests!$A$1,0,0,COUNTA([2]quests!$A:$A),MATCH(D$1,[2]quests!$1:$1,0)-MATCH($B$1,[2]quests!$1:$1,0)+1),MATCH(D$1,[2]quests!$1:$1,0)-MATCH($B$1,[2]quests!$1:$1,0)+1,FALSE)</f>
        <v>季節イベント</v>
      </c>
      <c r="E27" s="85">
        <v>4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季節イベント</v>
      </c>
      <c r="H27" s="86">
        <v>4</v>
      </c>
      <c r="I27" s="91">
        <f t="shared" si="0"/>
        <v>26</v>
      </c>
      <c r="J27" s="87" t="str">
        <f t="shared" si="5"/>
        <v>4700326</v>
      </c>
      <c r="K27" s="85" t="s">
        <v>197</v>
      </c>
      <c r="L27" s="88" t="s">
        <v>198</v>
      </c>
      <c r="M27" s="144" t="s">
        <v>441</v>
      </c>
      <c r="N27" s="57" t="s">
        <v>199</v>
      </c>
    </row>
    <row r="28" spans="1:14" ht="42" x14ac:dyDescent="0.15">
      <c r="A28" s="82" t="s">
        <v>196</v>
      </c>
      <c r="B28" s="83">
        <f>floors!$C$2</f>
        <v>47003</v>
      </c>
      <c r="C28" s="84" t="str">
        <f ca="1">VLOOKUP($B28,OFFSET([2]quests!$A$1,0,0,COUNTA([2]quests!$A:$A),MATCH(C$1,[2]quests!$1:$1,0)-MATCH($B$1,[2]quests!$1:$1,0)+1),MATCH(C$1,[2]quests!$1:$1,0)-MATCH($B$1,[2]quests!$1:$1,0)+1,FALSE)</f>
        <v>ハロウィンナイトパニック！</v>
      </c>
      <c r="D28" s="84" t="str">
        <f ca="1">VLOOKUP($B28,OFFSET([2]quests!$A$1,0,0,COUNTA([2]quests!$A:$A),MATCH(D$1,[2]quests!$1:$1,0)-MATCH($B$1,[2]quests!$1:$1,0)+1),MATCH(D$1,[2]quests!$1:$1,0)-MATCH($B$1,[2]quests!$1:$1,0)+1,FALSE)</f>
        <v>季節イベント</v>
      </c>
      <c r="E28" s="85">
        <v>4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季節イベント</v>
      </c>
      <c r="H28" s="86">
        <v>4</v>
      </c>
      <c r="I28" s="91">
        <f t="shared" si="0"/>
        <v>27</v>
      </c>
      <c r="J28" s="87" t="str">
        <f t="shared" si="5"/>
        <v>4700327</v>
      </c>
      <c r="K28" s="85" t="s">
        <v>197</v>
      </c>
      <c r="L28" s="88" t="s">
        <v>198</v>
      </c>
      <c r="M28" s="144" t="s">
        <v>442</v>
      </c>
      <c r="N28" s="57" t="s">
        <v>199</v>
      </c>
    </row>
    <row r="29" spans="1:14" ht="56" x14ac:dyDescent="0.15">
      <c r="A29" s="82" t="s">
        <v>196</v>
      </c>
      <c r="B29" s="83">
        <f>floors!$C$2</f>
        <v>47003</v>
      </c>
      <c r="C29" s="84" t="str">
        <f ca="1">VLOOKUP($B29,OFFSET([2]quests!$A$1,0,0,COUNTA([2]quests!$A:$A),MATCH(C$1,[2]quests!$1:$1,0)-MATCH($B$1,[2]quests!$1:$1,0)+1),MATCH(C$1,[2]quests!$1:$1,0)-MATCH($B$1,[2]quests!$1:$1,0)+1,FALSE)</f>
        <v>ハロウィンナイトパニック！</v>
      </c>
      <c r="D29" s="84" t="str">
        <f ca="1">VLOOKUP($B29,OFFSET([2]quests!$A$1,0,0,COUNTA([2]quests!$A:$A),MATCH(D$1,[2]quests!$1:$1,0)-MATCH($B$1,[2]quests!$1:$1,0)+1),MATCH(D$1,[2]quests!$1:$1,0)-MATCH($B$1,[2]quests!$1:$1,0)+1,FALSE)</f>
        <v>季節イベント</v>
      </c>
      <c r="E29" s="85">
        <v>4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季節イベント</v>
      </c>
      <c r="H29" s="86">
        <v>4</v>
      </c>
      <c r="I29" s="91">
        <f t="shared" si="0"/>
        <v>28</v>
      </c>
      <c r="J29" s="87" t="str">
        <f t="shared" si="5"/>
        <v>4700328</v>
      </c>
      <c r="K29" s="85" t="s">
        <v>197</v>
      </c>
      <c r="L29" s="88" t="s">
        <v>198</v>
      </c>
      <c r="M29" s="144" t="s">
        <v>446</v>
      </c>
      <c r="N29" s="57" t="s">
        <v>199</v>
      </c>
    </row>
    <row r="30" spans="1:14" ht="56" x14ac:dyDescent="0.15">
      <c r="A30" s="82" t="s">
        <v>196</v>
      </c>
      <c r="B30" s="83">
        <f>floors!$C$2</f>
        <v>47003</v>
      </c>
      <c r="C30" s="84" t="str">
        <f ca="1">VLOOKUP($B30,OFFSET([2]quests!$A$1,0,0,COUNTA([2]quests!$A:$A),MATCH(C$1,[2]quests!$1:$1,0)-MATCH($B$1,[2]quests!$1:$1,0)+1),MATCH(C$1,[2]quests!$1:$1,0)-MATCH($B$1,[2]quests!$1:$1,0)+1,FALSE)</f>
        <v>ハロウィンナイトパニック！</v>
      </c>
      <c r="D30" s="84" t="str">
        <f ca="1">VLOOKUP($B30,OFFSET([2]quests!$A$1,0,0,COUNTA([2]quests!$A:$A),MATCH(D$1,[2]quests!$1:$1,0)-MATCH($B$1,[2]quests!$1:$1,0)+1),MATCH(D$1,[2]quests!$1:$1,0)-MATCH($B$1,[2]quests!$1:$1,0)+1,FALSE)</f>
        <v>季節イベント</v>
      </c>
      <c r="E30" s="85">
        <v>4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季節イベント</v>
      </c>
      <c r="H30" s="86">
        <v>4</v>
      </c>
      <c r="I30" s="91">
        <f t="shared" si="0"/>
        <v>29</v>
      </c>
      <c r="J30" s="87" t="str">
        <f t="shared" ref="J30" si="6">B30&amp;TEXT(I30,"00")</f>
        <v>4700329</v>
      </c>
      <c r="K30" s="85" t="s">
        <v>197</v>
      </c>
      <c r="L30" s="88" t="s">
        <v>198</v>
      </c>
      <c r="M30" s="144" t="s">
        <v>443</v>
      </c>
      <c r="N30" s="57" t="s">
        <v>199</v>
      </c>
    </row>
    <row r="31" spans="1:14" ht="56" x14ac:dyDescent="0.15">
      <c r="A31" s="145" t="s">
        <v>417</v>
      </c>
      <c r="B31" s="83">
        <f>floors!$C$2</f>
        <v>47003</v>
      </c>
      <c r="C31" s="84" t="str">
        <f ca="1">VLOOKUP($B31,OFFSET([2]quests!$A$1,0,0,COUNTA([2]quests!$A:$A),MATCH(C$1,[2]quests!$1:$1,0)-MATCH($B$1,[2]quests!$1:$1,0)+1),MATCH(C$1,[2]quests!$1:$1,0)-MATCH($B$1,[2]quests!$1:$1,0)+1,FALSE)</f>
        <v>ハロウィンナイトパニック！</v>
      </c>
      <c r="D31" s="84" t="str">
        <f ca="1">VLOOKUP($B31,OFFSET([2]quests!$A$1,0,0,COUNTA([2]quests!$A:$A),MATCH(D$1,[2]quests!$1:$1,0)-MATCH($B$1,[2]quests!$1:$1,0)+1),MATCH(D$1,[2]quests!$1:$1,0)-MATCH($B$1,[2]quests!$1:$1,0)+1,FALSE)</f>
        <v>季節イベント</v>
      </c>
      <c r="E31" s="85">
        <v>1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季節イベント</v>
      </c>
      <c r="H31" s="86">
        <v>0</v>
      </c>
      <c r="I31" s="91">
        <f t="shared" si="0"/>
        <v>30</v>
      </c>
      <c r="J31" s="87" t="str">
        <f t="shared" si="1"/>
        <v>4700330</v>
      </c>
      <c r="K31" s="85" t="s">
        <v>197</v>
      </c>
      <c r="L31" s="88" t="s">
        <v>428</v>
      </c>
      <c r="M31" s="144" t="s">
        <v>444</v>
      </c>
      <c r="N31" s="57" t="s">
        <v>199</v>
      </c>
    </row>
    <row r="32" spans="1:14" ht="56" x14ac:dyDescent="0.15">
      <c r="A32" s="145" t="s">
        <v>417</v>
      </c>
      <c r="B32" s="83">
        <f>floors!$C$2</f>
        <v>47003</v>
      </c>
      <c r="C32" s="84" t="str">
        <f ca="1">VLOOKUP($B32,OFFSET([2]quests!$A$1,0,0,COUNTA([2]quests!$A:$A),MATCH(C$1,[2]quests!$1:$1,0)-MATCH($B$1,[2]quests!$1:$1,0)+1),MATCH(C$1,[2]quests!$1:$1,0)-MATCH($B$1,[2]quests!$1:$1,0)+1,FALSE)</f>
        <v>ハロウィンナイトパニック！</v>
      </c>
      <c r="D32" s="84" t="str">
        <f ca="1">VLOOKUP($B32,OFFSET([2]quests!$A$1,0,0,COUNTA([2]quests!$A:$A),MATCH(D$1,[2]quests!$1:$1,0)-MATCH($B$1,[2]quests!$1:$1,0)+1),MATCH(D$1,[2]quests!$1:$1,0)-MATCH($B$1,[2]quests!$1:$1,0)+1,FALSE)</f>
        <v>季節イベント</v>
      </c>
      <c r="E32" s="85">
        <v>1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季節イベント</v>
      </c>
      <c r="H32" s="86">
        <v>0</v>
      </c>
      <c r="I32" s="91">
        <f t="shared" si="0"/>
        <v>31</v>
      </c>
      <c r="J32" s="87" t="str">
        <f t="shared" si="1"/>
        <v>4700331</v>
      </c>
      <c r="K32" s="85" t="s">
        <v>197</v>
      </c>
      <c r="L32" s="88" t="s">
        <v>429</v>
      </c>
      <c r="M32" s="144" t="s">
        <v>445</v>
      </c>
      <c r="N32" s="57" t="s">
        <v>199</v>
      </c>
    </row>
    <row r="33" spans="1:14" ht="42" x14ac:dyDescent="0.15">
      <c r="A33" s="145" t="s">
        <v>417</v>
      </c>
      <c r="B33" s="83">
        <f>floors!$C$2</f>
        <v>47003</v>
      </c>
      <c r="C33" s="84" t="str">
        <f ca="1">VLOOKUP($B33,OFFSET([2]quests!$A$1,0,0,COUNTA([2]quests!$A:$A),MATCH(C$1,[2]quests!$1:$1,0)-MATCH($B$1,[2]quests!$1:$1,0)+1),MATCH(C$1,[2]quests!$1:$1,0)-MATCH($B$1,[2]quests!$1:$1,0)+1,FALSE)</f>
        <v>ハロウィンナイトパニック！</v>
      </c>
      <c r="D33" s="84" t="str">
        <f ca="1">VLOOKUP($B33,OFFSET([2]quests!$A$1,0,0,COUNTA([2]quests!$A:$A),MATCH(D$1,[2]quests!$1:$1,0)-MATCH($B$1,[2]quests!$1:$1,0)+1),MATCH(D$1,[2]quests!$1:$1,0)-MATCH($B$1,[2]quests!$1:$1,0)+1,FALSE)</f>
        <v>季節イベント</v>
      </c>
      <c r="E33" s="85">
        <v>1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季節イベント</v>
      </c>
      <c r="H33" s="86">
        <v>0</v>
      </c>
      <c r="I33" s="91">
        <f t="shared" si="0"/>
        <v>32</v>
      </c>
      <c r="J33" s="87" t="str">
        <f t="shared" si="1"/>
        <v>4700332</v>
      </c>
      <c r="K33" s="85" t="s">
        <v>197</v>
      </c>
      <c r="L33" s="88" t="s">
        <v>430</v>
      </c>
      <c r="M33" s="144" t="s">
        <v>437</v>
      </c>
      <c r="N33" s="57" t="s">
        <v>199</v>
      </c>
    </row>
    <row r="34" spans="1:14" ht="42" x14ac:dyDescent="0.15">
      <c r="A34" s="145" t="s">
        <v>417</v>
      </c>
      <c r="B34" s="83">
        <f>floors!$C$2</f>
        <v>47003</v>
      </c>
      <c r="C34" s="84" t="str">
        <f ca="1">VLOOKUP($B34,OFFSET([2]quests!$A$1,0,0,COUNTA([2]quests!$A:$A),MATCH(C$1,[2]quests!$1:$1,0)-MATCH($B$1,[2]quests!$1:$1,0)+1),MATCH(C$1,[2]quests!$1:$1,0)-MATCH($B$1,[2]quests!$1:$1,0)+1,FALSE)</f>
        <v>ハロウィンナイトパニック！</v>
      </c>
      <c r="D34" s="84" t="str">
        <f ca="1">VLOOKUP($B34,OFFSET([2]quests!$A$1,0,0,COUNTA([2]quests!$A:$A),MATCH(D$1,[2]quests!$1:$1,0)-MATCH($B$1,[2]quests!$1:$1,0)+1),MATCH(D$1,[2]quests!$1:$1,0)-MATCH($B$1,[2]quests!$1:$1,0)+1,FALSE)</f>
        <v>季節イベント</v>
      </c>
      <c r="E34" s="85">
        <v>1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季節イベント</v>
      </c>
      <c r="H34" s="86">
        <v>0</v>
      </c>
      <c r="I34" s="91">
        <f t="shared" si="0"/>
        <v>33</v>
      </c>
      <c r="J34" s="87" t="str">
        <f t="shared" ref="J34:J39" si="7">B34&amp;TEXT(I34,"00")</f>
        <v>4700333</v>
      </c>
      <c r="K34" s="85" t="s">
        <v>197</v>
      </c>
      <c r="L34" s="88" t="s">
        <v>431</v>
      </c>
      <c r="M34" s="144" t="s">
        <v>438</v>
      </c>
      <c r="N34" s="57" t="s">
        <v>199</v>
      </c>
    </row>
    <row r="35" spans="1:14" ht="56" x14ac:dyDescent="0.15">
      <c r="A35" s="145" t="s">
        <v>417</v>
      </c>
      <c r="B35" s="83">
        <f>floors!$C$2</f>
        <v>47003</v>
      </c>
      <c r="C35" s="84" t="str">
        <f ca="1">VLOOKUP($B35,OFFSET([2]quests!$A$1,0,0,COUNTA([2]quests!$A:$A),MATCH(C$1,[2]quests!$1:$1,0)-MATCH($B$1,[2]quests!$1:$1,0)+1),MATCH(C$1,[2]quests!$1:$1,0)-MATCH($B$1,[2]quests!$1:$1,0)+1,FALSE)</f>
        <v>ハロウィンナイトパニック！</v>
      </c>
      <c r="D35" s="84" t="str">
        <f ca="1">VLOOKUP($B35,OFFSET([2]quests!$A$1,0,0,COUNTA([2]quests!$A:$A),MATCH(D$1,[2]quests!$1:$1,0)-MATCH($B$1,[2]quests!$1:$1,0)+1),MATCH(D$1,[2]quests!$1:$1,0)-MATCH($B$1,[2]quests!$1:$1,0)+1,FALSE)</f>
        <v>季節イベント</v>
      </c>
      <c r="E35" s="85">
        <v>1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季節イベント</v>
      </c>
      <c r="H35" s="86">
        <v>0</v>
      </c>
      <c r="I35" s="91">
        <f t="shared" si="0"/>
        <v>34</v>
      </c>
      <c r="J35" s="87" t="str">
        <f t="shared" si="7"/>
        <v>4700334</v>
      </c>
      <c r="K35" s="85" t="s">
        <v>197</v>
      </c>
      <c r="L35" s="88" t="s">
        <v>432</v>
      </c>
      <c r="M35" s="144" t="s">
        <v>611</v>
      </c>
      <c r="N35" s="57" t="s">
        <v>199</v>
      </c>
    </row>
    <row r="36" spans="1:14" ht="56" x14ac:dyDescent="0.15">
      <c r="A36" s="145" t="s">
        <v>417</v>
      </c>
      <c r="B36" s="83">
        <f>floors!$C$2</f>
        <v>47003</v>
      </c>
      <c r="C36" s="84" t="str">
        <f ca="1">VLOOKUP($B36,OFFSET([2]quests!$A$1,0,0,COUNTA([2]quests!$A:$A),MATCH(C$1,[2]quests!$1:$1,0)-MATCH($B$1,[2]quests!$1:$1,0)+1),MATCH(C$1,[2]quests!$1:$1,0)-MATCH($B$1,[2]quests!$1:$1,0)+1,FALSE)</f>
        <v>ハロウィンナイトパニック！</v>
      </c>
      <c r="D36" s="84" t="str">
        <f ca="1">VLOOKUP($B36,OFFSET([2]quests!$A$1,0,0,COUNTA([2]quests!$A:$A),MATCH(D$1,[2]quests!$1:$1,0)-MATCH($B$1,[2]quests!$1:$1,0)+1),MATCH(D$1,[2]quests!$1:$1,0)-MATCH($B$1,[2]quests!$1:$1,0)+1,FALSE)</f>
        <v>季節イベント</v>
      </c>
      <c r="E36" s="85">
        <v>1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季節イベント</v>
      </c>
      <c r="H36" s="86">
        <v>0</v>
      </c>
      <c r="I36" s="91">
        <f t="shared" si="0"/>
        <v>35</v>
      </c>
      <c r="J36" s="87" t="str">
        <f t="shared" si="7"/>
        <v>4700335</v>
      </c>
      <c r="K36" s="85" t="s">
        <v>197</v>
      </c>
      <c r="L36" s="88" t="s">
        <v>433</v>
      </c>
      <c r="M36" s="144" t="s">
        <v>612</v>
      </c>
      <c r="N36" s="57" t="s">
        <v>199</v>
      </c>
    </row>
    <row r="37" spans="1:14" ht="56" x14ac:dyDescent="0.15">
      <c r="A37" s="145" t="s">
        <v>417</v>
      </c>
      <c r="B37" s="83">
        <f>floors!$C$2</f>
        <v>47003</v>
      </c>
      <c r="C37" s="84" t="str">
        <f ca="1">VLOOKUP($B37,OFFSET([2]quests!$A$1,0,0,COUNTA([2]quests!$A:$A),MATCH(C$1,[2]quests!$1:$1,0)-MATCH($B$1,[2]quests!$1:$1,0)+1),MATCH(C$1,[2]quests!$1:$1,0)-MATCH($B$1,[2]quests!$1:$1,0)+1,FALSE)</f>
        <v>ハロウィンナイトパニック！</v>
      </c>
      <c r="D37" s="84" t="str">
        <f ca="1">VLOOKUP($B37,OFFSET([2]quests!$A$1,0,0,COUNTA([2]quests!$A:$A),MATCH(D$1,[2]quests!$1:$1,0)-MATCH($B$1,[2]quests!$1:$1,0)+1),MATCH(D$1,[2]quests!$1:$1,0)-MATCH($B$1,[2]quests!$1:$1,0)+1,FALSE)</f>
        <v>季節イベント</v>
      </c>
      <c r="E37" s="85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季節イベント</v>
      </c>
      <c r="H37" s="86">
        <v>0</v>
      </c>
      <c r="I37" s="91">
        <f t="shared" si="0"/>
        <v>36</v>
      </c>
      <c r="J37" s="87" t="str">
        <f t="shared" si="7"/>
        <v>4700336</v>
      </c>
      <c r="K37" s="85" t="s">
        <v>197</v>
      </c>
      <c r="L37" s="88" t="s">
        <v>428</v>
      </c>
      <c r="M37" s="144" t="s">
        <v>444</v>
      </c>
      <c r="N37" s="57" t="s">
        <v>199</v>
      </c>
    </row>
    <row r="38" spans="1:14" ht="56" x14ac:dyDescent="0.15">
      <c r="A38" s="145" t="s">
        <v>417</v>
      </c>
      <c r="B38" s="83">
        <f>floors!$C$2</f>
        <v>47003</v>
      </c>
      <c r="C38" s="84" t="str">
        <f ca="1">VLOOKUP($B38,OFFSET([2]quests!$A$1,0,0,COUNTA([2]quests!$A:$A),MATCH(C$1,[2]quests!$1:$1,0)-MATCH($B$1,[2]quests!$1:$1,0)+1),MATCH(C$1,[2]quests!$1:$1,0)-MATCH($B$1,[2]quests!$1:$1,0)+1,FALSE)</f>
        <v>ハロウィンナイトパニック！</v>
      </c>
      <c r="D38" s="84" t="str">
        <f ca="1">VLOOKUP($B38,OFFSET([2]quests!$A$1,0,0,COUNTA([2]quests!$A:$A),MATCH(D$1,[2]quests!$1:$1,0)-MATCH($B$1,[2]quests!$1:$1,0)+1),MATCH(D$1,[2]quests!$1:$1,0)-MATCH($B$1,[2]quests!$1:$1,0)+1,FALSE)</f>
        <v>季節イベント</v>
      </c>
      <c r="E38" s="85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季節イベント</v>
      </c>
      <c r="H38" s="86">
        <v>0</v>
      </c>
      <c r="I38" s="91">
        <f t="shared" si="0"/>
        <v>37</v>
      </c>
      <c r="J38" s="87" t="str">
        <f t="shared" si="7"/>
        <v>4700337</v>
      </c>
      <c r="K38" s="85" t="s">
        <v>197</v>
      </c>
      <c r="L38" s="88" t="s">
        <v>429</v>
      </c>
      <c r="M38" s="144" t="s">
        <v>445</v>
      </c>
      <c r="N38" s="57" t="s">
        <v>199</v>
      </c>
    </row>
    <row r="39" spans="1:14" ht="42" x14ac:dyDescent="0.15">
      <c r="A39" s="145" t="s">
        <v>417</v>
      </c>
      <c r="B39" s="83">
        <f>floors!$C$2</f>
        <v>47003</v>
      </c>
      <c r="C39" s="84" t="str">
        <f ca="1">VLOOKUP($B39,OFFSET([2]quests!$A$1,0,0,COUNTA([2]quests!$A:$A),MATCH(C$1,[2]quests!$1:$1,0)-MATCH($B$1,[2]quests!$1:$1,0)+1),MATCH(C$1,[2]quests!$1:$1,0)-MATCH($B$1,[2]quests!$1:$1,0)+1,FALSE)</f>
        <v>ハロウィンナイトパニック！</v>
      </c>
      <c r="D39" s="84" t="str">
        <f ca="1">VLOOKUP($B39,OFFSET([2]quests!$A$1,0,0,COUNTA([2]quests!$A:$A),MATCH(D$1,[2]quests!$1:$1,0)-MATCH($B$1,[2]quests!$1:$1,0)+1),MATCH(D$1,[2]quests!$1:$1,0)-MATCH($B$1,[2]quests!$1:$1,0)+1,FALSE)</f>
        <v>季節イベント</v>
      </c>
      <c r="E39" s="85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季節イベント</v>
      </c>
      <c r="H39" s="86">
        <v>0</v>
      </c>
      <c r="I39" s="91">
        <f t="shared" si="0"/>
        <v>38</v>
      </c>
      <c r="J39" s="87" t="str">
        <f t="shared" si="7"/>
        <v>4700338</v>
      </c>
      <c r="K39" s="85" t="s">
        <v>197</v>
      </c>
      <c r="L39" s="88" t="s">
        <v>430</v>
      </c>
      <c r="M39" s="144" t="s">
        <v>437</v>
      </c>
      <c r="N39" s="57" t="s">
        <v>199</v>
      </c>
    </row>
    <row r="40" spans="1:14" ht="42" x14ac:dyDescent="0.15">
      <c r="A40" s="145" t="s">
        <v>417</v>
      </c>
      <c r="B40" s="83">
        <f>floors!$C$2</f>
        <v>47003</v>
      </c>
      <c r="C40" s="84" t="str">
        <f ca="1">VLOOKUP($B40,OFFSET([2]quests!$A$1,0,0,COUNTA([2]quests!$A:$A),MATCH(C$1,[2]quests!$1:$1,0)-MATCH($B$1,[2]quests!$1:$1,0)+1),MATCH(C$1,[2]quests!$1:$1,0)-MATCH($B$1,[2]quests!$1:$1,0)+1,FALSE)</f>
        <v>ハロウィンナイトパニック！</v>
      </c>
      <c r="D40" s="84" t="str">
        <f ca="1">VLOOKUP($B40,OFFSET([2]quests!$A$1,0,0,COUNTA([2]quests!$A:$A),MATCH(D$1,[2]quests!$1:$1,0)-MATCH($B$1,[2]quests!$1:$1,0)+1),MATCH(D$1,[2]quests!$1:$1,0)-MATCH($B$1,[2]quests!$1:$1,0)+1,FALSE)</f>
        <v>季節イベント</v>
      </c>
      <c r="E40" s="85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季節イベント</v>
      </c>
      <c r="H40" s="86">
        <v>0</v>
      </c>
      <c r="I40" s="91">
        <f t="shared" si="0"/>
        <v>39</v>
      </c>
      <c r="J40" s="87" t="str">
        <f t="shared" ref="J40:J54" si="8">B40&amp;TEXT(I40,"00")</f>
        <v>4700339</v>
      </c>
      <c r="K40" s="85" t="s">
        <v>197</v>
      </c>
      <c r="L40" s="88" t="s">
        <v>431</v>
      </c>
      <c r="M40" s="144" t="s">
        <v>438</v>
      </c>
      <c r="N40" s="57" t="s">
        <v>199</v>
      </c>
    </row>
    <row r="41" spans="1:14" ht="56" x14ac:dyDescent="0.15">
      <c r="A41" s="145" t="s">
        <v>417</v>
      </c>
      <c r="B41" s="83">
        <f>floors!$C$2</f>
        <v>47003</v>
      </c>
      <c r="C41" s="84" t="str">
        <f ca="1">VLOOKUP($B41,OFFSET([2]quests!$A$1,0,0,COUNTA([2]quests!$A:$A),MATCH(C$1,[2]quests!$1:$1,0)-MATCH($B$1,[2]quests!$1:$1,0)+1),MATCH(C$1,[2]quests!$1:$1,0)-MATCH($B$1,[2]quests!$1:$1,0)+1,FALSE)</f>
        <v>ハロウィンナイトパニック！</v>
      </c>
      <c r="D41" s="84" t="str">
        <f ca="1">VLOOKUP($B41,OFFSET([2]quests!$A$1,0,0,COUNTA([2]quests!$A:$A),MATCH(D$1,[2]quests!$1:$1,0)-MATCH($B$1,[2]quests!$1:$1,0)+1),MATCH(D$1,[2]quests!$1:$1,0)-MATCH($B$1,[2]quests!$1:$1,0)+1,FALSE)</f>
        <v>季節イベント</v>
      </c>
      <c r="E41" s="85">
        <v>2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季節イベント</v>
      </c>
      <c r="H41" s="86">
        <v>0</v>
      </c>
      <c r="I41" s="91">
        <f t="shared" si="0"/>
        <v>40</v>
      </c>
      <c r="J41" s="87" t="str">
        <f t="shared" si="8"/>
        <v>4700340</v>
      </c>
      <c r="K41" s="85" t="s">
        <v>197</v>
      </c>
      <c r="L41" s="88" t="s">
        <v>432</v>
      </c>
      <c r="M41" s="144" t="s">
        <v>611</v>
      </c>
      <c r="N41" s="57" t="s">
        <v>199</v>
      </c>
    </row>
    <row r="42" spans="1:14" ht="56" x14ac:dyDescent="0.15">
      <c r="A42" s="145" t="s">
        <v>417</v>
      </c>
      <c r="B42" s="83">
        <f>floors!$C$2</f>
        <v>47003</v>
      </c>
      <c r="C42" s="84" t="str">
        <f ca="1">VLOOKUP($B42,OFFSET([2]quests!$A$1,0,0,COUNTA([2]quests!$A:$A),MATCH(C$1,[2]quests!$1:$1,0)-MATCH($B$1,[2]quests!$1:$1,0)+1),MATCH(C$1,[2]quests!$1:$1,0)-MATCH($B$1,[2]quests!$1:$1,0)+1,FALSE)</f>
        <v>ハロウィンナイトパニック！</v>
      </c>
      <c r="D42" s="84" t="str">
        <f ca="1">VLOOKUP($B42,OFFSET([2]quests!$A$1,0,0,COUNTA([2]quests!$A:$A),MATCH(D$1,[2]quests!$1:$1,0)-MATCH($B$1,[2]quests!$1:$1,0)+1),MATCH(D$1,[2]quests!$1:$1,0)-MATCH($B$1,[2]quests!$1:$1,0)+1,FALSE)</f>
        <v>季節イベント</v>
      </c>
      <c r="E42" s="85">
        <v>2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季節イベント</v>
      </c>
      <c r="H42" s="86">
        <v>0</v>
      </c>
      <c r="I42" s="91">
        <f t="shared" si="0"/>
        <v>41</v>
      </c>
      <c r="J42" s="87" t="str">
        <f t="shared" si="8"/>
        <v>4700341</v>
      </c>
      <c r="K42" s="85" t="s">
        <v>197</v>
      </c>
      <c r="L42" s="88" t="s">
        <v>433</v>
      </c>
      <c r="M42" s="144" t="s">
        <v>612</v>
      </c>
      <c r="N42" s="57" t="s">
        <v>199</v>
      </c>
    </row>
    <row r="43" spans="1:14" ht="56" x14ac:dyDescent="0.15">
      <c r="A43" s="145" t="s">
        <v>417</v>
      </c>
      <c r="B43" s="83">
        <f>floors!$C$2</f>
        <v>47003</v>
      </c>
      <c r="C43" s="84" t="str">
        <f ca="1">VLOOKUP($B43,OFFSET([2]quests!$A$1,0,0,COUNTA([2]quests!$A:$A),MATCH(C$1,[2]quests!$1:$1,0)-MATCH($B$1,[2]quests!$1:$1,0)+1),MATCH(C$1,[2]quests!$1:$1,0)-MATCH($B$1,[2]quests!$1:$1,0)+1,FALSE)</f>
        <v>ハロウィンナイトパニック！</v>
      </c>
      <c r="D43" s="84" t="str">
        <f ca="1">VLOOKUP($B43,OFFSET([2]quests!$A$1,0,0,COUNTA([2]quests!$A:$A),MATCH(D$1,[2]quests!$1:$1,0)-MATCH($B$1,[2]quests!$1:$1,0)+1),MATCH(D$1,[2]quests!$1:$1,0)-MATCH($B$1,[2]quests!$1:$1,0)+1,FALSE)</f>
        <v>季節イベント</v>
      </c>
      <c r="E43" s="85">
        <v>3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季節イベント</v>
      </c>
      <c r="H43" s="86">
        <v>0</v>
      </c>
      <c r="I43" s="91">
        <f t="shared" si="0"/>
        <v>42</v>
      </c>
      <c r="J43" s="87" t="str">
        <f t="shared" si="8"/>
        <v>4700342</v>
      </c>
      <c r="K43" s="85" t="s">
        <v>197</v>
      </c>
      <c r="L43" s="88" t="s">
        <v>428</v>
      </c>
      <c r="M43" s="144" t="s">
        <v>444</v>
      </c>
      <c r="N43" s="57" t="s">
        <v>199</v>
      </c>
    </row>
    <row r="44" spans="1:14" ht="56" x14ac:dyDescent="0.15">
      <c r="A44" s="145" t="s">
        <v>417</v>
      </c>
      <c r="B44" s="83">
        <f>floors!$C$2</f>
        <v>47003</v>
      </c>
      <c r="C44" s="84" t="str">
        <f ca="1">VLOOKUP($B44,OFFSET([2]quests!$A$1,0,0,COUNTA([2]quests!$A:$A),MATCH(C$1,[2]quests!$1:$1,0)-MATCH($B$1,[2]quests!$1:$1,0)+1),MATCH(C$1,[2]quests!$1:$1,0)-MATCH($B$1,[2]quests!$1:$1,0)+1,FALSE)</f>
        <v>ハロウィンナイトパニック！</v>
      </c>
      <c r="D44" s="84" t="str">
        <f ca="1">VLOOKUP($B44,OFFSET([2]quests!$A$1,0,0,COUNTA([2]quests!$A:$A),MATCH(D$1,[2]quests!$1:$1,0)-MATCH($B$1,[2]quests!$1:$1,0)+1),MATCH(D$1,[2]quests!$1:$1,0)-MATCH($B$1,[2]quests!$1:$1,0)+1,FALSE)</f>
        <v>季節イベント</v>
      </c>
      <c r="E44" s="85">
        <v>3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季節イベント</v>
      </c>
      <c r="H44" s="86">
        <v>0</v>
      </c>
      <c r="I44" s="91">
        <f t="shared" si="0"/>
        <v>43</v>
      </c>
      <c r="J44" s="87" t="str">
        <f t="shared" si="8"/>
        <v>4700343</v>
      </c>
      <c r="K44" s="85" t="s">
        <v>197</v>
      </c>
      <c r="L44" s="88" t="s">
        <v>429</v>
      </c>
      <c r="M44" s="144" t="s">
        <v>445</v>
      </c>
      <c r="N44" s="57" t="s">
        <v>199</v>
      </c>
    </row>
    <row r="45" spans="1:14" ht="42" x14ac:dyDescent="0.15">
      <c r="A45" s="145" t="s">
        <v>417</v>
      </c>
      <c r="B45" s="83">
        <f>floors!$C$2</f>
        <v>47003</v>
      </c>
      <c r="C45" s="84" t="str">
        <f ca="1">VLOOKUP($B45,OFFSET([2]quests!$A$1,0,0,COUNTA([2]quests!$A:$A),MATCH(C$1,[2]quests!$1:$1,0)-MATCH($B$1,[2]quests!$1:$1,0)+1),MATCH(C$1,[2]quests!$1:$1,0)-MATCH($B$1,[2]quests!$1:$1,0)+1,FALSE)</f>
        <v>ハロウィンナイトパニック！</v>
      </c>
      <c r="D45" s="84" t="str">
        <f ca="1">VLOOKUP($B45,OFFSET([2]quests!$A$1,0,0,COUNTA([2]quests!$A:$A),MATCH(D$1,[2]quests!$1:$1,0)-MATCH($B$1,[2]quests!$1:$1,0)+1),MATCH(D$1,[2]quests!$1:$1,0)-MATCH($B$1,[2]quests!$1:$1,0)+1,FALSE)</f>
        <v>季節イベント</v>
      </c>
      <c r="E45" s="85">
        <v>3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季節イベント</v>
      </c>
      <c r="H45" s="86">
        <v>0</v>
      </c>
      <c r="I45" s="91">
        <f t="shared" si="0"/>
        <v>44</v>
      </c>
      <c r="J45" s="87" t="str">
        <f t="shared" si="8"/>
        <v>4700344</v>
      </c>
      <c r="K45" s="85" t="s">
        <v>197</v>
      </c>
      <c r="L45" s="88" t="s">
        <v>430</v>
      </c>
      <c r="M45" s="144" t="s">
        <v>437</v>
      </c>
      <c r="N45" s="57" t="s">
        <v>199</v>
      </c>
    </row>
    <row r="46" spans="1:14" ht="42" x14ac:dyDescent="0.15">
      <c r="A46" s="145" t="s">
        <v>417</v>
      </c>
      <c r="B46" s="83">
        <f>floors!$C$2</f>
        <v>47003</v>
      </c>
      <c r="C46" s="84" t="str">
        <f ca="1">VLOOKUP($B46,OFFSET([2]quests!$A$1,0,0,COUNTA([2]quests!$A:$A),MATCH(C$1,[2]quests!$1:$1,0)-MATCH($B$1,[2]quests!$1:$1,0)+1),MATCH(C$1,[2]quests!$1:$1,0)-MATCH($B$1,[2]quests!$1:$1,0)+1,FALSE)</f>
        <v>ハロウィンナイトパニック！</v>
      </c>
      <c r="D46" s="84" t="str">
        <f ca="1">VLOOKUP($B46,OFFSET([2]quests!$A$1,0,0,COUNTA([2]quests!$A:$A),MATCH(D$1,[2]quests!$1:$1,0)-MATCH($B$1,[2]quests!$1:$1,0)+1),MATCH(D$1,[2]quests!$1:$1,0)-MATCH($B$1,[2]quests!$1:$1,0)+1,FALSE)</f>
        <v>季節イベント</v>
      </c>
      <c r="E46" s="85">
        <v>3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季節イベント</v>
      </c>
      <c r="H46" s="86">
        <v>0</v>
      </c>
      <c r="I46" s="91">
        <f t="shared" si="0"/>
        <v>45</v>
      </c>
      <c r="J46" s="87" t="str">
        <f t="shared" si="8"/>
        <v>4700345</v>
      </c>
      <c r="K46" s="85" t="s">
        <v>197</v>
      </c>
      <c r="L46" s="88" t="s">
        <v>431</v>
      </c>
      <c r="M46" s="144" t="s">
        <v>438</v>
      </c>
      <c r="N46" s="57" t="s">
        <v>199</v>
      </c>
    </row>
    <row r="47" spans="1:14" ht="56" x14ac:dyDescent="0.15">
      <c r="A47" s="145" t="s">
        <v>417</v>
      </c>
      <c r="B47" s="83">
        <f>floors!$C$2</f>
        <v>47003</v>
      </c>
      <c r="C47" s="84" t="str">
        <f ca="1">VLOOKUP($B47,OFFSET([2]quests!$A$1,0,0,COUNTA([2]quests!$A:$A),MATCH(C$1,[2]quests!$1:$1,0)-MATCH($B$1,[2]quests!$1:$1,0)+1),MATCH(C$1,[2]quests!$1:$1,0)-MATCH($B$1,[2]quests!$1:$1,0)+1,FALSE)</f>
        <v>ハロウィンナイトパニック！</v>
      </c>
      <c r="D47" s="84" t="str">
        <f ca="1">VLOOKUP($B47,OFFSET([2]quests!$A$1,0,0,COUNTA([2]quests!$A:$A),MATCH(D$1,[2]quests!$1:$1,0)-MATCH($B$1,[2]quests!$1:$1,0)+1),MATCH(D$1,[2]quests!$1:$1,0)-MATCH($B$1,[2]quests!$1:$1,0)+1,FALSE)</f>
        <v>季節イベント</v>
      </c>
      <c r="E47" s="85">
        <v>3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季節イベント</v>
      </c>
      <c r="H47" s="86">
        <v>0</v>
      </c>
      <c r="I47" s="91">
        <f t="shared" si="0"/>
        <v>46</v>
      </c>
      <c r="J47" s="87" t="str">
        <f t="shared" si="8"/>
        <v>4700346</v>
      </c>
      <c r="K47" s="85" t="s">
        <v>197</v>
      </c>
      <c r="L47" s="88" t="s">
        <v>432</v>
      </c>
      <c r="M47" s="144" t="s">
        <v>611</v>
      </c>
      <c r="N47" s="57" t="s">
        <v>199</v>
      </c>
    </row>
    <row r="48" spans="1:14" ht="56" x14ac:dyDescent="0.15">
      <c r="A48" s="145" t="s">
        <v>417</v>
      </c>
      <c r="B48" s="83">
        <f>floors!$C$2</f>
        <v>47003</v>
      </c>
      <c r="C48" s="84" t="str">
        <f ca="1">VLOOKUP($B48,OFFSET([2]quests!$A$1,0,0,COUNTA([2]quests!$A:$A),MATCH(C$1,[2]quests!$1:$1,0)-MATCH($B$1,[2]quests!$1:$1,0)+1),MATCH(C$1,[2]quests!$1:$1,0)-MATCH($B$1,[2]quests!$1:$1,0)+1,FALSE)</f>
        <v>ハロウィンナイトパニック！</v>
      </c>
      <c r="D48" s="84" t="str">
        <f ca="1">VLOOKUP($B48,OFFSET([2]quests!$A$1,0,0,COUNTA([2]quests!$A:$A),MATCH(D$1,[2]quests!$1:$1,0)-MATCH($B$1,[2]quests!$1:$1,0)+1),MATCH(D$1,[2]quests!$1:$1,0)-MATCH($B$1,[2]quests!$1:$1,0)+1,FALSE)</f>
        <v>季節イベント</v>
      </c>
      <c r="E48" s="85">
        <v>3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季節イベント</v>
      </c>
      <c r="H48" s="86">
        <v>0</v>
      </c>
      <c r="I48" s="91">
        <f t="shared" si="0"/>
        <v>47</v>
      </c>
      <c r="J48" s="87" t="str">
        <f t="shared" si="8"/>
        <v>4700347</v>
      </c>
      <c r="K48" s="85" t="s">
        <v>197</v>
      </c>
      <c r="L48" s="88" t="s">
        <v>433</v>
      </c>
      <c r="M48" s="144" t="s">
        <v>612</v>
      </c>
      <c r="N48" s="57" t="s">
        <v>199</v>
      </c>
    </row>
    <row r="49" spans="1:14" ht="56" x14ac:dyDescent="0.15">
      <c r="A49" s="145" t="s">
        <v>417</v>
      </c>
      <c r="B49" s="83">
        <f>floors!$C$2</f>
        <v>47003</v>
      </c>
      <c r="C49" s="84" t="str">
        <f ca="1">VLOOKUP($B49,OFFSET([2]quests!$A$1,0,0,COUNTA([2]quests!$A:$A),MATCH(C$1,[2]quests!$1:$1,0)-MATCH($B$1,[2]quests!$1:$1,0)+1),MATCH(C$1,[2]quests!$1:$1,0)-MATCH($B$1,[2]quests!$1:$1,0)+1,FALSE)</f>
        <v>ハロウィンナイトパニック！</v>
      </c>
      <c r="D49" s="84" t="str">
        <f ca="1">VLOOKUP($B49,OFFSET([2]quests!$A$1,0,0,COUNTA([2]quests!$A:$A),MATCH(D$1,[2]quests!$1:$1,0)-MATCH($B$1,[2]quests!$1:$1,0)+1),MATCH(D$1,[2]quests!$1:$1,0)-MATCH($B$1,[2]quests!$1:$1,0)+1,FALSE)</f>
        <v>季節イベント</v>
      </c>
      <c r="E49" s="85">
        <v>4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季節イベント</v>
      </c>
      <c r="H49" s="86">
        <v>0</v>
      </c>
      <c r="I49" s="91">
        <f t="shared" si="0"/>
        <v>48</v>
      </c>
      <c r="J49" s="87" t="str">
        <f t="shared" si="8"/>
        <v>4700348</v>
      </c>
      <c r="K49" s="85" t="s">
        <v>197</v>
      </c>
      <c r="L49" s="88" t="s">
        <v>428</v>
      </c>
      <c r="M49" s="144" t="s">
        <v>444</v>
      </c>
      <c r="N49" s="57" t="s">
        <v>199</v>
      </c>
    </row>
    <row r="50" spans="1:14" ht="56" x14ac:dyDescent="0.15">
      <c r="A50" s="145" t="s">
        <v>417</v>
      </c>
      <c r="B50" s="83">
        <f>floors!$C$2</f>
        <v>47003</v>
      </c>
      <c r="C50" s="84" t="str">
        <f ca="1">VLOOKUP($B50,OFFSET([2]quests!$A$1,0,0,COUNTA([2]quests!$A:$A),MATCH(C$1,[2]quests!$1:$1,0)-MATCH($B$1,[2]quests!$1:$1,0)+1),MATCH(C$1,[2]quests!$1:$1,0)-MATCH($B$1,[2]quests!$1:$1,0)+1,FALSE)</f>
        <v>ハロウィンナイトパニック！</v>
      </c>
      <c r="D50" s="84" t="str">
        <f ca="1">VLOOKUP($B50,OFFSET([2]quests!$A$1,0,0,COUNTA([2]quests!$A:$A),MATCH(D$1,[2]quests!$1:$1,0)-MATCH($B$1,[2]quests!$1:$1,0)+1),MATCH(D$1,[2]quests!$1:$1,0)-MATCH($B$1,[2]quests!$1:$1,0)+1,FALSE)</f>
        <v>季節イベント</v>
      </c>
      <c r="E50" s="85">
        <v>4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季節イベント</v>
      </c>
      <c r="H50" s="86">
        <v>0</v>
      </c>
      <c r="I50" s="91">
        <f t="shared" si="0"/>
        <v>49</v>
      </c>
      <c r="J50" s="87" t="str">
        <f t="shared" si="8"/>
        <v>4700349</v>
      </c>
      <c r="K50" s="85" t="s">
        <v>197</v>
      </c>
      <c r="L50" s="88" t="s">
        <v>429</v>
      </c>
      <c r="M50" s="144" t="s">
        <v>445</v>
      </c>
      <c r="N50" s="57" t="s">
        <v>199</v>
      </c>
    </row>
    <row r="51" spans="1:14" ht="42" x14ac:dyDescent="0.15">
      <c r="A51" s="145" t="s">
        <v>417</v>
      </c>
      <c r="B51" s="83">
        <f>floors!$C$2</f>
        <v>47003</v>
      </c>
      <c r="C51" s="84" t="str">
        <f ca="1">VLOOKUP($B51,OFFSET([2]quests!$A$1,0,0,COUNTA([2]quests!$A:$A),MATCH(C$1,[2]quests!$1:$1,0)-MATCH($B$1,[2]quests!$1:$1,0)+1),MATCH(C$1,[2]quests!$1:$1,0)-MATCH($B$1,[2]quests!$1:$1,0)+1,FALSE)</f>
        <v>ハロウィンナイトパニック！</v>
      </c>
      <c r="D51" s="84" t="str">
        <f ca="1">VLOOKUP($B51,OFFSET([2]quests!$A$1,0,0,COUNTA([2]quests!$A:$A),MATCH(D$1,[2]quests!$1:$1,0)-MATCH($B$1,[2]quests!$1:$1,0)+1),MATCH(D$1,[2]quests!$1:$1,0)-MATCH($B$1,[2]quests!$1:$1,0)+1,FALSE)</f>
        <v>季節イベント</v>
      </c>
      <c r="E51" s="85">
        <v>4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季節イベント</v>
      </c>
      <c r="H51" s="86">
        <v>0</v>
      </c>
      <c r="I51" s="91">
        <f t="shared" si="0"/>
        <v>50</v>
      </c>
      <c r="J51" s="87" t="str">
        <f t="shared" si="8"/>
        <v>4700350</v>
      </c>
      <c r="K51" s="85" t="s">
        <v>197</v>
      </c>
      <c r="L51" s="88" t="s">
        <v>430</v>
      </c>
      <c r="M51" s="144" t="s">
        <v>437</v>
      </c>
      <c r="N51" s="57" t="s">
        <v>199</v>
      </c>
    </row>
    <row r="52" spans="1:14" ht="42" x14ac:dyDescent="0.15">
      <c r="A52" s="145" t="s">
        <v>417</v>
      </c>
      <c r="B52" s="83">
        <f>floors!$C$2</f>
        <v>47003</v>
      </c>
      <c r="C52" s="84" t="str">
        <f ca="1">VLOOKUP($B52,OFFSET([2]quests!$A$1,0,0,COUNTA([2]quests!$A:$A),MATCH(C$1,[2]quests!$1:$1,0)-MATCH($B$1,[2]quests!$1:$1,0)+1),MATCH(C$1,[2]quests!$1:$1,0)-MATCH($B$1,[2]quests!$1:$1,0)+1,FALSE)</f>
        <v>ハロウィンナイトパニック！</v>
      </c>
      <c r="D52" s="84" t="str">
        <f ca="1">VLOOKUP($B52,OFFSET([2]quests!$A$1,0,0,COUNTA([2]quests!$A:$A),MATCH(D$1,[2]quests!$1:$1,0)-MATCH($B$1,[2]quests!$1:$1,0)+1),MATCH(D$1,[2]quests!$1:$1,0)-MATCH($B$1,[2]quests!$1:$1,0)+1,FALSE)</f>
        <v>季節イベント</v>
      </c>
      <c r="E52" s="85">
        <v>4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季節イベント</v>
      </c>
      <c r="H52" s="86">
        <v>0</v>
      </c>
      <c r="I52" s="91">
        <f t="shared" si="0"/>
        <v>51</v>
      </c>
      <c r="J52" s="87" t="str">
        <f t="shared" si="8"/>
        <v>4700351</v>
      </c>
      <c r="K52" s="85" t="s">
        <v>197</v>
      </c>
      <c r="L52" s="88" t="s">
        <v>431</v>
      </c>
      <c r="M52" s="144" t="s">
        <v>438</v>
      </c>
      <c r="N52" s="57" t="s">
        <v>199</v>
      </c>
    </row>
    <row r="53" spans="1:14" ht="56" x14ac:dyDescent="0.15">
      <c r="A53" s="145" t="s">
        <v>417</v>
      </c>
      <c r="B53" s="83">
        <f>floors!$C$2</f>
        <v>47003</v>
      </c>
      <c r="C53" s="84" t="str">
        <f ca="1">VLOOKUP($B53,OFFSET([2]quests!$A$1,0,0,COUNTA([2]quests!$A:$A),MATCH(C$1,[2]quests!$1:$1,0)-MATCH($B$1,[2]quests!$1:$1,0)+1),MATCH(C$1,[2]quests!$1:$1,0)-MATCH($B$1,[2]quests!$1:$1,0)+1,FALSE)</f>
        <v>ハロウィンナイトパニック！</v>
      </c>
      <c r="D53" s="84" t="str">
        <f ca="1">VLOOKUP($B53,OFFSET([2]quests!$A$1,0,0,COUNTA([2]quests!$A:$A),MATCH(D$1,[2]quests!$1:$1,0)-MATCH($B$1,[2]quests!$1:$1,0)+1),MATCH(D$1,[2]quests!$1:$1,0)-MATCH($B$1,[2]quests!$1:$1,0)+1,FALSE)</f>
        <v>季節イベント</v>
      </c>
      <c r="E53" s="85">
        <v>4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季節イベント</v>
      </c>
      <c r="H53" s="86">
        <v>0</v>
      </c>
      <c r="I53" s="91">
        <f t="shared" si="0"/>
        <v>52</v>
      </c>
      <c r="J53" s="87" t="str">
        <f t="shared" si="8"/>
        <v>4700352</v>
      </c>
      <c r="K53" s="85" t="s">
        <v>197</v>
      </c>
      <c r="L53" s="88" t="s">
        <v>432</v>
      </c>
      <c r="M53" s="144" t="s">
        <v>611</v>
      </c>
      <c r="N53" s="57" t="s">
        <v>199</v>
      </c>
    </row>
    <row r="54" spans="1:14" ht="56" x14ac:dyDescent="0.15">
      <c r="A54" s="145" t="s">
        <v>417</v>
      </c>
      <c r="B54" s="83">
        <f>floors!$C$2</f>
        <v>47003</v>
      </c>
      <c r="C54" s="84" t="str">
        <f ca="1">VLOOKUP($B54,OFFSET([2]quests!$A$1,0,0,COUNTA([2]quests!$A:$A),MATCH(C$1,[2]quests!$1:$1,0)-MATCH($B$1,[2]quests!$1:$1,0)+1),MATCH(C$1,[2]quests!$1:$1,0)-MATCH($B$1,[2]quests!$1:$1,0)+1,FALSE)</f>
        <v>ハロウィンナイトパニック！</v>
      </c>
      <c r="D54" s="84" t="str">
        <f ca="1">VLOOKUP($B54,OFFSET([2]quests!$A$1,0,0,COUNTA([2]quests!$A:$A),MATCH(D$1,[2]quests!$1:$1,0)-MATCH($B$1,[2]quests!$1:$1,0)+1),MATCH(D$1,[2]quests!$1:$1,0)-MATCH($B$1,[2]quests!$1:$1,0)+1,FALSE)</f>
        <v>季節イベント</v>
      </c>
      <c r="E54" s="85">
        <v>4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季節イベント</v>
      </c>
      <c r="H54" s="86">
        <v>0</v>
      </c>
      <c r="I54" s="91">
        <f t="shared" si="0"/>
        <v>53</v>
      </c>
      <c r="J54" s="87" t="str">
        <f t="shared" si="8"/>
        <v>4700353</v>
      </c>
      <c r="K54" s="85" t="s">
        <v>197</v>
      </c>
      <c r="L54" s="88" t="s">
        <v>433</v>
      </c>
      <c r="M54" s="144" t="s">
        <v>612</v>
      </c>
      <c r="N54" s="57" t="s">
        <v>199</v>
      </c>
    </row>
  </sheetData>
  <phoneticPr fontId="5"/>
  <dataValidations count="1">
    <dataValidation type="list" allowBlank="1" showInputMessage="1" showErrorMessage="1" sqref="A2:A5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47"/>
  <sheetViews>
    <sheetView showGridLines="0" topLeftCell="G1" workbookViewId="0">
      <pane ySplit="1" topLeftCell="A17" activePane="bottomLeft" state="frozen"/>
      <selection pane="bottomLeft" activeCell="M14" sqref="M1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211</v>
      </c>
      <c r="B1" s="96" t="s">
        <v>212</v>
      </c>
      <c r="C1" s="78" t="s">
        <v>213</v>
      </c>
      <c r="D1" s="78" t="s">
        <v>33</v>
      </c>
      <c r="E1" s="96" t="s">
        <v>214</v>
      </c>
      <c r="F1" s="78" t="s">
        <v>215</v>
      </c>
      <c r="G1" s="78" t="s">
        <v>33</v>
      </c>
      <c r="H1" s="96" t="s">
        <v>216</v>
      </c>
      <c r="I1" s="96" t="s">
        <v>217</v>
      </c>
      <c r="J1" s="96" t="s">
        <v>218</v>
      </c>
      <c r="K1" s="74" t="s">
        <v>219</v>
      </c>
      <c r="L1" s="74" t="s">
        <v>220</v>
      </c>
      <c r="M1" s="74" t="s">
        <v>155</v>
      </c>
      <c r="N1" s="78" t="s">
        <v>16</v>
      </c>
      <c r="O1" s="74" t="s">
        <v>221</v>
      </c>
      <c r="P1" s="74" t="s">
        <v>56</v>
      </c>
      <c r="Q1" s="74" t="s">
        <v>222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223</v>
      </c>
      <c r="X1" s="74" t="s">
        <v>224</v>
      </c>
    </row>
    <row r="2" spans="1:24" x14ac:dyDescent="0.15">
      <c r="A2" s="97" t="str">
        <f>B2&amp;"_"&amp;E2&amp;"_"&amp;H2&amp;"_"&amp;I2&amp;"_"&amp;J2</f>
        <v>47003_1_everyone_clear_1</v>
      </c>
      <c r="B2" s="83">
        <v>47003</v>
      </c>
      <c r="C2" s="84" t="str">
        <f ca="1">VLOOKUP($B2,OFFSET([2]quests!$A$1,0,0,COUNTA([2]quests!$A:$A),MATCH(C$1,[2]quests!$1:$1,0)-MATCH($B$1,[2]quests!$1:$1,0)+1),MATCH(C$1,[2]quests!$1:$1,0)-MATCH($B$1,[2]quests!$1:$1,0)+1,FALSE)</f>
        <v>ハロウィンナイトパニック！</v>
      </c>
      <c r="D2" s="84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6" t="s">
        <v>225</v>
      </c>
      <c r="I2" s="85" t="s">
        <v>226</v>
      </c>
      <c r="J2" s="85">
        <v>1</v>
      </c>
      <c r="K2" s="85">
        <v>80</v>
      </c>
      <c r="L2" s="85" t="s">
        <v>465</v>
      </c>
      <c r="M2" s="85">
        <v>701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99" t="s">
        <v>227</v>
      </c>
      <c r="X2" s="100" t="s">
        <v>228</v>
      </c>
    </row>
    <row r="3" spans="1:24" x14ac:dyDescent="0.15">
      <c r="A3" s="97" t="str">
        <f>B3&amp;"_"&amp;E3&amp;"_"&amp;H3&amp;"_"&amp;I3&amp;"_"&amp;J3</f>
        <v>47003_1_everyone_clear_2</v>
      </c>
      <c r="B3" s="83">
        <v>47003</v>
      </c>
      <c r="C3" s="84" t="str">
        <f ca="1">VLOOKUP($B3,OFFSET([2]quests!$A$1,0,0,COUNTA([2]quests!$A:$A),MATCH(C$1,[2]quests!$1:$1,0)-MATCH($B$1,[2]quests!$1:$1,0)+1),MATCH(C$1,[2]quests!$1:$1,0)-MATCH($B$1,[2]quests!$1:$1,0)+1,FALSE)</f>
        <v>ハロウィンナイトパニック！</v>
      </c>
      <c r="D3" s="84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6" t="s">
        <v>225</v>
      </c>
      <c r="I3" s="85" t="s">
        <v>464</v>
      </c>
      <c r="J3" s="85">
        <v>2</v>
      </c>
      <c r="K3" s="85">
        <v>20</v>
      </c>
      <c r="L3" s="85" t="s">
        <v>465</v>
      </c>
      <c r="M3" s="85">
        <v>701</v>
      </c>
      <c r="N3" s="9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5">
        <v>3</v>
      </c>
      <c r="P3" s="85">
        <v>1</v>
      </c>
      <c r="Q3" s="85">
        <v>1</v>
      </c>
      <c r="R3" s="85">
        <v>0</v>
      </c>
      <c r="S3" s="85">
        <v>0</v>
      </c>
      <c r="T3" s="85">
        <v>0</v>
      </c>
      <c r="U3" s="85">
        <v>0</v>
      </c>
      <c r="V3" s="85">
        <v>1</v>
      </c>
      <c r="W3" s="99" t="s">
        <v>227</v>
      </c>
      <c r="X3" s="100" t="s">
        <v>228</v>
      </c>
    </row>
    <row r="4" spans="1:24" x14ac:dyDescent="0.15">
      <c r="A4" s="97" t="str">
        <f t="shared" ref="A4:A14" si="0">B4&amp;"_"&amp;E4&amp;"_"&amp;H4&amp;"_"&amp;I4&amp;"_"&amp;J4</f>
        <v>47003_1_everyone_full_member_3</v>
      </c>
      <c r="B4" s="83">
        <v>47003</v>
      </c>
      <c r="C4" s="84" t="str">
        <f ca="1">VLOOKUP($B4,OFFSET([2]quests!$A$1,0,0,COUNTA([2]quests!$A:$A),MATCH(C$1,[2]quests!$1:$1,0)-MATCH($B$1,[2]quests!$1:$1,0)+1),MATCH(C$1,[2]quests!$1:$1,0)-MATCH($B$1,[2]quests!$1:$1,0)+1,FALSE)</f>
        <v>ハロウィンナイトパニック！</v>
      </c>
      <c r="D4" s="84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6" t="s">
        <v>225</v>
      </c>
      <c r="I4" s="85" t="s">
        <v>471</v>
      </c>
      <c r="J4" s="85">
        <v>3</v>
      </c>
      <c r="K4" s="85">
        <v>30</v>
      </c>
      <c r="L4" s="85" t="s">
        <v>465</v>
      </c>
      <c r="M4" s="85">
        <v>701</v>
      </c>
      <c r="N4" s="98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/>
      </c>
      <c r="O4" s="85">
        <v>1</v>
      </c>
      <c r="P4" s="85">
        <v>1</v>
      </c>
      <c r="Q4" s="85">
        <v>1</v>
      </c>
      <c r="R4" s="85">
        <v>0</v>
      </c>
      <c r="S4" s="85">
        <v>0</v>
      </c>
      <c r="T4" s="85">
        <v>0</v>
      </c>
      <c r="U4" s="85">
        <v>0</v>
      </c>
      <c r="V4" s="85">
        <v>1</v>
      </c>
      <c r="W4" s="99" t="s">
        <v>227</v>
      </c>
      <c r="X4" s="100" t="s">
        <v>228</v>
      </c>
    </row>
    <row r="5" spans="1:24" x14ac:dyDescent="0.15">
      <c r="A5" s="97" t="str">
        <f t="shared" si="0"/>
        <v>47003_1_everyone_full_member_4</v>
      </c>
      <c r="B5" s="83">
        <v>47003</v>
      </c>
      <c r="C5" s="84" t="str">
        <f ca="1">VLOOKUP($B5,OFFSET([2]quests!$A$1,0,0,COUNTA([2]quests!$A:$A),MATCH(C$1,[2]quests!$1:$1,0)-MATCH($B$1,[2]quests!$1:$1,0)+1),MATCH(C$1,[2]quests!$1:$1,0)-MATCH($B$1,[2]quests!$1:$1,0)+1,FALSE)</f>
        <v>ハロウィンナイトパニック！</v>
      </c>
      <c r="D5" s="84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6" t="s">
        <v>225</v>
      </c>
      <c r="I5" s="85" t="s">
        <v>471</v>
      </c>
      <c r="J5" s="85">
        <v>4</v>
      </c>
      <c r="K5" s="85">
        <v>10</v>
      </c>
      <c r="L5" s="85" t="s">
        <v>465</v>
      </c>
      <c r="M5" s="85">
        <v>701</v>
      </c>
      <c r="N5" s="98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/>
      </c>
      <c r="O5" s="85">
        <v>3</v>
      </c>
      <c r="P5" s="85">
        <v>1</v>
      </c>
      <c r="Q5" s="85">
        <v>1</v>
      </c>
      <c r="R5" s="85">
        <v>0</v>
      </c>
      <c r="S5" s="85">
        <v>0</v>
      </c>
      <c r="T5" s="85">
        <v>0</v>
      </c>
      <c r="U5" s="85">
        <v>0</v>
      </c>
      <c r="V5" s="85">
        <v>1</v>
      </c>
      <c r="W5" s="99" t="s">
        <v>227</v>
      </c>
      <c r="X5" s="100" t="s">
        <v>228</v>
      </c>
    </row>
    <row r="6" spans="1:24" x14ac:dyDescent="0.15">
      <c r="A6" s="97" t="str">
        <f t="shared" si="0"/>
        <v>47003_1_everyone_full_member_5</v>
      </c>
      <c r="B6" s="83">
        <v>47003</v>
      </c>
      <c r="C6" s="84" t="str">
        <f ca="1">VLOOKUP($B6,OFFSET([2]quests!$A$1,0,0,COUNTA([2]quests!$A:$A),MATCH(C$1,[2]quests!$1:$1,0)-MATCH($B$1,[2]quests!$1:$1,0)+1),MATCH(C$1,[2]quests!$1:$1,0)-MATCH($B$1,[2]quests!$1:$1,0)+1,FALSE)</f>
        <v>ハロウィンナイトパニック！</v>
      </c>
      <c r="D6" s="84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6" t="s">
        <v>225</v>
      </c>
      <c r="I6" s="85" t="s">
        <v>471</v>
      </c>
      <c r="J6" s="85">
        <v>5</v>
      </c>
      <c r="K6" s="85">
        <v>6</v>
      </c>
      <c r="L6" s="85" t="s">
        <v>473</v>
      </c>
      <c r="M6" s="85">
        <v>121</v>
      </c>
      <c r="N6" s="98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攻めの果実</v>
      </c>
      <c r="O6" s="85">
        <v>1</v>
      </c>
      <c r="P6" s="85">
        <v>1</v>
      </c>
      <c r="Q6" s="85">
        <v>1</v>
      </c>
      <c r="R6" s="85">
        <v>0</v>
      </c>
      <c r="S6" s="85">
        <v>0</v>
      </c>
      <c r="T6" s="85">
        <v>0</v>
      </c>
      <c r="U6" s="85">
        <v>0</v>
      </c>
      <c r="V6" s="85">
        <v>1</v>
      </c>
      <c r="W6" s="99" t="s">
        <v>227</v>
      </c>
      <c r="X6" s="100" t="s">
        <v>228</v>
      </c>
    </row>
    <row r="7" spans="1:24" x14ac:dyDescent="0.15">
      <c r="A7" s="97" t="str">
        <f t="shared" si="0"/>
        <v>47003_1_everyone_full_member_6</v>
      </c>
      <c r="B7" s="83">
        <v>47003</v>
      </c>
      <c r="C7" s="84" t="str">
        <f ca="1">VLOOKUP($B7,OFFSET([2]quests!$A$1,0,0,COUNTA([2]quests!$A:$A),MATCH(C$1,[2]quests!$1:$1,0)-MATCH($B$1,[2]quests!$1:$1,0)+1),MATCH(C$1,[2]quests!$1:$1,0)-MATCH($B$1,[2]quests!$1:$1,0)+1,FALSE)</f>
        <v>ハロウィンナイトパニック！</v>
      </c>
      <c r="D7" s="84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6" t="s">
        <v>225</v>
      </c>
      <c r="I7" s="85" t="s">
        <v>471</v>
      </c>
      <c r="J7" s="85">
        <v>6</v>
      </c>
      <c r="K7" s="85">
        <v>6</v>
      </c>
      <c r="L7" s="85" t="s">
        <v>473</v>
      </c>
      <c r="M7" s="85">
        <v>122</v>
      </c>
      <c r="N7" s="98" t="str">
        <f ca="1">IF(L7="unit",VLOOKUP($M7,OFFSET([4]characters!$A$1,0,0,COUNTA([4]characters!$A:$A),MATCH(N$1,[4]characters!$1:$1,0)-MATCH("character_id",[4]characters!$1:$1,0)+1),MATCH(N$1,[4]characters!$1:$1,0)-MATCH("character_id",[4]characters!$1:$1,0)+1,FALSE),"")</f>
        <v>生命の果実</v>
      </c>
      <c r="O7" s="85">
        <v>1</v>
      </c>
      <c r="P7" s="85">
        <v>1</v>
      </c>
      <c r="Q7" s="85">
        <v>1</v>
      </c>
      <c r="R7" s="85">
        <v>0</v>
      </c>
      <c r="S7" s="85">
        <v>0</v>
      </c>
      <c r="T7" s="85">
        <v>0</v>
      </c>
      <c r="U7" s="85">
        <v>0</v>
      </c>
      <c r="V7" s="85">
        <v>1</v>
      </c>
      <c r="W7" s="99" t="s">
        <v>227</v>
      </c>
      <c r="X7" s="100" t="s">
        <v>228</v>
      </c>
    </row>
    <row r="8" spans="1:24" x14ac:dyDescent="0.15">
      <c r="A8" s="97" t="str">
        <f t="shared" si="0"/>
        <v>47003_1_everyone_full_member_7</v>
      </c>
      <c r="B8" s="83">
        <v>47003</v>
      </c>
      <c r="C8" s="84" t="str">
        <f ca="1">VLOOKUP($B8,OFFSET([2]quests!$A$1,0,0,COUNTA([2]quests!$A:$A),MATCH(C$1,[2]quests!$1:$1,0)-MATCH($B$1,[2]quests!$1:$1,0)+1),MATCH(C$1,[2]quests!$1:$1,0)-MATCH($B$1,[2]quests!$1:$1,0)+1,FALSE)</f>
        <v>ハロウィンナイトパニック！</v>
      </c>
      <c r="D8" s="84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5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6" t="s">
        <v>225</v>
      </c>
      <c r="I8" s="85" t="s">
        <v>471</v>
      </c>
      <c r="J8" s="85">
        <v>7</v>
      </c>
      <c r="K8" s="85">
        <v>6</v>
      </c>
      <c r="L8" s="85" t="s">
        <v>473</v>
      </c>
      <c r="M8" s="85">
        <v>123</v>
      </c>
      <c r="N8" s="98" t="str">
        <f ca="1">IF(L8="unit",VLOOKUP($M8,OFFSET([4]characters!$A$1,0,0,COUNTA([4]characters!$A:$A),MATCH(N$1,[4]characters!$1:$1,0)-MATCH("character_id",[4]characters!$1:$1,0)+1),MATCH(N$1,[4]characters!$1:$1,0)-MATCH("character_id",[4]characters!$1:$1,0)+1,FALSE),"")</f>
        <v>癒しの果実</v>
      </c>
      <c r="O8" s="85">
        <v>1</v>
      </c>
      <c r="P8" s="85">
        <v>1</v>
      </c>
      <c r="Q8" s="85">
        <v>1</v>
      </c>
      <c r="R8" s="85">
        <v>0</v>
      </c>
      <c r="S8" s="85">
        <v>0</v>
      </c>
      <c r="T8" s="85">
        <v>0</v>
      </c>
      <c r="U8" s="85">
        <v>0</v>
      </c>
      <c r="V8" s="85">
        <v>1</v>
      </c>
      <c r="W8" s="99" t="s">
        <v>227</v>
      </c>
      <c r="X8" s="100" t="s">
        <v>228</v>
      </c>
    </row>
    <row r="9" spans="1:24" x14ac:dyDescent="0.15">
      <c r="A9" s="97" t="str">
        <f t="shared" si="0"/>
        <v>47003_1_everyone_full_member_8</v>
      </c>
      <c r="B9" s="83">
        <v>47003</v>
      </c>
      <c r="C9" s="84" t="str">
        <f ca="1">VLOOKUP($B9,OFFSET([2]quests!$A$1,0,0,COUNTA([2]quests!$A:$A),MATCH(C$1,[2]quests!$1:$1,0)-MATCH($B$1,[2]quests!$1:$1,0)+1),MATCH(C$1,[2]quests!$1:$1,0)-MATCH($B$1,[2]quests!$1:$1,0)+1,FALSE)</f>
        <v>ハロウィンナイトパニック！</v>
      </c>
      <c r="D9" s="84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5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6" t="s">
        <v>225</v>
      </c>
      <c r="I9" s="85" t="s">
        <v>471</v>
      </c>
      <c r="J9" s="85">
        <v>8</v>
      </c>
      <c r="K9" s="85">
        <v>3</v>
      </c>
      <c r="L9" s="85" t="s">
        <v>473</v>
      </c>
      <c r="M9" s="85">
        <v>333</v>
      </c>
      <c r="N9" s="98" t="str">
        <f ca="1">IF(L9="unit",VLOOKUP($M9,OFFSET([4]characters!$A$1,0,0,COUNTA([4]characters!$A:$A),MATCH(N$1,[4]characters!$1:$1,0)-MATCH("character_id",[4]characters!$1:$1,0)+1),MATCH(N$1,[4]characters!$1:$1,0)-MATCH("character_id",[4]characters!$1:$1,0)+1,FALSE),"")</f>
        <v>炎のメタルチック</v>
      </c>
      <c r="O9" s="85">
        <v>1</v>
      </c>
      <c r="P9" s="85">
        <v>1</v>
      </c>
      <c r="Q9" s="85">
        <v>1</v>
      </c>
      <c r="R9" s="85">
        <v>0</v>
      </c>
      <c r="S9" s="85">
        <v>0</v>
      </c>
      <c r="T9" s="85">
        <v>0</v>
      </c>
      <c r="U9" s="85">
        <v>0</v>
      </c>
      <c r="V9" s="85">
        <v>1</v>
      </c>
      <c r="W9" s="99" t="s">
        <v>227</v>
      </c>
      <c r="X9" s="100" t="s">
        <v>228</v>
      </c>
    </row>
    <row r="10" spans="1:24" x14ac:dyDescent="0.15">
      <c r="A10" s="97" t="str">
        <f t="shared" si="0"/>
        <v>47003_1_everyone_full_member_9</v>
      </c>
      <c r="B10" s="83">
        <v>47003</v>
      </c>
      <c r="C10" s="84" t="str">
        <f ca="1">VLOOKUP($B10,OFFSET([2]quests!$A$1,0,0,COUNTA([2]quests!$A:$A),MATCH(C$1,[2]quests!$1:$1,0)-MATCH($B$1,[2]quests!$1:$1,0)+1),MATCH(C$1,[2]quests!$1:$1,0)-MATCH($B$1,[2]quests!$1:$1,0)+1,FALSE)</f>
        <v>ハロウィンナイトパニック！</v>
      </c>
      <c r="D10" s="84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5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86" t="s">
        <v>225</v>
      </c>
      <c r="I10" s="85" t="s">
        <v>471</v>
      </c>
      <c r="J10" s="85">
        <v>9</v>
      </c>
      <c r="K10" s="85">
        <v>3</v>
      </c>
      <c r="L10" s="85" t="s">
        <v>473</v>
      </c>
      <c r="M10" s="85">
        <v>337</v>
      </c>
      <c r="N10" s="98" t="str">
        <f ca="1">IF(L10="unit",VLOOKUP($M10,OFFSET([4]characters!$A$1,0,0,COUNTA([4]characters!$A:$A),MATCH(N$1,[4]characters!$1:$1,0)-MATCH("character_id",[4]characters!$1:$1,0)+1),MATCH(N$1,[4]characters!$1:$1,0)-MATCH("character_id",[4]characters!$1:$1,0)+1,FALSE),"")</f>
        <v>森のメタルチック</v>
      </c>
      <c r="O10" s="85">
        <v>1</v>
      </c>
      <c r="P10" s="85">
        <v>1</v>
      </c>
      <c r="Q10" s="85">
        <v>1</v>
      </c>
      <c r="R10" s="85">
        <v>0</v>
      </c>
      <c r="S10" s="85">
        <v>0</v>
      </c>
      <c r="T10" s="85">
        <v>0</v>
      </c>
      <c r="U10" s="85">
        <v>0</v>
      </c>
      <c r="V10" s="85">
        <v>1</v>
      </c>
      <c r="W10" s="99" t="s">
        <v>227</v>
      </c>
      <c r="X10" s="100" t="s">
        <v>228</v>
      </c>
    </row>
    <row r="11" spans="1:24" x14ac:dyDescent="0.15">
      <c r="A11" s="97" t="str">
        <f t="shared" si="0"/>
        <v>47003_1_everyone_full_member_10</v>
      </c>
      <c r="B11" s="83">
        <v>47003</v>
      </c>
      <c r="C11" s="84" t="str">
        <f ca="1">VLOOKUP($B11,OFFSET([2]quests!$A$1,0,0,COUNTA([2]quests!$A:$A),MATCH(C$1,[2]quests!$1:$1,0)-MATCH($B$1,[2]quests!$1:$1,0)+1),MATCH(C$1,[2]quests!$1:$1,0)-MATCH($B$1,[2]quests!$1:$1,0)+1,FALSE)</f>
        <v>ハロウィンナイトパニック！</v>
      </c>
      <c r="D11" s="84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85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86" t="s">
        <v>225</v>
      </c>
      <c r="I11" s="85" t="s">
        <v>471</v>
      </c>
      <c r="J11" s="85">
        <v>10</v>
      </c>
      <c r="K11" s="85">
        <v>3</v>
      </c>
      <c r="L11" s="85" t="s">
        <v>473</v>
      </c>
      <c r="M11" s="85">
        <v>341</v>
      </c>
      <c r="N11" s="98" t="str">
        <f ca="1">IF(L11="unit",VLOOKUP($M11,OFFSET([4]characters!$A$1,0,0,COUNTA([4]characters!$A:$A),MATCH(N$1,[4]characters!$1:$1,0)-MATCH("character_id",[4]characters!$1:$1,0)+1),MATCH(N$1,[4]characters!$1:$1,0)-MATCH("character_id",[4]characters!$1:$1,0)+1,FALSE),"")</f>
        <v>水のメタルチック</v>
      </c>
      <c r="O11" s="85">
        <v>1</v>
      </c>
      <c r="P11" s="85">
        <v>1</v>
      </c>
      <c r="Q11" s="85">
        <v>1</v>
      </c>
      <c r="R11" s="85">
        <v>0</v>
      </c>
      <c r="S11" s="85">
        <v>0</v>
      </c>
      <c r="T11" s="85">
        <v>0</v>
      </c>
      <c r="U11" s="85">
        <v>0</v>
      </c>
      <c r="V11" s="85">
        <v>1</v>
      </c>
      <c r="W11" s="99" t="s">
        <v>227</v>
      </c>
      <c r="X11" s="100" t="s">
        <v>228</v>
      </c>
    </row>
    <row r="12" spans="1:24" x14ac:dyDescent="0.15">
      <c r="A12" s="97" t="str">
        <f t="shared" si="0"/>
        <v>47003_1_everyone_full_member_11</v>
      </c>
      <c r="B12" s="83">
        <v>47003</v>
      </c>
      <c r="C12" s="84" t="str">
        <f ca="1">VLOOKUP($B12,OFFSET([2]quests!$A$1,0,0,COUNTA([2]quests!$A:$A),MATCH(C$1,[2]quests!$1:$1,0)-MATCH($B$1,[2]quests!$1:$1,0)+1),MATCH(C$1,[2]quests!$1:$1,0)-MATCH($B$1,[2]quests!$1:$1,0)+1,FALSE)</f>
        <v>ハロウィンナイトパニック！</v>
      </c>
      <c r="D12" s="84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85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86" t="s">
        <v>225</v>
      </c>
      <c r="I12" s="85" t="s">
        <v>471</v>
      </c>
      <c r="J12" s="85">
        <v>11</v>
      </c>
      <c r="K12" s="85">
        <v>3</v>
      </c>
      <c r="L12" s="85" t="s">
        <v>473</v>
      </c>
      <c r="M12" s="85">
        <v>345</v>
      </c>
      <c r="N12" s="98" t="str">
        <f ca="1">IF(L12="unit",VLOOKUP($M12,OFFSET([4]characters!$A$1,0,0,COUNTA([4]characters!$A:$A),MATCH(N$1,[4]characters!$1:$1,0)-MATCH("character_id",[4]characters!$1:$1,0)+1),MATCH(N$1,[4]characters!$1:$1,0)-MATCH("character_id",[4]characters!$1:$1,0)+1,FALSE),"")</f>
        <v>雷のメタルチック</v>
      </c>
      <c r="O12" s="85">
        <v>1</v>
      </c>
      <c r="P12" s="85">
        <v>1</v>
      </c>
      <c r="Q12" s="85">
        <v>1</v>
      </c>
      <c r="R12" s="85">
        <v>0</v>
      </c>
      <c r="S12" s="85">
        <v>0</v>
      </c>
      <c r="T12" s="85">
        <v>0</v>
      </c>
      <c r="U12" s="85">
        <v>0</v>
      </c>
      <c r="V12" s="85">
        <v>1</v>
      </c>
      <c r="W12" s="99" t="s">
        <v>227</v>
      </c>
      <c r="X12" s="100" t="s">
        <v>228</v>
      </c>
    </row>
    <row r="13" spans="1:24" x14ac:dyDescent="0.15">
      <c r="A13" s="97" t="str">
        <f t="shared" si="0"/>
        <v>47003_1_everyone_full_member_12</v>
      </c>
      <c r="B13" s="83">
        <v>47003</v>
      </c>
      <c r="C13" s="84" t="str">
        <f ca="1">VLOOKUP($B13,OFFSET([2]quests!$A$1,0,0,COUNTA([2]quests!$A:$A),MATCH(C$1,[2]quests!$1:$1,0)-MATCH($B$1,[2]quests!$1:$1,0)+1),MATCH(C$1,[2]quests!$1:$1,0)-MATCH($B$1,[2]quests!$1:$1,0)+1,FALSE)</f>
        <v>ハロウィンナイトパニック！</v>
      </c>
      <c r="D13" s="84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85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86" t="s">
        <v>225</v>
      </c>
      <c r="I13" s="85" t="s">
        <v>471</v>
      </c>
      <c r="J13" s="85">
        <v>12</v>
      </c>
      <c r="K13" s="85">
        <v>15</v>
      </c>
      <c r="L13" s="85" t="s">
        <v>467</v>
      </c>
      <c r="M13" s="85">
        <v>5000</v>
      </c>
      <c r="N13" s="98" t="str">
        <f ca="1">IF(L13="unit",VLOOKUP($M13,OFFSET([4]characters!$A$1,0,0,COUNTA([4]characters!$A:$A),MATCH(N$1,[4]characters!$1:$1,0)-MATCH("character_id",[4]characters!$1:$1,0)+1),MATCH(N$1,[4]characters!$1:$1,0)-MATCH("character_id",[4]characters!$1:$1,0)+1,FALSE),"")</f>
        <v/>
      </c>
      <c r="O13" s="85" t="s">
        <v>469</v>
      </c>
      <c r="P13" s="85">
        <v>1</v>
      </c>
      <c r="Q13" s="85">
        <v>1</v>
      </c>
      <c r="R13" s="85">
        <v>0</v>
      </c>
      <c r="S13" s="85">
        <v>0</v>
      </c>
      <c r="T13" s="85">
        <v>0</v>
      </c>
      <c r="U13" s="85">
        <v>0</v>
      </c>
      <c r="V13" s="85">
        <v>1</v>
      </c>
      <c r="W13" s="99" t="s">
        <v>227</v>
      </c>
      <c r="X13" s="100" t="s">
        <v>228</v>
      </c>
    </row>
    <row r="14" spans="1:24" x14ac:dyDescent="0.15">
      <c r="A14" s="97" t="str">
        <f t="shared" si="0"/>
        <v>47003_1_everyone_full_member_13</v>
      </c>
      <c r="B14" s="83">
        <v>47003</v>
      </c>
      <c r="C14" s="84" t="str">
        <f ca="1">VLOOKUP($B14,OFFSET([2]quests!$A$1,0,0,COUNTA([2]quests!$A:$A),MATCH(C$1,[2]quests!$1:$1,0)-MATCH($B$1,[2]quests!$1:$1,0)+1),MATCH(C$1,[2]quests!$1:$1,0)-MATCH($B$1,[2]quests!$1:$1,0)+1,FALSE)</f>
        <v>ハロウィンナイトパニック！</v>
      </c>
      <c r="D14" s="84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5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【上級】ハロウィンナイトパニック！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86" t="s">
        <v>225</v>
      </c>
      <c r="I14" s="85" t="s">
        <v>471</v>
      </c>
      <c r="J14" s="85">
        <v>13</v>
      </c>
      <c r="K14" s="85">
        <v>15</v>
      </c>
      <c r="L14" s="85" t="s">
        <v>468</v>
      </c>
      <c r="M14" s="85">
        <v>25</v>
      </c>
      <c r="N14" s="98" t="str">
        <f ca="1">IF(L14="unit",VLOOKUP($M14,OFFSET([4]characters!$A$1,0,0,COUNTA([4]characters!$A:$A),MATCH(N$1,[4]characters!$1:$1,0)-MATCH("character_id",[4]characters!$1:$1,0)+1),MATCH(N$1,[4]characters!$1:$1,0)-MATCH("character_id",[4]characters!$1:$1,0)+1,FALSE),"")</f>
        <v/>
      </c>
      <c r="O14" s="85" t="s">
        <v>470</v>
      </c>
      <c r="P14" s="85">
        <v>1</v>
      </c>
      <c r="Q14" s="85">
        <v>1</v>
      </c>
      <c r="R14" s="85">
        <v>0</v>
      </c>
      <c r="S14" s="85">
        <v>0</v>
      </c>
      <c r="T14" s="85">
        <v>0</v>
      </c>
      <c r="U14" s="85">
        <v>0</v>
      </c>
      <c r="V14" s="85">
        <v>1</v>
      </c>
      <c r="W14" s="99" t="s">
        <v>227</v>
      </c>
      <c r="X14" s="100" t="s">
        <v>228</v>
      </c>
    </row>
    <row r="15" spans="1:24" x14ac:dyDescent="0.15">
      <c r="A15" s="97" t="str">
        <f>B15&amp;"_"&amp;E15&amp;"_"&amp;H15&amp;"_"&amp;I15&amp;"_"&amp;J15</f>
        <v>47003_2_everyone_clear_14</v>
      </c>
      <c r="B15" s="83">
        <v>47003</v>
      </c>
      <c r="C15" s="84" t="str">
        <f ca="1">VLOOKUP($B15,OFFSET([2]quests!$A$1,0,0,COUNTA([2]quests!$A:$A),MATCH(C$1,[2]quests!$1:$1,0)-MATCH($B$1,[2]quests!$1:$1,0)+1),MATCH(C$1,[2]quests!$1:$1,0)-MATCH($B$1,[2]quests!$1:$1,0)+1,FALSE)</f>
        <v>ハロウィンナイトパニック！</v>
      </c>
      <c r="D15" s="84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5">
        <v>2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86" t="s">
        <v>225</v>
      </c>
      <c r="I15" s="85" t="s">
        <v>226</v>
      </c>
      <c r="J15" s="85">
        <v>14</v>
      </c>
      <c r="K15" s="85">
        <v>60</v>
      </c>
      <c r="L15" s="85" t="s">
        <v>465</v>
      </c>
      <c r="M15" s="85">
        <v>701</v>
      </c>
      <c r="N15" s="98" t="str">
        <f ca="1">IF(L15="unit",VLOOKUP($M15,OFFSET([4]characters!$A$1,0,0,COUNTA([4]characters!$A:$A),MATCH(N$1,[4]characters!$1:$1,0)-MATCH("character_id",[4]characters!$1:$1,0)+1),MATCH(N$1,[4]characters!$1:$1,0)-MATCH("character_id",[4]characters!$1:$1,0)+1,FALSE),"")</f>
        <v/>
      </c>
      <c r="O15" s="85">
        <v>1</v>
      </c>
      <c r="P15" s="85">
        <v>1</v>
      </c>
      <c r="Q15" s="85">
        <v>1</v>
      </c>
      <c r="R15" s="85">
        <v>0</v>
      </c>
      <c r="S15" s="85">
        <v>0</v>
      </c>
      <c r="T15" s="85">
        <v>0</v>
      </c>
      <c r="U15" s="85">
        <v>0</v>
      </c>
      <c r="V15" s="85">
        <v>1</v>
      </c>
      <c r="W15" s="99" t="s">
        <v>227</v>
      </c>
      <c r="X15" s="100" t="s">
        <v>228</v>
      </c>
    </row>
    <row r="16" spans="1:24" x14ac:dyDescent="0.15">
      <c r="A16" s="97" t="str">
        <f>B16&amp;"_"&amp;E16&amp;"_"&amp;H16&amp;"_"&amp;I16&amp;"_"&amp;J16</f>
        <v>47003_2_everyone_clear_15</v>
      </c>
      <c r="B16" s="83">
        <v>47003</v>
      </c>
      <c r="C16" s="84" t="str">
        <f ca="1">VLOOKUP($B16,OFFSET([2]quests!$A$1,0,0,COUNTA([2]quests!$A:$A),MATCH(C$1,[2]quests!$1:$1,0)-MATCH($B$1,[2]quests!$1:$1,0)+1),MATCH(C$1,[2]quests!$1:$1,0)-MATCH($B$1,[2]quests!$1:$1,0)+1,FALSE)</f>
        <v>ハロウィンナイトパニック！</v>
      </c>
      <c r="D16" s="84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5">
        <v>2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86" t="s">
        <v>225</v>
      </c>
      <c r="I16" s="85" t="s">
        <v>464</v>
      </c>
      <c r="J16" s="85">
        <v>15</v>
      </c>
      <c r="K16" s="85">
        <v>40</v>
      </c>
      <c r="L16" s="85" t="s">
        <v>466</v>
      </c>
      <c r="M16" s="85">
        <v>701</v>
      </c>
      <c r="N16" s="98" t="str">
        <f ca="1">IF(L16="unit",VLOOKUP($M16,OFFSET([4]characters!$A$1,0,0,COUNTA([4]characters!$A:$A),MATCH(N$1,[4]characters!$1:$1,0)-MATCH("character_id",[4]characters!$1:$1,0)+1),MATCH(N$1,[4]characters!$1:$1,0)-MATCH("character_id",[4]characters!$1:$1,0)+1,FALSE),"")</f>
        <v/>
      </c>
      <c r="O16" s="85">
        <v>3</v>
      </c>
      <c r="P16" s="85">
        <v>1</v>
      </c>
      <c r="Q16" s="85">
        <v>1</v>
      </c>
      <c r="R16" s="85">
        <v>0</v>
      </c>
      <c r="S16" s="85">
        <v>0</v>
      </c>
      <c r="T16" s="85">
        <v>0</v>
      </c>
      <c r="U16" s="85">
        <v>0</v>
      </c>
      <c r="V16" s="85">
        <v>1</v>
      </c>
      <c r="W16" s="99" t="s">
        <v>227</v>
      </c>
      <c r="X16" s="100" t="s">
        <v>228</v>
      </c>
    </row>
    <row r="17" spans="1:24" x14ac:dyDescent="0.15">
      <c r="A17" s="97" t="str">
        <f t="shared" ref="A17:A27" si="1">B17&amp;"_"&amp;E17&amp;"_"&amp;H17&amp;"_"&amp;I17&amp;"_"&amp;J17</f>
        <v>47003_2_everyone_full_member_16</v>
      </c>
      <c r="B17" s="83">
        <v>47003</v>
      </c>
      <c r="C17" s="84" t="str">
        <f ca="1">VLOOKUP($B17,OFFSET([2]quests!$A$1,0,0,COUNTA([2]quests!$A:$A),MATCH(C$1,[2]quests!$1:$1,0)-MATCH($B$1,[2]quests!$1:$1,0)+1),MATCH(C$1,[2]quests!$1:$1,0)-MATCH($B$1,[2]quests!$1:$1,0)+1,FALSE)</f>
        <v>ハロウィンナイトパニック！</v>
      </c>
      <c r="D17" s="84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5">
        <v>2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86" t="s">
        <v>225</v>
      </c>
      <c r="I17" s="85" t="s">
        <v>471</v>
      </c>
      <c r="J17" s="85">
        <v>16</v>
      </c>
      <c r="K17" s="85">
        <v>10</v>
      </c>
      <c r="L17" s="85" t="s">
        <v>466</v>
      </c>
      <c r="M17" s="85">
        <v>701</v>
      </c>
      <c r="N17" s="98" t="str">
        <f ca="1">IF(L17="unit",VLOOKUP($M17,OFFSET([4]characters!$A$1,0,0,COUNTA([4]characters!$A:$A),MATCH(N$1,[4]characters!$1:$1,0)-MATCH("character_id",[4]characters!$1:$1,0)+1),MATCH(N$1,[4]characters!$1:$1,0)-MATCH("character_id",[4]characters!$1:$1,0)+1,FALSE),"")</f>
        <v/>
      </c>
      <c r="O17" s="85">
        <v>1</v>
      </c>
      <c r="P17" s="85">
        <v>1</v>
      </c>
      <c r="Q17" s="85">
        <v>1</v>
      </c>
      <c r="R17" s="85">
        <v>0</v>
      </c>
      <c r="S17" s="85">
        <v>0</v>
      </c>
      <c r="T17" s="85">
        <v>0</v>
      </c>
      <c r="U17" s="85">
        <v>0</v>
      </c>
      <c r="V17" s="85">
        <v>1</v>
      </c>
      <c r="W17" s="99" t="s">
        <v>227</v>
      </c>
      <c r="X17" s="100" t="s">
        <v>228</v>
      </c>
    </row>
    <row r="18" spans="1:24" x14ac:dyDescent="0.15">
      <c r="A18" s="97" t="str">
        <f t="shared" si="1"/>
        <v>47003_2_everyone_full_member_17</v>
      </c>
      <c r="B18" s="83">
        <v>47003</v>
      </c>
      <c r="C18" s="84" t="str">
        <f ca="1">VLOOKUP($B18,OFFSET([2]quests!$A$1,0,0,COUNTA([2]quests!$A:$A),MATCH(C$1,[2]quests!$1:$1,0)-MATCH($B$1,[2]quests!$1:$1,0)+1),MATCH(C$1,[2]quests!$1:$1,0)-MATCH($B$1,[2]quests!$1:$1,0)+1,FALSE)</f>
        <v>ハロウィンナイトパニック！</v>
      </c>
      <c r="D18" s="84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85">
        <v>2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季節イベント</v>
      </c>
      <c r="H18" s="86" t="s">
        <v>225</v>
      </c>
      <c r="I18" s="85" t="s">
        <v>471</v>
      </c>
      <c r="J18" s="85">
        <v>17</v>
      </c>
      <c r="K18" s="85">
        <v>30</v>
      </c>
      <c r="L18" s="85" t="s">
        <v>466</v>
      </c>
      <c r="M18" s="85">
        <v>701</v>
      </c>
      <c r="N18" s="98" t="str">
        <f ca="1">IF(L18="unit",VLOOKUP($M18,OFFSET([4]characters!$A$1,0,0,COUNTA([4]characters!$A:$A),MATCH(N$1,[4]characters!$1:$1,0)-MATCH("character_id",[4]characters!$1:$1,0)+1),MATCH(N$1,[4]characters!$1:$1,0)-MATCH("character_id",[4]characters!$1:$1,0)+1,FALSE),"")</f>
        <v/>
      </c>
      <c r="O18" s="85">
        <v>3</v>
      </c>
      <c r="P18" s="85">
        <v>1</v>
      </c>
      <c r="Q18" s="85">
        <v>1</v>
      </c>
      <c r="R18" s="85">
        <v>0</v>
      </c>
      <c r="S18" s="85">
        <v>0</v>
      </c>
      <c r="T18" s="85">
        <v>0</v>
      </c>
      <c r="U18" s="85">
        <v>0</v>
      </c>
      <c r="V18" s="85">
        <v>1</v>
      </c>
      <c r="W18" s="99" t="s">
        <v>227</v>
      </c>
      <c r="X18" s="100" t="s">
        <v>228</v>
      </c>
    </row>
    <row r="19" spans="1:24" x14ac:dyDescent="0.15">
      <c r="A19" s="97" t="str">
        <f t="shared" si="1"/>
        <v>47003_2_everyone_full_member_18</v>
      </c>
      <c r="B19" s="83">
        <v>47003</v>
      </c>
      <c r="C19" s="84" t="str">
        <f ca="1">VLOOKUP($B19,OFFSET([2]quests!$A$1,0,0,COUNTA([2]quests!$A:$A),MATCH(C$1,[2]quests!$1:$1,0)-MATCH($B$1,[2]quests!$1:$1,0)+1),MATCH(C$1,[2]quests!$1:$1,0)-MATCH($B$1,[2]quests!$1:$1,0)+1,FALSE)</f>
        <v>ハロウィンナイトパニック！</v>
      </c>
      <c r="D19" s="84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85">
        <v>2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季節イベント</v>
      </c>
      <c r="H19" s="86" t="s">
        <v>225</v>
      </c>
      <c r="I19" s="85" t="s">
        <v>471</v>
      </c>
      <c r="J19" s="85">
        <v>18</v>
      </c>
      <c r="K19" s="85">
        <v>6</v>
      </c>
      <c r="L19" s="85" t="s">
        <v>473</v>
      </c>
      <c r="M19" s="85">
        <v>121</v>
      </c>
      <c r="N19" s="98" t="str">
        <f ca="1">IF(L19="unit",VLOOKUP($M19,OFFSET([4]characters!$A$1,0,0,COUNTA([4]characters!$A:$A),MATCH(N$1,[4]characters!$1:$1,0)-MATCH("character_id",[4]characters!$1:$1,0)+1),MATCH(N$1,[4]characters!$1:$1,0)-MATCH("character_id",[4]characters!$1:$1,0)+1,FALSE),"")</f>
        <v>攻めの果実</v>
      </c>
      <c r="O19" s="85">
        <v>1</v>
      </c>
      <c r="P19" s="85">
        <v>1</v>
      </c>
      <c r="Q19" s="85">
        <v>1</v>
      </c>
      <c r="R19" s="85">
        <v>0</v>
      </c>
      <c r="S19" s="85">
        <v>0</v>
      </c>
      <c r="T19" s="85">
        <v>0</v>
      </c>
      <c r="U19" s="85">
        <v>0</v>
      </c>
      <c r="V19" s="85">
        <v>1</v>
      </c>
      <c r="W19" s="99" t="s">
        <v>227</v>
      </c>
      <c r="X19" s="100" t="s">
        <v>228</v>
      </c>
    </row>
    <row r="20" spans="1:24" x14ac:dyDescent="0.15">
      <c r="A20" s="97" t="str">
        <f t="shared" si="1"/>
        <v>47003_2_everyone_full_member_19</v>
      </c>
      <c r="B20" s="83">
        <v>47003</v>
      </c>
      <c r="C20" s="84" t="str">
        <f ca="1">VLOOKUP($B20,OFFSET([2]quests!$A$1,0,0,COUNTA([2]quests!$A:$A),MATCH(C$1,[2]quests!$1:$1,0)-MATCH($B$1,[2]quests!$1:$1,0)+1),MATCH(C$1,[2]quests!$1:$1,0)-MATCH($B$1,[2]quests!$1:$1,0)+1,FALSE)</f>
        <v>ハロウィンナイトパニック！</v>
      </c>
      <c r="D20" s="84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85">
        <v>2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季節イベント</v>
      </c>
      <c r="H20" s="86" t="s">
        <v>225</v>
      </c>
      <c r="I20" s="85" t="s">
        <v>471</v>
      </c>
      <c r="J20" s="85">
        <v>19</v>
      </c>
      <c r="K20" s="85">
        <v>6</v>
      </c>
      <c r="L20" s="85" t="s">
        <v>473</v>
      </c>
      <c r="M20" s="85">
        <v>122</v>
      </c>
      <c r="N20" s="98" t="str">
        <f ca="1">IF(L20="unit",VLOOKUP($M20,OFFSET([4]characters!$A$1,0,0,COUNTA([4]characters!$A:$A),MATCH(N$1,[4]characters!$1:$1,0)-MATCH("character_id",[4]characters!$1:$1,0)+1),MATCH(N$1,[4]characters!$1:$1,0)-MATCH("character_id",[4]characters!$1:$1,0)+1,FALSE),"")</f>
        <v>生命の果実</v>
      </c>
      <c r="O20" s="85">
        <v>1</v>
      </c>
      <c r="P20" s="85">
        <v>1</v>
      </c>
      <c r="Q20" s="85">
        <v>1</v>
      </c>
      <c r="R20" s="85">
        <v>0</v>
      </c>
      <c r="S20" s="85">
        <v>0</v>
      </c>
      <c r="T20" s="85">
        <v>0</v>
      </c>
      <c r="U20" s="85">
        <v>0</v>
      </c>
      <c r="V20" s="85">
        <v>1</v>
      </c>
      <c r="W20" s="99" t="s">
        <v>227</v>
      </c>
      <c r="X20" s="100" t="s">
        <v>228</v>
      </c>
    </row>
    <row r="21" spans="1:24" x14ac:dyDescent="0.15">
      <c r="A21" s="97" t="str">
        <f t="shared" si="1"/>
        <v>47003_2_everyone_full_member_20</v>
      </c>
      <c r="B21" s="83">
        <v>47003</v>
      </c>
      <c r="C21" s="84" t="str">
        <f ca="1">VLOOKUP($B21,OFFSET([2]quests!$A$1,0,0,COUNTA([2]quests!$A:$A),MATCH(C$1,[2]quests!$1:$1,0)-MATCH($B$1,[2]quests!$1:$1,0)+1),MATCH(C$1,[2]quests!$1:$1,0)-MATCH($B$1,[2]quests!$1:$1,0)+1,FALSE)</f>
        <v>ハロウィンナイトパニック！</v>
      </c>
      <c r="D21" s="84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85">
        <v>2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季節イベント</v>
      </c>
      <c r="H21" s="86" t="s">
        <v>225</v>
      </c>
      <c r="I21" s="85" t="s">
        <v>471</v>
      </c>
      <c r="J21" s="85">
        <v>20</v>
      </c>
      <c r="K21" s="85">
        <v>6</v>
      </c>
      <c r="L21" s="85" t="s">
        <v>473</v>
      </c>
      <c r="M21" s="85">
        <v>123</v>
      </c>
      <c r="N21" s="98" t="str">
        <f ca="1">IF(L21="unit",VLOOKUP($M21,OFFSET([4]characters!$A$1,0,0,COUNTA([4]characters!$A:$A),MATCH(N$1,[4]characters!$1:$1,0)-MATCH("character_id",[4]characters!$1:$1,0)+1),MATCH(N$1,[4]characters!$1:$1,0)-MATCH("character_id",[4]characters!$1:$1,0)+1,FALSE),"")</f>
        <v>癒しの果実</v>
      </c>
      <c r="O21" s="85">
        <v>1</v>
      </c>
      <c r="P21" s="85">
        <v>1</v>
      </c>
      <c r="Q21" s="85">
        <v>1</v>
      </c>
      <c r="R21" s="85">
        <v>0</v>
      </c>
      <c r="S21" s="85">
        <v>0</v>
      </c>
      <c r="T21" s="85">
        <v>0</v>
      </c>
      <c r="U21" s="85">
        <v>0</v>
      </c>
      <c r="V21" s="85">
        <v>1</v>
      </c>
      <c r="W21" s="99" t="s">
        <v>227</v>
      </c>
      <c r="X21" s="100" t="s">
        <v>228</v>
      </c>
    </row>
    <row r="22" spans="1:24" x14ac:dyDescent="0.15">
      <c r="A22" s="97" t="str">
        <f t="shared" si="1"/>
        <v>47003_2_everyone_full_member_21</v>
      </c>
      <c r="B22" s="83">
        <v>47003</v>
      </c>
      <c r="C22" s="84" t="str">
        <f ca="1">VLOOKUP($B22,OFFSET([2]quests!$A$1,0,0,COUNTA([2]quests!$A:$A),MATCH(C$1,[2]quests!$1:$1,0)-MATCH($B$1,[2]quests!$1:$1,0)+1),MATCH(C$1,[2]quests!$1:$1,0)-MATCH($B$1,[2]quests!$1:$1,0)+1,FALSE)</f>
        <v>ハロウィンナイトパニック！</v>
      </c>
      <c r="D22" s="84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85">
        <v>2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季節イベント</v>
      </c>
      <c r="H22" s="86" t="s">
        <v>225</v>
      </c>
      <c r="I22" s="85" t="s">
        <v>471</v>
      </c>
      <c r="J22" s="85">
        <v>21</v>
      </c>
      <c r="K22" s="85">
        <v>3</v>
      </c>
      <c r="L22" s="85" t="s">
        <v>473</v>
      </c>
      <c r="M22" s="85">
        <v>334</v>
      </c>
      <c r="N22" s="98" t="str">
        <f ca="1">IF(L22="unit",VLOOKUP($M22,OFFSET([4]characters!$A$1,0,0,COUNTA([4]characters!$A:$A),MATCH(N$1,[4]characters!$1:$1,0)-MATCH("character_id",[4]characters!$1:$1,0)+1),MATCH(N$1,[4]characters!$1:$1,0)-MATCH("character_id",[4]characters!$1:$1,0)+1,FALSE),"")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2" s="85">
        <v>1</v>
      </c>
      <c r="P22" s="85">
        <v>1</v>
      </c>
      <c r="Q22" s="85">
        <v>1</v>
      </c>
      <c r="R22" s="85">
        <v>0</v>
      </c>
      <c r="S22" s="85">
        <v>0</v>
      </c>
      <c r="T22" s="85">
        <v>0</v>
      </c>
      <c r="U22" s="85">
        <v>0</v>
      </c>
      <c r="V22" s="85">
        <v>1</v>
      </c>
      <c r="W22" s="99" t="s">
        <v>227</v>
      </c>
      <c r="X22" s="100" t="s">
        <v>228</v>
      </c>
    </row>
    <row r="23" spans="1:24" x14ac:dyDescent="0.15">
      <c r="A23" s="97" t="str">
        <f t="shared" si="1"/>
        <v>47003_2_everyone_full_member_22</v>
      </c>
      <c r="B23" s="83">
        <v>47003</v>
      </c>
      <c r="C23" s="84" t="str">
        <f ca="1">VLOOKUP($B23,OFFSET([2]quests!$A$1,0,0,COUNTA([2]quests!$A:$A),MATCH(C$1,[2]quests!$1:$1,0)-MATCH($B$1,[2]quests!$1:$1,0)+1),MATCH(C$1,[2]quests!$1:$1,0)-MATCH($B$1,[2]quests!$1:$1,0)+1,FALSE)</f>
        <v>ハロウィンナイトパニック！</v>
      </c>
      <c r="D23" s="84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85">
        <v>2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季節イベント</v>
      </c>
      <c r="H23" s="86" t="s">
        <v>225</v>
      </c>
      <c r="I23" s="85" t="s">
        <v>471</v>
      </c>
      <c r="J23" s="85">
        <v>22</v>
      </c>
      <c r="K23" s="85">
        <v>3</v>
      </c>
      <c r="L23" s="85" t="s">
        <v>473</v>
      </c>
      <c r="M23" s="85">
        <v>338</v>
      </c>
      <c r="N23" s="98" t="str">
        <f ca="1">IF(L23="unit",VLOOKUP($M23,OFFSET([4]characters!$A$1,0,0,COUNTA([4]characters!$A:$A),MATCH(N$1,[4]characters!$1:$1,0)-MATCH("character_id",[4]characters!$1:$1,0)+1),MATCH(N$1,[4]characters!$1:$1,0)-MATCH("character_id",[4]characters!$1:$1,0)+1,FALSE),"")</f>
        <v>森のメタルダック</v>
      </c>
      <c r="O23" s="85">
        <v>1</v>
      </c>
      <c r="P23" s="85">
        <v>1</v>
      </c>
      <c r="Q23" s="85">
        <v>1</v>
      </c>
      <c r="R23" s="85">
        <v>0</v>
      </c>
      <c r="S23" s="85">
        <v>0</v>
      </c>
      <c r="T23" s="85">
        <v>0</v>
      </c>
      <c r="U23" s="85">
        <v>0</v>
      </c>
      <c r="V23" s="85">
        <v>1</v>
      </c>
      <c r="W23" s="99" t="s">
        <v>227</v>
      </c>
      <c r="X23" s="100" t="s">
        <v>228</v>
      </c>
    </row>
    <row r="24" spans="1:24" x14ac:dyDescent="0.15">
      <c r="A24" s="97" t="str">
        <f t="shared" si="1"/>
        <v>47003_2_everyone_full_member_23</v>
      </c>
      <c r="B24" s="83">
        <v>47003</v>
      </c>
      <c r="C24" s="84" t="str">
        <f ca="1">VLOOKUP($B24,OFFSET([2]quests!$A$1,0,0,COUNTA([2]quests!$A:$A),MATCH(C$1,[2]quests!$1:$1,0)-MATCH($B$1,[2]quests!$1:$1,0)+1),MATCH(C$1,[2]quests!$1:$1,0)-MATCH($B$1,[2]quests!$1:$1,0)+1,FALSE)</f>
        <v>ハロウィンナイトパニック！</v>
      </c>
      <c r="D24" s="84" t="str">
        <f ca="1">VLOOKUP($B24,OFFSET([2]quests!$A$1,0,0,COUNTA([2]quests!$A:$A),MATCH(D$1,[2]quests!$1:$1,0)-MATCH($B$1,[2]quests!$1:$1,0)+1),MATCH(D$1,[2]quests!$1:$1,0)-MATCH($B$1,[2]quests!$1:$1,0)+1,FALSE)</f>
        <v>季節イベント</v>
      </c>
      <c r="E24" s="85">
        <v>2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季節イベント</v>
      </c>
      <c r="H24" s="86" t="s">
        <v>225</v>
      </c>
      <c r="I24" s="85" t="s">
        <v>471</v>
      </c>
      <c r="J24" s="85">
        <v>23</v>
      </c>
      <c r="K24" s="85">
        <v>3</v>
      </c>
      <c r="L24" s="85" t="s">
        <v>473</v>
      </c>
      <c r="M24" s="85">
        <v>342</v>
      </c>
      <c r="N24" s="98" t="str">
        <f ca="1">IF(L24="unit",VLOOKUP($M24,OFFSET([4]characters!$A$1,0,0,COUNTA([4]characters!$A:$A),MATCH(N$1,[4]characters!$1:$1,0)-MATCH("character_id",[4]characters!$1:$1,0)+1),MATCH(N$1,[4]characters!$1:$1,0)-MATCH("character_id",[4]characters!$1:$1,0)+1,FALSE),"")</f>
        <v>水のメタルダック</v>
      </c>
      <c r="O24" s="85">
        <v>1</v>
      </c>
      <c r="P24" s="85">
        <v>1</v>
      </c>
      <c r="Q24" s="85">
        <v>1</v>
      </c>
      <c r="R24" s="85">
        <v>0</v>
      </c>
      <c r="S24" s="85">
        <v>0</v>
      </c>
      <c r="T24" s="85">
        <v>0</v>
      </c>
      <c r="U24" s="85">
        <v>0</v>
      </c>
      <c r="V24" s="85">
        <v>1</v>
      </c>
      <c r="W24" s="99" t="s">
        <v>227</v>
      </c>
      <c r="X24" s="100" t="s">
        <v>228</v>
      </c>
    </row>
    <row r="25" spans="1:24" x14ac:dyDescent="0.15">
      <c r="A25" s="97" t="str">
        <f t="shared" si="1"/>
        <v>47003_2_everyone_full_member_24</v>
      </c>
      <c r="B25" s="83">
        <v>47003</v>
      </c>
      <c r="C25" s="84" t="str">
        <f ca="1">VLOOKUP($B25,OFFSET([2]quests!$A$1,0,0,COUNTA([2]quests!$A:$A),MATCH(C$1,[2]quests!$1:$1,0)-MATCH($B$1,[2]quests!$1:$1,0)+1),MATCH(C$1,[2]quests!$1:$1,0)-MATCH($B$1,[2]quests!$1:$1,0)+1,FALSE)</f>
        <v>ハロウィンナイトパニック！</v>
      </c>
      <c r="D25" s="84" t="str">
        <f ca="1">VLOOKUP($B25,OFFSET([2]quests!$A$1,0,0,COUNTA([2]quests!$A:$A),MATCH(D$1,[2]quests!$1:$1,0)-MATCH($B$1,[2]quests!$1:$1,0)+1),MATCH(D$1,[2]quests!$1:$1,0)-MATCH($B$1,[2]quests!$1:$1,0)+1,FALSE)</f>
        <v>季節イベント</v>
      </c>
      <c r="E25" s="85">
        <v>2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季節イベント</v>
      </c>
      <c r="H25" s="86" t="s">
        <v>225</v>
      </c>
      <c r="I25" s="85" t="s">
        <v>471</v>
      </c>
      <c r="J25" s="85">
        <v>24</v>
      </c>
      <c r="K25" s="85">
        <v>3</v>
      </c>
      <c r="L25" s="85" t="s">
        <v>473</v>
      </c>
      <c r="M25" s="85">
        <v>346</v>
      </c>
      <c r="N25" s="98" t="str">
        <f ca="1">IF(L25="unit",VLOOKUP($M25,OFFSET([4]characters!$A$1,0,0,COUNTA([4]characters!$A:$A),MATCH(N$1,[4]characters!$1:$1,0)-MATCH("character_id",[4]characters!$1:$1,0)+1),MATCH(N$1,[4]characters!$1:$1,0)-MATCH("character_id",[4]characters!$1:$1,0)+1,FALSE),"")</f>
        <v>雷のメタルダック</v>
      </c>
      <c r="O25" s="85">
        <v>1</v>
      </c>
      <c r="P25" s="85">
        <v>1</v>
      </c>
      <c r="Q25" s="85">
        <v>1</v>
      </c>
      <c r="R25" s="85">
        <v>0</v>
      </c>
      <c r="S25" s="85">
        <v>0</v>
      </c>
      <c r="T25" s="85">
        <v>0</v>
      </c>
      <c r="U25" s="85">
        <v>0</v>
      </c>
      <c r="V25" s="85">
        <v>1</v>
      </c>
      <c r="W25" s="99" t="s">
        <v>227</v>
      </c>
      <c r="X25" s="100" t="s">
        <v>228</v>
      </c>
    </row>
    <row r="26" spans="1:24" x14ac:dyDescent="0.15">
      <c r="A26" s="97" t="str">
        <f t="shared" si="1"/>
        <v>47003_2_everyone_full_member_25</v>
      </c>
      <c r="B26" s="83">
        <v>47003</v>
      </c>
      <c r="C26" s="84" t="str">
        <f ca="1">VLOOKUP($B26,OFFSET([2]quests!$A$1,0,0,COUNTA([2]quests!$A:$A),MATCH(C$1,[2]quests!$1:$1,0)-MATCH($B$1,[2]quests!$1:$1,0)+1),MATCH(C$1,[2]quests!$1:$1,0)-MATCH($B$1,[2]quests!$1:$1,0)+1,FALSE)</f>
        <v>ハロウィンナイトパニック！</v>
      </c>
      <c r="D26" s="84" t="str">
        <f ca="1">VLOOKUP($B26,OFFSET([2]quests!$A$1,0,0,COUNTA([2]quests!$A:$A),MATCH(D$1,[2]quests!$1:$1,0)-MATCH($B$1,[2]quests!$1:$1,0)+1),MATCH(D$1,[2]quests!$1:$1,0)-MATCH($B$1,[2]quests!$1:$1,0)+1,FALSE)</f>
        <v>季節イベント</v>
      </c>
      <c r="E26" s="85">
        <v>2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季節イベント</v>
      </c>
      <c r="H26" s="86" t="s">
        <v>225</v>
      </c>
      <c r="I26" s="85" t="s">
        <v>471</v>
      </c>
      <c r="J26" s="85">
        <v>25</v>
      </c>
      <c r="K26" s="85">
        <v>15</v>
      </c>
      <c r="L26" s="85" t="s">
        <v>467</v>
      </c>
      <c r="M26" s="85">
        <v>6500</v>
      </c>
      <c r="N26" s="98" t="str">
        <f ca="1">IF(L26="unit",VLOOKUP($M26,OFFSET([4]characters!$A$1,0,0,COUNTA([4]characters!$A:$A),MATCH(N$1,[4]characters!$1:$1,0)-MATCH("character_id",[4]characters!$1:$1,0)+1),MATCH(N$1,[4]characters!$1:$1,0)-MATCH("character_id",[4]characters!$1:$1,0)+1,FALSE),"")</f>
        <v/>
      </c>
      <c r="O26" s="85" t="s">
        <v>469</v>
      </c>
      <c r="P26" s="85">
        <v>1</v>
      </c>
      <c r="Q26" s="85">
        <v>1</v>
      </c>
      <c r="R26" s="85">
        <v>0</v>
      </c>
      <c r="S26" s="85">
        <v>0</v>
      </c>
      <c r="T26" s="85">
        <v>0</v>
      </c>
      <c r="U26" s="85">
        <v>0</v>
      </c>
      <c r="V26" s="85">
        <v>1</v>
      </c>
      <c r="W26" s="99" t="s">
        <v>227</v>
      </c>
      <c r="X26" s="100" t="s">
        <v>228</v>
      </c>
    </row>
    <row r="27" spans="1:24" x14ac:dyDescent="0.15">
      <c r="A27" s="97" t="str">
        <f t="shared" si="1"/>
        <v>47003_2_everyone_full_member_26</v>
      </c>
      <c r="B27" s="83">
        <v>47003</v>
      </c>
      <c r="C27" s="84" t="str">
        <f ca="1">VLOOKUP($B27,OFFSET([2]quests!$A$1,0,0,COUNTA([2]quests!$A:$A),MATCH(C$1,[2]quests!$1:$1,0)-MATCH($B$1,[2]quests!$1:$1,0)+1),MATCH(C$1,[2]quests!$1:$1,0)-MATCH($B$1,[2]quests!$1:$1,0)+1,FALSE)</f>
        <v>ハロウィンナイトパニック！</v>
      </c>
      <c r="D27" s="84" t="str">
        <f ca="1">VLOOKUP($B27,OFFSET([2]quests!$A$1,0,0,COUNTA([2]quests!$A:$A),MATCH(D$1,[2]quests!$1:$1,0)-MATCH($B$1,[2]quests!$1:$1,0)+1),MATCH(D$1,[2]quests!$1:$1,0)-MATCH($B$1,[2]quests!$1:$1,0)+1,FALSE)</f>
        <v>季節イベント</v>
      </c>
      <c r="E27" s="85">
        <v>2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【超級】ハロウィンナイトパニック！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季節イベント</v>
      </c>
      <c r="H27" s="86" t="s">
        <v>225</v>
      </c>
      <c r="I27" s="85" t="s">
        <v>471</v>
      </c>
      <c r="J27" s="85">
        <v>26</v>
      </c>
      <c r="K27" s="85">
        <v>15</v>
      </c>
      <c r="L27" s="85" t="s">
        <v>468</v>
      </c>
      <c r="M27" s="85">
        <v>25</v>
      </c>
      <c r="N27" s="98" t="str">
        <f ca="1">IF(L27="unit",VLOOKUP($M27,OFFSET([4]characters!$A$1,0,0,COUNTA([4]characters!$A:$A),MATCH(N$1,[4]characters!$1:$1,0)-MATCH("character_id",[4]characters!$1:$1,0)+1),MATCH(N$1,[4]characters!$1:$1,0)-MATCH("character_id",[4]characters!$1:$1,0)+1,FALSE),"")</f>
        <v/>
      </c>
      <c r="O27" s="85" t="s">
        <v>470</v>
      </c>
      <c r="P27" s="85">
        <v>1</v>
      </c>
      <c r="Q27" s="85">
        <v>1</v>
      </c>
      <c r="R27" s="85">
        <v>0</v>
      </c>
      <c r="S27" s="85">
        <v>0</v>
      </c>
      <c r="T27" s="85">
        <v>0</v>
      </c>
      <c r="U27" s="85">
        <v>0</v>
      </c>
      <c r="V27" s="85">
        <v>1</v>
      </c>
      <c r="W27" s="99" t="s">
        <v>227</v>
      </c>
      <c r="X27" s="100" t="s">
        <v>228</v>
      </c>
    </row>
    <row r="28" spans="1:24" x14ac:dyDescent="0.15">
      <c r="A28" s="97" t="str">
        <f>B28&amp;"_"&amp;E28&amp;"_"&amp;H28&amp;"_"&amp;I28&amp;"_"&amp;J28</f>
        <v>47003_3_everyone_clear_27</v>
      </c>
      <c r="B28" s="83">
        <v>47003</v>
      </c>
      <c r="C28" s="84" t="str">
        <f ca="1">VLOOKUP($B28,OFFSET([2]quests!$A$1,0,0,COUNTA([2]quests!$A:$A),MATCH(C$1,[2]quests!$1:$1,0)-MATCH($B$1,[2]quests!$1:$1,0)+1),MATCH(C$1,[2]quests!$1:$1,0)-MATCH($B$1,[2]quests!$1:$1,0)+1,FALSE)</f>
        <v>ハロウィンナイトパニック！</v>
      </c>
      <c r="D28" s="84" t="str">
        <f ca="1">VLOOKUP($B28,OFFSET([2]quests!$A$1,0,0,COUNTA([2]quests!$A:$A),MATCH(D$1,[2]quests!$1:$1,0)-MATCH($B$1,[2]quests!$1:$1,0)+1),MATCH(D$1,[2]quests!$1:$1,0)-MATCH($B$1,[2]quests!$1:$1,0)+1,FALSE)</f>
        <v>季節イベント</v>
      </c>
      <c r="E28" s="85">
        <v>3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季節イベント</v>
      </c>
      <c r="H28" s="86" t="s">
        <v>225</v>
      </c>
      <c r="I28" s="85" t="s">
        <v>226</v>
      </c>
      <c r="J28" s="85">
        <v>27</v>
      </c>
      <c r="K28" s="85">
        <v>90</v>
      </c>
      <c r="L28" s="85" t="s">
        <v>465</v>
      </c>
      <c r="M28" s="85">
        <v>701</v>
      </c>
      <c r="N28" s="98" t="str">
        <f ca="1">IF(L28="unit",VLOOKUP($M28,OFFSET([4]characters!$A$1,0,0,COUNTA([4]characters!$A:$A),MATCH(N$1,[4]characters!$1:$1,0)-MATCH("character_id",[4]characters!$1:$1,0)+1),MATCH(N$1,[4]characters!$1:$1,0)-MATCH("character_id",[4]characters!$1:$1,0)+1,FALSE),"")</f>
        <v/>
      </c>
      <c r="O28" s="85">
        <v>3</v>
      </c>
      <c r="P28" s="85">
        <v>1</v>
      </c>
      <c r="Q28" s="85">
        <v>1</v>
      </c>
      <c r="R28" s="85">
        <v>0</v>
      </c>
      <c r="S28" s="85">
        <v>0</v>
      </c>
      <c r="T28" s="85">
        <v>0</v>
      </c>
      <c r="U28" s="85">
        <v>0</v>
      </c>
      <c r="V28" s="85">
        <v>1</v>
      </c>
      <c r="W28" s="99" t="s">
        <v>227</v>
      </c>
      <c r="X28" s="100" t="s">
        <v>228</v>
      </c>
    </row>
    <row r="29" spans="1:24" x14ac:dyDescent="0.15">
      <c r="A29" s="97" t="str">
        <f>B29&amp;"_"&amp;E29&amp;"_"&amp;H29&amp;"_"&amp;I29&amp;"_"&amp;J29</f>
        <v>47003_3_everyone_clear_28</v>
      </c>
      <c r="B29" s="83">
        <v>47003</v>
      </c>
      <c r="C29" s="84" t="str">
        <f ca="1">VLOOKUP($B29,OFFSET([2]quests!$A$1,0,0,COUNTA([2]quests!$A:$A),MATCH(C$1,[2]quests!$1:$1,0)-MATCH($B$1,[2]quests!$1:$1,0)+1),MATCH(C$1,[2]quests!$1:$1,0)-MATCH($B$1,[2]quests!$1:$1,0)+1,FALSE)</f>
        <v>ハロウィンナイトパニック！</v>
      </c>
      <c r="D29" s="84" t="str">
        <f ca="1">VLOOKUP($B29,OFFSET([2]quests!$A$1,0,0,COUNTA([2]quests!$A:$A),MATCH(D$1,[2]quests!$1:$1,0)-MATCH($B$1,[2]quests!$1:$1,0)+1),MATCH(D$1,[2]quests!$1:$1,0)-MATCH($B$1,[2]quests!$1:$1,0)+1,FALSE)</f>
        <v>季節イベント</v>
      </c>
      <c r="E29" s="85">
        <v>3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季節イベント</v>
      </c>
      <c r="H29" s="86" t="s">
        <v>225</v>
      </c>
      <c r="I29" s="85" t="s">
        <v>464</v>
      </c>
      <c r="J29" s="85">
        <v>28</v>
      </c>
      <c r="K29" s="85">
        <v>8</v>
      </c>
      <c r="L29" s="85" t="s">
        <v>466</v>
      </c>
      <c r="M29" s="85">
        <v>701</v>
      </c>
      <c r="N29" s="98" t="str">
        <f ca="1">IF(L29="unit",VLOOKUP($M29,OFFSET([4]characters!$A$1,0,0,COUNTA([4]characters!$A:$A),MATCH(N$1,[4]characters!$1:$1,0)-MATCH("character_id",[4]characters!$1:$1,0)+1),MATCH(N$1,[4]characters!$1:$1,0)-MATCH("character_id",[4]characters!$1:$1,0)+1,FALSE),"")</f>
        <v/>
      </c>
      <c r="O29" s="85">
        <v>5</v>
      </c>
      <c r="P29" s="85">
        <v>1</v>
      </c>
      <c r="Q29" s="85">
        <v>1</v>
      </c>
      <c r="R29" s="85">
        <v>0</v>
      </c>
      <c r="S29" s="85">
        <v>0</v>
      </c>
      <c r="T29" s="85">
        <v>0</v>
      </c>
      <c r="U29" s="85">
        <v>0</v>
      </c>
      <c r="V29" s="85">
        <v>1</v>
      </c>
      <c r="W29" s="99" t="s">
        <v>227</v>
      </c>
      <c r="X29" s="100" t="s">
        <v>228</v>
      </c>
    </row>
    <row r="30" spans="1:24" x14ac:dyDescent="0.15">
      <c r="A30" s="97" t="str">
        <f>B30&amp;"_"&amp;E30&amp;"_"&amp;H30&amp;"_"&amp;I30&amp;"_"&amp;J30</f>
        <v>47003_3_everyone_clear_29</v>
      </c>
      <c r="B30" s="83">
        <v>47003</v>
      </c>
      <c r="C30" s="84" t="str">
        <f ca="1">VLOOKUP($B30,OFFSET([2]quests!$A$1,0,0,COUNTA([2]quests!$A:$A),MATCH(C$1,[2]quests!$1:$1,0)-MATCH($B$1,[2]quests!$1:$1,0)+1),MATCH(C$1,[2]quests!$1:$1,0)-MATCH($B$1,[2]quests!$1:$1,0)+1,FALSE)</f>
        <v>ハロウィンナイトパニック！</v>
      </c>
      <c r="D30" s="84" t="str">
        <f ca="1">VLOOKUP($B30,OFFSET([2]quests!$A$1,0,0,COUNTA([2]quests!$A:$A),MATCH(D$1,[2]quests!$1:$1,0)-MATCH($B$1,[2]quests!$1:$1,0)+1),MATCH(D$1,[2]quests!$1:$1,0)-MATCH($B$1,[2]quests!$1:$1,0)+1,FALSE)</f>
        <v>季節イベント</v>
      </c>
      <c r="E30" s="85">
        <v>3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季節イベント</v>
      </c>
      <c r="H30" s="86" t="s">
        <v>225</v>
      </c>
      <c r="I30" s="85" t="s">
        <v>464</v>
      </c>
      <c r="J30" s="85">
        <v>29</v>
      </c>
      <c r="K30" s="85">
        <v>2</v>
      </c>
      <c r="L30" s="85" t="s">
        <v>472</v>
      </c>
      <c r="M30" s="85">
        <v>1191</v>
      </c>
      <c r="N30" s="98" t="str">
        <f ca="1">IF(L30="unit",VLOOKUP($M30,OFFSET([4]characters!$A$1,0,0,COUNTA([4]characters!$A:$A),MATCH(N$1,[4]characters!$1:$1,0)-MATCH("character_id",[4]characters!$1:$1,0)+1),MATCH(N$1,[4]characters!$1:$1,0)-MATCH("character_id",[4]characters!$1:$1,0)+1,FALSE),"")</f>
        <v>ドルチェ</v>
      </c>
      <c r="O30" s="85">
        <v>1</v>
      </c>
      <c r="P30" s="85">
        <v>1</v>
      </c>
      <c r="Q30" s="85">
        <v>1</v>
      </c>
      <c r="R30" s="85">
        <v>0</v>
      </c>
      <c r="S30" s="85">
        <v>0</v>
      </c>
      <c r="T30" s="85">
        <v>0</v>
      </c>
      <c r="U30" s="85">
        <v>0</v>
      </c>
      <c r="V30" s="85">
        <v>1</v>
      </c>
      <c r="W30" s="99" t="s">
        <v>227</v>
      </c>
      <c r="X30" s="100" t="s">
        <v>228</v>
      </c>
    </row>
    <row r="31" spans="1:24" x14ac:dyDescent="0.15">
      <c r="A31" s="97" t="str">
        <f t="shared" ref="A31:A40" si="2">B31&amp;"_"&amp;E31&amp;"_"&amp;H31&amp;"_"&amp;I31&amp;"_"&amp;J31</f>
        <v>47003_3_everyone_full_member_30</v>
      </c>
      <c r="B31" s="83">
        <v>47003</v>
      </c>
      <c r="C31" s="84" t="str">
        <f ca="1">VLOOKUP($B31,OFFSET([2]quests!$A$1,0,0,COUNTA([2]quests!$A:$A),MATCH(C$1,[2]quests!$1:$1,0)-MATCH($B$1,[2]quests!$1:$1,0)+1),MATCH(C$1,[2]quests!$1:$1,0)-MATCH($B$1,[2]quests!$1:$1,0)+1,FALSE)</f>
        <v>ハロウィンナイトパニック！</v>
      </c>
      <c r="D31" s="84" t="str">
        <f ca="1">VLOOKUP($B31,OFFSET([2]quests!$A$1,0,0,COUNTA([2]quests!$A:$A),MATCH(D$1,[2]quests!$1:$1,0)-MATCH($B$1,[2]quests!$1:$1,0)+1),MATCH(D$1,[2]quests!$1:$1,0)-MATCH($B$1,[2]quests!$1:$1,0)+1,FALSE)</f>
        <v>季節イベント</v>
      </c>
      <c r="E31" s="85">
        <v>3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季節イベント</v>
      </c>
      <c r="H31" s="86" t="s">
        <v>225</v>
      </c>
      <c r="I31" s="85" t="s">
        <v>471</v>
      </c>
      <c r="J31" s="85">
        <v>30</v>
      </c>
      <c r="K31" s="85">
        <v>51</v>
      </c>
      <c r="L31" s="85" t="s">
        <v>466</v>
      </c>
      <c r="M31" s="85">
        <v>701</v>
      </c>
      <c r="N31" s="98" t="str">
        <f ca="1">IF(L31="unit",VLOOKUP($M31,OFFSET([4]characters!$A$1,0,0,COUNTA([4]characters!$A:$A),MATCH(N$1,[4]characters!$1:$1,0)-MATCH("character_id",[4]characters!$1:$1,0)+1),MATCH(N$1,[4]characters!$1:$1,0)-MATCH("character_id",[4]characters!$1:$1,0)+1,FALSE),"")</f>
        <v/>
      </c>
      <c r="O31" s="85">
        <v>3</v>
      </c>
      <c r="P31" s="85">
        <v>1</v>
      </c>
      <c r="Q31" s="85">
        <v>1</v>
      </c>
      <c r="R31" s="85">
        <v>0</v>
      </c>
      <c r="S31" s="85">
        <v>0</v>
      </c>
      <c r="T31" s="85">
        <v>0</v>
      </c>
      <c r="U31" s="85">
        <v>0</v>
      </c>
      <c r="V31" s="85">
        <v>1</v>
      </c>
      <c r="W31" s="99" t="s">
        <v>227</v>
      </c>
      <c r="X31" s="100" t="s">
        <v>228</v>
      </c>
    </row>
    <row r="32" spans="1:24" x14ac:dyDescent="0.15">
      <c r="A32" s="97" t="str">
        <f t="shared" si="2"/>
        <v>47003_3_everyone_full_member_31</v>
      </c>
      <c r="B32" s="83">
        <v>47003</v>
      </c>
      <c r="C32" s="84" t="str">
        <f ca="1">VLOOKUP($B32,OFFSET([2]quests!$A$1,0,0,COUNTA([2]quests!$A:$A),MATCH(C$1,[2]quests!$1:$1,0)-MATCH($B$1,[2]quests!$1:$1,0)+1),MATCH(C$1,[2]quests!$1:$1,0)-MATCH($B$1,[2]quests!$1:$1,0)+1,FALSE)</f>
        <v>ハロウィンナイトパニック！</v>
      </c>
      <c r="D32" s="84" t="str">
        <f ca="1">VLOOKUP($B32,OFFSET([2]quests!$A$1,0,0,COUNTA([2]quests!$A:$A),MATCH(D$1,[2]quests!$1:$1,0)-MATCH($B$1,[2]quests!$1:$1,0)+1),MATCH(D$1,[2]quests!$1:$1,0)-MATCH($B$1,[2]quests!$1:$1,0)+1,FALSE)</f>
        <v>季節イベント</v>
      </c>
      <c r="E32" s="85">
        <v>3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季節イベント</v>
      </c>
      <c r="H32" s="86" t="s">
        <v>225</v>
      </c>
      <c r="I32" s="85" t="s">
        <v>471</v>
      </c>
      <c r="J32" s="85">
        <v>31</v>
      </c>
      <c r="K32" s="85">
        <v>5</v>
      </c>
      <c r="L32" s="85" t="s">
        <v>466</v>
      </c>
      <c r="M32" s="85">
        <v>701</v>
      </c>
      <c r="N32" s="98" t="str">
        <f ca="1">IF(L32="unit",VLOOKUP($M32,OFFSET([4]characters!$A$1,0,0,COUNTA([4]characters!$A:$A),MATCH(N$1,[4]characters!$1:$1,0)-MATCH("character_id",[4]characters!$1:$1,0)+1),MATCH(N$1,[4]characters!$1:$1,0)-MATCH("character_id",[4]characters!$1:$1,0)+1,FALSE),"")</f>
        <v/>
      </c>
      <c r="O32" s="85">
        <v>5</v>
      </c>
      <c r="P32" s="85">
        <v>1</v>
      </c>
      <c r="Q32" s="85">
        <v>1</v>
      </c>
      <c r="R32" s="85">
        <v>0</v>
      </c>
      <c r="S32" s="85">
        <v>0</v>
      </c>
      <c r="T32" s="85">
        <v>0</v>
      </c>
      <c r="U32" s="85">
        <v>0</v>
      </c>
      <c r="V32" s="85">
        <v>1</v>
      </c>
      <c r="W32" s="99" t="s">
        <v>227</v>
      </c>
      <c r="X32" s="100" t="s">
        <v>228</v>
      </c>
    </row>
    <row r="33" spans="1:24" x14ac:dyDescent="0.15">
      <c r="A33" s="97" t="str">
        <f t="shared" ref="A33" si="3">B33&amp;"_"&amp;E33&amp;"_"&amp;H33&amp;"_"&amp;I33&amp;"_"&amp;J33</f>
        <v>47003_3_everyone_full_member_32</v>
      </c>
      <c r="B33" s="83">
        <v>47003</v>
      </c>
      <c r="C33" s="84" t="str">
        <f ca="1">VLOOKUP($B33,OFFSET([2]quests!$A$1,0,0,COUNTA([2]quests!$A:$A),MATCH(C$1,[2]quests!$1:$1,0)-MATCH($B$1,[2]quests!$1:$1,0)+1),MATCH(C$1,[2]quests!$1:$1,0)-MATCH($B$1,[2]quests!$1:$1,0)+1,FALSE)</f>
        <v>ハロウィンナイトパニック！</v>
      </c>
      <c r="D33" s="84" t="str">
        <f ca="1">VLOOKUP($B33,OFFSET([2]quests!$A$1,0,0,COUNTA([2]quests!$A:$A),MATCH(D$1,[2]quests!$1:$1,0)-MATCH($B$1,[2]quests!$1:$1,0)+1),MATCH(D$1,[2]quests!$1:$1,0)-MATCH($B$1,[2]quests!$1:$1,0)+1,FALSE)</f>
        <v>季節イベント</v>
      </c>
      <c r="E33" s="85">
        <v>3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季節イベント</v>
      </c>
      <c r="H33" s="86" t="s">
        <v>225</v>
      </c>
      <c r="I33" s="85" t="s">
        <v>471</v>
      </c>
      <c r="J33" s="85">
        <v>32</v>
      </c>
      <c r="K33" s="85">
        <v>5</v>
      </c>
      <c r="L33" s="85" t="s">
        <v>472</v>
      </c>
      <c r="M33" s="85">
        <v>1191</v>
      </c>
      <c r="N33" s="98" t="str">
        <f ca="1">IF(L33="unit",VLOOKUP($M33,OFFSET([4]characters!$A$1,0,0,COUNTA([4]characters!$A:$A),MATCH(N$1,[4]characters!$1:$1,0)-MATCH("character_id",[4]characters!$1:$1,0)+1),MATCH(N$1,[4]characters!$1:$1,0)-MATCH("character_id",[4]characters!$1:$1,0)+1,FALSE),"")</f>
        <v>ドルチェ</v>
      </c>
      <c r="O33" s="85">
        <v>1</v>
      </c>
      <c r="P33" s="85">
        <v>1</v>
      </c>
      <c r="Q33" s="85">
        <v>1</v>
      </c>
      <c r="R33" s="85">
        <v>0</v>
      </c>
      <c r="S33" s="85">
        <v>0</v>
      </c>
      <c r="T33" s="85">
        <v>0</v>
      </c>
      <c r="U33" s="85">
        <v>0</v>
      </c>
      <c r="V33" s="85">
        <v>1</v>
      </c>
      <c r="W33" s="99" t="s">
        <v>227</v>
      </c>
      <c r="X33" s="100" t="s">
        <v>228</v>
      </c>
    </row>
    <row r="34" spans="1:24" x14ac:dyDescent="0.15">
      <c r="A34" s="97" t="str">
        <f t="shared" si="2"/>
        <v>47003_3_everyone_full_member_33</v>
      </c>
      <c r="B34" s="83">
        <v>47003</v>
      </c>
      <c r="C34" s="84" t="str">
        <f ca="1">VLOOKUP($B34,OFFSET([2]quests!$A$1,0,0,COUNTA([2]quests!$A:$A),MATCH(C$1,[2]quests!$1:$1,0)-MATCH($B$1,[2]quests!$1:$1,0)+1),MATCH(C$1,[2]quests!$1:$1,0)-MATCH($B$1,[2]quests!$1:$1,0)+1,FALSE)</f>
        <v>ハロウィンナイトパニック！</v>
      </c>
      <c r="D34" s="84" t="str">
        <f ca="1">VLOOKUP($B34,OFFSET([2]quests!$A$1,0,0,COUNTA([2]quests!$A:$A),MATCH(D$1,[2]quests!$1:$1,0)-MATCH($B$1,[2]quests!$1:$1,0)+1),MATCH(D$1,[2]quests!$1:$1,0)-MATCH($B$1,[2]quests!$1:$1,0)+1,FALSE)</f>
        <v>季節イベント</v>
      </c>
      <c r="E34" s="85">
        <v>3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季節イベント</v>
      </c>
      <c r="H34" s="86" t="s">
        <v>225</v>
      </c>
      <c r="I34" s="85" t="s">
        <v>471</v>
      </c>
      <c r="J34" s="85">
        <v>33</v>
      </c>
      <c r="K34" s="85">
        <v>7</v>
      </c>
      <c r="L34" s="85" t="s">
        <v>472</v>
      </c>
      <c r="M34" s="85">
        <v>121</v>
      </c>
      <c r="N34" s="98" t="str">
        <f ca="1">IF(L34="unit",VLOOKUP($M34,OFFSET([4]characters!$A$1,0,0,COUNTA([4]characters!$A:$A),MATCH(N$1,[4]characters!$1:$1,0)-MATCH("character_id",[4]characters!$1:$1,0)+1),MATCH(N$1,[4]characters!$1:$1,0)-MATCH("character_id",[4]characters!$1:$1,0)+1,FALSE),"")</f>
        <v>攻めの果実</v>
      </c>
      <c r="O34" s="85">
        <v>1</v>
      </c>
      <c r="P34" s="85">
        <v>1</v>
      </c>
      <c r="Q34" s="85">
        <v>1</v>
      </c>
      <c r="R34" s="85">
        <v>0</v>
      </c>
      <c r="S34" s="85">
        <v>0</v>
      </c>
      <c r="T34" s="85">
        <v>0</v>
      </c>
      <c r="U34" s="85">
        <v>0</v>
      </c>
      <c r="V34" s="85">
        <v>1</v>
      </c>
      <c r="W34" s="99" t="s">
        <v>227</v>
      </c>
      <c r="X34" s="100" t="s">
        <v>228</v>
      </c>
    </row>
    <row r="35" spans="1:24" x14ac:dyDescent="0.15">
      <c r="A35" s="97" t="str">
        <f t="shared" si="2"/>
        <v>47003_3_everyone_full_member_34</v>
      </c>
      <c r="B35" s="83">
        <v>47003</v>
      </c>
      <c r="C35" s="84" t="str">
        <f ca="1">VLOOKUP($B35,OFFSET([2]quests!$A$1,0,0,COUNTA([2]quests!$A:$A),MATCH(C$1,[2]quests!$1:$1,0)-MATCH($B$1,[2]quests!$1:$1,0)+1),MATCH(C$1,[2]quests!$1:$1,0)-MATCH($B$1,[2]quests!$1:$1,0)+1,FALSE)</f>
        <v>ハロウィンナイトパニック！</v>
      </c>
      <c r="D35" s="84" t="str">
        <f ca="1">VLOOKUP($B35,OFFSET([2]quests!$A$1,0,0,COUNTA([2]quests!$A:$A),MATCH(D$1,[2]quests!$1:$1,0)-MATCH($B$1,[2]quests!$1:$1,0)+1),MATCH(D$1,[2]quests!$1:$1,0)-MATCH($B$1,[2]quests!$1:$1,0)+1,FALSE)</f>
        <v>季節イベント</v>
      </c>
      <c r="E35" s="85">
        <v>3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季節イベント</v>
      </c>
      <c r="H35" s="86" t="s">
        <v>225</v>
      </c>
      <c r="I35" s="85" t="s">
        <v>471</v>
      </c>
      <c r="J35" s="85">
        <v>34</v>
      </c>
      <c r="K35" s="85">
        <v>7</v>
      </c>
      <c r="L35" s="85" t="s">
        <v>472</v>
      </c>
      <c r="M35" s="85">
        <v>122</v>
      </c>
      <c r="N35" s="98" t="str">
        <f ca="1">IF(L35="unit",VLOOKUP($M35,OFFSET([4]characters!$A$1,0,0,COUNTA([4]characters!$A:$A),MATCH(N$1,[4]characters!$1:$1,0)-MATCH("character_id",[4]characters!$1:$1,0)+1),MATCH(N$1,[4]characters!$1:$1,0)-MATCH("character_id",[4]characters!$1:$1,0)+1,FALSE),"")</f>
        <v>生命の果実</v>
      </c>
      <c r="O35" s="85">
        <v>1</v>
      </c>
      <c r="P35" s="85">
        <v>1</v>
      </c>
      <c r="Q35" s="85">
        <v>1</v>
      </c>
      <c r="R35" s="85">
        <v>0</v>
      </c>
      <c r="S35" s="85">
        <v>0</v>
      </c>
      <c r="T35" s="85">
        <v>0</v>
      </c>
      <c r="U35" s="85">
        <v>0</v>
      </c>
      <c r="V35" s="85">
        <v>1</v>
      </c>
      <c r="W35" s="99" t="s">
        <v>227</v>
      </c>
      <c r="X35" s="100" t="s">
        <v>228</v>
      </c>
    </row>
    <row r="36" spans="1:24" x14ac:dyDescent="0.15">
      <c r="A36" s="97" t="str">
        <f t="shared" si="2"/>
        <v>47003_3_everyone_full_member_35</v>
      </c>
      <c r="B36" s="83">
        <v>47003</v>
      </c>
      <c r="C36" s="84" t="str">
        <f ca="1">VLOOKUP($B36,OFFSET([2]quests!$A$1,0,0,COUNTA([2]quests!$A:$A),MATCH(C$1,[2]quests!$1:$1,0)-MATCH($B$1,[2]quests!$1:$1,0)+1),MATCH(C$1,[2]quests!$1:$1,0)-MATCH($B$1,[2]quests!$1:$1,0)+1,FALSE)</f>
        <v>ハロウィンナイトパニック！</v>
      </c>
      <c r="D36" s="84" t="str">
        <f ca="1">VLOOKUP($B36,OFFSET([2]quests!$A$1,0,0,COUNTA([2]quests!$A:$A),MATCH(D$1,[2]quests!$1:$1,0)-MATCH($B$1,[2]quests!$1:$1,0)+1),MATCH(D$1,[2]quests!$1:$1,0)-MATCH($B$1,[2]quests!$1:$1,0)+1,FALSE)</f>
        <v>季節イベント</v>
      </c>
      <c r="E36" s="85">
        <v>3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季節イベント</v>
      </c>
      <c r="H36" s="86" t="s">
        <v>225</v>
      </c>
      <c r="I36" s="85" t="s">
        <v>471</v>
      </c>
      <c r="J36" s="85">
        <v>35</v>
      </c>
      <c r="K36" s="85">
        <v>5</v>
      </c>
      <c r="L36" s="85" t="s">
        <v>472</v>
      </c>
      <c r="M36" s="85">
        <v>123</v>
      </c>
      <c r="N36" s="98" t="str">
        <f ca="1">IF(L36="unit",VLOOKUP($M36,OFFSET([4]characters!$A$1,0,0,COUNTA([4]characters!$A:$A),MATCH(N$1,[4]characters!$1:$1,0)-MATCH("character_id",[4]characters!$1:$1,0)+1),MATCH(N$1,[4]characters!$1:$1,0)-MATCH("character_id",[4]characters!$1:$1,0)+1,FALSE),"")</f>
        <v>癒しの果実</v>
      </c>
      <c r="O36" s="85">
        <v>1</v>
      </c>
      <c r="P36" s="85">
        <v>1</v>
      </c>
      <c r="Q36" s="85">
        <v>1</v>
      </c>
      <c r="R36" s="85">
        <v>0</v>
      </c>
      <c r="S36" s="85">
        <v>0</v>
      </c>
      <c r="T36" s="85">
        <v>0</v>
      </c>
      <c r="U36" s="85">
        <v>0</v>
      </c>
      <c r="V36" s="85">
        <v>1</v>
      </c>
      <c r="W36" s="99" t="s">
        <v>227</v>
      </c>
      <c r="X36" s="100" t="s">
        <v>228</v>
      </c>
    </row>
    <row r="37" spans="1:24" x14ac:dyDescent="0.15">
      <c r="A37" s="97" t="str">
        <f t="shared" si="2"/>
        <v>47003_3_everyone_full_member_36</v>
      </c>
      <c r="B37" s="83">
        <v>47003</v>
      </c>
      <c r="C37" s="84" t="str">
        <f ca="1">VLOOKUP($B37,OFFSET([2]quests!$A$1,0,0,COUNTA([2]quests!$A:$A),MATCH(C$1,[2]quests!$1:$1,0)-MATCH($B$1,[2]quests!$1:$1,0)+1),MATCH(C$1,[2]quests!$1:$1,0)-MATCH($B$1,[2]quests!$1:$1,0)+1,FALSE)</f>
        <v>ハロウィンナイトパニック！</v>
      </c>
      <c r="D37" s="84" t="str">
        <f ca="1">VLOOKUP($B37,OFFSET([2]quests!$A$1,0,0,COUNTA([2]quests!$A:$A),MATCH(D$1,[2]quests!$1:$1,0)-MATCH($B$1,[2]quests!$1:$1,0)+1),MATCH(D$1,[2]quests!$1:$1,0)-MATCH($B$1,[2]quests!$1:$1,0)+1,FALSE)</f>
        <v>季節イベント</v>
      </c>
      <c r="E37" s="85">
        <v>3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季節イベント</v>
      </c>
      <c r="H37" s="86" t="s">
        <v>225</v>
      </c>
      <c r="I37" s="85" t="s">
        <v>471</v>
      </c>
      <c r="J37" s="85">
        <v>36</v>
      </c>
      <c r="K37" s="85">
        <v>5</v>
      </c>
      <c r="L37" s="85" t="s">
        <v>472</v>
      </c>
      <c r="M37" s="85">
        <v>334</v>
      </c>
      <c r="N37" s="98" t="str">
        <f ca="1">IF(L37="unit",VLOOKUP($M37,OFFSET([4]characters!$A$1,0,0,COUNTA([4]characters!$A:$A),MATCH(N$1,[4]characters!$1:$1,0)-MATCH("character_id",[4]characters!$1:$1,0)+1),MATCH(N$1,[4]characters!$1:$1,0)-MATCH("character_id",[4]characters!$1:$1,0)+1,FALSE),"")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7" s="85">
        <v>1</v>
      </c>
      <c r="P37" s="85">
        <v>1</v>
      </c>
      <c r="Q37" s="85">
        <v>1</v>
      </c>
      <c r="R37" s="85">
        <v>0</v>
      </c>
      <c r="S37" s="85">
        <v>0</v>
      </c>
      <c r="T37" s="85">
        <v>0</v>
      </c>
      <c r="U37" s="85">
        <v>0</v>
      </c>
      <c r="V37" s="85">
        <v>1</v>
      </c>
      <c r="W37" s="99" t="s">
        <v>227</v>
      </c>
      <c r="X37" s="100" t="s">
        <v>228</v>
      </c>
    </row>
    <row r="38" spans="1:24" x14ac:dyDescent="0.15">
      <c r="A38" s="97" t="str">
        <f t="shared" si="2"/>
        <v>47003_3_everyone_full_member_37</v>
      </c>
      <c r="B38" s="83">
        <v>47003</v>
      </c>
      <c r="C38" s="84" t="str">
        <f ca="1">VLOOKUP($B38,OFFSET([2]quests!$A$1,0,0,COUNTA([2]quests!$A:$A),MATCH(C$1,[2]quests!$1:$1,0)-MATCH($B$1,[2]quests!$1:$1,0)+1),MATCH(C$1,[2]quests!$1:$1,0)-MATCH($B$1,[2]quests!$1:$1,0)+1,FALSE)</f>
        <v>ハロウィンナイトパニック！</v>
      </c>
      <c r="D38" s="84" t="str">
        <f ca="1">VLOOKUP($B38,OFFSET([2]quests!$A$1,0,0,COUNTA([2]quests!$A:$A),MATCH(D$1,[2]quests!$1:$1,0)-MATCH($B$1,[2]quests!$1:$1,0)+1),MATCH(D$1,[2]quests!$1:$1,0)-MATCH($B$1,[2]quests!$1:$1,0)+1,FALSE)</f>
        <v>季節イベント</v>
      </c>
      <c r="E38" s="85">
        <v>3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季節イベント</v>
      </c>
      <c r="H38" s="86" t="s">
        <v>225</v>
      </c>
      <c r="I38" s="85" t="s">
        <v>471</v>
      </c>
      <c r="J38" s="85">
        <v>37</v>
      </c>
      <c r="K38" s="85">
        <v>5</v>
      </c>
      <c r="L38" s="85" t="s">
        <v>472</v>
      </c>
      <c r="M38" s="85">
        <v>338</v>
      </c>
      <c r="N38" s="98" t="str">
        <f ca="1">IF(L38="unit",VLOOKUP($M38,OFFSET([4]characters!$A$1,0,0,COUNTA([4]characters!$A:$A),MATCH(N$1,[4]characters!$1:$1,0)-MATCH("character_id",[4]characters!$1:$1,0)+1),MATCH(N$1,[4]characters!$1:$1,0)-MATCH("character_id",[4]characters!$1:$1,0)+1,FALSE),"")</f>
        <v>森のメタルダック</v>
      </c>
      <c r="O38" s="85">
        <v>1</v>
      </c>
      <c r="P38" s="85">
        <v>1</v>
      </c>
      <c r="Q38" s="85">
        <v>1</v>
      </c>
      <c r="R38" s="85">
        <v>0</v>
      </c>
      <c r="S38" s="85">
        <v>0</v>
      </c>
      <c r="T38" s="85">
        <v>0</v>
      </c>
      <c r="U38" s="85">
        <v>0</v>
      </c>
      <c r="V38" s="85">
        <v>1</v>
      </c>
      <c r="W38" s="99" t="s">
        <v>227</v>
      </c>
      <c r="X38" s="100" t="s">
        <v>228</v>
      </c>
    </row>
    <row r="39" spans="1:24" x14ac:dyDescent="0.15">
      <c r="A39" s="97" t="str">
        <f t="shared" si="2"/>
        <v>47003_3_everyone_full_member_38</v>
      </c>
      <c r="B39" s="83">
        <v>47003</v>
      </c>
      <c r="C39" s="84" t="str">
        <f ca="1">VLOOKUP($B39,OFFSET([2]quests!$A$1,0,0,COUNTA([2]quests!$A:$A),MATCH(C$1,[2]quests!$1:$1,0)-MATCH($B$1,[2]quests!$1:$1,0)+1),MATCH(C$1,[2]quests!$1:$1,0)-MATCH($B$1,[2]quests!$1:$1,0)+1,FALSE)</f>
        <v>ハロウィンナイトパニック！</v>
      </c>
      <c r="D39" s="84" t="str">
        <f ca="1">VLOOKUP($B39,OFFSET([2]quests!$A$1,0,0,COUNTA([2]quests!$A:$A),MATCH(D$1,[2]quests!$1:$1,0)-MATCH($B$1,[2]quests!$1:$1,0)+1),MATCH(D$1,[2]quests!$1:$1,0)-MATCH($B$1,[2]quests!$1:$1,0)+1,FALSE)</f>
        <v>季節イベント</v>
      </c>
      <c r="E39" s="85">
        <v>3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季節イベント</v>
      </c>
      <c r="H39" s="86" t="s">
        <v>225</v>
      </c>
      <c r="I39" s="85" t="s">
        <v>471</v>
      </c>
      <c r="J39" s="85">
        <v>38</v>
      </c>
      <c r="K39" s="85">
        <v>5</v>
      </c>
      <c r="L39" s="85" t="s">
        <v>472</v>
      </c>
      <c r="M39" s="85">
        <v>342</v>
      </c>
      <c r="N39" s="98" t="str">
        <f ca="1">IF(L39="unit",VLOOKUP($M39,OFFSET([4]characters!$A$1,0,0,COUNTA([4]characters!$A:$A),MATCH(N$1,[4]characters!$1:$1,0)-MATCH("character_id",[4]characters!$1:$1,0)+1),MATCH(N$1,[4]characters!$1:$1,0)-MATCH("character_id",[4]characters!$1:$1,0)+1,FALSE),"")</f>
        <v>水のメタルダック</v>
      </c>
      <c r="O39" s="85">
        <v>1</v>
      </c>
      <c r="P39" s="85">
        <v>1</v>
      </c>
      <c r="Q39" s="85">
        <v>1</v>
      </c>
      <c r="R39" s="85">
        <v>0</v>
      </c>
      <c r="S39" s="85">
        <v>0</v>
      </c>
      <c r="T39" s="85">
        <v>0</v>
      </c>
      <c r="U39" s="85">
        <v>0</v>
      </c>
      <c r="V39" s="85">
        <v>1</v>
      </c>
      <c r="W39" s="99" t="s">
        <v>227</v>
      </c>
      <c r="X39" s="100" t="s">
        <v>228</v>
      </c>
    </row>
    <row r="40" spans="1:24" x14ac:dyDescent="0.15">
      <c r="A40" s="97" t="str">
        <f t="shared" si="2"/>
        <v>47003_3_everyone_full_member_39</v>
      </c>
      <c r="B40" s="83">
        <v>47003</v>
      </c>
      <c r="C40" s="84" t="str">
        <f ca="1">VLOOKUP($B40,OFFSET([2]quests!$A$1,0,0,COUNTA([2]quests!$A:$A),MATCH(C$1,[2]quests!$1:$1,0)-MATCH($B$1,[2]quests!$1:$1,0)+1),MATCH(C$1,[2]quests!$1:$1,0)-MATCH($B$1,[2]quests!$1:$1,0)+1,FALSE)</f>
        <v>ハロウィンナイトパニック！</v>
      </c>
      <c r="D40" s="84" t="str">
        <f ca="1">VLOOKUP($B40,OFFSET([2]quests!$A$1,0,0,COUNTA([2]quests!$A:$A),MATCH(D$1,[2]quests!$1:$1,0)-MATCH($B$1,[2]quests!$1:$1,0)+1),MATCH(D$1,[2]quests!$1:$1,0)-MATCH($B$1,[2]quests!$1:$1,0)+1,FALSE)</f>
        <v>季節イベント</v>
      </c>
      <c r="E40" s="85">
        <v>3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【超絶】ハロウィンナイトパニック！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季節イベント</v>
      </c>
      <c r="H40" s="86" t="s">
        <v>225</v>
      </c>
      <c r="I40" s="85" t="s">
        <v>471</v>
      </c>
      <c r="J40" s="85">
        <v>39</v>
      </c>
      <c r="K40" s="85">
        <v>5</v>
      </c>
      <c r="L40" s="85" t="s">
        <v>472</v>
      </c>
      <c r="M40" s="85">
        <v>346</v>
      </c>
      <c r="N40" s="98" t="str">
        <f ca="1">IF(L40="unit",VLOOKUP($M40,OFFSET([4]characters!$A$1,0,0,COUNTA([4]characters!$A:$A),MATCH(N$1,[4]characters!$1:$1,0)-MATCH("character_id",[4]characters!$1:$1,0)+1),MATCH(N$1,[4]characters!$1:$1,0)-MATCH("character_id",[4]characters!$1:$1,0)+1,FALSE),"")</f>
        <v>雷のメタルダック</v>
      </c>
      <c r="O40" s="85">
        <v>1</v>
      </c>
      <c r="P40" s="85">
        <v>1</v>
      </c>
      <c r="Q40" s="85">
        <v>1</v>
      </c>
      <c r="R40" s="85">
        <v>0</v>
      </c>
      <c r="S40" s="85">
        <v>0</v>
      </c>
      <c r="T40" s="85">
        <v>0</v>
      </c>
      <c r="U40" s="85">
        <v>0</v>
      </c>
      <c r="V40" s="85">
        <v>1</v>
      </c>
      <c r="W40" s="99" t="s">
        <v>227</v>
      </c>
      <c r="X40" s="100" t="s">
        <v>228</v>
      </c>
    </row>
    <row r="41" spans="1:24" x14ac:dyDescent="0.15">
      <c r="A41" s="97" t="str">
        <f>B41&amp;"_"&amp;E41&amp;"_"&amp;H41&amp;"_"&amp;I41&amp;"_"&amp;J41</f>
        <v>47003_4_everyone_clear_40</v>
      </c>
      <c r="B41" s="83">
        <v>47003</v>
      </c>
      <c r="C41" s="84" t="str">
        <f ca="1">VLOOKUP($B41,OFFSET([2]quests!$A$1,0,0,COUNTA([2]quests!$A:$A),MATCH(C$1,[2]quests!$1:$1,0)-MATCH($B$1,[2]quests!$1:$1,0)+1),MATCH(C$1,[2]quests!$1:$1,0)-MATCH($B$1,[2]quests!$1:$1,0)+1,FALSE)</f>
        <v>ハロウィンナイトパニック！</v>
      </c>
      <c r="D41" s="84" t="str">
        <f ca="1">VLOOKUP($B41,OFFSET([2]quests!$A$1,0,0,COUNTA([2]quests!$A:$A),MATCH(D$1,[2]quests!$1:$1,0)-MATCH($B$1,[2]quests!$1:$1,0)+1),MATCH(D$1,[2]quests!$1:$1,0)-MATCH($B$1,[2]quests!$1:$1,0)+1,FALSE)</f>
        <v>季節イベント</v>
      </c>
      <c r="E41" s="85">
        <v>4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季節イベント</v>
      </c>
      <c r="H41" s="86" t="s">
        <v>225</v>
      </c>
      <c r="I41" s="85" t="s">
        <v>226</v>
      </c>
      <c r="J41" s="85">
        <v>40</v>
      </c>
      <c r="K41" s="85">
        <v>28</v>
      </c>
      <c r="L41" s="85" t="s">
        <v>465</v>
      </c>
      <c r="M41" s="85">
        <v>701</v>
      </c>
      <c r="N41" s="98" t="str">
        <f ca="1">IF(L41="unit",VLOOKUP($M41,OFFSET([4]characters!$A$1,0,0,COUNTA([4]characters!$A:$A),MATCH(N$1,[4]characters!$1:$1,0)-MATCH("character_id",[4]characters!$1:$1,0)+1),MATCH(N$1,[4]characters!$1:$1,0)-MATCH("character_id",[4]characters!$1:$1,0)+1,FALSE),"")</f>
        <v/>
      </c>
      <c r="O41" s="85">
        <v>3</v>
      </c>
      <c r="P41" s="85">
        <v>1</v>
      </c>
      <c r="Q41" s="85">
        <v>1</v>
      </c>
      <c r="R41" s="85">
        <v>0</v>
      </c>
      <c r="S41" s="85">
        <v>0</v>
      </c>
      <c r="T41" s="85">
        <v>0</v>
      </c>
      <c r="U41" s="85">
        <v>0</v>
      </c>
      <c r="V41" s="85">
        <v>1</v>
      </c>
      <c r="W41" s="99" t="s">
        <v>227</v>
      </c>
      <c r="X41" s="100" t="s">
        <v>228</v>
      </c>
    </row>
    <row r="42" spans="1:24" x14ac:dyDescent="0.15">
      <c r="A42" s="97" t="str">
        <f>B42&amp;"_"&amp;E42&amp;"_"&amp;H42&amp;"_"&amp;I42&amp;"_"&amp;J42</f>
        <v>47003_4_everyone_clear_41</v>
      </c>
      <c r="B42" s="83">
        <v>47003</v>
      </c>
      <c r="C42" s="84" t="str">
        <f ca="1">VLOOKUP($B42,OFFSET([2]quests!$A$1,0,0,COUNTA([2]quests!$A:$A),MATCH(C$1,[2]quests!$1:$1,0)-MATCH($B$1,[2]quests!$1:$1,0)+1),MATCH(C$1,[2]quests!$1:$1,0)-MATCH($B$1,[2]quests!$1:$1,0)+1,FALSE)</f>
        <v>ハロウィンナイトパニック！</v>
      </c>
      <c r="D42" s="84" t="str">
        <f ca="1">VLOOKUP($B42,OFFSET([2]quests!$A$1,0,0,COUNTA([2]quests!$A:$A),MATCH(D$1,[2]quests!$1:$1,0)-MATCH($B$1,[2]quests!$1:$1,0)+1),MATCH(D$1,[2]quests!$1:$1,0)-MATCH($B$1,[2]quests!$1:$1,0)+1,FALSE)</f>
        <v>季節イベント</v>
      </c>
      <c r="E42" s="85">
        <v>4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季節イベント</v>
      </c>
      <c r="H42" s="86" t="s">
        <v>225</v>
      </c>
      <c r="I42" s="85" t="s">
        <v>464</v>
      </c>
      <c r="J42" s="85">
        <v>41</v>
      </c>
      <c r="K42" s="85">
        <v>67</v>
      </c>
      <c r="L42" s="85" t="s">
        <v>466</v>
      </c>
      <c r="M42" s="85">
        <v>701</v>
      </c>
      <c r="N42" s="98" t="str">
        <f ca="1">IF(L42="unit",VLOOKUP($M42,OFFSET([4]characters!$A$1,0,0,COUNTA([4]characters!$A:$A),MATCH(N$1,[4]characters!$1:$1,0)-MATCH("character_id",[4]characters!$1:$1,0)+1),MATCH(N$1,[4]characters!$1:$1,0)-MATCH("character_id",[4]characters!$1:$1,0)+1,FALSE),"")</f>
        <v/>
      </c>
      <c r="O42" s="85">
        <v>5</v>
      </c>
      <c r="P42" s="85">
        <v>1</v>
      </c>
      <c r="Q42" s="85">
        <v>1</v>
      </c>
      <c r="R42" s="85">
        <v>0</v>
      </c>
      <c r="S42" s="85">
        <v>0</v>
      </c>
      <c r="T42" s="85">
        <v>0</v>
      </c>
      <c r="U42" s="85">
        <v>0</v>
      </c>
      <c r="V42" s="85">
        <v>1</v>
      </c>
      <c r="W42" s="99" t="s">
        <v>227</v>
      </c>
      <c r="X42" s="100" t="s">
        <v>228</v>
      </c>
    </row>
    <row r="43" spans="1:24" x14ac:dyDescent="0.15">
      <c r="A43" s="97" t="str">
        <f>B43&amp;"_"&amp;E43&amp;"_"&amp;H43&amp;"_"&amp;I43&amp;"_"&amp;J43</f>
        <v>47003_4_everyone_clear_42</v>
      </c>
      <c r="B43" s="83">
        <v>47003</v>
      </c>
      <c r="C43" s="84" t="str">
        <f ca="1">VLOOKUP($B43,OFFSET([2]quests!$A$1,0,0,COUNTA([2]quests!$A:$A),MATCH(C$1,[2]quests!$1:$1,0)-MATCH($B$1,[2]quests!$1:$1,0)+1),MATCH(C$1,[2]quests!$1:$1,0)-MATCH($B$1,[2]quests!$1:$1,0)+1,FALSE)</f>
        <v>ハロウィンナイトパニック！</v>
      </c>
      <c r="D43" s="84" t="str">
        <f ca="1">VLOOKUP($B43,OFFSET([2]quests!$A$1,0,0,COUNTA([2]quests!$A:$A),MATCH(D$1,[2]quests!$1:$1,0)-MATCH($B$1,[2]quests!$1:$1,0)+1),MATCH(D$1,[2]quests!$1:$1,0)-MATCH($B$1,[2]quests!$1:$1,0)+1,FALSE)</f>
        <v>季節イベント</v>
      </c>
      <c r="E43" s="85">
        <v>4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季節イベント</v>
      </c>
      <c r="H43" s="86" t="s">
        <v>225</v>
      </c>
      <c r="I43" s="85" t="s">
        <v>464</v>
      </c>
      <c r="J43" s="85">
        <v>42</v>
      </c>
      <c r="K43" s="85">
        <v>5</v>
      </c>
      <c r="L43" s="85" t="s">
        <v>472</v>
      </c>
      <c r="M43" s="85">
        <v>1191</v>
      </c>
      <c r="N43" s="98" t="str">
        <f ca="1">IF(L43="unit",VLOOKUP($M43,OFFSET([4]characters!$A$1,0,0,COUNTA([4]characters!$A:$A),MATCH(N$1,[4]characters!$1:$1,0)-MATCH("character_id",[4]characters!$1:$1,0)+1),MATCH(N$1,[4]characters!$1:$1,0)-MATCH("character_id",[4]characters!$1:$1,0)+1,FALSE),"")</f>
        <v>ドルチェ</v>
      </c>
      <c r="O43" s="85">
        <v>1</v>
      </c>
      <c r="P43" s="85">
        <v>1</v>
      </c>
      <c r="Q43" s="85">
        <v>1</v>
      </c>
      <c r="R43" s="85">
        <v>0</v>
      </c>
      <c r="S43" s="85">
        <v>0</v>
      </c>
      <c r="T43" s="85">
        <v>0</v>
      </c>
      <c r="U43" s="85">
        <v>0</v>
      </c>
      <c r="V43" s="85">
        <v>1</v>
      </c>
      <c r="W43" s="99" t="s">
        <v>227</v>
      </c>
      <c r="X43" s="100" t="s">
        <v>228</v>
      </c>
    </row>
    <row r="44" spans="1:24" x14ac:dyDescent="0.15">
      <c r="A44" s="97" t="str">
        <f t="shared" ref="A44" si="4">B44&amp;"_"&amp;E44&amp;"_"&amp;H44&amp;"_"&amp;I44&amp;"_"&amp;J44</f>
        <v>47003_4_everyone_full_member_43</v>
      </c>
      <c r="B44" s="83">
        <v>47003</v>
      </c>
      <c r="C44" s="84" t="str">
        <f ca="1">VLOOKUP($B44,OFFSET([2]quests!$A$1,0,0,COUNTA([2]quests!$A:$A),MATCH(C$1,[2]quests!$1:$1,0)-MATCH($B$1,[2]quests!$1:$1,0)+1),MATCH(C$1,[2]quests!$1:$1,0)-MATCH($B$1,[2]quests!$1:$1,0)+1,FALSE)</f>
        <v>ハロウィンナイトパニック！</v>
      </c>
      <c r="D44" s="84" t="str">
        <f ca="1">VLOOKUP($B44,OFFSET([2]quests!$A$1,0,0,COUNTA([2]quests!$A:$A),MATCH(D$1,[2]quests!$1:$1,0)-MATCH($B$1,[2]quests!$1:$1,0)+1),MATCH(D$1,[2]quests!$1:$1,0)-MATCH($B$1,[2]quests!$1:$1,0)+1,FALSE)</f>
        <v>季節イベント</v>
      </c>
      <c r="E44" s="85">
        <v>4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季節イベント</v>
      </c>
      <c r="H44" s="86" t="s">
        <v>225</v>
      </c>
      <c r="I44" s="85" t="s">
        <v>471</v>
      </c>
      <c r="J44" s="85">
        <v>43</v>
      </c>
      <c r="K44" s="85">
        <v>5</v>
      </c>
      <c r="L44" s="85" t="s">
        <v>472</v>
      </c>
      <c r="M44" s="85">
        <v>1191</v>
      </c>
      <c r="N44" s="98" t="str">
        <f ca="1">IF(L44="unit",VLOOKUP($M44,OFFSET([4]characters!$A$1,0,0,COUNTA([4]characters!$A:$A),MATCH(N$1,[4]characters!$1:$1,0)-MATCH("character_id",[4]characters!$1:$1,0)+1),MATCH(N$1,[4]characters!$1:$1,0)-MATCH("character_id",[4]characters!$1:$1,0)+1,FALSE),"")</f>
        <v>ドルチェ</v>
      </c>
      <c r="O44" s="85">
        <v>1</v>
      </c>
      <c r="P44" s="85">
        <v>1</v>
      </c>
      <c r="Q44" s="85">
        <v>1</v>
      </c>
      <c r="R44" s="85">
        <v>0</v>
      </c>
      <c r="S44" s="85">
        <v>0</v>
      </c>
      <c r="T44" s="85">
        <v>0</v>
      </c>
      <c r="U44" s="85">
        <v>0</v>
      </c>
      <c r="V44" s="85">
        <v>1</v>
      </c>
      <c r="W44" s="99" t="s">
        <v>227</v>
      </c>
      <c r="X44" s="100" t="s">
        <v>228</v>
      </c>
    </row>
    <row r="45" spans="1:24" x14ac:dyDescent="0.15">
      <c r="A45" s="97" t="str">
        <f t="shared" ref="A45:A47" si="5">B45&amp;"_"&amp;E45&amp;"_"&amp;H45&amp;"_"&amp;I45&amp;"_"&amp;J45</f>
        <v>47003_4_everyone_no_continue_44</v>
      </c>
      <c r="B45" s="83">
        <v>47003</v>
      </c>
      <c r="C45" s="84" t="str">
        <f ca="1">VLOOKUP($B45,OFFSET([2]quests!$A$1,0,0,COUNTA([2]quests!$A:$A),MATCH(C$1,[2]quests!$1:$1,0)-MATCH($B$1,[2]quests!$1:$1,0)+1),MATCH(C$1,[2]quests!$1:$1,0)-MATCH($B$1,[2]quests!$1:$1,0)+1,FALSE)</f>
        <v>ハロウィンナイトパニック！</v>
      </c>
      <c r="D45" s="84" t="str">
        <f ca="1">VLOOKUP($B45,OFFSET([2]quests!$A$1,0,0,COUNTA([2]quests!$A:$A),MATCH(D$1,[2]quests!$1:$1,0)-MATCH($B$1,[2]quests!$1:$1,0)+1),MATCH(D$1,[2]quests!$1:$1,0)-MATCH($B$1,[2]quests!$1:$1,0)+1,FALSE)</f>
        <v>季節イベント</v>
      </c>
      <c r="E45" s="85">
        <v>4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季節イベント</v>
      </c>
      <c r="H45" s="86" t="s">
        <v>225</v>
      </c>
      <c r="I45" s="85" t="s">
        <v>475</v>
      </c>
      <c r="J45" s="85">
        <v>44</v>
      </c>
      <c r="K45" s="85">
        <v>10</v>
      </c>
      <c r="L45" s="85" t="s">
        <v>476</v>
      </c>
      <c r="M45" s="85">
        <v>701</v>
      </c>
      <c r="N45" s="98" t="str">
        <f ca="1">IF(L45="unit",VLOOKUP($M45,OFFSET([4]characters!$A$1,0,0,COUNTA([4]characters!$A:$A),MATCH(N$1,[4]characters!$1:$1,0)-MATCH("character_id",[4]characters!$1:$1,0)+1),MATCH(N$1,[4]characters!$1:$1,0)-MATCH("character_id",[4]characters!$1:$1,0)+1,FALSE),"")</f>
        <v/>
      </c>
      <c r="O45" s="85">
        <v>3</v>
      </c>
      <c r="P45" s="85">
        <v>1</v>
      </c>
      <c r="Q45" s="85">
        <v>1</v>
      </c>
      <c r="R45" s="85">
        <v>0</v>
      </c>
      <c r="S45" s="85">
        <v>0</v>
      </c>
      <c r="T45" s="85">
        <v>0</v>
      </c>
      <c r="U45" s="85">
        <v>0</v>
      </c>
      <c r="V45" s="85">
        <v>1</v>
      </c>
      <c r="W45" s="99" t="s">
        <v>227</v>
      </c>
      <c r="X45" s="100" t="s">
        <v>228</v>
      </c>
    </row>
    <row r="46" spans="1:24" x14ac:dyDescent="0.15">
      <c r="A46" s="97" t="str">
        <f t="shared" si="5"/>
        <v>47003_4_everyone_no_continue_45</v>
      </c>
      <c r="B46" s="83">
        <v>47003</v>
      </c>
      <c r="C46" s="84" t="str">
        <f ca="1">VLOOKUP($B46,OFFSET([2]quests!$A$1,0,0,COUNTA([2]quests!$A:$A),MATCH(C$1,[2]quests!$1:$1,0)-MATCH($B$1,[2]quests!$1:$1,0)+1),MATCH(C$1,[2]quests!$1:$1,0)-MATCH($B$1,[2]quests!$1:$1,0)+1,FALSE)</f>
        <v>ハロウィンナイトパニック！</v>
      </c>
      <c r="D46" s="84" t="str">
        <f ca="1">VLOOKUP($B46,OFFSET([2]quests!$A$1,0,0,COUNTA([2]quests!$A:$A),MATCH(D$1,[2]quests!$1:$1,0)-MATCH($B$1,[2]quests!$1:$1,0)+1),MATCH(D$1,[2]quests!$1:$1,0)-MATCH($B$1,[2]quests!$1:$1,0)+1,FALSE)</f>
        <v>季節イベント</v>
      </c>
      <c r="E46" s="85">
        <v>4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季節イベント</v>
      </c>
      <c r="H46" s="86" t="s">
        <v>225</v>
      </c>
      <c r="I46" s="85" t="s">
        <v>475</v>
      </c>
      <c r="J46" s="85">
        <v>45</v>
      </c>
      <c r="K46" s="85">
        <v>40</v>
      </c>
      <c r="L46" s="85" t="s">
        <v>477</v>
      </c>
      <c r="M46" s="85">
        <v>701</v>
      </c>
      <c r="N46" s="98" t="str">
        <f ca="1">IF(L46="unit",VLOOKUP($M46,OFFSET([4]characters!$A$1,0,0,COUNTA([4]characters!$A:$A),MATCH(N$1,[4]characters!$1:$1,0)-MATCH("character_id",[4]characters!$1:$1,0)+1),MATCH(N$1,[4]characters!$1:$1,0)-MATCH("character_id",[4]characters!$1:$1,0)+1,FALSE),"")</f>
        <v/>
      </c>
      <c r="O46" s="85">
        <v>5</v>
      </c>
      <c r="P46" s="85">
        <v>1</v>
      </c>
      <c r="Q46" s="85">
        <v>1</v>
      </c>
      <c r="R46" s="85">
        <v>0</v>
      </c>
      <c r="S46" s="85">
        <v>0</v>
      </c>
      <c r="T46" s="85">
        <v>0</v>
      </c>
      <c r="U46" s="85">
        <v>0</v>
      </c>
      <c r="V46" s="85">
        <v>1</v>
      </c>
      <c r="W46" s="99" t="s">
        <v>227</v>
      </c>
      <c r="X46" s="100" t="s">
        <v>228</v>
      </c>
    </row>
    <row r="47" spans="1:24" x14ac:dyDescent="0.15">
      <c r="A47" s="97" t="str">
        <f t="shared" si="5"/>
        <v>47003_4_everyone_no_continue_46</v>
      </c>
      <c r="B47" s="83">
        <v>47003</v>
      </c>
      <c r="C47" s="84" t="str">
        <f ca="1">VLOOKUP($B47,OFFSET([2]quests!$A$1,0,0,COUNTA([2]quests!$A:$A),MATCH(C$1,[2]quests!$1:$1,0)-MATCH($B$1,[2]quests!$1:$1,0)+1),MATCH(C$1,[2]quests!$1:$1,0)-MATCH($B$1,[2]quests!$1:$1,0)+1,FALSE)</f>
        <v>ハロウィンナイトパニック！</v>
      </c>
      <c r="D47" s="84" t="str">
        <f ca="1">VLOOKUP($B47,OFFSET([2]quests!$A$1,0,0,COUNTA([2]quests!$A:$A),MATCH(D$1,[2]quests!$1:$1,0)-MATCH($B$1,[2]quests!$1:$1,0)+1),MATCH(D$1,[2]quests!$1:$1,0)-MATCH($B$1,[2]quests!$1:$1,0)+1,FALSE)</f>
        <v>季節イベント</v>
      </c>
      <c r="E47" s="85">
        <v>4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【ｳｨｻﾞ】ハロウィンナイトパニック！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季節イベント</v>
      </c>
      <c r="H47" s="86" t="s">
        <v>225</v>
      </c>
      <c r="I47" s="85" t="s">
        <v>475</v>
      </c>
      <c r="J47" s="85">
        <v>46</v>
      </c>
      <c r="K47" s="85">
        <v>50</v>
      </c>
      <c r="L47" s="85" t="s">
        <v>472</v>
      </c>
      <c r="M47" s="85">
        <v>1191</v>
      </c>
      <c r="N47" s="98" t="str">
        <f ca="1">IF(L47="unit",VLOOKUP($M47,OFFSET([4]characters!$A$1,0,0,COUNTA([4]characters!$A:$A),MATCH(N$1,[4]characters!$1:$1,0)-MATCH("character_id",[4]characters!$1:$1,0)+1),MATCH(N$1,[4]characters!$1:$1,0)-MATCH("character_id",[4]characters!$1:$1,0)+1,FALSE),"")</f>
        <v>ドルチェ</v>
      </c>
      <c r="O47" s="85">
        <v>1</v>
      </c>
      <c r="P47" s="85">
        <v>1</v>
      </c>
      <c r="Q47" s="85">
        <v>1</v>
      </c>
      <c r="R47" s="85">
        <v>0</v>
      </c>
      <c r="S47" s="85">
        <v>0</v>
      </c>
      <c r="T47" s="85">
        <v>0</v>
      </c>
      <c r="U47" s="85">
        <v>0</v>
      </c>
      <c r="V47" s="85">
        <v>1</v>
      </c>
      <c r="W47" s="99" t="s">
        <v>227</v>
      </c>
      <c r="X47" s="100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2016-10-28T06:36:30Z</dcterms:modified>
</cp:coreProperties>
</file>