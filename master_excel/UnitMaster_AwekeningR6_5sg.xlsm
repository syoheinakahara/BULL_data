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2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57" l="1"/>
  <c r="E5" i="57"/>
  <c r="B5" i="57"/>
  <c r="F7" i="57"/>
  <c r="E7" i="57"/>
  <c r="B7" i="57"/>
  <c r="F10" i="57"/>
  <c r="E10" i="57"/>
  <c r="B10" i="57"/>
  <c r="J35" i="3"/>
  <c r="H35" i="3"/>
  <c r="C35" i="3"/>
  <c r="F35" i="3"/>
  <c r="E35" i="3"/>
  <c r="D35" i="3"/>
  <c r="A35" i="3"/>
  <c r="J34" i="3"/>
  <c r="H34" i="3"/>
  <c r="C34" i="3"/>
  <c r="F34" i="3"/>
  <c r="E34" i="3"/>
  <c r="D34" i="3"/>
  <c r="A34" i="3"/>
  <c r="J33" i="3"/>
  <c r="H33" i="3"/>
  <c r="C33" i="3"/>
  <c r="F33" i="3"/>
  <c r="E33" i="3"/>
  <c r="D33" i="3"/>
  <c r="A33" i="3"/>
  <c r="J32" i="3"/>
  <c r="H32" i="3"/>
  <c r="C32" i="3"/>
  <c r="F32" i="3"/>
  <c r="E32" i="3"/>
  <c r="D32" i="3"/>
  <c r="A32" i="3"/>
  <c r="G10" i="58"/>
  <c r="U10" i="58"/>
  <c r="S10" i="58"/>
  <c r="T10" i="58"/>
  <c r="R10" i="58"/>
  <c r="P10" i="58"/>
  <c r="O10" i="58"/>
  <c r="N10" i="58"/>
  <c r="M10" i="58"/>
  <c r="L10" i="58"/>
  <c r="J10" i="58"/>
  <c r="K10" i="58"/>
  <c r="I10" i="58"/>
  <c r="H10" i="58"/>
  <c r="F10" i="58"/>
  <c r="E10" i="58"/>
  <c r="D10" i="58"/>
  <c r="C10" i="58"/>
  <c r="B10" i="58"/>
  <c r="E44" i="54"/>
  <c r="D44" i="54"/>
  <c r="B44" i="54"/>
  <c r="E43" i="54"/>
  <c r="D43" i="54"/>
  <c r="B43" i="54"/>
  <c r="E42" i="54"/>
  <c r="D42" i="54"/>
  <c r="B42" i="54"/>
  <c r="E41" i="54"/>
  <c r="D41" i="54"/>
  <c r="B41" i="54"/>
  <c r="E40" i="54"/>
  <c r="D40" i="54"/>
  <c r="B40" i="54"/>
  <c r="H10" i="53"/>
  <c r="G10" i="53"/>
  <c r="E10" i="53"/>
  <c r="K10" i="52"/>
  <c r="J10" i="52"/>
  <c r="H10" i="52"/>
  <c r="E10" i="52"/>
  <c r="H10" i="23"/>
  <c r="BR10" i="23"/>
  <c r="G10" i="23"/>
  <c r="BC10" i="23"/>
  <c r="BD10" i="23"/>
  <c r="Q10" i="23"/>
  <c r="V10" i="23"/>
  <c r="W10" i="23"/>
  <c r="AD10" i="23"/>
  <c r="I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J10" i="23"/>
  <c r="BK10" i="23"/>
  <c r="BE10" i="23"/>
  <c r="BJ10" i="23"/>
  <c r="BI10" i="23"/>
  <c r="BH10" i="23"/>
  <c r="BG10" i="23"/>
  <c r="I9" i="23"/>
  <c r="J9" i="23"/>
  <c r="BF10" i="23"/>
  <c r="AX10" i="23"/>
  <c r="AW10" i="23"/>
  <c r="AV10" i="23"/>
  <c r="AU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G10" i="13"/>
  <c r="G11" i="13"/>
  <c r="N10" i="23"/>
  <c r="F10" i="23"/>
  <c r="E10" i="23"/>
  <c r="D10" i="23"/>
  <c r="C10" i="23"/>
  <c r="B10" i="23"/>
  <c r="F9" i="57"/>
  <c r="E9" i="57"/>
  <c r="B9" i="57"/>
  <c r="F8" i="57"/>
  <c r="E8" i="57"/>
  <c r="B8" i="57"/>
  <c r="J31" i="3"/>
  <c r="H31" i="3"/>
  <c r="C31" i="3"/>
  <c r="F31" i="3"/>
  <c r="E31" i="3"/>
  <c r="D31" i="3"/>
  <c r="A31" i="3"/>
  <c r="J30" i="3"/>
  <c r="H30" i="3"/>
  <c r="C30" i="3"/>
  <c r="F30" i="3"/>
  <c r="E30" i="3"/>
  <c r="D30" i="3"/>
  <c r="A30" i="3"/>
  <c r="J29" i="3"/>
  <c r="H29" i="3"/>
  <c r="C29" i="3"/>
  <c r="F29" i="3"/>
  <c r="E29" i="3"/>
  <c r="D29" i="3"/>
  <c r="A29" i="3"/>
  <c r="J28" i="3"/>
  <c r="H28" i="3"/>
  <c r="C28" i="3"/>
  <c r="F28" i="3"/>
  <c r="E28" i="3"/>
  <c r="D28" i="3"/>
  <c r="A28" i="3"/>
  <c r="G9" i="58"/>
  <c r="U9" i="58"/>
  <c r="S9" i="58"/>
  <c r="T9" i="58"/>
  <c r="R9" i="58"/>
  <c r="P9" i="58"/>
  <c r="O9" i="58"/>
  <c r="N9" i="58"/>
  <c r="M9" i="58"/>
  <c r="L9" i="58"/>
  <c r="J9" i="58"/>
  <c r="K9" i="58"/>
  <c r="I9" i="58"/>
  <c r="H9" i="58"/>
  <c r="F9" i="58"/>
  <c r="E9" i="58"/>
  <c r="D9" i="58"/>
  <c r="C9" i="58"/>
  <c r="B9" i="58"/>
  <c r="E39" i="54"/>
  <c r="D39" i="54"/>
  <c r="B39" i="54"/>
  <c r="E38" i="54"/>
  <c r="D38" i="54"/>
  <c r="B38" i="54"/>
  <c r="E37" i="54"/>
  <c r="D37" i="54"/>
  <c r="B37" i="54"/>
  <c r="E36" i="54"/>
  <c r="D36" i="54"/>
  <c r="B36" i="54"/>
  <c r="E35" i="54"/>
  <c r="D35" i="54"/>
  <c r="B35" i="54"/>
  <c r="H9" i="53"/>
  <c r="G9" i="53"/>
  <c r="E9" i="53"/>
  <c r="K9" i="52"/>
  <c r="J9" i="52"/>
  <c r="H9" i="52"/>
  <c r="E9" i="52"/>
  <c r="H9" i="23"/>
  <c r="BR9" i="23"/>
  <c r="G9" i="23"/>
  <c r="BC9" i="23"/>
  <c r="BD9" i="23"/>
  <c r="Q9" i="23"/>
  <c r="V9" i="23"/>
  <c r="W9" i="23"/>
  <c r="AD9" i="23"/>
  <c r="M9" i="23"/>
  <c r="BN9" i="23"/>
  <c r="U9" i="23"/>
  <c r="AC9" i="23"/>
  <c r="L9" i="23"/>
  <c r="BM9" i="23"/>
  <c r="T9" i="23"/>
  <c r="AB9" i="23"/>
  <c r="K9" i="23"/>
  <c r="BL9" i="23"/>
  <c r="S9" i="23"/>
  <c r="AA9" i="23"/>
  <c r="BK9" i="23"/>
  <c r="BE9" i="23"/>
  <c r="BJ9" i="23"/>
  <c r="BI9" i="23"/>
  <c r="BH9" i="23"/>
  <c r="BG9" i="23"/>
  <c r="I8" i="23"/>
  <c r="J8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N9" i="23"/>
  <c r="F9" i="23"/>
  <c r="E9" i="23"/>
  <c r="D9" i="23"/>
  <c r="C9" i="23"/>
  <c r="B9" i="23"/>
  <c r="J27" i="3"/>
  <c r="H27" i="3"/>
  <c r="C27" i="3"/>
  <c r="F27" i="3"/>
  <c r="E27" i="3"/>
  <c r="D27" i="3"/>
  <c r="A27" i="3"/>
  <c r="J26" i="3"/>
  <c r="H26" i="3"/>
  <c r="C26" i="3"/>
  <c r="F26" i="3"/>
  <c r="E26" i="3"/>
  <c r="D26" i="3"/>
  <c r="A26" i="3"/>
  <c r="J25" i="3"/>
  <c r="H25" i="3"/>
  <c r="C25" i="3"/>
  <c r="F25" i="3"/>
  <c r="E25" i="3"/>
  <c r="D25" i="3"/>
  <c r="A25" i="3"/>
  <c r="J24" i="3"/>
  <c r="H24" i="3"/>
  <c r="C24" i="3"/>
  <c r="F24" i="3"/>
  <c r="E24" i="3"/>
  <c r="D24" i="3"/>
  <c r="A24" i="3"/>
  <c r="G8" i="58"/>
  <c r="U8" i="58"/>
  <c r="S8" i="58"/>
  <c r="T8" i="58"/>
  <c r="R8" i="58"/>
  <c r="P8" i="58"/>
  <c r="O8" i="58"/>
  <c r="N8" i="58"/>
  <c r="M8" i="58"/>
  <c r="L8" i="58"/>
  <c r="J8" i="58"/>
  <c r="K8" i="58"/>
  <c r="I8" i="58"/>
  <c r="H8" i="58"/>
  <c r="F8" i="58"/>
  <c r="E8" i="58"/>
  <c r="D8" i="58"/>
  <c r="C8" i="58"/>
  <c r="B8" i="58"/>
  <c r="E34" i="54"/>
  <c r="D34" i="54"/>
  <c r="B34" i="54"/>
  <c r="E33" i="54"/>
  <c r="D33" i="54"/>
  <c r="B33" i="54"/>
  <c r="E32" i="54"/>
  <c r="D32" i="54"/>
  <c r="B32" i="54"/>
  <c r="E31" i="54"/>
  <c r="D31" i="54"/>
  <c r="B31" i="54"/>
  <c r="E30" i="54"/>
  <c r="D30" i="54"/>
  <c r="B30" i="54"/>
  <c r="H8" i="53"/>
  <c r="G8" i="53"/>
  <c r="E8" i="53"/>
  <c r="K8" i="52"/>
  <c r="J8" i="52"/>
  <c r="H8" i="52"/>
  <c r="E8" i="52"/>
  <c r="H8" i="23"/>
  <c r="BR8" i="23"/>
  <c r="G8" i="23"/>
  <c r="BC8" i="23"/>
  <c r="BD8" i="23"/>
  <c r="Q8" i="23"/>
  <c r="V8" i="23"/>
  <c r="W8" i="23"/>
  <c r="AD8" i="23"/>
  <c r="M8" i="23"/>
  <c r="BN8" i="23"/>
  <c r="U8" i="23"/>
  <c r="AC8" i="23"/>
  <c r="L8" i="23"/>
  <c r="BM8" i="23"/>
  <c r="T8" i="23"/>
  <c r="AB8" i="23"/>
  <c r="K8" i="23"/>
  <c r="BL8" i="23"/>
  <c r="S8" i="23"/>
  <c r="AA8" i="23"/>
  <c r="BK8" i="23"/>
  <c r="BE8" i="23"/>
  <c r="BJ8" i="23"/>
  <c r="BI8" i="23"/>
  <c r="BH8" i="23"/>
  <c r="BG8" i="23"/>
  <c r="I7" i="23"/>
  <c r="J7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F6" i="57"/>
  <c r="E6" i="57"/>
  <c r="B6" i="57"/>
  <c r="H3" i="23"/>
  <c r="BR3" i="23"/>
  <c r="H4" i="23"/>
  <c r="BR4" i="23"/>
  <c r="H5" i="23"/>
  <c r="BR5" i="23"/>
  <c r="H6" i="23"/>
  <c r="BR6" i="23"/>
  <c r="H7" i="23"/>
  <c r="BR7" i="23"/>
  <c r="H2" i="23"/>
  <c r="BR2" i="2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F4" i="57"/>
  <c r="E4" i="57"/>
  <c r="B4" i="57"/>
  <c r="J23" i="3"/>
  <c r="H23" i="3"/>
  <c r="C23" i="3"/>
  <c r="F23" i="3"/>
  <c r="E23" i="3"/>
  <c r="D23" i="3"/>
  <c r="A23" i="3"/>
  <c r="J22" i="3"/>
  <c r="H22" i="3"/>
  <c r="C22" i="3"/>
  <c r="F22" i="3"/>
  <c r="E22" i="3"/>
  <c r="D22" i="3"/>
  <c r="A22" i="3"/>
  <c r="J21" i="3"/>
  <c r="H21" i="3"/>
  <c r="C21" i="3"/>
  <c r="F21" i="3"/>
  <c r="E21" i="3"/>
  <c r="D21" i="3"/>
  <c r="A21" i="3"/>
  <c r="J20" i="3"/>
  <c r="H20" i="3"/>
  <c r="C20" i="3"/>
  <c r="F20" i="3"/>
  <c r="E20" i="3"/>
  <c r="D20" i="3"/>
  <c r="A20" i="3"/>
  <c r="J19" i="3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G7" i="58"/>
  <c r="U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G6" i="58"/>
  <c r="U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U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E29" i="54"/>
  <c r="D29" i="54"/>
  <c r="B29" i="54"/>
  <c r="E28" i="54"/>
  <c r="D28" i="54"/>
  <c r="B28" i="54"/>
  <c r="E27" i="54"/>
  <c r="D27" i="54"/>
  <c r="B27" i="54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H7" i="53"/>
  <c r="G7" i="53"/>
  <c r="E7" i="53"/>
  <c r="H6" i="53"/>
  <c r="G6" i="53"/>
  <c r="E6" i="53"/>
  <c r="H5" i="53"/>
  <c r="G5" i="53"/>
  <c r="E5" i="53"/>
  <c r="H4" i="53"/>
  <c r="G4" i="53"/>
  <c r="E4" i="53"/>
  <c r="K7" i="52"/>
  <c r="J7" i="52"/>
  <c r="H7" i="52"/>
  <c r="E7" i="52"/>
  <c r="K6" i="52"/>
  <c r="J6" i="52"/>
  <c r="H6" i="52"/>
  <c r="E6" i="52"/>
  <c r="K5" i="52"/>
  <c r="J5" i="52"/>
  <c r="H5" i="52"/>
  <c r="E5" i="52"/>
  <c r="K4" i="52"/>
  <c r="J4" i="52"/>
  <c r="H4" i="52"/>
  <c r="E4" i="52"/>
  <c r="G7" i="23"/>
  <c r="BC7" i="23"/>
  <c r="BD7" i="23"/>
  <c r="Q7" i="23"/>
  <c r="V7" i="23"/>
  <c r="W7" i="23"/>
  <c r="AD7" i="23"/>
  <c r="M7" i="23"/>
  <c r="BN7" i="23"/>
  <c r="U7" i="23"/>
  <c r="AC7" i="23"/>
  <c r="L7" i="23"/>
  <c r="BM7" i="23"/>
  <c r="T7" i="23"/>
  <c r="AB7" i="23"/>
  <c r="K7" i="23"/>
  <c r="BL7" i="23"/>
  <c r="S7" i="23"/>
  <c r="AA7" i="23"/>
  <c r="BK7" i="23"/>
  <c r="BE7" i="23"/>
  <c r="BJ7" i="23"/>
  <c r="BI7" i="23"/>
  <c r="BH7" i="23"/>
  <c r="BG7" i="23"/>
  <c r="I3" i="23"/>
  <c r="J3" i="23"/>
  <c r="I6" i="23"/>
  <c r="J6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F7" i="23"/>
  <c r="E7" i="23"/>
  <c r="D7" i="23"/>
  <c r="C7" i="23"/>
  <c r="B7" i="23"/>
  <c r="G6" i="23"/>
  <c r="BC6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I2" i="23"/>
  <c r="J2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G4" i="23"/>
  <c r="BC4" i="23"/>
  <c r="BD4" i="23"/>
  <c r="Q4" i="23"/>
  <c r="V4" i="23"/>
  <c r="W4" i="23"/>
  <c r="AD4" i="23"/>
  <c r="I4" i="23"/>
  <c r="M4" i="23"/>
  <c r="BN4" i="23"/>
  <c r="U4" i="23"/>
  <c r="AC4" i="23"/>
  <c r="L4" i="23"/>
  <c r="BM4" i="23"/>
  <c r="T4" i="23"/>
  <c r="AB4" i="23"/>
  <c r="K4" i="23"/>
  <c r="BL4" i="23"/>
  <c r="S4" i="23"/>
  <c r="AA4" i="23"/>
  <c r="J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J4" i="3"/>
  <c r="H4" i="3"/>
  <c r="C4" i="3"/>
  <c r="F4" i="3"/>
  <c r="E4" i="3"/>
  <c r="D4" i="3"/>
  <c r="A4" i="3"/>
  <c r="J3" i="3"/>
  <c r="H3" i="3"/>
  <c r="C3" i="3"/>
  <c r="F3" i="3"/>
  <c r="E3" i="3"/>
  <c r="D3" i="3"/>
  <c r="A3" i="3"/>
  <c r="J2" i="3"/>
  <c r="H2" i="3"/>
  <c r="C2" i="3"/>
  <c r="F2" i="3"/>
  <c r="E2" i="3"/>
  <c r="D2" i="3"/>
  <c r="A2" i="3"/>
  <c r="F3" i="57"/>
  <c r="E3" i="57"/>
  <c r="B3" i="57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6" i="54"/>
  <c r="D6" i="54"/>
  <c r="B6" i="54"/>
  <c r="G3" i="23"/>
  <c r="BC3" i="23"/>
  <c r="BD3" i="23"/>
  <c r="Q3" i="23"/>
  <c r="S3" i="23"/>
  <c r="W3" i="23"/>
  <c r="AA3" i="23"/>
  <c r="BK3" i="23"/>
  <c r="G2" i="23"/>
  <c r="BC2" i="23"/>
  <c r="BD2" i="23"/>
  <c r="Q2" i="23"/>
  <c r="S2" i="23"/>
  <c r="W2" i="23"/>
  <c r="AA2" i="23"/>
  <c r="BK2" i="23"/>
  <c r="BE3" i="23"/>
  <c r="T3" i="23"/>
  <c r="AB3" i="23"/>
  <c r="K3" i="23"/>
  <c r="BL3" i="23"/>
  <c r="BH3" i="23"/>
  <c r="BG3" i="23"/>
  <c r="E3" i="54"/>
  <c r="E4" i="54"/>
  <c r="E5" i="54"/>
  <c r="E7" i="54"/>
  <c r="E8" i="54"/>
  <c r="E9" i="54"/>
  <c r="E10" i="54"/>
  <c r="E11" i="54"/>
  <c r="E2" i="54"/>
  <c r="D11" i="54"/>
  <c r="B11" i="54"/>
  <c r="B4" i="54"/>
  <c r="D10" i="54"/>
  <c r="B10" i="54"/>
  <c r="D9" i="54"/>
  <c r="B9" i="54"/>
  <c r="D8" i="54"/>
  <c r="B8" i="54"/>
  <c r="D7" i="54"/>
  <c r="B7" i="54"/>
  <c r="D5" i="54"/>
  <c r="D4" i="54"/>
  <c r="D3" i="54"/>
  <c r="B3" i="54"/>
  <c r="G2" i="58"/>
  <c r="U2" i="58"/>
  <c r="F2" i="57"/>
  <c r="E2" i="57"/>
  <c r="B2" i="57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S2" i="58"/>
  <c r="T2" i="58"/>
  <c r="R2" i="58"/>
  <c r="B2" i="58"/>
  <c r="D2" i="54"/>
  <c r="B2" i="54"/>
  <c r="G2" i="53"/>
  <c r="AH3" i="23"/>
  <c r="AH2" i="2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J3" i="23"/>
  <c r="BI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  <c r="S4" i="58"/>
  <c r="T4" i="58"/>
  <c r="S5" i="58"/>
  <c r="T5" i="58"/>
  <c r="S6" i="58"/>
  <c r="T6" i="58"/>
  <c r="S7" i="58"/>
  <c r="T7" i="58"/>
</calcChain>
</file>

<file path=xl/sharedStrings.xml><?xml version="1.0" encoding="utf-8"?>
<sst xmlns="http://schemas.openxmlformats.org/spreadsheetml/2006/main" count="1136" uniqueCount="437">
  <si>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</si>
  <si>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</si>
  <si>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</si>
  <si>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</si>
  <si>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</si>
  <si>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</si>
  <si>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</si>
  <si>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</si>
  <si>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</si>
  <si>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</si>
  <si>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</si>
  <si>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</si>
  <si>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</si>
  <si>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</si>
  <si>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</si>
  <si>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</si>
  <si>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</si>
  <si>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</si>
  <si>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</si>
  <si>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</si>
  <si>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</si>
  <si>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</si>
  <si>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</si>
  <si>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</si>
  <si>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</si>
  <si>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</si>
  <si>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</si>
  <si>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</si>
  <si>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</si>
  <si>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</si>
  <si>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</si>
  <si>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</si>
  <si>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</si>
  <si>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</si>
  <si>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</si>
  <si>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</si>
  <si>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</si>
  <si>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</si>
  <si>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</si>
  <si>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</si>
  <si>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</si>
  <si>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</si>
  <si>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</si>
  <si>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</si>
  <si>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</si>
  <si>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</si>
  <si>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</si>
  <si>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</si>
  <si>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</si>
  <si>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</si>
  <si>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</si>
  <si>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</si>
  <si>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</si>
  <si>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</si>
  <si>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</si>
  <si>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</si>
  <si>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</si>
  <si>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</si>
  <si>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</si>
  <si>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</si>
  <si>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</si>
  <si>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</si>
  <si>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</si>
  <si>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</si>
  <si>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</si>
  <si>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</si>
  <si>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</si>
  <si>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</si>
  <si>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</si>
  <si>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</si>
  <si>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</si>
  <si>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</si>
  <si>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</si>
  <si>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</si>
  <si>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</si>
  <si>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</si>
  <si>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</si>
  <si>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</si>
  <si>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</si>
  <si>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</si>
  <si>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</si>
  <si>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</si>
  <si>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</si>
  <si>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</si>
  <si>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</si>
  <si>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</si>
  <si>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</si>
  <si>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</si>
  <si>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</si>
  <si>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</si>
  <si>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</si>
  <si>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</si>
  <si>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</si>
  <si>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</si>
  <si>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</si>
  <si>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</si>
  <si>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</si>
  <si>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</si>
  <si>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</si>
  <si>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</si>
  <si>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</si>
  <si>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</si>
  <si>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</si>
  <si>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</si>
  <si>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</si>
  <si>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</si>
  <si>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</si>
  <si>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</si>
  <si>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</si>
  <si>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</si>
  <si>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</si>
  <si>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</si>
  <si>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</si>
  <si>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</si>
  <si>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</si>
  <si>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</si>
  <si>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</si>
  <si>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</si>
  <si>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</si>
  <si>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</si>
  <si>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</si>
  <si>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</si>
  <si>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</si>
  <si>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</si>
  <si>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</si>
  <si>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</si>
  <si>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</si>
  <si>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</si>
  <si>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</si>
  <si>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</si>
  <si>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</si>
  <si>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</si>
  <si>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</si>
  <si>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</si>
  <si>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</si>
  <si>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</si>
  <si>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</si>
  <si>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</si>
  <si>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</si>
  <si>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</si>
  <si>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</si>
  <si>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</si>
  <si>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</si>
  <si>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</si>
  <si>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</si>
  <si>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</si>
  <si>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</si>
  <si>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</si>
  <si>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</si>
  <si>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</si>
  <si>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</si>
  <si>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</si>
  <si>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</si>
  <si>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</si>
  <si>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</si>
  <si>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</si>
  <si>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</si>
  <si>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</si>
  <si>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</si>
  <si>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</si>
  <si>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</si>
  <si>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</si>
  <si>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</si>
  <si>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</si>
  <si>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</si>
  <si>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</si>
  <si>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</si>
  <si>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</si>
  <si>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</si>
  <si>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</si>
  <si>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</si>
  <si>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</si>
  <si>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</si>
  <si>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</si>
  <si>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</si>
  <si>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</si>
  <si>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</si>
  <si>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</si>
  <si>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</si>
  <si>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</si>
  <si>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</si>
  <si>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</si>
  <si>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</si>
  <si>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</si>
  <si>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</si>
  <si>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</si>
  <si>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</si>
  <si>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</si>
  <si>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</si>
  <si>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</si>
  <si>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</si>
  <si>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</si>
  <si>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</si>
  <si>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</si>
  <si>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</si>
  <si>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</si>
  <si>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</si>
  <si>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</si>
  <si>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</si>
  <si>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</si>
  <si>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</si>
  <si>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</si>
  <si>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</si>
  <si>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</si>
  <si>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</si>
  <si>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</si>
  <si>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</si>
  <si>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</si>
  <si>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</si>
  <si>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</si>
  <si>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</si>
  <si>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</si>
  <si>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</si>
  <si>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</si>
  <si>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</si>
  <si>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</si>
  <si>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</si>
  <si>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</si>
  <si>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</si>
  <si>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</si>
  <si>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</si>
  <si>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</si>
  <si>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</si>
  <si>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</si>
  <si>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</si>
  <si>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</si>
  <si>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</si>
  <si>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</si>
  <si>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</si>
  <si>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</si>
  <si>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</si>
  <si>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</si>
  <si>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</si>
  <si>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</si>
  <si>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</si>
  <si>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</si>
  <si>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</si>
  <si>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</si>
  <si>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</si>
  <si>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</si>
  <si>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</si>
  <si>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</si>
  <si>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</si>
  <si>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</si>
  <si>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</si>
  <si>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</si>
  <si>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</si>
  <si>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</si>
  <si>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</si>
  <si>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</si>
  <si>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</si>
  <si>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</si>
  <si>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</si>
  <si>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</si>
  <si>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</si>
  <si>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</si>
  <si>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</si>
  <si>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</si>
  <si>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</si>
  <si>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</si>
  <si>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</si>
  <si>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</si>
  <si>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</si>
  <si>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</si>
  <si>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</si>
  <si>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</si>
  <si>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</si>
  <si>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</si>
  <si>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</si>
  <si>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</si>
  <si>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</si>
  <si>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</si>
  <si>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</si>
  <si>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</si>
  <si>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</si>
  <si>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</si>
  <si>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</si>
  <si>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</si>
  <si>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</si>
  <si>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</si>
  <si>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</si>
  <si>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</si>
  <si>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</si>
  <si>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</si>
  <si>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</si>
  <si>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</si>
  <si>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</si>
  <si>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</si>
  <si>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</si>
  <si>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</si>
  <si>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</si>
  <si>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</si>
  <si>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</si>
  <si>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</si>
  <si>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</si>
  <si>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</si>
  <si>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</si>
  <si>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</si>
  <si>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</si>
  <si>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</si>
  <si>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</si>
  <si>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</si>
  <si>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</si>
  <si>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</si>
  <si>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</si>
  <si>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</si>
  <si>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</si>
  <si>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</si>
  <si>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</si>
  <si>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</si>
  <si>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</si>
  <si>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</si>
  <si>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</si>
  <si>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</si>
  <si>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</si>
  <si>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</si>
  <si>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</si>
  <si>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スキル1</t>
    <phoneticPr fontId="22"/>
  </si>
  <si>
    <t>Cスキル2</t>
  </si>
  <si>
    <t>Cスキル3</t>
  </si>
  <si>
    <t>Cスキル1</t>
    <phoneticPr fontId="22"/>
  </si>
  <si>
    <t>AwekeningR6</t>
    <phoneticPr fontId="22"/>
  </si>
  <si>
    <t>NULL</t>
    <phoneticPr fontId="10"/>
  </si>
  <si>
    <t>1</t>
    <phoneticPr fontId="22"/>
  </si>
  <si>
    <t>赤ずきんR5スキル</t>
    <rPh sb="0" eb="1">
      <t>アカズキn</t>
    </rPh>
    <phoneticPr fontId="22"/>
  </si>
  <si>
    <t>かぐやR5スキル</t>
    <phoneticPr fontId="22"/>
  </si>
  <si>
    <t>赤ずきんR5Cスキル</t>
    <rPh sb="0" eb="1">
      <t>アカズキn</t>
    </rPh>
    <phoneticPr fontId="22"/>
  </si>
  <si>
    <t>かぐやR5Cスキル</t>
    <phoneticPr fontId="22"/>
  </si>
  <si>
    <t>5ターンの間味方が敵からダメージを受けたとき特大ダメージを与える</t>
    <phoneticPr fontId="22"/>
  </si>
  <si>
    <t>1ターンの間全属性の敵から受けるダメージを80%軽減する+3ターンの間全ユニットの攻撃力大UP</t>
    <phoneticPr fontId="22"/>
  </si>
  <si>
    <t>全体に特大ダメージ</t>
    <phoneticPr fontId="22"/>
  </si>
  <si>
    <t>1体に大ダメージ（アニマルに効果超大）+回復力中UP</t>
    <phoneticPr fontId="22"/>
  </si>
  <si>
    <t>[effect:counter_new, target:unit_all, invoke_condition:enemy_all, counter_target:attacker, turn:5, val:3.0]</t>
    <phoneticPr fontId="22"/>
  </si>
  <si>
    <t>[effect:reduction, target:unit_all, turn:1, color:all, val:0.8, animation:reduction_one04],[effect:enhance_unit, target:unit_all, turn:3, status:attack, val:0.175, calc:mul, animation:enhance_unit_all_attack03]</t>
    <phoneticPr fontId="22"/>
  </si>
  <si>
    <t>old</t>
  </si>
  <si>
    <t>[effect:damage_anti_tribe, target:enemy_one, tribe:animal, val1:3.75, val2:2, animation:damage_one_red04],[effect:enhance_unit, target:unit_all, turn:1, status:heal, val:0.3, calc:mul, animation:enhance_unit_all_heal02]</t>
    <phoneticPr fontId="22"/>
  </si>
  <si>
    <t>[effect:damage, target:enemy_all, color:green, val:1.125, animation:damage_all_green04]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</si>
  <si>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</si>
  <si>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</si>
  <si>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</si>
  <si>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</si>
  <si>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</si>
  <si>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</si>
  <si>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</si>
  <si>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</si>
  <si>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</si>
  <si>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</si>
  <si>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</si>
  <si>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</si>
  <si>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</si>
  <si>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</si>
  <si>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</si>
  <si>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</si>
  <si>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</si>
  <si>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</si>
  <si>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</si>
  <si>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</si>
  <si>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</si>
  <si>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</si>
  <si>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全体に特大ダメージ
種族サムライに効果超大</t>
    <phoneticPr fontId="22"/>
  </si>
  <si>
    <t>全体に特大ダメージ
種族Unknownに効果超大</t>
    <phoneticPr fontId="22"/>
  </si>
  <si>
    <t>鬼神密閃・紅椿</t>
    <phoneticPr fontId="22"/>
  </si>
  <si>
    <t>無形殲影剣・真刃型</t>
    <phoneticPr fontId="22"/>
  </si>
  <si>
    <t>禁じ手を出させますか…？</t>
    <phoneticPr fontId="22"/>
  </si>
  <si>
    <t>斬れぬものなどない！</t>
    <phoneticPr fontId="22"/>
  </si>
  <si>
    <t>giza</t>
  </si>
  <si>
    <t>隠れたつもりですか？</t>
    <phoneticPr fontId="22"/>
  </si>
  <si>
    <t>私の剣は無限！</t>
    <phoneticPr fontId="22"/>
  </si>
  <si>
    <t>もう…容赦できませんね</t>
    <phoneticPr fontId="22"/>
  </si>
  <si>
    <t>終雷の牙突両撃</t>
    <phoneticPr fontId="22"/>
  </si>
  <si>
    <t>災演・狂禍刃斗劇</t>
    <phoneticPr fontId="22"/>
  </si>
  <si>
    <t>総力戦だ…おもしれぇだろ？</t>
    <phoneticPr fontId="22"/>
  </si>
  <si>
    <t>屍になるのは早いか</t>
    <phoneticPr fontId="22"/>
  </si>
  <si>
    <t>kumo</t>
  </si>
  <si>
    <t>ほら、冥土の土産だ</t>
    <phoneticPr fontId="22"/>
  </si>
  <si>
    <t>めでたい奴らだな</t>
    <phoneticPr fontId="22"/>
  </si>
  <si>
    <t>死の観劇だ…！味わえ！</t>
    <phoneticPr fontId="22"/>
  </si>
  <si>
    <t>[effect:sp_boost, target:unit_left, val:1, animation:sp_boost_one02],[effect:force_change_block, new_block:block_green, target:block_yellow, ignore01:crash, ignore02:crack_bomb, ignore03:color_break, count:0, val:0, animation:change_block],[effect:force_change_block, new_block:block_green, target:damage, count:0, val:0, animation:change_block],[effect:enhance_unit, target:unit_green, turn:2, status:attack, val:0.21, calc:mul, animation:enhance_unit_all_attack04_unit01],[effect:enhance_unit, target:unit_green, turn:2, status:heal, val:0.45, calc:mul, animation:enhance_unit_all_heal04_unit01]</t>
    <phoneticPr fontId="22"/>
  </si>
  <si>
    <t>[effect:sp_boost, target:unit_left, val:1, animation:sp_boost_one02],[effect:force_change_block, new_block:crack_bomb, target:block_blue, color:yellow, count:0, val:12, animation:change_block],[effect:enhance_unit, target:unit_yellow, turn:2, status:action, val:1, calc:add, animation:enhance_unit_one_action01]</t>
    <phoneticPr fontId="22"/>
  </si>
  <si>
    <t>1体に特大ダメージ</t>
    <phoneticPr fontId="22"/>
  </si>
  <si>
    <t>[effect:damage, target:enemy_one, color:red, val:2.25, animation:damage_one_red04]</t>
    <phoneticPr fontId="22"/>
  </si>
  <si>
    <t>全装機連動・荷電粒子斬り</t>
    <phoneticPr fontId="22"/>
  </si>
  <si>
    <t>ジャッジメント・デイ</t>
    <phoneticPr fontId="22"/>
  </si>
  <si>
    <t>シンクロ良好、全機突撃っ！</t>
  </si>
  <si>
    <t>給電限界解除を確認っ！</t>
  </si>
  <si>
    <t>破壊対象、ロックっ！</t>
  </si>
  <si>
    <t>1体に特大ダメージ+
10ターン自身の攻撃力を極小UP</t>
    <phoneticPr fontId="22"/>
  </si>
  <si>
    <t>1体に激烈ダメージ+10ターン自身の攻撃力をUP(青・ハートパネルを吸収して効果UP)</t>
    <phoneticPr fontId="22"/>
  </si>
  <si>
    <t>弾道計算完了！放出っ！</t>
    <rPh sb="0" eb="6">
      <t>ダンド</t>
    </rPh>
    <rPh sb="7" eb="9">
      <t>ホウシュt</t>
    </rPh>
    <phoneticPr fontId="22"/>
  </si>
  <si>
    <t>各個撃破！了解ですっ！</t>
    <rPh sb="0" eb="4">
      <t>カッコゲキh</t>
    </rPh>
    <phoneticPr fontId="22"/>
  </si>
  <si>
    <t>[effect:break_enchance_unit, target:myself, val:0.0062, lowest_val:0.175, count :-1, status:attack, turn:10, block01:block_heart, block02:block_blue, calc:mul, animation:enhance_unit_all_attack01],[effect:damage, target:enemy_one, color:yellow, val:15.28, animation:damage_one_yellow06]</t>
    <phoneticPr fontId="22"/>
  </si>
  <si>
    <t>[effect:damage, target:enemy_one, color:yellow, val:1.5, animation:damage_one_yellow04],[effect:enhance_unit, target:myself, turn:10, status:attack, val:0.002, calc:mul, animation:enhance_unit_all_attack01_unit01]</t>
    <phoneticPr fontId="22"/>
  </si>
  <si>
    <t>[effect:heal_fix, val:7500, animation:heal03_unit01],[effect:force_change_block, new_block:crack_bomb, target:block_heart, color:red, count:0, val:12, animation:change_block],[effect:sp_boost, target:unit_left, val:1, animation:sp_boost_one02],[effect:counter_new, target:unit_all, invoke_condition:enemy_all, counter_target:attacker, turn:2, val:3, animation:counter_buff04]</t>
    <phoneticPr fontId="22"/>
  </si>
  <si>
    <t>リアル・サヴェージ・ブレイブ</t>
    <phoneticPr fontId="22"/>
  </si>
  <si>
    <t>B・Fカノン 熔咆</t>
    <phoneticPr fontId="22"/>
  </si>
  <si>
    <t>ビーストサヴァイヴァル</t>
    <phoneticPr fontId="22"/>
  </si>
  <si>
    <t>アンコントローラブル・ユミル</t>
    <phoneticPr fontId="22"/>
  </si>
  <si>
    <t>熔解処理ヲ実行…！</t>
  </si>
  <si>
    <t>もう紳士的には振る舞えぬ！</t>
  </si>
  <si>
    <t>単独デノ破壊二移行…！</t>
  </si>
  <si>
    <t>開けてもらう…その道！</t>
  </si>
  <si>
    <t>私も猛獣なのだよ！</t>
  </si>
  <si>
    <t>立ちはだかるならば！</t>
  </si>
  <si>
    <t>この爪は飾りではない</t>
  </si>
  <si>
    <t>ガアアアアアアッ！！</t>
  </si>
  <si>
    <t>妨害措置ヲ行ウ</t>
  </si>
  <si>
    <t>音撃起動…！</t>
  </si>
  <si>
    <t>[effect:damage, target:enemy_one, color:yellow, val:2.25, animation:damage_one_yellow04]</t>
    <phoneticPr fontId="22"/>
  </si>
  <si>
    <t>ランダムでパネルを最大5個黄ボムパネル(大)に変換+2ターン黄･赤･ハートパネルが確率で黄･赤･ハートボムパネルでドロップ</t>
    <phoneticPr fontId="22"/>
  </si>
  <si>
    <t>[effect:force_change_block, new_block:crack_bomb, target:block_all, ignore01:crash, ignore02:crack_bomb, ignore03:color_break, color:yellow, count:5, val:24, animation:change_block],[effect:drop_block, block_type:crack_bomb, block_color:block_heart, color:block_heart, val:12, rate:0.4, turn:2],[effect:drop_block, block_type:crack_bomb, block_color:block_red, color:block_red, val:12, rate:0.4, turn:2],[effect:drop_block, block_type:crack_bomb, block_color:block_yellow, color:block_yellow, val:12, rate:0.4, turn:2, animation:bomb_influence04]</t>
    <phoneticPr fontId="22"/>
  </si>
  <si>
    <t>[effect:guard_break, target:enemy_all, turn:1, val:1.0, calc:mul, animation:guard_break01],[effect:change_panel_ratio, turn:2, block_type:yellow, val:0.6, animation:block_incidence04],[effect:counter_new, target:unit_all, invoke_condition:enemy_all, counter_target:attacker, turn:2, val:3, animation:counter_buff04]</t>
    <phoneticPr fontId="22"/>
  </si>
  <si>
    <t>1体に大ダメージ
赤属性に効果特大</t>
    <phoneticPr fontId="22"/>
  </si>
  <si>
    <t>[effect:damage_anti_color, target:enemy_one, color:red, val1:3.375, val2:1.2, animation:damage_one_blue04]</t>
    <phoneticPr fontId="22"/>
  </si>
  <si>
    <t>1ターン敵全体の防御力を0にする+2ターン黄パネルの出現率大UPし、特大カウンター</t>
    <phoneticPr fontId="22"/>
  </si>
  <si>
    <t>蒼き幻影の愚躯</t>
    <phoneticPr fontId="22"/>
  </si>
  <si>
    <t>狂冷ジャグリング</t>
    <phoneticPr fontId="22"/>
  </si>
  <si>
    <t>Welcome To My Trick!!</t>
    <phoneticPr fontId="22"/>
  </si>
  <si>
    <t>お疲れ様。終わりだよ</t>
    <phoneticPr fontId="22"/>
  </si>
  <si>
    <t>それで本気かい？</t>
    <phoneticPr fontId="22"/>
  </si>
  <si>
    <t>熱いね。キミ</t>
    <phoneticPr fontId="22"/>
  </si>
  <si>
    <t>1・2・3…ハイ、凍結</t>
    <phoneticPr fontId="22"/>
  </si>
  <si>
    <t>響冥のサンダーストラック</t>
    <phoneticPr fontId="22"/>
  </si>
  <si>
    <t>エンフォースディスチャージ</t>
    <phoneticPr fontId="22"/>
  </si>
  <si>
    <t>影すら残さん…</t>
    <phoneticPr fontId="22"/>
  </si>
  <si>
    <t>執行する、一瞬でな</t>
    <phoneticPr fontId="22"/>
  </si>
  <si>
    <t>少し…楽しくなってきた</t>
    <phoneticPr fontId="22"/>
  </si>
  <si>
    <t>お手合わせ願おうか…</t>
    <phoneticPr fontId="22"/>
  </si>
  <si>
    <t>…決定事項だ</t>
    <phoneticPr fontId="22"/>
  </si>
  <si>
    <t>単体に2回大ダメージ</t>
    <phoneticPr fontId="22"/>
  </si>
  <si>
    <t>[effect:force_change_block, new_block:block_blue, target:block_yellow, count:0, val:0, animation:change_block],[effect:force_change_block, new_block:block_blue, target:block_green, count:0, val:0, animation:change_block],[effect:sp_boost, target:unit_left, val:1, animation:sp_boost_one02],[effect:enhance_unit, target:unit_blue, turn:1, status:attack, val:0.21, calc:mul, animation:enhance_unit_all_attack04_unit01],[effect:counter_new, target:unit_all, invoke_condition:enemy_all, counter_target:attacker, turn:1, val:3, animation:counter_buff04]</t>
    <phoneticPr fontId="22"/>
  </si>
  <si>
    <t>[effect:damage_anti_tribe, target:enemy_all, tribe:unknown, val1:2.625, val2:1.125, animation:damage_all_green04]</t>
    <phoneticPr fontId="22"/>
  </si>
  <si>
    <t>[effect:damage_anti_tribe, target:enemy_all, tribe:samurai, val1:2.625, val2:1.125, animation:damage_all_yellow04]</t>
    <phoneticPr fontId="22"/>
  </si>
  <si>
    <t>[effect:damage, target:enemy_one, color:yellow, val:1.35, animation:damage_one_yellow03],
[effect:damage, target:enemy_one, color:yellow, val:1.35, animation:damage_one_yellow03]</t>
    <phoneticPr fontId="22"/>
  </si>
  <si>
    <t>緑・黄パネルを青パネルに変換+左隣のユニットのスキルターン1短縮+1ターン特大カウンター、青属性の攻撃力を特大UP</t>
    <phoneticPr fontId="22"/>
  </si>
  <si>
    <t>HPを7500回復+ハートパネルを赤ボムパネルに変換+左隣のユニットのスキルターン1短縮+2ターン特大カウンター</t>
    <phoneticPr fontId="22"/>
  </si>
  <si>
    <t>左隣のユニットのスキルターン1短縮+黄・ダメージパネルを緑パネルに変換+2ターン緑属性の攻撃力と回復力を特大UP</t>
    <phoneticPr fontId="22"/>
  </si>
  <si>
    <t>左隣のユニットのスキルターン1短縮+青パネルを黄ボムパネルに変換+2ターン黄属性ユニットのタップ回数を1増加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</si>
</sst>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2"/>
      <color rgb="FFFF0000"/>
      <name val="ＭＳ Ｐゴシック"/>
      <family val="2"/>
      <charset val="128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29" fillId="14" borderId="4" xfId="0" applyFont="1" applyFill="1" applyBorder="1"/>
    <xf numFmtId="0" fontId="13" fillId="29" borderId="0" xfId="0" applyFont="1" applyFill="1" applyAlignment="1">
      <alignment vertical="center"/>
    </xf>
    <xf numFmtId="0" fontId="13" fillId="30" borderId="0" xfId="0" applyFont="1" applyFill="1" applyAlignment="1">
      <alignment vertical="center" wrapText="1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54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1600</v>
          </cell>
          <cell r="B124" t="str">
            <v>ja</v>
          </cell>
          <cell r="C124" t="str">
            <v>攻撃力・回復力UP</v>
          </cell>
          <cell r="D124" t="str">
            <v>自身の攻撃力と回復力をUP</v>
          </cell>
        </row>
        <row r="125">
          <cell r="A125">
            <v>1700</v>
          </cell>
          <cell r="B125" t="str">
            <v>ja</v>
          </cell>
          <cell r="C125" t="str">
            <v>パネルブレイク20 回復</v>
          </cell>
          <cell r="D125" t="str">
            <v>自身が先頭の時、1ターンの間に合計20個以上パネルを破壊した場合ににHPを2000回復</v>
          </cell>
        </row>
        <row r="126">
          <cell r="A126">
            <v>119402</v>
          </cell>
          <cell r="B126" t="str">
            <v>ja</v>
          </cell>
          <cell r="C126" t="str">
            <v>ハロウィンナイトパニック！ 威力UP</v>
          </cell>
          <cell r="D126" t="str">
            <v>ハロウィンナイトパニック！内で自身の全ての攻撃の威力を究極UP</v>
          </cell>
        </row>
        <row r="127">
          <cell r="A127">
            <v>803</v>
          </cell>
          <cell r="B127" t="str">
            <v>ja</v>
          </cell>
          <cell r="C127" t="str">
            <v>パネルブレイク30 防御力UP</v>
          </cell>
          <cell r="D127" t="str">
            <v>自身が先頭の時、1ターンの間に合計30個以上パネルを破壊した場合に防御力UP</v>
          </cell>
        </row>
        <row r="128">
          <cell r="A128">
            <v>804</v>
          </cell>
          <cell r="B128" t="str">
            <v>ja</v>
          </cell>
          <cell r="C128" t="str">
            <v>パネルブレイク30 防御力大UP</v>
          </cell>
          <cell r="D128" t="str">
            <v>自身が先頭の時、1ターンの間に合計30個以上パネルを破壊した場合に防御力大UP</v>
          </cell>
        </row>
        <row r="129">
          <cell r="A129">
            <v>805</v>
          </cell>
          <cell r="B129" t="str">
            <v>ja</v>
          </cell>
          <cell r="C129" t="str">
            <v>パネルブレイク30 防御力特大UP</v>
          </cell>
          <cell r="D129" t="str">
            <v>自身が先頭の時、1ターンの間に合計30個以上パネルを破壊した場合に防御力特大UP</v>
          </cell>
        </row>
        <row r="130">
          <cell r="A130">
            <v>806</v>
          </cell>
          <cell r="B130" t="str">
            <v>ja</v>
          </cell>
          <cell r="C130" t="str">
            <v>ボムブレイク10 防御力UP</v>
          </cell>
          <cell r="D130" t="str">
            <v>自身または味方が1ターンの間に合計10個以上ボムパネルを破壊した場合に防御力UP</v>
          </cell>
        </row>
        <row r="131">
          <cell r="A131">
            <v>807</v>
          </cell>
          <cell r="B131" t="str">
            <v>ja</v>
          </cell>
          <cell r="C131" t="str">
            <v>パネル18 破壊フィーバーゲージ上昇</v>
          </cell>
          <cell r="D131" t="str">
            <v>自身が先頭の時、1ターンの間に合計18個以上パネルを破壊した場合にフィーバーゲージ上昇</v>
          </cell>
        </row>
        <row r="132">
          <cell r="A132">
            <v>808</v>
          </cell>
          <cell r="B132" t="str">
            <v>ja</v>
          </cell>
          <cell r="C132" t="str">
            <v>パネルブレイク40 防御力UP</v>
          </cell>
          <cell r="D132" t="str">
            <v>自身が先頭の時、1ターンの間に合計40個以上パネルを破壊した場合に青属性ユニットの防御力を400UP</v>
          </cell>
        </row>
        <row r="133">
          <cell r="A133">
            <v>809</v>
          </cell>
          <cell r="B133" t="str">
            <v>ja</v>
          </cell>
          <cell r="C133" t="str">
            <v>パネルブレイク40 攻撃力UP</v>
          </cell>
          <cell r="D133" t="str">
            <v>自身が先頭の時、1ターンの間に合計40個以上パネルを破壊した場合に攻撃力UP</v>
          </cell>
        </row>
        <row r="134">
          <cell r="A134">
            <v>810</v>
          </cell>
          <cell r="B134" t="str">
            <v>ja</v>
          </cell>
          <cell r="C134" t="str">
            <v>パネルブレイク40 攻撃力小UP</v>
          </cell>
          <cell r="D134" t="str">
            <v>自身が先頭の時、1ターンの間に合計40個以上パネルを破壊した場合に攻撃力小UP</v>
          </cell>
        </row>
        <row r="135">
          <cell r="A135">
            <v>811</v>
          </cell>
          <cell r="B135" t="str">
            <v>ja</v>
          </cell>
          <cell r="C135" t="str">
            <v>パネルブレイク30 攻撃力小UP</v>
          </cell>
          <cell r="D135" t="str">
            <v>自身が先頭の時、1ターンの間に合計30個以上パネルを破壊した場合に攻撃力小UP</v>
          </cell>
        </row>
        <row r="136">
          <cell r="A136">
            <v>812</v>
          </cell>
          <cell r="B136" t="str">
            <v>ja</v>
          </cell>
          <cell r="C136" t="str">
            <v>パネルブレイク40 HP小回復</v>
          </cell>
          <cell r="D136" t="str">
            <v>自身が先頭の時、1ターンの間に合計40個以上パネルを破壊した場合にターン終了時HP小回復</v>
          </cell>
        </row>
        <row r="137">
          <cell r="A137">
            <v>813</v>
          </cell>
          <cell r="B137" t="str">
            <v>ja</v>
          </cell>
          <cell r="C137" t="str">
            <v>パネルブレイク100 攻撃力UP</v>
          </cell>
          <cell r="D137" t="str">
            <v>自身が先頭の時、1ターンの間に合計100個以上パネルを破壊した場合に攻撃力2140UP</v>
          </cell>
        </row>
        <row r="138">
          <cell r="A138">
            <v>814</v>
          </cell>
          <cell r="B138" t="str">
            <v>ja</v>
          </cell>
          <cell r="C138" t="str">
            <v>パネルブレイク50 タップ回数UP</v>
          </cell>
          <cell r="D138" t="str">
            <v>自身が先頭の時、1ターンの間に合計50個以上パネルを破壊した場合にタップ回数1UP</v>
          </cell>
        </row>
        <row r="139">
          <cell r="A139">
            <v>815</v>
          </cell>
          <cell r="B139" t="str">
            <v>ja</v>
          </cell>
          <cell r="C139" t="str">
            <v>パネルブレイク50 HP回復</v>
          </cell>
          <cell r="D139" t="str">
            <v>自身が先頭の時、1ターンの間に合計50個以上パネルを破壊した場合にターン終了時HP回復</v>
          </cell>
        </row>
        <row r="140">
          <cell r="A140">
            <v>900</v>
          </cell>
          <cell r="B140" t="str">
            <v>ja</v>
          </cell>
          <cell r="C140" t="str">
            <v>チェイン12 攻撃力UP</v>
          </cell>
          <cell r="D140" t="str">
            <v>自身が先頭の時、1タップで12個以上パネルを繋げた場合に攻撃力UP</v>
          </cell>
        </row>
        <row r="141">
          <cell r="A141">
            <v>901</v>
          </cell>
          <cell r="B141" t="str">
            <v>ja</v>
          </cell>
          <cell r="C141" t="str">
            <v>チェイン12 回復力UP</v>
          </cell>
          <cell r="D141" t="str">
            <v>自身が先頭の時、1タップで12個以上パネルを繋げた場合に回復力UP</v>
          </cell>
        </row>
        <row r="142">
          <cell r="A142">
            <v>902</v>
          </cell>
          <cell r="B142" t="str">
            <v>ja</v>
          </cell>
          <cell r="C142" t="str">
            <v>チェイン12 タップ回数UP</v>
          </cell>
          <cell r="D142" t="str">
            <v>自身が先頭の時、1タップで12個以上パネルを繋げた場合にタップ回数を1回増やす</v>
          </cell>
        </row>
        <row r="143">
          <cell r="A143">
            <v>903</v>
          </cell>
          <cell r="B143" t="str">
            <v>ja</v>
          </cell>
          <cell r="C143" t="str">
            <v>チェイン18 スキルゲージUP</v>
          </cell>
          <cell r="D143" t="str">
            <v>自身が先頭の時、1タップで18個以上パネルを繋げた場合に自身のスキルゲージを1増やす(1ターンに1度だけ発動)</v>
          </cell>
        </row>
        <row r="144">
          <cell r="A144">
            <v>904</v>
          </cell>
          <cell r="B144" t="str">
            <v>ja</v>
          </cell>
          <cell r="C144" t="str">
            <v>チェイン17 回復力UP</v>
          </cell>
          <cell r="D144" t="str">
            <v>自身が先頭の時、1タップで17個以上パネルを繋げた場合に自身の回復力を2017UP</v>
          </cell>
        </row>
        <row r="145">
          <cell r="A145">
            <v>905</v>
          </cell>
          <cell r="B145" t="str">
            <v>ja</v>
          </cell>
          <cell r="C145" t="str">
            <v>チェイン12 攻撃力小UP</v>
          </cell>
          <cell r="D145" t="str">
            <v>自身が先頭の時、1タップで12個以上パネルを繋げた場合に攻撃力小UP</v>
          </cell>
        </row>
        <row r="146">
          <cell r="A146">
            <v>906</v>
          </cell>
          <cell r="B146" t="str">
            <v>ja</v>
          </cell>
          <cell r="C146" t="str">
            <v>チェイン14 回復力小UP</v>
          </cell>
          <cell r="D146" t="str">
            <v>自身が先頭の時、1タップで14個以上パネルを繋げた場合に回復力小UP</v>
          </cell>
        </row>
        <row r="147">
          <cell r="A147">
            <v>907</v>
          </cell>
          <cell r="B147" t="str">
            <v>ja</v>
          </cell>
          <cell r="C147" t="str">
            <v>チェイン14 攻撃力UP</v>
          </cell>
          <cell r="D147" t="str">
            <v>自身が先頭の時、1タップで14個以上パネルを繋げた場合に攻撃力UP</v>
          </cell>
        </row>
        <row r="148">
          <cell r="A148">
            <v>908</v>
          </cell>
          <cell r="B148" t="str">
            <v>ja</v>
          </cell>
          <cell r="C148" t="str">
            <v>チェイン16 黄属性防御力UP</v>
          </cell>
          <cell r="D148" t="str">
            <v>自身が先頭の時、1タップで16個以上パネルを繋げた場合に黄属性ユニットの防御力UP</v>
          </cell>
        </row>
        <row r="149">
          <cell r="A149">
            <v>1100</v>
          </cell>
          <cell r="B149" t="str">
            <v>ja</v>
          </cell>
          <cell r="C149" t="str">
            <v>Cパネル生成短縮</v>
          </cell>
          <cell r="D149" t="str">
            <v>自身が先頭の時、Cパネル生成に必要なチェイン数を1短縮する</v>
          </cell>
        </row>
        <row r="150">
          <cell r="A150">
            <v>1101</v>
          </cell>
          <cell r="B150" t="str">
            <v>ja</v>
          </cell>
          <cell r="C150" t="str">
            <v>Cパネル生成短縮(大)</v>
          </cell>
          <cell r="D150" t="str">
            <v>自身が先頭の時、Cパネル生成に必要なチェイン数を2短縮する</v>
          </cell>
        </row>
        <row r="151">
          <cell r="A151">
            <v>1200</v>
          </cell>
          <cell r="B151" t="str">
            <v>ja</v>
          </cell>
          <cell r="C151" t="str">
            <v>フィーバー攻撃UP</v>
          </cell>
          <cell r="D151" t="str">
            <v>自身が先頭の時、フィーバー発動時に緑属性の攻撃力と回復力UP</v>
          </cell>
        </row>
        <row r="152">
          <cell r="A152">
            <v>1300</v>
          </cell>
          <cell r="B152" t="str">
            <v>ja</v>
          </cell>
          <cell r="C152" t="str">
            <v>チェイン12 HP回復</v>
          </cell>
          <cell r="D152" t="str">
            <v>自身が先頭の時、1タップで12個以上パネルを繋げた場合にHPを2000回復(1ターンに1度だけ発動)</v>
          </cell>
        </row>
        <row r="153">
          <cell r="A153">
            <v>1400</v>
          </cell>
          <cell r="B153" t="str">
            <v>ja</v>
          </cell>
          <cell r="C153" t="str">
            <v>カウンター威力UP</v>
          </cell>
          <cell r="D153" t="str">
            <v>4ターン毎に自身のカウンタースキルの威力が1ターンの間UP</v>
          </cell>
        </row>
        <row r="154">
          <cell r="A154">
            <v>1500</v>
          </cell>
          <cell r="B154" t="str">
            <v>ja</v>
          </cell>
          <cell r="C154" t="str">
            <v>バリア15000</v>
          </cell>
          <cell r="D154" t="str">
            <v>戦闘開始時に、自身への直接ダメージを15000まで防ぐバリアを一度だけ展開(バリアは破壊されると復活しない)</v>
          </cell>
        </row>
        <row r="155">
          <cell r="A155">
            <v>1501</v>
          </cell>
          <cell r="B155" t="str">
            <v>ja</v>
          </cell>
          <cell r="C155" t="str">
            <v>バリア</v>
          </cell>
          <cell r="D155" t="str">
            <v>戦闘開始時に、ダメージを25000まで防ぐバリアを一度だけ展開</v>
          </cell>
        </row>
        <row r="156">
          <cell r="A156">
            <v>1502</v>
          </cell>
          <cell r="B156" t="str">
            <v>ja</v>
          </cell>
          <cell r="C156" t="str">
            <v>バリア</v>
          </cell>
          <cell r="D156" t="str">
            <v>戦闘開始時に、ダメージを50000まで防ぐバリアを一度だけ展開</v>
          </cell>
        </row>
        <row r="157">
          <cell r="A157">
            <v>1503</v>
          </cell>
          <cell r="B157" t="str">
            <v>ja</v>
          </cell>
          <cell r="C157" t="str">
            <v>バリア8000</v>
          </cell>
          <cell r="D157" t="str">
            <v>戦闘開始時に、自身への直接ダメージを8000まで防ぐバリアを一度だけ展開(バリアは破壊されると復活しない)</v>
          </cell>
        </row>
        <row r="158">
          <cell r="A158">
            <v>1504</v>
          </cell>
          <cell r="B158" t="str">
            <v>ja</v>
          </cell>
          <cell r="C158" t="str">
            <v>バリア10000</v>
          </cell>
          <cell r="D158" t="str">
            <v>戦闘開始時に、自身への直接ダメージを10000まで防ぐバリアを一度だけ展開(バリアは破壊されると復活しない)</v>
          </cell>
        </row>
        <row r="159">
          <cell r="A159">
            <v>1505</v>
          </cell>
          <cell r="B159" t="str">
            <v>ja</v>
          </cell>
          <cell r="C159" t="str">
            <v>バリア3939</v>
          </cell>
          <cell r="D159" t="str">
            <v>戦闘開始時に、自身への直接ダメージを3939まで防ぐバリアを一度だけ展開(バリアは破壊されると復活しない)</v>
          </cell>
        </row>
        <row r="160">
          <cell r="A160">
            <v>1600</v>
          </cell>
          <cell r="B160" t="str">
            <v>ja</v>
          </cell>
          <cell r="C160" t="str">
            <v>攻撃力・回復力UP</v>
          </cell>
          <cell r="D160" t="str">
            <v>自身の攻撃力と回復力をUP</v>
          </cell>
        </row>
        <row r="161">
          <cell r="A161">
            <v>1700</v>
          </cell>
          <cell r="B161" t="str">
            <v>ja</v>
          </cell>
          <cell r="C161" t="str">
            <v>パネルブレイク30 ターンHP小回復</v>
          </cell>
          <cell r="D161" t="str">
            <v>自身が先頭の時、1ターンの間に合計30個以上パネルを破壊した場合に1ターン HP小回復</v>
          </cell>
        </row>
        <row r="162">
          <cell r="A162">
            <v>1800</v>
          </cell>
          <cell r="B162" t="str">
            <v>ja</v>
          </cell>
          <cell r="C162" t="str">
            <v>フィーバー強化</v>
          </cell>
          <cell r="D162" t="str">
            <v>フィーバー時自身の攻撃力、回復力を特大UP</v>
          </cell>
        </row>
        <row r="163">
          <cell r="A163">
            <v>1900</v>
          </cell>
          <cell r="B163" t="str">
            <v>ja</v>
          </cell>
          <cell r="C163" t="str">
            <v>ハート出現率UP</v>
          </cell>
          <cell r="D163" t="str">
            <v>自身が先頭の時、ハートパネルの出現率UP</v>
          </cell>
        </row>
        <row r="164">
          <cell r="A164">
            <v>2000</v>
          </cell>
          <cell r="B164" t="str">
            <v>ja</v>
          </cell>
          <cell r="C164" t="str">
            <v>赤パネル出現率UP</v>
          </cell>
          <cell r="D164" t="str">
            <v>自身が先頭の時、赤パネルの出現率UP</v>
          </cell>
        </row>
        <row r="165">
          <cell r="A165">
            <v>2100</v>
          </cell>
          <cell r="B165" t="str">
            <v>ja</v>
          </cell>
          <cell r="C165" t="str">
            <v>緑パネル出現率UP</v>
          </cell>
          <cell r="D165" t="str">
            <v>自身が先頭の時、緑パネルの出現率UP</v>
          </cell>
        </row>
        <row r="166">
          <cell r="A166">
            <v>2200</v>
          </cell>
          <cell r="B166" t="str">
            <v>ja</v>
          </cell>
          <cell r="C166" t="str">
            <v>青パネル出現率UP</v>
          </cell>
          <cell r="D166" t="str">
            <v>自身が先頭の時、青パネルの出現率UP</v>
          </cell>
        </row>
        <row r="167">
          <cell r="A167">
            <v>2300</v>
          </cell>
          <cell r="B167" t="str">
            <v>ja</v>
          </cell>
          <cell r="C167" t="str">
            <v>黄パネル出現率UP</v>
          </cell>
          <cell r="D167" t="str">
            <v>自身が先頭の時、黄パネルの出現率UP</v>
          </cell>
        </row>
        <row r="168">
          <cell r="A168">
            <v>2400</v>
          </cell>
          <cell r="B168" t="str">
            <v>ja</v>
          </cell>
          <cell r="C168" t="str">
            <v>ハートボムパネルドロップ</v>
          </cell>
          <cell r="D168" t="str">
            <v>自身が先頭の時、ハートパネルを確率でハートボムパネルに変換しドロップ</v>
          </cell>
        </row>
        <row r="169">
          <cell r="A169">
            <v>2401</v>
          </cell>
          <cell r="B169" t="str">
            <v>ja</v>
          </cell>
          <cell r="C169" t="str">
            <v>赤ボムパネルドロップ</v>
          </cell>
          <cell r="D169" t="str">
            <v>自身が先頭の時、赤パネルを低確率で赤ボムパネルに変換しドロップ</v>
          </cell>
        </row>
        <row r="170">
          <cell r="A170">
            <v>2402</v>
          </cell>
          <cell r="B170" t="str">
            <v>ja</v>
          </cell>
          <cell r="C170" t="str">
            <v>緑ボムパネルドロップ</v>
          </cell>
          <cell r="D170" t="str">
            <v>自身が先頭の時、緑パネルを低確率で緑ボムパネルに変換しドロップ</v>
          </cell>
        </row>
        <row r="171">
          <cell r="A171">
            <v>2403</v>
          </cell>
          <cell r="B171" t="str">
            <v>ja</v>
          </cell>
          <cell r="C171" t="str">
            <v>青ボムパネルドロップ</v>
          </cell>
          <cell r="D171" t="str">
            <v>自身が先頭の時、青パネルを確率で青ボムパネルに変換しドロップ</v>
          </cell>
        </row>
        <row r="172">
          <cell r="A172">
            <v>2500</v>
          </cell>
          <cell r="B172" t="str">
            <v>ja</v>
          </cell>
          <cell r="C172" t="str">
            <v>青パネルドロップ</v>
          </cell>
          <cell r="D172" t="str">
            <v>自身が先頭の時、緑パネルを確率で青パネルに変換しドロップ</v>
          </cell>
        </row>
        <row r="173">
          <cell r="A173">
            <v>2501</v>
          </cell>
          <cell r="B173" t="str">
            <v>ja</v>
          </cell>
          <cell r="C173" t="str">
            <v>黄パネルドロップ</v>
          </cell>
          <cell r="D173" t="str">
            <v>自身が先頭の時、青パネルを確率で黄パネルに変換しドロップ</v>
          </cell>
        </row>
        <row r="174">
          <cell r="A174">
            <v>2502</v>
          </cell>
          <cell r="B174" t="str">
            <v>ja</v>
          </cell>
          <cell r="C174" t="str">
            <v>赤パネルドロップ</v>
          </cell>
          <cell r="D174" t="str">
            <v>自身が先頭の時、黄パネルを確率で赤パネルに変換しドロップ</v>
          </cell>
        </row>
        <row r="175">
          <cell r="A175">
            <v>2503</v>
          </cell>
          <cell r="B175" t="str">
            <v>ja</v>
          </cell>
          <cell r="C175" t="str">
            <v>黄パネルドロップ</v>
          </cell>
          <cell r="D175" t="str">
            <v>自身が先頭の時、赤パネルを確率で黄パネルに変換しドロップ</v>
          </cell>
        </row>
        <row r="176">
          <cell r="A176">
            <v>2504</v>
          </cell>
          <cell r="B176" t="str">
            <v>ja</v>
          </cell>
          <cell r="C176" t="str">
            <v>SCパネルドロップ</v>
          </cell>
          <cell r="D176" t="str">
            <v>自身が先頭の時、緑パネルを確率でSCパネルに変換しドロップ</v>
          </cell>
        </row>
        <row r="177">
          <cell r="A177">
            <v>2505</v>
          </cell>
          <cell r="B177" t="str">
            <v>ja</v>
          </cell>
          <cell r="C177" t="str">
            <v>緑ボムパネル(大)ドロップ</v>
          </cell>
          <cell r="D177" t="str">
            <v>自身が先頭の時、低確率で緑ボムパネル(大)をドロップ</v>
          </cell>
        </row>
        <row r="178">
          <cell r="A178">
            <v>2506</v>
          </cell>
          <cell r="B178" t="str">
            <v>ja</v>
          </cell>
          <cell r="C178" t="str">
            <v>ハートボムパネル(大)ドロップ</v>
          </cell>
          <cell r="D178" t="str">
            <v>自身が先頭の時、低確率でハートボムパネル(大)をドロップ</v>
          </cell>
        </row>
        <row r="179">
          <cell r="A179">
            <v>2507</v>
          </cell>
          <cell r="B179" t="str">
            <v>ja</v>
          </cell>
          <cell r="C179" t="str">
            <v>Cパネルドロップ</v>
          </cell>
          <cell r="D179" t="str">
            <v>自身が先頭の時、低確率でCパネルをドロップ</v>
          </cell>
        </row>
        <row r="180">
          <cell r="A180">
            <v>2600</v>
          </cell>
          <cell r="B180" t="str">
            <v>ja</v>
          </cell>
          <cell r="C180" t="str">
            <v>回復力400UP</v>
          </cell>
          <cell r="D180" t="str">
            <v>自身の回復力を400UP</v>
          </cell>
        </row>
        <row r="181">
          <cell r="A181">
            <v>2601</v>
          </cell>
          <cell r="B181" t="str">
            <v>ja</v>
          </cell>
          <cell r="C181" t="str">
            <v>回復力300UP</v>
          </cell>
          <cell r="D181" t="str">
            <v>自身の回復力を300UP</v>
          </cell>
        </row>
        <row r="182">
          <cell r="A182">
            <v>2700</v>
          </cell>
          <cell r="B182" t="str">
            <v>ja</v>
          </cell>
          <cell r="C182" t="str">
            <v>攻撃力UP</v>
          </cell>
          <cell r="D182" t="str">
            <v>自身の攻撃力を300UP</v>
          </cell>
        </row>
        <row r="183">
          <cell r="A183">
            <v>2701</v>
          </cell>
          <cell r="B183" t="str">
            <v>ja</v>
          </cell>
          <cell r="C183" t="str">
            <v>攻撃力UP</v>
          </cell>
          <cell r="D183" t="str">
            <v>自身の攻撃力を500UP</v>
          </cell>
        </row>
        <row r="184">
          <cell r="A184">
            <v>2800</v>
          </cell>
          <cell r="B184" t="str">
            <v>ja</v>
          </cell>
          <cell r="C184" t="str">
            <v>防御力UP</v>
          </cell>
          <cell r="D184" t="str">
            <v>自身の防御力を250UP</v>
          </cell>
        </row>
        <row r="185">
          <cell r="A185">
            <v>2801</v>
          </cell>
          <cell r="B185" t="str">
            <v>ja</v>
          </cell>
          <cell r="C185" t="str">
            <v>防御力UP</v>
          </cell>
          <cell r="D185" t="str">
            <v>自身の防御力を350UP</v>
          </cell>
        </row>
        <row r="186">
          <cell r="A186">
            <v>2802</v>
          </cell>
          <cell r="B186" t="str">
            <v>ja</v>
          </cell>
          <cell r="C186" t="str">
            <v>防御力UP</v>
          </cell>
          <cell r="D186" t="str">
            <v>自身の防御力を300UP</v>
          </cell>
        </row>
        <row r="187">
          <cell r="A187">
            <v>2803</v>
          </cell>
          <cell r="B187" t="str">
            <v>ja</v>
          </cell>
          <cell r="C187" t="str">
            <v>防御力UP</v>
          </cell>
          <cell r="D187" t="str">
            <v>自身の防御力を400UP</v>
          </cell>
        </row>
        <row r="188">
          <cell r="A188">
            <v>2900</v>
          </cell>
          <cell r="B188" t="str">
            <v>ja</v>
          </cell>
          <cell r="C188" t="str">
            <v>フィーバー50 攻撃力小UP</v>
          </cell>
          <cell r="D188" t="str">
            <v>フィーバーゲージが50％以上の時、自身の攻撃力小UP</v>
          </cell>
        </row>
        <row r="189">
          <cell r="A189">
            <v>2901</v>
          </cell>
          <cell r="B189" t="str">
            <v>ja</v>
          </cell>
          <cell r="C189" t="str">
            <v>フィーバー40 攻撃力UP</v>
          </cell>
          <cell r="D189" t="str">
            <v>フィーバーゲージが40％以上の時、自身の攻撃力UP</v>
          </cell>
        </row>
        <row r="190">
          <cell r="A190">
            <v>9000</v>
          </cell>
          <cell r="B190" t="str">
            <v>ja</v>
          </cell>
          <cell r="C190" t="str">
            <v>ハップルチャレンジ ダメージUP</v>
          </cell>
          <cell r="D190" t="str">
            <v>ハップルチャレンジ内で自身の全ての攻撃の威力をUP</v>
          </cell>
        </row>
        <row r="191">
          <cell r="A191">
            <v>119402</v>
          </cell>
          <cell r="B191" t="str">
            <v>ja</v>
          </cell>
          <cell r="C191" t="str">
            <v>ハロウィンナイトパニック！ 威力UP</v>
          </cell>
          <cell r="D191" t="str">
            <v>ハロウィンナイトパニック！内で自身の全ての攻撃の威力を究極UP</v>
          </cell>
        </row>
        <row r="192">
          <cell r="A192">
            <v>808082</v>
          </cell>
          <cell r="B192" t="str">
            <v>ja</v>
          </cell>
          <cell r="C192" t="str">
            <v>Cパネルドロップ</v>
          </cell>
          <cell r="D192" t="str">
            <v>自身が先頭の時、低確率でCパネルをドロップ</v>
          </cell>
        </row>
        <row r="193">
          <cell r="A193">
            <v>2000</v>
          </cell>
          <cell r="B193" t="str">
            <v>ja</v>
          </cell>
          <cell r="C193" t="str">
            <v>赤パネル出現率UP</v>
          </cell>
          <cell r="D193" t="str">
            <v>自身が先頭の時、赤パネルの出現率UP</v>
          </cell>
        </row>
        <row r="194">
          <cell r="A194">
            <v>2100</v>
          </cell>
          <cell r="B194" t="str">
            <v>ja</v>
          </cell>
          <cell r="C194" t="str">
            <v>緑パネル出現率UP</v>
          </cell>
          <cell r="D194" t="str">
            <v>自身が先頭の時、緑パネルの出現率UP</v>
          </cell>
        </row>
        <row r="195">
          <cell r="A195">
            <v>2101</v>
          </cell>
          <cell r="B195" t="str">
            <v>ja</v>
          </cell>
          <cell r="C195" t="str">
            <v>緑パネル出現率UP</v>
          </cell>
          <cell r="D195" t="str">
            <v>自身が先頭の時、緑パネルの出現率UP</v>
          </cell>
        </row>
        <row r="196">
          <cell r="A196">
            <v>2200</v>
          </cell>
          <cell r="B196" t="str">
            <v>ja</v>
          </cell>
          <cell r="C196" t="str">
            <v>青パネル出現率UP</v>
          </cell>
          <cell r="D196" t="str">
            <v>自身が先頭の時、青パネルの出現率UP</v>
          </cell>
        </row>
        <row r="197">
          <cell r="A197">
            <v>2201</v>
          </cell>
          <cell r="B197" t="str">
            <v>ja</v>
          </cell>
          <cell r="C197" t="str">
            <v>青パネル出現率UP</v>
          </cell>
          <cell r="D197" t="str">
            <v>自身が先頭の時、青パネルの出現率UP</v>
          </cell>
        </row>
        <row r="198">
          <cell r="A198">
            <v>2300</v>
          </cell>
          <cell r="B198" t="str">
            <v>ja</v>
          </cell>
          <cell r="C198" t="str">
            <v>黄パネル出現率UP</v>
          </cell>
          <cell r="D198" t="str">
            <v>自身が先頭の時、黄パネルの出現率UP</v>
          </cell>
        </row>
        <row r="199">
          <cell r="A199">
            <v>2400</v>
          </cell>
          <cell r="B199" t="str">
            <v>ja</v>
          </cell>
          <cell r="C199" t="str">
            <v>ハートボムパネルドロップ</v>
          </cell>
          <cell r="D199" t="str">
            <v>自身が先頭の時、ハートパネルを確率でハートボムパネルに変換しドロップ</v>
          </cell>
        </row>
        <row r="200">
          <cell r="A200">
            <v>2401</v>
          </cell>
          <cell r="B200" t="str">
            <v>ja</v>
          </cell>
          <cell r="C200" t="str">
            <v>赤ボムパネルドロップ</v>
          </cell>
          <cell r="D200" t="str">
            <v>自身が先頭の時、赤パネルを低確率で赤ボムパネルに変換しドロップ</v>
          </cell>
        </row>
        <row r="201">
          <cell r="A201">
            <v>2402</v>
          </cell>
          <cell r="B201" t="str">
            <v>ja</v>
          </cell>
          <cell r="C201" t="str">
            <v>緑ボムパネルドロップ</v>
          </cell>
          <cell r="D201" t="str">
            <v>自身が先頭の時、緑パネルを低確率で緑ボムパネルに変換しドロップ</v>
          </cell>
        </row>
        <row r="202">
          <cell r="A202">
            <v>2403</v>
          </cell>
          <cell r="B202" t="str">
            <v>ja</v>
          </cell>
          <cell r="C202" t="str">
            <v>青ボムパネルドロップ</v>
          </cell>
          <cell r="D202" t="str">
            <v>自身が先頭の時、青パネルを確率で青ボムパネルに変換しドロップ</v>
          </cell>
        </row>
        <row r="203">
          <cell r="A203">
            <v>2500</v>
          </cell>
          <cell r="B203" t="str">
            <v>ja</v>
          </cell>
          <cell r="C203" t="str">
            <v>青パネルドロップ</v>
          </cell>
          <cell r="D203" t="str">
            <v>自身が先頭の時、緑パネルを確率で青パネルに変換しドロップ</v>
          </cell>
        </row>
        <row r="204">
          <cell r="A204">
            <v>2501</v>
          </cell>
          <cell r="B204" t="str">
            <v>ja</v>
          </cell>
          <cell r="C204" t="str">
            <v>黄パネルドロップ</v>
          </cell>
          <cell r="D204" t="str">
            <v>自身が先頭の時、青パネルを確率で黄パネルに変換しドロップ</v>
          </cell>
        </row>
        <row r="205">
          <cell r="A205">
            <v>2502</v>
          </cell>
          <cell r="B205" t="str">
            <v>ja</v>
          </cell>
          <cell r="C205" t="str">
            <v>赤パネルドロップ</v>
          </cell>
          <cell r="D205" t="str">
            <v>自身が先頭の時、黄パネルを確率で赤パネルに変換しドロップ</v>
          </cell>
        </row>
        <row r="206">
          <cell r="A206">
            <v>2503</v>
          </cell>
          <cell r="B206" t="str">
            <v>ja</v>
          </cell>
          <cell r="C206" t="str">
            <v>黄パネルドロップ</v>
          </cell>
          <cell r="D206" t="str">
            <v>自身が先頭の時、赤パネルを確率で黄パネルに変換しドロップ</v>
          </cell>
        </row>
        <row r="207">
          <cell r="A207">
            <v>2504</v>
          </cell>
          <cell r="B207" t="str">
            <v>ja</v>
          </cell>
          <cell r="C207" t="str">
            <v>SCパネルドロップ</v>
          </cell>
          <cell r="D207" t="str">
            <v>自身が先頭の時、緑パネルを確率でSCパネルに変換しドロップ</v>
          </cell>
        </row>
        <row r="208">
          <cell r="A208">
            <v>2505</v>
          </cell>
          <cell r="B208" t="str">
            <v>ja</v>
          </cell>
          <cell r="C208" t="str">
            <v>緑ボムパネル(大)ドロップ</v>
          </cell>
          <cell r="D208" t="str">
            <v>自身が先頭の時、低確率で緑ボムパネル(大)をドロップ</v>
          </cell>
        </row>
        <row r="209">
          <cell r="A209">
            <v>2506</v>
          </cell>
          <cell r="B209" t="str">
            <v>ja</v>
          </cell>
          <cell r="C209" t="str">
            <v>ハートボムパネル(大)ドロップ</v>
          </cell>
          <cell r="D209" t="str">
            <v>自身が先頭の時、低確率でハートボムパネル(大)をドロップ</v>
          </cell>
        </row>
        <row r="210">
          <cell r="A210">
            <v>2507</v>
          </cell>
          <cell r="B210" t="str">
            <v>ja</v>
          </cell>
          <cell r="C210" t="str">
            <v>Cパネルドロップ</v>
          </cell>
          <cell r="D210" t="str">
            <v>自身が先頭の時、低確率でCパネルをドロップ</v>
          </cell>
        </row>
        <row r="211">
          <cell r="A211">
            <v>2508</v>
          </cell>
          <cell r="B211" t="str">
            <v>ja</v>
          </cell>
          <cell r="C211" t="str">
            <v>黄パネルドロップ</v>
          </cell>
          <cell r="D211" t="str">
            <v>自身が先頭の時、緑パネルを確率で黄パネルに変換しドロップ</v>
          </cell>
        </row>
        <row r="212">
          <cell r="A212">
            <v>2509</v>
          </cell>
          <cell r="B212" t="str">
            <v>ja</v>
          </cell>
          <cell r="C212" t="str">
            <v>赤ボムパネル(大)ドロップ</v>
          </cell>
          <cell r="D212" t="str">
            <v>自身が先頭の時、低確率で赤ボムパネル(大)をドロップ</v>
          </cell>
        </row>
        <row r="213">
          <cell r="A213">
            <v>2510</v>
          </cell>
          <cell r="B213" t="str">
            <v>ja</v>
          </cell>
          <cell r="C213" t="str">
            <v>青ボムパネル(大)ドロップ</v>
          </cell>
          <cell r="D213" t="str">
            <v>自身が先頭の時、低確率で青ボムパネル(大)をドロップ</v>
          </cell>
        </row>
        <row r="214">
          <cell r="A214">
            <v>2511</v>
          </cell>
          <cell r="B214" t="str">
            <v>ja</v>
          </cell>
          <cell r="C214" t="str">
            <v>緑ボムパネルドロップ</v>
          </cell>
          <cell r="D214" t="str">
            <v>自身が先頭の時、ハートパネルを確率で緑ボムパネルに変換しドロップ</v>
          </cell>
        </row>
        <row r="215">
          <cell r="A215">
            <v>2512</v>
          </cell>
          <cell r="B215" t="str">
            <v>ja</v>
          </cell>
          <cell r="C215" t="str">
            <v>ハートボムパネル(大)ドロップ</v>
          </cell>
          <cell r="D215" t="str">
            <v>自身が先頭の時、低確率でハートボムパネル(大)をドロップ</v>
          </cell>
        </row>
        <row r="216">
          <cell r="A216">
            <v>2513</v>
          </cell>
          <cell r="B216" t="str">
            <v>ja</v>
          </cell>
          <cell r="C216" t="str">
            <v>緑ボムパネル(大)ドロップ</v>
          </cell>
          <cell r="D216" t="str">
            <v>自身が先頭の時、低確率で緑ボムパネル(大)をドロップ</v>
          </cell>
        </row>
        <row r="217">
          <cell r="A217">
            <v>2600</v>
          </cell>
          <cell r="B217" t="str">
            <v>ja</v>
          </cell>
          <cell r="C217" t="str">
            <v>回復力400UP</v>
          </cell>
          <cell r="D217" t="str">
            <v>自身の回復力を400UP</v>
          </cell>
        </row>
        <row r="218">
          <cell r="A218">
            <v>2601</v>
          </cell>
          <cell r="B218" t="str">
            <v>ja</v>
          </cell>
          <cell r="C218" t="str">
            <v>回復力300UP</v>
          </cell>
          <cell r="D218" t="str">
            <v>自身の回復力を300UP</v>
          </cell>
        </row>
        <row r="219">
          <cell r="A219">
            <v>2700</v>
          </cell>
          <cell r="B219" t="str">
            <v>ja</v>
          </cell>
          <cell r="C219" t="str">
            <v>攻撃力UP</v>
          </cell>
          <cell r="D219" t="str">
            <v>自身の攻撃力を300UP</v>
          </cell>
        </row>
        <row r="220">
          <cell r="A220">
            <v>2701</v>
          </cell>
          <cell r="B220" t="str">
            <v>ja</v>
          </cell>
          <cell r="C220" t="str">
            <v>攻撃力UP</v>
          </cell>
          <cell r="D220" t="str">
            <v>自身の攻撃力を500UP</v>
          </cell>
        </row>
        <row r="221">
          <cell r="A221">
            <v>2800</v>
          </cell>
          <cell r="B221" t="str">
            <v>ja</v>
          </cell>
          <cell r="C221" t="str">
            <v>防御力UP</v>
          </cell>
          <cell r="D221" t="str">
            <v>自身の防御力を250UP</v>
          </cell>
        </row>
        <row r="222">
          <cell r="A222">
            <v>2801</v>
          </cell>
          <cell r="B222" t="str">
            <v>ja</v>
          </cell>
          <cell r="C222" t="str">
            <v>防御力UP</v>
          </cell>
          <cell r="D222" t="str">
            <v>自身の防御力を350UP</v>
          </cell>
        </row>
        <row r="223">
          <cell r="A223">
            <v>2802</v>
          </cell>
          <cell r="B223" t="str">
            <v>ja</v>
          </cell>
          <cell r="C223" t="str">
            <v>防御力UP</v>
          </cell>
          <cell r="D223" t="str">
            <v>自身の防御力を300UP</v>
          </cell>
        </row>
        <row r="224">
          <cell r="A224">
            <v>2803</v>
          </cell>
          <cell r="B224" t="str">
            <v>ja</v>
          </cell>
          <cell r="C224" t="str">
            <v>防御力UP</v>
          </cell>
          <cell r="D224" t="str">
            <v>自身の防御力を400UP</v>
          </cell>
        </row>
        <row r="225">
          <cell r="A225">
            <v>2804</v>
          </cell>
          <cell r="B225" t="str">
            <v>ja</v>
          </cell>
          <cell r="C225" t="str">
            <v>防御力UP</v>
          </cell>
          <cell r="D225" t="str">
            <v>自身の防御力を280UP</v>
          </cell>
        </row>
        <row r="226">
          <cell r="A226">
            <v>2900</v>
          </cell>
          <cell r="B226" t="str">
            <v>ja</v>
          </cell>
          <cell r="C226" t="str">
            <v>フィーバー50 攻撃力小UP</v>
          </cell>
          <cell r="D226" t="str">
            <v>フィーバーゲージが50％以上の時、自身の攻撃力小UP</v>
          </cell>
        </row>
        <row r="227">
          <cell r="A227">
            <v>2901</v>
          </cell>
          <cell r="B227" t="str">
            <v>ja</v>
          </cell>
          <cell r="C227" t="str">
            <v>フィーバー40 攻撃力UP</v>
          </cell>
          <cell r="D227" t="str">
            <v>フィーバーゲージが40％以上の時、自身の攻撃力UP</v>
          </cell>
        </row>
        <row r="228">
          <cell r="A228">
            <v>2902</v>
          </cell>
          <cell r="B228" t="str">
            <v>ja</v>
          </cell>
          <cell r="C228" t="str">
            <v>フィーバー80 攻撃力大UP</v>
          </cell>
          <cell r="D228" t="str">
            <v>フィーバーゲージが80％以上の時、自身の攻撃力大UP</v>
          </cell>
        </row>
        <row r="229">
          <cell r="A229">
            <v>2903</v>
          </cell>
          <cell r="B229" t="str">
            <v>ja</v>
          </cell>
          <cell r="C229" t="str">
            <v>フィーバー100 攻撃参加</v>
          </cell>
          <cell r="D229" t="str">
            <v>フィーバーゲージが100％の時、自身が先頭以外でも通常攻撃に参加する</v>
          </cell>
        </row>
        <row r="230">
          <cell r="A230">
            <v>3000</v>
          </cell>
          <cell r="B230" t="str">
            <v>ja</v>
          </cell>
          <cell r="C230" t="str">
            <v>攻撃参加</v>
          </cell>
          <cell r="D230" t="str">
            <v>最初の1ターン目と、その後7ターン毎に自身が先頭以外でも通常攻撃に参加する</v>
          </cell>
        </row>
        <row r="231">
          <cell r="A231">
            <v>3001</v>
          </cell>
          <cell r="B231" t="str">
            <v>ja</v>
          </cell>
          <cell r="C231" t="str">
            <v>攻撃参加</v>
          </cell>
          <cell r="D231" t="str">
            <v>最初の1ターン目と、その後6ターン毎に自身が先頭以外でも通常攻撃に参加する</v>
          </cell>
        </row>
        <row r="232">
          <cell r="A232">
            <v>3002</v>
          </cell>
          <cell r="B232" t="str">
            <v>ja</v>
          </cell>
          <cell r="C232" t="str">
            <v>攻撃参加</v>
          </cell>
          <cell r="D232" t="str">
            <v>最初の1ターン目と、その後9ターン毎に自身が先頭以外でも通常攻撃に参加する</v>
          </cell>
        </row>
        <row r="233">
          <cell r="A233">
            <v>3100</v>
          </cell>
          <cell r="B233" t="str">
            <v>ja</v>
          </cell>
          <cell r="C233" t="str">
            <v>ボスフロア Cパネル生成短縮(特大)</v>
          </cell>
          <cell r="D233" t="str">
            <v>ボスフロア内で自身が先頭の時、Cパネル生成に必要なチェイン数を短縮する</v>
          </cell>
        </row>
        <row r="234">
          <cell r="A234">
            <v>3101</v>
          </cell>
          <cell r="B234" t="str">
            <v>ja</v>
          </cell>
          <cell r="C234" t="str">
            <v>ボスフロア時 バリア3000</v>
          </cell>
          <cell r="D234" t="str">
            <v>ボスフロア到達時に自身への直接ダメージを3000まで防ぐバリアを一度だけ展開(バリアは破壊されると復活しない)</v>
          </cell>
        </row>
        <row r="235">
          <cell r="A235">
            <v>3102</v>
          </cell>
          <cell r="B235" t="str">
            <v>ja</v>
          </cell>
          <cell r="C235" t="str">
            <v>ボスフロア時 Cスキル威力UP</v>
          </cell>
          <cell r="D235" t="str">
            <v>ボスフロアの1ターン目終了時に自身のCスキルの威力をUP</v>
          </cell>
        </row>
        <row r="236">
          <cell r="A236">
            <v>3103</v>
          </cell>
          <cell r="B236" t="str">
            <v>ja</v>
          </cell>
          <cell r="C236" t="str">
            <v>ボスフロア 攻撃力UP</v>
          </cell>
          <cell r="D236" t="str">
            <v>ボスフロア内で自身の攻撃力を700UP</v>
          </cell>
        </row>
        <row r="237">
          <cell r="A237">
            <v>3200</v>
          </cell>
          <cell r="B237" t="str">
            <v>ja</v>
          </cell>
          <cell r="C237" t="str">
            <v>HP33%以下 攻撃力UP</v>
          </cell>
          <cell r="D237" t="str">
            <v>自身が先頭の時、残りHPが33%以下で攻撃力特大UP</v>
          </cell>
        </row>
        <row r="238">
          <cell r="A238">
            <v>3201</v>
          </cell>
          <cell r="B238" t="str">
            <v>ja</v>
          </cell>
          <cell r="C238" t="str">
            <v>HP35%以下 回復力UP</v>
          </cell>
          <cell r="D238" t="str">
            <v>自身が先頭の時、残りHPが35%以下で回復力40%UP</v>
          </cell>
        </row>
        <row r="239">
          <cell r="A239">
            <v>3202</v>
          </cell>
          <cell r="B239" t="str">
            <v>ja</v>
          </cell>
          <cell r="C239" t="str">
            <v>HP90%以上 全属性耐性15</v>
          </cell>
          <cell r="D239" t="str">
            <v>自身が先頭の時、残りHPが90%以上で全ユニットに対する全属性の敵からの攻撃を15％軽減</v>
          </cell>
        </row>
        <row r="240">
          <cell r="A240">
            <v>3203</v>
          </cell>
          <cell r="B240" t="str">
            <v>ja</v>
          </cell>
          <cell r="C240" t="str">
            <v>HP50%以下 防御力UP</v>
          </cell>
          <cell r="D240" t="str">
            <v>自身が先頭の時、残りHPが50%以下で防御力398UP</v>
          </cell>
        </row>
        <row r="241">
          <cell r="A241">
            <v>3204</v>
          </cell>
          <cell r="B241" t="str">
            <v>ja</v>
          </cell>
          <cell r="C241" t="str">
            <v>HP30%以下 攻撃力大UP</v>
          </cell>
          <cell r="D241" t="str">
            <v>自身が先頭の時、残りHPが30%以下で攻撃力大UP</v>
          </cell>
        </row>
        <row r="242">
          <cell r="A242">
            <v>3205</v>
          </cell>
          <cell r="B242" t="str">
            <v>ja</v>
          </cell>
          <cell r="C242" t="str">
            <v>HP90%以上 ダメージ軽減</v>
          </cell>
          <cell r="D242" t="str">
            <v>残りHPが90%以上の時、全ユニットが敵からの攻撃を15％軽減</v>
          </cell>
        </row>
        <row r="243">
          <cell r="A243">
            <v>4000</v>
          </cell>
          <cell r="B243" t="str">
            <v>ja</v>
          </cell>
          <cell r="C243" t="str">
            <v>被ダメージ時 HP回復</v>
          </cell>
          <cell r="D243" t="str">
            <v>自身が攻撃を受けた場合、次のターンの開始時にHP500回復する</v>
          </cell>
        </row>
        <row r="244">
          <cell r="A244">
            <v>8000</v>
          </cell>
          <cell r="B244" t="str">
            <v>ja</v>
          </cell>
          <cell r="C244" t="str">
            <v>ユニットが一番右にいるとき 攻撃力UP</v>
          </cell>
          <cell r="D244" t="str">
            <v>自身が一番右にいる場合、全ユニットの攻撃力UP</v>
          </cell>
        </row>
        <row r="245">
          <cell r="A245">
            <v>8001</v>
          </cell>
          <cell r="B245" t="str">
            <v>ja</v>
          </cell>
          <cell r="C245" t="str">
            <v>敵に青属性がいる場合 小カウンター</v>
          </cell>
          <cell r="D245" t="str">
            <v>敵に青属性がいる場合、小カウンター</v>
          </cell>
        </row>
        <row r="246">
          <cell r="A246">
            <v>8002</v>
          </cell>
          <cell r="B246" t="str">
            <v>ja</v>
          </cell>
          <cell r="C246" t="str">
            <v>テスト</v>
          </cell>
          <cell r="D246" t="str">
            <v>フロアスタート時、1ターン全ユニットの攻撃力UP</v>
          </cell>
        </row>
        <row r="247">
          <cell r="A247">
            <v>8003</v>
          </cell>
          <cell r="B247" t="str">
            <v>ja</v>
          </cell>
          <cell r="C247" t="str">
            <v>HP70%以上 ウィルス無効</v>
          </cell>
          <cell r="D247" t="str">
            <v>残りHPが70%以上で自身にかかるウィルスを無効化する</v>
          </cell>
        </row>
        <row r="248">
          <cell r="A248">
            <v>9000</v>
          </cell>
          <cell r="B248" t="str">
            <v>ja</v>
          </cell>
          <cell r="C248" t="str">
            <v>ハップルチャレンジ ダメージUP</v>
          </cell>
          <cell r="D248" t="str">
            <v>ハップルチャレンジ内で自身の全ての攻撃の威力をUP</v>
          </cell>
        </row>
        <row r="249">
          <cell r="A249">
            <v>9001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クロネッカーチャレンジ内で自身の全ての攻撃の威力をUP</v>
          </cell>
        </row>
        <row r="250">
          <cell r="A250">
            <v>9002</v>
          </cell>
          <cell r="B250" t="str">
            <v>ja</v>
          </cell>
          <cell r="C250" t="str">
            <v>クロネッカーチャレンジ ダメージUP</v>
          </cell>
          <cell r="D250" t="str">
            <v>クロネッカーチャレンジ内で自身の全ての攻撃+カウンターの威力をUP</v>
          </cell>
        </row>
        <row r="251">
          <cell r="A251">
            <v>9003</v>
          </cell>
          <cell r="B251" t="str">
            <v>ja</v>
          </cell>
          <cell r="C251" t="str">
            <v>オイラーチャレンジ ダメージUP</v>
          </cell>
          <cell r="D251" t="str">
            <v>オイラーチャレンジ内で自身の全ての攻撃の威力をUP</v>
          </cell>
        </row>
        <row r="252">
          <cell r="A252">
            <v>9004</v>
          </cell>
          <cell r="B252" t="str">
            <v>ja</v>
          </cell>
          <cell r="C252" t="str">
            <v>オイラーチャレンジ ダメージ究極UP</v>
          </cell>
          <cell r="D252" t="str">
            <v>オイラーチャレンジ内で自身の全ての攻撃の威力を究極UP</v>
          </cell>
        </row>
        <row r="253">
          <cell r="A253">
            <v>119402</v>
          </cell>
          <cell r="B253" t="str">
            <v>ja</v>
          </cell>
          <cell r="C253" t="str">
            <v>ハロウィンナイトパニック！ 威力UP</v>
          </cell>
          <cell r="D253" t="str">
            <v>ハロウィンナイトパニック！内で自身の全ての攻撃の威力を究極UP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500801</v>
          </cell>
          <cell r="B260" t="str">
            <v>ja</v>
          </cell>
          <cell r="C260" t="str">
            <v>パネルブレイク35 攻撃力小UP</v>
          </cell>
          <cell r="D260" t="str">
            <v>自身が先頭の時、1ターンの間に合計35個以上パネルを破壊した場合に攻撃力小UP</v>
          </cell>
        </row>
        <row r="261">
          <cell r="A261">
            <v>808082</v>
          </cell>
          <cell r="B261" t="str">
            <v>ja</v>
          </cell>
          <cell r="C261" t="str">
            <v>Cパネルドロップ</v>
          </cell>
          <cell r="D261" t="str">
            <v>自身が先頭の時、低確率でCパネルをドロップ</v>
          </cell>
        </row>
        <row r="262">
          <cell r="A262">
            <v>900000</v>
          </cell>
          <cell r="B262" t="str">
            <v>ja</v>
          </cell>
          <cell r="C262" t="str">
            <v>フィーバー100 プロテクトブレイク</v>
          </cell>
          <cell r="D262" t="str">
            <v>フィーバーゲージが100％以上の時、1ターンプロテクトブレイク</v>
          </cell>
        </row>
        <row r="263">
          <cell r="A263">
            <v>900001</v>
          </cell>
          <cell r="B263" t="str">
            <v>ja</v>
          </cell>
          <cell r="C263" t="str">
            <v>フィーバー100 お邪魔ブレイク</v>
          </cell>
          <cell r="D263" t="str">
            <v>フィーバーゲージが100％以上の時、1ターンお邪魔ブレイク</v>
          </cell>
        </row>
        <row r="264">
          <cell r="A264">
            <v>900402</v>
          </cell>
          <cell r="B264" t="str">
            <v>ja</v>
          </cell>
          <cell r="C264" t="str">
            <v>バリア3500</v>
          </cell>
          <cell r="D264" t="str">
            <v>戦闘開始時に、自身への直接ダメージを3500まで防ぐバリアを一度だけ展開(バリアは破壊されると復活しない)</v>
          </cell>
        </row>
        <row r="265">
          <cell r="A265">
            <v>810202</v>
          </cell>
          <cell r="B265" t="str">
            <v>ja</v>
          </cell>
          <cell r="C265" t="str">
            <v>パネルブレイク50 ダメージ軽減</v>
          </cell>
          <cell r="D265" t="str">
            <v>自身が先頭の時、1ターンの間に合計50個以上パネルを破壊した場合敵からのダメージを15%軽減（1ターンに1度だけ発動）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9000</v>
          </cell>
          <cell r="B291" t="str">
            <v>ja</v>
          </cell>
          <cell r="C291" t="str">
            <v>ハップルチャレンジ ダメージUP</v>
          </cell>
          <cell r="D291" t="str">
            <v>ハップルチャレンジ内で自身の全ての攻撃の威力をUP</v>
          </cell>
        </row>
        <row r="292">
          <cell r="A292">
            <v>9001</v>
          </cell>
          <cell r="B292" t="str">
            <v>ja</v>
          </cell>
          <cell r="C292" t="str">
            <v>クロネッカーチャレンジ ダメージUP</v>
          </cell>
          <cell r="D292" t="str">
            <v>クロネッカーチャレンジ内で自身の全ての攻撃の威力をUP</v>
          </cell>
        </row>
        <row r="293">
          <cell r="A293">
            <v>9002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クロネッカーチャレンジ内で自身の全ての攻撃+カウンターの威力をUP</v>
          </cell>
        </row>
        <row r="294">
          <cell r="A294">
            <v>9003</v>
          </cell>
          <cell r="B294" t="str">
            <v>ja</v>
          </cell>
          <cell r="C294" t="str">
            <v>オイラーチャレンジ ダメージUP</v>
          </cell>
          <cell r="D294" t="str">
            <v>オイラーチャレンジ内で自身の全ての攻撃の威力をUP</v>
          </cell>
        </row>
        <row r="295">
          <cell r="A295">
            <v>9004</v>
          </cell>
          <cell r="B295" t="str">
            <v>ja</v>
          </cell>
          <cell r="C295" t="str">
            <v>オイラーチャレンジ ダメージ究極UP</v>
          </cell>
          <cell r="D295" t="str">
            <v>オイラーチャレンジ内で自身の全ての攻撃の威力を究極UP</v>
          </cell>
        </row>
        <row r="296">
          <cell r="A296">
            <v>9005</v>
          </cell>
          <cell r="B296" t="str">
            <v>ja</v>
          </cell>
          <cell r="C296" t="str">
            <v>ヘンペルチャレンジ ダメージUP</v>
          </cell>
          <cell r="D296" t="str">
            <v>ヘンペルチャレンジ内で自身の全ての攻撃の威力をUP</v>
          </cell>
        </row>
        <row r="297">
          <cell r="A297">
            <v>9006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ヘンペルチャレンジ内で自身の全ての攻撃+カウンターの威力をUP</v>
          </cell>
        </row>
        <row r="298">
          <cell r="A298">
            <v>9007</v>
          </cell>
          <cell r="B298" t="str">
            <v>ja</v>
          </cell>
          <cell r="C298" t="str">
            <v>フロイトチャレンジ ダメージ究極UP</v>
          </cell>
          <cell r="D298" t="str">
            <v>フロイトチャレンジ内で自身の全ての攻撃の威力を究極UP</v>
          </cell>
        </row>
        <row r="299">
          <cell r="A299">
            <v>9008</v>
          </cell>
          <cell r="B299" t="str">
            <v>ja</v>
          </cell>
          <cell r="C299" t="str">
            <v>フロイトチャレンジ ダメージUP</v>
          </cell>
          <cell r="D299" t="str">
            <v>フロイトチャレンジ内で自身の全ての攻撃の威力をUP</v>
          </cell>
        </row>
        <row r="300">
          <cell r="A300">
            <v>9009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フロイトチャレンジ内で自身の全ての攻撃+カウンターの威力をUP</v>
          </cell>
        </row>
        <row r="301">
          <cell r="A301">
            <v>9010</v>
          </cell>
          <cell r="B301" t="str">
            <v>ja</v>
          </cell>
          <cell r="C301" t="str">
            <v>ウエディングクエスト ダメージUP</v>
          </cell>
          <cell r="D301" t="str">
            <v>ウエディングクエスト内で自身の全ての攻撃の威力をUP</v>
          </cell>
        </row>
        <row r="302">
          <cell r="A302">
            <v>119402</v>
          </cell>
          <cell r="B302" t="str">
            <v>ja</v>
          </cell>
          <cell r="C302" t="str">
            <v>ハロウィンナイトパニック！ 威力UP</v>
          </cell>
          <cell r="D302" t="str">
            <v>ハロウィンナイトパニック！内で自身の全ての攻撃の威力を究極UP</v>
          </cell>
        </row>
        <row r="303">
          <cell r="A303">
            <v>500801</v>
          </cell>
          <cell r="B303" t="str">
            <v>ja</v>
          </cell>
          <cell r="C303" t="str">
            <v>パネルブレイク35 攻撃力小UP</v>
          </cell>
          <cell r="D303" t="str">
            <v>自身が先頭の時、1ターンの間に合計35個以上パネルを破壊した場合に攻撃力小UP</v>
          </cell>
        </row>
        <row r="304">
          <cell r="A304">
            <v>808082</v>
          </cell>
          <cell r="B304" t="str">
            <v>ja</v>
          </cell>
          <cell r="C304" t="str">
            <v>Cパネルドロップ</v>
          </cell>
          <cell r="D304" t="str">
            <v>自身が先頭の時、低確率でCパネルをドロップ</v>
          </cell>
        </row>
        <row r="305">
          <cell r="A305">
            <v>900000</v>
          </cell>
          <cell r="B305" t="str">
            <v>ja</v>
          </cell>
          <cell r="C305" t="str">
            <v>フィーバー100 プロテクトブレイク</v>
          </cell>
          <cell r="D305" t="str">
            <v>フィーバーゲージが100％以上の時、1ターンプロテクトブレイク</v>
          </cell>
        </row>
        <row r="306">
          <cell r="A306">
            <v>900001</v>
          </cell>
          <cell r="B306" t="str">
            <v>ja</v>
          </cell>
          <cell r="C306" t="str">
            <v>フィーバー100 お邪魔ブレイク</v>
          </cell>
          <cell r="D306" t="str">
            <v>フィーバーゲージが100％以上の時、1ターンお邪魔ブレイク</v>
          </cell>
        </row>
        <row r="307">
          <cell r="A307">
            <v>900402</v>
          </cell>
          <cell r="B307" t="str">
            <v>ja</v>
          </cell>
          <cell r="C307" t="str">
            <v>バリア3500</v>
          </cell>
          <cell r="D307" t="str">
            <v>戦闘開始時に、自身への直接ダメージを3500まで防ぐバリアを一度だけ展開(バリアは破壊されると復活しない)</v>
          </cell>
        </row>
        <row r="308">
          <cell r="A308">
            <v>810202</v>
          </cell>
          <cell r="B308" t="str">
            <v>ja</v>
          </cell>
          <cell r="C308" t="str">
            <v>パネルブレイク50 ダメージ軽減</v>
          </cell>
          <cell r="D308" t="str">
            <v>自身が先頭の時、1ターンの間に合計50個以上パネルを破壊した場合敵からのダメージを15%軽減（1ターンに1度だけ発動）</v>
          </cell>
        </row>
        <row r="309">
          <cell r="A309">
            <v>811802</v>
          </cell>
          <cell r="B309" t="str">
            <v>ja</v>
          </cell>
          <cell r="C309" t="str">
            <v>ターン攻撃力UP</v>
          </cell>
          <cell r="D309" t="str">
            <v>最初の1ターン目と、その後6ターン毎に1ターン種族ドラゴン・ファンタジー・アニマルの攻撃力1000UP</v>
          </cell>
        </row>
        <row r="310">
          <cell r="A310">
            <v>812002</v>
          </cell>
          <cell r="B310" t="str">
            <v>ja</v>
          </cell>
          <cell r="C310" t="str">
            <v>ターンタップ増加</v>
          </cell>
          <cell r="D310" t="str">
            <v>最初の1ターン目と、その後6ターン毎に1ターン種族ドラゴン・ファンタジー・アニマルのタップ数1増加</v>
          </cell>
        </row>
        <row r="311">
          <cell r="A311">
            <v>811803</v>
          </cell>
          <cell r="B311" t="str">
            <v>ja</v>
          </cell>
          <cell r="C311" t="str">
            <v>端午クエスト ダメージUP</v>
          </cell>
          <cell r="D311" t="str">
            <v>端午クエスト内で自身の全ての攻撃の威力をUP</v>
          </cell>
        </row>
        <row r="312">
          <cell r="A312">
            <v>900802</v>
          </cell>
          <cell r="B312" t="str">
            <v>ja</v>
          </cell>
          <cell r="C312" t="str">
            <v>ターン攻撃力UP</v>
          </cell>
          <cell r="D312" t="str">
            <v>最初の1ターン目と、その後7ターン毎に1ターン赤属性の攻撃力777UP</v>
          </cell>
        </row>
        <row r="313">
          <cell r="A313">
            <v>900402</v>
          </cell>
          <cell r="B313" t="str">
            <v>ja</v>
          </cell>
          <cell r="C313" t="str">
            <v>バリア3500</v>
          </cell>
          <cell r="D313" t="str">
            <v>戦闘開始時に、自身への直接ダメージを3500まで防ぐバリアを一度だけ展開(バリアは破壊されると復活しない)</v>
          </cell>
        </row>
        <row r="314">
          <cell r="A314">
            <v>810202</v>
          </cell>
          <cell r="B314" t="str">
            <v>ja</v>
          </cell>
          <cell r="C314" t="str">
            <v>パネルブレイク50 ダメージ軽減</v>
          </cell>
          <cell r="D314" t="str">
            <v>自身が先頭の時、1ターンの間に合計50個以上パネルを破壊した場合敵からのダメージを15%軽減（1ターンに1度だけ発動）</v>
          </cell>
        </row>
        <row r="315">
          <cell r="A315">
            <v>811802</v>
          </cell>
          <cell r="B315" t="str">
            <v>ja</v>
          </cell>
          <cell r="C315" t="str">
            <v>ターン攻撃力UP</v>
          </cell>
          <cell r="D315" t="str">
            <v>最初の1ターン目と、その後6ターン毎に1ターン種族ドラゴン・ファンタジー・アニマルの攻撃力1000UP</v>
          </cell>
        </row>
        <row r="316">
          <cell r="A316">
            <v>812002</v>
          </cell>
          <cell r="B316" t="str">
            <v>ja</v>
          </cell>
          <cell r="C316" t="str">
            <v>ターンタップ増加</v>
          </cell>
          <cell r="D316" t="str">
            <v>最初の1ターン目と、その後6ターン毎に1ターン種族ドラゴン・ファンタジー・アニマルのタップ数1増加</v>
          </cell>
        </row>
        <row r="317">
          <cell r="A317">
            <v>811803</v>
          </cell>
          <cell r="B317" t="str">
            <v>ja</v>
          </cell>
          <cell r="C317" t="str">
            <v>端午クエスト ダメージUP</v>
          </cell>
          <cell r="D317" t="str">
            <v>端午クエスト内で自身の全ての攻撃の威力をUP</v>
          </cell>
        </row>
        <row r="318">
          <cell r="A318">
            <v>900802</v>
          </cell>
          <cell r="B318" t="str">
            <v>ja</v>
          </cell>
          <cell r="C318" t="str">
            <v>ターン攻撃力UP</v>
          </cell>
          <cell r="D318" t="str">
            <v>最初の1ターン目と、その後7ターン毎に1ターン赤属性の攻撃力777UP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19" sqref="C19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334</v>
      </c>
      <c r="B2" s="105" t="s">
        <v>129</v>
      </c>
      <c r="C2" s="162" t="s">
        <v>321</v>
      </c>
      <c r="D2" s="105" t="s">
        <v>128</v>
      </c>
      <c r="E2" s="104" t="str">
        <f>B2&amp;C2&amp;D2</f>
        <v>units_AwekeningR6.tmp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105" t="s">
        <v>358</v>
      </c>
      <c r="S2" s="105"/>
      <c r="T2" s="105"/>
      <c r="U2" s="105"/>
      <c r="V2" s="105"/>
      <c r="W2" s="105"/>
    </row>
    <row r="3" spans="1:29" x14ac:dyDescent="0.15">
      <c r="A3" s="105" t="s">
        <v>334</v>
      </c>
      <c r="B3" s="105" t="s">
        <v>294</v>
      </c>
      <c r="C3" s="162" t="s">
        <v>321</v>
      </c>
      <c r="D3" s="105" t="s">
        <v>128</v>
      </c>
      <c r="E3" s="104" t="str">
        <f>B3&amp;C3&amp;D3</f>
        <v>fork_awake_units_AwekeningR6.tmp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334</v>
      </c>
      <c r="B4" s="105" t="s">
        <v>130</v>
      </c>
      <c r="C4" s="162" t="s">
        <v>321</v>
      </c>
      <c r="D4" s="105" t="s">
        <v>128</v>
      </c>
      <c r="E4" s="104" t="str">
        <f>B4&amp;C4&amp;D4</f>
        <v>awake_materials_AwekeningR6.tmp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334</v>
      </c>
      <c r="B5" s="105" t="s">
        <v>293</v>
      </c>
      <c r="C5" s="162" t="s">
        <v>321</v>
      </c>
      <c r="D5" s="105" t="s">
        <v>128</v>
      </c>
      <c r="E5" s="104" t="str">
        <f>B5&amp;C5&amp;D5</f>
        <v>fork_awake_materials_AwekeningR6.tmp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334</v>
      </c>
      <c r="B6" s="105" t="s">
        <v>131</v>
      </c>
      <c r="C6" s="162" t="s">
        <v>321</v>
      </c>
      <c r="D6" s="105" t="s">
        <v>132</v>
      </c>
      <c r="E6" s="104" t="str">
        <f t="shared" ref="E6" si="0">B6&amp;C6&amp;D6</f>
        <v>unit_levels_calc_AwekeningR6.tmp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334</v>
      </c>
      <c r="B7" s="105" t="s">
        <v>143</v>
      </c>
      <c r="C7" s="162" t="s">
        <v>321</v>
      </c>
      <c r="D7" s="105" t="s">
        <v>144</v>
      </c>
      <c r="E7" s="104" t="str">
        <f>B7&amp;C7&amp;D7</f>
        <v>unit_skills_data_AwekeningR6.tmp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334</v>
      </c>
      <c r="B8" s="105" t="s">
        <v>149</v>
      </c>
      <c r="C8" s="162" t="s">
        <v>321</v>
      </c>
      <c r="D8" s="105" t="s">
        <v>128</v>
      </c>
      <c r="E8" s="104" t="str">
        <f>B8&amp;C8&amp;D8</f>
        <v>unit_skills_i18n_AwekeningR6.tmp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334</v>
      </c>
      <c r="B9" s="105" t="s">
        <v>153</v>
      </c>
      <c r="C9" s="162" t="s">
        <v>321</v>
      </c>
      <c r="D9" s="105" t="s">
        <v>154</v>
      </c>
      <c r="E9" s="104" t="str">
        <f>B9&amp;C9&amp;D9</f>
        <v>crash_skills_data_AwekeningR6.tmp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334</v>
      </c>
      <c r="B10" s="105" t="s">
        <v>157</v>
      </c>
      <c r="C10" s="162" t="s">
        <v>321</v>
      </c>
      <c r="D10" s="105" t="s">
        <v>158</v>
      </c>
      <c r="E10" s="104" t="str">
        <f t="shared" ref="E10" si="1">B10&amp;C10&amp;D10</f>
        <v>crash_skills_i18n_AwekeningR6.tmp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334</v>
      </c>
      <c r="B11" s="108" t="s">
        <v>135</v>
      </c>
      <c r="C11" s="162" t="s">
        <v>321</v>
      </c>
      <c r="D11" s="105" t="s">
        <v>158</v>
      </c>
      <c r="E11" s="104" t="str">
        <f t="shared" ref="E11:E12" si="2">B11&amp;C11&amp;D11</f>
        <v>unit_serifs_data_AwekeningR6.tmp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334</v>
      </c>
      <c r="B12" s="108" t="s">
        <v>136</v>
      </c>
      <c r="C12" s="162" t="s">
        <v>321</v>
      </c>
      <c r="D12" s="105" t="s">
        <v>158</v>
      </c>
      <c r="E12" s="104" t="str">
        <f t="shared" si="2"/>
        <v>unit_serifs_i18n_AwekeningR6.tmp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334</v>
      </c>
      <c r="B13" s="105" t="s">
        <v>253</v>
      </c>
      <c r="C13" s="162" t="s">
        <v>321</v>
      </c>
      <c r="D13" s="105" t="s">
        <v>254</v>
      </c>
      <c r="E13" s="104" t="str">
        <f>B13&amp;C13&amp;D13</f>
        <v>abilities_AwekeningR6.tmp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334</v>
      </c>
      <c r="B14" s="105" t="s">
        <v>259</v>
      </c>
      <c r="C14" s="162" t="s">
        <v>321</v>
      </c>
      <c r="D14" s="105" t="s">
        <v>128</v>
      </c>
      <c r="E14" s="104" t="str">
        <f>B14&amp;C14&amp;D14</f>
        <v>abilities_i18n_AwekeningR6.tmp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334</v>
      </c>
      <c r="B15" s="105" t="s">
        <v>262</v>
      </c>
      <c r="C15" s="162" t="s">
        <v>321</v>
      </c>
      <c r="D15" s="105" t="s">
        <v>128</v>
      </c>
      <c r="E15" s="104" t="str">
        <f>B15&amp;C15&amp;D15</f>
        <v>unit_abilities_AwekeningR6.tmp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0"/>
  <sheetViews>
    <sheetView showGridLines="0" zoomScale="92" workbookViewId="0">
      <pane xSplit="9" ySplit="1" topLeftCell="AV2" activePane="bottomRight" state="frozen"/>
      <selection pane="topRight" activeCell="J1" sqref="J1"/>
      <selection pane="bottomLeft" activeCell="A3" sqref="A3"/>
      <selection pane="bottomRight" activeCell="G14" sqref="G1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70" width="8.83203125" style="11" bestFit="1" customWidth="1"/>
    <col min="71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357</v>
      </c>
    </row>
    <row r="2" spans="1:70" ht="26" customHeight="1" x14ac:dyDescent="0.15">
      <c r="A2" s="186">
        <v>966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麗嵐の颯愛志士 土方歳三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各属性相性良3・黄・R570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50</v>
      </c>
      <c r="O2" s="10">
        <f ca="1">INDEX(レベル!$A$1:$I$22,MATCH(H2,レベル!$A$1:$A$22,FALSE),MATCH(G2,レベル!$A$1:$I$1,FALSE))</f>
        <v>99</v>
      </c>
      <c r="P2" s="44">
        <f t="shared" ref="P2:P3" ca="1" si="0">IF(G2 &gt;= 6, 99,G2*15)</f>
        <v>99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0">
        <f ca="1">VLOOKUP(Q2,[1]character_type_i18n!$A:$H,4,FALSE)</f>
        <v>1</v>
      </c>
      <c r="T2" s="10">
        <f ca="1">VLOOKUP(Q2,[1]character_type_i18n!$A:$H,5,FALSE)</f>
        <v>1.33</v>
      </c>
      <c r="U2" s="10">
        <f ca="1">VLOOKUP(Q2,[1]character_type_i18n!$A:$H,6,FALSE)</f>
        <v>1</v>
      </c>
      <c r="V2" s="10">
        <f ca="1">VLOOKUP(Q2,[1]character_type_i18n!$A:$H,7,FALSE)</f>
        <v>0.67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samurai</v>
      </c>
      <c r="Z2" s="5" t="str">
        <f ca="1">VLOOKUP(Y2,[1]character_tribe_i18n!$A:$H,3,FALSE)</f>
        <v>サムライ</v>
      </c>
      <c r="AA2" s="10">
        <f ca="1">VLOOKUP(W2,[1]character_tribe_i18n!$A:$H,4,FALSE)</f>
        <v>0.94</v>
      </c>
      <c r="AB2" s="10">
        <f ca="1">VLOOKUP(W2,[1]character_tribe_i18n!$A:$H,5,FALSE)</f>
        <v>0.99</v>
      </c>
      <c r="AC2" s="10">
        <f ca="1">VLOOKUP(W2,[1]character_tribe_i18n!$A:$H,6,FALSE)</f>
        <v>1</v>
      </c>
      <c r="AD2" s="10">
        <f ca="1">VLOOKUP(W2,[1]character_tribe_i18n!$A:$H,7,FALSE)</f>
        <v>1.07</v>
      </c>
      <c r="AE2" s="187" t="s">
        <v>322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7">
        <v>322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愛志士 土方歳三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966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鬼神密閃・紅椿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左隣のユニットのスキルターン1短縮+黄・ダメージパネルを緑パネルに変換+2ターン緑属性の攻撃力と回復力を特大UP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966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無形殲影剣・真刃型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全体に特大ダメージ_x000D_種族Unknownに効果超大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1.1000000000000001</v>
      </c>
      <c r="AZ2" s="64">
        <v>1.02</v>
      </c>
      <c r="BA2" s="64">
        <v>0</v>
      </c>
      <c r="BB2" s="64">
        <v>0.86</v>
      </c>
      <c r="BC2" s="10">
        <f ca="1">INDEX('RC6SV'!$A$1:$G$21,MATCH(H2,'RC6SV'!$A$1:$A$21,FALSE),MATCH(G2,'RC6SV'!$A$1:$G$1,FALSE))</f>
        <v>13000</v>
      </c>
      <c r="BD2" s="44">
        <f t="shared" ref="BD2" ca="1" si="2">ROUND(BC2*IF(AJ2=1,0.95,IF(AJ2=2,1,IF(AJ2,1.05,0))),0)</f>
        <v>13000</v>
      </c>
      <c r="BE2" s="10">
        <f t="shared" ref="BE2:BE10" ca="1" si="3">ROUND(IFERROR(INDIRECT(ADDRESS(MATCH($A2,$AE:$AE,0),MATCH($BC$1,$1:$1,0))),0),0)</f>
        <v>0</v>
      </c>
      <c r="BF2" s="10">
        <f t="shared" ref="BF2:BF10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3428</v>
      </c>
      <c r="BH2" s="15">
        <f ca="1">IF($BE2&lt;=0,ROUND(BL2*0.5,0), ROUND($BE2*T2*AB2*K2*AZ2*0.8*[1]ステータス!$C$2,0))</f>
        <v>2567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1002</v>
      </c>
      <c r="BK2" s="10">
        <f ca="1">ROUND(BD2*S2*AA2*J2*AY2*[1]ステータス!$B$2,0)</f>
        <v>6855</v>
      </c>
      <c r="BL2" s="10">
        <f ca="1">ROUND(BD2*T2*AB2*K2*AZ2*[1]ステータス!$C$2,0)</f>
        <v>5133</v>
      </c>
      <c r="BM2" s="10">
        <f ca="1">ROUND(BD2*U2*AC2*L2*BA2*[1]ステータス!$D$2,0)</f>
        <v>0</v>
      </c>
      <c r="BN2" s="10">
        <f ca="1">ROUND(BD2*V2*AD2*M2*BB2*[1]ステータス!$E$2,0)</f>
        <v>2004</v>
      </c>
      <c r="BO2" s="9">
        <v>0</v>
      </c>
      <c r="BP2" s="9">
        <v>1</v>
      </c>
      <c r="BQ2" s="36" t="s">
        <v>47</v>
      </c>
      <c r="BR2" s="9">
        <f ca="1">VLOOKUP(H2,ghosts_label!$A$2:$B$19,2,FALSE)</f>
        <v>5500</v>
      </c>
    </row>
    <row r="3" spans="1:70" ht="26" customHeight="1" x14ac:dyDescent="0.15">
      <c r="A3" s="186">
        <v>967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討滅の凶妖志士 斎藤一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各属性相性良3・黄・R571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50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0">
        <f ca="1">VLOOKUP(Q3,[1]character_type_i18n!$A:$H,4,FALSE)</f>
        <v>0.9</v>
      </c>
      <c r="T3" s="10">
        <f ca="1">VLOOKUP(Q3,[1]character_type_i18n!$A:$H,5,FALSE)</f>
        <v>0.9</v>
      </c>
      <c r="U3" s="10">
        <f ca="1">VLOOKUP(Q3,[1]character_type_i18n!$A:$H,6,FALSE)</f>
        <v>1</v>
      </c>
      <c r="V3" s="10">
        <f ca="1">VLOOKUP(Q3,[1]character_type_i18n!$A:$H,7,FALSE)</f>
        <v>0.9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samurai</v>
      </c>
      <c r="Z3" s="5" t="str">
        <f ca="1">VLOOKUP(Y3,[1]character_tribe_i18n!$A:$H,3,FALSE)</f>
        <v>サムライ</v>
      </c>
      <c r="AA3" s="10">
        <f ca="1">VLOOKUP(W3,[1]character_tribe_i18n!$A:$H,4,FALSE)</f>
        <v>0.94</v>
      </c>
      <c r="AB3" s="10">
        <f ca="1">VLOOKUP(W3,[1]character_tribe_i18n!$A:$H,5,FALSE)</f>
        <v>0.99</v>
      </c>
      <c r="AC3" s="10">
        <f ca="1">VLOOKUP(W3,[1]character_tribe_i18n!$A:$H,6,FALSE)</f>
        <v>1</v>
      </c>
      <c r="AD3" s="10">
        <f ca="1">VLOOKUP(W3,[1]character_tribe_i18n!$A:$H,7,FALSE)</f>
        <v>1.07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326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妖志士 斎藤一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967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終雷の牙突両撃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左隣のユニットのスキルターン1短縮+青パネルを黄ボムパネルに変換+2ターン黄属性ユニットのタップ回数を1増加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967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災演・狂禍刃斗劇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全体に特大ダメージ_x000D_種族サムライに効果超大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1.1599999999999999</v>
      </c>
      <c r="AZ3" s="64">
        <v>1.26</v>
      </c>
      <c r="BA3" s="64">
        <v>0</v>
      </c>
      <c r="BB3" s="64">
        <v>1.05</v>
      </c>
      <c r="BC3" s="10">
        <f ca="1">INDEX('RC6SV'!$A$1:$G$21,MATCH(H3,'RC6SV'!$A$1:$A$21,FALSE),MATCH(G3,'RC6SV'!$A$1:$G$1,FALSE))</f>
        <v>13000</v>
      </c>
      <c r="BD3" s="44">
        <f t="shared" ref="BD3:BD4" ca="1" si="6">ROUND(BC3*IF(AJ3=1,0.95,IF(AJ3=2,1,IF(AJ3,1.05,0))),0)</f>
        <v>13000</v>
      </c>
      <c r="BE3" s="10">
        <f t="shared" ca="1" si="3"/>
        <v>0</v>
      </c>
      <c r="BF3" s="10">
        <f t="shared" ca="1" si="4"/>
        <v>1</v>
      </c>
      <c r="BG3" s="15">
        <f ca="1">IF($BE3&lt;=0,ROUND(BK3*0.5,0), ROUND($BE3*S3*AA3*J3*AY3*0.8*[1]ステータス!$B$2,0))</f>
        <v>3126</v>
      </c>
      <c r="BH3" s="15">
        <f ca="1">IF($BE3&lt;=0,ROUND(BL3*0.5,0), ROUND($BE3*T3*AB3*K3*AZ3*0.8*[1]ステータス!$C$2,0))</f>
        <v>2211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1660</v>
      </c>
      <c r="BK3" s="10">
        <f ca="1">ROUND(BD3*S3*AA3*J3*AY3*[1]ステータス!$B$2,0)</f>
        <v>6251</v>
      </c>
      <c r="BL3" s="10">
        <f ca="1">ROUND(BD3*T3*AB3*K3*AZ3*[1]ステータス!$C$2,0)</f>
        <v>4422</v>
      </c>
      <c r="BM3" s="10">
        <f ca="1">ROUND(BD3*U3*AC3*L3*BA3*[1]ステータス!$D$2,0)</f>
        <v>0</v>
      </c>
      <c r="BN3" s="10">
        <f ca="1">ROUND(BD3*V3*AD3*M3*BB3*[1]ステータス!$E$2,0)</f>
        <v>3319</v>
      </c>
      <c r="BO3" s="9">
        <v>0</v>
      </c>
      <c r="BP3" s="9">
        <v>1</v>
      </c>
      <c r="BQ3" s="9" t="s">
        <v>47</v>
      </c>
      <c r="BR3" s="9">
        <f ca="1">VLOOKUP(H3,ghosts_label!$A$2:$B$19,2,FALSE)</f>
        <v>5500</v>
      </c>
    </row>
    <row r="4" spans="1:70" ht="26" customHeight="1" x14ac:dyDescent="0.15">
      <c r="A4" s="186">
        <v>963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天蛇の閃皇貴魔 アスタロト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各属性相性良3・黄・R567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0">
        <f ca="1">VLOOKUP(I4,[1]属性!$A:$E,2,FALSE)</f>
        <v>0.98</v>
      </c>
      <c r="K4" s="10">
        <f ca="1">VLOOKUP(I4,[1]属性!$A:$E,3,FALSE)</f>
        <v>1.01</v>
      </c>
      <c r="L4" s="10">
        <f ca="1">VLOOKUP(I4,[1]属性!$A:$E,4,FALSE)</f>
        <v>1</v>
      </c>
      <c r="M4" s="10">
        <f ca="1">VLOOKUP(I4,[1]属性!$A:$E,5,FALSE)</f>
        <v>1.01</v>
      </c>
      <c r="N4" s="10">
        <f ca="1">INDEX(コスト!$A$1:$I$21,MATCH(H4,コスト!$A$1:$A$21,FALSE),MATCH(G4,コスト!$A$1:$I$1,FALSE))</f>
        <v>50</v>
      </c>
      <c r="O4" s="10">
        <f ca="1">INDEX(レベル!$A$1:$I$22,MATCH(H4,レベル!$A$1:$A$22,FALSE),MATCH(G4,レベル!$A$1:$I$1,FALSE))</f>
        <v>99</v>
      </c>
      <c r="P4" s="44">
        <f t="shared" ref="P4:P7" ca="1" si="7">IF(G4 &gt;= 6, 99,G4*15)</f>
        <v>99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0">
        <f ca="1">VLOOKUP(Q4,[1]character_type_i18n!$A:$H,4,FALSE)</f>
        <v>1</v>
      </c>
      <c r="T4" s="10">
        <f ca="1">VLOOKUP(Q4,[1]character_type_i18n!$A:$H,5,FALSE)</f>
        <v>1.33</v>
      </c>
      <c r="U4" s="10">
        <f ca="1">VLOOKUP(Q4,[1]character_type_i18n!$A:$H,6,FALSE)</f>
        <v>1</v>
      </c>
      <c r="V4" s="10">
        <f ca="1">VLOOKUP(Q4,[1]character_type_i18n!$A:$H,7,FALSE)</f>
        <v>0.67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0">
        <f ca="1">VLOOKUP(W4,[1]character_tribe_i18n!$A:$H,4,FALSE)</f>
        <v>0.96</v>
      </c>
      <c r="AB4" s="10">
        <f ca="1">VLOOKUP(W4,[1]character_tribe_i18n!$A:$H,5,FALSE)</f>
        <v>1.02</v>
      </c>
      <c r="AC4" s="10">
        <f ca="1">VLOOKUP(W4,[1]character_tribe_i18n!$A:$H,6,FALSE)</f>
        <v>1</v>
      </c>
      <c r="AD4" s="10">
        <f ca="1">VLOOKUP(W4,[1]character_tribe_i18n!$A:$H,7,FALSE)</f>
        <v>1.02</v>
      </c>
      <c r="AE4" s="187" t="s">
        <v>322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87">
        <v>408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皇魔 アスタロト</v>
      </c>
      <c r="AI4" s="10" t="str">
        <f>IF(AE4="NULL","NULL",VLOOKUP(G4,ビット!$A$2:$B$7,2))</f>
        <v>NULL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required_exp_250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963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響冥のサンダーストラック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1ターン敵全体の防御力を0にする+2ターン黄パネルの出現率大UPし、特大カウンター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963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エンフォースディスチャージ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単体に2回大ダメージ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1.1499999999999999</v>
      </c>
      <c r="AZ4" s="64">
        <v>0.9</v>
      </c>
      <c r="BA4" s="64">
        <v>0</v>
      </c>
      <c r="BB4" s="64">
        <v>1.1200000000000001</v>
      </c>
      <c r="BC4" s="10">
        <f ca="1">INDEX('RC6SV'!$A$1:$G$21,MATCH(H4,'RC6SV'!$A$1:$A$21,FALSE),MATCH(G4,'RC6SV'!$A$1:$G$1,FALSE))</f>
        <v>13000</v>
      </c>
      <c r="BD4" s="44">
        <f t="shared" ca="1" si="6"/>
        <v>13000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3516</v>
      </c>
      <c r="BH4" s="15">
        <f ca="1">IF($BE4&lt;=0,ROUND(BL4*0.5,0), ROUND($BE4*T4*AB4*K4*AZ4*0.8*[1]ステータス!$C$2,0))</f>
        <v>2405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1256</v>
      </c>
      <c r="BK4" s="10">
        <f ca="1">ROUND(BD4*S4*AA4*J4*AY4*[1]ステータス!$B$2,0)</f>
        <v>7032</v>
      </c>
      <c r="BL4" s="10">
        <f ca="1">ROUND(BD4*T4*AB4*K4*AZ4*[1]ステータス!$C$2,0)</f>
        <v>4809</v>
      </c>
      <c r="BM4" s="10">
        <f ca="1">ROUND(BD4*U4*AC4*L4*BA4*[1]ステータス!$D$2,0)</f>
        <v>0</v>
      </c>
      <c r="BN4" s="10">
        <f ca="1">ROUND(BD4*V4*AD4*M4*BB4*[1]ステータス!$E$2,0)</f>
        <v>2512</v>
      </c>
      <c r="BO4" s="9">
        <v>0</v>
      </c>
      <c r="BP4" s="9">
        <v>1</v>
      </c>
      <c r="BQ4" s="36" t="s">
        <v>47</v>
      </c>
      <c r="BR4" s="9">
        <f ca="1">VLOOKUP(H4,ghosts_label!$A$2:$B$19,2,FALSE)</f>
        <v>5500</v>
      </c>
    </row>
    <row r="5" spans="1:70" ht="26" customHeight="1" x14ac:dyDescent="0.15">
      <c r="A5" s="186">
        <v>968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夢謀の愚幻者 フール</v>
      </c>
      <c r="C5" s="53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各属性相性良3・黄・R572</v>
      </c>
      <c r="D5" s="53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3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3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0">
        <f ca="1">VLOOKUP(I5,[1]属性!$A:$E,2,FALSE)</f>
        <v>1</v>
      </c>
      <c r="K5" s="10">
        <f ca="1">VLOOKUP(I5,[1]属性!$A:$E,3,FALSE)</f>
        <v>0.98</v>
      </c>
      <c r="L5" s="10">
        <f ca="1">VLOOKUP(I5,[1]属性!$A:$E,4,FALSE)</f>
        <v>1</v>
      </c>
      <c r="M5" s="10">
        <f ca="1">VLOOKUP(I5,[1]属性!$A:$E,5,FALSE)</f>
        <v>1.02</v>
      </c>
      <c r="N5" s="10">
        <f ca="1">INDEX(コスト!$A$1:$I$21,MATCH(H5,コスト!$A$1:$A$21,FALSE),MATCH(G5,コスト!$A$1:$I$1,FALSE))</f>
        <v>50</v>
      </c>
      <c r="O5" s="10">
        <f ca="1">INDEX(レベル!$A$1:$I$22,MATCH(H5,レベル!$A$1:$A$22,FALSE),MATCH(G5,レベル!$A$1:$I$1,FALSE))</f>
        <v>99</v>
      </c>
      <c r="P5" s="44">
        <f t="shared" ca="1" si="7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0">
        <f ca="1">VLOOKUP(Q5,[1]character_type_i18n!$A:$H,4,FALSE)</f>
        <v>0.9</v>
      </c>
      <c r="T5" s="10">
        <f ca="1">VLOOKUP(Q5,[1]character_type_i18n!$A:$H,5,FALSE)</f>
        <v>0.9</v>
      </c>
      <c r="U5" s="10">
        <f ca="1">VLOOKUP(Q5,[1]character_type_i18n!$A:$H,6,FALSE)</f>
        <v>1</v>
      </c>
      <c r="V5" s="10">
        <f ca="1">VLOOKUP(Q5,[1]character_type_i18n!$A:$H,7,FALSE)</f>
        <v>0.9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0">
        <f ca="1">VLOOKUP(W5,[1]character_tribe_i18n!$A:$H,4,FALSE)</f>
        <v>0.96</v>
      </c>
      <c r="AB5" s="10">
        <f ca="1">VLOOKUP(W5,[1]character_tribe_i18n!$A:$H,5,FALSE)</f>
        <v>1.02</v>
      </c>
      <c r="AC5" s="10">
        <f ca="1">VLOOKUP(W5,[1]character_tribe_i18n!$A:$H,6,FALSE)</f>
        <v>1</v>
      </c>
      <c r="AD5" s="10">
        <f ca="1">VLOOKUP(W5,[1]character_tribe_i18n!$A:$H,7,FALSE)</f>
        <v>1.02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479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フール</v>
      </c>
      <c r="AI5" s="10" t="str">
        <f>IF(AE5="NULL","NULL",VLOOKUP(G5,ビット!$A$2:$B$7,2))</f>
        <v>NULL</v>
      </c>
      <c r="AJ5" s="6">
        <v>2</v>
      </c>
      <c r="AK5" s="7" t="str">
        <f t="shared" ref="AK5:AK7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968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蒼き幻影の愚躯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緑・黄パネルを青パネルに変換+左隣のユニットのスキルターン1短縮+1ターン特大カウンター、青属性の攻撃力を特大UP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968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狂冷ジャグリング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1体に大ダメージ_x000D_赤属性に効果特大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1.1000000000000001</v>
      </c>
      <c r="AZ5" s="64">
        <v>1.06</v>
      </c>
      <c r="BA5" s="64">
        <v>0</v>
      </c>
      <c r="BB5" s="64">
        <v>1.24</v>
      </c>
      <c r="BC5" s="10">
        <f ca="1">INDEX('RC6SV'!$A$1:$G$21,MATCH(H5,'RC6SV'!$A$1:$A$21,FALSE),MATCH(G5,'RC6SV'!$A$1:$G$1,FALSE))</f>
        <v>13000</v>
      </c>
      <c r="BD5" s="44">
        <f t="shared" ref="BD5:BD7" ca="1" si="9">ROUND(BC5*IF(AJ5=1,0.95,IF(AJ5=2,1,IF(AJ5,1.05,0))),0)</f>
        <v>13000</v>
      </c>
      <c r="BE5" s="10">
        <f t="shared" ca="1" si="3"/>
        <v>0</v>
      </c>
      <c r="BF5" s="10">
        <f t="shared" ca="1" si="4"/>
        <v>1</v>
      </c>
      <c r="BG5" s="15">
        <f ca="1">IF($BE5&lt;=0,ROUND(BK5*0.5,0), ROUND($BE5*S5*AA5*J5*AY5*0.8*[1]ステータス!$B$2,0))</f>
        <v>3089</v>
      </c>
      <c r="BH5" s="15">
        <f ca="1">IF($BE5&lt;=0,ROUND(BL5*0.5,0), ROUND($BE5*T5*AB5*K5*AZ5*0.8*[1]ステータス!$C$2,0))</f>
        <v>1860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1887</v>
      </c>
      <c r="BK5" s="10">
        <f ca="1">ROUND(BD5*S5*AA5*J5*AY5*[1]ステータス!$B$2,0)</f>
        <v>6178</v>
      </c>
      <c r="BL5" s="10">
        <f ca="1">ROUND(BD5*T5*AB5*K5*AZ5*[1]ステータス!$C$2,0)</f>
        <v>3719</v>
      </c>
      <c r="BM5" s="10">
        <f ca="1">ROUND(BD5*U5*AC5*L5*BA5*[1]ステータス!$D$2,0)</f>
        <v>0</v>
      </c>
      <c r="BN5" s="10">
        <f ca="1">ROUND(BD5*V5*AD5*M5*BB5*[1]ステータス!$E$2,0)</f>
        <v>3774</v>
      </c>
      <c r="BO5" s="9">
        <v>0</v>
      </c>
      <c r="BP5" s="9">
        <v>1</v>
      </c>
      <c r="BQ5" s="9" t="s">
        <v>47</v>
      </c>
      <c r="BR5" s="9">
        <f ca="1">VLOOKUP(H5,ghosts_label!$A$2:$B$19,2,FALSE)</f>
        <v>5500</v>
      </c>
    </row>
    <row r="6" spans="1:70" ht="26" customHeight="1" x14ac:dyDescent="0.15">
      <c r="A6" s="186">
        <v>564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赤ずきん</v>
      </c>
      <c r="C6" s="53" t="str">
        <f ca="1">VLOOKUP($A6,OFFSET([1]characters!$A$1,0,0,COUNTA([1]characters!$A:$A),MATCH(C$1,[1]characters!$1:$1,0)-MATCH($A$1,[1]characters!$1:$1,0)+1),MATCH(C$1,[1]characters!$1:$1,0)-MATCH($A$1,[1]characters!$1:$1,0)+1,FALSE)</f>
        <v>未定</v>
      </c>
      <c r="D6" s="53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3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3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PremiumW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0">
        <f ca="1">VLOOKUP(I6,[1]属性!$A:$E,2,FALSE)</f>
        <v>1</v>
      </c>
      <c r="K6" s="10">
        <f ca="1">VLOOKUP(I6,[1]属性!$A:$E,3,FALSE)</f>
        <v>1.02</v>
      </c>
      <c r="L6" s="10">
        <f ca="1">VLOOKUP(I6,[1]属性!$A:$E,4,FALSE)</f>
        <v>1</v>
      </c>
      <c r="M6" s="10">
        <f ca="1">VLOOKUP(I6,[1]属性!$A:$E,5,FALSE)</f>
        <v>0.98</v>
      </c>
      <c r="N6" s="10">
        <f ca="1">INDEX(コスト!$A$1:$I$21,MATCH(H6,コスト!$A$1:$A$21,FALSE),MATCH(G6,コスト!$A$1:$I$1,FALSE))</f>
        <v>26</v>
      </c>
      <c r="O6" s="10">
        <f ca="1">INDEX(レベル!$A$1:$I$22,MATCH(H6,レベル!$A$1:$A$22,FALSE),MATCH(G6,レベル!$A$1:$I$1,FALSE))</f>
        <v>80</v>
      </c>
      <c r="P6" s="44">
        <f t="shared" ca="1" si="7"/>
        <v>75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0">
        <f ca="1">VLOOKUP(Q6,[1]character_type_i18n!$A:$H,4,FALSE)</f>
        <v>1</v>
      </c>
      <c r="T6" s="10">
        <f ca="1">VLOOKUP(Q6,[1]character_type_i18n!$A:$H,5,FALSE)</f>
        <v>1</v>
      </c>
      <c r="U6" s="10">
        <f ca="1">VLOOKUP(Q6,[1]character_type_i18n!$A:$H,6,FALSE)</f>
        <v>1</v>
      </c>
      <c r="V6" s="10">
        <f ca="1">VLOOKUP(Q6,[1]character_type_i18n!$A:$H,7,FALSE)</f>
        <v>1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0">
        <f ca="1">VLOOKUP(W6,[1]character_tribe_i18n!$A:$H,4,FALSE)</f>
        <v>0.94</v>
      </c>
      <c r="AB6" s="10">
        <f ca="1">VLOOKUP(W6,[1]character_tribe_i18n!$A:$H,5,FALSE)</f>
        <v>0.99</v>
      </c>
      <c r="AC6" s="10">
        <f ca="1">VLOOKUP(W6,[1]character_tribe_i18n!$A:$H,6,FALSE)</f>
        <v>1</v>
      </c>
      <c r="AD6" s="10">
        <f ca="1">VLOOKUP(W6,[1]character_tribe_i18n!$A:$H,7,FALSE)</f>
        <v>1.07</v>
      </c>
      <c r="AE6" s="187" t="s">
        <v>322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187">
        <v>142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赤ずきん</v>
      </c>
      <c r="AI6" s="10" t="str">
        <f>IF(AE6="NULL","NULL",VLOOKUP(G6,ビット!$A$2:$B$7,2))</f>
        <v>NULL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required_exp_200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63">
        <v>564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赤ずきんR5スキル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5ターンの間味方が敵からダメージを受けたとき特大ダメージを与える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3">
        <v>564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赤ずきんR5Cスキル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1体に大ダメージ（アニマルに効果超大）+回復力中UP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1</v>
      </c>
      <c r="AY6" s="64">
        <v>1</v>
      </c>
      <c r="AZ6" s="64">
        <v>1</v>
      </c>
      <c r="BA6" s="64">
        <v>0</v>
      </c>
      <c r="BB6" s="64">
        <v>1</v>
      </c>
      <c r="BC6" s="10">
        <f ca="1">INDEX('RC6SV'!$A$1:$G$21,MATCH(H6,'RC6SV'!$A$1:$A$21,FALSE),MATCH(G6,'RC6SV'!$A$1:$G$1,FALSE))</f>
        <v>9000</v>
      </c>
      <c r="BD6" s="44">
        <f t="shared" ca="1" si="9"/>
        <v>9000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2115</v>
      </c>
      <c r="BH6" s="15">
        <f ca="1">IF($BE6&lt;=0,ROUND(BL6*0.5,0), ROUND($BE6*T6*AB6*K6*AZ6*0.8*[1]ステータス!$C$2,0))</f>
        <v>1363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1180</v>
      </c>
      <c r="BK6" s="10">
        <f ca="1">ROUND(BD6*S6*AA6*J6*AY6*[1]ステータス!$B$2,0)</f>
        <v>4230</v>
      </c>
      <c r="BL6" s="10">
        <f ca="1">ROUND(BD6*T6*AB6*K6*AZ6*[1]ステータス!$C$2,0)</f>
        <v>2726</v>
      </c>
      <c r="BM6" s="10">
        <f ca="1">ROUND(BD6*U6*AC6*L6*BA6*[1]ステータス!$D$2,0)</f>
        <v>0</v>
      </c>
      <c r="BN6" s="10">
        <f ca="1">ROUND(BD6*V6*AD6*M6*BB6*[1]ステータス!$E$2,0)</f>
        <v>2359</v>
      </c>
      <c r="BO6" s="9">
        <v>0</v>
      </c>
      <c r="BP6" s="9">
        <v>1</v>
      </c>
      <c r="BQ6" s="36" t="s">
        <v>47</v>
      </c>
      <c r="BR6" s="9">
        <f ca="1">VLOOKUP(H6,ghosts_label!$A$2:$B$19,2,FALSE)</f>
        <v>500</v>
      </c>
    </row>
    <row r="7" spans="1:70" ht="26" customHeight="1" x14ac:dyDescent="0.15">
      <c r="A7" s="186">
        <v>565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かぐや</v>
      </c>
      <c r="C7" s="53" t="str">
        <f ca="1">VLOOKUP($A7,OFFSET([1]characters!$A$1,0,0,COUNTA([1]characters!$A:$A),MATCH(C$1,[1]characters!$1:$1,0)-MATCH($A$1,[1]characters!$1:$1,0)+1),MATCH(C$1,[1]characters!$1:$1,0)-MATCH($A$1,[1]characters!$1:$1,0)+1,FALSE)</f>
        <v>未定</v>
      </c>
      <c r="D7" s="53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3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3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PremiumW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0">
        <f ca="1">VLOOKUP(I7,[1]属性!$A:$E,2,FALSE)</f>
        <v>1.02</v>
      </c>
      <c r="K7" s="10">
        <f ca="1">VLOOKUP(I7,[1]属性!$A:$E,3,FALSE)</f>
        <v>0.98</v>
      </c>
      <c r="L7" s="10">
        <f ca="1">VLOOKUP(I7,[1]属性!$A:$E,4,FALSE)</f>
        <v>1</v>
      </c>
      <c r="M7" s="10">
        <f ca="1">VLOOKUP(I7,[1]属性!$A:$E,5,FALSE)</f>
        <v>1</v>
      </c>
      <c r="N7" s="10">
        <f ca="1">INDEX(コスト!$A$1:$I$21,MATCH(H7,コスト!$A$1:$A$21,FALSE),MATCH(G7,コスト!$A$1:$I$1,FALSE))</f>
        <v>26</v>
      </c>
      <c r="O7" s="10">
        <f ca="1">INDEX(レベル!$A$1:$I$22,MATCH(H7,レベル!$A$1:$A$22,FALSE),MATCH(G7,レベル!$A$1:$I$1,FALSE))</f>
        <v>80</v>
      </c>
      <c r="P7" s="44">
        <f t="shared" ca="1" si="7"/>
        <v>75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0">
        <f ca="1">VLOOKUP(Q7,[1]character_type_i18n!$A:$H,4,FALSE)</f>
        <v>1.45</v>
      </c>
      <c r="T7" s="10">
        <f ca="1">VLOOKUP(Q7,[1]character_type_i18n!$A:$H,5,FALSE)</f>
        <v>0.85</v>
      </c>
      <c r="U7" s="10">
        <f ca="1">VLOOKUP(Q7,[1]character_type_i18n!$A:$H,6,FALSE)</f>
        <v>1</v>
      </c>
      <c r="V7" s="10">
        <f ca="1">VLOOKUP(Q7,[1]character_type_i18n!$A:$H,7,FALSE)</f>
        <v>0.7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0">
        <f ca="1">VLOOKUP(W7,[1]character_tribe_i18n!$A:$H,4,FALSE)</f>
        <v>0.94</v>
      </c>
      <c r="AB7" s="10">
        <f ca="1">VLOOKUP(W7,[1]character_tribe_i18n!$A:$H,5,FALSE)</f>
        <v>0.99</v>
      </c>
      <c r="AC7" s="10">
        <f ca="1">VLOOKUP(W7,[1]character_tribe_i18n!$A:$H,6,FALSE)</f>
        <v>1</v>
      </c>
      <c r="AD7" s="10">
        <f ca="1">VLOOKUP(W7,[1]character_tribe_i18n!$A:$H,7,FALSE)</f>
        <v>1.07</v>
      </c>
      <c r="AE7" s="187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7">
        <v>144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かぐや</v>
      </c>
      <c r="AI7" s="10" t="str">
        <f>IF(AE7="NULL","NULL",VLOOKUP(G7,ビット!$A$2:$B$7,2))</f>
        <v>NULL</v>
      </c>
      <c r="AJ7" s="6">
        <v>2</v>
      </c>
      <c r="AK7" s="7" t="str">
        <f t="shared" si="8"/>
        <v>普通</v>
      </c>
      <c r="AL7" s="10" t="str">
        <f ca="1">INDEX(経験値!$A$1:$I$21,MATCH(H7,経験値!$A$1:$A$21,FALSE),MATCH(G7,経験値!$A$1:$I$1,FALSE))</f>
        <v>required_exp_200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63">
        <v>565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かぐやR5スキル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1ターンの間全属性の敵から受けるダメージを80%軽減する+3ターンの間全ユニットの攻撃力大UP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3">
        <v>565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かぐやR5Cスキル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全体に特大ダメージ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1</v>
      </c>
      <c r="AY7" s="64">
        <v>1</v>
      </c>
      <c r="AZ7" s="64">
        <v>1</v>
      </c>
      <c r="BA7" s="64">
        <v>0</v>
      </c>
      <c r="BB7" s="64">
        <v>1</v>
      </c>
      <c r="BC7" s="10">
        <f ca="1">INDEX('RC6SV'!$A$1:$G$21,MATCH(H7,'RC6SV'!$A$1:$A$21,FALSE),MATCH(G7,'RC6SV'!$A$1:$G$1,FALSE))</f>
        <v>9000</v>
      </c>
      <c r="BD7" s="44">
        <f t="shared" ca="1" si="9"/>
        <v>9000</v>
      </c>
      <c r="BE7" s="10">
        <f t="shared" ca="1" si="3"/>
        <v>0</v>
      </c>
      <c r="BF7" s="10">
        <f t="shared" ca="1" si="4"/>
        <v>1</v>
      </c>
      <c r="BG7" s="15">
        <f ca="1">IF($BE7&lt;=0,ROUND(BK7*0.5,0), ROUND($BE7*S7*AA7*J7*AY7*0.8*[1]ステータス!$B$2,0))</f>
        <v>3128</v>
      </c>
      <c r="BH7" s="15">
        <f ca="1">IF($BE7&lt;=0,ROUND(BL7*0.5,0), ROUND($BE7*T7*AB7*K7*AZ7*0.8*[1]ステータス!$C$2,0))</f>
        <v>1114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843</v>
      </c>
      <c r="BK7" s="10">
        <f ca="1">ROUND(BD7*S7*AA7*J7*AY7*[1]ステータス!$B$2,0)</f>
        <v>6256</v>
      </c>
      <c r="BL7" s="10">
        <f ca="1">ROUND(BD7*T7*AB7*K7*AZ7*[1]ステータス!$C$2,0)</f>
        <v>2227</v>
      </c>
      <c r="BM7" s="10">
        <f ca="1">ROUND(BD7*U7*AC7*L7*BA7*[1]ステータス!$D$2,0)</f>
        <v>0</v>
      </c>
      <c r="BN7" s="10">
        <f ca="1">ROUND(BD7*V7*AD7*M7*BB7*[1]ステータス!$E$2,0)</f>
        <v>1685</v>
      </c>
      <c r="BO7" s="9">
        <v>0</v>
      </c>
      <c r="BP7" s="9">
        <v>1</v>
      </c>
      <c r="BQ7" s="9" t="s">
        <v>47</v>
      </c>
      <c r="BR7" s="9">
        <f ca="1">VLOOKUP(H7,ghosts_label!$A$2:$B$19,2,FALSE)</f>
        <v>500</v>
      </c>
    </row>
    <row r="8" spans="1:70" ht="26" customHeight="1" x14ac:dyDescent="0.15">
      <c r="A8" s="186">
        <v>971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機獅蛮勇 ブレイブリー・ライオン</v>
      </c>
      <c r="C8" s="53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各属性相性良3・黄・R575</v>
      </c>
      <c r="D8" s="53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3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3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6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0">
        <f ca="1">VLOOKUP(I8,[1]属性!$A:$E,2,FALSE)</f>
        <v>0.98</v>
      </c>
      <c r="K8" s="10">
        <f ca="1">VLOOKUP(I8,[1]属性!$A:$E,3,FALSE)</f>
        <v>1.01</v>
      </c>
      <c r="L8" s="10">
        <f ca="1">VLOOKUP(I8,[1]属性!$A:$E,4,FALSE)</f>
        <v>1</v>
      </c>
      <c r="M8" s="10">
        <f ca="1">VLOOKUP(I8,[1]属性!$A:$E,5,FALSE)</f>
        <v>1.01</v>
      </c>
      <c r="N8" s="10">
        <f ca="1">INDEX(コスト!$A$1:$I$21,MATCH(H8,コスト!$A$1:$A$21,FALSE),MATCH(G8,コスト!$A$1:$I$1,FALSE))</f>
        <v>50</v>
      </c>
      <c r="O8" s="10">
        <f ca="1">INDEX(レベル!$A$1:$I$22,MATCH(H8,レベル!$A$1:$A$22,FALSE),MATCH(G8,レベル!$A$1:$I$1,FALSE))</f>
        <v>99</v>
      </c>
      <c r="P8" s="44">
        <f t="shared" ref="P8" ca="1" si="10">IF(G8 &gt;= 6, 99,G8*15)</f>
        <v>99</v>
      </c>
      <c r="Q8" s="53" t="str">
        <f ca="1">VLOOKUP($A8,OFFSET([1]characters!$A$1,0,0,COUNTA([1]characters!$A:$A),MATCH(Q$1,[1]characters!$1:$1,0)-MATCH($A$1,[1]characters!$1:$1,0)+1),MATCH(Q$1,[1]characters!$1:$1,0)-MATCH($A$1,[1]characters!$1:$1,0)+1,FALSE)</f>
        <v>hp</v>
      </c>
      <c r="R8" s="5" t="str">
        <f ca="1">VLOOKUP(Q8,[1]character_type_i18n!$A:$H,3,FALSE)</f>
        <v>体力タイプ</v>
      </c>
      <c r="S8" s="10">
        <f ca="1">VLOOKUP(Q8,[1]character_type_i18n!$A:$H,4,FALSE)</f>
        <v>1.45</v>
      </c>
      <c r="T8" s="10">
        <f ca="1">VLOOKUP(Q8,[1]character_type_i18n!$A:$H,5,FALSE)</f>
        <v>0.85</v>
      </c>
      <c r="U8" s="10">
        <f ca="1">VLOOKUP(Q8,[1]character_type_i18n!$A:$H,6,FALSE)</f>
        <v>1</v>
      </c>
      <c r="V8" s="10">
        <f ca="1">VLOOKUP(Q8,[1]character_type_i18n!$A:$H,7,FALSE)</f>
        <v>0.7</v>
      </c>
      <c r="W8" s="53" t="str">
        <f ca="1">VLOOKUP($A8,OFFSET([1]characters!$A$1,0,0,COUNTA([1]characters!$A:$A),MATCH(W$1,[1]characters!$1:$1,0)-MATCH($A$1,[1]characters!$1:$1,0)+1),MATCH(W$1,[1]characters!$1:$1,0)-MATCH($A$1,[1]characters!$1:$1,0)+1,FALSE)</f>
        <v>animal</v>
      </c>
      <c r="X8" s="5" t="str">
        <f ca="1">VLOOKUP(W8,[1]character_tribe_i18n!$A:$H,3,FALSE)</f>
        <v>アニマル</v>
      </c>
      <c r="Y8" s="53" t="str">
        <f ca="1">VLOOKUP($A8,OFFSET([1]characters!$A$1,0,0,COUNTA([1]characters!$A:$A),MATCH(Y$1,[1]characters!$1:$1,0)-MATCH($A$1,[1]characters!$1:$1,0)+1),MATCH(Y$1,[1]characters!$1:$1,0)-MATCH($A$1,[1]characters!$1:$1,0)+1,FALSE)</f>
        <v>god</v>
      </c>
      <c r="Z8" s="5" t="str">
        <f ca="1">VLOOKUP(Y8,[1]character_tribe_i18n!$A:$H,3,FALSE)</f>
        <v>ゴッド</v>
      </c>
      <c r="AA8" s="10">
        <f ca="1">VLOOKUP(W8,[1]character_tribe_i18n!$A:$H,4,FALSE)</f>
        <v>1</v>
      </c>
      <c r="AB8" s="10">
        <f ca="1">VLOOKUP(W8,[1]character_tribe_i18n!$A:$H,5,FALSE)</f>
        <v>1.1000000000000001</v>
      </c>
      <c r="AC8" s="10">
        <f ca="1">VLOOKUP(W8,[1]character_tribe_i18n!$A:$H,6,FALSE)</f>
        <v>1</v>
      </c>
      <c r="AD8" s="10">
        <f ca="1">VLOOKUP(W8,[1]character_tribe_i18n!$A:$H,7,FALSE)</f>
        <v>0.9</v>
      </c>
      <c r="AE8" s="187" t="s">
        <v>183</v>
      </c>
      <c r="AF8" s="58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187">
        <v>442</v>
      </c>
      <c r="AH8" s="58" t="str">
        <f ca="1">VLOOKUP($AG8,OFFSET([1]characters!$A$1,0,0,COUNTA([1]characters!$A:$A),MATCH(AH$1,[1]characters!$1:$1,0)-MATCH($A$1,[1]characters!$1:$1,0)+1),MATCH(AH$1,[1]characters!$1:$1,0)-MATCH($A$1,[1]characters!$1:$1,0)+1,FALSE)</f>
        <v>ブレイブリー・ライオン</v>
      </c>
      <c r="AI8" s="10" t="str">
        <f>IF(AE8="NULL","NULL",VLOOKUP(G8,ビット!$A$2:$B$7,2))</f>
        <v>NULL</v>
      </c>
      <c r="AJ8" s="6">
        <v>2</v>
      </c>
      <c r="AK8" s="7" t="str">
        <f t="shared" ref="AK8" si="11">IF(AJ8=1,"早熟",IF(AJ8=2,"普通",IF(AJ8=3,"晩成","")))</f>
        <v>普通</v>
      </c>
      <c r="AL8" s="10" t="str">
        <f ca="1">INDEX(経験値!$A$1:$I$21,MATCH(H8,経験値!$A$1:$A$21,FALSE),MATCH(G8,経験値!$A$1:$I$1,FALSE))</f>
        <v>required_exp_250</v>
      </c>
      <c r="AM8" s="8">
        <f ca="1">VLOOKUP(G8,経験値!$A$28:$B$32,2)</f>
        <v>6400</v>
      </c>
      <c r="AN8" s="16">
        <f ca="1">VLOOKUP(G8,ビット!$G$2:$H$7,2)</f>
        <v>900</v>
      </c>
      <c r="AO8" s="41"/>
      <c r="AP8" s="63">
        <v>971</v>
      </c>
      <c r="AQ8" s="53" t="str">
        <f ca="1">VLOOKUP($AP8,OFFSET(unit_skills!$A$1,0,0,COUNTA(unit_skills!$A:$A),MATCH(AQ$1,unit_skills!$1:$1,0)-MATCH($AP$1,unit_skills!$1:$1,0)+1),MATCH(AQ$1,unit_skills!$1:$1,0)-MATCH($AP$1,unit_skills!$1:$1,0)+1,FALSE)</f>
        <v>リアル・サヴェージ・ブレイブ</v>
      </c>
      <c r="AR8" s="53" t="str">
        <f ca="1">VLOOKUP($AP8,OFFSET(unit_skills!$A$1,0,0,COUNTA(unit_skills!$A:$A),MATCH(AR$1,unit_skills!$1:$1,0)-MATCH($AP$1,unit_skills!$1:$1,0)+1),MATCH(AR$1,unit_skills!$1:$1,0)-MATCH($AP$1,unit_skills!$1:$1,0)+1,FALSE)</f>
        <v>ランダムでパネルを最大5個黄ボムパネル(大)に変換+2ターン黄･赤･ハートパネルが確率で黄･赤･ハートボムパネルでドロップ</v>
      </c>
      <c r="AS8" s="53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63">
        <v>971</v>
      </c>
      <c r="AU8" s="53" t="str">
        <f ca="1">VLOOKUP($AT8,OFFSET(crash_skills!$A$1,0,0,COUNTA(crash_skills!$A:$A),MATCH(AU$1,crash_skills!$1:$1,0)-MATCH($AT$1,crash_skills!$1:$1,0)+1),MATCH(AU$1,crash_skills!$1:$1,0)-MATCH($AT$1,crash_skills!$1:$1,0)+1,FALSE)</f>
        <v>ビーストサヴァイヴァル</v>
      </c>
      <c r="AV8" s="53" t="str">
        <f ca="1">VLOOKUP($AT8,OFFSET(crash_skills!$A$1,0,0,COUNTA(crash_skills!$A:$A),MATCH(AV$1,crash_skills!$1:$1,0)-MATCH($AT$1,crash_skills!$1:$1,0)+1),MATCH(AV$1,crash_skills!$1:$1,0)-MATCH($AT$1,crash_skills!$1:$1,0)+1,FALSE)</f>
        <v>1体に特大ダメージ</v>
      </c>
      <c r="AW8" s="53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4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4">
        <v>0.88600000000000001</v>
      </c>
      <c r="AZ8" s="64">
        <v>1.0900000000000001</v>
      </c>
      <c r="BA8" s="64">
        <v>0</v>
      </c>
      <c r="BB8" s="64">
        <v>1.02</v>
      </c>
      <c r="BC8" s="10">
        <f ca="1">INDEX('RC6SV'!$A$1:$G$21,MATCH(H8,'RC6SV'!$A$1:$A$21,FALSE),MATCH(G8,'RC6SV'!$A$1:$G$1,FALSE))</f>
        <v>13000</v>
      </c>
      <c r="BD8" s="44">
        <f t="shared" ref="BD8" ca="1" si="12">ROUND(BC8*IF(AJ8=1,0.95,IF(AJ8=2,1,IF(AJ8,1.05,0))),0)</f>
        <v>13000</v>
      </c>
      <c r="BE8" s="10">
        <f t="shared" ca="1" si="3"/>
        <v>0</v>
      </c>
      <c r="BF8" s="10">
        <f t="shared" ca="1" si="4"/>
        <v>1</v>
      </c>
      <c r="BG8" s="15">
        <f ca="1">IF($BE8&lt;=0,ROUND(BK8*0.5,0), ROUND($BE8*S8*AA8*J8*AY8*0.8*[1]ステータス!$B$2,0))</f>
        <v>4092</v>
      </c>
      <c r="BH8" s="15">
        <f ca="1">IF($BE8&lt;=0,ROUND(BL8*0.5,0), ROUND($BE8*T8*AB8*K8*AZ8*0.8*[1]ステータス!$C$2,0))</f>
        <v>2007</v>
      </c>
      <c r="BI8" s="15">
        <f ca="1">IF($BE8&lt;=0,ROUND(BM8*0.5,0), ROUND($BE8*U8*AC8*L8*BA8*0.8*[1]ステータス!$D$2,0))</f>
        <v>0</v>
      </c>
      <c r="BJ8" s="15">
        <f ca="1">IF($BE8&lt;=0,ROUND(BN8*0.5,0), ROUND($BE8*V8*AD8*M8*BB8*0.8*[1]ステータス!$E$2,0))</f>
        <v>1055</v>
      </c>
      <c r="BK8" s="10">
        <f ca="1">ROUND(BD8*S8*AA8*J8*AY8*[1]ステータス!$B$2,0)</f>
        <v>8184</v>
      </c>
      <c r="BL8" s="10">
        <f ca="1">ROUND(BD8*T8*AB8*K8*AZ8*[1]ステータス!$C$2,0)</f>
        <v>4014</v>
      </c>
      <c r="BM8" s="10">
        <f ca="1">ROUND(BD8*U8*AC8*L8*BA8*[1]ステータス!$D$2,0)</f>
        <v>0</v>
      </c>
      <c r="BN8" s="10">
        <f ca="1">ROUND(BD8*V8*AD8*M8*BB8*[1]ステータス!$E$2,0)</f>
        <v>2109</v>
      </c>
      <c r="BO8" s="9">
        <v>0</v>
      </c>
      <c r="BP8" s="9">
        <v>1</v>
      </c>
      <c r="BQ8" s="9" t="s">
        <v>47</v>
      </c>
      <c r="BR8" s="9">
        <f ca="1">VLOOKUP(H8,ghosts_label!$A$2:$B$19,2,FALSE)</f>
        <v>5500</v>
      </c>
    </row>
    <row r="9" spans="1:70" ht="26" customHeight="1" x14ac:dyDescent="0.15">
      <c r="A9" s="186">
        <v>969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超排撃の焔砲巨神 ユミル</v>
      </c>
      <c r="C9" s="53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各属性相性良3・黄・R573</v>
      </c>
      <c r="D9" s="53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3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3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0">
        <f ca="1">VLOOKUP(I9,[1]属性!$A:$E,2,FALSE)</f>
        <v>1</v>
      </c>
      <c r="K9" s="10">
        <f ca="1">VLOOKUP(I9,[1]属性!$A:$E,3,FALSE)</f>
        <v>1.02</v>
      </c>
      <c r="L9" s="10">
        <f ca="1">VLOOKUP(I9,[1]属性!$A:$E,4,FALSE)</f>
        <v>1</v>
      </c>
      <c r="M9" s="10">
        <f ca="1">VLOOKUP(I9,[1]属性!$A:$E,5,FALSE)</f>
        <v>0.98</v>
      </c>
      <c r="N9" s="10">
        <f ca="1">INDEX(コスト!$A$1:$I$21,MATCH(H9,コスト!$A$1:$A$21,FALSE),MATCH(G9,コスト!$A$1:$I$1,FALSE))</f>
        <v>50</v>
      </c>
      <c r="O9" s="10">
        <f ca="1">INDEX(レベル!$A$1:$I$22,MATCH(H9,レベル!$A$1:$A$22,FALSE),MATCH(G9,レベル!$A$1:$I$1,FALSE))</f>
        <v>99</v>
      </c>
      <c r="P9" s="44">
        <f t="shared" ref="P9" ca="1" si="13">IF(G9 &gt;= 6, 99,G9*15)</f>
        <v>99</v>
      </c>
      <c r="Q9" s="53" t="str">
        <f ca="1">VLOOKUP($A9,OFFSET([1]characters!$A$1,0,0,COUNTA([1]characters!$A:$A),MATCH(Q$1,[1]characters!$1:$1,0)-MATCH($A$1,[1]characters!$1:$1,0)+1),MATCH(Q$1,[1]characters!$1:$1,0)-MATCH($A$1,[1]characters!$1:$1,0)+1,FALSE)</f>
        <v>hp</v>
      </c>
      <c r="R9" s="5" t="str">
        <f ca="1">VLOOKUP(Q9,[1]character_type_i18n!$A:$H,3,FALSE)</f>
        <v>体力タイプ</v>
      </c>
      <c r="S9" s="10">
        <f ca="1">VLOOKUP(Q9,[1]character_type_i18n!$A:$H,4,FALSE)</f>
        <v>1.45</v>
      </c>
      <c r="T9" s="10">
        <f ca="1">VLOOKUP(Q9,[1]character_type_i18n!$A:$H,5,FALSE)</f>
        <v>0.85</v>
      </c>
      <c r="U9" s="10">
        <f ca="1">VLOOKUP(Q9,[1]character_type_i18n!$A:$H,6,FALSE)</f>
        <v>1</v>
      </c>
      <c r="V9" s="10">
        <f ca="1">VLOOKUP(Q9,[1]character_type_i18n!$A:$H,7,FALSE)</f>
        <v>0.7</v>
      </c>
      <c r="W9" s="53" t="str">
        <f ca="1">VLOOKUP($A9,OFFSET([1]characters!$A$1,0,0,COUNTA([1]characters!$A:$A),MATCH(W$1,[1]characters!$1:$1,0)-MATCH($A$1,[1]characters!$1:$1,0)+1),MATCH(W$1,[1]characters!$1:$1,0)-MATCH($A$1,[1]characters!$1:$1,0)+1,FALSE)</f>
        <v>machine</v>
      </c>
      <c r="X9" s="5" t="str">
        <f ca="1">VLOOKUP(W9,[1]character_tribe_i18n!$A:$H,3,FALSE)</f>
        <v>マシン</v>
      </c>
      <c r="Y9" s="53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0">
        <f ca="1">VLOOKUP(W9,[1]character_tribe_i18n!$A:$H,4,FALSE)</f>
        <v>1</v>
      </c>
      <c r="AB9" s="10">
        <f ca="1">VLOOKUP(W9,[1]character_tribe_i18n!$A:$H,5,FALSE)</f>
        <v>1</v>
      </c>
      <c r="AC9" s="10">
        <f ca="1">VLOOKUP(W9,[1]character_tribe_i18n!$A:$H,6,FALSE)</f>
        <v>1</v>
      </c>
      <c r="AD9" s="10">
        <f ca="1">VLOOKUP(W9,[1]character_tribe_i18n!$A:$H,7,FALSE)</f>
        <v>1</v>
      </c>
      <c r="AE9" s="187" t="s">
        <v>183</v>
      </c>
      <c r="AF9" s="58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187">
        <v>586</v>
      </c>
      <c r="AH9" s="58" t="str">
        <f ca="1">VLOOKUP($AG9,OFFSET([1]characters!$A$1,0,0,COUNTA([1]characters!$A:$A),MATCH(AH$1,[1]characters!$1:$1,0)-MATCH($A$1,[1]characters!$1:$1,0)+1),MATCH(AH$1,[1]characters!$1:$1,0)-MATCH($A$1,[1]characters!$1:$1,0)+1,FALSE)</f>
        <v>ユミル</v>
      </c>
      <c r="AI9" s="10" t="str">
        <f>IF(AE9="NULL","NULL",VLOOKUP(G9,ビット!$A$2:$B$7,2))</f>
        <v>NULL</v>
      </c>
      <c r="AJ9" s="6">
        <v>2</v>
      </c>
      <c r="AK9" s="7" t="str">
        <f t="shared" ref="AK9" si="14">IF(AJ9=1,"早熟",IF(AJ9=2,"普通",IF(AJ9=3,"晩成","")))</f>
        <v>普通</v>
      </c>
      <c r="AL9" s="10" t="str">
        <f ca="1">INDEX(経験値!$A$1:$I$21,MATCH(H9,経験値!$A$1:$A$21,FALSE),MATCH(G9,経験値!$A$1:$I$1,FALSE))</f>
        <v>required_exp_250</v>
      </c>
      <c r="AM9" s="8">
        <f ca="1">VLOOKUP(G9,経験値!$A$28:$B$32,2)</f>
        <v>6400</v>
      </c>
      <c r="AN9" s="16">
        <f ca="1">VLOOKUP(G9,ビット!$G$2:$H$7,2)</f>
        <v>900</v>
      </c>
      <c r="AO9" s="41"/>
      <c r="AP9" s="63">
        <v>969</v>
      </c>
      <c r="AQ9" s="53" t="str">
        <f ca="1">VLOOKUP($AP9,OFFSET(unit_skills!$A$1,0,0,COUNTA(unit_skills!$A:$A),MATCH(AQ$1,unit_skills!$1:$1,0)-MATCH($AP$1,unit_skills!$1:$1,0)+1),MATCH(AQ$1,unit_skills!$1:$1,0)-MATCH($AP$1,unit_skills!$1:$1,0)+1,FALSE)</f>
        <v>B・Fカノン 熔咆</v>
      </c>
      <c r="AR9" s="53" t="str">
        <f ca="1">VLOOKUP($AP9,OFFSET(unit_skills!$A$1,0,0,COUNTA(unit_skills!$A:$A),MATCH(AR$1,unit_skills!$1:$1,0)-MATCH($AP$1,unit_skills!$1:$1,0)+1),MATCH(AR$1,unit_skills!$1:$1,0)-MATCH($AP$1,unit_skills!$1:$1,0)+1,FALSE)</f>
        <v>HPを7500回復+ハートパネルを赤ボムパネルに変換+左隣のユニットのスキルターン1短縮+2ターン特大カウンター</v>
      </c>
      <c r="AS9" s="53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63">
        <v>969</v>
      </c>
      <c r="AU9" s="53" t="str">
        <f ca="1">VLOOKUP($AT9,OFFSET(crash_skills!$A$1,0,0,COUNTA(crash_skills!$A:$A),MATCH(AU$1,crash_skills!$1:$1,0)-MATCH($AT$1,crash_skills!$1:$1,0)+1),MATCH(AU$1,crash_skills!$1:$1,0)-MATCH($AT$1,crash_skills!$1:$1,0)+1,FALSE)</f>
        <v>アンコントローラブル・ユミル</v>
      </c>
      <c r="AV9" s="53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</v>
      </c>
      <c r="AW9" s="53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4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4">
        <v>0.93200000000000005</v>
      </c>
      <c r="AZ9" s="64">
        <v>1.1539999999999999</v>
      </c>
      <c r="BA9" s="64">
        <v>0</v>
      </c>
      <c r="BB9" s="64">
        <v>0.94199999999999995</v>
      </c>
      <c r="BC9" s="10">
        <f ca="1">INDEX('RC6SV'!$A$1:$G$21,MATCH(H9,'RC6SV'!$A$1:$A$21,FALSE),MATCH(G9,'RC6SV'!$A$1:$G$1,FALSE))</f>
        <v>13000</v>
      </c>
      <c r="BD9" s="44">
        <f t="shared" ref="BD9" ca="1" si="15">ROUND(BC9*IF(AJ9=1,0.95,IF(AJ9=2,1,IF(AJ9,1.05,0))),0)</f>
        <v>13000</v>
      </c>
      <c r="BE9" s="10">
        <f t="shared" ca="1" si="3"/>
        <v>0</v>
      </c>
      <c r="BF9" s="10">
        <f t="shared" ca="1" si="4"/>
        <v>1</v>
      </c>
      <c r="BG9" s="15">
        <f ca="1">IF($BE9&lt;=0,ROUND(BK9*0.5,0), ROUND($BE9*S9*AA9*J9*AY9*0.8*[1]ステータス!$B$2,0))</f>
        <v>4392</v>
      </c>
      <c r="BH9" s="15">
        <f ca="1">IF($BE9&lt;=0,ROUND(BL9*0.5,0), ROUND($BE9*T9*AB9*K9*AZ9*0.8*[1]ステータス!$C$2,0))</f>
        <v>1951</v>
      </c>
      <c r="BI9" s="15">
        <f ca="1">IF($BE9&lt;=0,ROUND(BM9*0.5,0), ROUND($BE9*U9*AC9*L9*BA9*0.8*[1]ステータス!$D$2,0))</f>
        <v>0</v>
      </c>
      <c r="BJ9" s="15">
        <f ca="1">IF($BE9&lt;=0,ROUND(BN9*0.5,0), ROUND($BE9*V9*AD9*M9*BB9*0.8*[1]ステータス!$E$2,0))</f>
        <v>1050</v>
      </c>
      <c r="BK9" s="10">
        <f ca="1">ROUND(BD9*S9*AA9*J9*AY9*[1]ステータス!$B$2,0)</f>
        <v>8784</v>
      </c>
      <c r="BL9" s="10">
        <f ca="1">ROUND(BD9*T9*AB9*K9*AZ9*[1]ステータス!$C$2,0)</f>
        <v>3902</v>
      </c>
      <c r="BM9" s="10">
        <f ca="1">ROUND(BD9*U9*AC9*L9*BA9*[1]ステータス!$D$2,0)</f>
        <v>0</v>
      </c>
      <c r="BN9" s="10">
        <f ca="1">ROUND(BD9*V9*AD9*M9*BB9*[1]ステータス!$E$2,0)</f>
        <v>2100</v>
      </c>
      <c r="BO9" s="9">
        <v>0</v>
      </c>
      <c r="BP9" s="9">
        <v>1</v>
      </c>
      <c r="BQ9" s="9" t="s">
        <v>47</v>
      </c>
      <c r="BR9" s="9">
        <f ca="1">VLOOKUP(H9,ghosts_label!$A$2:$B$19,2,FALSE)</f>
        <v>5500</v>
      </c>
    </row>
    <row r="10" spans="1:70" ht="26" customHeight="1" x14ac:dyDescent="0.15">
      <c r="A10" s="186">
        <v>782</v>
      </c>
      <c r="B10" s="53" t="str">
        <f ca="1">VLOOKUP($A10,OFFSET([1]characters!$A$1,0,0,COUNTA([1]characters!$A:$A),MATCH(B$1,[1]characters!$1:$1,0)-MATCH($A$1,[1]characters!$1:$1,0)+1),MATCH(B$1,[1]characters!$1:$1,0)-MATCH($A$1,[1]characters!$1:$1,0)+1,FALSE)</f>
        <v>機甲雷天使 ミカエル・グロリアス</v>
      </c>
      <c r="C10" s="53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各属性相性良3・黄・R400</v>
      </c>
      <c r="D10" s="53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3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3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3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3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3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0">
        <f ca="1">VLOOKUP(I10,[1]属性!$A:$E,2,FALSE)</f>
        <v>0.98</v>
      </c>
      <c r="K10" s="10">
        <f ca="1">VLOOKUP(I10,[1]属性!$A:$E,3,FALSE)</f>
        <v>1.01</v>
      </c>
      <c r="L10" s="10">
        <f ca="1">VLOOKUP(I10,[1]属性!$A:$E,4,FALSE)</f>
        <v>1</v>
      </c>
      <c r="M10" s="10">
        <f ca="1">VLOOKUP(I10,[1]属性!$A:$E,5,FALSE)</f>
        <v>1.01</v>
      </c>
      <c r="N10" s="10">
        <f ca="1">INDEX(コスト!$A$1:$I$21,MATCH(H10,コスト!$A$1:$A$21,FALSE),MATCH(G10,コスト!$A$1:$I$1,FALSE))</f>
        <v>45</v>
      </c>
      <c r="O10" s="10">
        <f ca="1">INDEX(レベル!$A$1:$I$22,MATCH(H10,レベル!$A$1:$A$22,FALSE),MATCH(G10,レベル!$A$1:$I$1,FALSE))</f>
        <v>99</v>
      </c>
      <c r="P10" s="44">
        <f t="shared" ref="P10" ca="1" si="16">IF(G10 &gt;= 6, 99,G10*15)</f>
        <v>99</v>
      </c>
      <c r="Q10" s="53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0">
        <f ca="1">VLOOKUP(Q10,[1]character_type_i18n!$A:$H,4,FALSE)</f>
        <v>1</v>
      </c>
      <c r="T10" s="10">
        <f ca="1">VLOOKUP(Q10,[1]character_type_i18n!$A:$H,5,FALSE)</f>
        <v>1.33</v>
      </c>
      <c r="U10" s="10">
        <f ca="1">VLOOKUP(Q10,[1]character_type_i18n!$A:$H,6,FALSE)</f>
        <v>1</v>
      </c>
      <c r="V10" s="10">
        <f ca="1">VLOOKUP(Q10,[1]character_type_i18n!$A:$H,7,FALSE)</f>
        <v>0.67</v>
      </c>
      <c r="W10" s="53" t="str">
        <f ca="1">VLOOKUP($A10,OFFSET([1]characters!$A$1,0,0,COUNTA([1]characters!$A:$A),MATCH(W$1,[1]characters!$1:$1,0)-MATCH($A$1,[1]characters!$1:$1,0)+1),MATCH(W$1,[1]characters!$1:$1,0)-MATCH($A$1,[1]characters!$1:$1,0)+1,FALSE)</f>
        <v>machine</v>
      </c>
      <c r="X10" s="5" t="str">
        <f ca="1">VLOOKUP(W10,[1]character_tribe_i18n!$A:$H,3,FALSE)</f>
        <v>マシン</v>
      </c>
      <c r="Y10" s="53" t="str">
        <f ca="1">VLOOKUP($A10,OFFSET([1]characters!$A$1,0,0,COUNTA([1]characters!$A:$A),MATCH(Y$1,[1]characters!$1:$1,0)-MATCH($A$1,[1]characters!$1:$1,0)+1),MATCH(Y$1,[1]characters!$1:$1,0)-MATCH($A$1,[1]characters!$1:$1,0)+1,FALSE)</f>
        <v>god</v>
      </c>
      <c r="Z10" s="5" t="str">
        <f ca="1">VLOOKUP(Y10,[1]character_tribe_i18n!$A:$H,3,FALSE)</f>
        <v>ゴッド</v>
      </c>
      <c r="AA10" s="10">
        <f ca="1">VLOOKUP(W10,[1]character_tribe_i18n!$A:$H,4,FALSE)</f>
        <v>1</v>
      </c>
      <c r="AB10" s="10">
        <f ca="1">VLOOKUP(W10,[1]character_tribe_i18n!$A:$H,5,FALSE)</f>
        <v>1</v>
      </c>
      <c r="AC10" s="10">
        <f ca="1">VLOOKUP(W10,[1]character_tribe_i18n!$A:$H,6,FALSE)</f>
        <v>1</v>
      </c>
      <c r="AD10" s="10">
        <f ca="1">VLOOKUP(W10,[1]character_tribe_i18n!$A:$H,7,FALSE)</f>
        <v>1</v>
      </c>
      <c r="AE10" s="187" t="s">
        <v>183</v>
      </c>
      <c r="AF10" s="58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187">
        <v>247</v>
      </c>
      <c r="AH10" s="58" t="str">
        <f ca="1">VLOOKUP($AG10,OFFSET([1]characters!$A$1,0,0,COUNTA([1]characters!$A:$A),MATCH(AH$1,[1]characters!$1:$1,0)-MATCH($A$1,[1]characters!$1:$1,0)+1),MATCH(AH$1,[1]characters!$1:$1,0)-MATCH($A$1,[1]characters!$1:$1,0)+1,FALSE)</f>
        <v>ミカエル</v>
      </c>
      <c r="AI10" s="10" t="str">
        <f>IF(AE10="NULL","NULL",VLOOKUP(G10,ビット!$A$2:$B$7,2))</f>
        <v>NULL</v>
      </c>
      <c r="AJ10" s="6">
        <v>2</v>
      </c>
      <c r="AK10" s="7" t="str">
        <f t="shared" ref="AK10" si="17">IF(AJ10=1,"早熟",IF(AJ10=2,"普通",IF(AJ10=3,"晩成","")))</f>
        <v>普通</v>
      </c>
      <c r="AL10" s="10" t="str">
        <f ca="1">INDEX(経験値!$A$1:$I$21,MATCH(H10,経験値!$A$1:$A$21,FALSE),MATCH(G10,経験値!$A$1:$I$1,FALSE))</f>
        <v>required_exp_250</v>
      </c>
      <c r="AM10" s="8">
        <f ca="1">VLOOKUP(G10,経験値!$A$28:$B$32,2)</f>
        <v>6400</v>
      </c>
      <c r="AN10" s="16">
        <f ca="1">VLOOKUP(G10,ビット!$G$2:$H$7,2)</f>
        <v>900</v>
      </c>
      <c r="AO10" s="41"/>
      <c r="AP10" s="63">
        <v>782</v>
      </c>
      <c r="AQ10" s="53" t="str">
        <f ca="1">VLOOKUP($AP10,OFFSET(unit_skills!$A$1,0,0,COUNTA(unit_skills!$A:$A),MATCH(AQ$1,unit_skills!$1:$1,0)-MATCH($AP$1,unit_skills!$1:$1,0)+1),MATCH(AQ$1,unit_skills!$1:$1,0)-MATCH($AP$1,unit_skills!$1:$1,0)+1,FALSE)</f>
        <v>全装機連動・荷電粒子斬り</v>
      </c>
      <c r="AR10" s="53" t="str">
        <f ca="1">VLOOKUP($AP10,OFFSET(unit_skills!$A$1,0,0,COUNTA(unit_skills!$A:$A),MATCH(AR$1,unit_skills!$1:$1,0)-MATCH($AP$1,unit_skills!$1:$1,0)+1),MATCH(AR$1,unit_skills!$1:$1,0)-MATCH($AP$1,unit_skills!$1:$1,0)+1,FALSE)</f>
        <v>1体に激烈ダメージ+10ターン自身の攻撃力をUP(青・ハートパネルを吸収して効果UP)</v>
      </c>
      <c r="AS10" s="53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63">
        <v>782</v>
      </c>
      <c r="AU10" s="53" t="str">
        <f ca="1">VLOOKUP($AT10,OFFSET(crash_skills!$A$1,0,0,COUNTA(crash_skills!$A:$A),MATCH(AU$1,crash_skills!$1:$1,0)-MATCH($AT$1,crash_skills!$1:$1,0)+1),MATCH(AU$1,crash_skills!$1:$1,0)-MATCH($AT$1,crash_skills!$1:$1,0)+1,FALSE)</f>
        <v>ジャッジメント・デイ</v>
      </c>
      <c r="AV10" s="53" t="str">
        <f ca="1">VLOOKUP($AT10,OFFSET(crash_skills!$A$1,0,0,COUNTA(crash_skills!$A:$A),MATCH(AV$1,crash_skills!$1:$1,0)-MATCH($AT$1,crash_skills!$1:$1,0)+1),MATCH(AV$1,crash_skills!$1:$1,0)-MATCH($AT$1,crash_skills!$1:$1,0)+1,FALSE)</f>
        <v>1体に特大ダメージ+_x000D_10ターン自身の攻撃力を極小UP</v>
      </c>
      <c r="AW10" s="53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4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4">
        <v>0.97499999999999998</v>
      </c>
      <c r="AZ10" s="64">
        <v>0.81</v>
      </c>
      <c r="BA10" s="64">
        <v>0</v>
      </c>
      <c r="BB10" s="64">
        <v>1.1819999999999999</v>
      </c>
      <c r="BC10" s="10">
        <f ca="1">INDEX('RC6SV'!$A$1:$G$21,MATCH(H10,'RC6SV'!$A$1:$A$21,FALSE),MATCH(G10,'RC6SV'!$A$1:$G$1,FALSE))</f>
        <v>12000</v>
      </c>
      <c r="BD10" s="44">
        <f t="shared" ref="BD10" ca="1" si="18">ROUND(BC10*IF(AJ10=1,0.95,IF(AJ10=2,1,IF(AJ10,1.05,0))),0)</f>
        <v>12000</v>
      </c>
      <c r="BE10" s="10">
        <f t="shared" ca="1" si="3"/>
        <v>0</v>
      </c>
      <c r="BF10" s="10">
        <f t="shared" ca="1" si="4"/>
        <v>1</v>
      </c>
      <c r="BG10" s="15">
        <f ca="1">IF($BE10&lt;=0,ROUND(BK10*0.5,0), ROUND($BE10*S10*AA10*J10*AY10*0.8*[1]ステータス!$B$2,0))</f>
        <v>2867</v>
      </c>
      <c r="BH10" s="15">
        <f ca="1">IF($BE10&lt;=0,ROUND(BL10*0.5,0), ROUND($BE10*T10*AB10*K10*AZ10*0.8*[1]ステータス!$C$2,0))</f>
        <v>1959</v>
      </c>
      <c r="BI10" s="15">
        <f ca="1">IF($BE10&lt;=0,ROUND(BM10*0.5,0), ROUND($BE10*U10*AC10*L10*BA10*0.8*[1]ステータス!$D$2,0))</f>
        <v>0</v>
      </c>
      <c r="BJ10" s="15">
        <f ca="1">IF($BE10&lt;=0,ROUND(BN10*0.5,0), ROUND($BE10*V10*AD10*M10*BB10*0.8*[1]ステータス!$E$2,0))</f>
        <v>1200</v>
      </c>
      <c r="BK10" s="10">
        <f ca="1">ROUND(BD10*S10*AA10*J10*AY10*[1]ステータス!$B$2,0)</f>
        <v>5733</v>
      </c>
      <c r="BL10" s="10">
        <f ca="1">ROUND(BD10*T10*AB10*K10*AZ10*[1]ステータス!$C$2,0)</f>
        <v>3917</v>
      </c>
      <c r="BM10" s="10">
        <f ca="1">ROUND(BD10*U10*AC10*L10*BA10*[1]ステータス!$D$2,0)</f>
        <v>0</v>
      </c>
      <c r="BN10" s="10">
        <f ca="1">ROUND(BD10*V10*AD10*M10*BB10*[1]ステータス!$E$2,0)</f>
        <v>2400</v>
      </c>
      <c r="BO10" s="9">
        <v>0</v>
      </c>
      <c r="BP10" s="9">
        <v>1</v>
      </c>
      <c r="BQ10" s="9" t="s">
        <v>47</v>
      </c>
      <c r="BR10" s="9">
        <f ca="1">VLOOKUP(H10,ghosts_label!$A$2:$B$19,2,FALSE)</f>
        <v>700</v>
      </c>
    </row>
  </sheetData>
  <autoFilter ref="A1:BQ1"/>
  <phoneticPr fontId="10"/>
  <conditionalFormatting sqref="BO1">
    <cfRule type="cellIs" dxfId="53" priority="120" stopIfTrue="1" operator="equal">
      <formula>1</formula>
    </cfRule>
  </conditionalFormatting>
  <conditionalFormatting sqref="BQ1">
    <cfRule type="cellIs" dxfId="52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0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3" sqref="D13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966</v>
      </c>
      <c r="B2" s="129" t="s">
        <v>185</v>
      </c>
      <c r="C2" s="188" t="s">
        <v>361</v>
      </c>
      <c r="D2" s="188" t="s">
        <v>435</v>
      </c>
      <c r="E2" s="131">
        <f t="shared" ref="E2" si="0">LEN(D2)</f>
        <v>56</v>
      </c>
      <c r="F2" s="63">
        <v>10</v>
      </c>
      <c r="G2" s="113">
        <v>5</v>
      </c>
      <c r="H2" s="132">
        <f>2001</f>
        <v>2001</v>
      </c>
      <c r="I2" s="189" t="s">
        <v>377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麗嵐の颯愛志士 土方歳三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967</v>
      </c>
      <c r="B3" s="129" t="s">
        <v>185</v>
      </c>
      <c r="C3" s="188" t="s">
        <v>369</v>
      </c>
      <c r="D3" s="188" t="s">
        <v>436</v>
      </c>
      <c r="E3" s="131">
        <f t="shared" ref="E3:E4" si="1">LEN(D3)</f>
        <v>54</v>
      </c>
      <c r="F3" s="63">
        <v>10</v>
      </c>
      <c r="G3" s="113">
        <v>5</v>
      </c>
      <c r="H3" s="132">
        <f>2001</f>
        <v>2001</v>
      </c>
      <c r="I3" s="189" t="s">
        <v>378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討滅の凶妖志士 斎藤一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963</v>
      </c>
      <c r="B4" s="129" t="s">
        <v>185</v>
      </c>
      <c r="C4" s="188" t="s">
        <v>421</v>
      </c>
      <c r="D4" s="188" t="s">
        <v>413</v>
      </c>
      <c r="E4" s="131">
        <f t="shared" si="1"/>
        <v>41</v>
      </c>
      <c r="F4" s="63">
        <v>11</v>
      </c>
      <c r="G4" s="113">
        <v>5</v>
      </c>
      <c r="H4" s="132">
        <f>2001</f>
        <v>2001</v>
      </c>
      <c r="I4" s="189" t="s">
        <v>410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天蛇の閃皇貴魔 アスタロト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968</v>
      </c>
      <c r="B5" s="129" t="s">
        <v>185</v>
      </c>
      <c r="C5" s="188" t="s">
        <v>414</v>
      </c>
      <c r="D5" s="188" t="s">
        <v>433</v>
      </c>
      <c r="E5" s="131">
        <f t="shared" ref="E5:E7" si="2">LEN(D5)</f>
        <v>57</v>
      </c>
      <c r="F5" s="63">
        <v>10</v>
      </c>
      <c r="G5" s="113">
        <v>5</v>
      </c>
      <c r="H5" s="132">
        <f>2001</f>
        <v>2001</v>
      </c>
      <c r="I5" s="189" t="s">
        <v>429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夢謀の愚幻者 フール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564</v>
      </c>
      <c r="B6" s="129" t="s">
        <v>185</v>
      </c>
      <c r="C6" s="188" t="s">
        <v>324</v>
      </c>
      <c r="D6" s="188" t="s">
        <v>328</v>
      </c>
      <c r="E6" s="131">
        <f t="shared" si="2"/>
        <v>32</v>
      </c>
      <c r="F6" s="63">
        <v>12</v>
      </c>
      <c r="G6" s="113">
        <v>5</v>
      </c>
      <c r="H6" s="132">
        <f>2001</f>
        <v>2001</v>
      </c>
      <c r="I6" s="189" t="s">
        <v>332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赤ずきん</v>
      </c>
      <c r="K6" s="133">
        <f>IFERROR(VLOOKUP(A6,[1]characters!$A:$R,18),0)</f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565</v>
      </c>
      <c r="B7" s="129" t="s">
        <v>185</v>
      </c>
      <c r="C7" s="188" t="s">
        <v>325</v>
      </c>
      <c r="D7" s="188" t="s">
        <v>329</v>
      </c>
      <c r="E7" s="131">
        <f t="shared" si="2"/>
        <v>47</v>
      </c>
      <c r="F7" s="63">
        <v>12</v>
      </c>
      <c r="G7" s="113">
        <v>5</v>
      </c>
      <c r="H7" s="132">
        <f>2001</f>
        <v>2001</v>
      </c>
      <c r="I7" s="189" t="s">
        <v>333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かぐや</v>
      </c>
      <c r="K7" s="133">
        <f>IFERROR(VLOOKUP(A7,[1]characters!$A:$R,18),0)</f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971</v>
      </c>
      <c r="B8" s="129" t="s">
        <v>185</v>
      </c>
      <c r="C8" s="188" t="s">
        <v>393</v>
      </c>
      <c r="D8" s="188" t="s">
        <v>408</v>
      </c>
      <c r="E8" s="131">
        <f t="shared" ref="E8" si="3">LEN(D8)</f>
        <v>61</v>
      </c>
      <c r="F8" s="63">
        <v>11</v>
      </c>
      <c r="G8" s="113">
        <v>5</v>
      </c>
      <c r="H8" s="132">
        <f>2001</f>
        <v>2001</v>
      </c>
      <c r="I8" s="189" t="s">
        <v>409</v>
      </c>
      <c r="J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機獅蛮勇 ブレイブリー・ライオン</v>
      </c>
      <c r="K8" s="133">
        <f>IFERROR(VLOOKUP(A8,[1]characters!$A:$R,18),0)</f>
        <v>3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969</v>
      </c>
      <c r="B9" s="129" t="s">
        <v>185</v>
      </c>
      <c r="C9" s="188" t="s">
        <v>394</v>
      </c>
      <c r="D9" s="188" t="s">
        <v>434</v>
      </c>
      <c r="E9" s="131">
        <f t="shared" ref="E9" si="4">LEN(D9)</f>
        <v>56</v>
      </c>
      <c r="F9" s="63">
        <v>11</v>
      </c>
      <c r="G9" s="113">
        <v>5</v>
      </c>
      <c r="H9" s="132">
        <f>2001</f>
        <v>2001</v>
      </c>
      <c r="I9" s="189" t="s">
        <v>392</v>
      </c>
      <c r="J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超排撃の焔砲巨神 ユミル</v>
      </c>
      <c r="K9" s="133">
        <f>IFERROR(VLOOKUP(A9,[1]characters!$A:$R,18),0)</f>
        <v>3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6">
        <v>782</v>
      </c>
      <c r="B10" s="129" t="s">
        <v>185</v>
      </c>
      <c r="C10" s="188" t="s">
        <v>381</v>
      </c>
      <c r="D10" s="188" t="s">
        <v>387</v>
      </c>
      <c r="E10" s="131">
        <f t="shared" ref="E10" si="5">LEN(D10)</f>
        <v>43</v>
      </c>
      <c r="F10" s="63">
        <v>13</v>
      </c>
      <c r="G10" s="113">
        <v>5</v>
      </c>
      <c r="H10" s="132">
        <f>2001</f>
        <v>2001</v>
      </c>
      <c r="I10" s="189" t="s">
        <v>390</v>
      </c>
      <c r="J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機甲雷天使 ミカエル・グロリアス</v>
      </c>
      <c r="K10" s="133">
        <f>IFERROR(VLOOKUP(A10,[1]characters!$A:$R,18),0)</f>
        <v>3</v>
      </c>
      <c r="L10" s="134"/>
      <c r="M10" s="135"/>
      <c r="N10" s="135"/>
      <c r="O10" s="135"/>
      <c r="P10" s="135"/>
      <c r="Q10" s="135"/>
      <c r="R10" s="130"/>
      <c r="S10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1:E1048576">
    <cfRule type="cellIs" dxfId="51" priority="31" operator="greaterThan">
      <formula>41</formula>
    </cfRule>
  </conditionalFormatting>
  <conditionalFormatting sqref="E2">
    <cfRule type="cellIs" dxfId="50" priority="25" operator="greaterThan">
      <formula>41</formula>
    </cfRule>
  </conditionalFormatting>
  <conditionalFormatting sqref="E3">
    <cfRule type="cellIs" dxfId="49" priority="24" operator="greaterThan">
      <formula>41</formula>
    </cfRule>
  </conditionalFormatting>
  <conditionalFormatting sqref="E4">
    <cfRule type="cellIs" dxfId="48" priority="7" operator="greaterThan">
      <formula>41</formula>
    </cfRule>
  </conditionalFormatting>
  <conditionalFormatting sqref="E5">
    <cfRule type="cellIs" dxfId="47" priority="6" operator="greaterThan">
      <formula>41</formula>
    </cfRule>
  </conditionalFormatting>
  <conditionalFormatting sqref="E6">
    <cfRule type="cellIs" dxfId="46" priority="5" operator="greaterThan">
      <formula>41</formula>
    </cfRule>
  </conditionalFormatting>
  <conditionalFormatting sqref="E7">
    <cfRule type="cellIs" dxfId="45" priority="4" operator="greaterThan">
      <formula>41</formula>
    </cfRule>
  </conditionalFormatting>
  <conditionalFormatting sqref="E8">
    <cfRule type="cellIs" dxfId="44" priority="3" operator="greaterThan">
      <formula>41</formula>
    </cfRule>
  </conditionalFormatting>
  <conditionalFormatting sqref="E9">
    <cfRule type="cellIs" dxfId="43" priority="2" operator="greaterThan">
      <formula>41</formula>
    </cfRule>
  </conditionalFormatting>
  <conditionalFormatting sqref="E10">
    <cfRule type="cellIs" dxfId="42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0"/>
  <sheetViews>
    <sheetView showGridLines="0" zoomScale="120" zoomScaleNormal="120" zoomScalePageLayoutView="12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5" sqref="D5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966</v>
      </c>
      <c r="B2" s="129" t="s">
        <v>186</v>
      </c>
      <c r="C2" s="188" t="s">
        <v>362</v>
      </c>
      <c r="D2" s="188" t="s">
        <v>360</v>
      </c>
      <c r="E2" s="131">
        <f t="shared" ref="E2" si="0">LEN(D2)</f>
        <v>24</v>
      </c>
      <c r="F2" s="199" t="s">
        <v>430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麗嵐の颯愛志士 土方歳三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967</v>
      </c>
      <c r="B3" s="129" t="s">
        <v>186</v>
      </c>
      <c r="C3" s="188" t="s">
        <v>370</v>
      </c>
      <c r="D3" s="188" t="s">
        <v>359</v>
      </c>
      <c r="E3" s="131">
        <f t="shared" ref="E3:E4" si="1">LEN(D3)</f>
        <v>21</v>
      </c>
      <c r="F3" s="199" t="s">
        <v>431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討滅の凶妖志士 斎藤一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963</v>
      </c>
      <c r="B4" s="129" t="s">
        <v>185</v>
      </c>
      <c r="C4" s="188" t="s">
        <v>422</v>
      </c>
      <c r="D4" s="188" t="s">
        <v>428</v>
      </c>
      <c r="E4" s="131">
        <f t="shared" si="1"/>
        <v>10</v>
      </c>
      <c r="F4" s="200" t="s">
        <v>432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天蛇の閃皇貴魔 アスタロト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968</v>
      </c>
      <c r="B5" s="129" t="s">
        <v>185</v>
      </c>
      <c r="C5" s="188" t="s">
        <v>415</v>
      </c>
      <c r="D5" s="188" t="s">
        <v>411</v>
      </c>
      <c r="E5" s="131">
        <f t="shared" ref="E5:E7" si="2">LEN(D5)</f>
        <v>17</v>
      </c>
      <c r="F5" s="190" t="s">
        <v>412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夢謀の愚幻者 フール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564</v>
      </c>
      <c r="B6" s="129" t="s">
        <v>185</v>
      </c>
      <c r="C6" s="188" t="s">
        <v>326</v>
      </c>
      <c r="D6" s="188" t="s">
        <v>331</v>
      </c>
      <c r="E6" s="131">
        <f t="shared" si="2"/>
        <v>26</v>
      </c>
      <c r="F6" s="190" t="s">
        <v>335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赤ずきん</v>
      </c>
      <c r="H6" s="132">
        <f>IFERROR(VLOOKUP(A6,[1]characters!$A:$R,18),0)</f>
        <v>1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565</v>
      </c>
      <c r="B7" s="129" t="s">
        <v>185</v>
      </c>
      <c r="C7" s="188" t="s">
        <v>327</v>
      </c>
      <c r="D7" s="188" t="s">
        <v>330</v>
      </c>
      <c r="E7" s="131">
        <f t="shared" si="2"/>
        <v>9</v>
      </c>
      <c r="F7" s="190" t="s">
        <v>336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かぐや</v>
      </c>
      <c r="H7" s="132">
        <f>IFERROR(VLOOKUP(A7,[1]characters!$A:$R,18),0)</f>
        <v>1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971</v>
      </c>
      <c r="B8" s="129" t="s">
        <v>185</v>
      </c>
      <c r="C8" s="188" t="s">
        <v>395</v>
      </c>
      <c r="D8" s="188" t="s">
        <v>379</v>
      </c>
      <c r="E8" s="131">
        <f t="shared" ref="E8" si="3">LEN(D8)</f>
        <v>9</v>
      </c>
      <c r="F8" s="190" t="s">
        <v>407</v>
      </c>
      <c r="G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機獅蛮勇 ブレイブリー・ライオン</v>
      </c>
      <c r="H8" s="132">
        <f>IFERROR(VLOOKUP(A8,[1]characters!$A:$R,18),0)</f>
        <v>3</v>
      </c>
      <c r="I8" s="132"/>
      <c r="J8" s="137"/>
      <c r="K8" s="133"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969</v>
      </c>
      <c r="B9" s="129" t="s">
        <v>185</v>
      </c>
      <c r="C9" s="188" t="s">
        <v>396</v>
      </c>
      <c r="D9" s="188" t="s">
        <v>379</v>
      </c>
      <c r="E9" s="131">
        <f t="shared" ref="E9" si="4">LEN(D9)</f>
        <v>9</v>
      </c>
      <c r="F9" s="190" t="s">
        <v>380</v>
      </c>
      <c r="G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超排撃の焔砲巨神 ユミル</v>
      </c>
      <c r="H9" s="132">
        <f>IFERROR(VLOOKUP(A9,[1]characters!$A:$R,18),0)</f>
        <v>3</v>
      </c>
      <c r="I9" s="132"/>
      <c r="J9" s="137"/>
      <c r="K9" s="133"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6">
        <v>782</v>
      </c>
      <c r="B10" s="129" t="s">
        <v>185</v>
      </c>
      <c r="C10" s="188" t="s">
        <v>382</v>
      </c>
      <c r="D10" s="188" t="s">
        <v>386</v>
      </c>
      <c r="E10" s="131">
        <f t="shared" ref="E10" si="5">LEN(D10)</f>
        <v>27</v>
      </c>
      <c r="F10" s="190" t="s">
        <v>391</v>
      </c>
      <c r="G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機甲雷天使 ミカエル・グロリアス</v>
      </c>
      <c r="H10" s="132">
        <f>IFERROR(VLOOKUP(A10,[1]characters!$A:$R,18),0)</f>
        <v>3</v>
      </c>
      <c r="I10" s="132"/>
      <c r="J10" s="137"/>
      <c r="K10" s="133">
        <v>1</v>
      </c>
      <c r="L10" s="134"/>
      <c r="M10" s="135"/>
      <c r="N10" s="135"/>
      <c r="O10" s="135"/>
      <c r="P10" s="135"/>
      <c r="Q10" s="135"/>
      <c r="R10" s="130"/>
      <c r="S10" s="136"/>
    </row>
  </sheetData>
  <sheetProtection selectLockedCells="1" selectUnlockedCells="1"/>
  <autoFilter ref="A1:J1"/>
  <phoneticPr fontId="22"/>
  <conditionalFormatting sqref="E2">
    <cfRule type="cellIs" dxfId="41" priority="25" operator="greaterThan">
      <formula>41</formula>
    </cfRule>
  </conditionalFormatting>
  <conditionalFormatting sqref="E3">
    <cfRule type="cellIs" dxfId="40" priority="24" operator="greaterThan">
      <formula>41</formula>
    </cfRule>
  </conditionalFormatting>
  <conditionalFormatting sqref="E4">
    <cfRule type="cellIs" dxfId="39" priority="7" operator="greaterThan">
      <formula>41</formula>
    </cfRule>
  </conditionalFormatting>
  <conditionalFormatting sqref="E5">
    <cfRule type="cellIs" dxfId="38" priority="6" operator="greaterThan">
      <formula>41</formula>
    </cfRule>
  </conditionalFormatting>
  <conditionalFormatting sqref="E6">
    <cfRule type="cellIs" dxfId="37" priority="5" operator="greaterThan">
      <formula>41</formula>
    </cfRule>
  </conditionalFormatting>
  <conditionalFormatting sqref="E7">
    <cfRule type="cellIs" dxfId="36" priority="4" operator="greaterThan">
      <formula>41</formula>
    </cfRule>
  </conditionalFormatting>
  <conditionalFormatting sqref="E8">
    <cfRule type="cellIs" dxfId="35" priority="3" operator="greaterThan">
      <formula>41</formula>
    </cfRule>
  </conditionalFormatting>
  <conditionalFormatting sqref="E9">
    <cfRule type="cellIs" dxfId="34" priority="2" operator="greaterThan">
      <formula>41</formula>
    </cfRule>
  </conditionalFormatting>
  <conditionalFormatting sqref="E10">
    <cfRule type="cellIs" dxfId="3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44"/>
  <sheetViews>
    <sheetView topLeftCell="B1" zoomScale="110" workbookViewId="0">
      <selection activeCell="G17" sqref="G17"/>
    </sheetView>
  </sheetViews>
  <sheetFormatPr baseColWidth="12" defaultRowHeight="15" outlineLevelCol="1" x14ac:dyDescent="0.15"/>
  <cols>
    <col min="2" max="2" width="22.5" style="139" customWidth="1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966</v>
      </c>
      <c r="B2" s="138" t="str">
        <f>VLOOKUP(A2,[1]characters!$A:$C,3,FALSE)</f>
        <v>麗嵐の颯愛志士 土方歳三</v>
      </c>
      <c r="C2" s="105" t="s">
        <v>195</v>
      </c>
      <c r="D2" s="138" t="str">
        <f t="shared" ref="D2" si="0">A2&amp;C2</f>
        <v>966skill</v>
      </c>
      <c r="E2" s="138" t="str">
        <f>A2&amp;+(COUNTIF(A2:A$30,A2)-1)</f>
        <v>9664</v>
      </c>
      <c r="F2" s="105" t="s">
        <v>197</v>
      </c>
      <c r="G2" s="162" t="s">
        <v>196</v>
      </c>
      <c r="H2" s="162" t="s">
        <v>363</v>
      </c>
    </row>
    <row r="3" spans="1:8" x14ac:dyDescent="0.15">
      <c r="A3" s="105">
        <v>966</v>
      </c>
      <c r="B3" s="138" t="str">
        <f>VLOOKUP(A3,[1]characters!$A:$C,3,FALSE)</f>
        <v>麗嵐の颯愛志士 土方歳三</v>
      </c>
      <c r="C3" s="105" t="s">
        <v>198</v>
      </c>
      <c r="D3" s="138" t="str">
        <f>A3&amp;C3</f>
        <v>966cskill</v>
      </c>
      <c r="E3" s="138" t="str">
        <f>A3&amp;+(COUNTIF(A3:A$30,A3)-1)</f>
        <v>9663</v>
      </c>
      <c r="F3" s="105" t="s">
        <v>186</v>
      </c>
      <c r="G3" s="162" t="s">
        <v>365</v>
      </c>
      <c r="H3" s="162" t="s">
        <v>364</v>
      </c>
    </row>
    <row r="4" spans="1:8" x14ac:dyDescent="0.15">
      <c r="A4" s="105">
        <v>966</v>
      </c>
      <c r="B4" s="138" t="str">
        <f>VLOOKUP(A4,[1]characters!$A:$C,3,FALSE)</f>
        <v>麗嵐の颯愛志士 土方歳三</v>
      </c>
      <c r="C4" s="105" t="s">
        <v>198</v>
      </c>
      <c r="D4" s="138" t="str">
        <f>A4&amp;C4</f>
        <v>966cskill</v>
      </c>
      <c r="E4" s="138" t="str">
        <f>A4&amp;+(COUNTIF(A4:A$30,A4)-1)</f>
        <v>9662</v>
      </c>
      <c r="F4" s="105" t="s">
        <v>186</v>
      </c>
      <c r="G4" s="162" t="s">
        <v>196</v>
      </c>
      <c r="H4" s="162" t="s">
        <v>366</v>
      </c>
    </row>
    <row r="5" spans="1:8" x14ac:dyDescent="0.15">
      <c r="A5" s="105">
        <v>966</v>
      </c>
      <c r="B5" s="138" t="str">
        <f>VLOOKUP(A5,[1]characters!$A:$C,3,FALSE)</f>
        <v>麗嵐の颯愛志士 土方歳三</v>
      </c>
      <c r="C5" s="105" t="s">
        <v>198</v>
      </c>
      <c r="D5" s="138" t="str">
        <f>A5&amp;C5</f>
        <v>966cskill</v>
      </c>
      <c r="E5" s="138" t="str">
        <f>A5&amp;+(COUNTIF(A5:A$30,A5)-1)</f>
        <v>9661</v>
      </c>
      <c r="F5" s="105" t="s">
        <v>197</v>
      </c>
      <c r="G5" s="162" t="s">
        <v>365</v>
      </c>
      <c r="H5" s="162" t="s">
        <v>367</v>
      </c>
    </row>
    <row r="6" spans="1:8" x14ac:dyDescent="0.15">
      <c r="A6" s="105">
        <v>966</v>
      </c>
      <c r="B6" s="138" t="str">
        <f>VLOOKUP(A6,[1]characters!$A:$C,3,FALSE)</f>
        <v>麗嵐の颯愛志士 土方歳三</v>
      </c>
      <c r="C6" s="105" t="s">
        <v>198</v>
      </c>
      <c r="D6" s="138" t="str">
        <f>A6&amp;C6</f>
        <v>966cskill</v>
      </c>
      <c r="E6" s="138" t="str">
        <f>A6&amp;+(COUNTIF(A6:A$30,A6)-1)</f>
        <v>9660</v>
      </c>
      <c r="F6" s="105" t="s">
        <v>186</v>
      </c>
      <c r="G6" s="162" t="s">
        <v>365</v>
      </c>
      <c r="H6" s="162" t="s">
        <v>368</v>
      </c>
    </row>
    <row r="7" spans="1:8" x14ac:dyDescent="0.15">
      <c r="A7" s="105">
        <v>967</v>
      </c>
      <c r="B7" s="138" t="str">
        <f>VLOOKUP(A7,[1]characters!$A:$C,3,FALSE)</f>
        <v>討滅の凶妖志士 斎藤一</v>
      </c>
      <c r="C7" s="105" t="s">
        <v>195</v>
      </c>
      <c r="D7" s="138" t="str">
        <f t="shared" ref="D7" si="1">A7&amp;C7</f>
        <v>967skill</v>
      </c>
      <c r="E7" s="138" t="str">
        <f>A7&amp;+(COUNTIF(A7:A$30,A7)-1)</f>
        <v>9674</v>
      </c>
      <c r="F7" s="105" t="s">
        <v>186</v>
      </c>
      <c r="G7" s="162" t="s">
        <v>365</v>
      </c>
      <c r="H7" s="162" t="s">
        <v>371</v>
      </c>
    </row>
    <row r="8" spans="1:8" x14ac:dyDescent="0.15">
      <c r="A8" s="105">
        <v>967</v>
      </c>
      <c r="B8" s="138" t="str">
        <f>VLOOKUP(A8,[1]characters!$A:$C,3,FALSE)</f>
        <v>討滅の凶妖志士 斎藤一</v>
      </c>
      <c r="C8" s="105" t="s">
        <v>198</v>
      </c>
      <c r="D8" s="138" t="str">
        <f>A8&amp;C8</f>
        <v>967cskill</v>
      </c>
      <c r="E8" s="138" t="str">
        <f>A8&amp;+(COUNTIF(A8:A$30,A8)-1)</f>
        <v>9673</v>
      </c>
      <c r="F8" s="105" t="s">
        <v>186</v>
      </c>
      <c r="G8" s="162" t="s">
        <v>373</v>
      </c>
      <c r="H8" s="162" t="s">
        <v>372</v>
      </c>
    </row>
    <row r="9" spans="1:8" x14ac:dyDescent="0.15">
      <c r="A9" s="105">
        <v>967</v>
      </c>
      <c r="B9" s="138" t="str">
        <f>VLOOKUP(A9,[1]characters!$A:$C,3,FALSE)</f>
        <v>討滅の凶妖志士 斎藤一</v>
      </c>
      <c r="C9" s="105" t="s">
        <v>198</v>
      </c>
      <c r="D9" s="138" t="str">
        <f>A9&amp;C9</f>
        <v>967cskill</v>
      </c>
      <c r="E9" s="138" t="str">
        <f>A9&amp;+(COUNTIF(A9:A$30,A9)-1)</f>
        <v>9672</v>
      </c>
      <c r="F9" s="105" t="s">
        <v>186</v>
      </c>
      <c r="G9" s="162" t="s">
        <v>365</v>
      </c>
      <c r="H9" s="162" t="s">
        <v>374</v>
      </c>
    </row>
    <row r="10" spans="1:8" x14ac:dyDescent="0.15">
      <c r="A10" s="105">
        <v>967</v>
      </c>
      <c r="B10" s="138" t="str">
        <f>VLOOKUP(A10,[1]characters!$A:$C,3,FALSE)</f>
        <v>討滅の凶妖志士 斎藤一</v>
      </c>
      <c r="C10" s="105" t="s">
        <v>198</v>
      </c>
      <c r="D10" s="138" t="str">
        <f>A10&amp;C10</f>
        <v>967cskill</v>
      </c>
      <c r="E10" s="138" t="str">
        <f>A10&amp;+(COUNTIF(A10:A$30,A10)-1)</f>
        <v>9671</v>
      </c>
      <c r="F10" s="105" t="s">
        <v>186</v>
      </c>
      <c r="G10" s="162" t="s">
        <v>196</v>
      </c>
      <c r="H10" s="162" t="s">
        <v>375</v>
      </c>
    </row>
    <row r="11" spans="1:8" x14ac:dyDescent="0.15">
      <c r="A11" s="105">
        <v>967</v>
      </c>
      <c r="B11" s="138" t="str">
        <f>VLOOKUP(A11,[1]characters!$A:$C,3,FALSE)</f>
        <v>討滅の凶妖志士 斎藤一</v>
      </c>
      <c r="C11" s="105" t="s">
        <v>198</v>
      </c>
      <c r="D11" s="138" t="str">
        <f>A11&amp;C11</f>
        <v>967cskill</v>
      </c>
      <c r="E11" s="138" t="str">
        <f>A11&amp;+(COUNTIF(A11:A$30,A11)-1)</f>
        <v>9670</v>
      </c>
      <c r="F11" s="105" t="s">
        <v>186</v>
      </c>
      <c r="G11" s="162" t="s">
        <v>365</v>
      </c>
      <c r="H11" s="162" t="s">
        <v>376</v>
      </c>
    </row>
    <row r="12" spans="1:8" x14ac:dyDescent="0.15">
      <c r="A12" s="105">
        <v>963</v>
      </c>
      <c r="B12" s="138" t="str">
        <f>VLOOKUP(A12,[1]characters!$A:$C,3,FALSE)</f>
        <v>天蛇の閃皇貴魔 アスタロト</v>
      </c>
      <c r="C12" s="105" t="s">
        <v>195</v>
      </c>
      <c r="D12" s="138" t="str">
        <f t="shared" ref="D12" si="2">A12&amp;C12</f>
        <v>963skill</v>
      </c>
      <c r="E12" s="138" t="str">
        <f>A12&amp;+(COUNTIF(A12:A$30,A12)-1)</f>
        <v>9634</v>
      </c>
      <c r="F12" s="105" t="s">
        <v>185</v>
      </c>
      <c r="G12" s="162" t="s">
        <v>196</v>
      </c>
      <c r="H12" s="162" t="s">
        <v>423</v>
      </c>
    </row>
    <row r="13" spans="1:8" x14ac:dyDescent="0.15">
      <c r="A13" s="105">
        <v>963</v>
      </c>
      <c r="B13" s="138" t="str">
        <f>VLOOKUP(A13,[1]characters!$A:$C,3,FALSE)</f>
        <v>天蛇の閃皇貴魔 アスタロト</v>
      </c>
      <c r="C13" s="105" t="s">
        <v>198</v>
      </c>
      <c r="D13" s="138" t="str">
        <f>A13&amp;C13</f>
        <v>963cskill</v>
      </c>
      <c r="E13" s="138" t="str">
        <f>A13&amp;+(COUNTIF(A13:A$30,A13)-1)</f>
        <v>9633</v>
      </c>
      <c r="F13" s="105" t="s">
        <v>185</v>
      </c>
      <c r="G13" s="162" t="s">
        <v>196</v>
      </c>
      <c r="H13" s="162" t="s">
        <v>424</v>
      </c>
    </row>
    <row r="14" spans="1:8" x14ac:dyDescent="0.15">
      <c r="A14" s="105">
        <v>963</v>
      </c>
      <c r="B14" s="138" t="str">
        <f>VLOOKUP(A14,[1]characters!$A:$C,3,FALSE)</f>
        <v>天蛇の閃皇貴魔 アスタロト</v>
      </c>
      <c r="C14" s="105" t="s">
        <v>198</v>
      </c>
      <c r="D14" s="138" t="str">
        <f>A14&amp;C14</f>
        <v>963cskill</v>
      </c>
      <c r="E14" s="138" t="str">
        <f>A14&amp;+(COUNTIF(A14:A$30,A14)-1)</f>
        <v>9632</v>
      </c>
      <c r="F14" s="105" t="s">
        <v>185</v>
      </c>
      <c r="G14" s="162" t="s">
        <v>316</v>
      </c>
      <c r="H14" s="162" t="s">
        <v>425</v>
      </c>
    </row>
    <row r="15" spans="1:8" x14ac:dyDescent="0.15">
      <c r="A15" s="105">
        <v>963</v>
      </c>
      <c r="B15" s="138" t="str">
        <f>VLOOKUP(A15,[1]characters!$A:$C,3,FALSE)</f>
        <v>天蛇の閃皇貴魔 アスタロト</v>
      </c>
      <c r="C15" s="105" t="s">
        <v>198</v>
      </c>
      <c r="D15" s="138" t="str">
        <f>A15&amp;C15</f>
        <v>963cskill</v>
      </c>
      <c r="E15" s="138" t="str">
        <f>A15&amp;+(COUNTIF(A15:A$30,A15)-1)</f>
        <v>9631</v>
      </c>
      <c r="F15" s="105" t="s">
        <v>185</v>
      </c>
      <c r="G15" s="162" t="s">
        <v>196</v>
      </c>
      <c r="H15" s="162" t="s">
        <v>426</v>
      </c>
    </row>
    <row r="16" spans="1:8" x14ac:dyDescent="0.15">
      <c r="A16" s="105">
        <v>963</v>
      </c>
      <c r="B16" s="138" t="str">
        <f>VLOOKUP(A16,[1]characters!$A:$C,3,FALSE)</f>
        <v>天蛇の閃皇貴魔 アスタロト</v>
      </c>
      <c r="C16" s="105" t="s">
        <v>198</v>
      </c>
      <c r="D16" s="138" t="str">
        <f>A16&amp;C16</f>
        <v>963cskill</v>
      </c>
      <c r="E16" s="138" t="str">
        <f>A16&amp;+(COUNTIF(A16:A$30,A16)-1)</f>
        <v>9630</v>
      </c>
      <c r="F16" s="105" t="s">
        <v>185</v>
      </c>
      <c r="G16" s="162" t="s">
        <v>196</v>
      </c>
      <c r="H16" s="162" t="s">
        <v>427</v>
      </c>
    </row>
    <row r="17" spans="1:8" x14ac:dyDescent="0.15">
      <c r="A17" s="105">
        <v>968</v>
      </c>
      <c r="B17" s="138" t="str">
        <f>VLOOKUP(A17,[1]characters!$A:$C,3,FALSE)</f>
        <v>夢謀の愚幻者 フール</v>
      </c>
      <c r="C17" s="105" t="s">
        <v>195</v>
      </c>
      <c r="D17" s="138" t="str">
        <f t="shared" ref="D17" si="3">A17&amp;C17</f>
        <v>968skill</v>
      </c>
      <c r="E17" s="138" t="str">
        <f>A17&amp;+(COUNTIF(A17:A$30,A17)-1)</f>
        <v>9684</v>
      </c>
      <c r="F17" s="105" t="s">
        <v>185</v>
      </c>
      <c r="G17" s="162" t="s">
        <v>196</v>
      </c>
      <c r="H17" s="162" t="s">
        <v>416</v>
      </c>
    </row>
    <row r="18" spans="1:8" x14ac:dyDescent="0.15">
      <c r="A18" s="105">
        <v>968</v>
      </c>
      <c r="B18" s="138" t="str">
        <f>VLOOKUP(A18,[1]characters!$A:$C,3,FALSE)</f>
        <v>夢謀の愚幻者 フール</v>
      </c>
      <c r="C18" s="105" t="s">
        <v>198</v>
      </c>
      <c r="D18" s="138" t="str">
        <f>A18&amp;C18</f>
        <v>968cskill</v>
      </c>
      <c r="E18" s="138" t="str">
        <f>A18&amp;+(COUNTIF(A18:A$30,A18)-1)</f>
        <v>9683</v>
      </c>
      <c r="F18" s="105" t="s">
        <v>185</v>
      </c>
      <c r="G18" s="162" t="s">
        <v>196</v>
      </c>
      <c r="H18" s="162" t="s">
        <v>417</v>
      </c>
    </row>
    <row r="19" spans="1:8" x14ac:dyDescent="0.15">
      <c r="A19" s="105">
        <v>968</v>
      </c>
      <c r="B19" s="138" t="str">
        <f>VLOOKUP(A19,[1]characters!$A:$C,3,FALSE)</f>
        <v>夢謀の愚幻者 フール</v>
      </c>
      <c r="C19" s="105" t="s">
        <v>198</v>
      </c>
      <c r="D19" s="138" t="str">
        <f>A19&amp;C19</f>
        <v>968cskill</v>
      </c>
      <c r="E19" s="138" t="str">
        <f>A19&amp;+(COUNTIF(A19:A$30,A19)-1)</f>
        <v>9682</v>
      </c>
      <c r="F19" s="105" t="s">
        <v>185</v>
      </c>
      <c r="G19" s="162" t="s">
        <v>196</v>
      </c>
      <c r="H19" s="162" t="s">
        <v>418</v>
      </c>
    </row>
    <row r="20" spans="1:8" x14ac:dyDescent="0.15">
      <c r="A20" s="105">
        <v>968</v>
      </c>
      <c r="B20" s="138" t="str">
        <f>VLOOKUP(A20,[1]characters!$A:$C,3,FALSE)</f>
        <v>夢謀の愚幻者 フール</v>
      </c>
      <c r="C20" s="105" t="s">
        <v>198</v>
      </c>
      <c r="D20" s="138" t="str">
        <f>A20&amp;C20</f>
        <v>968cskill</v>
      </c>
      <c r="E20" s="138" t="str">
        <f>A20&amp;+(COUNTIF(A20:A$30,A20)-1)</f>
        <v>9681</v>
      </c>
      <c r="F20" s="105" t="s">
        <v>185</v>
      </c>
      <c r="G20" s="162" t="s">
        <v>196</v>
      </c>
      <c r="H20" s="162" t="s">
        <v>419</v>
      </c>
    </row>
    <row r="21" spans="1:8" x14ac:dyDescent="0.15">
      <c r="A21" s="105">
        <v>968</v>
      </c>
      <c r="B21" s="138" t="str">
        <f>VLOOKUP(A21,[1]characters!$A:$C,3,FALSE)</f>
        <v>夢謀の愚幻者 フール</v>
      </c>
      <c r="C21" s="105" t="s">
        <v>198</v>
      </c>
      <c r="D21" s="138" t="str">
        <f>A21&amp;C21</f>
        <v>968cskill</v>
      </c>
      <c r="E21" s="138" t="str">
        <f>A21&amp;+(COUNTIF(A21:A$30,A21)-1)</f>
        <v>9680</v>
      </c>
      <c r="F21" s="105" t="s">
        <v>185</v>
      </c>
      <c r="G21" s="162" t="s">
        <v>196</v>
      </c>
      <c r="H21" s="162" t="s">
        <v>420</v>
      </c>
    </row>
    <row r="22" spans="1:8" x14ac:dyDescent="0.15">
      <c r="A22" s="105">
        <v>564</v>
      </c>
      <c r="B22" s="138" t="str">
        <f>VLOOKUP(A22,[1]characters!$A:$C,3,FALSE)</f>
        <v>赤ずきん</v>
      </c>
      <c r="C22" s="105" t="s">
        <v>195</v>
      </c>
      <c r="D22" s="138" t="str">
        <f t="shared" ref="D22" si="4">A22&amp;C22</f>
        <v>564skill</v>
      </c>
      <c r="E22" s="138" t="str">
        <f>A22&amp;+(COUNTIF(A22:A$30,A22)-1)</f>
        <v>5643</v>
      </c>
      <c r="F22" s="105" t="s">
        <v>185</v>
      </c>
      <c r="G22" s="162" t="s">
        <v>316</v>
      </c>
      <c r="H22" s="162" t="s">
        <v>317</v>
      </c>
    </row>
    <row r="23" spans="1:8" x14ac:dyDescent="0.15">
      <c r="A23" s="105">
        <v>564</v>
      </c>
      <c r="B23" s="138" t="str">
        <f>VLOOKUP(A23,[1]characters!$A:$C,3,FALSE)</f>
        <v>赤ずきん</v>
      </c>
      <c r="C23" s="105" t="s">
        <v>198</v>
      </c>
      <c r="D23" s="138" t="str">
        <f>A23&amp;C23</f>
        <v>564cskill</v>
      </c>
      <c r="E23" s="138" t="str">
        <f>A23&amp;+(COUNTIF(A23:A$30,A23)-1)</f>
        <v>5642</v>
      </c>
      <c r="F23" s="105" t="s">
        <v>185</v>
      </c>
      <c r="G23" s="162" t="s">
        <v>196</v>
      </c>
      <c r="H23" s="162" t="s">
        <v>320</v>
      </c>
    </row>
    <row r="24" spans="1:8" x14ac:dyDescent="0.15">
      <c r="A24" s="105">
        <v>564</v>
      </c>
      <c r="B24" s="138" t="str">
        <f>VLOOKUP(A24,[1]characters!$A:$C,3,FALSE)</f>
        <v>赤ずきん</v>
      </c>
      <c r="C24" s="105" t="s">
        <v>198</v>
      </c>
      <c r="D24" s="138" t="str">
        <f>A24&amp;C24</f>
        <v>564cskill</v>
      </c>
      <c r="E24" s="138" t="str">
        <f>A24&amp;+(COUNTIF(A24:A$30,A24)-1)</f>
        <v>5641</v>
      </c>
      <c r="F24" s="105" t="s">
        <v>185</v>
      </c>
      <c r="G24" s="162" t="s">
        <v>316</v>
      </c>
      <c r="H24" s="162" t="s">
        <v>318</v>
      </c>
    </row>
    <row r="25" spans="1:8" x14ac:dyDescent="0.15">
      <c r="A25" s="105">
        <v>564</v>
      </c>
      <c r="B25" s="138" t="str">
        <f>VLOOKUP(A25,[1]characters!$A:$C,3,FALSE)</f>
        <v>赤ずきん</v>
      </c>
      <c r="C25" s="105" t="s">
        <v>198</v>
      </c>
      <c r="D25" s="138" t="str">
        <f>A25&amp;C25</f>
        <v>564cskill</v>
      </c>
      <c r="E25" s="138" t="str">
        <f>A25&amp;+(COUNTIF(A25:A$30,A25)-1)</f>
        <v>5640</v>
      </c>
      <c r="F25" s="105" t="s">
        <v>185</v>
      </c>
      <c r="G25" s="162" t="s">
        <v>316</v>
      </c>
      <c r="H25" s="162" t="s">
        <v>319</v>
      </c>
    </row>
    <row r="26" spans="1:8" x14ac:dyDescent="0.15">
      <c r="A26" s="105">
        <v>565</v>
      </c>
      <c r="B26" s="138" t="str">
        <f>VLOOKUP(A26,[1]characters!$A:$C,3,FALSE)</f>
        <v>かぐや</v>
      </c>
      <c r="C26" s="105" t="s">
        <v>195</v>
      </c>
      <c r="D26" s="138" t="str">
        <f t="shared" ref="D26" si="5">A26&amp;C26</f>
        <v>565skill</v>
      </c>
      <c r="E26" s="138" t="str">
        <f>A26&amp;+(COUNTIF(A26:A$30,A26)-1)</f>
        <v>5653</v>
      </c>
      <c r="F26" s="105" t="s">
        <v>185</v>
      </c>
      <c r="G26" s="162" t="s">
        <v>316</v>
      </c>
      <c r="H26" s="162" t="s">
        <v>317</v>
      </c>
    </row>
    <row r="27" spans="1:8" x14ac:dyDescent="0.15">
      <c r="A27" s="105">
        <v>565</v>
      </c>
      <c r="B27" s="138" t="str">
        <f>VLOOKUP(A27,[1]characters!$A:$C,3,FALSE)</f>
        <v>かぐや</v>
      </c>
      <c r="C27" s="105" t="s">
        <v>198</v>
      </c>
      <c r="D27" s="138" t="str">
        <f>A27&amp;C27</f>
        <v>565cskill</v>
      </c>
      <c r="E27" s="138" t="str">
        <f>A27&amp;+(COUNTIF(A27:A$30,A27)-1)</f>
        <v>5652</v>
      </c>
      <c r="F27" s="105" t="s">
        <v>185</v>
      </c>
      <c r="G27" s="162" t="s">
        <v>196</v>
      </c>
      <c r="H27" s="162" t="s">
        <v>320</v>
      </c>
    </row>
    <row r="28" spans="1:8" x14ac:dyDescent="0.15">
      <c r="A28" s="105">
        <v>565</v>
      </c>
      <c r="B28" s="138" t="str">
        <f>VLOOKUP(A28,[1]characters!$A:$C,3,FALSE)</f>
        <v>かぐや</v>
      </c>
      <c r="C28" s="105" t="s">
        <v>198</v>
      </c>
      <c r="D28" s="138" t="str">
        <f>A28&amp;C28</f>
        <v>565cskill</v>
      </c>
      <c r="E28" s="138" t="str">
        <f>A28&amp;+(COUNTIF(A28:A$30,A28)-1)</f>
        <v>5651</v>
      </c>
      <c r="F28" s="105" t="s">
        <v>185</v>
      </c>
      <c r="G28" s="162" t="s">
        <v>316</v>
      </c>
      <c r="H28" s="162" t="s">
        <v>318</v>
      </c>
    </row>
    <row r="29" spans="1:8" x14ac:dyDescent="0.15">
      <c r="A29" s="105">
        <v>565</v>
      </c>
      <c r="B29" s="138" t="str">
        <f>VLOOKUP(A29,[1]characters!$A:$C,3,FALSE)</f>
        <v>かぐや</v>
      </c>
      <c r="C29" s="105" t="s">
        <v>198</v>
      </c>
      <c r="D29" s="138" t="str">
        <f>A29&amp;C29</f>
        <v>565cskill</v>
      </c>
      <c r="E29" s="138" t="str">
        <f>A29&amp;+(COUNTIF(A29:A$30,A29)-1)</f>
        <v>5650</v>
      </c>
      <c r="F29" s="105" t="s">
        <v>185</v>
      </c>
      <c r="G29" s="162" t="s">
        <v>316</v>
      </c>
      <c r="H29" s="162" t="s">
        <v>319</v>
      </c>
    </row>
    <row r="30" spans="1:8" x14ac:dyDescent="0.15">
      <c r="A30" s="105">
        <v>971</v>
      </c>
      <c r="B30" s="138" t="str">
        <f>VLOOKUP(A30,[1]characters!$A:$C,3,FALSE)</f>
        <v>機獅蛮勇 ブレイブリー・ライオン</v>
      </c>
      <c r="C30" s="105" t="s">
        <v>195</v>
      </c>
      <c r="D30" s="138" t="str">
        <f t="shared" ref="D30" si="6">A30&amp;C30</f>
        <v>971skill</v>
      </c>
      <c r="E30" s="138" t="str">
        <f>A30&amp;+(COUNTIF(A30:A$30,A30)-1)</f>
        <v>9710</v>
      </c>
      <c r="F30" s="105" t="s">
        <v>185</v>
      </c>
      <c r="G30" s="162" t="s">
        <v>365</v>
      </c>
      <c r="H30" s="162" t="s">
        <v>398</v>
      </c>
    </row>
    <row r="31" spans="1:8" x14ac:dyDescent="0.15">
      <c r="A31" s="105">
        <v>971</v>
      </c>
      <c r="B31" s="138" t="str">
        <f>VLOOKUP(A31,[1]characters!$A:$C,3,FALSE)</f>
        <v>機獅蛮勇 ブレイブリー・ライオン</v>
      </c>
      <c r="C31" s="105" t="s">
        <v>198</v>
      </c>
      <c r="D31" s="138" t="str">
        <f>A31&amp;C31</f>
        <v>971cskill</v>
      </c>
      <c r="E31" s="138" t="str">
        <f>A31&amp;+(COUNTIF(A$30:A31,A31)-1)</f>
        <v>9711</v>
      </c>
      <c r="F31" s="105" t="s">
        <v>185</v>
      </c>
      <c r="G31" s="162" t="s">
        <v>365</v>
      </c>
      <c r="H31" s="162" t="s">
        <v>401</v>
      </c>
    </row>
    <row r="32" spans="1:8" x14ac:dyDescent="0.15">
      <c r="A32" s="105">
        <v>971</v>
      </c>
      <c r="B32" s="138" t="str">
        <f>VLOOKUP(A32,[1]characters!$A:$C,3,FALSE)</f>
        <v>機獅蛮勇 ブレイブリー・ライオン</v>
      </c>
      <c r="C32" s="105" t="s">
        <v>198</v>
      </c>
      <c r="D32" s="138" t="str">
        <f>A32&amp;C32</f>
        <v>971cskill</v>
      </c>
      <c r="E32" s="138" t="str">
        <f>A32&amp;+(COUNTIF(A$30:A32,A32)-1)</f>
        <v>9712</v>
      </c>
      <c r="F32" s="105" t="s">
        <v>185</v>
      </c>
      <c r="G32" s="162" t="s">
        <v>365</v>
      </c>
      <c r="H32" s="162" t="s">
        <v>402</v>
      </c>
    </row>
    <row r="33" spans="1:8" x14ac:dyDescent="0.15">
      <c r="A33" s="105">
        <v>971</v>
      </c>
      <c r="B33" s="138" t="str">
        <f>VLOOKUP(A33,[1]characters!$A:$C,3,FALSE)</f>
        <v>機獅蛮勇 ブレイブリー・ライオン</v>
      </c>
      <c r="C33" s="105" t="s">
        <v>198</v>
      </c>
      <c r="D33" s="138" t="str">
        <f>A33&amp;C33</f>
        <v>971cskill</v>
      </c>
      <c r="E33" s="138" t="str">
        <f>A33&amp;+(COUNTIF(A$30:A33,A33)-1)</f>
        <v>9713</v>
      </c>
      <c r="F33" s="105" t="s">
        <v>185</v>
      </c>
      <c r="G33" s="162" t="s">
        <v>196</v>
      </c>
      <c r="H33" s="162" t="s">
        <v>403</v>
      </c>
    </row>
    <row r="34" spans="1:8" x14ac:dyDescent="0.15">
      <c r="A34" s="105">
        <v>971</v>
      </c>
      <c r="B34" s="138" t="str">
        <f>VLOOKUP(A34,[1]characters!$A:$C,3,FALSE)</f>
        <v>機獅蛮勇 ブレイブリー・ライオン</v>
      </c>
      <c r="C34" s="105" t="s">
        <v>198</v>
      </c>
      <c r="D34" s="138" t="str">
        <f>A34&amp;C34</f>
        <v>971cskill</v>
      </c>
      <c r="E34" s="138" t="str">
        <f>A34&amp;+(COUNTIF(A$30:A34,A34)-1)</f>
        <v>9714</v>
      </c>
      <c r="F34" s="105" t="s">
        <v>185</v>
      </c>
      <c r="G34" s="162" t="s">
        <v>365</v>
      </c>
      <c r="H34" s="162" t="s">
        <v>400</v>
      </c>
    </row>
    <row r="35" spans="1:8" x14ac:dyDescent="0.15">
      <c r="A35" s="105">
        <v>969</v>
      </c>
      <c r="B35" s="138" t="str">
        <f>VLOOKUP(A35,[1]characters!$A:$C,3,FALSE)</f>
        <v>超排撃の焔砲巨神 ユミル</v>
      </c>
      <c r="C35" s="105" t="s">
        <v>195</v>
      </c>
      <c r="D35" s="138" t="str">
        <f t="shared" ref="D35" si="7">A35&amp;C35</f>
        <v>969skill</v>
      </c>
      <c r="E35" s="138" t="str">
        <f>A35&amp;+(COUNTIF(A$30:A35,A35)-1)</f>
        <v>9690</v>
      </c>
      <c r="F35" s="105" t="s">
        <v>185</v>
      </c>
      <c r="G35" s="162" t="s">
        <v>365</v>
      </c>
      <c r="H35" s="162" t="s">
        <v>397</v>
      </c>
    </row>
    <row r="36" spans="1:8" x14ac:dyDescent="0.15">
      <c r="A36" s="105">
        <v>969</v>
      </c>
      <c r="B36" s="138" t="str">
        <f>VLOOKUP(A36,[1]characters!$A:$C,3,FALSE)</f>
        <v>超排撃の焔砲巨神 ユミル</v>
      </c>
      <c r="C36" s="105" t="s">
        <v>198</v>
      </c>
      <c r="D36" s="138" t="str">
        <f>A36&amp;C36</f>
        <v>969cskill</v>
      </c>
      <c r="E36" s="138" t="str">
        <f>A36&amp;+(COUNTIF(A$30:A36,A36)-1)</f>
        <v>9691</v>
      </c>
      <c r="F36" s="105" t="s">
        <v>185</v>
      </c>
      <c r="G36" s="162" t="s">
        <v>365</v>
      </c>
      <c r="H36" s="162" t="s">
        <v>404</v>
      </c>
    </row>
    <row r="37" spans="1:8" x14ac:dyDescent="0.15">
      <c r="A37" s="105">
        <v>969</v>
      </c>
      <c r="B37" s="138" t="str">
        <f>VLOOKUP(A37,[1]characters!$A:$C,3,FALSE)</f>
        <v>超排撃の焔砲巨神 ユミル</v>
      </c>
      <c r="C37" s="105" t="s">
        <v>198</v>
      </c>
      <c r="D37" s="138" t="str">
        <f>A37&amp;C37</f>
        <v>969cskill</v>
      </c>
      <c r="E37" s="138" t="str">
        <f>A37&amp;+(COUNTIF(A$30:A37,A37)-1)</f>
        <v>9692</v>
      </c>
      <c r="F37" s="105" t="s">
        <v>185</v>
      </c>
      <c r="G37" s="162" t="s">
        <v>196</v>
      </c>
      <c r="H37" s="162" t="s">
        <v>405</v>
      </c>
    </row>
    <row r="38" spans="1:8" x14ac:dyDescent="0.15">
      <c r="A38" s="105">
        <v>969</v>
      </c>
      <c r="B38" s="138" t="str">
        <f>VLOOKUP(A38,[1]characters!$A:$C,3,FALSE)</f>
        <v>超排撃の焔砲巨神 ユミル</v>
      </c>
      <c r="C38" s="105" t="s">
        <v>198</v>
      </c>
      <c r="D38" s="138" t="str">
        <f>A38&amp;C38</f>
        <v>969cskill</v>
      </c>
      <c r="E38" s="138" t="str">
        <f>A38&amp;+(COUNTIF(A$30:A38,A38)-1)</f>
        <v>9693</v>
      </c>
      <c r="F38" s="105" t="s">
        <v>185</v>
      </c>
      <c r="G38" s="162" t="s">
        <v>196</v>
      </c>
      <c r="H38" s="162" t="s">
        <v>406</v>
      </c>
    </row>
    <row r="39" spans="1:8" x14ac:dyDescent="0.15">
      <c r="A39" s="105">
        <v>969</v>
      </c>
      <c r="B39" s="138" t="str">
        <f>VLOOKUP(A39,[1]characters!$A:$C,3,FALSE)</f>
        <v>超排撃の焔砲巨神 ユミル</v>
      </c>
      <c r="C39" s="105" t="s">
        <v>198</v>
      </c>
      <c r="D39" s="138" t="str">
        <f>A39&amp;C39</f>
        <v>969cskill</v>
      </c>
      <c r="E39" s="138" t="str">
        <f>A39&amp;+(COUNTIF(A$30:A39,A39)-1)</f>
        <v>9694</v>
      </c>
      <c r="F39" s="105" t="s">
        <v>185</v>
      </c>
      <c r="G39" s="162" t="s">
        <v>365</v>
      </c>
      <c r="H39" s="162" t="s">
        <v>399</v>
      </c>
    </row>
    <row r="40" spans="1:8" x14ac:dyDescent="0.15">
      <c r="A40" s="105">
        <v>782</v>
      </c>
      <c r="B40" s="138" t="str">
        <f>VLOOKUP(A40,[1]characters!$A:$C,3,FALSE)</f>
        <v>機甲雷天使 ミカエル・グロリアス</v>
      </c>
      <c r="C40" s="105" t="s">
        <v>195</v>
      </c>
      <c r="D40" s="138" t="str">
        <f t="shared" ref="D40" si="8">A40&amp;C40</f>
        <v>782skill</v>
      </c>
      <c r="E40" s="138" t="str">
        <f>A40&amp;+(COUNTIF(A$30:A40,A40)-1)</f>
        <v>7820</v>
      </c>
      <c r="F40" s="105" t="s">
        <v>185</v>
      </c>
      <c r="G40" s="162" t="s">
        <v>365</v>
      </c>
      <c r="H40" s="162" t="s">
        <v>383</v>
      </c>
    </row>
    <row r="41" spans="1:8" x14ac:dyDescent="0.15">
      <c r="A41" s="105">
        <v>782</v>
      </c>
      <c r="B41" s="138" t="str">
        <f>VLOOKUP(A41,[1]characters!$A:$C,3,FALSE)</f>
        <v>機甲雷天使 ミカエル・グロリアス</v>
      </c>
      <c r="C41" s="105" t="s">
        <v>198</v>
      </c>
      <c r="D41" s="138" t="str">
        <f>A41&amp;C41</f>
        <v>782cskill</v>
      </c>
      <c r="E41" s="138" t="str">
        <f>A41&amp;+(COUNTIF(A$30:A41,A41)-1)</f>
        <v>7821</v>
      </c>
      <c r="F41" s="105" t="s">
        <v>185</v>
      </c>
      <c r="G41" s="162" t="s">
        <v>365</v>
      </c>
      <c r="H41" s="198" t="s">
        <v>388</v>
      </c>
    </row>
    <row r="42" spans="1:8" x14ac:dyDescent="0.15">
      <c r="A42" s="105">
        <v>782</v>
      </c>
      <c r="B42" s="138" t="str">
        <f>VLOOKUP(A42,[1]characters!$A:$C,3,FALSE)</f>
        <v>機甲雷天使 ミカエル・グロリアス</v>
      </c>
      <c r="C42" s="105" t="s">
        <v>198</v>
      </c>
      <c r="D42" s="138" t="str">
        <f>A42&amp;C42</f>
        <v>782cskill</v>
      </c>
      <c r="E42" s="138" t="str">
        <f>A42&amp;+(COUNTIF(A$30:A42,A42)-1)</f>
        <v>7822</v>
      </c>
      <c r="F42" s="105" t="s">
        <v>185</v>
      </c>
      <c r="G42" s="162" t="s">
        <v>196</v>
      </c>
      <c r="H42" s="198" t="s">
        <v>389</v>
      </c>
    </row>
    <row r="43" spans="1:8" x14ac:dyDescent="0.15">
      <c r="A43" s="105">
        <v>782</v>
      </c>
      <c r="B43" s="138" t="str">
        <f>VLOOKUP(A43,[1]characters!$A:$C,3,FALSE)</f>
        <v>機甲雷天使 ミカエル・グロリアス</v>
      </c>
      <c r="C43" s="105" t="s">
        <v>198</v>
      </c>
      <c r="D43" s="138" t="str">
        <f>A43&amp;C43</f>
        <v>782cskill</v>
      </c>
      <c r="E43" s="138" t="str">
        <f>A43&amp;+(COUNTIF(A$30:A43,A43)-1)</f>
        <v>7823</v>
      </c>
      <c r="F43" s="105" t="s">
        <v>185</v>
      </c>
      <c r="G43" s="162" t="s">
        <v>196</v>
      </c>
      <c r="H43" s="162" t="s">
        <v>385</v>
      </c>
    </row>
    <row r="44" spans="1:8" x14ac:dyDescent="0.15">
      <c r="A44" s="105">
        <v>782</v>
      </c>
      <c r="B44" s="138" t="str">
        <f>VLOOKUP(A44,[1]characters!$A:$C,3,FALSE)</f>
        <v>機甲雷天使 ミカエル・グロリアス</v>
      </c>
      <c r="C44" s="105" t="s">
        <v>198</v>
      </c>
      <c r="D44" s="138" t="str">
        <f>A44&amp;C44</f>
        <v>782cskill</v>
      </c>
      <c r="E44" s="138" t="str">
        <f>A44&amp;+(COUNTIF(A$30:A44,A44)-1)</f>
        <v>7824</v>
      </c>
      <c r="F44" s="105" t="s">
        <v>185</v>
      </c>
      <c r="G44" s="162" t="s">
        <v>365</v>
      </c>
      <c r="H44" s="162" t="s">
        <v>384</v>
      </c>
    </row>
  </sheetData>
  <phoneticPr fontId="22"/>
  <dataValidations count="2">
    <dataValidation type="list" allowBlank="1" showInputMessage="1" showErrorMessage="1" sqref="G2:G44">
      <formula1>"maru,giza,kumo"</formula1>
    </dataValidation>
    <dataValidation type="list" allowBlank="1" showInputMessage="1" showErrorMessage="1" sqref="C2:C44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10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5" sqref="A5:XFD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323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流麗の愛志士 土方歳三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ガチャ:幕末01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破界者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美しい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966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麗嵐の颯愛志士 土方歳三</v>
      </c>
      <c r="S2" s="5">
        <f t="shared" ref="S2:S7" ca="1" si="0">IF(ISNA(MATCH(A2,Q:Q,0)),A2,INDIRECT(ADDRESS(MATCH(A2,Q:Q,0),COLUMN())))</f>
        <v>323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流麗の愛志士 土方歳三</v>
      </c>
      <c r="U2" s="10">
        <f ca="1">IF(Q2="NULL","NULL",VLOOKUP(G2,[2]ビット!$A$2:$B$7,2))</f>
        <v>200000</v>
      </c>
    </row>
    <row r="3" spans="1:21" ht="21" customHeight="1" x14ac:dyDescent="0.15">
      <c r="A3" s="191">
        <v>327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千殺の妖志士 斎藤一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ガチャ:幕末01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破界者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美しい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967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討滅の凶妖志士 斎藤一</v>
      </c>
      <c r="S3" s="5">
        <f t="shared" ca="1" si="0"/>
        <v>327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千殺の妖志士 斎藤一</v>
      </c>
      <c r="U3" s="10">
        <f ca="1">IF(Q3="NULL","NULL",VLOOKUP(G3,[2]ビット!$A$2:$B$7,2))</f>
        <v>200000</v>
      </c>
    </row>
    <row r="4" spans="1:21" ht="21" customHeight="1" x14ac:dyDescent="0.15">
      <c r="A4" s="186">
        <v>409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天眼の皇貴魔 アスタロト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ガチャ:魔獣シリーズ02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6">
        <v>963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天蛇の閃皇貴魔 アスタロト</v>
      </c>
      <c r="S4" s="5">
        <f t="shared" ca="1" si="0"/>
        <v>409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天眼の皇貴魔 アスタロト</v>
      </c>
      <c r="U4" s="10">
        <f ca="1">IF(Q4="NULL","NULL",VLOOKUP(G4,[2]ビット!$A$2:$B$7,2))</f>
        <v>200000</v>
      </c>
    </row>
    <row r="5" spans="1:21" ht="21" customHeight="1" x14ac:dyDescent="0.15">
      <c r="A5" s="186">
        <v>480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夢幻の愚者フール</v>
      </c>
      <c r="C5" s="53" t="str">
        <f ca="1">VLOOKUP($A5,OFFSET([1]characters!$A$1,0,0,COUNTA([1]characters!$A:$A),MATCH(C$1,[1]characters!$1:$1,0)-MATCH($A$1,[1]characters!$1:$1,0)+1),MATCH(C$1,[1]characters!$1:$1,0)-MATCH($A$1,[1]characters!$1:$1,0)+1,FALSE)</f>
        <v>ガチャ:デッドマンズ</v>
      </c>
      <c r="D5" s="53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3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3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6" t="str">
        <f>VLOOKUP(Q5,[1]characters!$A:$AC,20)</f>
        <v>normal</v>
      </c>
      <c r="Q5" s="186">
        <v>968</v>
      </c>
      <c r="R5" s="58" t="str">
        <f ca="1">IF(Q5="NULL","",VLOOKUP($Q5,OFFSET([1]characters!$A$1,0,0,COUNTA([1]characters!$A:$A),MATCH(R$1,[1]characters!$1:$1,0)-MATCH($A$1,[1]characters!$1:$1,0)+1),MATCH(R$1,[1]characters!$1:$1,0)-MATCH($A$1,[1]characters!$1:$1,0)+1,FALSE))</f>
        <v>夢謀の愚幻者 フール</v>
      </c>
      <c r="S5" s="5">
        <f t="shared" ca="1" si="0"/>
        <v>480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夢幻の愚者フール</v>
      </c>
      <c r="U5" s="10">
        <f ca="1">IF(Q5="NULL","NULL",VLOOKUP(G5,[2]ビット!$A$2:$B$7,2))</f>
        <v>200000</v>
      </c>
    </row>
    <row r="6" spans="1:21" ht="21" customHeight="1" x14ac:dyDescent="0.15">
      <c r="A6" s="186">
        <v>143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深紅の死神 赤ずきん</v>
      </c>
      <c r="C6" s="53" t="str">
        <f ca="1">VLOOKUP($A6,OFFSET([1]characters!$A$1,0,0,COUNTA([1]characters!$A:$A),MATCH(C$1,[1]characters!$1:$1,0)-MATCH($A$1,[1]characters!$1:$1,0)+1),MATCH(C$1,[1]characters!$1:$1,0)-MATCH($A$1,[1]characters!$1:$1,0)+1,FALSE)</f>
        <v>初期ガチャ</v>
      </c>
      <c r="D6" s="53" t="str">
        <f ca="1">VLOOKUP($A6,OFFSET([1]characters!$A$1,0,0,COUNTA([1]characters!$A:$A),MATCH(D$1,[1]characters!$1:$1,0)-MATCH($A$1,[1]characters!$1:$1,0)+1),MATCH(D$1,[1]characters!$1:$1,0)-MATCH($A$1,[1]characters!$1:$1,0)+1,FALSE)</f>
        <v>アバター</v>
      </c>
      <c r="E6" s="53" t="str">
        <f ca="1">VLOOKUP($A6,OFFSET([1]characters!$A$1,0,0,COUNTA([1]characters!$A:$A),MATCH(E$1,[1]characters!$1:$1,0)-MATCH($A$1,[1]characters!$1:$1,0)+1),MATCH(E$1,[1]characters!$1:$1,0)-MATCH($A$1,[1]characters!$1:$1,0)+1,FALSE)</f>
        <v>可愛い</v>
      </c>
      <c r="F6" s="53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PremiumW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53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0" t="e">
        <f>VLOOKUP(#REF!,[1]character_tribe_i18n!$A:$H,4,FALSE)</f>
        <v>#REF!</v>
      </c>
      <c r="M6" s="10" t="e">
        <f>VLOOKUP(#REF!,[1]character_tribe_i18n!$A:$H,5,FALSE)</f>
        <v>#REF!</v>
      </c>
      <c r="N6" s="10" t="e">
        <f>VLOOKUP(#REF!,[1]character_tribe_i18n!$A:$H,6,FALSE)</f>
        <v>#REF!</v>
      </c>
      <c r="O6" s="10" t="e">
        <f>VLOOKUP(#REF!,[1]character_tribe_i18n!$A:$H,7,FALSE)</f>
        <v>#REF!</v>
      </c>
      <c r="P6" s="176" t="str">
        <f>VLOOKUP(Q6,[1]characters!$A:$AC,20)</f>
        <v>normal</v>
      </c>
      <c r="Q6" s="186">
        <v>564</v>
      </c>
      <c r="R6" s="58" t="str">
        <f ca="1">IF(Q6="NULL","",VLOOKUP($Q6,OFFSET([1]characters!$A$1,0,0,COUNTA([1]characters!$A:$A),MATCH(R$1,[1]characters!$1:$1,0)-MATCH($A$1,[1]characters!$1:$1,0)+1),MATCH(R$1,[1]characters!$1:$1,0)-MATCH($A$1,[1]characters!$1:$1,0)+1,FALSE))</f>
        <v>赤ずきん</v>
      </c>
      <c r="S6" s="5">
        <f t="shared" ca="1" si="0"/>
        <v>143</v>
      </c>
      <c r="T6" s="58" t="str">
        <f ca="1">VLOOKUP($S6,OFFSET([1]characters!$A$1,0,0,COUNTA([1]characters!$A:$A),MATCH(T$1,[1]characters!$1:$1,0)-MATCH($A$1,[1]characters!$1:$1,0)+1),MATCH(T$1,[1]characters!$1:$1,0)-MATCH($A$1,[1]characters!$1:$1,0)+1,FALSE)</f>
        <v>深紅の死神 赤ずきん</v>
      </c>
      <c r="U6" s="10">
        <f ca="1">IF(Q6="NULL","NULL",VLOOKUP(G6,[2]ビット!$A$2:$B$7,2))</f>
        <v>50000</v>
      </c>
    </row>
    <row r="7" spans="1:21" ht="21" customHeight="1" x14ac:dyDescent="0.15">
      <c r="A7" s="186">
        <v>145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魔性妖艶 かぐや</v>
      </c>
      <c r="C7" s="53" t="str">
        <f ca="1">VLOOKUP($A7,OFFSET([1]characters!$A$1,0,0,COUNTA([1]characters!$A:$A),MATCH(C$1,[1]characters!$1:$1,0)-MATCH($A$1,[1]characters!$1:$1,0)+1),MATCH(C$1,[1]characters!$1:$1,0)-MATCH($A$1,[1]characters!$1:$1,0)+1,FALSE)</f>
        <v>初期ガチャ</v>
      </c>
      <c r="D7" s="53" t="str">
        <f ca="1">VLOOKUP($A7,OFFSET([1]characters!$A$1,0,0,COUNTA([1]characters!$A:$A),MATCH(D$1,[1]characters!$1:$1,0)-MATCH($A$1,[1]characters!$1:$1,0)+1),MATCH(D$1,[1]characters!$1:$1,0)-MATCH($A$1,[1]characters!$1:$1,0)+1,FALSE)</f>
        <v>アバター</v>
      </c>
      <c r="E7" s="53" t="str">
        <f ca="1">VLOOKUP($A7,OFFSET([1]characters!$A$1,0,0,COUNTA([1]characters!$A:$A),MATCH(E$1,[1]characters!$1:$1,0)-MATCH($A$1,[1]characters!$1:$1,0)+1),MATCH(E$1,[1]characters!$1:$1,0)-MATCH($A$1,[1]characters!$1:$1,0)+1,FALSE)</f>
        <v>美しい</v>
      </c>
      <c r="F7" s="53" t="str">
        <f ca="1">VLOOKUP($A7,OFFSET([1]characters!$A$1,0,0,COUNTA([1]characters!$A:$A),MATCH(F$1,[1]characters!$1:$1,0)-MATCH($A$1,[1]characters!$1:$1,0)+1),MATCH(F$1,[1]characters!$1:$1,0)-MATCH($A$1,[1]characters!$1:$1,0)+1,FALSE)</f>
        <v>女性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PremiumW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53" t="str">
        <f ca="1">VLOOKUP($A7,OFFSET([1]characters!$A$1,0,0,COUNTA([1]characters!$A:$A),MATCH(J$1,[1]characters!$1:$1,0)-MATCH($A$1,[1]characters!$1:$1,0)+1),MATCH(J$1,[1]characters!$1:$1,0)-MATCH($A$1,[1]characters!$1:$1,0)+1,FALSE)</f>
        <v>none</v>
      </c>
      <c r="K7" s="5" t="str">
        <f ca="1">VLOOKUP(J7,[1]character_tribe_i18n!$A:$H,3,FALSE)</f>
        <v>種族なし</v>
      </c>
      <c r="L7" s="10" t="e">
        <f>VLOOKUP(#REF!,[1]character_tribe_i18n!$A:$H,4,FALSE)</f>
        <v>#REF!</v>
      </c>
      <c r="M7" s="10" t="e">
        <f>VLOOKUP(#REF!,[1]character_tribe_i18n!$A:$H,5,FALSE)</f>
        <v>#REF!</v>
      </c>
      <c r="N7" s="10" t="e">
        <f>VLOOKUP(#REF!,[1]character_tribe_i18n!$A:$H,6,FALSE)</f>
        <v>#REF!</v>
      </c>
      <c r="O7" s="10" t="e">
        <f>VLOOKUP(#REF!,[1]character_tribe_i18n!$A:$H,7,FALSE)</f>
        <v>#REF!</v>
      </c>
      <c r="P7" s="176" t="str">
        <f>VLOOKUP(Q7,[1]characters!$A:$AC,20)</f>
        <v>normal</v>
      </c>
      <c r="Q7" s="186">
        <v>565</v>
      </c>
      <c r="R7" s="58" t="str">
        <f ca="1">IF(Q7="NULL","",VLOOKUP($Q7,OFFSET([1]characters!$A$1,0,0,COUNTA([1]characters!$A:$A),MATCH(R$1,[1]characters!$1:$1,0)-MATCH($A$1,[1]characters!$1:$1,0)+1),MATCH(R$1,[1]characters!$1:$1,0)-MATCH($A$1,[1]characters!$1:$1,0)+1,FALSE))</f>
        <v>かぐや</v>
      </c>
      <c r="S7" s="5">
        <f t="shared" ca="1" si="0"/>
        <v>145</v>
      </c>
      <c r="T7" s="58" t="str">
        <f ca="1">VLOOKUP($S7,OFFSET([1]characters!$A$1,0,0,COUNTA([1]characters!$A:$A),MATCH(T$1,[1]characters!$1:$1,0)-MATCH($A$1,[1]characters!$1:$1,0)+1),MATCH(T$1,[1]characters!$1:$1,0)-MATCH($A$1,[1]characters!$1:$1,0)+1,FALSE)</f>
        <v>魔性妖艶 かぐや</v>
      </c>
      <c r="U7" s="10">
        <f ca="1">IF(Q7="NULL","NULL",VLOOKUP(G7,[2]ビット!$A$2:$B$7,2))</f>
        <v>50000</v>
      </c>
    </row>
    <row r="8" spans="1:21" ht="21" customHeight="1" x14ac:dyDescent="0.15">
      <c r="A8" s="186">
        <v>443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勇機結集 ブレイブリー・ライオン</v>
      </c>
      <c r="C8" s="53" t="str">
        <f ca="1">VLOOKUP($A8,OFFSET([1]characters!$A$1,0,0,COUNTA([1]characters!$A:$A),MATCH(C$1,[1]characters!$1:$1,0)-MATCH($A$1,[1]characters!$1:$1,0)+1),MATCH(C$1,[1]characters!$1:$1,0)-MATCH($A$1,[1]characters!$1:$1,0)+1,FALSE)</f>
        <v>ガチャ:オズ01</v>
      </c>
      <c r="D8" s="53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3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3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53" t="str">
        <f ca="1">VLOOKUP($A8,OFFSET([1]characters!$A$1,0,0,COUNTA([1]characters!$A:$A),MATCH(J$1,[1]characters!$1:$1,0)-MATCH($A$1,[1]characters!$1:$1,0)+1),MATCH(J$1,[1]characters!$1:$1,0)-MATCH($A$1,[1]characters!$1:$1,0)+1,FALSE)</f>
        <v>none</v>
      </c>
      <c r="K8" s="5" t="str">
        <f ca="1">VLOOKUP(J8,[1]character_tribe_i18n!$A:$H,3,FALSE)</f>
        <v>種族なし</v>
      </c>
      <c r="L8" s="10" t="e">
        <f>VLOOKUP(#REF!,[1]character_tribe_i18n!$A:$H,4,FALSE)</f>
        <v>#REF!</v>
      </c>
      <c r="M8" s="10" t="e">
        <f>VLOOKUP(#REF!,[1]character_tribe_i18n!$A:$H,5,FALSE)</f>
        <v>#REF!</v>
      </c>
      <c r="N8" s="10" t="e">
        <f>VLOOKUP(#REF!,[1]character_tribe_i18n!$A:$H,6,FALSE)</f>
        <v>#REF!</v>
      </c>
      <c r="O8" s="10" t="e">
        <f>VLOOKUP(#REF!,[1]character_tribe_i18n!$A:$H,7,FALSE)</f>
        <v>#REF!</v>
      </c>
      <c r="P8" s="176" t="str">
        <f>VLOOKUP(Q8,[1]characters!$A:$AC,20)</f>
        <v>normal</v>
      </c>
      <c r="Q8" s="186">
        <v>971</v>
      </c>
      <c r="R8" s="58" t="str">
        <f ca="1">IF(Q8="NULL","",VLOOKUP($Q8,OFFSET([1]characters!$A$1,0,0,COUNTA([1]characters!$A:$A),MATCH(R$1,[1]characters!$1:$1,0)-MATCH($A$1,[1]characters!$1:$1,0)+1),MATCH(R$1,[1]characters!$1:$1,0)-MATCH($A$1,[1]characters!$1:$1,0)+1,FALSE))</f>
        <v>機獅蛮勇 ブレイブリー・ライオン</v>
      </c>
      <c r="S8" s="5">
        <f t="shared" ref="S8" ca="1" si="1">IF(ISNA(MATCH(A8,Q:Q,0)),A8,INDIRECT(ADDRESS(MATCH(A8,Q:Q,0),COLUMN())))</f>
        <v>443</v>
      </c>
      <c r="T8" s="58" t="str">
        <f ca="1">VLOOKUP($S8,OFFSET([1]characters!$A$1,0,0,COUNTA([1]characters!$A:$A),MATCH(T$1,[1]characters!$1:$1,0)-MATCH($A$1,[1]characters!$1:$1,0)+1),MATCH(T$1,[1]characters!$1:$1,0)-MATCH($A$1,[1]characters!$1:$1,0)+1,FALSE)</f>
        <v>勇機結集 ブレイブリー・ライオン</v>
      </c>
      <c r="U8" s="10">
        <f ca="1">IF(Q8="NULL","NULL",VLOOKUP(G8,[2]ビット!$A$2:$B$7,2))</f>
        <v>200000</v>
      </c>
    </row>
    <row r="9" spans="1:21" ht="21" customHeight="1" x14ac:dyDescent="0.15">
      <c r="A9" s="186">
        <v>587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原初の煉鋼巨刃 ユミル</v>
      </c>
      <c r="C9" s="53" t="str">
        <f ca="1">VLOOKUP($A9,OFFSET([1]characters!$A$1,0,0,COUNTA([1]characters!$A:$A),MATCH(C$1,[1]characters!$1:$1,0)-MATCH($A$1,[1]characters!$1:$1,0)+1),MATCH(C$1,[1]characters!$1:$1,0)-MATCH($A$1,[1]characters!$1:$1,0)+1,FALSE)</f>
        <v>ガチャ:北欧01</v>
      </c>
      <c r="D9" s="53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3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3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53" t="str">
        <f ca="1">VLOOKUP($A9,OFFSET([1]characters!$A$1,0,0,COUNTA([1]characters!$A:$A),MATCH(J$1,[1]characters!$1:$1,0)-MATCH($A$1,[1]characters!$1:$1,0)+1),MATCH(J$1,[1]characters!$1:$1,0)-MATCH($A$1,[1]characters!$1:$1,0)+1,FALSE)</f>
        <v>none</v>
      </c>
      <c r="K9" s="5" t="str">
        <f ca="1">VLOOKUP(J9,[1]character_tribe_i18n!$A:$H,3,FALSE)</f>
        <v>種族なし</v>
      </c>
      <c r="L9" s="10" t="e">
        <f>VLOOKUP(#REF!,[1]character_tribe_i18n!$A:$H,4,FALSE)</f>
        <v>#REF!</v>
      </c>
      <c r="M9" s="10" t="e">
        <f>VLOOKUP(#REF!,[1]character_tribe_i18n!$A:$H,5,FALSE)</f>
        <v>#REF!</v>
      </c>
      <c r="N9" s="10" t="e">
        <f>VLOOKUP(#REF!,[1]character_tribe_i18n!$A:$H,6,FALSE)</f>
        <v>#REF!</v>
      </c>
      <c r="O9" s="10" t="e">
        <f>VLOOKUP(#REF!,[1]character_tribe_i18n!$A:$H,7,FALSE)</f>
        <v>#REF!</v>
      </c>
      <c r="P9" s="176" t="str">
        <f>VLOOKUP(Q9,[1]characters!$A:$AC,20)</f>
        <v>normal</v>
      </c>
      <c r="Q9" s="186">
        <v>969</v>
      </c>
      <c r="R9" s="58" t="str">
        <f ca="1">IF(Q9="NULL","",VLOOKUP($Q9,OFFSET([1]characters!$A$1,0,0,COUNTA([1]characters!$A:$A),MATCH(R$1,[1]characters!$1:$1,0)-MATCH($A$1,[1]characters!$1:$1,0)+1),MATCH(R$1,[1]characters!$1:$1,0)-MATCH($A$1,[1]characters!$1:$1,0)+1,FALSE))</f>
        <v>超排撃の焔砲巨神 ユミル</v>
      </c>
      <c r="S9" s="5">
        <f t="shared" ref="S9" ca="1" si="2">IF(ISNA(MATCH(A9,Q:Q,0)),A9,INDIRECT(ADDRESS(MATCH(A9,Q:Q,0),COLUMN())))</f>
        <v>587</v>
      </c>
      <c r="T9" s="58" t="str">
        <f ca="1">VLOOKUP($S9,OFFSET([1]characters!$A$1,0,0,COUNTA([1]characters!$A:$A),MATCH(T$1,[1]characters!$1:$1,0)-MATCH($A$1,[1]characters!$1:$1,0)+1),MATCH(T$1,[1]characters!$1:$1,0)-MATCH($A$1,[1]characters!$1:$1,0)+1,FALSE)</f>
        <v>原初の煉鋼巨刃 ユミル</v>
      </c>
      <c r="U9" s="10">
        <f ca="1">IF(Q9="NULL","NULL",VLOOKUP(G9,[2]ビット!$A$2:$B$7,2))</f>
        <v>200000</v>
      </c>
    </row>
    <row r="10" spans="1:21" ht="21" customHeight="1" x14ac:dyDescent="0.15">
      <c r="A10" s="186">
        <v>249</v>
      </c>
      <c r="B10" s="53" t="str">
        <f ca="1">VLOOKUP($A10,OFFSET([1]characters!$A$1,0,0,COUNTA([1]characters!$A:$A),MATCH(B$1,[1]characters!$1:$1,0)-MATCH($A$1,[1]characters!$1:$1,0)+1),MATCH(B$1,[1]characters!$1:$1,0)-MATCH($A$1,[1]characters!$1:$1,0)+1,FALSE)</f>
        <v>雷電の天使 ミカエル・ゲイナー</v>
      </c>
      <c r="C10" s="53" t="str">
        <f ca="1">VLOOKUP($A10,OFFSET([1]characters!$A$1,0,0,COUNTA([1]characters!$A:$A),MATCH(C$1,[1]characters!$1:$1,0)-MATCH($A$1,[1]characters!$1:$1,0)+1),MATCH(C$1,[1]characters!$1:$1,0)-MATCH($A$1,[1]characters!$1:$1,0)+1,FALSE)</f>
        <v>ガチャ:天使01</v>
      </c>
      <c r="D10" s="53" t="str">
        <f ca="1">VLOOKUP($A10,OFFSET([1]characters!$A$1,0,0,COUNTA([1]characters!$A:$A),MATCH(D$1,[1]characters!$1:$1,0)-MATCH($A$1,[1]characters!$1:$1,0)+1),MATCH(D$1,[1]characters!$1:$1,0)-MATCH($A$1,[1]characters!$1:$1,0)+1,FALSE)</f>
        <v>管理者</v>
      </c>
      <c r="E10" s="53" t="str">
        <f ca="1">VLOOKUP($A10,OFFSET([1]characters!$A$1,0,0,COUNTA([1]characters!$A:$A),MATCH(E$1,[1]characters!$1:$1,0)-MATCH($A$1,[1]characters!$1:$1,0)+1),MATCH(E$1,[1]characters!$1:$1,0)-MATCH($A$1,[1]characters!$1:$1,0)+1,FALSE)</f>
        <v>可愛い</v>
      </c>
      <c r="F10" s="53" t="str">
        <f ca="1">VLOOKUP($A10,OFFSET([1]characters!$A$1,0,0,COUNTA([1]characters!$A:$A),MATCH(F$1,[1]characters!$1:$1,0)-MATCH($A$1,[1]characters!$1:$1,0)+1),MATCH(F$1,[1]characters!$1:$1,0)-MATCH($A$1,[1]characters!$1:$1,0)+1,FALSE)</f>
        <v>女性</v>
      </c>
      <c r="G10" s="53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3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3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53" t="str">
        <f ca="1">VLOOKUP($A10,OFFSET([1]characters!$A$1,0,0,COUNTA([1]characters!$A:$A),MATCH(J$1,[1]characters!$1:$1,0)-MATCH($A$1,[1]characters!$1:$1,0)+1),MATCH(J$1,[1]characters!$1:$1,0)-MATCH($A$1,[1]characters!$1:$1,0)+1,FALSE)</f>
        <v>god</v>
      </c>
      <c r="K10" s="5" t="str">
        <f ca="1">VLOOKUP(J10,[1]character_tribe_i18n!$A:$H,3,FALSE)</f>
        <v>ゴッド</v>
      </c>
      <c r="L10" s="10" t="e">
        <f>VLOOKUP(#REF!,[1]character_tribe_i18n!$A:$H,4,FALSE)</f>
        <v>#REF!</v>
      </c>
      <c r="M10" s="10" t="e">
        <f>VLOOKUP(#REF!,[1]character_tribe_i18n!$A:$H,5,FALSE)</f>
        <v>#REF!</v>
      </c>
      <c r="N10" s="10" t="e">
        <f>VLOOKUP(#REF!,[1]character_tribe_i18n!$A:$H,6,FALSE)</f>
        <v>#REF!</v>
      </c>
      <c r="O10" s="10" t="e">
        <f>VLOOKUP(#REF!,[1]character_tribe_i18n!$A:$H,7,FALSE)</f>
        <v>#REF!</v>
      </c>
      <c r="P10" s="176" t="str">
        <f>VLOOKUP(Q10,[1]characters!$A:$AC,20)</f>
        <v>normal</v>
      </c>
      <c r="Q10" s="186">
        <v>782</v>
      </c>
      <c r="R10" s="58" t="str">
        <f ca="1">IF(Q10="NULL","",VLOOKUP($Q10,OFFSET([1]characters!$A$1,0,0,COUNTA([1]characters!$A:$A),MATCH(R$1,[1]characters!$1:$1,0)-MATCH($A$1,[1]characters!$1:$1,0)+1),MATCH(R$1,[1]characters!$1:$1,0)-MATCH($A$1,[1]characters!$1:$1,0)+1,FALSE))</f>
        <v>機甲雷天使 ミカエル・グロリアス</v>
      </c>
      <c r="S10" s="5">
        <f t="shared" ref="S10" ca="1" si="3">IF(ISNA(MATCH(A10,Q:Q,0)),A10,INDIRECT(ADDRESS(MATCH(A10,Q:Q,0),COLUMN())))</f>
        <v>249</v>
      </c>
      <c r="T10" s="58" t="str">
        <f ca="1">VLOOKUP($S10,OFFSET([1]characters!$A$1,0,0,COUNTA([1]characters!$A:$A),MATCH(T$1,[1]characters!$1:$1,0)-MATCH($A$1,[1]characters!$1:$1,0)+1),MATCH(T$1,[1]characters!$1:$1,0)-MATCH($A$1,[1]characters!$1:$1,0)+1,FALSE)</f>
        <v>雷電の天使 ミカエル・ゲイナー</v>
      </c>
      <c r="U10" s="10">
        <f ca="1">IF(Q10="NULL","NULL",VLOOKUP(G10,[2]ビット!$A$2:$B$7,2))</f>
        <v>200000</v>
      </c>
    </row>
  </sheetData>
  <autoFilter ref="A1:U2"/>
  <phoneticPr fontId="22"/>
  <conditionalFormatting sqref="W1:W2 W11:W1048576">
    <cfRule type="cellIs" dxfId="32" priority="14" operator="equal">
      <formula>"FALSE"</formula>
    </cfRule>
  </conditionalFormatting>
  <conditionalFormatting sqref="W3">
    <cfRule type="cellIs" dxfId="31" priority="8" operator="equal">
      <formula>"FALSE"</formula>
    </cfRule>
  </conditionalFormatting>
  <conditionalFormatting sqref="W4">
    <cfRule type="cellIs" dxfId="30" priority="7" operator="equal">
      <formula>"FALSE"</formula>
    </cfRule>
  </conditionalFormatting>
  <conditionalFormatting sqref="W5">
    <cfRule type="cellIs" dxfId="29" priority="6" operator="equal">
      <formula>"FALSE"</formula>
    </cfRule>
  </conditionalFormatting>
  <conditionalFormatting sqref="W6">
    <cfRule type="cellIs" dxfId="28" priority="5" operator="equal">
      <formula>"FALSE"</formula>
    </cfRule>
  </conditionalFormatting>
  <conditionalFormatting sqref="W7">
    <cfRule type="cellIs" dxfId="27" priority="4" operator="equal">
      <formula>"FALSE"</formula>
    </cfRule>
  </conditionalFormatting>
  <conditionalFormatting sqref="W8">
    <cfRule type="cellIs" dxfId="26" priority="3" operator="equal">
      <formula>"FALSE"</formula>
    </cfRule>
  </conditionalFormatting>
  <conditionalFormatting sqref="W9">
    <cfRule type="cellIs" dxfId="25" priority="2" operator="equal">
      <formula>"FALSE"</formula>
    </cfRule>
  </conditionalFormatting>
  <conditionalFormatting sqref="W10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35"/>
  <sheetViews>
    <sheetView showGridLines="0" topLeftCell="E1" workbookViewId="0">
      <pane ySplit="1" topLeftCell="A4" activePane="bottomLeft" state="frozen"/>
      <selection pane="bottomLeft" activeCell="I10" sqref="I10:J13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 t="shared" ref="A2:A9" si="0">B2&amp;"_"&amp;I2</f>
        <v>323_106</v>
      </c>
      <c r="B2" s="195">
        <v>323</v>
      </c>
      <c r="C2" s="178">
        <f t="shared" ref="C2:C9" si="1">B2</f>
        <v>323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流麗の愛志士 土方歳三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</v>
      </c>
      <c r="G2" s="195">
        <v>966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麗嵐の颯愛志士 土方歳三</v>
      </c>
      <c r="I2" s="194">
        <v>106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グリーンラビット</v>
      </c>
      <c r="K2" s="192">
        <v>1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 t="shared" si="0"/>
        <v>323_107</v>
      </c>
      <c r="B3" s="195">
        <v>323</v>
      </c>
      <c r="C3" s="178">
        <f t="shared" si="1"/>
        <v>323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流麗の愛志士 土方歳三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</v>
      </c>
      <c r="G3" s="195">
        <v>966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麗嵐の颯愛志士 土方歳三</v>
      </c>
      <c r="I3" s="194">
        <v>107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グリーンキャタップ</v>
      </c>
      <c r="K3" s="192">
        <v>1</v>
      </c>
      <c r="L3" s="193">
        <v>1</v>
      </c>
      <c r="M3" s="193">
        <v>10</v>
      </c>
      <c r="N3" s="2" t="s">
        <v>291</v>
      </c>
    </row>
    <row r="4" spans="1:14" ht="21" customHeight="1" x14ac:dyDescent="0.15">
      <c r="A4" s="61" t="str">
        <f t="shared" si="0"/>
        <v>323_108</v>
      </c>
      <c r="B4" s="195">
        <v>323</v>
      </c>
      <c r="C4" s="178">
        <f t="shared" si="1"/>
        <v>323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流麗の愛志士 土方歳三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</v>
      </c>
      <c r="G4" s="195">
        <v>966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麗嵐の颯愛志士 土方歳三</v>
      </c>
      <c r="I4" s="194">
        <v>108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森のマッドハッター</v>
      </c>
      <c r="K4" s="192">
        <v>1</v>
      </c>
      <c r="L4" s="193">
        <v>1</v>
      </c>
      <c r="M4" s="193">
        <v>10</v>
      </c>
      <c r="N4" s="2" t="s">
        <v>291</v>
      </c>
    </row>
    <row r="5" spans="1:14" ht="21" customHeight="1" x14ac:dyDescent="0.15">
      <c r="A5" s="61" t="str">
        <f t="shared" si="0"/>
        <v>323_837</v>
      </c>
      <c r="B5" s="195">
        <v>323</v>
      </c>
      <c r="C5" s="178">
        <f t="shared" si="1"/>
        <v>323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流麗の愛志士 土方歳三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</v>
      </c>
      <c r="G5" s="195">
        <v>966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麗嵐の颯愛志士 土方歳三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291</v>
      </c>
    </row>
    <row r="6" spans="1:14" ht="21" customHeight="1" x14ac:dyDescent="0.15">
      <c r="A6" s="61" t="str">
        <f t="shared" si="0"/>
        <v>327_114</v>
      </c>
      <c r="B6" s="195">
        <v>327</v>
      </c>
      <c r="C6" s="178">
        <f t="shared" si="1"/>
        <v>327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千殺の妖志士 斎藤一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</v>
      </c>
      <c r="G6" s="195">
        <v>967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討滅の凶妖志士 斎藤一</v>
      </c>
      <c r="I6" s="194">
        <v>114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イエローラビット</v>
      </c>
      <c r="K6" s="192">
        <v>1</v>
      </c>
      <c r="L6" s="193">
        <v>1</v>
      </c>
      <c r="M6" s="193">
        <v>10</v>
      </c>
      <c r="N6" s="2" t="s">
        <v>291</v>
      </c>
    </row>
    <row r="7" spans="1:14" ht="21" customHeight="1" x14ac:dyDescent="0.15">
      <c r="A7" s="61" t="str">
        <f t="shared" si="0"/>
        <v>327_115</v>
      </c>
      <c r="B7" s="195">
        <v>327</v>
      </c>
      <c r="C7" s="178">
        <f t="shared" si="1"/>
        <v>327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千殺の妖志士 斎藤一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PremiumSS</v>
      </c>
      <c r="G7" s="195">
        <v>967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討滅の凶妖志士 斎藤一</v>
      </c>
      <c r="I7" s="194">
        <v>115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イエローキャタップ</v>
      </c>
      <c r="K7" s="192">
        <v>1</v>
      </c>
      <c r="L7" s="193">
        <v>1</v>
      </c>
      <c r="M7" s="193">
        <v>10</v>
      </c>
      <c r="N7" s="2" t="s">
        <v>291</v>
      </c>
    </row>
    <row r="8" spans="1:14" ht="21" customHeight="1" x14ac:dyDescent="0.15">
      <c r="A8" s="61" t="str">
        <f t="shared" si="0"/>
        <v>327_116</v>
      </c>
      <c r="B8" s="195">
        <v>327</v>
      </c>
      <c r="C8" s="178">
        <f t="shared" si="1"/>
        <v>327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千殺の妖志士 斎藤一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PremiumSS</v>
      </c>
      <c r="G8" s="195">
        <v>967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討滅の凶妖志士 斎藤一</v>
      </c>
      <c r="I8" s="194">
        <v>116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雷のマッドハッター</v>
      </c>
      <c r="K8" s="192">
        <v>1</v>
      </c>
      <c r="L8" s="193">
        <v>1</v>
      </c>
      <c r="M8" s="193">
        <v>10</v>
      </c>
      <c r="N8" s="2" t="s">
        <v>291</v>
      </c>
    </row>
    <row r="9" spans="1:14" ht="21" customHeight="1" x14ac:dyDescent="0.15">
      <c r="A9" s="61" t="str">
        <f t="shared" si="0"/>
        <v>327_837</v>
      </c>
      <c r="B9" s="195">
        <v>327</v>
      </c>
      <c r="C9" s="178">
        <f t="shared" si="1"/>
        <v>327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千殺の妖志士 斎藤一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PremiumSS</v>
      </c>
      <c r="G9" s="195">
        <v>967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討滅の凶妖志士 斎藤一</v>
      </c>
      <c r="I9" s="194">
        <v>837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92">
        <v>1</v>
      </c>
      <c r="L9" s="193">
        <v>1</v>
      </c>
      <c r="M9" s="193">
        <v>1000</v>
      </c>
      <c r="N9" s="2" t="s">
        <v>291</v>
      </c>
    </row>
    <row r="10" spans="1:14" ht="21" customHeight="1" x14ac:dyDescent="0.15">
      <c r="A10" s="61" t="str">
        <f t="shared" ref="A10:A19" si="2">B10&amp;"_"&amp;I10</f>
        <v>409_114</v>
      </c>
      <c r="B10" s="195">
        <v>409</v>
      </c>
      <c r="C10" s="178">
        <f t="shared" ref="C10:C19" si="3">B10</f>
        <v>409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天眼の皇貴魔 アスタロト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PremiumSS</v>
      </c>
      <c r="G10" s="195">
        <v>963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天蛇の閃皇貴魔 アスタロト</v>
      </c>
      <c r="I10" s="194">
        <v>114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イエローラビット</v>
      </c>
      <c r="K10" s="192">
        <v>1</v>
      </c>
      <c r="L10" s="193">
        <v>1</v>
      </c>
      <c r="M10" s="193">
        <v>10</v>
      </c>
      <c r="N10" s="2" t="s">
        <v>291</v>
      </c>
    </row>
    <row r="11" spans="1:14" ht="21" customHeight="1" x14ac:dyDescent="0.15">
      <c r="A11" s="61" t="str">
        <f t="shared" si="2"/>
        <v>409_115</v>
      </c>
      <c r="B11" s="195">
        <v>409</v>
      </c>
      <c r="C11" s="178">
        <f t="shared" si="3"/>
        <v>409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天眼の皇貴魔 アスタロト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PremiumSS</v>
      </c>
      <c r="G11" s="195">
        <v>963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天蛇の閃皇貴魔 アスタロト</v>
      </c>
      <c r="I11" s="194">
        <v>115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イエローキャタップ</v>
      </c>
      <c r="K11" s="192">
        <v>1</v>
      </c>
      <c r="L11" s="193">
        <v>1</v>
      </c>
      <c r="M11" s="193">
        <v>10</v>
      </c>
      <c r="N11" s="2" t="s">
        <v>291</v>
      </c>
    </row>
    <row r="12" spans="1:14" ht="21" customHeight="1" x14ac:dyDescent="0.15">
      <c r="A12" s="61" t="str">
        <f t="shared" si="2"/>
        <v>409_116</v>
      </c>
      <c r="B12" s="195">
        <v>409</v>
      </c>
      <c r="C12" s="178">
        <f t="shared" si="3"/>
        <v>409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天眼の皇貴魔 アスタロト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PremiumSS</v>
      </c>
      <c r="G12" s="195">
        <v>963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天蛇の閃皇貴魔 アスタロト</v>
      </c>
      <c r="I12" s="194">
        <v>116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雷のマッドハッター</v>
      </c>
      <c r="K12" s="192">
        <v>1</v>
      </c>
      <c r="L12" s="193">
        <v>1</v>
      </c>
      <c r="M12" s="193">
        <v>10</v>
      </c>
      <c r="N12" s="2" t="s">
        <v>291</v>
      </c>
    </row>
    <row r="13" spans="1:14" ht="21" customHeight="1" x14ac:dyDescent="0.15">
      <c r="A13" s="61" t="str">
        <f t="shared" si="2"/>
        <v>409_837</v>
      </c>
      <c r="B13" s="195">
        <v>409</v>
      </c>
      <c r="C13" s="178">
        <f t="shared" si="3"/>
        <v>409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天眼の皇貴魔 アスタロト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PremiumSS</v>
      </c>
      <c r="G13" s="195">
        <v>963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天蛇の閃皇貴魔 アスタロト</v>
      </c>
      <c r="I13" s="194">
        <v>837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リトルハンプティ</v>
      </c>
      <c r="K13" s="192">
        <v>1</v>
      </c>
      <c r="L13" s="193">
        <v>1</v>
      </c>
      <c r="M13" s="193">
        <v>1000</v>
      </c>
      <c r="N13" s="2" t="s">
        <v>291</v>
      </c>
    </row>
    <row r="14" spans="1:14" ht="21" customHeight="1" x14ac:dyDescent="0.15">
      <c r="A14" s="61" t="str">
        <f t="shared" ref="A14:A15" si="4">B14&amp;"_"&amp;I14</f>
        <v>480_110</v>
      </c>
      <c r="B14" s="195">
        <v>480</v>
      </c>
      <c r="C14" s="178">
        <f t="shared" ref="C14:C15" si="5">B14</f>
        <v>480</v>
      </c>
      <c r="D14" s="53" t="str">
        <f ca="1">VLOOKUP($C14,OFFSET([1]characters!$A$1,0,0,COUNTA([1]characters!$A:$A),MATCH(D$1,[1]characters!$1:$1,0)-MATCH($C$1,[1]characters!$1:$1,0)+1),MATCH(D$1,[1]characters!$1:$1,0)-MATCH($C$1,[1]characters!$1:$1,0)+1,FALSE)</f>
        <v>夢幻の愚者フール</v>
      </c>
      <c r="E14" s="53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3" t="str">
        <f ca="1">VLOOKUP($C14,OFFSET([1]characters!$A$1,0,0,COUNTA([1]characters!$A:$A),MATCH(F$1,[1]characters!$1:$1,0)-MATCH($C$1,[1]characters!$1:$1,0)+1),MATCH(F$1,[1]characters!$1:$1,0)-MATCH($C$1,[1]characters!$1:$1,0)+1,FALSE)</f>
        <v>PremiumSS</v>
      </c>
      <c r="G14" s="195">
        <v>968</v>
      </c>
      <c r="H14" s="53" t="str">
        <f ca="1">VLOOKUP($G14,OFFSET([1]characters!$A$1,0,0,COUNTA([1]characters!$A:$A),MATCH(H$1,[1]characters!$1:$1,0)-MATCH($C$1,[1]characters!$1:$1,0)+1),MATCH(H$1,[1]characters!$1:$1,0)-MATCH($C$1,[1]characters!$1:$1,0)+1,FALSE)</f>
        <v>夢謀の愚幻者 フール</v>
      </c>
      <c r="I14" s="194">
        <v>110</v>
      </c>
      <c r="J14" s="53" t="str">
        <f ca="1">VLOOKUP($I14,OFFSET([1]characters!$A$1,0,0,COUNTA([1]characters!$A:$A),MATCH(J$1,[1]characters!$1:$1,0)-MATCH($C$1,[1]characters!$1:$1,0)+1),MATCH(J$1,[1]characters!$1:$1,0)-MATCH($C$1,[1]characters!$1:$1,0)+1,FALSE)</f>
        <v>ブルーラビット</v>
      </c>
      <c r="K14" s="192">
        <v>1</v>
      </c>
      <c r="L14" s="193">
        <v>1</v>
      </c>
      <c r="M14" s="193">
        <v>10</v>
      </c>
      <c r="N14" s="2" t="s">
        <v>291</v>
      </c>
    </row>
    <row r="15" spans="1:14" ht="21" customHeight="1" x14ac:dyDescent="0.15">
      <c r="A15" s="61" t="str">
        <f t="shared" si="4"/>
        <v>480_111</v>
      </c>
      <c r="B15" s="195">
        <v>480</v>
      </c>
      <c r="C15" s="178">
        <f t="shared" si="5"/>
        <v>480</v>
      </c>
      <c r="D15" s="53" t="str">
        <f ca="1">VLOOKUP($C15,OFFSET([1]characters!$A$1,0,0,COUNTA([1]characters!$A:$A),MATCH(D$1,[1]characters!$1:$1,0)-MATCH($C$1,[1]characters!$1:$1,0)+1),MATCH(D$1,[1]characters!$1:$1,0)-MATCH($C$1,[1]characters!$1:$1,0)+1,FALSE)</f>
        <v>夢幻の愚者フール</v>
      </c>
      <c r="E15" s="53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3" t="str">
        <f ca="1">VLOOKUP($C15,OFFSET([1]characters!$A$1,0,0,COUNTA([1]characters!$A:$A),MATCH(F$1,[1]characters!$1:$1,0)-MATCH($C$1,[1]characters!$1:$1,0)+1),MATCH(F$1,[1]characters!$1:$1,0)-MATCH($C$1,[1]characters!$1:$1,0)+1,FALSE)</f>
        <v>PremiumSS</v>
      </c>
      <c r="G15" s="195">
        <v>968</v>
      </c>
      <c r="H15" s="53" t="str">
        <f ca="1">VLOOKUP($G15,OFFSET([1]characters!$A$1,0,0,COUNTA([1]characters!$A:$A),MATCH(H$1,[1]characters!$1:$1,0)-MATCH($C$1,[1]characters!$1:$1,0)+1),MATCH(H$1,[1]characters!$1:$1,0)-MATCH($C$1,[1]characters!$1:$1,0)+1,FALSE)</f>
        <v>夢謀の愚幻者 フール</v>
      </c>
      <c r="I15" s="194">
        <v>111</v>
      </c>
      <c r="J15" s="53" t="str">
        <f ca="1">VLOOKUP($I15,OFFSET([1]characters!$A$1,0,0,COUNTA([1]characters!$A:$A),MATCH(J$1,[1]characters!$1:$1,0)-MATCH($C$1,[1]characters!$1:$1,0)+1),MATCH(J$1,[1]characters!$1:$1,0)-MATCH($C$1,[1]characters!$1:$1,0)+1,FALSE)</f>
        <v>ブルーキャタップ</v>
      </c>
      <c r="K15" s="192">
        <v>1</v>
      </c>
      <c r="L15" s="193">
        <v>1</v>
      </c>
      <c r="M15" s="193">
        <v>10</v>
      </c>
      <c r="N15" s="2" t="s">
        <v>291</v>
      </c>
    </row>
    <row r="16" spans="1:14" ht="21" customHeight="1" x14ac:dyDescent="0.15">
      <c r="A16" s="61" t="str">
        <f t="shared" si="2"/>
        <v>480_112</v>
      </c>
      <c r="B16" s="195">
        <v>480</v>
      </c>
      <c r="C16" s="178">
        <f t="shared" si="3"/>
        <v>480</v>
      </c>
      <c r="D16" s="53" t="str">
        <f ca="1">VLOOKUP($C16,OFFSET([1]characters!$A$1,0,0,COUNTA([1]characters!$A:$A),MATCH(D$1,[1]characters!$1:$1,0)-MATCH($C$1,[1]characters!$1:$1,0)+1),MATCH(D$1,[1]characters!$1:$1,0)-MATCH($C$1,[1]characters!$1:$1,0)+1,FALSE)</f>
        <v>夢幻の愚者フール</v>
      </c>
      <c r="E16" s="53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53" t="str">
        <f ca="1">VLOOKUP($C16,OFFSET([1]characters!$A$1,0,0,COUNTA([1]characters!$A:$A),MATCH(F$1,[1]characters!$1:$1,0)-MATCH($C$1,[1]characters!$1:$1,0)+1),MATCH(F$1,[1]characters!$1:$1,0)-MATCH($C$1,[1]characters!$1:$1,0)+1,FALSE)</f>
        <v>PremiumSS</v>
      </c>
      <c r="G16" s="195">
        <v>968</v>
      </c>
      <c r="H16" s="53" t="str">
        <f ca="1">VLOOKUP($G16,OFFSET([1]characters!$A$1,0,0,COUNTA([1]characters!$A:$A),MATCH(H$1,[1]characters!$1:$1,0)-MATCH($C$1,[1]characters!$1:$1,0)+1),MATCH(H$1,[1]characters!$1:$1,0)-MATCH($C$1,[1]characters!$1:$1,0)+1,FALSE)</f>
        <v>夢謀の愚幻者 フール</v>
      </c>
      <c r="I16" s="194">
        <v>112</v>
      </c>
      <c r="J16" s="53" t="str">
        <f ca="1">VLOOKUP($I16,OFFSET([1]characters!$A$1,0,0,COUNTA([1]characters!$A:$A),MATCH(J$1,[1]characters!$1:$1,0)-MATCH($C$1,[1]characters!$1:$1,0)+1),MATCH(J$1,[1]characters!$1:$1,0)-MATCH($C$1,[1]characters!$1:$1,0)+1,FALSE)</f>
        <v>水のマッドハッター</v>
      </c>
      <c r="K16" s="192">
        <v>1</v>
      </c>
      <c r="L16" s="193">
        <v>1</v>
      </c>
      <c r="M16" s="193">
        <v>10</v>
      </c>
      <c r="N16" s="2" t="s">
        <v>291</v>
      </c>
    </row>
    <row r="17" spans="1:14" ht="21" customHeight="1" x14ac:dyDescent="0.15">
      <c r="A17" s="61" t="str">
        <f t="shared" si="2"/>
        <v>480_837</v>
      </c>
      <c r="B17" s="195">
        <v>480</v>
      </c>
      <c r="C17" s="178">
        <f t="shared" si="3"/>
        <v>480</v>
      </c>
      <c r="D17" s="53" t="str">
        <f ca="1">VLOOKUP($C17,OFFSET([1]characters!$A$1,0,0,COUNTA([1]characters!$A:$A),MATCH(D$1,[1]characters!$1:$1,0)-MATCH($C$1,[1]characters!$1:$1,0)+1),MATCH(D$1,[1]characters!$1:$1,0)-MATCH($C$1,[1]characters!$1:$1,0)+1,FALSE)</f>
        <v>夢幻の愚者フール</v>
      </c>
      <c r="E17" s="53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53" t="str">
        <f ca="1">VLOOKUP($C17,OFFSET([1]characters!$A$1,0,0,COUNTA([1]characters!$A:$A),MATCH(F$1,[1]characters!$1:$1,0)-MATCH($C$1,[1]characters!$1:$1,0)+1),MATCH(F$1,[1]characters!$1:$1,0)-MATCH($C$1,[1]characters!$1:$1,0)+1,FALSE)</f>
        <v>PremiumSS</v>
      </c>
      <c r="G17" s="195">
        <v>968</v>
      </c>
      <c r="H17" s="53" t="str">
        <f ca="1">VLOOKUP($G17,OFFSET([1]characters!$A$1,0,0,COUNTA([1]characters!$A:$A),MATCH(H$1,[1]characters!$1:$1,0)-MATCH($C$1,[1]characters!$1:$1,0)+1),MATCH(H$1,[1]characters!$1:$1,0)-MATCH($C$1,[1]characters!$1:$1,0)+1,FALSE)</f>
        <v>夢謀の愚幻者 フール</v>
      </c>
      <c r="I17" s="194">
        <v>837</v>
      </c>
      <c r="J17" s="53" t="str">
        <f ca="1">VLOOKUP($I17,OFFSET([1]characters!$A$1,0,0,COUNTA([1]characters!$A:$A),MATCH(J$1,[1]characters!$1:$1,0)-MATCH($C$1,[1]characters!$1:$1,0)+1),MATCH(J$1,[1]characters!$1:$1,0)-MATCH($C$1,[1]characters!$1:$1,0)+1,FALSE)</f>
        <v>リトルハンプティ</v>
      </c>
      <c r="K17" s="192">
        <v>1</v>
      </c>
      <c r="L17" s="193">
        <v>1</v>
      </c>
      <c r="M17" s="193">
        <v>1000</v>
      </c>
      <c r="N17" s="2" t="s">
        <v>291</v>
      </c>
    </row>
    <row r="18" spans="1:14" ht="21" customHeight="1" x14ac:dyDescent="0.15">
      <c r="A18" s="61" t="str">
        <f t="shared" si="2"/>
        <v>143_102</v>
      </c>
      <c r="B18" s="195">
        <v>143</v>
      </c>
      <c r="C18" s="178">
        <f t="shared" si="3"/>
        <v>143</v>
      </c>
      <c r="D18" s="53" t="str">
        <f ca="1">VLOOKUP($C18,OFFSET([1]characters!$A$1,0,0,COUNTA([1]characters!$A:$A),MATCH(D$1,[1]characters!$1:$1,0)-MATCH($C$1,[1]characters!$1:$1,0)+1),MATCH(D$1,[1]characters!$1:$1,0)-MATCH($C$1,[1]characters!$1:$1,0)+1,FALSE)</f>
        <v>深紅の死神 赤ずきん</v>
      </c>
      <c r="E18" s="53">
        <f ca="1">VLOOKUP($C18,OFFSET([1]characters!$A$1,0,0,COUNTA([1]characters!$A:$A),MATCH(E$1,[1]characters!$1:$1,0)-MATCH($C$1,[1]characters!$1:$1,0)+1),MATCH(E$1,[1]characters!$1:$1,0)-MATCH($C$1,[1]characters!$1:$1,0)+1,FALSE)</f>
        <v>4</v>
      </c>
      <c r="F18" s="53" t="str">
        <f ca="1">VLOOKUP($C18,OFFSET([1]characters!$A$1,0,0,COUNTA([1]characters!$A:$A),MATCH(F$1,[1]characters!$1:$1,0)-MATCH($C$1,[1]characters!$1:$1,0)+1),MATCH(F$1,[1]characters!$1:$1,0)-MATCH($C$1,[1]characters!$1:$1,0)+1,FALSE)</f>
        <v>PremiumW</v>
      </c>
      <c r="G18" s="195">
        <v>564</v>
      </c>
      <c r="H18" s="53" t="str">
        <f ca="1">VLOOKUP($G18,OFFSET([1]characters!$A$1,0,0,COUNTA([1]characters!$A:$A),MATCH(H$1,[1]characters!$1:$1,0)-MATCH($C$1,[1]characters!$1:$1,0)+1),MATCH(H$1,[1]characters!$1:$1,0)-MATCH($C$1,[1]characters!$1:$1,0)+1,FALSE)</f>
        <v>赤ずきん</v>
      </c>
      <c r="I18" s="194">
        <v>102</v>
      </c>
      <c r="J18" s="53" t="str">
        <f ca="1">VLOOKUP($I18,OFFSET([1]characters!$A$1,0,0,COUNTA([1]characters!$A:$A),MATCH(J$1,[1]characters!$1:$1,0)-MATCH($C$1,[1]characters!$1:$1,0)+1),MATCH(J$1,[1]characters!$1:$1,0)-MATCH($C$1,[1]characters!$1:$1,0)+1,FALSE)</f>
        <v>レッドラビット</v>
      </c>
      <c r="K18" s="192">
        <v>1</v>
      </c>
      <c r="L18" s="193">
        <v>1</v>
      </c>
      <c r="M18" s="193">
        <v>10</v>
      </c>
      <c r="N18" s="2" t="s">
        <v>291</v>
      </c>
    </row>
    <row r="19" spans="1:14" ht="21" customHeight="1" x14ac:dyDescent="0.15">
      <c r="A19" s="61" t="str">
        <f t="shared" si="2"/>
        <v>143_103</v>
      </c>
      <c r="B19" s="195">
        <v>143</v>
      </c>
      <c r="C19" s="178">
        <f t="shared" si="3"/>
        <v>143</v>
      </c>
      <c r="D19" s="53" t="str">
        <f ca="1">VLOOKUP($C19,OFFSET([1]characters!$A$1,0,0,COUNTA([1]characters!$A:$A),MATCH(D$1,[1]characters!$1:$1,0)-MATCH($C$1,[1]characters!$1:$1,0)+1),MATCH(D$1,[1]characters!$1:$1,0)-MATCH($C$1,[1]characters!$1:$1,0)+1,FALSE)</f>
        <v>深紅の死神 赤ずきん</v>
      </c>
      <c r="E19" s="53">
        <f ca="1">VLOOKUP($C19,OFFSET([1]characters!$A$1,0,0,COUNTA([1]characters!$A:$A),MATCH(E$1,[1]characters!$1:$1,0)-MATCH($C$1,[1]characters!$1:$1,0)+1),MATCH(E$1,[1]characters!$1:$1,0)-MATCH($C$1,[1]characters!$1:$1,0)+1,FALSE)</f>
        <v>4</v>
      </c>
      <c r="F19" s="53" t="str">
        <f ca="1">VLOOKUP($C19,OFFSET([1]characters!$A$1,0,0,COUNTA([1]characters!$A:$A),MATCH(F$1,[1]characters!$1:$1,0)-MATCH($C$1,[1]characters!$1:$1,0)+1),MATCH(F$1,[1]characters!$1:$1,0)-MATCH($C$1,[1]characters!$1:$1,0)+1,FALSE)</f>
        <v>PremiumW</v>
      </c>
      <c r="G19" s="195">
        <v>564</v>
      </c>
      <c r="H19" s="53" t="str">
        <f ca="1">VLOOKUP($G19,OFFSET([1]characters!$A$1,0,0,COUNTA([1]characters!$A:$A),MATCH(H$1,[1]characters!$1:$1,0)-MATCH($C$1,[1]characters!$1:$1,0)+1),MATCH(H$1,[1]characters!$1:$1,0)-MATCH($C$1,[1]characters!$1:$1,0)+1,FALSE)</f>
        <v>赤ずきん</v>
      </c>
      <c r="I19" s="194">
        <v>103</v>
      </c>
      <c r="J19" s="53" t="str">
        <f ca="1">VLOOKUP($I19,OFFSET([1]characters!$A$1,0,0,COUNTA([1]characters!$A:$A),MATCH(J$1,[1]characters!$1:$1,0)-MATCH($C$1,[1]characters!$1:$1,0)+1),MATCH(J$1,[1]characters!$1:$1,0)-MATCH($C$1,[1]characters!$1:$1,0)+1,FALSE)</f>
        <v>レッドキャタップ</v>
      </c>
      <c r="K19" s="192">
        <v>2</v>
      </c>
      <c r="L19" s="193">
        <v>1</v>
      </c>
      <c r="M19" s="193">
        <v>10</v>
      </c>
      <c r="N19" s="2" t="s">
        <v>291</v>
      </c>
    </row>
    <row r="20" spans="1:14" ht="21" customHeight="1" x14ac:dyDescent="0.15">
      <c r="A20" s="61" t="str">
        <f t="shared" ref="A20:A23" si="6">B20&amp;"_"&amp;I20</f>
        <v>143_104</v>
      </c>
      <c r="B20" s="195">
        <v>143</v>
      </c>
      <c r="C20" s="178">
        <f t="shared" ref="C20:C23" si="7">B20</f>
        <v>143</v>
      </c>
      <c r="D20" s="53" t="str">
        <f ca="1">VLOOKUP($C20,OFFSET([1]characters!$A$1,0,0,COUNTA([1]characters!$A:$A),MATCH(D$1,[1]characters!$1:$1,0)-MATCH($C$1,[1]characters!$1:$1,0)+1),MATCH(D$1,[1]characters!$1:$1,0)-MATCH($C$1,[1]characters!$1:$1,0)+1,FALSE)</f>
        <v>深紅の死神 赤ずきん</v>
      </c>
      <c r="E20" s="53">
        <f ca="1">VLOOKUP($C20,OFFSET([1]characters!$A$1,0,0,COUNTA([1]characters!$A:$A),MATCH(E$1,[1]characters!$1:$1,0)-MATCH($C$1,[1]characters!$1:$1,0)+1),MATCH(E$1,[1]characters!$1:$1,0)-MATCH($C$1,[1]characters!$1:$1,0)+1,FALSE)</f>
        <v>4</v>
      </c>
      <c r="F20" s="53" t="str">
        <f ca="1">VLOOKUP($C20,OFFSET([1]characters!$A$1,0,0,COUNTA([1]characters!$A:$A),MATCH(F$1,[1]characters!$1:$1,0)-MATCH($C$1,[1]characters!$1:$1,0)+1),MATCH(F$1,[1]characters!$1:$1,0)-MATCH($C$1,[1]characters!$1:$1,0)+1,FALSE)</f>
        <v>PremiumW</v>
      </c>
      <c r="G20" s="195">
        <v>564</v>
      </c>
      <c r="H20" s="53" t="str">
        <f ca="1">VLOOKUP($G20,OFFSET([1]characters!$A$1,0,0,COUNTA([1]characters!$A:$A),MATCH(H$1,[1]characters!$1:$1,0)-MATCH($C$1,[1]characters!$1:$1,0)+1),MATCH(H$1,[1]characters!$1:$1,0)-MATCH($C$1,[1]characters!$1:$1,0)+1,FALSE)</f>
        <v>赤ずきん</v>
      </c>
      <c r="I20" s="194">
        <v>104</v>
      </c>
      <c r="J20" s="53" t="str">
        <f ca="1">VLOOKUP($I20,OFFSET([1]characters!$A$1,0,0,COUNTA([1]characters!$A:$A),MATCH(J$1,[1]characters!$1:$1,0)-MATCH($C$1,[1]characters!$1:$1,0)+1),MATCH(J$1,[1]characters!$1:$1,0)-MATCH($C$1,[1]characters!$1:$1,0)+1,FALSE)</f>
        <v>炎のマッドハッター</v>
      </c>
      <c r="K20" s="192">
        <v>2</v>
      </c>
      <c r="L20" s="193">
        <v>1</v>
      </c>
      <c r="M20" s="193">
        <v>10</v>
      </c>
      <c r="N20" s="2" t="s">
        <v>291</v>
      </c>
    </row>
    <row r="21" spans="1:14" ht="21" customHeight="1" x14ac:dyDescent="0.15">
      <c r="A21" s="61" t="str">
        <f t="shared" si="6"/>
        <v>145_106</v>
      </c>
      <c r="B21" s="195">
        <v>145</v>
      </c>
      <c r="C21" s="178">
        <f t="shared" si="7"/>
        <v>145</v>
      </c>
      <c r="D21" s="53" t="str">
        <f ca="1">VLOOKUP($C21,OFFSET([1]characters!$A$1,0,0,COUNTA([1]characters!$A:$A),MATCH(D$1,[1]characters!$1:$1,0)-MATCH($C$1,[1]characters!$1:$1,0)+1),MATCH(D$1,[1]characters!$1:$1,0)-MATCH($C$1,[1]characters!$1:$1,0)+1,FALSE)</f>
        <v>魔性妖艶 かぐや</v>
      </c>
      <c r="E21" s="53">
        <f ca="1">VLOOKUP($C21,OFFSET([1]characters!$A$1,0,0,COUNTA([1]characters!$A:$A),MATCH(E$1,[1]characters!$1:$1,0)-MATCH($C$1,[1]characters!$1:$1,0)+1),MATCH(E$1,[1]characters!$1:$1,0)-MATCH($C$1,[1]characters!$1:$1,0)+1,FALSE)</f>
        <v>4</v>
      </c>
      <c r="F21" s="53" t="str">
        <f ca="1">VLOOKUP($C21,OFFSET([1]characters!$A$1,0,0,COUNTA([1]characters!$A:$A),MATCH(F$1,[1]characters!$1:$1,0)-MATCH($C$1,[1]characters!$1:$1,0)+1),MATCH(F$1,[1]characters!$1:$1,0)-MATCH($C$1,[1]characters!$1:$1,0)+1,FALSE)</f>
        <v>PremiumW</v>
      </c>
      <c r="G21" s="195">
        <v>565</v>
      </c>
      <c r="H21" s="53" t="str">
        <f ca="1">VLOOKUP($G21,OFFSET([1]characters!$A$1,0,0,COUNTA([1]characters!$A:$A),MATCH(H$1,[1]characters!$1:$1,0)-MATCH($C$1,[1]characters!$1:$1,0)+1),MATCH(H$1,[1]characters!$1:$1,0)-MATCH($C$1,[1]characters!$1:$1,0)+1,FALSE)</f>
        <v>かぐや</v>
      </c>
      <c r="I21" s="194">
        <v>106</v>
      </c>
      <c r="J21" s="53" t="str">
        <f ca="1">VLOOKUP($I21,OFFSET([1]characters!$A$1,0,0,COUNTA([1]characters!$A:$A),MATCH(J$1,[1]characters!$1:$1,0)-MATCH($C$1,[1]characters!$1:$1,0)+1),MATCH(J$1,[1]characters!$1:$1,0)-MATCH($C$1,[1]characters!$1:$1,0)+1,FALSE)</f>
        <v>グリーンラビット</v>
      </c>
      <c r="K21" s="192">
        <v>1</v>
      </c>
      <c r="L21" s="193">
        <v>1</v>
      </c>
      <c r="M21" s="193">
        <v>10</v>
      </c>
      <c r="N21" s="2" t="s">
        <v>291</v>
      </c>
    </row>
    <row r="22" spans="1:14" ht="21" customHeight="1" x14ac:dyDescent="0.15">
      <c r="A22" s="61" t="str">
        <f t="shared" si="6"/>
        <v>145_107</v>
      </c>
      <c r="B22" s="195">
        <v>145</v>
      </c>
      <c r="C22" s="178">
        <f t="shared" si="7"/>
        <v>145</v>
      </c>
      <c r="D22" s="53" t="str">
        <f ca="1">VLOOKUP($C22,OFFSET([1]characters!$A$1,0,0,COUNTA([1]characters!$A:$A),MATCH(D$1,[1]characters!$1:$1,0)-MATCH($C$1,[1]characters!$1:$1,0)+1),MATCH(D$1,[1]characters!$1:$1,0)-MATCH($C$1,[1]characters!$1:$1,0)+1,FALSE)</f>
        <v>魔性妖艶 かぐや</v>
      </c>
      <c r="E22" s="53">
        <f ca="1">VLOOKUP($C22,OFFSET([1]characters!$A$1,0,0,COUNTA([1]characters!$A:$A),MATCH(E$1,[1]characters!$1:$1,0)-MATCH($C$1,[1]characters!$1:$1,0)+1),MATCH(E$1,[1]characters!$1:$1,0)-MATCH($C$1,[1]characters!$1:$1,0)+1,FALSE)</f>
        <v>4</v>
      </c>
      <c r="F22" s="53" t="str">
        <f ca="1">VLOOKUP($C22,OFFSET([1]characters!$A$1,0,0,COUNTA([1]characters!$A:$A),MATCH(F$1,[1]characters!$1:$1,0)-MATCH($C$1,[1]characters!$1:$1,0)+1),MATCH(F$1,[1]characters!$1:$1,0)-MATCH($C$1,[1]characters!$1:$1,0)+1,FALSE)</f>
        <v>PremiumW</v>
      </c>
      <c r="G22" s="195">
        <v>565</v>
      </c>
      <c r="H22" s="53" t="str">
        <f ca="1">VLOOKUP($G22,OFFSET([1]characters!$A$1,0,0,COUNTA([1]characters!$A:$A),MATCH(H$1,[1]characters!$1:$1,0)-MATCH($C$1,[1]characters!$1:$1,0)+1),MATCH(H$1,[1]characters!$1:$1,0)-MATCH($C$1,[1]characters!$1:$1,0)+1,FALSE)</f>
        <v>かぐや</v>
      </c>
      <c r="I22" s="194">
        <v>107</v>
      </c>
      <c r="J22" s="53" t="str">
        <f ca="1">VLOOKUP($I22,OFFSET([1]characters!$A$1,0,0,COUNTA([1]characters!$A:$A),MATCH(J$1,[1]characters!$1:$1,0)-MATCH($C$1,[1]characters!$1:$1,0)+1),MATCH(J$1,[1]characters!$1:$1,0)-MATCH($C$1,[1]characters!$1:$1,0)+1,FALSE)</f>
        <v>グリーンキャタップ</v>
      </c>
      <c r="K22" s="192">
        <v>2</v>
      </c>
      <c r="L22" s="193">
        <v>1</v>
      </c>
      <c r="M22" s="193">
        <v>10</v>
      </c>
      <c r="N22" s="2" t="s">
        <v>291</v>
      </c>
    </row>
    <row r="23" spans="1:14" ht="21" customHeight="1" x14ac:dyDescent="0.15">
      <c r="A23" s="61" t="str">
        <f t="shared" si="6"/>
        <v>145_108</v>
      </c>
      <c r="B23" s="195">
        <v>145</v>
      </c>
      <c r="C23" s="178">
        <f t="shared" si="7"/>
        <v>145</v>
      </c>
      <c r="D23" s="53" t="str">
        <f ca="1">VLOOKUP($C23,OFFSET([1]characters!$A$1,0,0,COUNTA([1]characters!$A:$A),MATCH(D$1,[1]characters!$1:$1,0)-MATCH($C$1,[1]characters!$1:$1,0)+1),MATCH(D$1,[1]characters!$1:$1,0)-MATCH($C$1,[1]characters!$1:$1,0)+1,FALSE)</f>
        <v>魔性妖艶 かぐや</v>
      </c>
      <c r="E23" s="53">
        <f ca="1">VLOOKUP($C23,OFFSET([1]characters!$A$1,0,0,COUNTA([1]characters!$A:$A),MATCH(E$1,[1]characters!$1:$1,0)-MATCH($C$1,[1]characters!$1:$1,0)+1),MATCH(E$1,[1]characters!$1:$1,0)-MATCH($C$1,[1]characters!$1:$1,0)+1,FALSE)</f>
        <v>4</v>
      </c>
      <c r="F23" s="53" t="str">
        <f ca="1">VLOOKUP($C23,OFFSET([1]characters!$A$1,0,0,COUNTA([1]characters!$A:$A),MATCH(F$1,[1]characters!$1:$1,0)-MATCH($C$1,[1]characters!$1:$1,0)+1),MATCH(F$1,[1]characters!$1:$1,0)-MATCH($C$1,[1]characters!$1:$1,0)+1,FALSE)</f>
        <v>PremiumW</v>
      </c>
      <c r="G23" s="195">
        <v>565</v>
      </c>
      <c r="H23" s="53" t="str">
        <f ca="1">VLOOKUP($G23,OFFSET([1]characters!$A$1,0,0,COUNTA([1]characters!$A:$A),MATCH(H$1,[1]characters!$1:$1,0)-MATCH($C$1,[1]characters!$1:$1,0)+1),MATCH(H$1,[1]characters!$1:$1,0)-MATCH($C$1,[1]characters!$1:$1,0)+1,FALSE)</f>
        <v>かぐや</v>
      </c>
      <c r="I23" s="194">
        <v>108</v>
      </c>
      <c r="J23" s="53" t="str">
        <f ca="1">VLOOKUP($I23,OFFSET([1]characters!$A$1,0,0,COUNTA([1]characters!$A:$A),MATCH(J$1,[1]characters!$1:$1,0)-MATCH($C$1,[1]characters!$1:$1,0)+1),MATCH(J$1,[1]characters!$1:$1,0)-MATCH($C$1,[1]characters!$1:$1,0)+1,FALSE)</f>
        <v>森のマッドハッター</v>
      </c>
      <c r="K23" s="192">
        <v>2</v>
      </c>
      <c r="L23" s="193">
        <v>1</v>
      </c>
      <c r="M23" s="193">
        <v>10</v>
      </c>
      <c r="N23" s="2" t="s">
        <v>291</v>
      </c>
    </row>
    <row r="24" spans="1:14" ht="21" customHeight="1" x14ac:dyDescent="0.15">
      <c r="A24" s="61" t="str">
        <f t="shared" ref="A24:A27" si="8">B24&amp;"_"&amp;I24</f>
        <v>443_114</v>
      </c>
      <c r="B24" s="195">
        <v>443</v>
      </c>
      <c r="C24" s="178">
        <f t="shared" ref="C24:C27" si="9">B24</f>
        <v>443</v>
      </c>
      <c r="D24" s="53" t="str">
        <f ca="1">VLOOKUP($C24,OFFSET([1]characters!$A$1,0,0,COUNTA([1]characters!$A:$A),MATCH(D$1,[1]characters!$1:$1,0)-MATCH($C$1,[1]characters!$1:$1,0)+1),MATCH(D$1,[1]characters!$1:$1,0)-MATCH($C$1,[1]characters!$1:$1,0)+1,FALSE)</f>
        <v>勇機結集 ブレイブリー・ライオン</v>
      </c>
      <c r="E24" s="53">
        <f ca="1">VLOOKUP($C24,OFFSET([1]characters!$A$1,0,0,COUNTA([1]characters!$A:$A),MATCH(E$1,[1]characters!$1:$1,0)-MATCH($C$1,[1]characters!$1:$1,0)+1),MATCH(E$1,[1]characters!$1:$1,0)-MATCH($C$1,[1]characters!$1:$1,0)+1,FALSE)</f>
        <v>5</v>
      </c>
      <c r="F24" s="53" t="str">
        <f ca="1">VLOOKUP($C24,OFFSET([1]characters!$A$1,0,0,COUNTA([1]characters!$A:$A),MATCH(F$1,[1]characters!$1:$1,0)-MATCH($C$1,[1]characters!$1:$1,0)+1),MATCH(F$1,[1]characters!$1:$1,0)-MATCH($C$1,[1]characters!$1:$1,0)+1,FALSE)</f>
        <v>PremiumSS</v>
      </c>
      <c r="G24" s="195">
        <v>971</v>
      </c>
      <c r="H24" s="53" t="str">
        <f ca="1">VLOOKUP($G24,OFFSET([1]characters!$A$1,0,0,COUNTA([1]characters!$A:$A),MATCH(H$1,[1]characters!$1:$1,0)-MATCH($C$1,[1]characters!$1:$1,0)+1),MATCH(H$1,[1]characters!$1:$1,0)-MATCH($C$1,[1]characters!$1:$1,0)+1,FALSE)</f>
        <v>機獅蛮勇 ブレイブリー・ライオン</v>
      </c>
      <c r="I24" s="194">
        <v>114</v>
      </c>
      <c r="J24" s="53" t="str">
        <f ca="1">VLOOKUP($I24,OFFSET([1]characters!$A$1,0,0,COUNTA([1]characters!$A:$A),MATCH(J$1,[1]characters!$1:$1,0)-MATCH($C$1,[1]characters!$1:$1,0)+1),MATCH(J$1,[1]characters!$1:$1,0)-MATCH($C$1,[1]characters!$1:$1,0)+1,FALSE)</f>
        <v>イエローラビット</v>
      </c>
      <c r="K24" s="192">
        <v>1</v>
      </c>
      <c r="L24" s="193">
        <v>1</v>
      </c>
      <c r="M24" s="193">
        <v>10</v>
      </c>
      <c r="N24" s="2" t="s">
        <v>291</v>
      </c>
    </row>
    <row r="25" spans="1:14" ht="21" customHeight="1" x14ac:dyDescent="0.15">
      <c r="A25" s="61" t="str">
        <f t="shared" si="8"/>
        <v>443_115</v>
      </c>
      <c r="B25" s="195">
        <v>443</v>
      </c>
      <c r="C25" s="178">
        <f t="shared" si="9"/>
        <v>443</v>
      </c>
      <c r="D25" s="53" t="str">
        <f ca="1">VLOOKUP($C25,OFFSET([1]characters!$A$1,0,0,COUNTA([1]characters!$A:$A),MATCH(D$1,[1]characters!$1:$1,0)-MATCH($C$1,[1]characters!$1:$1,0)+1),MATCH(D$1,[1]characters!$1:$1,0)-MATCH($C$1,[1]characters!$1:$1,0)+1,FALSE)</f>
        <v>勇機結集 ブレイブリー・ライオン</v>
      </c>
      <c r="E25" s="53">
        <f ca="1">VLOOKUP($C25,OFFSET([1]characters!$A$1,0,0,COUNTA([1]characters!$A:$A),MATCH(E$1,[1]characters!$1:$1,0)-MATCH($C$1,[1]characters!$1:$1,0)+1),MATCH(E$1,[1]characters!$1:$1,0)-MATCH($C$1,[1]characters!$1:$1,0)+1,FALSE)</f>
        <v>5</v>
      </c>
      <c r="F25" s="53" t="str">
        <f ca="1">VLOOKUP($C25,OFFSET([1]characters!$A$1,0,0,COUNTA([1]characters!$A:$A),MATCH(F$1,[1]characters!$1:$1,0)-MATCH($C$1,[1]characters!$1:$1,0)+1),MATCH(F$1,[1]characters!$1:$1,0)-MATCH($C$1,[1]characters!$1:$1,0)+1,FALSE)</f>
        <v>PremiumSS</v>
      </c>
      <c r="G25" s="195">
        <v>971</v>
      </c>
      <c r="H25" s="53" t="str">
        <f ca="1">VLOOKUP($G25,OFFSET([1]characters!$A$1,0,0,COUNTA([1]characters!$A:$A),MATCH(H$1,[1]characters!$1:$1,0)-MATCH($C$1,[1]characters!$1:$1,0)+1),MATCH(H$1,[1]characters!$1:$1,0)-MATCH($C$1,[1]characters!$1:$1,0)+1,FALSE)</f>
        <v>機獅蛮勇 ブレイブリー・ライオン</v>
      </c>
      <c r="I25" s="194">
        <v>115</v>
      </c>
      <c r="J25" s="53" t="str">
        <f ca="1">VLOOKUP($I25,OFFSET([1]characters!$A$1,0,0,COUNTA([1]characters!$A:$A),MATCH(J$1,[1]characters!$1:$1,0)-MATCH($C$1,[1]characters!$1:$1,0)+1),MATCH(J$1,[1]characters!$1:$1,0)-MATCH($C$1,[1]characters!$1:$1,0)+1,FALSE)</f>
        <v>イエローキャタップ</v>
      </c>
      <c r="K25" s="192">
        <v>1</v>
      </c>
      <c r="L25" s="193">
        <v>1</v>
      </c>
      <c r="M25" s="193">
        <v>10</v>
      </c>
      <c r="N25" s="2" t="s">
        <v>291</v>
      </c>
    </row>
    <row r="26" spans="1:14" ht="21" customHeight="1" x14ac:dyDescent="0.15">
      <c r="A26" s="61" t="str">
        <f t="shared" si="8"/>
        <v>443_116</v>
      </c>
      <c r="B26" s="195">
        <v>443</v>
      </c>
      <c r="C26" s="178">
        <f t="shared" si="9"/>
        <v>443</v>
      </c>
      <c r="D26" s="53" t="str">
        <f ca="1">VLOOKUP($C26,OFFSET([1]characters!$A$1,0,0,COUNTA([1]characters!$A:$A),MATCH(D$1,[1]characters!$1:$1,0)-MATCH($C$1,[1]characters!$1:$1,0)+1),MATCH(D$1,[1]characters!$1:$1,0)-MATCH($C$1,[1]characters!$1:$1,0)+1,FALSE)</f>
        <v>勇機結集 ブレイブリー・ライオン</v>
      </c>
      <c r="E26" s="53">
        <f ca="1">VLOOKUP($C26,OFFSET([1]characters!$A$1,0,0,COUNTA([1]characters!$A:$A),MATCH(E$1,[1]characters!$1:$1,0)-MATCH($C$1,[1]characters!$1:$1,0)+1),MATCH(E$1,[1]characters!$1:$1,0)-MATCH($C$1,[1]characters!$1:$1,0)+1,FALSE)</f>
        <v>5</v>
      </c>
      <c r="F26" s="53" t="str">
        <f ca="1">VLOOKUP($C26,OFFSET([1]characters!$A$1,0,0,COUNTA([1]characters!$A:$A),MATCH(F$1,[1]characters!$1:$1,0)-MATCH($C$1,[1]characters!$1:$1,0)+1),MATCH(F$1,[1]characters!$1:$1,0)-MATCH($C$1,[1]characters!$1:$1,0)+1,FALSE)</f>
        <v>PremiumSS</v>
      </c>
      <c r="G26" s="195">
        <v>971</v>
      </c>
      <c r="H26" s="53" t="str">
        <f ca="1">VLOOKUP($G26,OFFSET([1]characters!$A$1,0,0,COUNTA([1]characters!$A:$A),MATCH(H$1,[1]characters!$1:$1,0)-MATCH($C$1,[1]characters!$1:$1,0)+1),MATCH(H$1,[1]characters!$1:$1,0)-MATCH($C$1,[1]characters!$1:$1,0)+1,FALSE)</f>
        <v>機獅蛮勇 ブレイブリー・ライオン</v>
      </c>
      <c r="I26" s="194">
        <v>116</v>
      </c>
      <c r="J26" s="53" t="str">
        <f ca="1">VLOOKUP($I26,OFFSET([1]characters!$A$1,0,0,COUNTA([1]characters!$A:$A),MATCH(J$1,[1]characters!$1:$1,0)-MATCH($C$1,[1]characters!$1:$1,0)+1),MATCH(J$1,[1]characters!$1:$1,0)-MATCH($C$1,[1]characters!$1:$1,0)+1,FALSE)</f>
        <v>雷のマッドハッター</v>
      </c>
      <c r="K26" s="192">
        <v>1</v>
      </c>
      <c r="L26" s="193">
        <v>1</v>
      </c>
      <c r="M26" s="193">
        <v>10</v>
      </c>
      <c r="N26" s="2" t="s">
        <v>291</v>
      </c>
    </row>
    <row r="27" spans="1:14" ht="21" customHeight="1" x14ac:dyDescent="0.15">
      <c r="A27" s="61" t="str">
        <f t="shared" si="8"/>
        <v>443_837</v>
      </c>
      <c r="B27" s="195">
        <v>443</v>
      </c>
      <c r="C27" s="178">
        <f t="shared" si="9"/>
        <v>443</v>
      </c>
      <c r="D27" s="53" t="str">
        <f ca="1">VLOOKUP($C27,OFFSET([1]characters!$A$1,0,0,COUNTA([1]characters!$A:$A),MATCH(D$1,[1]characters!$1:$1,0)-MATCH($C$1,[1]characters!$1:$1,0)+1),MATCH(D$1,[1]characters!$1:$1,0)-MATCH($C$1,[1]characters!$1:$1,0)+1,FALSE)</f>
        <v>勇機結集 ブレイブリー・ライオン</v>
      </c>
      <c r="E27" s="53">
        <f ca="1">VLOOKUP($C27,OFFSET([1]characters!$A$1,0,0,COUNTA([1]characters!$A:$A),MATCH(E$1,[1]characters!$1:$1,0)-MATCH($C$1,[1]characters!$1:$1,0)+1),MATCH(E$1,[1]characters!$1:$1,0)-MATCH($C$1,[1]characters!$1:$1,0)+1,FALSE)</f>
        <v>5</v>
      </c>
      <c r="F27" s="53" t="str">
        <f ca="1">VLOOKUP($C27,OFFSET([1]characters!$A$1,0,0,COUNTA([1]characters!$A:$A),MATCH(F$1,[1]characters!$1:$1,0)-MATCH($C$1,[1]characters!$1:$1,0)+1),MATCH(F$1,[1]characters!$1:$1,0)-MATCH($C$1,[1]characters!$1:$1,0)+1,FALSE)</f>
        <v>PremiumSS</v>
      </c>
      <c r="G27" s="195">
        <v>971</v>
      </c>
      <c r="H27" s="53" t="str">
        <f ca="1">VLOOKUP($G27,OFFSET([1]characters!$A$1,0,0,COUNTA([1]characters!$A:$A),MATCH(H$1,[1]characters!$1:$1,0)-MATCH($C$1,[1]characters!$1:$1,0)+1),MATCH(H$1,[1]characters!$1:$1,0)-MATCH($C$1,[1]characters!$1:$1,0)+1,FALSE)</f>
        <v>機獅蛮勇 ブレイブリー・ライオン</v>
      </c>
      <c r="I27" s="194">
        <v>837</v>
      </c>
      <c r="J27" s="53" t="str">
        <f ca="1">VLOOKUP($I27,OFFSET([1]characters!$A$1,0,0,COUNTA([1]characters!$A:$A),MATCH(J$1,[1]characters!$1:$1,0)-MATCH($C$1,[1]characters!$1:$1,0)+1),MATCH(J$1,[1]characters!$1:$1,0)-MATCH($C$1,[1]characters!$1:$1,0)+1,FALSE)</f>
        <v>リトルハンプティ</v>
      </c>
      <c r="K27" s="192">
        <v>1</v>
      </c>
      <c r="L27" s="193">
        <v>1</v>
      </c>
      <c r="M27" s="193">
        <v>1000</v>
      </c>
      <c r="N27" s="2" t="s">
        <v>291</v>
      </c>
    </row>
    <row r="28" spans="1:14" ht="21" customHeight="1" x14ac:dyDescent="0.15">
      <c r="A28" s="61" t="str">
        <f t="shared" ref="A28:A31" si="10">B28&amp;"_"&amp;I28</f>
        <v>587_102</v>
      </c>
      <c r="B28" s="195">
        <v>587</v>
      </c>
      <c r="C28" s="178">
        <f t="shared" ref="C28:C31" si="11">B28</f>
        <v>587</v>
      </c>
      <c r="D28" s="53" t="str">
        <f ca="1">VLOOKUP($C28,OFFSET([1]characters!$A$1,0,0,COUNTA([1]characters!$A:$A),MATCH(D$1,[1]characters!$1:$1,0)-MATCH($C$1,[1]characters!$1:$1,0)+1),MATCH(D$1,[1]characters!$1:$1,0)-MATCH($C$1,[1]characters!$1:$1,0)+1,FALSE)</f>
        <v>原初の煉鋼巨刃 ユミル</v>
      </c>
      <c r="E28" s="53">
        <f ca="1">VLOOKUP($C28,OFFSET([1]characters!$A$1,0,0,COUNTA([1]characters!$A:$A),MATCH(E$1,[1]characters!$1:$1,0)-MATCH($C$1,[1]characters!$1:$1,0)+1),MATCH(E$1,[1]characters!$1:$1,0)-MATCH($C$1,[1]characters!$1:$1,0)+1,FALSE)</f>
        <v>5</v>
      </c>
      <c r="F28" s="53" t="str">
        <f ca="1">VLOOKUP($C28,OFFSET([1]characters!$A$1,0,0,COUNTA([1]characters!$A:$A),MATCH(F$1,[1]characters!$1:$1,0)-MATCH($C$1,[1]characters!$1:$1,0)+1),MATCH(F$1,[1]characters!$1:$1,0)-MATCH($C$1,[1]characters!$1:$1,0)+1,FALSE)</f>
        <v>PremiumSS</v>
      </c>
      <c r="G28" s="195">
        <v>969</v>
      </c>
      <c r="H28" s="53" t="str">
        <f ca="1">VLOOKUP($G28,OFFSET([1]characters!$A$1,0,0,COUNTA([1]characters!$A:$A),MATCH(H$1,[1]characters!$1:$1,0)-MATCH($C$1,[1]characters!$1:$1,0)+1),MATCH(H$1,[1]characters!$1:$1,0)-MATCH($C$1,[1]characters!$1:$1,0)+1,FALSE)</f>
        <v>超排撃の焔砲巨神 ユミル</v>
      </c>
      <c r="I28" s="194">
        <v>102</v>
      </c>
      <c r="J28" s="53" t="str">
        <f ca="1">VLOOKUP($I28,OFFSET([1]characters!$A$1,0,0,COUNTA([1]characters!$A:$A),MATCH(J$1,[1]characters!$1:$1,0)-MATCH($C$1,[1]characters!$1:$1,0)+1),MATCH(J$1,[1]characters!$1:$1,0)-MATCH($C$1,[1]characters!$1:$1,0)+1,FALSE)</f>
        <v>レッドラビット</v>
      </c>
      <c r="K28" s="192">
        <v>1</v>
      </c>
      <c r="L28" s="193">
        <v>1</v>
      </c>
      <c r="M28" s="193">
        <v>10</v>
      </c>
      <c r="N28" s="2" t="s">
        <v>291</v>
      </c>
    </row>
    <row r="29" spans="1:14" ht="21" customHeight="1" x14ac:dyDescent="0.15">
      <c r="A29" s="61" t="str">
        <f t="shared" si="10"/>
        <v>587_103</v>
      </c>
      <c r="B29" s="195">
        <v>587</v>
      </c>
      <c r="C29" s="178">
        <f t="shared" si="11"/>
        <v>587</v>
      </c>
      <c r="D29" s="53" t="str">
        <f ca="1">VLOOKUP($C29,OFFSET([1]characters!$A$1,0,0,COUNTA([1]characters!$A:$A),MATCH(D$1,[1]characters!$1:$1,0)-MATCH($C$1,[1]characters!$1:$1,0)+1),MATCH(D$1,[1]characters!$1:$1,0)-MATCH($C$1,[1]characters!$1:$1,0)+1,FALSE)</f>
        <v>原初の煉鋼巨刃 ユミル</v>
      </c>
      <c r="E29" s="53">
        <f ca="1">VLOOKUP($C29,OFFSET([1]characters!$A$1,0,0,COUNTA([1]characters!$A:$A),MATCH(E$1,[1]characters!$1:$1,0)-MATCH($C$1,[1]characters!$1:$1,0)+1),MATCH(E$1,[1]characters!$1:$1,0)-MATCH($C$1,[1]characters!$1:$1,0)+1,FALSE)</f>
        <v>5</v>
      </c>
      <c r="F29" s="53" t="str">
        <f ca="1">VLOOKUP($C29,OFFSET([1]characters!$A$1,0,0,COUNTA([1]characters!$A:$A),MATCH(F$1,[1]characters!$1:$1,0)-MATCH($C$1,[1]characters!$1:$1,0)+1),MATCH(F$1,[1]characters!$1:$1,0)-MATCH($C$1,[1]characters!$1:$1,0)+1,FALSE)</f>
        <v>PremiumSS</v>
      </c>
      <c r="G29" s="195">
        <v>969</v>
      </c>
      <c r="H29" s="53" t="str">
        <f ca="1">VLOOKUP($G29,OFFSET([1]characters!$A$1,0,0,COUNTA([1]characters!$A:$A),MATCH(H$1,[1]characters!$1:$1,0)-MATCH($C$1,[1]characters!$1:$1,0)+1),MATCH(H$1,[1]characters!$1:$1,0)-MATCH($C$1,[1]characters!$1:$1,0)+1,FALSE)</f>
        <v>超排撃の焔砲巨神 ユミル</v>
      </c>
      <c r="I29" s="194">
        <v>103</v>
      </c>
      <c r="J29" s="53" t="str">
        <f ca="1">VLOOKUP($I29,OFFSET([1]characters!$A$1,0,0,COUNTA([1]characters!$A:$A),MATCH(J$1,[1]characters!$1:$1,0)-MATCH($C$1,[1]characters!$1:$1,0)+1),MATCH(J$1,[1]characters!$1:$1,0)-MATCH($C$1,[1]characters!$1:$1,0)+1,FALSE)</f>
        <v>レッドキャタップ</v>
      </c>
      <c r="K29" s="192">
        <v>1</v>
      </c>
      <c r="L29" s="193">
        <v>1</v>
      </c>
      <c r="M29" s="193">
        <v>10</v>
      </c>
      <c r="N29" s="2" t="s">
        <v>291</v>
      </c>
    </row>
    <row r="30" spans="1:14" ht="21" customHeight="1" x14ac:dyDescent="0.15">
      <c r="A30" s="61" t="str">
        <f t="shared" si="10"/>
        <v>587_104</v>
      </c>
      <c r="B30" s="195">
        <v>587</v>
      </c>
      <c r="C30" s="178">
        <f t="shared" si="11"/>
        <v>587</v>
      </c>
      <c r="D30" s="53" t="str">
        <f ca="1">VLOOKUP($C30,OFFSET([1]characters!$A$1,0,0,COUNTA([1]characters!$A:$A),MATCH(D$1,[1]characters!$1:$1,0)-MATCH($C$1,[1]characters!$1:$1,0)+1),MATCH(D$1,[1]characters!$1:$1,0)-MATCH($C$1,[1]characters!$1:$1,0)+1,FALSE)</f>
        <v>原初の煉鋼巨刃 ユミル</v>
      </c>
      <c r="E30" s="53">
        <f ca="1">VLOOKUP($C30,OFFSET([1]characters!$A$1,0,0,COUNTA([1]characters!$A:$A),MATCH(E$1,[1]characters!$1:$1,0)-MATCH($C$1,[1]characters!$1:$1,0)+1),MATCH(E$1,[1]characters!$1:$1,0)-MATCH($C$1,[1]characters!$1:$1,0)+1,FALSE)</f>
        <v>5</v>
      </c>
      <c r="F30" s="53" t="str">
        <f ca="1">VLOOKUP($C30,OFFSET([1]characters!$A$1,0,0,COUNTA([1]characters!$A:$A),MATCH(F$1,[1]characters!$1:$1,0)-MATCH($C$1,[1]characters!$1:$1,0)+1),MATCH(F$1,[1]characters!$1:$1,0)-MATCH($C$1,[1]characters!$1:$1,0)+1,FALSE)</f>
        <v>PremiumSS</v>
      </c>
      <c r="G30" s="195">
        <v>969</v>
      </c>
      <c r="H30" s="53" t="str">
        <f ca="1">VLOOKUP($G30,OFFSET([1]characters!$A$1,0,0,COUNTA([1]characters!$A:$A),MATCH(H$1,[1]characters!$1:$1,0)-MATCH($C$1,[1]characters!$1:$1,0)+1),MATCH(H$1,[1]characters!$1:$1,0)-MATCH($C$1,[1]characters!$1:$1,0)+1,FALSE)</f>
        <v>超排撃の焔砲巨神 ユミル</v>
      </c>
      <c r="I30" s="194">
        <v>104</v>
      </c>
      <c r="J30" s="53" t="str">
        <f ca="1">VLOOKUP($I30,OFFSET([1]characters!$A$1,0,0,COUNTA([1]characters!$A:$A),MATCH(J$1,[1]characters!$1:$1,0)-MATCH($C$1,[1]characters!$1:$1,0)+1),MATCH(J$1,[1]characters!$1:$1,0)-MATCH($C$1,[1]characters!$1:$1,0)+1,FALSE)</f>
        <v>炎のマッドハッター</v>
      </c>
      <c r="K30" s="192">
        <v>1</v>
      </c>
      <c r="L30" s="193">
        <v>1</v>
      </c>
      <c r="M30" s="193">
        <v>10</v>
      </c>
      <c r="N30" s="2" t="s">
        <v>291</v>
      </c>
    </row>
    <row r="31" spans="1:14" ht="21" customHeight="1" x14ac:dyDescent="0.15">
      <c r="A31" s="61" t="str">
        <f t="shared" si="10"/>
        <v>587_837</v>
      </c>
      <c r="B31" s="195">
        <v>587</v>
      </c>
      <c r="C31" s="178">
        <f t="shared" si="11"/>
        <v>587</v>
      </c>
      <c r="D31" s="53" t="str">
        <f ca="1">VLOOKUP($C31,OFFSET([1]characters!$A$1,0,0,COUNTA([1]characters!$A:$A),MATCH(D$1,[1]characters!$1:$1,0)-MATCH($C$1,[1]characters!$1:$1,0)+1),MATCH(D$1,[1]characters!$1:$1,0)-MATCH($C$1,[1]characters!$1:$1,0)+1,FALSE)</f>
        <v>原初の煉鋼巨刃 ユミル</v>
      </c>
      <c r="E31" s="53">
        <f ca="1">VLOOKUP($C31,OFFSET([1]characters!$A$1,0,0,COUNTA([1]characters!$A:$A),MATCH(E$1,[1]characters!$1:$1,0)-MATCH($C$1,[1]characters!$1:$1,0)+1),MATCH(E$1,[1]characters!$1:$1,0)-MATCH($C$1,[1]characters!$1:$1,0)+1,FALSE)</f>
        <v>5</v>
      </c>
      <c r="F31" s="53" t="str">
        <f ca="1">VLOOKUP($C31,OFFSET([1]characters!$A$1,0,0,COUNTA([1]characters!$A:$A),MATCH(F$1,[1]characters!$1:$1,0)-MATCH($C$1,[1]characters!$1:$1,0)+1),MATCH(F$1,[1]characters!$1:$1,0)-MATCH($C$1,[1]characters!$1:$1,0)+1,FALSE)</f>
        <v>PremiumSS</v>
      </c>
      <c r="G31" s="195">
        <v>969</v>
      </c>
      <c r="H31" s="53" t="str">
        <f ca="1">VLOOKUP($G31,OFFSET([1]characters!$A$1,0,0,COUNTA([1]characters!$A:$A),MATCH(H$1,[1]characters!$1:$1,0)-MATCH($C$1,[1]characters!$1:$1,0)+1),MATCH(H$1,[1]characters!$1:$1,0)-MATCH($C$1,[1]characters!$1:$1,0)+1,FALSE)</f>
        <v>超排撃の焔砲巨神 ユミル</v>
      </c>
      <c r="I31" s="194">
        <v>837</v>
      </c>
      <c r="J31" s="53" t="str">
        <f ca="1">VLOOKUP($I31,OFFSET([1]characters!$A$1,0,0,COUNTA([1]characters!$A:$A),MATCH(J$1,[1]characters!$1:$1,0)-MATCH($C$1,[1]characters!$1:$1,0)+1),MATCH(J$1,[1]characters!$1:$1,0)-MATCH($C$1,[1]characters!$1:$1,0)+1,FALSE)</f>
        <v>リトルハンプティ</v>
      </c>
      <c r="K31" s="192">
        <v>1</v>
      </c>
      <c r="L31" s="193">
        <v>1</v>
      </c>
      <c r="M31" s="193">
        <v>1000</v>
      </c>
      <c r="N31" s="2" t="s">
        <v>291</v>
      </c>
    </row>
    <row r="32" spans="1:14" ht="21" customHeight="1" x14ac:dyDescent="0.15">
      <c r="A32" s="61" t="str">
        <f t="shared" ref="A32:A35" si="12">B32&amp;"_"&amp;I32</f>
        <v>249_114</v>
      </c>
      <c r="B32" s="195">
        <v>249</v>
      </c>
      <c r="C32" s="178">
        <f t="shared" ref="C32:C35" si="13">B32</f>
        <v>249</v>
      </c>
      <c r="D32" s="53" t="str">
        <f ca="1">VLOOKUP($C32,OFFSET([1]characters!$A$1,0,0,COUNTA([1]characters!$A:$A),MATCH(D$1,[1]characters!$1:$1,0)-MATCH($C$1,[1]characters!$1:$1,0)+1),MATCH(D$1,[1]characters!$1:$1,0)-MATCH($C$1,[1]characters!$1:$1,0)+1,FALSE)</f>
        <v>雷電の天使 ミカエル・ゲイナー</v>
      </c>
      <c r="E32" s="53">
        <f ca="1">VLOOKUP($C32,OFFSET([1]characters!$A$1,0,0,COUNTA([1]characters!$A:$A),MATCH(E$1,[1]characters!$1:$1,0)-MATCH($C$1,[1]characters!$1:$1,0)+1),MATCH(E$1,[1]characters!$1:$1,0)-MATCH($C$1,[1]characters!$1:$1,0)+1,FALSE)</f>
        <v>5</v>
      </c>
      <c r="F32" s="53" t="str">
        <f ca="1">VLOOKUP($C32,OFFSET([1]characters!$A$1,0,0,COUNTA([1]characters!$A:$A),MATCH(F$1,[1]characters!$1:$1,0)-MATCH($C$1,[1]characters!$1:$1,0)+1),MATCH(F$1,[1]characters!$1:$1,0)-MATCH($C$1,[1]characters!$1:$1,0)+1,FALSE)</f>
        <v>PremiumS</v>
      </c>
      <c r="G32" s="195">
        <v>782</v>
      </c>
      <c r="H32" s="53" t="str">
        <f ca="1">VLOOKUP($G32,OFFSET([1]characters!$A$1,0,0,COUNTA([1]characters!$A:$A),MATCH(H$1,[1]characters!$1:$1,0)-MATCH($C$1,[1]characters!$1:$1,0)+1),MATCH(H$1,[1]characters!$1:$1,0)-MATCH($C$1,[1]characters!$1:$1,0)+1,FALSE)</f>
        <v>機甲雷天使 ミカエル・グロリアス</v>
      </c>
      <c r="I32" s="194">
        <v>114</v>
      </c>
      <c r="J32" s="53" t="str">
        <f ca="1">VLOOKUP($I32,OFFSET([1]characters!$A$1,0,0,COUNTA([1]characters!$A:$A),MATCH(J$1,[1]characters!$1:$1,0)-MATCH($C$1,[1]characters!$1:$1,0)+1),MATCH(J$1,[1]characters!$1:$1,0)-MATCH($C$1,[1]characters!$1:$1,0)+1,FALSE)</f>
        <v>イエローラビット</v>
      </c>
      <c r="K32" s="192">
        <v>1</v>
      </c>
      <c r="L32" s="193">
        <v>1</v>
      </c>
      <c r="M32" s="193">
        <v>10</v>
      </c>
      <c r="N32" s="2" t="s">
        <v>291</v>
      </c>
    </row>
    <row r="33" spans="1:14" ht="21" customHeight="1" x14ac:dyDescent="0.15">
      <c r="A33" s="61" t="str">
        <f t="shared" si="12"/>
        <v>249_115</v>
      </c>
      <c r="B33" s="195">
        <v>249</v>
      </c>
      <c r="C33" s="178">
        <f t="shared" si="13"/>
        <v>249</v>
      </c>
      <c r="D33" s="53" t="str">
        <f ca="1">VLOOKUP($C33,OFFSET([1]characters!$A$1,0,0,COUNTA([1]characters!$A:$A),MATCH(D$1,[1]characters!$1:$1,0)-MATCH($C$1,[1]characters!$1:$1,0)+1),MATCH(D$1,[1]characters!$1:$1,0)-MATCH($C$1,[1]characters!$1:$1,0)+1,FALSE)</f>
        <v>雷電の天使 ミカエル・ゲイナー</v>
      </c>
      <c r="E33" s="53">
        <f ca="1">VLOOKUP($C33,OFFSET([1]characters!$A$1,0,0,COUNTA([1]characters!$A:$A),MATCH(E$1,[1]characters!$1:$1,0)-MATCH($C$1,[1]characters!$1:$1,0)+1),MATCH(E$1,[1]characters!$1:$1,0)-MATCH($C$1,[1]characters!$1:$1,0)+1,FALSE)</f>
        <v>5</v>
      </c>
      <c r="F33" s="53" t="str">
        <f ca="1">VLOOKUP($C33,OFFSET([1]characters!$A$1,0,0,COUNTA([1]characters!$A:$A),MATCH(F$1,[1]characters!$1:$1,0)-MATCH($C$1,[1]characters!$1:$1,0)+1),MATCH(F$1,[1]characters!$1:$1,0)-MATCH($C$1,[1]characters!$1:$1,0)+1,FALSE)</f>
        <v>PremiumS</v>
      </c>
      <c r="G33" s="195">
        <v>782</v>
      </c>
      <c r="H33" s="53" t="str">
        <f ca="1">VLOOKUP($G33,OFFSET([1]characters!$A$1,0,0,COUNTA([1]characters!$A:$A),MATCH(H$1,[1]characters!$1:$1,0)-MATCH($C$1,[1]characters!$1:$1,0)+1),MATCH(H$1,[1]characters!$1:$1,0)-MATCH($C$1,[1]characters!$1:$1,0)+1,FALSE)</f>
        <v>機甲雷天使 ミカエル・グロリアス</v>
      </c>
      <c r="I33" s="194">
        <v>115</v>
      </c>
      <c r="J33" s="53" t="str">
        <f ca="1">VLOOKUP($I33,OFFSET([1]characters!$A$1,0,0,COUNTA([1]characters!$A:$A),MATCH(J$1,[1]characters!$1:$1,0)-MATCH($C$1,[1]characters!$1:$1,0)+1),MATCH(J$1,[1]characters!$1:$1,0)-MATCH($C$1,[1]characters!$1:$1,0)+1,FALSE)</f>
        <v>イエローキャタップ</v>
      </c>
      <c r="K33" s="192">
        <v>1</v>
      </c>
      <c r="L33" s="193">
        <v>1</v>
      </c>
      <c r="M33" s="193">
        <v>10</v>
      </c>
      <c r="N33" s="2" t="s">
        <v>291</v>
      </c>
    </row>
    <row r="34" spans="1:14" ht="21" customHeight="1" x14ac:dyDescent="0.15">
      <c r="A34" s="61" t="str">
        <f t="shared" si="12"/>
        <v>249_116</v>
      </c>
      <c r="B34" s="195">
        <v>249</v>
      </c>
      <c r="C34" s="178">
        <f t="shared" si="13"/>
        <v>249</v>
      </c>
      <c r="D34" s="53" t="str">
        <f ca="1">VLOOKUP($C34,OFFSET([1]characters!$A$1,0,0,COUNTA([1]characters!$A:$A),MATCH(D$1,[1]characters!$1:$1,0)-MATCH($C$1,[1]characters!$1:$1,0)+1),MATCH(D$1,[1]characters!$1:$1,0)-MATCH($C$1,[1]characters!$1:$1,0)+1,FALSE)</f>
        <v>雷電の天使 ミカエル・ゲイナー</v>
      </c>
      <c r="E34" s="53">
        <f ca="1">VLOOKUP($C34,OFFSET([1]characters!$A$1,0,0,COUNTA([1]characters!$A:$A),MATCH(E$1,[1]characters!$1:$1,0)-MATCH($C$1,[1]characters!$1:$1,0)+1),MATCH(E$1,[1]characters!$1:$1,0)-MATCH($C$1,[1]characters!$1:$1,0)+1,FALSE)</f>
        <v>5</v>
      </c>
      <c r="F34" s="53" t="str">
        <f ca="1">VLOOKUP($C34,OFFSET([1]characters!$A$1,0,0,COUNTA([1]characters!$A:$A),MATCH(F$1,[1]characters!$1:$1,0)-MATCH($C$1,[1]characters!$1:$1,0)+1),MATCH(F$1,[1]characters!$1:$1,0)-MATCH($C$1,[1]characters!$1:$1,0)+1,FALSE)</f>
        <v>PremiumS</v>
      </c>
      <c r="G34" s="195">
        <v>782</v>
      </c>
      <c r="H34" s="53" t="str">
        <f ca="1">VLOOKUP($G34,OFFSET([1]characters!$A$1,0,0,COUNTA([1]characters!$A:$A),MATCH(H$1,[1]characters!$1:$1,0)-MATCH($C$1,[1]characters!$1:$1,0)+1),MATCH(H$1,[1]characters!$1:$1,0)-MATCH($C$1,[1]characters!$1:$1,0)+1,FALSE)</f>
        <v>機甲雷天使 ミカエル・グロリアス</v>
      </c>
      <c r="I34" s="194">
        <v>116</v>
      </c>
      <c r="J34" s="53" t="str">
        <f ca="1">VLOOKUP($I34,OFFSET([1]characters!$A$1,0,0,COUNTA([1]characters!$A:$A),MATCH(J$1,[1]characters!$1:$1,0)-MATCH($C$1,[1]characters!$1:$1,0)+1),MATCH(J$1,[1]characters!$1:$1,0)-MATCH($C$1,[1]characters!$1:$1,0)+1,FALSE)</f>
        <v>雷のマッドハッター</v>
      </c>
      <c r="K34" s="192">
        <v>1</v>
      </c>
      <c r="L34" s="193">
        <v>1</v>
      </c>
      <c r="M34" s="193">
        <v>10</v>
      </c>
      <c r="N34" s="2" t="s">
        <v>291</v>
      </c>
    </row>
    <row r="35" spans="1:14" ht="21" customHeight="1" x14ac:dyDescent="0.15">
      <c r="A35" s="61" t="str">
        <f t="shared" si="12"/>
        <v>249_837</v>
      </c>
      <c r="B35" s="195">
        <v>249</v>
      </c>
      <c r="C35" s="178">
        <f t="shared" si="13"/>
        <v>249</v>
      </c>
      <c r="D35" s="53" t="str">
        <f ca="1">VLOOKUP($C35,OFFSET([1]characters!$A$1,0,0,COUNTA([1]characters!$A:$A),MATCH(D$1,[1]characters!$1:$1,0)-MATCH($C$1,[1]characters!$1:$1,0)+1),MATCH(D$1,[1]characters!$1:$1,0)-MATCH($C$1,[1]characters!$1:$1,0)+1,FALSE)</f>
        <v>雷電の天使 ミカエル・ゲイナー</v>
      </c>
      <c r="E35" s="53">
        <f ca="1">VLOOKUP($C35,OFFSET([1]characters!$A$1,0,0,COUNTA([1]characters!$A:$A),MATCH(E$1,[1]characters!$1:$1,0)-MATCH($C$1,[1]characters!$1:$1,0)+1),MATCH(E$1,[1]characters!$1:$1,0)-MATCH($C$1,[1]characters!$1:$1,0)+1,FALSE)</f>
        <v>5</v>
      </c>
      <c r="F35" s="53" t="str">
        <f ca="1">VLOOKUP($C35,OFFSET([1]characters!$A$1,0,0,COUNTA([1]characters!$A:$A),MATCH(F$1,[1]characters!$1:$1,0)-MATCH($C$1,[1]characters!$1:$1,0)+1),MATCH(F$1,[1]characters!$1:$1,0)-MATCH($C$1,[1]characters!$1:$1,0)+1,FALSE)</f>
        <v>PremiumS</v>
      </c>
      <c r="G35" s="195">
        <v>782</v>
      </c>
      <c r="H35" s="53" t="str">
        <f ca="1">VLOOKUP($G35,OFFSET([1]characters!$A$1,0,0,COUNTA([1]characters!$A:$A),MATCH(H$1,[1]characters!$1:$1,0)-MATCH($C$1,[1]characters!$1:$1,0)+1),MATCH(H$1,[1]characters!$1:$1,0)-MATCH($C$1,[1]characters!$1:$1,0)+1,FALSE)</f>
        <v>機甲雷天使 ミカエル・グロリアス</v>
      </c>
      <c r="I35" s="194">
        <v>837</v>
      </c>
      <c r="J35" s="53" t="str">
        <f ca="1">VLOOKUP($I35,OFFSET([1]characters!$A$1,0,0,COUNTA([1]characters!$A:$A),MATCH(J$1,[1]characters!$1:$1,0)-MATCH($C$1,[1]characters!$1:$1,0)+1),MATCH(J$1,[1]characters!$1:$1,0)-MATCH($C$1,[1]characters!$1:$1,0)+1,FALSE)</f>
        <v>リトルハンプティ</v>
      </c>
      <c r="K35" s="192">
        <v>1</v>
      </c>
      <c r="L35" s="193">
        <v>1</v>
      </c>
      <c r="M35" s="193">
        <v>1000</v>
      </c>
      <c r="N35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10"/>
  <sheetViews>
    <sheetView workbookViewId="0">
      <selection activeCell="E25" sqref="E2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966</v>
      </c>
      <c r="B2" s="172" t="str">
        <f>VLOOKUP(A2,[1]characters!$A:$C,3)</f>
        <v>麗嵐の颯愛志士 土方歳三</v>
      </c>
      <c r="C2" s="196">
        <v>1</v>
      </c>
      <c r="D2" s="196">
        <v>100</v>
      </c>
      <c r="E2" s="173" t="str">
        <f>IF(ISERROR(VLOOKUP(D2,[3]abilities!A:D,3,FALSE))=FALSE,VLOOKUP(D2,[3]abilities!A:D,3),IF(ISERROR(VLOOKUP(D2,abilities!A:D,3,FALSE))=FALSE,VLOOKUP(D2,abilities!A:D,3),"なし"))</f>
        <v>プロテクトブレイク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自身が先頭の時、プロテクトを無視してパネル破壊できる</v>
      </c>
      <c r="G2" s="174" t="s">
        <v>275</v>
      </c>
      <c r="H2" s="197" t="s">
        <v>323</v>
      </c>
    </row>
    <row r="3" spans="1:8" s="4" customFormat="1" ht="21" customHeight="1" x14ac:dyDescent="0.15">
      <c r="A3" s="169">
        <v>967</v>
      </c>
      <c r="B3" s="172" t="str">
        <f>VLOOKUP(A3,[1]characters!$A:$C,3)</f>
        <v>討滅の凶妖志士 斎藤一</v>
      </c>
      <c r="C3" s="196">
        <v>1</v>
      </c>
      <c r="D3" s="196">
        <v>109</v>
      </c>
      <c r="E3" s="173" t="str">
        <f>IF(ISERROR(VLOOKUP(D3,[3]abilities!A:D,3,FALSE))=FALSE,VLOOKUP(D3,[3]abilities!A:D,3),IF(ISERROR(VLOOKUP(D3,abilities!A:D,3,FALSE))=FALSE,VLOOKUP(D3,abilities!A:D,3),"なし"))</f>
        <v>ダメージパネルブレイク</v>
      </c>
      <c r="F3" s="173" t="str">
        <f>IF(ISERROR(VLOOKUP(D3,[3]abilities!A:D,4,FALSE))=FALSE,VLOOKUP(D3,[3]abilities!A:D,4),IF(ISERROR(VLOOKUP(D3,abilities!A:D,4,FALSE))=FALSE,VLOOKUP(D3,abilities!A:D,4),"なし"))</f>
        <v>自身が先頭の時、ダメージを受けずにダメージパネルを破壊できる</v>
      </c>
      <c r="G3" s="174" t="s">
        <v>275</v>
      </c>
      <c r="H3" s="197" t="s">
        <v>323</v>
      </c>
    </row>
    <row r="4" spans="1:8" s="4" customFormat="1" ht="21" customHeight="1" x14ac:dyDescent="0.15">
      <c r="A4" s="169">
        <v>968</v>
      </c>
      <c r="B4" s="172" t="str">
        <f>VLOOKUP(A4,[1]characters!$A:$C,3)</f>
        <v>夢謀の愚幻者 フール</v>
      </c>
      <c r="C4" s="196">
        <v>1</v>
      </c>
      <c r="D4" s="196">
        <v>109</v>
      </c>
      <c r="E4" s="173" t="str">
        <f>IF(ISERROR(VLOOKUP(D4,[3]abilities!A:D,3,FALSE))=FALSE,VLOOKUP(D4,[3]abilities!A:D,3),IF(ISERROR(VLOOKUP(D4,abilities!A:D,3,FALSE))=FALSE,VLOOKUP(D4,abilities!A:D,3),"なし"))</f>
        <v>ダメージパネルブレイク</v>
      </c>
      <c r="F4" s="173" t="str">
        <f>IF(ISERROR(VLOOKUP(D4,[3]abilities!A:D,4,FALSE))=FALSE,VLOOKUP(D4,[3]abilities!A:D,4),IF(ISERROR(VLOOKUP(D4,abilities!A:D,4,FALSE))=FALSE,VLOOKUP(D4,abilities!A:D,4),"なし"))</f>
        <v>自身が先頭の時、ダメージを受けずにダメージパネルを破壊できる</v>
      </c>
      <c r="G4" s="174" t="s">
        <v>275</v>
      </c>
      <c r="H4" s="197" t="s">
        <v>323</v>
      </c>
    </row>
    <row r="5" spans="1:8" s="4" customFormat="1" ht="21" customHeight="1" x14ac:dyDescent="0.15">
      <c r="A5" s="169">
        <v>968</v>
      </c>
      <c r="B5" s="172" t="str">
        <f>VLOOKUP(A5,[1]characters!$A:$C,3)</f>
        <v>夢謀の愚幻者 フール</v>
      </c>
      <c r="C5" s="196">
        <v>2</v>
      </c>
      <c r="D5" s="196">
        <v>9009</v>
      </c>
      <c r="E5" s="173" t="str">
        <f>IF(ISERROR(VLOOKUP(D5,[3]abilities!A:D,3,FALSE))=FALSE,VLOOKUP(D5,[3]abilities!A:D,3),IF(ISERROR(VLOOKUP(D5,abilities!A:D,3,FALSE))=FALSE,VLOOKUP(D5,abilities!A:D,3),"なし"))</f>
        <v>ハップルチャレンジ ダメージUP</v>
      </c>
      <c r="F5" s="173" t="str">
        <f>IF(ISERROR(VLOOKUP(D5,[3]abilities!A:D,4,FALSE))=FALSE,VLOOKUP(D5,[3]abilities!A:D,4),IF(ISERROR(VLOOKUP(D5,abilities!A:D,4,FALSE))=FALSE,VLOOKUP(D5,abilities!A:D,4),"なし"))</f>
        <v>ハップルチャレンジ内で自身の全ての攻撃の威力をUP</v>
      </c>
      <c r="G5" s="174" t="s">
        <v>275</v>
      </c>
      <c r="H5" s="197" t="s">
        <v>323</v>
      </c>
    </row>
    <row r="6" spans="1:8" s="4" customFormat="1" ht="21" customHeight="1" x14ac:dyDescent="0.15">
      <c r="A6" s="169">
        <v>963</v>
      </c>
      <c r="B6" s="172" t="str">
        <f>VLOOKUP(A6,[1]characters!$A:$C,3)</f>
        <v>天蛇の閃皇貴魔 アスタロト</v>
      </c>
      <c r="C6" s="196">
        <v>1</v>
      </c>
      <c r="D6" s="196">
        <v>200</v>
      </c>
      <c r="E6" s="173" t="str">
        <f>IF(ISERROR(VLOOKUP(D6,[3]abilities!A:D,3,FALSE))=FALSE,VLOOKUP(D6,[3]abilities!A:D,3),IF(ISERROR(VLOOKUP(D6,abilities!A:D,3,FALSE))=FALSE,VLOOKUP(D6,abilities!A:D,3),"なし"))</f>
        <v>ウィルス無効</v>
      </c>
      <c r="F6" s="173" t="str">
        <f>IF(ISERROR(VLOOKUP(D6,[3]abilities!A:D,4,FALSE))=FALSE,VLOOKUP(D6,[3]abilities!A:D,4),IF(ISERROR(VLOOKUP(D6,abilities!A:D,4,FALSE))=FALSE,VLOOKUP(D6,abilities!A:D,4),"なし"))</f>
        <v>自身にかかるウィルスを無効化する</v>
      </c>
      <c r="G6" s="174" t="s">
        <v>275</v>
      </c>
      <c r="H6" s="197" t="s">
        <v>323</v>
      </c>
    </row>
    <row r="7" spans="1:8" s="4" customFormat="1" ht="21" customHeight="1" x14ac:dyDescent="0.15">
      <c r="A7" s="169">
        <v>963</v>
      </c>
      <c r="B7" s="172" t="str">
        <f>VLOOKUP(A7,[1]characters!$A:$C,3)</f>
        <v>天蛇の閃皇貴魔 アスタロト</v>
      </c>
      <c r="C7" s="196">
        <v>2</v>
      </c>
      <c r="D7" s="196">
        <v>9006</v>
      </c>
      <c r="E7" s="173" t="str">
        <f>IF(ISERROR(VLOOKUP(D7,[3]abilities!A:D,3,FALSE))=FALSE,VLOOKUP(D7,[3]abilities!A:D,3),IF(ISERROR(VLOOKUP(D7,abilities!A:D,3,FALSE))=FALSE,VLOOKUP(D7,abilities!A:D,3),"なし"))</f>
        <v>ハップルチャレンジ ダメージUP</v>
      </c>
      <c r="F7" s="173" t="str">
        <f>IF(ISERROR(VLOOKUP(D7,[3]abilities!A:D,4,FALSE))=FALSE,VLOOKUP(D7,[3]abilities!A:D,4),IF(ISERROR(VLOOKUP(D7,abilities!A:D,4,FALSE))=FALSE,VLOOKUP(D7,abilities!A:D,4),"なし"))</f>
        <v>ハップルチャレンジ内で自身の全ての攻撃の威力をUP</v>
      </c>
      <c r="G7" s="174" t="s">
        <v>275</v>
      </c>
      <c r="H7" s="197" t="s">
        <v>323</v>
      </c>
    </row>
    <row r="8" spans="1:8" s="4" customFormat="1" ht="21" customHeight="1" x14ac:dyDescent="0.15">
      <c r="A8" s="169">
        <v>971</v>
      </c>
      <c r="B8" s="172" t="str">
        <f>VLOOKUP(A8,[1]characters!$A:$C,3)</f>
        <v>機獅蛮勇 ブレイブリー・ライオン</v>
      </c>
      <c r="C8" s="196">
        <v>1</v>
      </c>
      <c r="D8" s="196">
        <v>109</v>
      </c>
      <c r="E8" s="173" t="str">
        <f>IF(ISERROR(VLOOKUP(D8,[3]abilities!A:D,3,FALSE))=FALSE,VLOOKUP(D8,[3]abilities!A:D,3),IF(ISERROR(VLOOKUP(D8,abilities!A:D,3,FALSE))=FALSE,VLOOKUP(D8,abilities!A:D,3),"なし"))</f>
        <v>ダメージパネルブレイク</v>
      </c>
      <c r="F8" s="173" t="str">
        <f>IF(ISERROR(VLOOKUP(D8,[3]abilities!A:D,4,FALSE))=FALSE,VLOOKUP(D8,[3]abilities!A:D,4),IF(ISERROR(VLOOKUP(D8,abilities!A:D,4,FALSE))=FALSE,VLOOKUP(D8,abilities!A:D,4),"なし"))</f>
        <v>自身が先頭の時、ダメージを受けずにダメージパネルを破壊できる</v>
      </c>
      <c r="G8" s="174" t="s">
        <v>275</v>
      </c>
      <c r="H8" s="197" t="s">
        <v>323</v>
      </c>
    </row>
    <row r="9" spans="1:8" s="4" customFormat="1" ht="21" customHeight="1" x14ac:dyDescent="0.15">
      <c r="A9" s="169">
        <v>969</v>
      </c>
      <c r="B9" s="172" t="str">
        <f>VLOOKUP(A9,[1]characters!$A:$C,3)</f>
        <v>超排撃の焔砲巨神 ユミル</v>
      </c>
      <c r="C9" s="196">
        <v>1</v>
      </c>
      <c r="D9" s="196">
        <v>109</v>
      </c>
      <c r="E9" s="173" t="str">
        <f>IF(ISERROR(VLOOKUP(D9,[3]abilities!A:D,3,FALSE))=FALSE,VLOOKUP(D9,[3]abilities!A:D,3),IF(ISERROR(VLOOKUP(D9,abilities!A:D,3,FALSE))=FALSE,VLOOKUP(D9,abilities!A:D,3),"なし"))</f>
        <v>ダメージパネルブレイク</v>
      </c>
      <c r="F9" s="173" t="str">
        <f>IF(ISERROR(VLOOKUP(D9,[3]abilities!A:D,4,FALSE))=FALSE,VLOOKUP(D9,[3]abilities!A:D,4),IF(ISERROR(VLOOKUP(D9,abilities!A:D,4,FALSE))=FALSE,VLOOKUP(D9,abilities!A:D,4),"なし"))</f>
        <v>自身が先頭の時、ダメージを受けずにダメージパネルを破壊できる</v>
      </c>
      <c r="G9" s="174" t="s">
        <v>275</v>
      </c>
      <c r="H9" s="197" t="s">
        <v>323</v>
      </c>
    </row>
    <row r="10" spans="1:8" s="4" customFormat="1" ht="21" customHeight="1" x14ac:dyDescent="0.15">
      <c r="A10" s="169">
        <v>782</v>
      </c>
      <c r="B10" s="172" t="str">
        <f>VLOOKUP(A10,[1]characters!$A:$C,3)</f>
        <v>機甲雷天使 ミカエル・グロリアス</v>
      </c>
      <c r="C10" s="196">
        <v>1</v>
      </c>
      <c r="D10" s="196">
        <v>103</v>
      </c>
      <c r="E10" s="173" t="str">
        <f>IF(ISERROR(VLOOKUP(D10,[3]abilities!A:D,3,FALSE))=FALSE,VLOOKUP(D10,[3]abilities!A:D,3),IF(ISERROR(VLOOKUP(D10,abilities!A:D,3,FALSE))=FALSE,VLOOKUP(D10,abilities!A:D,3),"なし"))</f>
        <v>お邪魔ブレイク</v>
      </c>
      <c r="F10" s="173" t="str">
        <f>IF(ISERROR(VLOOKUP(D10,[3]abilities!A:D,4,FALSE))=FALSE,VLOOKUP(D10,[3]abilities!A:D,4),IF(ISERROR(VLOOKUP(D10,abilities!A:D,4,FALSE))=FALSE,VLOOKUP(D10,abilities!A:D,4),"なし"))</f>
        <v>自身が先頭の時、お邪魔パネルを破壊できる</v>
      </c>
      <c r="G10" s="174" t="s">
        <v>275</v>
      </c>
      <c r="H10" s="197" t="s">
        <v>323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>
      <selection activeCell="I25" sqref="I25:I26"/>
    </sheetView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B6" sqref="B6"/>
    </sheetView>
  </sheetViews>
  <sheetFormatPr baseColWidth="12" defaultRowHeight="15" x14ac:dyDescent="0.15"/>
  <sheetData>
    <row r="1" spans="1:2" x14ac:dyDescent="0.15">
      <c r="A1" t="s">
        <v>337</v>
      </c>
      <c r="B1" t="s">
        <v>338</v>
      </c>
    </row>
    <row r="2" spans="1:2" x14ac:dyDescent="0.15">
      <c r="A2" t="s">
        <v>339</v>
      </c>
      <c r="B2">
        <v>1</v>
      </c>
    </row>
    <row r="3" spans="1:2" x14ac:dyDescent="0.15">
      <c r="A3" t="s">
        <v>340</v>
      </c>
      <c r="B3">
        <v>1</v>
      </c>
    </row>
    <row r="4" spans="1:2" x14ac:dyDescent="0.15">
      <c r="A4" t="s">
        <v>341</v>
      </c>
      <c r="B4">
        <v>1</v>
      </c>
    </row>
    <row r="5" spans="1:2" x14ac:dyDescent="0.15">
      <c r="A5" t="s">
        <v>342</v>
      </c>
      <c r="B5">
        <v>1</v>
      </c>
    </row>
    <row r="6" spans="1:2" x14ac:dyDescent="0.15">
      <c r="A6" t="s">
        <v>343</v>
      </c>
      <c r="B6">
        <v>1</v>
      </c>
    </row>
    <row r="7" spans="1:2" x14ac:dyDescent="0.15">
      <c r="A7" t="s">
        <v>344</v>
      </c>
      <c r="B7">
        <v>1</v>
      </c>
    </row>
    <row r="8" spans="1:2" x14ac:dyDescent="0.15">
      <c r="A8" t="s">
        <v>345</v>
      </c>
      <c r="B8">
        <v>1</v>
      </c>
    </row>
    <row r="9" spans="1:2" x14ac:dyDescent="0.15">
      <c r="A9" t="s">
        <v>346</v>
      </c>
      <c r="B9">
        <v>1</v>
      </c>
    </row>
    <row r="10" spans="1:2" x14ac:dyDescent="0.15">
      <c r="A10" t="s">
        <v>347</v>
      </c>
      <c r="B10">
        <v>1</v>
      </c>
    </row>
    <row r="11" spans="1:2" x14ac:dyDescent="0.15">
      <c r="A11" t="s">
        <v>348</v>
      </c>
      <c r="B11">
        <v>1</v>
      </c>
    </row>
    <row r="12" spans="1:2" x14ac:dyDescent="0.15">
      <c r="A12" t="s">
        <v>349</v>
      </c>
      <c r="B12">
        <v>1</v>
      </c>
    </row>
    <row r="13" spans="1:2" x14ac:dyDescent="0.15">
      <c r="A13" t="s">
        <v>350</v>
      </c>
      <c r="B13">
        <v>0</v>
      </c>
    </row>
    <row r="14" spans="1:2" x14ac:dyDescent="0.15">
      <c r="A14" t="s">
        <v>351</v>
      </c>
      <c r="B14">
        <v>500</v>
      </c>
    </row>
    <row r="15" spans="1:2" x14ac:dyDescent="0.15">
      <c r="A15" t="s">
        <v>352</v>
      </c>
      <c r="B15">
        <v>600</v>
      </c>
    </row>
    <row r="16" spans="1:2" x14ac:dyDescent="0.15">
      <c r="A16" t="s">
        <v>353</v>
      </c>
      <c r="B16">
        <v>700</v>
      </c>
    </row>
    <row r="17" spans="1:2" x14ac:dyDescent="0.15">
      <c r="A17" t="s">
        <v>354</v>
      </c>
      <c r="B17">
        <v>5500</v>
      </c>
    </row>
    <row r="18" spans="1:2" x14ac:dyDescent="0.15">
      <c r="A18" t="s">
        <v>355</v>
      </c>
      <c r="B18">
        <v>6000</v>
      </c>
    </row>
    <row r="19" spans="1:2" x14ac:dyDescent="0.15">
      <c r="A19" t="s">
        <v>356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2017-06-06T07:26:07Z</dcterms:modified>
</cp:coreProperties>
</file>